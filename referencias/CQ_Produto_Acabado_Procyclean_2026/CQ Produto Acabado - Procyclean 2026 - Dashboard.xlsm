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kaiqu\Documents\Dashboard_Excel\outputs\CQ_Produto_Acabado_Procyclean_2026\"/>
    </mc:Choice>
  </mc:AlternateContent>
  <xr:revisionPtr revIDLastSave="0" documentId="13_ncr:1_{1EBC8515-0F04-467A-BC34-B07D294A9A58}" xr6:coauthVersionLast="47" xr6:coauthVersionMax="47" xr10:uidLastSave="{00000000-0000-0000-0000-000000000000}"/>
  <bookViews>
    <workbookView xWindow="-108" yWindow="-108" windowWidth="23256" windowHeight="12456" tabRatio="749" xr2:uid="{00000000-000D-0000-FFFF-FFFF00000000}"/>
  </bookViews>
  <sheets>
    <sheet name="Dashboard2" sheetId="1" r:id="rId1"/>
    <sheet name="MENU" sheetId="2" r:id="rId2"/>
    <sheet name="Procyclean BIO" sheetId="3" r:id="rId3"/>
    <sheet name="Procyclean MG" sheetId="4" r:id="rId4"/>
    <sheet name="Procyclean 130" sheetId="5" r:id="rId5"/>
    <sheet name="Procyclean 210" sheetId="6" r:id="rId6"/>
    <sheet name="Procyclean 220" sheetId="7" r:id="rId7"/>
    <sheet name="Procyclean 520" sheetId="8" r:id="rId8"/>
    <sheet name="Procyclean 600" sheetId="9" r:id="rId9"/>
    <sheet name="PADRÃO " sheetId="10" r:id="rId10"/>
  </sheets>
  <definedNames>
    <definedName name="_xlnm.Print_Area" localSheetId="0">Dashboard2!$A$1:$W$99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501" i="1" l="1"/>
  <c r="AA3501" i="1"/>
  <c r="AB3500" i="1"/>
  <c r="AA3500" i="1"/>
  <c r="AB3499" i="1"/>
  <c r="AA3499" i="1"/>
  <c r="AB3498" i="1"/>
  <c r="AA3498" i="1"/>
  <c r="AB3497" i="1"/>
  <c r="AA3497" i="1"/>
  <c r="AB3496" i="1"/>
  <c r="AA3496" i="1"/>
  <c r="AB3495" i="1"/>
  <c r="AA3495" i="1"/>
  <c r="AB3494" i="1"/>
  <c r="AA3494" i="1"/>
  <c r="AB3493" i="1"/>
  <c r="AA3493" i="1"/>
  <c r="AB3492" i="1"/>
  <c r="AA3492" i="1"/>
  <c r="AB3491" i="1"/>
  <c r="AA3491" i="1"/>
  <c r="AB3490" i="1"/>
  <c r="AA3490" i="1"/>
  <c r="AB3489" i="1"/>
  <c r="AA3489" i="1"/>
  <c r="AB3488" i="1"/>
  <c r="AA3488" i="1"/>
  <c r="AB3487" i="1"/>
  <c r="AA3487" i="1"/>
  <c r="AB3486" i="1"/>
  <c r="AA3486" i="1"/>
  <c r="AB3485" i="1"/>
  <c r="AA3485" i="1"/>
  <c r="AB3484" i="1"/>
  <c r="AA3484" i="1"/>
  <c r="AB3483" i="1"/>
  <c r="AA3483" i="1"/>
  <c r="AB3482" i="1"/>
  <c r="AA3482" i="1"/>
  <c r="AB3481" i="1"/>
  <c r="AA3481" i="1"/>
  <c r="AB3480" i="1"/>
  <c r="AA3480" i="1"/>
  <c r="AB3479" i="1"/>
  <c r="AA3479" i="1"/>
  <c r="AB3478" i="1"/>
  <c r="AA3478" i="1"/>
  <c r="AB3477" i="1"/>
  <c r="AA3477" i="1"/>
  <c r="AB3476" i="1"/>
  <c r="AA3476" i="1"/>
  <c r="AB3475" i="1"/>
  <c r="AA3475" i="1"/>
  <c r="AB3474" i="1"/>
  <c r="AA3474" i="1"/>
  <c r="AB3473" i="1"/>
  <c r="AA3473" i="1"/>
  <c r="AB3472" i="1"/>
  <c r="AA3472" i="1"/>
  <c r="AB3471" i="1"/>
  <c r="AA3471" i="1"/>
  <c r="AB3470" i="1"/>
  <c r="AA3470" i="1"/>
  <c r="AB3469" i="1"/>
  <c r="AA3469" i="1"/>
  <c r="AB3468" i="1"/>
  <c r="AA3468" i="1"/>
  <c r="AB3467" i="1"/>
  <c r="AA3467" i="1"/>
  <c r="AB3466" i="1"/>
  <c r="AA3466" i="1"/>
  <c r="AB3465" i="1"/>
  <c r="AA3465" i="1"/>
  <c r="AB3464" i="1"/>
  <c r="AA3464" i="1"/>
  <c r="AB3463" i="1"/>
  <c r="AA3463" i="1"/>
  <c r="AB3462" i="1"/>
  <c r="AA3462" i="1"/>
  <c r="AB3461" i="1"/>
  <c r="AA3461" i="1"/>
  <c r="AB3460" i="1"/>
  <c r="AA3460" i="1"/>
  <c r="AB3459" i="1"/>
  <c r="AA3459" i="1"/>
  <c r="AB3458" i="1"/>
  <c r="AA3458" i="1"/>
  <c r="AB3457" i="1"/>
  <c r="AA3457" i="1"/>
  <c r="AB3456" i="1"/>
  <c r="AA3456" i="1"/>
  <c r="AB3455" i="1"/>
  <c r="AA3455" i="1"/>
  <c r="AB3454" i="1"/>
  <c r="AA3454" i="1"/>
  <c r="AB3453" i="1"/>
  <c r="AA3453" i="1"/>
  <c r="AB3452" i="1"/>
  <c r="AA3452" i="1"/>
  <c r="AB3451" i="1"/>
  <c r="AA3451" i="1"/>
  <c r="AB3450" i="1"/>
  <c r="AA3450" i="1"/>
  <c r="AB3449" i="1"/>
  <c r="AA3449" i="1"/>
  <c r="AB3448" i="1"/>
  <c r="AA3448" i="1"/>
  <c r="AB3447" i="1"/>
  <c r="AA3447" i="1"/>
  <c r="AB3446" i="1"/>
  <c r="AA3446" i="1"/>
  <c r="AB3445" i="1"/>
  <c r="AA3445" i="1"/>
  <c r="AB3444" i="1"/>
  <c r="AA3444" i="1"/>
  <c r="AB3443" i="1"/>
  <c r="AA3443" i="1"/>
  <c r="AB3442" i="1"/>
  <c r="AA3442" i="1"/>
  <c r="AB3441" i="1"/>
  <c r="AA3441" i="1"/>
  <c r="AB3440" i="1"/>
  <c r="AA3440" i="1"/>
  <c r="AB3439" i="1"/>
  <c r="AA3439" i="1"/>
  <c r="AB3438" i="1"/>
  <c r="AA3438" i="1"/>
  <c r="AB3437" i="1"/>
  <c r="AA3437" i="1"/>
  <c r="AB3436" i="1"/>
  <c r="AA3436" i="1"/>
  <c r="AB3435" i="1"/>
  <c r="AA3435" i="1"/>
  <c r="AB3434" i="1"/>
  <c r="AA3434" i="1"/>
  <c r="AB3433" i="1"/>
  <c r="AA3433" i="1"/>
  <c r="AB3432" i="1"/>
  <c r="AA3432" i="1"/>
  <c r="AB3431" i="1"/>
  <c r="AA3431" i="1"/>
  <c r="AB3430" i="1"/>
  <c r="AA3430" i="1"/>
  <c r="AB3429" i="1"/>
  <c r="AA3429" i="1"/>
  <c r="AB3428" i="1"/>
  <c r="AA3428" i="1"/>
  <c r="AB3427" i="1"/>
  <c r="AA3427" i="1"/>
  <c r="AB3426" i="1"/>
  <c r="AA3426" i="1"/>
  <c r="AB3425" i="1"/>
  <c r="AA3425" i="1"/>
  <c r="AB3424" i="1"/>
  <c r="AA3424" i="1"/>
  <c r="AB3423" i="1"/>
  <c r="AA3423" i="1"/>
  <c r="AB3422" i="1"/>
  <c r="AA3422" i="1"/>
  <c r="AB3421" i="1"/>
  <c r="AA3421" i="1"/>
  <c r="AB3420" i="1"/>
  <c r="AA3420" i="1"/>
  <c r="AB3419" i="1"/>
  <c r="AA3419" i="1"/>
  <c r="AB3418" i="1"/>
  <c r="AA3418" i="1"/>
  <c r="AB3417" i="1"/>
  <c r="AA3417" i="1"/>
  <c r="AB3416" i="1"/>
  <c r="AA3416" i="1"/>
  <c r="AB3415" i="1"/>
  <c r="AA3415" i="1"/>
  <c r="AB3414" i="1"/>
  <c r="AA3414" i="1"/>
  <c r="AB3413" i="1"/>
  <c r="AA3413" i="1"/>
  <c r="AB3412" i="1"/>
  <c r="AA3412" i="1"/>
  <c r="AB3411" i="1"/>
  <c r="AA3411" i="1"/>
  <c r="AB3410" i="1"/>
  <c r="AA3410" i="1"/>
  <c r="AB3409" i="1"/>
  <c r="AA3409" i="1"/>
  <c r="AB3408" i="1"/>
  <c r="AA3408" i="1"/>
  <c r="AB3407" i="1"/>
  <c r="AA3407" i="1"/>
  <c r="AB3406" i="1"/>
  <c r="AA3406" i="1"/>
  <c r="AB3405" i="1"/>
  <c r="AA3405" i="1"/>
  <c r="AB3404" i="1"/>
  <c r="AA3404" i="1"/>
  <c r="AB3403" i="1"/>
  <c r="AA3403" i="1"/>
  <c r="AB3402" i="1"/>
  <c r="AA3402" i="1"/>
  <c r="AB3401" i="1"/>
  <c r="AA3401" i="1"/>
  <c r="AB3400" i="1"/>
  <c r="AA3400" i="1"/>
  <c r="AB3399" i="1"/>
  <c r="AA3399" i="1"/>
  <c r="AB3398" i="1"/>
  <c r="AA3398" i="1"/>
  <c r="AB3397" i="1"/>
  <c r="AA3397" i="1"/>
  <c r="AB3396" i="1"/>
  <c r="AA3396" i="1"/>
  <c r="AB3395" i="1"/>
  <c r="AA3395" i="1"/>
  <c r="AB3394" i="1"/>
  <c r="AA3394" i="1"/>
  <c r="AB3393" i="1"/>
  <c r="AA3393" i="1"/>
  <c r="AB3392" i="1"/>
  <c r="AA3392" i="1"/>
  <c r="AB3391" i="1"/>
  <c r="AA3391" i="1"/>
  <c r="AB3390" i="1"/>
  <c r="AA3390" i="1"/>
  <c r="AB3389" i="1"/>
  <c r="AA3389" i="1"/>
  <c r="AB3388" i="1"/>
  <c r="AA3388" i="1"/>
  <c r="AB3387" i="1"/>
  <c r="AA3387" i="1"/>
  <c r="AB3386" i="1"/>
  <c r="AA3386" i="1"/>
  <c r="AB3385" i="1"/>
  <c r="AA3385" i="1"/>
  <c r="AB3384" i="1"/>
  <c r="AA3384" i="1"/>
  <c r="AB3383" i="1"/>
  <c r="AA3383" i="1"/>
  <c r="AB3382" i="1"/>
  <c r="AA3382" i="1"/>
  <c r="AB3381" i="1"/>
  <c r="AA3381" i="1"/>
  <c r="AB3380" i="1"/>
  <c r="AA3380" i="1"/>
  <c r="AB3379" i="1"/>
  <c r="AA3379" i="1"/>
  <c r="AB3378" i="1"/>
  <c r="AA3378" i="1"/>
  <c r="AB3377" i="1"/>
  <c r="AA3377" i="1"/>
  <c r="AB3376" i="1"/>
  <c r="AA3376" i="1"/>
  <c r="AB3375" i="1"/>
  <c r="AA3375" i="1"/>
  <c r="AB3374" i="1"/>
  <c r="AA3374" i="1"/>
  <c r="AB3373" i="1"/>
  <c r="AA3373" i="1"/>
  <c r="AB3372" i="1"/>
  <c r="AA3372" i="1"/>
  <c r="AB3371" i="1"/>
  <c r="AA3371" i="1"/>
  <c r="AB3370" i="1"/>
  <c r="AA3370" i="1"/>
  <c r="AB3369" i="1"/>
  <c r="AA3369" i="1"/>
  <c r="AB3368" i="1"/>
  <c r="AA3368" i="1"/>
  <c r="AB3367" i="1"/>
  <c r="AA3367" i="1"/>
  <c r="AB3366" i="1"/>
  <c r="AA3366" i="1"/>
  <c r="AB3365" i="1"/>
  <c r="AA3365" i="1"/>
  <c r="AB3364" i="1"/>
  <c r="AA3364" i="1"/>
  <c r="AB3363" i="1"/>
  <c r="AA3363" i="1"/>
  <c r="AB3362" i="1"/>
  <c r="AA3362" i="1"/>
  <c r="AB3361" i="1"/>
  <c r="AA3361" i="1"/>
  <c r="AB3360" i="1"/>
  <c r="AA3360" i="1"/>
  <c r="AB3359" i="1"/>
  <c r="AA3359" i="1"/>
  <c r="AB3358" i="1"/>
  <c r="AA3358" i="1"/>
  <c r="AB3357" i="1"/>
  <c r="AA3357" i="1"/>
  <c r="AB3356" i="1"/>
  <c r="AA3356" i="1"/>
  <c r="AB3355" i="1"/>
  <c r="AA3355" i="1"/>
  <c r="AB3354" i="1"/>
  <c r="AA3354" i="1"/>
  <c r="AB3353" i="1"/>
  <c r="AA3353" i="1"/>
  <c r="AB3352" i="1"/>
  <c r="AA3352" i="1"/>
  <c r="AB3351" i="1"/>
  <c r="AA3351" i="1"/>
  <c r="AB3350" i="1"/>
  <c r="AA3350" i="1"/>
  <c r="AB3349" i="1"/>
  <c r="AA3349" i="1"/>
  <c r="AB3348" i="1"/>
  <c r="AA3348" i="1"/>
  <c r="AB3347" i="1"/>
  <c r="AA3347" i="1"/>
  <c r="AB3346" i="1"/>
  <c r="AA3346" i="1"/>
  <c r="AB3345" i="1"/>
  <c r="AA3345" i="1"/>
  <c r="AB3344" i="1"/>
  <c r="AA3344" i="1"/>
  <c r="AB3343" i="1"/>
  <c r="AA3343" i="1"/>
  <c r="AB3342" i="1"/>
  <c r="AA3342" i="1"/>
  <c r="AB3341" i="1"/>
  <c r="AA3341" i="1"/>
  <c r="AB3340" i="1"/>
  <c r="AA3340" i="1"/>
  <c r="AB3339" i="1"/>
  <c r="AA3339" i="1"/>
  <c r="AB3338" i="1"/>
  <c r="AA3338" i="1"/>
  <c r="AB3337" i="1"/>
  <c r="AA3337" i="1"/>
  <c r="AB3336" i="1"/>
  <c r="AA3336" i="1"/>
  <c r="AB3335" i="1"/>
  <c r="AA3335" i="1"/>
  <c r="AB3334" i="1"/>
  <c r="AA3334" i="1"/>
  <c r="AB3333" i="1"/>
  <c r="AA3333" i="1"/>
  <c r="AB3332" i="1"/>
  <c r="AA3332" i="1"/>
  <c r="AB3331" i="1"/>
  <c r="AA3331" i="1"/>
  <c r="AB3330" i="1"/>
  <c r="AA3330" i="1"/>
  <c r="AB3329" i="1"/>
  <c r="AA3329" i="1"/>
  <c r="AB3328" i="1"/>
  <c r="AA3328" i="1"/>
  <c r="AB3327" i="1"/>
  <c r="AA3327" i="1"/>
  <c r="AB3326" i="1"/>
  <c r="AA3326" i="1"/>
  <c r="AB3325" i="1"/>
  <c r="AA3325" i="1"/>
  <c r="AB3324" i="1"/>
  <c r="AA3324" i="1"/>
  <c r="AB3323" i="1"/>
  <c r="AA3323" i="1"/>
  <c r="AB3322" i="1"/>
  <c r="AA3322" i="1"/>
  <c r="AB3321" i="1"/>
  <c r="AA3321" i="1"/>
  <c r="AB3320" i="1"/>
  <c r="AA3320" i="1"/>
  <c r="AB3319" i="1"/>
  <c r="AA3319" i="1"/>
  <c r="AB3318" i="1"/>
  <c r="AA3318" i="1"/>
  <c r="AB3317" i="1"/>
  <c r="AA3317" i="1"/>
  <c r="AB3316" i="1"/>
  <c r="AA3316" i="1"/>
  <c r="AB3315" i="1"/>
  <c r="AA3315" i="1"/>
  <c r="AB3314" i="1"/>
  <c r="AA3314" i="1"/>
  <c r="AB3313" i="1"/>
  <c r="AA3313" i="1"/>
  <c r="AB3312" i="1"/>
  <c r="AA3312" i="1"/>
  <c r="AB3311" i="1"/>
  <c r="AA3311" i="1"/>
  <c r="AB3310" i="1"/>
  <c r="AA3310" i="1"/>
  <c r="AB3309" i="1"/>
  <c r="AA3309" i="1"/>
  <c r="AB3308" i="1"/>
  <c r="AA3308" i="1"/>
  <c r="AB3307" i="1"/>
  <c r="AA3307" i="1"/>
  <c r="AB3306" i="1"/>
  <c r="AA3306" i="1"/>
  <c r="AB3305" i="1"/>
  <c r="AA3305" i="1"/>
  <c r="AB3304" i="1"/>
  <c r="AA3304" i="1"/>
  <c r="AB3303" i="1"/>
  <c r="AA3303" i="1"/>
  <c r="AB3302" i="1"/>
  <c r="AA3302" i="1"/>
  <c r="AB3301" i="1"/>
  <c r="AA3301" i="1"/>
  <c r="AB3300" i="1"/>
  <c r="AA3300" i="1"/>
  <c r="AB3299" i="1"/>
  <c r="AA3299" i="1"/>
  <c r="AB3298" i="1"/>
  <c r="AA3298" i="1"/>
  <c r="AB3297" i="1"/>
  <c r="AA3297" i="1"/>
  <c r="AB3296" i="1"/>
  <c r="AA3296" i="1"/>
  <c r="AB3295" i="1"/>
  <c r="AA3295" i="1"/>
  <c r="AB3294" i="1"/>
  <c r="AA3294" i="1"/>
  <c r="AB3293" i="1"/>
  <c r="AA3293" i="1"/>
  <c r="AB3292" i="1"/>
  <c r="AA3292" i="1"/>
  <c r="AB3291" i="1"/>
  <c r="AA3291" i="1"/>
  <c r="AB3290" i="1"/>
  <c r="AA3290" i="1"/>
  <c r="AB3289" i="1"/>
  <c r="AA3289" i="1"/>
  <c r="AB3288" i="1"/>
  <c r="AA3288" i="1"/>
  <c r="AB3287" i="1"/>
  <c r="AA3287" i="1"/>
  <c r="AB3286" i="1"/>
  <c r="AA3286" i="1"/>
  <c r="AB3285" i="1"/>
  <c r="AA3285" i="1"/>
  <c r="AB3284" i="1"/>
  <c r="AA3284" i="1"/>
  <c r="AB3283" i="1"/>
  <c r="AA3283" i="1"/>
  <c r="AB3282" i="1"/>
  <c r="AA3282" i="1"/>
  <c r="AB3281" i="1"/>
  <c r="AA3281" i="1"/>
  <c r="AB3280" i="1"/>
  <c r="AA3280" i="1"/>
  <c r="AB3279" i="1"/>
  <c r="AA3279" i="1"/>
  <c r="AB3278" i="1"/>
  <c r="AA3278" i="1"/>
  <c r="AB3277" i="1"/>
  <c r="AA3277" i="1"/>
  <c r="AB3276" i="1"/>
  <c r="AA3276" i="1"/>
  <c r="AB3275" i="1"/>
  <c r="AA3275" i="1"/>
  <c r="AB3274" i="1"/>
  <c r="AA3274" i="1"/>
  <c r="AB3273" i="1"/>
  <c r="AA3273" i="1"/>
  <c r="AB3272" i="1"/>
  <c r="AA3272" i="1"/>
  <c r="AB3271" i="1"/>
  <c r="AA3271" i="1"/>
  <c r="AB3270" i="1"/>
  <c r="AA3270" i="1"/>
  <c r="AB3269" i="1"/>
  <c r="AA3269" i="1"/>
  <c r="AB3268" i="1"/>
  <c r="AA3268" i="1"/>
  <c r="AB3267" i="1"/>
  <c r="AA3267" i="1"/>
  <c r="AB3266" i="1"/>
  <c r="AA3266" i="1"/>
  <c r="AB3265" i="1"/>
  <c r="AA3265" i="1"/>
  <c r="AB3264" i="1"/>
  <c r="AA3264" i="1"/>
  <c r="AB3263" i="1"/>
  <c r="AA3263" i="1"/>
  <c r="AB3262" i="1"/>
  <c r="AA3262" i="1"/>
  <c r="AB3261" i="1"/>
  <c r="AA3261" i="1"/>
  <c r="AB3260" i="1"/>
  <c r="AA3260" i="1"/>
  <c r="AB3259" i="1"/>
  <c r="AA3259" i="1"/>
  <c r="AB3258" i="1"/>
  <c r="AA3258" i="1"/>
  <c r="AB3257" i="1"/>
  <c r="AA3257" i="1"/>
  <c r="AB3256" i="1"/>
  <c r="AA3256" i="1"/>
  <c r="AB3255" i="1"/>
  <c r="AA3255" i="1"/>
  <c r="AB3254" i="1"/>
  <c r="AA3254" i="1"/>
  <c r="AB3253" i="1"/>
  <c r="AA3253" i="1"/>
  <c r="AB3252" i="1"/>
  <c r="AA3252" i="1"/>
  <c r="AB3251" i="1"/>
  <c r="AA3251" i="1"/>
  <c r="AB3250" i="1"/>
  <c r="AA3250" i="1"/>
  <c r="AB3249" i="1"/>
  <c r="AA3249" i="1"/>
  <c r="AB3248" i="1"/>
  <c r="AA3248" i="1"/>
  <c r="AB3247" i="1"/>
  <c r="AA3247" i="1"/>
  <c r="AB3246" i="1"/>
  <c r="AA3246" i="1"/>
  <c r="AB3245" i="1"/>
  <c r="AA3245" i="1"/>
  <c r="AB3244" i="1"/>
  <c r="AA3244" i="1"/>
  <c r="AB3243" i="1"/>
  <c r="AA3243" i="1"/>
  <c r="AB3242" i="1"/>
  <c r="AA3242" i="1"/>
  <c r="AB3241" i="1"/>
  <c r="AA3241" i="1"/>
  <c r="AB3240" i="1"/>
  <c r="AA3240" i="1"/>
  <c r="AB3239" i="1"/>
  <c r="AA3239" i="1"/>
  <c r="AB3238" i="1"/>
  <c r="AA3238" i="1"/>
  <c r="AB3237" i="1"/>
  <c r="AA3237" i="1"/>
  <c r="AB3236" i="1"/>
  <c r="AA3236" i="1"/>
  <c r="AB3235" i="1"/>
  <c r="AA3235" i="1"/>
  <c r="AB3234" i="1"/>
  <c r="AA3234" i="1"/>
  <c r="AB3233" i="1"/>
  <c r="AA3233" i="1"/>
  <c r="AB3232" i="1"/>
  <c r="AA3232" i="1"/>
  <c r="AB3231" i="1"/>
  <c r="AA3231" i="1"/>
  <c r="AB3230" i="1"/>
  <c r="AA3230" i="1"/>
  <c r="AB3229" i="1"/>
  <c r="AA3229" i="1"/>
  <c r="AB3228" i="1"/>
  <c r="AA3228" i="1"/>
  <c r="AB3227" i="1"/>
  <c r="AA3227" i="1"/>
  <c r="AB3226" i="1"/>
  <c r="AA3226" i="1"/>
  <c r="AB3225" i="1"/>
  <c r="AA3225" i="1"/>
  <c r="AB3224" i="1"/>
  <c r="AA3224" i="1"/>
  <c r="AB3223" i="1"/>
  <c r="AA3223" i="1"/>
  <c r="AB3222" i="1"/>
  <c r="AA3222" i="1"/>
  <c r="AB3221" i="1"/>
  <c r="AA3221" i="1"/>
  <c r="AB3220" i="1"/>
  <c r="AA3220" i="1"/>
  <c r="AB3219" i="1"/>
  <c r="AA3219" i="1"/>
  <c r="AB3218" i="1"/>
  <c r="AA3218" i="1"/>
  <c r="AB3217" i="1"/>
  <c r="AA3217" i="1"/>
  <c r="AB3216" i="1"/>
  <c r="AA3216" i="1"/>
  <c r="AB3215" i="1"/>
  <c r="AA3215" i="1"/>
  <c r="AB3214" i="1"/>
  <c r="AA3214" i="1"/>
  <c r="AB3213" i="1"/>
  <c r="AA3213" i="1"/>
  <c r="AB3212" i="1"/>
  <c r="AA3212" i="1"/>
  <c r="AB3211" i="1"/>
  <c r="AA3211" i="1"/>
  <c r="AB3210" i="1"/>
  <c r="AA3210" i="1"/>
  <c r="AB3209" i="1"/>
  <c r="AA3209" i="1"/>
  <c r="AB3208" i="1"/>
  <c r="AA3208" i="1"/>
  <c r="AB3207" i="1"/>
  <c r="AA3207" i="1"/>
  <c r="AB3206" i="1"/>
  <c r="AA3206" i="1"/>
  <c r="AB3205" i="1"/>
  <c r="AA3205" i="1"/>
  <c r="AB3204" i="1"/>
  <c r="AA3204" i="1"/>
  <c r="AB3203" i="1"/>
  <c r="AA3203" i="1"/>
  <c r="AB3202" i="1"/>
  <c r="AA3202" i="1"/>
  <c r="AB3201" i="1"/>
  <c r="AA3201" i="1"/>
  <c r="AB3200" i="1"/>
  <c r="AA3200" i="1"/>
  <c r="AB3199" i="1"/>
  <c r="AA3199" i="1"/>
  <c r="AB3198" i="1"/>
  <c r="AA3198" i="1"/>
  <c r="AB3197" i="1"/>
  <c r="AA3197" i="1"/>
  <c r="AB3196" i="1"/>
  <c r="AA3196" i="1"/>
  <c r="AB3195" i="1"/>
  <c r="AA3195" i="1"/>
  <c r="AB3194" i="1"/>
  <c r="AA3194" i="1"/>
  <c r="AB3193" i="1"/>
  <c r="AA3193" i="1"/>
  <c r="AB3192" i="1"/>
  <c r="AA3192" i="1"/>
  <c r="AB3191" i="1"/>
  <c r="AA3191" i="1"/>
  <c r="AB3190" i="1"/>
  <c r="AA3190" i="1"/>
  <c r="AB3189" i="1"/>
  <c r="AA3189" i="1"/>
  <c r="AB3188" i="1"/>
  <c r="AA3188" i="1"/>
  <c r="AB3187" i="1"/>
  <c r="AA3187" i="1"/>
  <c r="AB3186" i="1"/>
  <c r="AA3186" i="1"/>
  <c r="AB3185" i="1"/>
  <c r="AA3185" i="1"/>
  <c r="AB3184" i="1"/>
  <c r="AA3184" i="1"/>
  <c r="AB3183" i="1"/>
  <c r="AA3183" i="1"/>
  <c r="AB3182" i="1"/>
  <c r="AA3182" i="1"/>
  <c r="AB3181" i="1"/>
  <c r="AA3181" i="1"/>
  <c r="AB3180" i="1"/>
  <c r="AA3180" i="1"/>
  <c r="AB3179" i="1"/>
  <c r="AA3179" i="1"/>
  <c r="AB3178" i="1"/>
  <c r="AA3178" i="1"/>
  <c r="AB3177" i="1"/>
  <c r="AA3177" i="1"/>
  <c r="AB3176" i="1"/>
  <c r="AA3176" i="1"/>
  <c r="AB3175" i="1"/>
  <c r="AA3175" i="1"/>
  <c r="AB3174" i="1"/>
  <c r="AA3174" i="1"/>
  <c r="AB3173" i="1"/>
  <c r="AA3173" i="1"/>
  <c r="AB3172" i="1"/>
  <c r="AA3172" i="1"/>
  <c r="AB3171" i="1"/>
  <c r="AA3171" i="1"/>
  <c r="AB3170" i="1"/>
  <c r="AA3170" i="1"/>
  <c r="AB3169" i="1"/>
  <c r="AA3169" i="1"/>
  <c r="AB3168" i="1"/>
  <c r="AA3168" i="1"/>
  <c r="AB3167" i="1"/>
  <c r="AA3167" i="1"/>
  <c r="AB3166" i="1"/>
  <c r="AA3166" i="1"/>
  <c r="AB3165" i="1"/>
  <c r="AA3165" i="1"/>
  <c r="AB3164" i="1"/>
  <c r="AA3164" i="1"/>
  <c r="AB3163" i="1"/>
  <c r="AA3163" i="1"/>
  <c r="AB3162" i="1"/>
  <c r="AA3162" i="1"/>
  <c r="AB3161" i="1"/>
  <c r="AA3161" i="1"/>
  <c r="AB3160" i="1"/>
  <c r="AA3160" i="1"/>
  <c r="AB3159" i="1"/>
  <c r="AA3159" i="1"/>
  <c r="AB3158" i="1"/>
  <c r="AA3158" i="1"/>
  <c r="AB3157" i="1"/>
  <c r="AA3157" i="1"/>
  <c r="AB3156" i="1"/>
  <c r="AA3156" i="1"/>
  <c r="AB3155" i="1"/>
  <c r="AA3155" i="1"/>
  <c r="AB3154" i="1"/>
  <c r="AA3154" i="1"/>
  <c r="AB3153" i="1"/>
  <c r="AA3153" i="1"/>
  <c r="AB3152" i="1"/>
  <c r="AA3152" i="1"/>
  <c r="AB3151" i="1"/>
  <c r="AA3151" i="1"/>
  <c r="AB3150" i="1"/>
  <c r="AA3150" i="1"/>
  <c r="AB3149" i="1"/>
  <c r="AA3149" i="1"/>
  <c r="AB3148" i="1"/>
  <c r="AA3148" i="1"/>
  <c r="AB3147" i="1"/>
  <c r="AA3147" i="1"/>
  <c r="AB3146" i="1"/>
  <c r="AA3146" i="1"/>
  <c r="AB3145" i="1"/>
  <c r="AA3145" i="1"/>
  <c r="AB3144" i="1"/>
  <c r="AA3144" i="1"/>
  <c r="AB3143" i="1"/>
  <c r="AA3143" i="1"/>
  <c r="AB3142" i="1"/>
  <c r="AA3142" i="1"/>
  <c r="AB3141" i="1"/>
  <c r="AA3141" i="1"/>
  <c r="AB3140" i="1"/>
  <c r="AA3140" i="1"/>
  <c r="AB3139" i="1"/>
  <c r="AA3139" i="1"/>
  <c r="AB3138" i="1"/>
  <c r="AA3138" i="1"/>
  <c r="AB3137" i="1"/>
  <c r="AA3137" i="1"/>
  <c r="AB3136" i="1"/>
  <c r="AA3136" i="1"/>
  <c r="AB3135" i="1"/>
  <c r="AA3135" i="1"/>
  <c r="AB3134" i="1"/>
  <c r="AA3134" i="1"/>
  <c r="AB3133" i="1"/>
  <c r="AA3133" i="1"/>
  <c r="AB3132" i="1"/>
  <c r="AA3132" i="1"/>
  <c r="AB3131" i="1"/>
  <c r="AA3131" i="1"/>
  <c r="AB3130" i="1"/>
  <c r="AA3130" i="1"/>
  <c r="AB3129" i="1"/>
  <c r="AA3129" i="1"/>
  <c r="AB3128" i="1"/>
  <c r="AA3128" i="1"/>
  <c r="AB3127" i="1"/>
  <c r="AA3127" i="1"/>
  <c r="AB3126" i="1"/>
  <c r="AA3126" i="1"/>
  <c r="AB3125" i="1"/>
  <c r="AA3125" i="1"/>
  <c r="AB3124" i="1"/>
  <c r="AA3124" i="1"/>
  <c r="AB3123" i="1"/>
  <c r="AA3123" i="1"/>
  <c r="AB3122" i="1"/>
  <c r="AA3122" i="1"/>
  <c r="AB3121" i="1"/>
  <c r="AA3121" i="1"/>
  <c r="AB3120" i="1"/>
  <c r="AA3120" i="1"/>
  <c r="AB3119" i="1"/>
  <c r="AA3119" i="1"/>
  <c r="AB3118" i="1"/>
  <c r="AA3118" i="1"/>
  <c r="AB3117" i="1"/>
  <c r="AA3117" i="1"/>
  <c r="AB3116" i="1"/>
  <c r="AA3116" i="1"/>
  <c r="AB3115" i="1"/>
  <c r="AA3115" i="1"/>
  <c r="AB3114" i="1"/>
  <c r="AA3114" i="1"/>
  <c r="AB3113" i="1"/>
  <c r="AA3113" i="1"/>
  <c r="AB3112" i="1"/>
  <c r="AA3112" i="1"/>
  <c r="AB3111" i="1"/>
  <c r="AA3111" i="1"/>
  <c r="AB3110" i="1"/>
  <c r="AA3110" i="1"/>
  <c r="AB3109" i="1"/>
  <c r="AA3109" i="1"/>
  <c r="AB3108" i="1"/>
  <c r="AA3108" i="1"/>
  <c r="AB3107" i="1"/>
  <c r="AA3107" i="1"/>
  <c r="AB3106" i="1"/>
  <c r="AA3106" i="1"/>
  <c r="AB3105" i="1"/>
  <c r="AA3105" i="1"/>
  <c r="AB3104" i="1"/>
  <c r="AA3104" i="1"/>
  <c r="AB3103" i="1"/>
  <c r="AA3103" i="1"/>
  <c r="AB3102" i="1"/>
  <c r="AA3102" i="1"/>
  <c r="AB3101" i="1"/>
  <c r="AA3101" i="1"/>
  <c r="AB3100" i="1"/>
  <c r="AA3100" i="1"/>
  <c r="AB3099" i="1"/>
  <c r="AA3099" i="1"/>
  <c r="AB3098" i="1"/>
  <c r="AA3098" i="1"/>
  <c r="AB3097" i="1"/>
  <c r="AA3097" i="1"/>
  <c r="AB3096" i="1"/>
  <c r="AA3096" i="1"/>
  <c r="AB3095" i="1"/>
  <c r="AA3095" i="1"/>
  <c r="AB3094" i="1"/>
  <c r="AA3094" i="1"/>
  <c r="AB3093" i="1"/>
  <c r="AA3093" i="1"/>
  <c r="AB3092" i="1"/>
  <c r="AA3092" i="1"/>
  <c r="AB3091" i="1"/>
  <c r="AA3091" i="1"/>
  <c r="AB3090" i="1"/>
  <c r="AA3090" i="1"/>
  <c r="AB3089" i="1"/>
  <c r="AA3089" i="1"/>
  <c r="AB3088" i="1"/>
  <c r="AA3088" i="1"/>
  <c r="AB3087" i="1"/>
  <c r="AA3087" i="1"/>
  <c r="AB3086" i="1"/>
  <c r="AA3086" i="1"/>
  <c r="AB3085" i="1"/>
  <c r="AA3085" i="1"/>
  <c r="AB3084" i="1"/>
  <c r="AA3084" i="1"/>
  <c r="AB3083" i="1"/>
  <c r="AA3083" i="1"/>
  <c r="AB3082" i="1"/>
  <c r="AA3082" i="1"/>
  <c r="AB3081" i="1"/>
  <c r="AA3081" i="1"/>
  <c r="AB3080" i="1"/>
  <c r="AA3080" i="1"/>
  <c r="AB3079" i="1"/>
  <c r="AA3079" i="1"/>
  <c r="AB3078" i="1"/>
  <c r="AA3078" i="1"/>
  <c r="AB3077" i="1"/>
  <c r="AA3077" i="1"/>
  <c r="AB3076" i="1"/>
  <c r="AA3076" i="1"/>
  <c r="AB3075" i="1"/>
  <c r="AA3075" i="1"/>
  <c r="AB3074" i="1"/>
  <c r="AA3074" i="1"/>
  <c r="AB3073" i="1"/>
  <c r="AA3073" i="1"/>
  <c r="AB3072" i="1"/>
  <c r="AA3072" i="1"/>
  <c r="AB3071" i="1"/>
  <c r="AA3071" i="1"/>
  <c r="AB3070" i="1"/>
  <c r="AA3070" i="1"/>
  <c r="AB3069" i="1"/>
  <c r="AA3069" i="1"/>
  <c r="AB3068" i="1"/>
  <c r="AA3068" i="1"/>
  <c r="AB3067" i="1"/>
  <c r="AA3067" i="1"/>
  <c r="AB3066" i="1"/>
  <c r="AA3066" i="1"/>
  <c r="AB3065" i="1"/>
  <c r="AA3065" i="1"/>
  <c r="AB3064" i="1"/>
  <c r="AA3064" i="1"/>
  <c r="AB3063" i="1"/>
  <c r="AA3063" i="1"/>
  <c r="AB3062" i="1"/>
  <c r="AA3062" i="1"/>
  <c r="AB3061" i="1"/>
  <c r="AA3061" i="1"/>
  <c r="AB3060" i="1"/>
  <c r="AA3060" i="1"/>
  <c r="AB3059" i="1"/>
  <c r="AA3059" i="1"/>
  <c r="AB3058" i="1"/>
  <c r="AA3058" i="1"/>
  <c r="AB3057" i="1"/>
  <c r="AA3057" i="1"/>
  <c r="AB3056" i="1"/>
  <c r="AA3056" i="1"/>
  <c r="AB3055" i="1"/>
  <c r="AA3055" i="1"/>
  <c r="AB3054" i="1"/>
  <c r="AA3054" i="1"/>
  <c r="AB3053" i="1"/>
  <c r="AA3053" i="1"/>
  <c r="AB3052" i="1"/>
  <c r="AA3052" i="1"/>
  <c r="AB3051" i="1"/>
  <c r="AA3051" i="1"/>
  <c r="AB3050" i="1"/>
  <c r="AA3050" i="1"/>
  <c r="AB3049" i="1"/>
  <c r="AA3049" i="1"/>
  <c r="AB3048" i="1"/>
  <c r="AA3048" i="1"/>
  <c r="AB3047" i="1"/>
  <c r="AA3047" i="1"/>
  <c r="AB3046" i="1"/>
  <c r="AA3046" i="1"/>
  <c r="AB3045" i="1"/>
  <c r="AA3045" i="1"/>
  <c r="AB3044" i="1"/>
  <c r="AA3044" i="1"/>
  <c r="AB3043" i="1"/>
  <c r="AA3043" i="1"/>
  <c r="AB3042" i="1"/>
  <c r="AA3042" i="1"/>
  <c r="AB3041" i="1"/>
  <c r="AA3041" i="1"/>
  <c r="AB3040" i="1"/>
  <c r="AA3040" i="1"/>
  <c r="AB3039" i="1"/>
  <c r="AA3039" i="1"/>
  <c r="AB3038" i="1"/>
  <c r="AA3038" i="1"/>
  <c r="AB3037" i="1"/>
  <c r="AA3037" i="1"/>
  <c r="AB3036" i="1"/>
  <c r="AA3036" i="1"/>
  <c r="AB3035" i="1"/>
  <c r="AA3035" i="1"/>
  <c r="AB3034" i="1"/>
  <c r="AA3034" i="1"/>
  <c r="AB3033" i="1"/>
  <c r="AA3033" i="1"/>
  <c r="AB3032" i="1"/>
  <c r="AA3032" i="1"/>
  <c r="AB3031" i="1"/>
  <c r="AA3031" i="1"/>
  <c r="AB3030" i="1"/>
  <c r="AA3030" i="1"/>
  <c r="AB3029" i="1"/>
  <c r="AA3029" i="1"/>
  <c r="AB3028" i="1"/>
  <c r="AA3028" i="1"/>
  <c r="AB3027" i="1"/>
  <c r="AA3027" i="1"/>
  <c r="AB3026" i="1"/>
  <c r="AA3026" i="1"/>
  <c r="AB3025" i="1"/>
  <c r="AA3025" i="1"/>
  <c r="AB3024" i="1"/>
  <c r="AA3024" i="1"/>
  <c r="AB3023" i="1"/>
  <c r="AA3023" i="1"/>
  <c r="AB3022" i="1"/>
  <c r="AA3022" i="1"/>
  <c r="AB3021" i="1"/>
  <c r="AA3021" i="1"/>
  <c r="AB3020" i="1"/>
  <c r="AA3020" i="1"/>
  <c r="AB3019" i="1"/>
  <c r="AA3019" i="1"/>
  <c r="AB3018" i="1"/>
  <c r="AA3018" i="1"/>
  <c r="AB3017" i="1"/>
  <c r="AA3017" i="1"/>
  <c r="AB3016" i="1"/>
  <c r="AA3016" i="1"/>
  <c r="AB3015" i="1"/>
  <c r="AA3015" i="1"/>
  <c r="AB3014" i="1"/>
  <c r="AA3014" i="1"/>
  <c r="AB3013" i="1"/>
  <c r="AA3013" i="1"/>
  <c r="AB3012" i="1"/>
  <c r="AA3012" i="1"/>
  <c r="AB3011" i="1"/>
  <c r="AA3011" i="1"/>
  <c r="AB3010" i="1"/>
  <c r="AA3010" i="1"/>
  <c r="AB3009" i="1"/>
  <c r="AA3009" i="1"/>
  <c r="AB3008" i="1"/>
  <c r="AA3008" i="1"/>
  <c r="AB3007" i="1"/>
  <c r="AA3007" i="1"/>
  <c r="AB3006" i="1"/>
  <c r="AA3006" i="1"/>
  <c r="AB3005" i="1"/>
  <c r="AA3005" i="1"/>
  <c r="AB3004" i="1"/>
  <c r="AA3004" i="1"/>
  <c r="AB3003" i="1"/>
  <c r="AA3003" i="1"/>
  <c r="AB3002" i="1"/>
  <c r="AA3002" i="1"/>
  <c r="AB3001" i="1"/>
  <c r="AA3001" i="1"/>
  <c r="AB3000" i="1"/>
  <c r="AA3000" i="1"/>
  <c r="AB2999" i="1"/>
  <c r="AA2999" i="1"/>
  <c r="AB2998" i="1"/>
  <c r="AA2998" i="1"/>
  <c r="AB2997" i="1"/>
  <c r="AA2997" i="1"/>
  <c r="AB2996" i="1"/>
  <c r="AA2996" i="1"/>
  <c r="AB2995" i="1"/>
  <c r="AA2995" i="1"/>
  <c r="AB2994" i="1"/>
  <c r="AA2994" i="1"/>
  <c r="AB2993" i="1"/>
  <c r="AA2993" i="1"/>
  <c r="AB2992" i="1"/>
  <c r="AA2992" i="1"/>
  <c r="AB2991" i="1"/>
  <c r="AA2991" i="1"/>
  <c r="AB2990" i="1"/>
  <c r="AA2990" i="1"/>
  <c r="AB2989" i="1"/>
  <c r="AA2989" i="1"/>
  <c r="AB2988" i="1"/>
  <c r="AA2988" i="1"/>
  <c r="AB2987" i="1"/>
  <c r="AA2987" i="1"/>
  <c r="AB2986" i="1"/>
  <c r="AA2986" i="1"/>
  <c r="AB2985" i="1"/>
  <c r="AA2985" i="1"/>
  <c r="AB2984" i="1"/>
  <c r="AA2984" i="1"/>
  <c r="AB2983" i="1"/>
  <c r="AA2983" i="1"/>
  <c r="AB2982" i="1"/>
  <c r="AA2982" i="1"/>
  <c r="AB2981" i="1"/>
  <c r="AA2981" i="1"/>
  <c r="AB2980" i="1"/>
  <c r="AA2980" i="1"/>
  <c r="AB2979" i="1"/>
  <c r="AA2979" i="1"/>
  <c r="AB2978" i="1"/>
  <c r="AA2978" i="1"/>
  <c r="AB2977" i="1"/>
  <c r="AA2977" i="1"/>
  <c r="AB2976" i="1"/>
  <c r="AA2976" i="1"/>
  <c r="AB2975" i="1"/>
  <c r="AA2975" i="1"/>
  <c r="AB2974" i="1"/>
  <c r="AA2974" i="1"/>
  <c r="AB2973" i="1"/>
  <c r="AA2973" i="1"/>
  <c r="AB2972" i="1"/>
  <c r="AA2972" i="1"/>
  <c r="AB2971" i="1"/>
  <c r="AA2971" i="1"/>
  <c r="AB2970" i="1"/>
  <c r="AA2970" i="1"/>
  <c r="AB2969" i="1"/>
  <c r="AA2969" i="1"/>
  <c r="AB2968" i="1"/>
  <c r="AA2968" i="1"/>
  <c r="AB2967" i="1"/>
  <c r="AA2967" i="1"/>
  <c r="AB2966" i="1"/>
  <c r="AA2966" i="1"/>
  <c r="AB2965" i="1"/>
  <c r="AA2965" i="1"/>
  <c r="AB2964" i="1"/>
  <c r="AA2964" i="1"/>
  <c r="AB2963" i="1"/>
  <c r="AA2963" i="1"/>
  <c r="AB2962" i="1"/>
  <c r="AA2962" i="1"/>
  <c r="AB2961" i="1"/>
  <c r="AA2961" i="1"/>
  <c r="AB2960" i="1"/>
  <c r="AA2960" i="1"/>
  <c r="AB2959" i="1"/>
  <c r="AA2959" i="1"/>
  <c r="AB2958" i="1"/>
  <c r="AA2958" i="1"/>
  <c r="AB2957" i="1"/>
  <c r="AA2957" i="1"/>
  <c r="AB2956" i="1"/>
  <c r="AA2956" i="1"/>
  <c r="AB2955" i="1"/>
  <c r="AA2955" i="1"/>
  <c r="AB2954" i="1"/>
  <c r="AA2954" i="1"/>
  <c r="AB2953" i="1"/>
  <c r="AA2953" i="1"/>
  <c r="AB2952" i="1"/>
  <c r="AA2952" i="1"/>
  <c r="AB2951" i="1"/>
  <c r="AA2951" i="1"/>
  <c r="AB2950" i="1"/>
  <c r="AA2950" i="1"/>
  <c r="AB2949" i="1"/>
  <c r="AA2949" i="1"/>
  <c r="AB2948" i="1"/>
  <c r="AA2948" i="1"/>
  <c r="AB2947" i="1"/>
  <c r="AA2947" i="1"/>
  <c r="AB2946" i="1"/>
  <c r="AA2946" i="1"/>
  <c r="AB2945" i="1"/>
  <c r="AA2945" i="1"/>
  <c r="AB2944" i="1"/>
  <c r="AA2944" i="1"/>
  <c r="AB2943" i="1"/>
  <c r="AA2943" i="1"/>
  <c r="AB2942" i="1"/>
  <c r="AA2942" i="1"/>
  <c r="AB2941" i="1"/>
  <c r="AA2941" i="1"/>
  <c r="AB2940" i="1"/>
  <c r="AA2940" i="1"/>
  <c r="AB2939" i="1"/>
  <c r="AA2939" i="1"/>
  <c r="AB2938" i="1"/>
  <c r="AA2938" i="1"/>
  <c r="AB2937" i="1"/>
  <c r="AA2937" i="1"/>
  <c r="AB2936" i="1"/>
  <c r="AA2936" i="1"/>
  <c r="AB2935" i="1"/>
  <c r="AA2935" i="1"/>
  <c r="AB2934" i="1"/>
  <c r="AA2934" i="1"/>
  <c r="AB2933" i="1"/>
  <c r="AA2933" i="1"/>
  <c r="AB2932" i="1"/>
  <c r="AA2932" i="1"/>
  <c r="AB2931" i="1"/>
  <c r="AA2931" i="1"/>
  <c r="AB2930" i="1"/>
  <c r="AA2930" i="1"/>
  <c r="AB2929" i="1"/>
  <c r="AA2929" i="1"/>
  <c r="AB2928" i="1"/>
  <c r="AA2928" i="1"/>
  <c r="AB2927" i="1"/>
  <c r="AA2927" i="1"/>
  <c r="AB2926" i="1"/>
  <c r="AA2926" i="1"/>
  <c r="AB2925" i="1"/>
  <c r="AA2925" i="1"/>
  <c r="AB2924" i="1"/>
  <c r="AA2924" i="1"/>
  <c r="AB2923" i="1"/>
  <c r="AA2923" i="1"/>
  <c r="AB2922" i="1"/>
  <c r="AA2922" i="1"/>
  <c r="AB2921" i="1"/>
  <c r="AA2921" i="1"/>
  <c r="AB2920" i="1"/>
  <c r="AA2920" i="1"/>
  <c r="AB2919" i="1"/>
  <c r="AA2919" i="1"/>
  <c r="AB2918" i="1"/>
  <c r="AA2918" i="1"/>
  <c r="AB2917" i="1"/>
  <c r="AA2917" i="1"/>
  <c r="AB2916" i="1"/>
  <c r="AA2916" i="1"/>
  <c r="AB2915" i="1"/>
  <c r="AA2915" i="1"/>
  <c r="AB2914" i="1"/>
  <c r="AA2914" i="1"/>
  <c r="AB2913" i="1"/>
  <c r="AA2913" i="1"/>
  <c r="AB2912" i="1"/>
  <c r="AA2912" i="1"/>
  <c r="AB2911" i="1"/>
  <c r="AA2911" i="1"/>
  <c r="AB2910" i="1"/>
  <c r="AA2910" i="1"/>
  <c r="AB2909" i="1"/>
  <c r="AA2909" i="1"/>
  <c r="AB2908" i="1"/>
  <c r="AA2908" i="1"/>
  <c r="AB2907" i="1"/>
  <c r="AA2907" i="1"/>
  <c r="AB2906" i="1"/>
  <c r="AA2906" i="1"/>
  <c r="AB2905" i="1"/>
  <c r="AA2905" i="1"/>
  <c r="AB2904" i="1"/>
  <c r="AA2904" i="1"/>
  <c r="AB2903" i="1"/>
  <c r="AA2903" i="1"/>
  <c r="AB2902" i="1"/>
  <c r="AA2902" i="1"/>
  <c r="AB2901" i="1"/>
  <c r="AA2901" i="1"/>
  <c r="AB2900" i="1"/>
  <c r="AA2900" i="1"/>
  <c r="AB2899" i="1"/>
  <c r="AA2899" i="1"/>
  <c r="AB2898" i="1"/>
  <c r="AA2898" i="1"/>
  <c r="AB2897" i="1"/>
  <c r="AA2897" i="1"/>
  <c r="AB2896" i="1"/>
  <c r="AA2896" i="1"/>
  <c r="AB2895" i="1"/>
  <c r="AA2895" i="1"/>
  <c r="AB2894" i="1"/>
  <c r="AA2894" i="1"/>
  <c r="AB2893" i="1"/>
  <c r="AA2893" i="1"/>
  <c r="AB2892" i="1"/>
  <c r="AA2892" i="1"/>
  <c r="AB2891" i="1"/>
  <c r="AA2891" i="1"/>
  <c r="AB2890" i="1"/>
  <c r="AA2890" i="1"/>
  <c r="AB2889" i="1"/>
  <c r="AA2889" i="1"/>
  <c r="AB2888" i="1"/>
  <c r="AA2888" i="1"/>
  <c r="AB2887" i="1"/>
  <c r="AA2887" i="1"/>
  <c r="AB2886" i="1"/>
  <c r="AA2886" i="1"/>
  <c r="AB2885" i="1"/>
  <c r="AA2885" i="1"/>
  <c r="AB2884" i="1"/>
  <c r="AA2884" i="1"/>
  <c r="AB2883" i="1"/>
  <c r="AA2883" i="1"/>
  <c r="AB2882" i="1"/>
  <c r="AA2882" i="1"/>
  <c r="AB2881" i="1"/>
  <c r="AA2881" i="1"/>
  <c r="AB2880" i="1"/>
  <c r="AA2880" i="1"/>
  <c r="AB2879" i="1"/>
  <c r="AA2879" i="1"/>
  <c r="AB2878" i="1"/>
  <c r="AA2878" i="1"/>
  <c r="AB2877" i="1"/>
  <c r="AA2877" i="1"/>
  <c r="AB2876" i="1"/>
  <c r="AA2876" i="1"/>
  <c r="AB2875" i="1"/>
  <c r="AA2875" i="1"/>
  <c r="AB2874" i="1"/>
  <c r="AA2874" i="1"/>
  <c r="AB2873" i="1"/>
  <c r="AA2873" i="1"/>
  <c r="AB2872" i="1"/>
  <c r="AA2872" i="1"/>
  <c r="AB2871" i="1"/>
  <c r="AA2871" i="1"/>
  <c r="AB2870" i="1"/>
  <c r="AA2870" i="1"/>
  <c r="AB2869" i="1"/>
  <c r="AA2869" i="1"/>
  <c r="AB2868" i="1"/>
  <c r="AA2868" i="1"/>
  <c r="AB2867" i="1"/>
  <c r="AA2867" i="1"/>
  <c r="AB2866" i="1"/>
  <c r="AA2866" i="1"/>
  <c r="AB2865" i="1"/>
  <c r="AA2865" i="1"/>
  <c r="AB2864" i="1"/>
  <c r="AA2864" i="1"/>
  <c r="AB2863" i="1"/>
  <c r="AA2863" i="1"/>
  <c r="AB2862" i="1"/>
  <c r="AA2862" i="1"/>
  <c r="AB2861" i="1"/>
  <c r="AA2861" i="1"/>
  <c r="AB2860" i="1"/>
  <c r="AA2860" i="1"/>
  <c r="AB2859" i="1"/>
  <c r="AA2859" i="1"/>
  <c r="AB2858" i="1"/>
  <c r="AA2858" i="1"/>
  <c r="AB2857" i="1"/>
  <c r="AA2857" i="1"/>
  <c r="AB2856" i="1"/>
  <c r="AA2856" i="1"/>
  <c r="AB2855" i="1"/>
  <c r="AA2855" i="1"/>
  <c r="AB2854" i="1"/>
  <c r="AA2854" i="1"/>
  <c r="AB2853" i="1"/>
  <c r="AA2853" i="1"/>
  <c r="AB2852" i="1"/>
  <c r="AA2852" i="1"/>
  <c r="AB2851" i="1"/>
  <c r="AA2851" i="1"/>
  <c r="AB2850" i="1"/>
  <c r="AA2850" i="1"/>
  <c r="AB2849" i="1"/>
  <c r="AA2849" i="1"/>
  <c r="AB2848" i="1"/>
  <c r="AA2848" i="1"/>
  <c r="AB2847" i="1"/>
  <c r="AA2847" i="1"/>
  <c r="AB2846" i="1"/>
  <c r="AA2846" i="1"/>
  <c r="AB2845" i="1"/>
  <c r="AA2845" i="1"/>
  <c r="AB2844" i="1"/>
  <c r="AA2844" i="1"/>
  <c r="AB2843" i="1"/>
  <c r="AA2843" i="1"/>
  <c r="AB2842" i="1"/>
  <c r="AA2842" i="1"/>
  <c r="AB2841" i="1"/>
  <c r="AA2841" i="1"/>
  <c r="AB2840" i="1"/>
  <c r="AA2840" i="1"/>
  <c r="AB2839" i="1"/>
  <c r="AA2839" i="1"/>
  <c r="AB2838" i="1"/>
  <c r="AA2838" i="1"/>
  <c r="AB2837" i="1"/>
  <c r="AA2837" i="1"/>
  <c r="AB2836" i="1"/>
  <c r="AA2836" i="1"/>
  <c r="AB2835" i="1"/>
  <c r="AA2835" i="1"/>
  <c r="AB2834" i="1"/>
  <c r="AA2834" i="1"/>
  <c r="AB2833" i="1"/>
  <c r="AA2833" i="1"/>
  <c r="AB2832" i="1"/>
  <c r="AA2832" i="1"/>
  <c r="AB2831" i="1"/>
  <c r="AA2831" i="1"/>
  <c r="AB2830" i="1"/>
  <c r="AA2830" i="1"/>
  <c r="AB2829" i="1"/>
  <c r="AA2829" i="1"/>
  <c r="AB2828" i="1"/>
  <c r="AA2828" i="1"/>
  <c r="AB2827" i="1"/>
  <c r="AA2827" i="1"/>
  <c r="AB2826" i="1"/>
  <c r="AA2826" i="1"/>
  <c r="AB2825" i="1"/>
  <c r="AA2825" i="1"/>
  <c r="AB2824" i="1"/>
  <c r="AA2824" i="1"/>
  <c r="AB2823" i="1"/>
  <c r="AA2823" i="1"/>
  <c r="AB2822" i="1"/>
  <c r="AA2822" i="1"/>
  <c r="AB2821" i="1"/>
  <c r="AA2821" i="1"/>
  <c r="AB2820" i="1"/>
  <c r="AA2820" i="1"/>
  <c r="AB2819" i="1"/>
  <c r="AA2819" i="1"/>
  <c r="AB2818" i="1"/>
  <c r="AA2818" i="1"/>
  <c r="AB2817" i="1"/>
  <c r="AA2817" i="1"/>
  <c r="AB2816" i="1"/>
  <c r="AA2816" i="1"/>
  <c r="AB2815" i="1"/>
  <c r="AA2815" i="1"/>
  <c r="AB2814" i="1"/>
  <c r="AA2814" i="1"/>
  <c r="AB2813" i="1"/>
  <c r="AA2813" i="1"/>
  <c r="AB2812" i="1"/>
  <c r="AA2812" i="1"/>
  <c r="AB2811" i="1"/>
  <c r="AA2811" i="1"/>
  <c r="AB2810" i="1"/>
  <c r="AA2810" i="1"/>
  <c r="AB2809" i="1"/>
  <c r="AA2809" i="1"/>
  <c r="AB2808" i="1"/>
  <c r="AA2808" i="1"/>
  <c r="AB2807" i="1"/>
  <c r="AA2807" i="1"/>
  <c r="AB2806" i="1"/>
  <c r="AA2806" i="1"/>
  <c r="AB2805" i="1"/>
  <c r="AA2805" i="1"/>
  <c r="AB2804" i="1"/>
  <c r="AA2804" i="1"/>
  <c r="AB2803" i="1"/>
  <c r="AA2803" i="1"/>
  <c r="AB2802" i="1"/>
  <c r="AA2802" i="1"/>
  <c r="AB2801" i="1"/>
  <c r="AA2801" i="1"/>
  <c r="AB2800" i="1"/>
  <c r="AA2800" i="1"/>
  <c r="AB2799" i="1"/>
  <c r="AA2799" i="1"/>
  <c r="AB2798" i="1"/>
  <c r="AA2798" i="1"/>
  <c r="AB2797" i="1"/>
  <c r="AA2797" i="1"/>
  <c r="AB2796" i="1"/>
  <c r="AA2796" i="1"/>
  <c r="AB2795" i="1"/>
  <c r="AA2795" i="1"/>
  <c r="AB2794" i="1"/>
  <c r="AA2794" i="1"/>
  <c r="AB2793" i="1"/>
  <c r="AA2793" i="1"/>
  <c r="AB2792" i="1"/>
  <c r="AA2792" i="1"/>
  <c r="AB2791" i="1"/>
  <c r="AA2791" i="1"/>
  <c r="AB2790" i="1"/>
  <c r="AA2790" i="1"/>
  <c r="AB2789" i="1"/>
  <c r="AA2789" i="1"/>
  <c r="AB2788" i="1"/>
  <c r="AA2788" i="1"/>
  <c r="AB2787" i="1"/>
  <c r="AA2787" i="1"/>
  <c r="AB2786" i="1"/>
  <c r="AA2786" i="1"/>
  <c r="AB2785" i="1"/>
  <c r="AA2785" i="1"/>
  <c r="AB2784" i="1"/>
  <c r="AA2784" i="1"/>
  <c r="AB2783" i="1"/>
  <c r="AA2783" i="1"/>
  <c r="AB2782" i="1"/>
  <c r="AA2782" i="1"/>
  <c r="AB2781" i="1"/>
  <c r="AA2781" i="1"/>
  <c r="AB2780" i="1"/>
  <c r="AA2780" i="1"/>
  <c r="AB2779" i="1"/>
  <c r="AA2779" i="1"/>
  <c r="AB2778" i="1"/>
  <c r="AA2778" i="1"/>
  <c r="AB2777" i="1"/>
  <c r="AA2777" i="1"/>
  <c r="AB2776" i="1"/>
  <c r="AA2776" i="1"/>
  <c r="AB2775" i="1"/>
  <c r="AA2775" i="1"/>
  <c r="AB2774" i="1"/>
  <c r="AA2774" i="1"/>
  <c r="AB2773" i="1"/>
  <c r="AA2773" i="1"/>
  <c r="AB2772" i="1"/>
  <c r="AA2772" i="1"/>
  <c r="AB2771" i="1"/>
  <c r="AA2771" i="1"/>
  <c r="AB2770" i="1"/>
  <c r="AA2770" i="1"/>
  <c r="AB2769" i="1"/>
  <c r="AA2769" i="1"/>
  <c r="AB2768" i="1"/>
  <c r="AA2768" i="1"/>
  <c r="AB2767" i="1"/>
  <c r="AA2767" i="1"/>
  <c r="AB2766" i="1"/>
  <c r="AA2766" i="1"/>
  <c r="AB2765" i="1"/>
  <c r="AA2765" i="1"/>
  <c r="AB2764" i="1"/>
  <c r="AA2764" i="1"/>
  <c r="AB2763" i="1"/>
  <c r="AA2763" i="1"/>
  <c r="AB2762" i="1"/>
  <c r="AA2762" i="1"/>
  <c r="AB2761" i="1"/>
  <c r="AA2761" i="1"/>
  <c r="AB2760" i="1"/>
  <c r="AA2760" i="1"/>
  <c r="AB2759" i="1"/>
  <c r="AA2759" i="1"/>
  <c r="AB2758" i="1"/>
  <c r="AA2758" i="1"/>
  <c r="AB2757" i="1"/>
  <c r="AA2757" i="1"/>
  <c r="AB2756" i="1"/>
  <c r="AA2756" i="1"/>
  <c r="AB2755" i="1"/>
  <c r="AA2755" i="1"/>
  <c r="AB2754" i="1"/>
  <c r="AA2754" i="1"/>
  <c r="AB2753" i="1"/>
  <c r="AA2753" i="1"/>
  <c r="AB2752" i="1"/>
  <c r="AA2752" i="1"/>
  <c r="AB2751" i="1"/>
  <c r="AA2751" i="1"/>
  <c r="AB2750" i="1"/>
  <c r="AA2750" i="1"/>
  <c r="AB2749" i="1"/>
  <c r="AA2749" i="1"/>
  <c r="AB2748" i="1"/>
  <c r="AA2748" i="1"/>
  <c r="AB2747" i="1"/>
  <c r="AA2747" i="1"/>
  <c r="AB2746" i="1"/>
  <c r="AA2746" i="1"/>
  <c r="AB2745" i="1"/>
  <c r="AA2745" i="1"/>
  <c r="AB2744" i="1"/>
  <c r="AA2744" i="1"/>
  <c r="AB2743" i="1"/>
  <c r="AA2743" i="1"/>
  <c r="AB2742" i="1"/>
  <c r="AA2742" i="1"/>
  <c r="AB2741" i="1"/>
  <c r="AA2741" i="1"/>
  <c r="AB2740" i="1"/>
  <c r="AA2740" i="1"/>
  <c r="AB2739" i="1"/>
  <c r="AA2739" i="1"/>
  <c r="AB2738" i="1"/>
  <c r="AA2738" i="1"/>
  <c r="AB2737" i="1"/>
  <c r="AA2737" i="1"/>
  <c r="AB2736" i="1"/>
  <c r="AA2736" i="1"/>
  <c r="AB2735" i="1"/>
  <c r="AA2735" i="1"/>
  <c r="AB2734" i="1"/>
  <c r="AA2734" i="1"/>
  <c r="AB2733" i="1"/>
  <c r="AA2733" i="1"/>
  <c r="AB2732" i="1"/>
  <c r="AA2732" i="1"/>
  <c r="AB2731" i="1"/>
  <c r="AA2731" i="1"/>
  <c r="AB2730" i="1"/>
  <c r="AA2730" i="1"/>
  <c r="AB2729" i="1"/>
  <c r="AA2729" i="1"/>
  <c r="AB2728" i="1"/>
  <c r="AA2728" i="1"/>
  <c r="AB2727" i="1"/>
  <c r="AA2727" i="1"/>
  <c r="AB2726" i="1"/>
  <c r="AA2726" i="1"/>
  <c r="AB2725" i="1"/>
  <c r="AA2725" i="1"/>
  <c r="AB2724" i="1"/>
  <c r="AA2724" i="1"/>
  <c r="AB2723" i="1"/>
  <c r="AA2723" i="1"/>
  <c r="AB2722" i="1"/>
  <c r="AA2722" i="1"/>
  <c r="AB2721" i="1"/>
  <c r="AA2721" i="1"/>
  <c r="AB2720" i="1"/>
  <c r="AA2720" i="1"/>
  <c r="AB2719" i="1"/>
  <c r="AA2719" i="1"/>
  <c r="AB2718" i="1"/>
  <c r="AA2718" i="1"/>
  <c r="AB2717" i="1"/>
  <c r="AA2717" i="1"/>
  <c r="AB2716" i="1"/>
  <c r="AA2716" i="1"/>
  <c r="AB2715" i="1"/>
  <c r="AA2715" i="1"/>
  <c r="AB2714" i="1"/>
  <c r="AA2714" i="1"/>
  <c r="AB2713" i="1"/>
  <c r="AA2713" i="1"/>
  <c r="AB2712" i="1"/>
  <c r="AA2712" i="1"/>
  <c r="AB2711" i="1"/>
  <c r="AA2711" i="1"/>
  <c r="AB2710" i="1"/>
  <c r="AA2710" i="1"/>
  <c r="AB2709" i="1"/>
  <c r="AA2709" i="1"/>
  <c r="AB2708" i="1"/>
  <c r="AA2708" i="1"/>
  <c r="AB2707" i="1"/>
  <c r="AA2707" i="1"/>
  <c r="AB2706" i="1"/>
  <c r="AA2706" i="1"/>
  <c r="AB2705" i="1"/>
  <c r="AA2705" i="1"/>
  <c r="AB2704" i="1"/>
  <c r="AA2704" i="1"/>
  <c r="AB2703" i="1"/>
  <c r="AA2703" i="1"/>
  <c r="AB2702" i="1"/>
  <c r="AA2702" i="1"/>
  <c r="AB2701" i="1"/>
  <c r="AA2701" i="1"/>
  <c r="AB2700" i="1"/>
  <c r="AA2700" i="1"/>
  <c r="AB2699" i="1"/>
  <c r="AA2699" i="1"/>
  <c r="AB2698" i="1"/>
  <c r="AA2698" i="1"/>
  <c r="AB2697" i="1"/>
  <c r="AA2697" i="1"/>
  <c r="AB2696" i="1"/>
  <c r="AA2696" i="1"/>
  <c r="AB2695" i="1"/>
  <c r="AA2695" i="1"/>
  <c r="AB2694" i="1"/>
  <c r="AA2694" i="1"/>
  <c r="AB2693" i="1"/>
  <c r="AA2693" i="1"/>
  <c r="AB2692" i="1"/>
  <c r="AA2692" i="1"/>
  <c r="AB2691" i="1"/>
  <c r="AA2691" i="1"/>
  <c r="AB2690" i="1"/>
  <c r="AA2690" i="1"/>
  <c r="AB2689" i="1"/>
  <c r="AA2689" i="1"/>
  <c r="AB2688" i="1"/>
  <c r="AA2688" i="1"/>
  <c r="AB2687" i="1"/>
  <c r="AA2687" i="1"/>
  <c r="AB2686" i="1"/>
  <c r="AA2686" i="1"/>
  <c r="AB2685" i="1"/>
  <c r="AA2685" i="1"/>
  <c r="AB2684" i="1"/>
  <c r="AA2684" i="1"/>
  <c r="AB2683" i="1"/>
  <c r="AA2683" i="1"/>
  <c r="AB2682" i="1"/>
  <c r="AA2682" i="1"/>
  <c r="AB2681" i="1"/>
  <c r="AA2681" i="1"/>
  <c r="AB2680" i="1"/>
  <c r="AA2680" i="1"/>
  <c r="AB2679" i="1"/>
  <c r="AA2679" i="1"/>
  <c r="AB2678" i="1"/>
  <c r="AA2678" i="1"/>
  <c r="AB2677" i="1"/>
  <c r="AA2677" i="1"/>
  <c r="AB2676" i="1"/>
  <c r="AA2676" i="1"/>
  <c r="AB2675" i="1"/>
  <c r="AA2675" i="1"/>
  <c r="AB2674" i="1"/>
  <c r="AA2674" i="1"/>
  <c r="AB2673" i="1"/>
  <c r="AA2673" i="1"/>
  <c r="AB2672" i="1"/>
  <c r="AA2672" i="1"/>
  <c r="AB2671" i="1"/>
  <c r="AA2671" i="1"/>
  <c r="AB2670" i="1"/>
  <c r="AA2670" i="1"/>
  <c r="AB2669" i="1"/>
  <c r="AA2669" i="1"/>
  <c r="AB2668" i="1"/>
  <c r="AA2668" i="1"/>
  <c r="AB2667" i="1"/>
  <c r="AA2667" i="1"/>
  <c r="AB2666" i="1"/>
  <c r="AA2666" i="1"/>
  <c r="AB2665" i="1"/>
  <c r="AA2665" i="1"/>
  <c r="AB2664" i="1"/>
  <c r="AA2664" i="1"/>
  <c r="AB2663" i="1"/>
  <c r="AA2663" i="1"/>
  <c r="AB2662" i="1"/>
  <c r="AA2662" i="1"/>
  <c r="AB2661" i="1"/>
  <c r="AA2661" i="1"/>
  <c r="AB2660" i="1"/>
  <c r="AA2660" i="1"/>
  <c r="AB2659" i="1"/>
  <c r="AA2659" i="1"/>
  <c r="AB2658" i="1"/>
  <c r="AA2658" i="1"/>
  <c r="AB2657" i="1"/>
  <c r="AA2657" i="1"/>
  <c r="AB2656" i="1"/>
  <c r="AA2656" i="1"/>
  <c r="AB2655" i="1"/>
  <c r="AA2655" i="1"/>
  <c r="AB2654" i="1"/>
  <c r="AA2654" i="1"/>
  <c r="AB2653" i="1"/>
  <c r="AA2653" i="1"/>
  <c r="AB2652" i="1"/>
  <c r="AA2652" i="1"/>
  <c r="AB2651" i="1"/>
  <c r="AA2651" i="1"/>
  <c r="AB2650" i="1"/>
  <c r="AA2650" i="1"/>
  <c r="AB2649" i="1"/>
  <c r="AA2649" i="1"/>
  <c r="AB2648" i="1"/>
  <c r="AA2648" i="1"/>
  <c r="AB2647" i="1"/>
  <c r="AA2647" i="1"/>
  <c r="AB2646" i="1"/>
  <c r="AA2646" i="1"/>
  <c r="AB2645" i="1"/>
  <c r="AA2645" i="1"/>
  <c r="AB2644" i="1"/>
  <c r="AA2644" i="1"/>
  <c r="AB2643" i="1"/>
  <c r="AA2643" i="1"/>
  <c r="AB2642" i="1"/>
  <c r="AA2642" i="1"/>
  <c r="AB2641" i="1"/>
  <c r="AA2641" i="1"/>
  <c r="AB2640" i="1"/>
  <c r="AA2640" i="1"/>
  <c r="AB2639" i="1"/>
  <c r="AA2639" i="1"/>
  <c r="AB2638" i="1"/>
  <c r="AA2638" i="1"/>
  <c r="AB2637" i="1"/>
  <c r="AA2637" i="1"/>
  <c r="AB2636" i="1"/>
  <c r="AA2636" i="1"/>
  <c r="AB2635" i="1"/>
  <c r="AA2635" i="1"/>
  <c r="AB2634" i="1"/>
  <c r="AA2634" i="1"/>
  <c r="AB2633" i="1"/>
  <c r="AA2633" i="1"/>
  <c r="AB2632" i="1"/>
  <c r="AA2632" i="1"/>
  <c r="AB2631" i="1"/>
  <c r="AA2631" i="1"/>
  <c r="AB2630" i="1"/>
  <c r="AA2630" i="1"/>
  <c r="AB2629" i="1"/>
  <c r="AA2629" i="1"/>
  <c r="AB2628" i="1"/>
  <c r="AA2628" i="1"/>
  <c r="AB2627" i="1"/>
  <c r="AA2627" i="1"/>
  <c r="AB2626" i="1"/>
  <c r="AA2626" i="1"/>
  <c r="AB2625" i="1"/>
  <c r="AA2625" i="1"/>
  <c r="AB2624" i="1"/>
  <c r="AA2624" i="1"/>
  <c r="AB2623" i="1"/>
  <c r="AA2623" i="1"/>
  <c r="AB2622" i="1"/>
  <c r="AA2622" i="1"/>
  <c r="AB2621" i="1"/>
  <c r="AA2621" i="1"/>
  <c r="AB2620" i="1"/>
  <c r="AA2620" i="1"/>
  <c r="AB2619" i="1"/>
  <c r="AA2619" i="1"/>
  <c r="AB2618" i="1"/>
  <c r="AA2618" i="1"/>
  <c r="AB2617" i="1"/>
  <c r="AA2617" i="1"/>
  <c r="AB2616" i="1"/>
  <c r="AA2616" i="1"/>
  <c r="AB2615" i="1"/>
  <c r="AA2615" i="1"/>
  <c r="AB2614" i="1"/>
  <c r="AA2614" i="1"/>
  <c r="AB2613" i="1"/>
  <c r="AA2613" i="1"/>
  <c r="AB2612" i="1"/>
  <c r="AA2612" i="1"/>
  <c r="AB2611" i="1"/>
  <c r="AA2611" i="1"/>
  <c r="AB2610" i="1"/>
  <c r="AA2610" i="1"/>
  <c r="AB2609" i="1"/>
  <c r="AA2609" i="1"/>
  <c r="AB2608" i="1"/>
  <c r="AA2608" i="1"/>
  <c r="AB2607" i="1"/>
  <c r="AA2607" i="1"/>
  <c r="AB2606" i="1"/>
  <c r="AA2606" i="1"/>
  <c r="AB2605" i="1"/>
  <c r="AA2605" i="1"/>
  <c r="AB2604" i="1"/>
  <c r="AA2604" i="1"/>
  <c r="AB2603" i="1"/>
  <c r="AA2603" i="1"/>
  <c r="AB2602" i="1"/>
  <c r="AA2602" i="1"/>
  <c r="AB2601" i="1"/>
  <c r="AA2601" i="1"/>
  <c r="AB2600" i="1"/>
  <c r="AA2600" i="1"/>
  <c r="AB2599" i="1"/>
  <c r="AA2599" i="1"/>
  <c r="AB2598" i="1"/>
  <c r="AA2598" i="1"/>
  <c r="AB2597" i="1"/>
  <c r="AA2597" i="1"/>
  <c r="AB2596" i="1"/>
  <c r="AA2596" i="1"/>
  <c r="AB2595" i="1"/>
  <c r="AA2595" i="1"/>
  <c r="AB2594" i="1"/>
  <c r="AA2594" i="1"/>
  <c r="AB2593" i="1"/>
  <c r="AA2593" i="1"/>
  <c r="AB2592" i="1"/>
  <c r="AA2592" i="1"/>
  <c r="AB2591" i="1"/>
  <c r="AA2591" i="1"/>
  <c r="AB2590" i="1"/>
  <c r="AA2590" i="1"/>
  <c r="AB2589" i="1"/>
  <c r="AA2589" i="1"/>
  <c r="AB2588" i="1"/>
  <c r="AA2588" i="1"/>
  <c r="AB2587" i="1"/>
  <c r="AA2587" i="1"/>
  <c r="AB2586" i="1"/>
  <c r="AA2586" i="1"/>
  <c r="AB2585" i="1"/>
  <c r="AA2585" i="1"/>
  <c r="AB2584" i="1"/>
  <c r="AA2584" i="1"/>
  <c r="AB2583" i="1"/>
  <c r="AA2583" i="1"/>
  <c r="AB2582" i="1"/>
  <c r="AA2582" i="1"/>
  <c r="AB2581" i="1"/>
  <c r="AA2581" i="1"/>
  <c r="AB2580" i="1"/>
  <c r="AA2580" i="1"/>
  <c r="AB2579" i="1"/>
  <c r="AA2579" i="1"/>
  <c r="AB2578" i="1"/>
  <c r="AA2578" i="1"/>
  <c r="AB2577" i="1"/>
  <c r="AA2577" i="1"/>
  <c r="AB2576" i="1"/>
  <c r="AA2576" i="1"/>
  <c r="AB2575" i="1"/>
  <c r="AA2575" i="1"/>
  <c r="AB2574" i="1"/>
  <c r="AA2574" i="1"/>
  <c r="AB2573" i="1"/>
  <c r="AA2573" i="1"/>
  <c r="AB2572" i="1"/>
  <c r="AA2572" i="1"/>
  <c r="AB2571" i="1"/>
  <c r="AA2571" i="1"/>
  <c r="AB2570" i="1"/>
  <c r="AA2570" i="1"/>
  <c r="AB2569" i="1"/>
  <c r="AA2569" i="1"/>
  <c r="AB2568" i="1"/>
  <c r="AA2568" i="1"/>
  <c r="AB2567" i="1"/>
  <c r="AA2567" i="1"/>
  <c r="AB2566" i="1"/>
  <c r="AA2566" i="1"/>
  <c r="AB2565" i="1"/>
  <c r="AA2565" i="1"/>
  <c r="AB2564" i="1"/>
  <c r="AA2564" i="1"/>
  <c r="AB2563" i="1"/>
  <c r="AA2563" i="1"/>
  <c r="AB2562" i="1"/>
  <c r="AA2562" i="1"/>
  <c r="AB2561" i="1"/>
  <c r="AA2561" i="1"/>
  <c r="AB2560" i="1"/>
  <c r="AA2560" i="1"/>
  <c r="AB2559" i="1"/>
  <c r="AA2559" i="1"/>
  <c r="AB2558" i="1"/>
  <c r="AA2558" i="1"/>
  <c r="AB2557" i="1"/>
  <c r="AA2557" i="1"/>
  <c r="AB2556" i="1"/>
  <c r="AA2556" i="1"/>
  <c r="AB2555" i="1"/>
  <c r="AA2555" i="1"/>
  <c r="AB2554" i="1"/>
  <c r="AA2554" i="1"/>
  <c r="AB2553" i="1"/>
  <c r="AA2553" i="1"/>
  <c r="AB2552" i="1"/>
  <c r="AA2552" i="1"/>
  <c r="AB2551" i="1"/>
  <c r="AA2551" i="1"/>
  <c r="AB2550" i="1"/>
  <c r="AA2550" i="1"/>
  <c r="AB2549" i="1"/>
  <c r="AA2549" i="1"/>
  <c r="AB2548" i="1"/>
  <c r="AA2548" i="1"/>
  <c r="AB2547" i="1"/>
  <c r="AA2547" i="1"/>
  <c r="AB2546" i="1"/>
  <c r="AA2546" i="1"/>
  <c r="AB2545" i="1"/>
  <c r="AA2545" i="1"/>
  <c r="AB2544" i="1"/>
  <c r="AA2544" i="1"/>
  <c r="AB2543" i="1"/>
  <c r="AA2543" i="1"/>
  <c r="AB2542" i="1"/>
  <c r="AA2542" i="1"/>
  <c r="AB2541" i="1"/>
  <c r="AA2541" i="1"/>
  <c r="AB2540" i="1"/>
  <c r="AA2540" i="1"/>
  <c r="AB2539" i="1"/>
  <c r="AA2539" i="1"/>
  <c r="AB2538" i="1"/>
  <c r="AA2538" i="1"/>
  <c r="AB2537" i="1"/>
  <c r="AA2537" i="1"/>
  <c r="AB2536" i="1"/>
  <c r="AA2536" i="1"/>
  <c r="AB2535" i="1"/>
  <c r="AA2535" i="1"/>
  <c r="AB2534" i="1"/>
  <c r="AA2534" i="1"/>
  <c r="AB2533" i="1"/>
  <c r="AA2533" i="1"/>
  <c r="AB2532" i="1"/>
  <c r="AA2532" i="1"/>
  <c r="AB2531" i="1"/>
  <c r="AA2531" i="1"/>
  <c r="AB2530" i="1"/>
  <c r="AA2530" i="1"/>
  <c r="AB2529" i="1"/>
  <c r="AA2529" i="1"/>
  <c r="AB2528" i="1"/>
  <c r="AA2528" i="1"/>
  <c r="AB2527" i="1"/>
  <c r="AA2527" i="1"/>
  <c r="AB2526" i="1"/>
  <c r="AA2526" i="1"/>
  <c r="AB2525" i="1"/>
  <c r="AA2525" i="1"/>
  <c r="AB2524" i="1"/>
  <c r="AA2524" i="1"/>
  <c r="AB2523" i="1"/>
  <c r="AA2523" i="1"/>
  <c r="AB2522" i="1"/>
  <c r="AA2522" i="1"/>
  <c r="AB2521" i="1"/>
  <c r="AA2521" i="1"/>
  <c r="AB2520" i="1"/>
  <c r="AA2520" i="1"/>
  <c r="AB2519" i="1"/>
  <c r="AA2519" i="1"/>
  <c r="AB2518" i="1"/>
  <c r="AA2518" i="1"/>
  <c r="AB2517" i="1"/>
  <c r="AA2517" i="1"/>
  <c r="AB2516" i="1"/>
  <c r="AA2516" i="1"/>
  <c r="AB2515" i="1"/>
  <c r="AA2515" i="1"/>
  <c r="AB2514" i="1"/>
  <c r="AA2514" i="1"/>
  <c r="AB2513" i="1"/>
  <c r="AA2513" i="1"/>
  <c r="AB2512" i="1"/>
  <c r="AA2512" i="1"/>
  <c r="AB2511" i="1"/>
  <c r="AA2511" i="1"/>
  <c r="AB2510" i="1"/>
  <c r="AA2510" i="1"/>
  <c r="AB2509" i="1"/>
  <c r="AA2509" i="1"/>
  <c r="AB2508" i="1"/>
  <c r="AA2508" i="1"/>
  <c r="AB2507" i="1"/>
  <c r="AA2507" i="1"/>
  <c r="AB2506" i="1"/>
  <c r="AA2506" i="1"/>
  <c r="AB2505" i="1"/>
  <c r="AA2505" i="1"/>
  <c r="AB2504" i="1"/>
  <c r="AA2504" i="1"/>
  <c r="AB2503" i="1"/>
  <c r="AA2503" i="1"/>
  <c r="AB2502" i="1"/>
  <c r="AA2502" i="1"/>
  <c r="AB2501" i="1"/>
  <c r="AA2501" i="1"/>
  <c r="AB2500" i="1"/>
  <c r="AA2500" i="1"/>
  <c r="AB2499" i="1"/>
  <c r="AA2499" i="1"/>
  <c r="AB2498" i="1"/>
  <c r="AA2498" i="1"/>
  <c r="AB2497" i="1"/>
  <c r="AA2497" i="1"/>
  <c r="AB2496" i="1"/>
  <c r="AA2496" i="1"/>
  <c r="AB2495" i="1"/>
  <c r="AA2495" i="1"/>
  <c r="AB2494" i="1"/>
  <c r="AA2494" i="1"/>
  <c r="AB2493" i="1"/>
  <c r="AA2493" i="1"/>
  <c r="AB2492" i="1"/>
  <c r="AA2492" i="1"/>
  <c r="AB2491" i="1"/>
  <c r="AA2491" i="1"/>
  <c r="AB2490" i="1"/>
  <c r="AA2490" i="1"/>
  <c r="AB2489" i="1"/>
  <c r="AA2489" i="1"/>
  <c r="AB2488" i="1"/>
  <c r="AA2488" i="1"/>
  <c r="AB2487" i="1"/>
  <c r="AA2487" i="1"/>
  <c r="AB2486" i="1"/>
  <c r="AA2486" i="1"/>
  <c r="AB2485" i="1"/>
  <c r="AA2485" i="1"/>
  <c r="AB2484" i="1"/>
  <c r="AA2484" i="1"/>
  <c r="AB2483" i="1"/>
  <c r="AA2483" i="1"/>
  <c r="AB2482" i="1"/>
  <c r="AA2482" i="1"/>
  <c r="AB2481" i="1"/>
  <c r="AA2481" i="1"/>
  <c r="AB2480" i="1"/>
  <c r="AA2480" i="1"/>
  <c r="AB2479" i="1"/>
  <c r="AA2479" i="1"/>
  <c r="AB2478" i="1"/>
  <c r="AA2478" i="1"/>
  <c r="AB2477" i="1"/>
  <c r="AA2477" i="1"/>
  <c r="AB2476" i="1"/>
  <c r="AA2476" i="1"/>
  <c r="AB2475" i="1"/>
  <c r="AA2475" i="1"/>
  <c r="AB2474" i="1"/>
  <c r="AA2474" i="1"/>
  <c r="AB2473" i="1"/>
  <c r="AA2473" i="1"/>
  <c r="AB2472" i="1"/>
  <c r="AA2472" i="1"/>
  <c r="AB2471" i="1"/>
  <c r="AA2471" i="1"/>
  <c r="AB2470" i="1"/>
  <c r="AA2470" i="1"/>
  <c r="AB2469" i="1"/>
  <c r="AA2469" i="1"/>
  <c r="AB2468" i="1"/>
  <c r="AA2468" i="1"/>
  <c r="AB2467" i="1"/>
  <c r="AA2467" i="1"/>
  <c r="AB2466" i="1"/>
  <c r="AA2466" i="1"/>
  <c r="AB2465" i="1"/>
  <c r="AA2465" i="1"/>
  <c r="AB2464" i="1"/>
  <c r="AA2464" i="1"/>
  <c r="AB2463" i="1"/>
  <c r="AA2463" i="1"/>
  <c r="AB2462" i="1"/>
  <c r="AA2462" i="1"/>
  <c r="AB2461" i="1"/>
  <c r="AA2461" i="1"/>
  <c r="AB2460" i="1"/>
  <c r="AA2460" i="1"/>
  <c r="AB2459" i="1"/>
  <c r="AA2459" i="1"/>
  <c r="AB2458" i="1"/>
  <c r="AA2458" i="1"/>
  <c r="AB2457" i="1"/>
  <c r="AA2457" i="1"/>
  <c r="AB2456" i="1"/>
  <c r="AA2456" i="1"/>
  <c r="AB2455" i="1"/>
  <c r="AA2455" i="1"/>
  <c r="AB2454" i="1"/>
  <c r="AA2454" i="1"/>
  <c r="AB2453" i="1"/>
  <c r="AA2453" i="1"/>
  <c r="AB2452" i="1"/>
  <c r="AA2452" i="1"/>
  <c r="AB2451" i="1"/>
  <c r="AA2451" i="1"/>
  <c r="AB2450" i="1"/>
  <c r="AA2450" i="1"/>
  <c r="AB2449" i="1"/>
  <c r="AA2449" i="1"/>
  <c r="AB2448" i="1"/>
  <c r="AA2448" i="1"/>
  <c r="AB2447" i="1"/>
  <c r="AA2447" i="1"/>
  <c r="AB2446" i="1"/>
  <c r="AA2446" i="1"/>
  <c r="AB2445" i="1"/>
  <c r="AA2445" i="1"/>
  <c r="AB2444" i="1"/>
  <c r="AA2444" i="1"/>
  <c r="AB2443" i="1"/>
  <c r="AA2443" i="1"/>
  <c r="AB2442" i="1"/>
  <c r="AA2442" i="1"/>
  <c r="AB2441" i="1"/>
  <c r="AA2441" i="1"/>
  <c r="AB2440" i="1"/>
  <c r="AA2440" i="1"/>
  <c r="AB2439" i="1"/>
  <c r="AA2439" i="1"/>
  <c r="AB2438" i="1"/>
  <c r="AA2438" i="1"/>
  <c r="AB2437" i="1"/>
  <c r="AA2437" i="1"/>
  <c r="AB2436" i="1"/>
  <c r="AA2436" i="1"/>
  <c r="AB2435" i="1"/>
  <c r="AA2435" i="1"/>
  <c r="AB2434" i="1"/>
  <c r="AA2434" i="1"/>
  <c r="AB2433" i="1"/>
  <c r="AA2433" i="1"/>
  <c r="AB2432" i="1"/>
  <c r="AA2432" i="1"/>
  <c r="AB2431" i="1"/>
  <c r="AA2431" i="1"/>
  <c r="AB2430" i="1"/>
  <c r="AA2430" i="1"/>
  <c r="AB2429" i="1"/>
  <c r="AA2429" i="1"/>
  <c r="AB2428" i="1"/>
  <c r="AA2428" i="1"/>
  <c r="AB2427" i="1"/>
  <c r="AA2427" i="1"/>
  <c r="AB2426" i="1"/>
  <c r="AA2426" i="1"/>
  <c r="AB2425" i="1"/>
  <c r="AA2425" i="1"/>
  <c r="AB2424" i="1"/>
  <c r="AA2424" i="1"/>
  <c r="AB2423" i="1"/>
  <c r="AA2423" i="1"/>
  <c r="AB2422" i="1"/>
  <c r="AA2422" i="1"/>
  <c r="AB2421" i="1"/>
  <c r="AA2421" i="1"/>
  <c r="AB2420" i="1"/>
  <c r="AA2420" i="1"/>
  <c r="AB2419" i="1"/>
  <c r="AA2419" i="1"/>
  <c r="AB2418" i="1"/>
  <c r="AA2418" i="1"/>
  <c r="AB2417" i="1"/>
  <c r="AA2417" i="1"/>
  <c r="AB2416" i="1"/>
  <c r="AA2416" i="1"/>
  <c r="AB2415" i="1"/>
  <c r="AA2415" i="1"/>
  <c r="AB2414" i="1"/>
  <c r="AA2414" i="1"/>
  <c r="AB2413" i="1"/>
  <c r="AA2413" i="1"/>
  <c r="AB2412" i="1"/>
  <c r="AA2412" i="1"/>
  <c r="AB2411" i="1"/>
  <c r="AA2411" i="1"/>
  <c r="AB2410" i="1"/>
  <c r="AA2410" i="1"/>
  <c r="AB2409" i="1"/>
  <c r="AA2409" i="1"/>
  <c r="AB2408" i="1"/>
  <c r="AA2408" i="1"/>
  <c r="AB2407" i="1"/>
  <c r="AA2407" i="1"/>
  <c r="AB2406" i="1"/>
  <c r="AA2406" i="1"/>
  <c r="AB2405" i="1"/>
  <c r="AA2405" i="1"/>
  <c r="AB2404" i="1"/>
  <c r="AA2404" i="1"/>
  <c r="AB2403" i="1"/>
  <c r="AA2403" i="1"/>
  <c r="AB2402" i="1"/>
  <c r="AA2402" i="1"/>
  <c r="AB2401" i="1"/>
  <c r="AA2401" i="1"/>
  <c r="AB2400" i="1"/>
  <c r="AA2400" i="1"/>
  <c r="AB2399" i="1"/>
  <c r="AA2399" i="1"/>
  <c r="AB2398" i="1"/>
  <c r="AA2398" i="1"/>
  <c r="AB2397" i="1"/>
  <c r="AA2397" i="1"/>
  <c r="AB2396" i="1"/>
  <c r="AA2396" i="1"/>
  <c r="AB2395" i="1"/>
  <c r="AA2395" i="1"/>
  <c r="AB2394" i="1"/>
  <c r="AA2394" i="1"/>
  <c r="AB2393" i="1"/>
  <c r="AA2393" i="1"/>
  <c r="AB2392" i="1"/>
  <c r="AA2392" i="1"/>
  <c r="AB2391" i="1"/>
  <c r="AA2391" i="1"/>
  <c r="AB2390" i="1"/>
  <c r="AA2390" i="1"/>
  <c r="AB2389" i="1"/>
  <c r="AA2389" i="1"/>
  <c r="AB2388" i="1"/>
  <c r="AA2388" i="1"/>
  <c r="AB2387" i="1"/>
  <c r="AA2387" i="1"/>
  <c r="AB2386" i="1"/>
  <c r="AA2386" i="1"/>
  <c r="AB2385" i="1"/>
  <c r="AA2385" i="1"/>
  <c r="AB2384" i="1"/>
  <c r="AA2384" i="1"/>
  <c r="AB2383" i="1"/>
  <c r="AA2383" i="1"/>
  <c r="AB2382" i="1"/>
  <c r="AA2382" i="1"/>
  <c r="AB2381" i="1"/>
  <c r="AA2381" i="1"/>
  <c r="AB2380" i="1"/>
  <c r="AA2380" i="1"/>
  <c r="AB2379" i="1"/>
  <c r="AA2379" i="1"/>
  <c r="AB2378" i="1"/>
  <c r="AA2378" i="1"/>
  <c r="AB2377" i="1"/>
  <c r="AA2377" i="1"/>
  <c r="AB2376" i="1"/>
  <c r="AA2376" i="1"/>
  <c r="AB2375" i="1"/>
  <c r="AA2375" i="1"/>
  <c r="AB2374" i="1"/>
  <c r="AA2374" i="1"/>
  <c r="AB2373" i="1"/>
  <c r="AA2373" i="1"/>
  <c r="AB2372" i="1"/>
  <c r="AA2372" i="1"/>
  <c r="AB2371" i="1"/>
  <c r="AA2371" i="1"/>
  <c r="AB2370" i="1"/>
  <c r="AA2370" i="1"/>
  <c r="AB2369" i="1"/>
  <c r="AA2369" i="1"/>
  <c r="AB2368" i="1"/>
  <c r="AA2368" i="1"/>
  <c r="AB2367" i="1"/>
  <c r="AA2367" i="1"/>
  <c r="AB2366" i="1"/>
  <c r="AA2366" i="1"/>
  <c r="AB2365" i="1"/>
  <c r="AA2365" i="1"/>
  <c r="AB2364" i="1"/>
  <c r="AA2364" i="1"/>
  <c r="AB2363" i="1"/>
  <c r="AA2363" i="1"/>
  <c r="AB2362" i="1"/>
  <c r="AA2362" i="1"/>
  <c r="AB2361" i="1"/>
  <c r="AA2361" i="1"/>
  <c r="AB2360" i="1"/>
  <c r="AA2360" i="1"/>
  <c r="AB2359" i="1"/>
  <c r="AA2359" i="1"/>
  <c r="AB2358" i="1"/>
  <c r="AA2358" i="1"/>
  <c r="AB2357" i="1"/>
  <c r="AA2357" i="1"/>
  <c r="AB2356" i="1"/>
  <c r="AA2356" i="1"/>
  <c r="AB2355" i="1"/>
  <c r="AA2355" i="1"/>
  <c r="AB2354" i="1"/>
  <c r="AA2354" i="1"/>
  <c r="AB2353" i="1"/>
  <c r="AA2353" i="1"/>
  <c r="AB2352" i="1"/>
  <c r="AA2352" i="1"/>
  <c r="AB2351" i="1"/>
  <c r="AA2351" i="1"/>
  <c r="AB2350" i="1"/>
  <c r="AA2350" i="1"/>
  <c r="AB2349" i="1"/>
  <c r="AA2349" i="1"/>
  <c r="AB2348" i="1"/>
  <c r="AA2348" i="1"/>
  <c r="AB2347" i="1"/>
  <c r="AA2347" i="1"/>
  <c r="AB2346" i="1"/>
  <c r="AA2346" i="1"/>
  <c r="AB2345" i="1"/>
  <c r="AA2345" i="1"/>
  <c r="AB2344" i="1"/>
  <c r="AA2344" i="1"/>
  <c r="AB2343" i="1"/>
  <c r="AA2343" i="1"/>
  <c r="AB2342" i="1"/>
  <c r="AA2342" i="1"/>
  <c r="AB2341" i="1"/>
  <c r="AA2341" i="1"/>
  <c r="AB2340" i="1"/>
  <c r="AA2340" i="1"/>
  <c r="AB2339" i="1"/>
  <c r="AA2339" i="1"/>
  <c r="AB2338" i="1"/>
  <c r="AA2338" i="1"/>
  <c r="AB2337" i="1"/>
  <c r="AA2337" i="1"/>
  <c r="AB2336" i="1"/>
  <c r="AA2336" i="1"/>
  <c r="AB2335" i="1"/>
  <c r="AA2335" i="1"/>
  <c r="AB2334" i="1"/>
  <c r="AA2334" i="1"/>
  <c r="AB2333" i="1"/>
  <c r="AA2333" i="1"/>
  <c r="AB2332" i="1"/>
  <c r="AA2332" i="1"/>
  <c r="AB2331" i="1"/>
  <c r="AA2331" i="1"/>
  <c r="AB2330" i="1"/>
  <c r="AA2330" i="1"/>
  <c r="AB2329" i="1"/>
  <c r="AA2329" i="1"/>
  <c r="AB2328" i="1"/>
  <c r="AA2328" i="1"/>
  <c r="AB2327" i="1"/>
  <c r="AA2327" i="1"/>
  <c r="AB2326" i="1"/>
  <c r="AA2326" i="1"/>
  <c r="AB2325" i="1"/>
  <c r="AA2325" i="1"/>
  <c r="AB2324" i="1"/>
  <c r="AA2324" i="1"/>
  <c r="AB2323" i="1"/>
  <c r="AA2323" i="1"/>
  <c r="AB2322" i="1"/>
  <c r="AA2322" i="1"/>
  <c r="AB2321" i="1"/>
  <c r="AA2321" i="1"/>
  <c r="AB2320" i="1"/>
  <c r="AA2320" i="1"/>
  <c r="AB2319" i="1"/>
  <c r="AA2319" i="1"/>
  <c r="AB2318" i="1"/>
  <c r="AA2318" i="1"/>
  <c r="AB2317" i="1"/>
  <c r="AA2317" i="1"/>
  <c r="AB2316" i="1"/>
  <c r="AA2316" i="1"/>
  <c r="AB2315" i="1"/>
  <c r="AA2315" i="1"/>
  <c r="AB2314" i="1"/>
  <c r="AA2314" i="1"/>
  <c r="AB2313" i="1"/>
  <c r="AA2313" i="1"/>
  <c r="AB2312" i="1"/>
  <c r="AA2312" i="1"/>
  <c r="AB2311" i="1"/>
  <c r="AA2311" i="1"/>
  <c r="AB2310" i="1"/>
  <c r="AA2310" i="1"/>
  <c r="AB2309" i="1"/>
  <c r="AA2309" i="1"/>
  <c r="AB2308" i="1"/>
  <c r="AA2308" i="1"/>
  <c r="AB2307" i="1"/>
  <c r="AA2307" i="1"/>
  <c r="AB2306" i="1"/>
  <c r="AA2306" i="1"/>
  <c r="AB2305" i="1"/>
  <c r="AA2305" i="1"/>
  <c r="AB2304" i="1"/>
  <c r="AA2304" i="1"/>
  <c r="AB2303" i="1"/>
  <c r="AA2303" i="1"/>
  <c r="AB2302" i="1"/>
  <c r="AA2302" i="1"/>
  <c r="AB2301" i="1"/>
  <c r="AA2301" i="1"/>
  <c r="AB2300" i="1"/>
  <c r="AA2300" i="1"/>
  <c r="AB2299" i="1"/>
  <c r="AA2299" i="1"/>
  <c r="AB2298" i="1"/>
  <c r="AA2298" i="1"/>
  <c r="AB2297" i="1"/>
  <c r="AA2297" i="1"/>
  <c r="AB2296" i="1"/>
  <c r="AA2296" i="1"/>
  <c r="AB2295" i="1"/>
  <c r="AA2295" i="1"/>
  <c r="AB2294" i="1"/>
  <c r="AA2294" i="1"/>
  <c r="AB2293" i="1"/>
  <c r="AA2293" i="1"/>
  <c r="AB2292" i="1"/>
  <c r="AA2292" i="1"/>
  <c r="AB2291" i="1"/>
  <c r="AA2291" i="1"/>
  <c r="AB2290" i="1"/>
  <c r="AA2290" i="1"/>
  <c r="AB2289" i="1"/>
  <c r="AA2289" i="1"/>
  <c r="AB2288" i="1"/>
  <c r="AA2288" i="1"/>
  <c r="AB2287" i="1"/>
  <c r="AA2287" i="1"/>
  <c r="AB2286" i="1"/>
  <c r="AA2286" i="1"/>
  <c r="AB2285" i="1"/>
  <c r="AA2285" i="1"/>
  <c r="AB2284" i="1"/>
  <c r="AA2284" i="1"/>
  <c r="AB2283" i="1"/>
  <c r="AA2283" i="1"/>
  <c r="AB2282" i="1"/>
  <c r="AA2282" i="1"/>
  <c r="AB2281" i="1"/>
  <c r="AA2281" i="1"/>
  <c r="AB2280" i="1"/>
  <c r="AA2280" i="1"/>
  <c r="AB2279" i="1"/>
  <c r="AA2279" i="1"/>
  <c r="AB2278" i="1"/>
  <c r="AA2278" i="1"/>
  <c r="AB2277" i="1"/>
  <c r="AA2277" i="1"/>
  <c r="AB2276" i="1"/>
  <c r="AA2276" i="1"/>
  <c r="AB2275" i="1"/>
  <c r="AA2275" i="1"/>
  <c r="AB2274" i="1"/>
  <c r="AA2274" i="1"/>
  <c r="AB2273" i="1"/>
  <c r="AA2273" i="1"/>
  <c r="AB2272" i="1"/>
  <c r="AA2272" i="1"/>
  <c r="AB2271" i="1"/>
  <c r="AA2271" i="1"/>
  <c r="AB2270" i="1"/>
  <c r="AA2270" i="1"/>
  <c r="AB2269" i="1"/>
  <c r="AA2269" i="1"/>
  <c r="AB2268" i="1"/>
  <c r="AA2268" i="1"/>
  <c r="AB2267" i="1"/>
  <c r="AA2267" i="1"/>
  <c r="AB2266" i="1"/>
  <c r="AA2266" i="1"/>
  <c r="AB2265" i="1"/>
  <c r="AA2265" i="1"/>
  <c r="AB2264" i="1"/>
  <c r="AA2264" i="1"/>
  <c r="AB2263" i="1"/>
  <c r="AA2263" i="1"/>
  <c r="AB2262" i="1"/>
  <c r="AA2262" i="1"/>
  <c r="AB2261" i="1"/>
  <c r="AA2261" i="1"/>
  <c r="AB2260" i="1"/>
  <c r="AA2260" i="1"/>
  <c r="AB2259" i="1"/>
  <c r="AA2259" i="1"/>
  <c r="AB2258" i="1"/>
  <c r="AA2258" i="1"/>
  <c r="AB2257" i="1"/>
  <c r="AA2257" i="1"/>
  <c r="AB2256" i="1"/>
  <c r="AA2256" i="1"/>
  <c r="AB2255" i="1"/>
  <c r="AA2255" i="1"/>
  <c r="AB2254" i="1"/>
  <c r="AA2254" i="1"/>
  <c r="AB2253" i="1"/>
  <c r="AA2253" i="1"/>
  <c r="AB2252" i="1"/>
  <c r="AA2252" i="1"/>
  <c r="AB2251" i="1"/>
  <c r="AA2251" i="1"/>
  <c r="AB2250" i="1"/>
  <c r="AA2250" i="1"/>
  <c r="AB2249" i="1"/>
  <c r="AA2249" i="1"/>
  <c r="AB2248" i="1"/>
  <c r="AA2248" i="1"/>
  <c r="AB2247" i="1"/>
  <c r="AA2247" i="1"/>
  <c r="AB2246" i="1"/>
  <c r="AA2246" i="1"/>
  <c r="AB2245" i="1"/>
  <c r="AA2245" i="1"/>
  <c r="AB2244" i="1"/>
  <c r="AA2244" i="1"/>
  <c r="AB2243" i="1"/>
  <c r="AA2243" i="1"/>
  <c r="AB2242" i="1"/>
  <c r="AA2242" i="1"/>
  <c r="AB2241" i="1"/>
  <c r="AA2241" i="1"/>
  <c r="AB2240" i="1"/>
  <c r="AA2240" i="1"/>
  <c r="AB2239" i="1"/>
  <c r="AA2239" i="1"/>
  <c r="AB2238" i="1"/>
  <c r="AA2238" i="1"/>
  <c r="AB2237" i="1"/>
  <c r="AA2237" i="1"/>
  <c r="AB2236" i="1"/>
  <c r="AA2236" i="1"/>
  <c r="AB2235" i="1"/>
  <c r="AA2235" i="1"/>
  <c r="AB2234" i="1"/>
  <c r="AA2234" i="1"/>
  <c r="AB2233" i="1"/>
  <c r="AA2233" i="1"/>
  <c r="AB2232" i="1"/>
  <c r="AA2232" i="1"/>
  <c r="AB2231" i="1"/>
  <c r="AA2231" i="1"/>
  <c r="AB2230" i="1"/>
  <c r="AA2230" i="1"/>
  <c r="AB2229" i="1"/>
  <c r="AA2229" i="1"/>
  <c r="AB2228" i="1"/>
  <c r="AA2228" i="1"/>
  <c r="AB2227" i="1"/>
  <c r="AA2227" i="1"/>
  <c r="AB2226" i="1"/>
  <c r="AA2226" i="1"/>
  <c r="AB2225" i="1"/>
  <c r="AA2225" i="1"/>
  <c r="AB2224" i="1"/>
  <c r="AA2224" i="1"/>
  <c r="AB2223" i="1"/>
  <c r="AA2223" i="1"/>
  <c r="AB2222" i="1"/>
  <c r="AA2222" i="1"/>
  <c r="AB2221" i="1"/>
  <c r="AA2221" i="1"/>
  <c r="AB2220" i="1"/>
  <c r="AA2220" i="1"/>
  <c r="AB2219" i="1"/>
  <c r="AA2219" i="1"/>
  <c r="AB2218" i="1"/>
  <c r="AA2218" i="1"/>
  <c r="AB2217" i="1"/>
  <c r="AA2217" i="1"/>
  <c r="AB2216" i="1"/>
  <c r="AA2216" i="1"/>
  <c r="AB2215" i="1"/>
  <c r="AA2215" i="1"/>
  <c r="AB2214" i="1"/>
  <c r="AA2214" i="1"/>
  <c r="AB2213" i="1"/>
  <c r="AA2213" i="1"/>
  <c r="AB2212" i="1"/>
  <c r="AA2212" i="1"/>
  <c r="AB2211" i="1"/>
  <c r="AA2211" i="1"/>
  <c r="AB2210" i="1"/>
  <c r="AA2210" i="1"/>
  <c r="AB2209" i="1"/>
  <c r="AA2209" i="1"/>
  <c r="AB2208" i="1"/>
  <c r="AA2208" i="1"/>
  <c r="AB2207" i="1"/>
  <c r="AA2207" i="1"/>
  <c r="AB2206" i="1"/>
  <c r="AA2206" i="1"/>
  <c r="AB2205" i="1"/>
  <c r="AA2205" i="1"/>
  <c r="AB2204" i="1"/>
  <c r="AA2204" i="1"/>
  <c r="AB2203" i="1"/>
  <c r="AA2203" i="1"/>
  <c r="AB2202" i="1"/>
  <c r="AA2202" i="1"/>
  <c r="AB2201" i="1"/>
  <c r="AA2201" i="1"/>
  <c r="AB2200" i="1"/>
  <c r="AA2200" i="1"/>
  <c r="AB2199" i="1"/>
  <c r="AA2199" i="1"/>
  <c r="AB2198" i="1"/>
  <c r="AA2198" i="1"/>
  <c r="AB2197" i="1"/>
  <c r="AA2197" i="1"/>
  <c r="AB2196" i="1"/>
  <c r="AA2196" i="1"/>
  <c r="AB2195" i="1"/>
  <c r="AA2195" i="1"/>
  <c r="AB2194" i="1"/>
  <c r="AA2194" i="1"/>
  <c r="AB2193" i="1"/>
  <c r="AA2193" i="1"/>
  <c r="AB2192" i="1"/>
  <c r="AA2192" i="1"/>
  <c r="AB2191" i="1"/>
  <c r="AA2191" i="1"/>
  <c r="AB2190" i="1"/>
  <c r="AA2190" i="1"/>
  <c r="AB2189" i="1"/>
  <c r="AA2189" i="1"/>
  <c r="AB2188" i="1"/>
  <c r="AA2188" i="1"/>
  <c r="AB2187" i="1"/>
  <c r="AA2187" i="1"/>
  <c r="AB2186" i="1"/>
  <c r="AA2186" i="1"/>
  <c r="AB2185" i="1"/>
  <c r="AA2185" i="1"/>
  <c r="AB2184" i="1"/>
  <c r="AA2184" i="1"/>
  <c r="AB2183" i="1"/>
  <c r="AA2183" i="1"/>
  <c r="AB2182" i="1"/>
  <c r="AA2182" i="1"/>
  <c r="AB2181" i="1"/>
  <c r="AA2181" i="1"/>
  <c r="AB2180" i="1"/>
  <c r="AA2180" i="1"/>
  <c r="AB2179" i="1"/>
  <c r="AA2179" i="1"/>
  <c r="AB2178" i="1"/>
  <c r="AA2178" i="1"/>
  <c r="AB2177" i="1"/>
  <c r="AA2177" i="1"/>
  <c r="AB2176" i="1"/>
  <c r="AA2176" i="1"/>
  <c r="AB2175" i="1"/>
  <c r="AA2175" i="1"/>
  <c r="AB2174" i="1"/>
  <c r="AA2174" i="1"/>
  <c r="AB2173" i="1"/>
  <c r="AA2173" i="1"/>
  <c r="AB2172" i="1"/>
  <c r="AA2172" i="1"/>
  <c r="AB2171" i="1"/>
  <c r="AA2171" i="1"/>
  <c r="AB2170" i="1"/>
  <c r="AA2170" i="1"/>
  <c r="AB2169" i="1"/>
  <c r="AA2169" i="1"/>
  <c r="AB2168" i="1"/>
  <c r="AA2168" i="1"/>
  <c r="AB2167" i="1"/>
  <c r="AA2167" i="1"/>
  <c r="AB2166" i="1"/>
  <c r="AA2166" i="1"/>
  <c r="AB2165" i="1"/>
  <c r="AA2165" i="1"/>
  <c r="AB2164" i="1"/>
  <c r="AA2164" i="1"/>
  <c r="AB2163" i="1"/>
  <c r="AA2163" i="1"/>
  <c r="AB2162" i="1"/>
  <c r="AA2162" i="1"/>
  <c r="AB2161" i="1"/>
  <c r="AA2161" i="1"/>
  <c r="AB2160" i="1"/>
  <c r="AA2160" i="1"/>
  <c r="AB2159" i="1"/>
  <c r="AA2159" i="1"/>
  <c r="AB2158" i="1"/>
  <c r="AA2158" i="1"/>
  <c r="AB2157" i="1"/>
  <c r="AA2157" i="1"/>
  <c r="AB2156" i="1"/>
  <c r="AA2156" i="1"/>
  <c r="AB2155" i="1"/>
  <c r="AA2155" i="1"/>
  <c r="AB2154" i="1"/>
  <c r="AA2154" i="1"/>
  <c r="AB2153" i="1"/>
  <c r="AA2153" i="1"/>
  <c r="AB2152" i="1"/>
  <c r="AA2152" i="1"/>
  <c r="AB2151" i="1"/>
  <c r="AA2151" i="1"/>
  <c r="AB2150" i="1"/>
  <c r="AA2150" i="1"/>
  <c r="AB2149" i="1"/>
  <c r="AA2149" i="1"/>
  <c r="AB2148" i="1"/>
  <c r="AA2148" i="1"/>
  <c r="AB2147" i="1"/>
  <c r="AA2147" i="1"/>
  <c r="AB2146" i="1"/>
  <c r="AA2146" i="1"/>
  <c r="AB2145" i="1"/>
  <c r="AA2145" i="1"/>
  <c r="AB2144" i="1"/>
  <c r="AA2144" i="1"/>
  <c r="AB2143" i="1"/>
  <c r="AA2143" i="1"/>
  <c r="AB2142" i="1"/>
  <c r="AA2142" i="1"/>
  <c r="AB2141" i="1"/>
  <c r="AA2141" i="1"/>
  <c r="AB2140" i="1"/>
  <c r="AA2140" i="1"/>
  <c r="AB2139" i="1"/>
  <c r="AA2139" i="1"/>
  <c r="AB2138" i="1"/>
  <c r="AA2138" i="1"/>
  <c r="AB2137" i="1"/>
  <c r="AA2137" i="1"/>
  <c r="AB2136" i="1"/>
  <c r="AA2136" i="1"/>
  <c r="AB2135" i="1"/>
  <c r="AA2135" i="1"/>
  <c r="AB2134" i="1"/>
  <c r="AA2134" i="1"/>
  <c r="AB2133" i="1"/>
  <c r="AA2133" i="1"/>
  <c r="AB2132" i="1"/>
  <c r="AA2132" i="1"/>
  <c r="AB2131" i="1"/>
  <c r="AA2131" i="1"/>
  <c r="AB2130" i="1"/>
  <c r="AA2130" i="1"/>
  <c r="AB2129" i="1"/>
  <c r="AA2129" i="1"/>
  <c r="AB2128" i="1"/>
  <c r="AA2128" i="1"/>
  <c r="AB2127" i="1"/>
  <c r="AA2127" i="1"/>
  <c r="AB2126" i="1"/>
  <c r="AA2126" i="1"/>
  <c r="AB2125" i="1"/>
  <c r="AA2125" i="1"/>
  <c r="AB2124" i="1"/>
  <c r="AA2124" i="1"/>
  <c r="AB2123" i="1"/>
  <c r="AA2123" i="1"/>
  <c r="AB2122" i="1"/>
  <c r="AA2122" i="1"/>
  <c r="AB2121" i="1"/>
  <c r="AA2121" i="1"/>
  <c r="AB2120" i="1"/>
  <c r="AA2120" i="1"/>
  <c r="AB2119" i="1"/>
  <c r="AA2119" i="1"/>
  <c r="AB2118" i="1"/>
  <c r="AA2118" i="1"/>
  <c r="AB2117" i="1"/>
  <c r="AA2117" i="1"/>
  <c r="AB2116" i="1"/>
  <c r="AA2116" i="1"/>
  <c r="AB2115" i="1"/>
  <c r="AA2115" i="1"/>
  <c r="AB2114" i="1"/>
  <c r="AA2114" i="1"/>
  <c r="AB2113" i="1"/>
  <c r="AA2113" i="1"/>
  <c r="AB2112" i="1"/>
  <c r="AA2112" i="1"/>
  <c r="AB2111" i="1"/>
  <c r="AA2111" i="1"/>
  <c r="AB2110" i="1"/>
  <c r="AA2110" i="1"/>
  <c r="AB2109" i="1"/>
  <c r="AA2109" i="1"/>
  <c r="AB2108" i="1"/>
  <c r="AA2108" i="1"/>
  <c r="AB2107" i="1"/>
  <c r="AA2107" i="1"/>
  <c r="AB2106" i="1"/>
  <c r="AA2106" i="1"/>
  <c r="AB2105" i="1"/>
  <c r="AA2105" i="1"/>
  <c r="AB2104" i="1"/>
  <c r="AA2104" i="1"/>
  <c r="AB2103" i="1"/>
  <c r="AA2103" i="1"/>
  <c r="AB2102" i="1"/>
  <c r="AA2102" i="1"/>
  <c r="AB2101" i="1"/>
  <c r="AA2101" i="1"/>
  <c r="AB2100" i="1"/>
  <c r="AA2100" i="1"/>
  <c r="AB2099" i="1"/>
  <c r="AA2099" i="1"/>
  <c r="AB2098" i="1"/>
  <c r="AA2098" i="1"/>
  <c r="AB2097" i="1"/>
  <c r="AA2097" i="1"/>
  <c r="AB2096" i="1"/>
  <c r="AA2096" i="1"/>
  <c r="AB2095" i="1"/>
  <c r="AA2095" i="1"/>
  <c r="AB2094" i="1"/>
  <c r="AA2094" i="1"/>
  <c r="AB2093" i="1"/>
  <c r="AA2093" i="1"/>
  <c r="AB2092" i="1"/>
  <c r="AA2092" i="1"/>
  <c r="AB2091" i="1"/>
  <c r="AA2091" i="1"/>
  <c r="AB2090" i="1"/>
  <c r="AA2090" i="1"/>
  <c r="AB2089" i="1"/>
  <c r="AA2089" i="1"/>
  <c r="AB2088" i="1"/>
  <c r="AA2088" i="1"/>
  <c r="AB2087" i="1"/>
  <c r="AA2087" i="1"/>
  <c r="AB2086" i="1"/>
  <c r="AA2086" i="1"/>
  <c r="AB2085" i="1"/>
  <c r="AA2085" i="1"/>
  <c r="AB2084" i="1"/>
  <c r="AA2084" i="1"/>
  <c r="AB2083" i="1"/>
  <c r="AA2083" i="1"/>
  <c r="AB2082" i="1"/>
  <c r="AA2082" i="1"/>
  <c r="AB2081" i="1"/>
  <c r="AA2081" i="1"/>
  <c r="AB2080" i="1"/>
  <c r="AA2080" i="1"/>
  <c r="AB2079" i="1"/>
  <c r="AA2079" i="1"/>
  <c r="AB2078" i="1"/>
  <c r="AA2078" i="1"/>
  <c r="AB2077" i="1"/>
  <c r="AA2077" i="1"/>
  <c r="AB2076" i="1"/>
  <c r="AA2076" i="1"/>
  <c r="AB2075" i="1"/>
  <c r="AA2075" i="1"/>
  <c r="AB2074" i="1"/>
  <c r="AA2074" i="1"/>
  <c r="AB2073" i="1"/>
  <c r="AA2073" i="1"/>
  <c r="AB2072" i="1"/>
  <c r="AA2072" i="1"/>
  <c r="AB2071" i="1"/>
  <c r="AA2071" i="1"/>
  <c r="AB2070" i="1"/>
  <c r="AA2070" i="1"/>
  <c r="AB2069" i="1"/>
  <c r="AA2069" i="1"/>
  <c r="AB2068" i="1"/>
  <c r="AA2068" i="1"/>
  <c r="AB2067" i="1"/>
  <c r="AA2067" i="1"/>
  <c r="AB2066" i="1"/>
  <c r="AA2066" i="1"/>
  <c r="AB2065" i="1"/>
  <c r="AA2065" i="1"/>
  <c r="AB2064" i="1"/>
  <c r="AA2064" i="1"/>
  <c r="AB2063" i="1"/>
  <c r="AA2063" i="1"/>
  <c r="AB2062" i="1"/>
  <c r="AA2062" i="1"/>
  <c r="AB2061" i="1"/>
  <c r="AA2061" i="1"/>
  <c r="AB2060" i="1"/>
  <c r="AA2060" i="1"/>
  <c r="AB2059" i="1"/>
  <c r="AA2059" i="1"/>
  <c r="AB2058" i="1"/>
  <c r="AA2058" i="1"/>
  <c r="AB2057" i="1"/>
  <c r="AA2057" i="1"/>
  <c r="AB2056" i="1"/>
  <c r="AA2056" i="1"/>
  <c r="AB2055" i="1"/>
  <c r="AA2055" i="1"/>
  <c r="AB2054" i="1"/>
  <c r="AA2054" i="1"/>
  <c r="AB2053" i="1"/>
  <c r="AA2053" i="1"/>
  <c r="AB2052" i="1"/>
  <c r="AA2052" i="1"/>
  <c r="AB2051" i="1"/>
  <c r="AA2051" i="1"/>
  <c r="AB2050" i="1"/>
  <c r="AA2050" i="1"/>
  <c r="AB2049" i="1"/>
  <c r="AA2049" i="1"/>
  <c r="AB2048" i="1"/>
  <c r="AA2048" i="1"/>
  <c r="AB2047" i="1"/>
  <c r="AA2047" i="1"/>
  <c r="AB2046" i="1"/>
  <c r="AA2046" i="1"/>
  <c r="AB2045" i="1"/>
  <c r="AA2045" i="1"/>
  <c r="AB2044" i="1"/>
  <c r="AA2044" i="1"/>
  <c r="AB2043" i="1"/>
  <c r="AA2043" i="1"/>
  <c r="AB2042" i="1"/>
  <c r="AA2042" i="1"/>
  <c r="AB2041" i="1"/>
  <c r="AA2041" i="1"/>
  <c r="AB2040" i="1"/>
  <c r="AA2040" i="1"/>
  <c r="AB2039" i="1"/>
  <c r="AA2039" i="1"/>
  <c r="AB2038" i="1"/>
  <c r="AA2038" i="1"/>
  <c r="AB2037" i="1"/>
  <c r="AA2037" i="1"/>
  <c r="AB2036" i="1"/>
  <c r="AA2036" i="1"/>
  <c r="AB2035" i="1"/>
  <c r="AA2035" i="1"/>
  <c r="AB2034" i="1"/>
  <c r="AA2034" i="1"/>
  <c r="AB2033" i="1"/>
  <c r="AA2033" i="1"/>
  <c r="AB2032" i="1"/>
  <c r="AA2032" i="1"/>
  <c r="AB2031" i="1"/>
  <c r="AA2031" i="1"/>
  <c r="AB2030" i="1"/>
  <c r="AA2030" i="1"/>
  <c r="AB2029" i="1"/>
  <c r="AA2029" i="1"/>
  <c r="AB2028" i="1"/>
  <c r="AA2028" i="1"/>
  <c r="AB2027" i="1"/>
  <c r="AA2027" i="1"/>
  <c r="AB2026" i="1"/>
  <c r="AA2026" i="1"/>
  <c r="AB2025" i="1"/>
  <c r="AA2025" i="1"/>
  <c r="AB2024" i="1"/>
  <c r="AA2024" i="1"/>
  <c r="AB2023" i="1"/>
  <c r="AA2023" i="1"/>
  <c r="AB2022" i="1"/>
  <c r="AA2022" i="1"/>
  <c r="AB2021" i="1"/>
  <c r="AA2021" i="1"/>
  <c r="AB2020" i="1"/>
  <c r="AA2020" i="1"/>
  <c r="AB2019" i="1"/>
  <c r="AA2019" i="1"/>
  <c r="AB2018" i="1"/>
  <c r="AA2018" i="1"/>
  <c r="AB2017" i="1"/>
  <c r="AA2017" i="1"/>
  <c r="AB2016" i="1"/>
  <c r="AA2016" i="1"/>
  <c r="AB2015" i="1"/>
  <c r="AA2015" i="1"/>
  <c r="AB2014" i="1"/>
  <c r="AA2014" i="1"/>
  <c r="AB2013" i="1"/>
  <c r="AA2013" i="1"/>
  <c r="AB2012" i="1"/>
  <c r="AA2012" i="1"/>
  <c r="AB2011" i="1"/>
  <c r="AA2011" i="1"/>
  <c r="AB2010" i="1"/>
  <c r="AA2010" i="1"/>
  <c r="AB2009" i="1"/>
  <c r="AA2009" i="1"/>
  <c r="AB2008" i="1"/>
  <c r="AA2008" i="1"/>
  <c r="AB2007" i="1"/>
  <c r="AA2007" i="1"/>
  <c r="AB2006" i="1"/>
  <c r="AA2006" i="1"/>
  <c r="AB2005" i="1"/>
  <c r="AA2005" i="1"/>
  <c r="AB2004" i="1"/>
  <c r="AA2004" i="1"/>
  <c r="AB2003" i="1"/>
  <c r="AA2003" i="1"/>
  <c r="AB2002" i="1"/>
  <c r="AA2002" i="1"/>
  <c r="AB2001" i="1"/>
  <c r="AA2001" i="1"/>
  <c r="AB2000" i="1"/>
  <c r="AA2000" i="1"/>
  <c r="AB1999" i="1"/>
  <c r="AA1999" i="1"/>
  <c r="AB1998" i="1"/>
  <c r="AA1998" i="1"/>
  <c r="AB1997" i="1"/>
  <c r="AA1997" i="1"/>
  <c r="AB1996" i="1"/>
  <c r="AA1996" i="1"/>
  <c r="AB1995" i="1"/>
  <c r="AA1995" i="1"/>
  <c r="AB1994" i="1"/>
  <c r="AA1994" i="1"/>
  <c r="AB1993" i="1"/>
  <c r="AA1993" i="1"/>
  <c r="AB1992" i="1"/>
  <c r="AA1992" i="1"/>
  <c r="AB1991" i="1"/>
  <c r="AA1991" i="1"/>
  <c r="AB1990" i="1"/>
  <c r="AA1990" i="1"/>
  <c r="AB1989" i="1"/>
  <c r="AA1989" i="1"/>
  <c r="AB1988" i="1"/>
  <c r="AA1988" i="1"/>
  <c r="AB1987" i="1"/>
  <c r="AA1987" i="1"/>
  <c r="AB1986" i="1"/>
  <c r="AA1986" i="1"/>
  <c r="AB1985" i="1"/>
  <c r="AA1985" i="1"/>
  <c r="AB1984" i="1"/>
  <c r="AA1984" i="1"/>
  <c r="AB1983" i="1"/>
  <c r="AA1983" i="1"/>
  <c r="AB1982" i="1"/>
  <c r="AA1982" i="1"/>
  <c r="AB1981" i="1"/>
  <c r="AA1981" i="1"/>
  <c r="AB1980" i="1"/>
  <c r="AA1980" i="1"/>
  <c r="AB1979" i="1"/>
  <c r="AA1979" i="1"/>
  <c r="AB1978" i="1"/>
  <c r="AA1978" i="1"/>
  <c r="AB1977" i="1"/>
  <c r="AA1977" i="1"/>
  <c r="AB1976" i="1"/>
  <c r="AA1976" i="1"/>
  <c r="AB1975" i="1"/>
  <c r="AA1975" i="1"/>
  <c r="AB1974" i="1"/>
  <c r="AA1974" i="1"/>
  <c r="AB1973" i="1"/>
  <c r="AA1973" i="1"/>
  <c r="AB1972" i="1"/>
  <c r="AA1972" i="1"/>
  <c r="AB1971" i="1"/>
  <c r="AA1971" i="1"/>
  <c r="AB1970" i="1"/>
  <c r="AA1970" i="1"/>
  <c r="AB1969" i="1"/>
  <c r="AA1969" i="1"/>
  <c r="AB1968" i="1"/>
  <c r="AA1968" i="1"/>
  <c r="AB1967" i="1"/>
  <c r="AA1967" i="1"/>
  <c r="AB1966" i="1"/>
  <c r="AA1966" i="1"/>
  <c r="AB1965" i="1"/>
  <c r="AA1965" i="1"/>
  <c r="AB1964" i="1"/>
  <c r="AA1964" i="1"/>
  <c r="AB1963" i="1"/>
  <c r="AA1963" i="1"/>
  <c r="AB1962" i="1"/>
  <c r="AA1962" i="1"/>
  <c r="AB1961" i="1"/>
  <c r="AA1961" i="1"/>
  <c r="AB1960" i="1"/>
  <c r="AA1960" i="1"/>
  <c r="AB1959" i="1"/>
  <c r="AA1959" i="1"/>
  <c r="AB1958" i="1"/>
  <c r="AA1958" i="1"/>
  <c r="AB1957" i="1"/>
  <c r="AA1957" i="1"/>
  <c r="AB1956" i="1"/>
  <c r="AA1956" i="1"/>
  <c r="AB1955" i="1"/>
  <c r="AA1955" i="1"/>
  <c r="AB1954" i="1"/>
  <c r="AA1954" i="1"/>
  <c r="AB1953" i="1"/>
  <c r="AA1953" i="1"/>
  <c r="AB1952" i="1"/>
  <c r="AA1952" i="1"/>
  <c r="AB1951" i="1"/>
  <c r="AA1951" i="1"/>
  <c r="AB1950" i="1"/>
  <c r="AA1950" i="1"/>
  <c r="AB1949" i="1"/>
  <c r="AA1949" i="1"/>
  <c r="AB1948" i="1"/>
  <c r="AA1948" i="1"/>
  <c r="AB1947" i="1"/>
  <c r="AA1947" i="1"/>
  <c r="AB1946" i="1"/>
  <c r="AA1946" i="1"/>
  <c r="AB1945" i="1"/>
  <c r="AA1945" i="1"/>
  <c r="AB1944" i="1"/>
  <c r="AA1944" i="1"/>
  <c r="AB1943" i="1"/>
  <c r="AA1943" i="1"/>
  <c r="AB1942" i="1"/>
  <c r="AA1942" i="1"/>
  <c r="AB1941" i="1"/>
  <c r="AA1941" i="1"/>
  <c r="AB1940" i="1"/>
  <c r="AA1940" i="1"/>
  <c r="AB1939" i="1"/>
  <c r="AA1939" i="1"/>
  <c r="AB1938" i="1"/>
  <c r="AA1938" i="1"/>
  <c r="AB1937" i="1"/>
  <c r="AA1937" i="1"/>
  <c r="AB1936" i="1"/>
  <c r="AA1936" i="1"/>
  <c r="AB1935" i="1"/>
  <c r="AA1935" i="1"/>
  <c r="AB1934" i="1"/>
  <c r="AA1934" i="1"/>
  <c r="AB1933" i="1"/>
  <c r="AA1933" i="1"/>
  <c r="AB1932" i="1"/>
  <c r="AA1932" i="1"/>
  <c r="AB1931" i="1"/>
  <c r="AA1931" i="1"/>
  <c r="AB1930" i="1"/>
  <c r="AA1930" i="1"/>
  <c r="AB1929" i="1"/>
  <c r="AA1929" i="1"/>
  <c r="AB1928" i="1"/>
  <c r="AA1928" i="1"/>
  <c r="AB1927" i="1"/>
  <c r="AA1927" i="1"/>
  <c r="AB1926" i="1"/>
  <c r="AA1926" i="1"/>
  <c r="AB1925" i="1"/>
  <c r="AA1925" i="1"/>
  <c r="AB1924" i="1"/>
  <c r="AA1924" i="1"/>
  <c r="AB1923" i="1"/>
  <c r="AA1923" i="1"/>
  <c r="AB1922" i="1"/>
  <c r="AA1922" i="1"/>
  <c r="AB1921" i="1"/>
  <c r="AA1921" i="1"/>
  <c r="AB1920" i="1"/>
  <c r="AA1920" i="1"/>
  <c r="AB1919" i="1"/>
  <c r="AA1919" i="1"/>
  <c r="AB1918" i="1"/>
  <c r="AA1918" i="1"/>
  <c r="AB1917" i="1"/>
  <c r="AA1917" i="1"/>
  <c r="AB1916" i="1"/>
  <c r="AA1916" i="1"/>
  <c r="AB1915" i="1"/>
  <c r="AA1915" i="1"/>
  <c r="AB1914" i="1"/>
  <c r="AA1914" i="1"/>
  <c r="AB1913" i="1"/>
  <c r="AA1913" i="1"/>
  <c r="AB1912" i="1"/>
  <c r="AA1912" i="1"/>
  <c r="AB1911" i="1"/>
  <c r="AA1911" i="1"/>
  <c r="AB1910" i="1"/>
  <c r="AA1910" i="1"/>
  <c r="AB1909" i="1"/>
  <c r="AA1909" i="1"/>
  <c r="AB1908" i="1"/>
  <c r="AA1908" i="1"/>
  <c r="AB1907" i="1"/>
  <c r="AA1907" i="1"/>
  <c r="AB1906" i="1"/>
  <c r="AA1906" i="1"/>
  <c r="AB1905" i="1"/>
  <c r="AA1905" i="1"/>
  <c r="AB1904" i="1"/>
  <c r="AA1904" i="1"/>
  <c r="AB1903" i="1"/>
  <c r="AA1903" i="1"/>
  <c r="AB1902" i="1"/>
  <c r="AA1902" i="1"/>
  <c r="AB1901" i="1"/>
  <c r="AA1901" i="1"/>
  <c r="AB1900" i="1"/>
  <c r="AA1900" i="1"/>
  <c r="AB1899" i="1"/>
  <c r="AA1899" i="1"/>
  <c r="AB1898" i="1"/>
  <c r="AA1898" i="1"/>
  <c r="AB1897" i="1"/>
  <c r="AA1897" i="1"/>
  <c r="AB1896" i="1"/>
  <c r="AA1896" i="1"/>
  <c r="AB1895" i="1"/>
  <c r="AA1895" i="1"/>
  <c r="AB1894" i="1"/>
  <c r="AA1894" i="1"/>
  <c r="AB1893" i="1"/>
  <c r="AA1893" i="1"/>
  <c r="AB1892" i="1"/>
  <c r="AA1892" i="1"/>
  <c r="AB1891" i="1"/>
  <c r="AA1891" i="1"/>
  <c r="AB1890" i="1"/>
  <c r="AA1890" i="1"/>
  <c r="AB1889" i="1"/>
  <c r="AA1889" i="1"/>
  <c r="AB1888" i="1"/>
  <c r="AA1888" i="1"/>
  <c r="AB1887" i="1"/>
  <c r="AA1887" i="1"/>
  <c r="AB1886" i="1"/>
  <c r="AA1886" i="1"/>
  <c r="AB1885" i="1"/>
  <c r="AA1885" i="1"/>
  <c r="AB1884" i="1"/>
  <c r="AA1884" i="1"/>
  <c r="AB1883" i="1"/>
  <c r="AA1883" i="1"/>
  <c r="AB1882" i="1"/>
  <c r="AA1882" i="1"/>
  <c r="AB1881" i="1"/>
  <c r="AA1881" i="1"/>
  <c r="AB1880" i="1"/>
  <c r="AA1880" i="1"/>
  <c r="AB1879" i="1"/>
  <c r="AA1879" i="1"/>
  <c r="AB1878" i="1"/>
  <c r="AA1878" i="1"/>
  <c r="AB1877" i="1"/>
  <c r="AA1877" i="1"/>
  <c r="AB1876" i="1"/>
  <c r="AA1876" i="1"/>
  <c r="AB1875" i="1"/>
  <c r="AA1875" i="1"/>
  <c r="AB1874" i="1"/>
  <c r="AA1874" i="1"/>
  <c r="AB1873" i="1"/>
  <c r="AA1873" i="1"/>
  <c r="AB1872" i="1"/>
  <c r="AA1872" i="1"/>
  <c r="AB1871" i="1"/>
  <c r="AA1871" i="1"/>
  <c r="AB1870" i="1"/>
  <c r="AA1870" i="1"/>
  <c r="AB1869" i="1"/>
  <c r="AA1869" i="1"/>
  <c r="AB1868" i="1"/>
  <c r="AA1868" i="1"/>
  <c r="AB1867" i="1"/>
  <c r="AA1867" i="1"/>
  <c r="AB1866" i="1"/>
  <c r="AA1866" i="1"/>
  <c r="AB1865" i="1"/>
  <c r="AA1865" i="1"/>
  <c r="AB1864" i="1"/>
  <c r="AA1864" i="1"/>
  <c r="AB1863" i="1"/>
  <c r="AA1863" i="1"/>
  <c r="AB1862" i="1"/>
  <c r="AA1862" i="1"/>
  <c r="AB1861" i="1"/>
  <c r="AA1861" i="1"/>
  <c r="AB1860" i="1"/>
  <c r="AA1860" i="1"/>
  <c r="AB1859" i="1"/>
  <c r="AA1859" i="1"/>
  <c r="AB1858" i="1"/>
  <c r="AA1858" i="1"/>
  <c r="AB1857" i="1"/>
  <c r="AA1857" i="1"/>
  <c r="AB1856" i="1"/>
  <c r="AA1856" i="1"/>
  <c r="AB1855" i="1"/>
  <c r="AA1855" i="1"/>
  <c r="AB1854" i="1"/>
  <c r="AA1854" i="1"/>
  <c r="AB1853" i="1"/>
  <c r="AA1853" i="1"/>
  <c r="AB1852" i="1"/>
  <c r="AA1852" i="1"/>
  <c r="AB1851" i="1"/>
  <c r="AA1851" i="1"/>
  <c r="AB1850" i="1"/>
  <c r="AA1850" i="1"/>
  <c r="AB1849" i="1"/>
  <c r="AA1849" i="1"/>
  <c r="AB1848" i="1"/>
  <c r="AA1848" i="1"/>
  <c r="AB1847" i="1"/>
  <c r="AA1847" i="1"/>
  <c r="AB1846" i="1"/>
  <c r="AA1846" i="1"/>
  <c r="AB1845" i="1"/>
  <c r="AA1845" i="1"/>
  <c r="AB1844" i="1"/>
  <c r="AA1844" i="1"/>
  <c r="AB1843" i="1"/>
  <c r="AA1843" i="1"/>
  <c r="AB1842" i="1"/>
  <c r="AA1842" i="1"/>
  <c r="AB1841" i="1"/>
  <c r="AA1841" i="1"/>
  <c r="AB1840" i="1"/>
  <c r="AA1840" i="1"/>
  <c r="AB1839" i="1"/>
  <c r="AA1839" i="1"/>
  <c r="AB1838" i="1"/>
  <c r="AA1838" i="1"/>
  <c r="AB1837" i="1"/>
  <c r="AA1837" i="1"/>
  <c r="AB1836" i="1"/>
  <c r="AA1836" i="1"/>
  <c r="AB1835" i="1"/>
  <c r="AA1835" i="1"/>
  <c r="AB1834" i="1"/>
  <c r="AA1834" i="1"/>
  <c r="AB1833" i="1"/>
  <c r="AA1833" i="1"/>
  <c r="AB1832" i="1"/>
  <c r="AA1832" i="1"/>
  <c r="AB1831" i="1"/>
  <c r="AA1831" i="1"/>
  <c r="AB1830" i="1"/>
  <c r="AA1830" i="1"/>
  <c r="AB1829" i="1"/>
  <c r="AA1829" i="1"/>
  <c r="AB1828" i="1"/>
  <c r="AA1828" i="1"/>
  <c r="AB1827" i="1"/>
  <c r="AA1827" i="1"/>
  <c r="AB1826" i="1"/>
  <c r="AA1826" i="1"/>
  <c r="AB1825" i="1"/>
  <c r="AA1825" i="1"/>
  <c r="AB1824" i="1"/>
  <c r="AA1824" i="1"/>
  <c r="AB1823" i="1"/>
  <c r="AA1823" i="1"/>
  <c r="AB1822" i="1"/>
  <c r="AA1822" i="1"/>
  <c r="AB1821" i="1"/>
  <c r="AA1821" i="1"/>
  <c r="AB1820" i="1"/>
  <c r="AA1820" i="1"/>
  <c r="AB1819" i="1"/>
  <c r="AA1819" i="1"/>
  <c r="AB1818" i="1"/>
  <c r="AA1818" i="1"/>
  <c r="AB1817" i="1"/>
  <c r="AA1817" i="1"/>
  <c r="AB1816" i="1"/>
  <c r="AA1816" i="1"/>
  <c r="AB1815" i="1"/>
  <c r="AA1815" i="1"/>
  <c r="AB1814" i="1"/>
  <c r="AA1814" i="1"/>
  <c r="AB1813" i="1"/>
  <c r="AA1813" i="1"/>
  <c r="AB1812" i="1"/>
  <c r="AA1812" i="1"/>
  <c r="AB1811" i="1"/>
  <c r="AA1811" i="1"/>
  <c r="AB1810" i="1"/>
  <c r="AA1810" i="1"/>
  <c r="AB1809" i="1"/>
  <c r="AA1809" i="1"/>
  <c r="AB1808" i="1"/>
  <c r="AA1808" i="1"/>
  <c r="AB1807" i="1"/>
  <c r="AA1807" i="1"/>
  <c r="AB1806" i="1"/>
  <c r="AA1806" i="1"/>
  <c r="AB1805" i="1"/>
  <c r="AA1805" i="1"/>
  <c r="AB1804" i="1"/>
  <c r="AA1804" i="1"/>
  <c r="AB1803" i="1"/>
  <c r="AA1803" i="1"/>
  <c r="AB1802" i="1"/>
  <c r="AA1802" i="1"/>
  <c r="AB1801" i="1"/>
  <c r="AA1801" i="1"/>
  <c r="AB1800" i="1"/>
  <c r="AA1800" i="1"/>
  <c r="AB1799" i="1"/>
  <c r="AA1799" i="1"/>
  <c r="AB1798" i="1"/>
  <c r="AA1798" i="1"/>
  <c r="AB1797" i="1"/>
  <c r="AA1797" i="1"/>
  <c r="AB1796" i="1"/>
  <c r="AA1796" i="1"/>
  <c r="AB1795" i="1"/>
  <c r="AA1795" i="1"/>
  <c r="AB1794" i="1"/>
  <c r="AA1794" i="1"/>
  <c r="AB1793" i="1"/>
  <c r="AA1793" i="1"/>
  <c r="AB1792" i="1"/>
  <c r="AA1792" i="1"/>
  <c r="AB1791" i="1"/>
  <c r="AA1791" i="1"/>
  <c r="AB1790" i="1"/>
  <c r="AA1790" i="1"/>
  <c r="AB1789" i="1"/>
  <c r="AA1789" i="1"/>
  <c r="AB1788" i="1"/>
  <c r="AA1788" i="1"/>
  <c r="AB1787" i="1"/>
  <c r="AA1787" i="1"/>
  <c r="AB1786" i="1"/>
  <c r="AA1786" i="1"/>
  <c r="AB1785" i="1"/>
  <c r="AA1785" i="1"/>
  <c r="AB1784" i="1"/>
  <c r="AA1784" i="1"/>
  <c r="AB1783" i="1"/>
  <c r="AA1783" i="1"/>
  <c r="AB1782" i="1"/>
  <c r="AA1782" i="1"/>
  <c r="AB1781" i="1"/>
  <c r="AA1781" i="1"/>
  <c r="AB1780" i="1"/>
  <c r="AA1780" i="1"/>
  <c r="AB1779" i="1"/>
  <c r="AA1779" i="1"/>
  <c r="AB1778" i="1"/>
  <c r="AA1778" i="1"/>
  <c r="AB1777" i="1"/>
  <c r="AA1777" i="1"/>
  <c r="AB1776" i="1"/>
  <c r="AA1776" i="1"/>
  <c r="AB1775" i="1"/>
  <c r="AA1775" i="1"/>
  <c r="AB1774" i="1"/>
  <c r="AA1774" i="1"/>
  <c r="AB1773" i="1"/>
  <c r="AA1773" i="1"/>
  <c r="AB1772" i="1"/>
  <c r="AA1772" i="1"/>
  <c r="AB1771" i="1"/>
  <c r="AA1771" i="1"/>
  <c r="AB1770" i="1"/>
  <c r="AA1770" i="1"/>
  <c r="AB1769" i="1"/>
  <c r="AA1769" i="1"/>
  <c r="AB1768" i="1"/>
  <c r="AA1768" i="1"/>
  <c r="AB1767" i="1"/>
  <c r="AA1767" i="1"/>
  <c r="AB1766" i="1"/>
  <c r="AA1766" i="1"/>
  <c r="AB1765" i="1"/>
  <c r="AA1765" i="1"/>
  <c r="AB1764" i="1"/>
  <c r="AA1764" i="1"/>
  <c r="AB1763" i="1"/>
  <c r="AA1763" i="1"/>
  <c r="AB1762" i="1"/>
  <c r="AA1762" i="1"/>
  <c r="AB1761" i="1"/>
  <c r="AA1761" i="1"/>
  <c r="AB1760" i="1"/>
  <c r="AA1760" i="1"/>
  <c r="AB1759" i="1"/>
  <c r="AA1759" i="1"/>
  <c r="AB1758" i="1"/>
  <c r="AA1758" i="1"/>
  <c r="AB1757" i="1"/>
  <c r="AA1757" i="1"/>
  <c r="AB1756" i="1"/>
  <c r="AA1756" i="1"/>
  <c r="AB1755" i="1"/>
  <c r="AA1755" i="1"/>
  <c r="AB1754" i="1"/>
  <c r="AA1754" i="1"/>
  <c r="AB1753" i="1"/>
  <c r="AA1753" i="1"/>
  <c r="AB1752" i="1"/>
  <c r="AA1752" i="1"/>
  <c r="AB1751" i="1"/>
  <c r="AA1751" i="1"/>
  <c r="AB1750" i="1"/>
  <c r="AA1750" i="1"/>
  <c r="AB1749" i="1"/>
  <c r="AA1749" i="1"/>
  <c r="AB1748" i="1"/>
  <c r="AA1748" i="1"/>
  <c r="AB1747" i="1"/>
  <c r="AA1747" i="1"/>
  <c r="AB1746" i="1"/>
  <c r="AA1746" i="1"/>
  <c r="AB1745" i="1"/>
  <c r="AA1745" i="1"/>
  <c r="AB1744" i="1"/>
  <c r="AA1744" i="1"/>
  <c r="AB1743" i="1"/>
  <c r="AA1743" i="1"/>
  <c r="AB1742" i="1"/>
  <c r="AA1742" i="1"/>
  <c r="AB1741" i="1"/>
  <c r="AA1741" i="1"/>
  <c r="AB1740" i="1"/>
  <c r="AA1740" i="1"/>
  <c r="AB1739" i="1"/>
  <c r="AA1739" i="1"/>
  <c r="AB1738" i="1"/>
  <c r="AA1738" i="1"/>
  <c r="AB1737" i="1"/>
  <c r="AA1737" i="1"/>
  <c r="AB1736" i="1"/>
  <c r="AA1736" i="1"/>
  <c r="AB1735" i="1"/>
  <c r="AA1735" i="1"/>
  <c r="AB1734" i="1"/>
  <c r="AA1734" i="1"/>
  <c r="AB1733" i="1"/>
  <c r="AA1733" i="1"/>
  <c r="AB1732" i="1"/>
  <c r="AA1732" i="1"/>
  <c r="AB1731" i="1"/>
  <c r="AA1731" i="1"/>
  <c r="AB1730" i="1"/>
  <c r="AA1730" i="1"/>
  <c r="AB1729" i="1"/>
  <c r="AA1729" i="1"/>
  <c r="AB1728" i="1"/>
  <c r="AA1728" i="1"/>
  <c r="AB1727" i="1"/>
  <c r="AA1727" i="1"/>
  <c r="AB1726" i="1"/>
  <c r="AA1726" i="1"/>
  <c r="AB1725" i="1"/>
  <c r="AA1725" i="1"/>
  <c r="AB1724" i="1"/>
  <c r="AA1724" i="1"/>
  <c r="AB1723" i="1"/>
  <c r="AA1723" i="1"/>
  <c r="AB1722" i="1"/>
  <c r="AA1722" i="1"/>
  <c r="AB1721" i="1"/>
  <c r="AA1721" i="1"/>
  <c r="AB1720" i="1"/>
  <c r="AA1720" i="1"/>
  <c r="AB1719" i="1"/>
  <c r="AA1719" i="1"/>
  <c r="AB1718" i="1"/>
  <c r="AA1718" i="1"/>
  <c r="AB1717" i="1"/>
  <c r="AA1717" i="1"/>
  <c r="AB1716" i="1"/>
  <c r="AA1716" i="1"/>
  <c r="AB1715" i="1"/>
  <c r="AA1715" i="1"/>
  <c r="AB1714" i="1"/>
  <c r="AA1714" i="1"/>
  <c r="AB1713" i="1"/>
  <c r="AA1713" i="1"/>
  <c r="AB1712" i="1"/>
  <c r="AA1712" i="1"/>
  <c r="AB1711" i="1"/>
  <c r="AA1711" i="1"/>
  <c r="AB1710" i="1"/>
  <c r="AA1710" i="1"/>
  <c r="AB1709" i="1"/>
  <c r="AA1709" i="1"/>
  <c r="AB1708" i="1"/>
  <c r="AA1708" i="1"/>
  <c r="AB1707" i="1"/>
  <c r="AA1707" i="1"/>
  <c r="AB1706" i="1"/>
  <c r="AA1706" i="1"/>
  <c r="AB1705" i="1"/>
  <c r="AA1705" i="1"/>
  <c r="AB1704" i="1"/>
  <c r="AA1704" i="1"/>
  <c r="AB1703" i="1"/>
  <c r="AA1703" i="1"/>
  <c r="AB1702" i="1"/>
  <c r="AA1702" i="1"/>
  <c r="AB1701" i="1"/>
  <c r="AA1701" i="1"/>
  <c r="AB1700" i="1"/>
  <c r="AA1700" i="1"/>
  <c r="AB1699" i="1"/>
  <c r="AA1699" i="1"/>
  <c r="AB1698" i="1"/>
  <c r="AA1698" i="1"/>
  <c r="AB1697" i="1"/>
  <c r="AA1697" i="1"/>
  <c r="AB1696" i="1"/>
  <c r="AA1696" i="1"/>
  <c r="AB1695" i="1"/>
  <c r="AA1695" i="1"/>
  <c r="AB1694" i="1"/>
  <c r="AA1694" i="1"/>
  <c r="AB1693" i="1"/>
  <c r="AA1693" i="1"/>
  <c r="AB1692" i="1"/>
  <c r="AA1692" i="1"/>
  <c r="AB1691" i="1"/>
  <c r="AA1691" i="1"/>
  <c r="AB1690" i="1"/>
  <c r="AA1690" i="1"/>
  <c r="AB1689" i="1"/>
  <c r="AA1689" i="1"/>
  <c r="AB1688" i="1"/>
  <c r="AA1688" i="1"/>
  <c r="AB1687" i="1"/>
  <c r="AA1687" i="1"/>
  <c r="AB1686" i="1"/>
  <c r="AA1686" i="1"/>
  <c r="AB1685" i="1"/>
  <c r="AA1685" i="1"/>
  <c r="AB1684" i="1"/>
  <c r="AA1684" i="1"/>
  <c r="AB1683" i="1"/>
  <c r="AA1683" i="1"/>
  <c r="AB1682" i="1"/>
  <c r="AA1682" i="1"/>
  <c r="AB1681" i="1"/>
  <c r="AA1681" i="1"/>
  <c r="AB1680" i="1"/>
  <c r="AA1680" i="1"/>
  <c r="AB1679" i="1"/>
  <c r="AA1679" i="1"/>
  <c r="AB1678" i="1"/>
  <c r="AA1678" i="1"/>
  <c r="AB1677" i="1"/>
  <c r="AA1677" i="1"/>
  <c r="AB1676" i="1"/>
  <c r="AA1676" i="1"/>
  <c r="AB1675" i="1"/>
  <c r="AA1675" i="1"/>
  <c r="AB1674" i="1"/>
  <c r="AA1674" i="1"/>
  <c r="AB1673" i="1"/>
  <c r="AA1673" i="1"/>
  <c r="AB1672" i="1"/>
  <c r="AA1672" i="1"/>
  <c r="AB1671" i="1"/>
  <c r="AA1671" i="1"/>
  <c r="AB1670" i="1"/>
  <c r="AA1670" i="1"/>
  <c r="AB1669" i="1"/>
  <c r="AA1669" i="1"/>
  <c r="AB1668" i="1"/>
  <c r="AA1668" i="1"/>
  <c r="AB1667" i="1"/>
  <c r="AA1667" i="1"/>
  <c r="AB1666" i="1"/>
  <c r="AA1666" i="1"/>
  <c r="AB1665" i="1"/>
  <c r="AA1665" i="1"/>
  <c r="AB1664" i="1"/>
  <c r="AA1664" i="1"/>
  <c r="AB1663" i="1"/>
  <c r="AA1663" i="1"/>
  <c r="AB1662" i="1"/>
  <c r="AA1662" i="1"/>
  <c r="AB1661" i="1"/>
  <c r="AA1661" i="1"/>
  <c r="AB1660" i="1"/>
  <c r="AA1660" i="1"/>
  <c r="AB1659" i="1"/>
  <c r="AA1659" i="1"/>
  <c r="AB1658" i="1"/>
  <c r="AA1658" i="1"/>
  <c r="AB1657" i="1"/>
  <c r="AA1657" i="1"/>
  <c r="AB1656" i="1"/>
  <c r="AA1656" i="1"/>
  <c r="AB1655" i="1"/>
  <c r="AA1655" i="1"/>
  <c r="AB1654" i="1"/>
  <c r="AA1654" i="1"/>
  <c r="AB1653" i="1"/>
  <c r="AA1653" i="1"/>
  <c r="AB1652" i="1"/>
  <c r="AA1652" i="1"/>
  <c r="AB1651" i="1"/>
  <c r="AA1651" i="1"/>
  <c r="AB1650" i="1"/>
  <c r="AA1650" i="1"/>
  <c r="AB1649" i="1"/>
  <c r="AA1649" i="1"/>
  <c r="AB1648" i="1"/>
  <c r="AA1648" i="1"/>
  <c r="AB1647" i="1"/>
  <c r="AA1647" i="1"/>
  <c r="AB1646" i="1"/>
  <c r="AA1646" i="1"/>
  <c r="AB1645" i="1"/>
  <c r="AA1645" i="1"/>
  <c r="AB1644" i="1"/>
  <c r="AA1644" i="1"/>
  <c r="AB1643" i="1"/>
  <c r="AA1643" i="1"/>
  <c r="AB1642" i="1"/>
  <c r="AA1642" i="1"/>
  <c r="AB1641" i="1"/>
  <c r="AA1641" i="1"/>
  <c r="AB1640" i="1"/>
  <c r="AA1640" i="1"/>
  <c r="AB1639" i="1"/>
  <c r="AA1639" i="1"/>
  <c r="AB1638" i="1"/>
  <c r="AA1638" i="1"/>
  <c r="AB1637" i="1"/>
  <c r="AA1637" i="1"/>
  <c r="AB1636" i="1"/>
  <c r="AA1636" i="1"/>
  <c r="AB1635" i="1"/>
  <c r="AA1635" i="1"/>
  <c r="AB1634" i="1"/>
  <c r="AA1634" i="1"/>
  <c r="AB1633" i="1"/>
  <c r="AA1633" i="1"/>
  <c r="AB1632" i="1"/>
  <c r="AA1632" i="1"/>
  <c r="AB1631" i="1"/>
  <c r="AA1631" i="1"/>
  <c r="AB1630" i="1"/>
  <c r="AA1630" i="1"/>
  <c r="AB1629" i="1"/>
  <c r="AA1629" i="1"/>
  <c r="AB1628" i="1"/>
  <c r="AA1628" i="1"/>
  <c r="AB1627" i="1"/>
  <c r="AA1627" i="1"/>
  <c r="AB1626" i="1"/>
  <c r="AA1626" i="1"/>
  <c r="AB1625" i="1"/>
  <c r="AA1625" i="1"/>
  <c r="AB1624" i="1"/>
  <c r="AA1624" i="1"/>
  <c r="AB1623" i="1"/>
  <c r="AA1623" i="1"/>
  <c r="AB1622" i="1"/>
  <c r="AA1622" i="1"/>
  <c r="AB1621" i="1"/>
  <c r="AA1621" i="1"/>
  <c r="AB1620" i="1"/>
  <c r="AA1620" i="1"/>
  <c r="AB1619" i="1"/>
  <c r="AA1619" i="1"/>
  <c r="AB1618" i="1"/>
  <c r="AA1618" i="1"/>
  <c r="AB1617" i="1"/>
  <c r="AA1617" i="1"/>
  <c r="AB1616" i="1"/>
  <c r="AA1616" i="1"/>
  <c r="AB1615" i="1"/>
  <c r="AA1615" i="1"/>
  <c r="AB1614" i="1"/>
  <c r="AA1614" i="1"/>
  <c r="AB1613" i="1"/>
  <c r="AA1613" i="1"/>
  <c r="AB1612" i="1"/>
  <c r="AA1612" i="1"/>
  <c r="AB1611" i="1"/>
  <c r="AA1611" i="1"/>
  <c r="AB1610" i="1"/>
  <c r="AA1610" i="1"/>
  <c r="AB1609" i="1"/>
  <c r="AA1609" i="1"/>
  <c r="AB1608" i="1"/>
  <c r="AA1608" i="1"/>
  <c r="AB1607" i="1"/>
  <c r="AA1607" i="1"/>
  <c r="AB1606" i="1"/>
  <c r="AA1606" i="1"/>
  <c r="AB1605" i="1"/>
  <c r="AA1605" i="1"/>
  <c r="AB1604" i="1"/>
  <c r="AA1604" i="1"/>
  <c r="AB1603" i="1"/>
  <c r="AA1603" i="1"/>
  <c r="AB1602" i="1"/>
  <c r="AA1602" i="1"/>
  <c r="AB1601" i="1"/>
  <c r="AA1601" i="1"/>
  <c r="AB1600" i="1"/>
  <c r="AA1600" i="1"/>
  <c r="AB1599" i="1"/>
  <c r="AA1599" i="1"/>
  <c r="AB1598" i="1"/>
  <c r="AA1598" i="1"/>
  <c r="AB1597" i="1"/>
  <c r="AA1597" i="1"/>
  <c r="AB1596" i="1"/>
  <c r="AA1596" i="1"/>
  <c r="AB1595" i="1"/>
  <c r="AA1595" i="1"/>
  <c r="AB1594" i="1"/>
  <c r="AA1594" i="1"/>
  <c r="AB1593" i="1"/>
  <c r="AA1593" i="1"/>
  <c r="AB1592" i="1"/>
  <c r="AA1592" i="1"/>
  <c r="AB1591" i="1"/>
  <c r="AA1591" i="1"/>
  <c r="AB1590" i="1"/>
  <c r="AA1590" i="1"/>
  <c r="AB1589" i="1"/>
  <c r="AA1589" i="1"/>
  <c r="AB1588" i="1"/>
  <c r="AA1588" i="1"/>
  <c r="AB1587" i="1"/>
  <c r="AA1587" i="1"/>
  <c r="AB1586" i="1"/>
  <c r="AA1586" i="1"/>
  <c r="AB1585" i="1"/>
  <c r="AA1585" i="1"/>
  <c r="AB1584" i="1"/>
  <c r="AA1584" i="1"/>
  <c r="AB1583" i="1"/>
  <c r="AA1583" i="1"/>
  <c r="AB1582" i="1"/>
  <c r="AA1582" i="1"/>
  <c r="AB1581" i="1"/>
  <c r="AA1581" i="1"/>
  <c r="AB1580" i="1"/>
  <c r="AA1580" i="1"/>
  <c r="AB1579" i="1"/>
  <c r="AA1579" i="1"/>
  <c r="AB1578" i="1"/>
  <c r="AA1578" i="1"/>
  <c r="AB1577" i="1"/>
  <c r="AA1577" i="1"/>
  <c r="AB1576" i="1"/>
  <c r="AA1576" i="1"/>
  <c r="AB1575" i="1"/>
  <c r="AA1575" i="1"/>
  <c r="AB1574" i="1"/>
  <c r="AA1574" i="1"/>
  <c r="AB1573" i="1"/>
  <c r="AA1573" i="1"/>
  <c r="AB1572" i="1"/>
  <c r="AA1572" i="1"/>
  <c r="AB1571" i="1"/>
  <c r="AA1571" i="1"/>
  <c r="AB1570" i="1"/>
  <c r="AA1570" i="1"/>
  <c r="AB1569" i="1"/>
  <c r="AA1569" i="1"/>
  <c r="AB1568" i="1"/>
  <c r="AA1568" i="1"/>
  <c r="AB1567" i="1"/>
  <c r="AA1567" i="1"/>
  <c r="AB1566" i="1"/>
  <c r="AA1566" i="1"/>
  <c r="AB1565" i="1"/>
  <c r="AA1565" i="1"/>
  <c r="AB1564" i="1"/>
  <c r="AA1564" i="1"/>
  <c r="AB1563" i="1"/>
  <c r="AA1563" i="1"/>
  <c r="AB1562" i="1"/>
  <c r="AA1562" i="1"/>
  <c r="AB1561" i="1"/>
  <c r="AA1561" i="1"/>
  <c r="AB1560" i="1"/>
  <c r="AA1560" i="1"/>
  <c r="AB1559" i="1"/>
  <c r="AA1559" i="1"/>
  <c r="AB1558" i="1"/>
  <c r="AA1558" i="1"/>
  <c r="AB1557" i="1"/>
  <c r="AA1557" i="1"/>
  <c r="AB1556" i="1"/>
  <c r="AA1556" i="1"/>
  <c r="AB1555" i="1"/>
  <c r="AA1555" i="1"/>
  <c r="AB1554" i="1"/>
  <c r="AA1554" i="1"/>
  <c r="AB1553" i="1"/>
  <c r="AA1553" i="1"/>
  <c r="AB1552" i="1"/>
  <c r="AA1552" i="1"/>
  <c r="AB1551" i="1"/>
  <c r="AA1551" i="1"/>
  <c r="AB1550" i="1"/>
  <c r="AA1550" i="1"/>
  <c r="AB1549" i="1"/>
  <c r="AA1549" i="1"/>
  <c r="AB1548" i="1"/>
  <c r="AA1548" i="1"/>
  <c r="AB1547" i="1"/>
  <c r="AA1547" i="1"/>
  <c r="AB1546" i="1"/>
  <c r="AA1546" i="1"/>
  <c r="AB1545" i="1"/>
  <c r="AA1545" i="1"/>
  <c r="AB1544" i="1"/>
  <c r="AA1544" i="1"/>
  <c r="AB1543" i="1"/>
  <c r="AA1543" i="1"/>
  <c r="AB1542" i="1"/>
  <c r="AA1542" i="1"/>
  <c r="AB1541" i="1"/>
  <c r="AA1541" i="1"/>
  <c r="AB1540" i="1"/>
  <c r="AA1540" i="1"/>
  <c r="AB1539" i="1"/>
  <c r="AA1539" i="1"/>
  <c r="AB1538" i="1"/>
  <c r="AA1538" i="1"/>
  <c r="AB1537" i="1"/>
  <c r="AA1537" i="1"/>
  <c r="AB1536" i="1"/>
  <c r="AA1536" i="1"/>
  <c r="AB1535" i="1"/>
  <c r="AA1535" i="1"/>
  <c r="AB1534" i="1"/>
  <c r="AA1534" i="1"/>
  <c r="AB1533" i="1"/>
  <c r="AA1533" i="1"/>
  <c r="AB1532" i="1"/>
  <c r="AA1532" i="1"/>
  <c r="AB1531" i="1"/>
  <c r="AA1531" i="1"/>
  <c r="AB1530" i="1"/>
  <c r="AA1530" i="1"/>
  <c r="AB1529" i="1"/>
  <c r="AA1529" i="1"/>
  <c r="AB1528" i="1"/>
  <c r="AA1528" i="1"/>
  <c r="AB1527" i="1"/>
  <c r="AA1527" i="1"/>
  <c r="AB1526" i="1"/>
  <c r="AA1526" i="1"/>
  <c r="AB1525" i="1"/>
  <c r="AA1525" i="1"/>
  <c r="AB1524" i="1"/>
  <c r="AA1524" i="1"/>
  <c r="AB1523" i="1"/>
  <c r="AA1523" i="1"/>
  <c r="AB1522" i="1"/>
  <c r="AA1522" i="1"/>
  <c r="AB1521" i="1"/>
  <c r="AA1521" i="1"/>
  <c r="AB1520" i="1"/>
  <c r="AA1520" i="1"/>
  <c r="AB1519" i="1"/>
  <c r="AA1519" i="1"/>
  <c r="AB1518" i="1"/>
  <c r="AA1518" i="1"/>
  <c r="AB1517" i="1"/>
  <c r="AA1517" i="1"/>
  <c r="AB1516" i="1"/>
  <c r="AA1516" i="1"/>
  <c r="AB1515" i="1"/>
  <c r="AA1515" i="1"/>
  <c r="AB1514" i="1"/>
  <c r="AA1514" i="1"/>
  <c r="AB1513" i="1"/>
  <c r="AA1513" i="1"/>
  <c r="AB1512" i="1"/>
  <c r="AA1512" i="1"/>
  <c r="AB1511" i="1"/>
  <c r="AA1511" i="1"/>
  <c r="AB1510" i="1"/>
  <c r="AA1510" i="1"/>
  <c r="AB1509" i="1"/>
  <c r="AA1509" i="1"/>
  <c r="AB1508" i="1"/>
  <c r="AA1508" i="1"/>
  <c r="AB1507" i="1"/>
  <c r="AA1507" i="1"/>
  <c r="AB1506" i="1"/>
  <c r="AA1506" i="1"/>
  <c r="AB1505" i="1"/>
  <c r="AA1505" i="1"/>
  <c r="AB1504" i="1"/>
  <c r="AA1504" i="1"/>
  <c r="AB1503" i="1"/>
  <c r="AA1503" i="1"/>
  <c r="AB1502" i="1"/>
  <c r="AA1502" i="1"/>
  <c r="AB1501" i="1"/>
  <c r="AA1501" i="1"/>
  <c r="AB1500" i="1"/>
  <c r="AA1500" i="1"/>
  <c r="AB1499" i="1"/>
  <c r="AA1499" i="1"/>
  <c r="AB1498" i="1"/>
  <c r="AA1498" i="1"/>
  <c r="AB1497" i="1"/>
  <c r="AA1497" i="1"/>
  <c r="AB1496" i="1"/>
  <c r="AA1496" i="1"/>
  <c r="AB1495" i="1"/>
  <c r="AA1495" i="1"/>
  <c r="AB1494" i="1"/>
  <c r="AA1494" i="1"/>
  <c r="AB1493" i="1"/>
  <c r="AA1493" i="1"/>
  <c r="AB1492" i="1"/>
  <c r="AA1492" i="1"/>
  <c r="AB1491" i="1"/>
  <c r="AA1491" i="1"/>
  <c r="AB1490" i="1"/>
  <c r="AA1490" i="1"/>
  <c r="AB1489" i="1"/>
  <c r="AA1489" i="1"/>
  <c r="AB1488" i="1"/>
  <c r="AA1488" i="1"/>
  <c r="AB1487" i="1"/>
  <c r="AA1487" i="1"/>
  <c r="AB1486" i="1"/>
  <c r="AA1486" i="1"/>
  <c r="AB1485" i="1"/>
  <c r="AA1485" i="1"/>
  <c r="AB1484" i="1"/>
  <c r="AA1484" i="1"/>
  <c r="AB1483" i="1"/>
  <c r="AA1483" i="1"/>
  <c r="AB1482" i="1"/>
  <c r="AA1482" i="1"/>
  <c r="AB1481" i="1"/>
  <c r="AA1481" i="1"/>
  <c r="AB1480" i="1"/>
  <c r="AA1480" i="1"/>
  <c r="AB1479" i="1"/>
  <c r="AA1479" i="1"/>
  <c r="AB1478" i="1"/>
  <c r="AA1478" i="1"/>
  <c r="AB1477" i="1"/>
  <c r="AA1477" i="1"/>
  <c r="AB1476" i="1"/>
  <c r="AA1476" i="1"/>
  <c r="AB1475" i="1"/>
  <c r="AA1475" i="1"/>
  <c r="AB1474" i="1"/>
  <c r="AA1474" i="1"/>
  <c r="AB1473" i="1"/>
  <c r="AA1473" i="1"/>
  <c r="AB1472" i="1"/>
  <c r="AA1472" i="1"/>
  <c r="AB1471" i="1"/>
  <c r="AA1471" i="1"/>
  <c r="AB1470" i="1"/>
  <c r="AA1470" i="1"/>
  <c r="AB1469" i="1"/>
  <c r="AA1469" i="1"/>
  <c r="AB1468" i="1"/>
  <c r="AA1468" i="1"/>
  <c r="AB1467" i="1"/>
  <c r="AA1467" i="1"/>
  <c r="AB1466" i="1"/>
  <c r="AA1466" i="1"/>
  <c r="AB1465" i="1"/>
  <c r="AA1465" i="1"/>
  <c r="AB1464" i="1"/>
  <c r="AA1464" i="1"/>
  <c r="AB1463" i="1"/>
  <c r="AA1463" i="1"/>
  <c r="AB1462" i="1"/>
  <c r="AA1462" i="1"/>
  <c r="AB1461" i="1"/>
  <c r="AA1461" i="1"/>
  <c r="AB1460" i="1"/>
  <c r="AA1460" i="1"/>
  <c r="AB1459" i="1"/>
  <c r="AA1459" i="1"/>
  <c r="AB1458" i="1"/>
  <c r="AA1458" i="1"/>
  <c r="AB1457" i="1"/>
  <c r="AA1457" i="1"/>
  <c r="AB1456" i="1"/>
  <c r="AA1456" i="1"/>
  <c r="AB1455" i="1"/>
  <c r="AA1455" i="1"/>
  <c r="AB1454" i="1"/>
  <c r="AA1454" i="1"/>
  <c r="AB1453" i="1"/>
  <c r="AA1453" i="1"/>
  <c r="AB1452" i="1"/>
  <c r="AA1452" i="1"/>
  <c r="AB1451" i="1"/>
  <c r="AA1451" i="1"/>
  <c r="AB1450" i="1"/>
  <c r="AA1450" i="1"/>
  <c r="AB1449" i="1"/>
  <c r="AA1449" i="1"/>
  <c r="AB1448" i="1"/>
  <c r="AA1448" i="1"/>
  <c r="AB1447" i="1"/>
  <c r="AA1447" i="1"/>
  <c r="AB1446" i="1"/>
  <c r="AA1446" i="1"/>
  <c r="AB1445" i="1"/>
  <c r="AA1445" i="1"/>
  <c r="AB1444" i="1"/>
  <c r="AA1444" i="1"/>
  <c r="AB1443" i="1"/>
  <c r="AA1443" i="1"/>
  <c r="AB1442" i="1"/>
  <c r="AA1442" i="1"/>
  <c r="AB1441" i="1"/>
  <c r="AA1441" i="1"/>
  <c r="AB1440" i="1"/>
  <c r="AA1440" i="1"/>
  <c r="AB1439" i="1"/>
  <c r="AA1439" i="1"/>
  <c r="AB1438" i="1"/>
  <c r="AA1438" i="1"/>
  <c r="AB1437" i="1"/>
  <c r="AA1437" i="1"/>
  <c r="AB1436" i="1"/>
  <c r="AA1436" i="1"/>
  <c r="AB1435" i="1"/>
  <c r="AA1435" i="1"/>
  <c r="AB1434" i="1"/>
  <c r="AA1434" i="1"/>
  <c r="AB1433" i="1"/>
  <c r="AA1433" i="1"/>
  <c r="AB1432" i="1"/>
  <c r="AA1432" i="1"/>
  <c r="AB1431" i="1"/>
  <c r="AA1431" i="1"/>
  <c r="AB1430" i="1"/>
  <c r="AA1430" i="1"/>
  <c r="AB1429" i="1"/>
  <c r="AA1429" i="1"/>
  <c r="AB1428" i="1"/>
  <c r="AA1428" i="1"/>
  <c r="AB1427" i="1"/>
  <c r="AA1427" i="1"/>
  <c r="AB1426" i="1"/>
  <c r="AA1426" i="1"/>
  <c r="AB1425" i="1"/>
  <c r="AA1425" i="1"/>
  <c r="AB1424" i="1"/>
  <c r="AA1424" i="1"/>
  <c r="AB1423" i="1"/>
  <c r="AA1423" i="1"/>
  <c r="AB1422" i="1"/>
  <c r="AA1422" i="1"/>
  <c r="AB1421" i="1"/>
  <c r="AA1421" i="1"/>
  <c r="AB1420" i="1"/>
  <c r="AA1420" i="1"/>
  <c r="AB1419" i="1"/>
  <c r="AA1419" i="1"/>
  <c r="AB1418" i="1"/>
  <c r="AA1418" i="1"/>
  <c r="AB1417" i="1"/>
  <c r="AA1417" i="1"/>
  <c r="AB1416" i="1"/>
  <c r="AA1416" i="1"/>
  <c r="AB1415" i="1"/>
  <c r="AA1415" i="1"/>
  <c r="AB1414" i="1"/>
  <c r="AA1414" i="1"/>
  <c r="AB1413" i="1"/>
  <c r="AA1413" i="1"/>
  <c r="AB1412" i="1"/>
  <c r="AA1412" i="1"/>
  <c r="AB1411" i="1"/>
  <c r="AA1411" i="1"/>
  <c r="AB1410" i="1"/>
  <c r="AA1410" i="1"/>
  <c r="AB1409" i="1"/>
  <c r="AA1409" i="1"/>
  <c r="AB1408" i="1"/>
  <c r="AA1408" i="1"/>
  <c r="AB1407" i="1"/>
  <c r="AA1407" i="1"/>
  <c r="AB1406" i="1"/>
  <c r="AA1406" i="1"/>
  <c r="AB1405" i="1"/>
  <c r="AA1405" i="1"/>
  <c r="AB1404" i="1"/>
  <c r="AA1404" i="1"/>
  <c r="AB1403" i="1"/>
  <c r="AA1403" i="1"/>
  <c r="AB1402" i="1"/>
  <c r="AA1402" i="1"/>
  <c r="AB1401" i="1"/>
  <c r="AA1401" i="1"/>
  <c r="AB1400" i="1"/>
  <c r="AA1400" i="1"/>
  <c r="AB1399" i="1"/>
  <c r="AA1399" i="1"/>
  <c r="AB1398" i="1"/>
  <c r="AA1398" i="1"/>
  <c r="AB1397" i="1"/>
  <c r="AA1397" i="1"/>
  <c r="AB1396" i="1"/>
  <c r="AA1396" i="1"/>
  <c r="AB1395" i="1"/>
  <c r="AA1395" i="1"/>
  <c r="AB1394" i="1"/>
  <c r="AA1394" i="1"/>
  <c r="AB1393" i="1"/>
  <c r="AA1393" i="1"/>
  <c r="AB1392" i="1"/>
  <c r="AA1392" i="1"/>
  <c r="AB1391" i="1"/>
  <c r="AA1391" i="1"/>
  <c r="AB1390" i="1"/>
  <c r="AA1390" i="1"/>
  <c r="AB1389" i="1"/>
  <c r="AA1389" i="1"/>
  <c r="AB1388" i="1"/>
  <c r="AA1388" i="1"/>
  <c r="AB1387" i="1"/>
  <c r="AA1387" i="1"/>
  <c r="AB1386" i="1"/>
  <c r="AA1386" i="1"/>
  <c r="AB1385" i="1"/>
  <c r="AA1385" i="1"/>
  <c r="AB1384" i="1"/>
  <c r="AA1384" i="1"/>
  <c r="AB1383" i="1"/>
  <c r="AA1383" i="1"/>
  <c r="AB1382" i="1"/>
  <c r="AA1382" i="1"/>
  <c r="AB1381" i="1"/>
  <c r="AA1381" i="1"/>
  <c r="AB1380" i="1"/>
  <c r="AA1380" i="1"/>
  <c r="AB1379" i="1"/>
  <c r="AA1379" i="1"/>
  <c r="AB1378" i="1"/>
  <c r="AA1378" i="1"/>
  <c r="AB1377" i="1"/>
  <c r="AA1377" i="1"/>
  <c r="AB1376" i="1"/>
  <c r="AA1376" i="1"/>
  <c r="AB1375" i="1"/>
  <c r="AA1375" i="1"/>
  <c r="AB1374" i="1"/>
  <c r="AA1374" i="1"/>
  <c r="AB1373" i="1"/>
  <c r="AA1373" i="1"/>
  <c r="AB1372" i="1"/>
  <c r="AA1372" i="1"/>
  <c r="AB1371" i="1"/>
  <c r="AA1371" i="1"/>
  <c r="AB1370" i="1"/>
  <c r="AA1370" i="1"/>
  <c r="AB1369" i="1"/>
  <c r="AA1369" i="1"/>
  <c r="AB1368" i="1"/>
  <c r="AA1368" i="1"/>
  <c r="AB1367" i="1"/>
  <c r="AA1367" i="1"/>
  <c r="AB1366" i="1"/>
  <c r="AA1366" i="1"/>
  <c r="AB1365" i="1"/>
  <c r="AA1365" i="1"/>
  <c r="AB1364" i="1"/>
  <c r="AA1364" i="1"/>
  <c r="AB1363" i="1"/>
  <c r="AA1363" i="1"/>
  <c r="AB1362" i="1"/>
  <c r="AA1362" i="1"/>
  <c r="AB1361" i="1"/>
  <c r="AA1361" i="1"/>
  <c r="AB1360" i="1"/>
  <c r="AA1360" i="1"/>
  <c r="AB1359" i="1"/>
  <c r="AA1359" i="1"/>
  <c r="AB1358" i="1"/>
  <c r="AA1358" i="1"/>
  <c r="AB1357" i="1"/>
  <c r="AA1357" i="1"/>
  <c r="AB1356" i="1"/>
  <c r="AA1356" i="1"/>
  <c r="AB1355" i="1"/>
  <c r="AA1355" i="1"/>
  <c r="AB1354" i="1"/>
  <c r="AA1354" i="1"/>
  <c r="AB1353" i="1"/>
  <c r="AA1353" i="1"/>
  <c r="AB1352" i="1"/>
  <c r="AA1352" i="1"/>
  <c r="AB1351" i="1"/>
  <c r="AA1351" i="1"/>
  <c r="AB1350" i="1"/>
  <c r="AA1350" i="1"/>
  <c r="AB1349" i="1"/>
  <c r="AA1349" i="1"/>
  <c r="AB1348" i="1"/>
  <c r="AA1348" i="1"/>
  <c r="AB1347" i="1"/>
  <c r="AA1347" i="1"/>
  <c r="AB1346" i="1"/>
  <c r="AA1346" i="1"/>
  <c r="AB1345" i="1"/>
  <c r="AA1345" i="1"/>
  <c r="AB1344" i="1"/>
  <c r="AA1344" i="1"/>
  <c r="AB1343" i="1"/>
  <c r="AA1343" i="1"/>
  <c r="AB1342" i="1"/>
  <c r="AA1342" i="1"/>
  <c r="AB1341" i="1"/>
  <c r="AA1341" i="1"/>
  <c r="AB1340" i="1"/>
  <c r="AA1340" i="1"/>
  <c r="AB1339" i="1"/>
  <c r="AA1339" i="1"/>
  <c r="AB1338" i="1"/>
  <c r="AA1338" i="1"/>
  <c r="AB1337" i="1"/>
  <c r="AA1337" i="1"/>
  <c r="AB1336" i="1"/>
  <c r="AA1336" i="1"/>
  <c r="AB1335" i="1"/>
  <c r="AA1335" i="1"/>
  <c r="AB1334" i="1"/>
  <c r="AA1334" i="1"/>
  <c r="AB1333" i="1"/>
  <c r="AA1333" i="1"/>
  <c r="AB1332" i="1"/>
  <c r="AA1332" i="1"/>
  <c r="AB1331" i="1"/>
  <c r="AA1331" i="1"/>
  <c r="AB1330" i="1"/>
  <c r="AA1330" i="1"/>
  <c r="AB1329" i="1"/>
  <c r="AA1329" i="1"/>
  <c r="AB1328" i="1"/>
  <c r="AA1328" i="1"/>
  <c r="AB1327" i="1"/>
  <c r="AA1327" i="1"/>
  <c r="AB1326" i="1"/>
  <c r="AA1326" i="1"/>
  <c r="AB1325" i="1"/>
  <c r="AA1325" i="1"/>
  <c r="AB1324" i="1"/>
  <c r="AA1324" i="1"/>
  <c r="AB1323" i="1"/>
  <c r="AA1323" i="1"/>
  <c r="AB1322" i="1"/>
  <c r="AA1322" i="1"/>
  <c r="AB1321" i="1"/>
  <c r="AA1321" i="1"/>
  <c r="AB1320" i="1"/>
  <c r="AA1320" i="1"/>
  <c r="AB1319" i="1"/>
  <c r="AA1319" i="1"/>
  <c r="AB1318" i="1"/>
  <c r="AA1318" i="1"/>
  <c r="AB1317" i="1"/>
  <c r="AA1317" i="1"/>
  <c r="AB1316" i="1"/>
  <c r="AA1316" i="1"/>
  <c r="AB1315" i="1"/>
  <c r="AA1315" i="1"/>
  <c r="AB1314" i="1"/>
  <c r="AA1314" i="1"/>
  <c r="AB1313" i="1"/>
  <c r="AA1313" i="1"/>
  <c r="AB1312" i="1"/>
  <c r="AA1312" i="1"/>
  <c r="AB1311" i="1"/>
  <c r="AA1311" i="1"/>
  <c r="AB1310" i="1"/>
  <c r="AA1310" i="1"/>
  <c r="AB1309" i="1"/>
  <c r="AA1309" i="1"/>
  <c r="AB1308" i="1"/>
  <c r="AA1308" i="1"/>
  <c r="AB1307" i="1"/>
  <c r="AA1307" i="1"/>
  <c r="AB1306" i="1"/>
  <c r="AA1306" i="1"/>
  <c r="AB1305" i="1"/>
  <c r="AA1305" i="1"/>
  <c r="AB1304" i="1"/>
  <c r="AA1304" i="1"/>
  <c r="AB1303" i="1"/>
  <c r="AA1303" i="1"/>
  <c r="AB1302" i="1"/>
  <c r="AA1302" i="1"/>
  <c r="AB1301" i="1"/>
  <c r="AA1301" i="1"/>
  <c r="AB1300" i="1"/>
  <c r="AA1300" i="1"/>
  <c r="AB1299" i="1"/>
  <c r="AA1299" i="1"/>
  <c r="AB1298" i="1"/>
  <c r="AA1298" i="1"/>
  <c r="AB1297" i="1"/>
  <c r="AA1297" i="1"/>
  <c r="AB1296" i="1"/>
  <c r="AA1296" i="1"/>
  <c r="AB1295" i="1"/>
  <c r="AA1295" i="1"/>
  <c r="AB1294" i="1"/>
  <c r="AA1294" i="1"/>
  <c r="AB1293" i="1"/>
  <c r="AA1293" i="1"/>
  <c r="AB1292" i="1"/>
  <c r="AA1292" i="1"/>
  <c r="AB1291" i="1"/>
  <c r="AA1291" i="1"/>
  <c r="AB1290" i="1"/>
  <c r="AA1290" i="1"/>
  <c r="AB1289" i="1"/>
  <c r="AA1289" i="1"/>
  <c r="AB1288" i="1"/>
  <c r="AA1288" i="1"/>
  <c r="AB1287" i="1"/>
  <c r="AA1287" i="1"/>
  <c r="AB1286" i="1"/>
  <c r="AA1286" i="1"/>
  <c r="AB1285" i="1"/>
  <c r="AA1285" i="1"/>
  <c r="AB1284" i="1"/>
  <c r="AA1284" i="1"/>
  <c r="AB1283" i="1"/>
  <c r="AA1283" i="1"/>
  <c r="AB1282" i="1"/>
  <c r="AA1282" i="1"/>
  <c r="AB1281" i="1"/>
  <c r="AA1281" i="1"/>
  <c r="AB1280" i="1"/>
  <c r="AA1280" i="1"/>
  <c r="AB1279" i="1"/>
  <c r="AA1279" i="1"/>
  <c r="AB1278" i="1"/>
  <c r="AA1278" i="1"/>
  <c r="AB1277" i="1"/>
  <c r="AA1277" i="1"/>
  <c r="AB1276" i="1"/>
  <c r="AA1276" i="1"/>
  <c r="AB1275" i="1"/>
  <c r="AA1275" i="1"/>
  <c r="AB1274" i="1"/>
  <c r="AA1274" i="1"/>
  <c r="AB1273" i="1"/>
  <c r="AA1273" i="1"/>
  <c r="AB1272" i="1"/>
  <c r="AA1272" i="1"/>
  <c r="AB1271" i="1"/>
  <c r="AA1271" i="1"/>
  <c r="AB1270" i="1"/>
  <c r="AA1270" i="1"/>
  <c r="AB1269" i="1"/>
  <c r="AA1269" i="1"/>
  <c r="AB1268" i="1"/>
  <c r="AA1268" i="1"/>
  <c r="AB1267" i="1"/>
  <c r="AA1267" i="1"/>
  <c r="AB1266" i="1"/>
  <c r="AA1266" i="1"/>
  <c r="AB1265" i="1"/>
  <c r="AA1265" i="1"/>
  <c r="AB1264" i="1"/>
  <c r="AA1264" i="1"/>
  <c r="AB1263" i="1"/>
  <c r="AA1263" i="1"/>
  <c r="AB1262" i="1"/>
  <c r="AA1262" i="1"/>
  <c r="AB1261" i="1"/>
  <c r="AA1261" i="1"/>
  <c r="AB1260" i="1"/>
  <c r="AA1260" i="1"/>
  <c r="AB1259" i="1"/>
  <c r="AA1259" i="1"/>
  <c r="AB1258" i="1"/>
  <c r="AA1258" i="1"/>
  <c r="AB1257" i="1"/>
  <c r="AA1257" i="1"/>
  <c r="AB1256" i="1"/>
  <c r="AA1256" i="1"/>
  <c r="AB1255" i="1"/>
  <c r="AA1255" i="1"/>
  <c r="AB1254" i="1"/>
  <c r="AA1254" i="1"/>
  <c r="AB1253" i="1"/>
  <c r="AA1253" i="1"/>
  <c r="AB1252" i="1"/>
  <c r="AA1252" i="1"/>
  <c r="AB1251" i="1"/>
  <c r="AA1251" i="1"/>
  <c r="AB1250" i="1"/>
  <c r="AA1250" i="1"/>
  <c r="AB1249" i="1"/>
  <c r="AA1249" i="1"/>
  <c r="AB1248" i="1"/>
  <c r="AA1248" i="1"/>
  <c r="AB1247" i="1"/>
  <c r="AA1247" i="1"/>
  <c r="AB1246" i="1"/>
  <c r="AA1246" i="1"/>
  <c r="AB1245" i="1"/>
  <c r="AA1245" i="1"/>
  <c r="AB1244" i="1"/>
  <c r="AA1244" i="1"/>
  <c r="AB1243" i="1"/>
  <c r="AA1243" i="1"/>
  <c r="AB1242" i="1"/>
  <c r="AA1242" i="1"/>
  <c r="AB1241" i="1"/>
  <c r="AA1241" i="1"/>
  <c r="AB1240" i="1"/>
  <c r="AA1240" i="1"/>
  <c r="AB1239" i="1"/>
  <c r="AA1239" i="1"/>
  <c r="AB1238" i="1"/>
  <c r="AA1238" i="1"/>
  <c r="AB1237" i="1"/>
  <c r="AA1237" i="1"/>
  <c r="AB1236" i="1"/>
  <c r="AA1236" i="1"/>
  <c r="AB1235" i="1"/>
  <c r="AA1235" i="1"/>
  <c r="AB1234" i="1"/>
  <c r="AA1234" i="1"/>
  <c r="AB1233" i="1"/>
  <c r="AA1233" i="1"/>
  <c r="AB1232" i="1"/>
  <c r="AA1232" i="1"/>
  <c r="AB1231" i="1"/>
  <c r="AA1231" i="1"/>
  <c r="AB1230" i="1"/>
  <c r="AA1230" i="1"/>
  <c r="AB1229" i="1"/>
  <c r="AA1229" i="1"/>
  <c r="AB1228" i="1"/>
  <c r="AA1228" i="1"/>
  <c r="AB1227" i="1"/>
  <c r="AA1227" i="1"/>
  <c r="AB1226" i="1"/>
  <c r="AA1226" i="1"/>
  <c r="AB1225" i="1"/>
  <c r="AA1225" i="1"/>
  <c r="AB1224" i="1"/>
  <c r="AA1224" i="1"/>
  <c r="AB1223" i="1"/>
  <c r="AA1223" i="1"/>
  <c r="AB1222" i="1"/>
  <c r="AA1222" i="1"/>
  <c r="AB1221" i="1"/>
  <c r="AA1221" i="1"/>
  <c r="AB1220" i="1"/>
  <c r="AA1220" i="1"/>
  <c r="AB1219" i="1"/>
  <c r="AA1219" i="1"/>
  <c r="AB1218" i="1"/>
  <c r="AA1218" i="1"/>
  <c r="AB1217" i="1"/>
  <c r="AA1217" i="1"/>
  <c r="AB1216" i="1"/>
  <c r="AA1216" i="1"/>
  <c r="AB1215" i="1"/>
  <c r="AA1215" i="1"/>
  <c r="AB1214" i="1"/>
  <c r="AA1214" i="1"/>
  <c r="AB1213" i="1"/>
  <c r="AA1213" i="1"/>
  <c r="AB1212" i="1"/>
  <c r="AA1212" i="1"/>
  <c r="AB1211" i="1"/>
  <c r="AA1211" i="1"/>
  <c r="AB1210" i="1"/>
  <c r="AA1210" i="1"/>
  <c r="AB1209" i="1"/>
  <c r="AA1209" i="1"/>
  <c r="AB1208" i="1"/>
  <c r="AA1208" i="1"/>
  <c r="AB1207" i="1"/>
  <c r="AA1207" i="1"/>
  <c r="AB1206" i="1"/>
  <c r="AA1206" i="1"/>
  <c r="AB1205" i="1"/>
  <c r="AA1205" i="1"/>
  <c r="AB1204" i="1"/>
  <c r="AA1204" i="1"/>
  <c r="AB1203" i="1"/>
  <c r="AA1203" i="1"/>
  <c r="AB1202" i="1"/>
  <c r="AA1202" i="1"/>
  <c r="AB1201" i="1"/>
  <c r="AA1201" i="1"/>
  <c r="AB1200" i="1"/>
  <c r="AA1200" i="1"/>
  <c r="AB1199" i="1"/>
  <c r="AA1199" i="1"/>
  <c r="AB1198" i="1"/>
  <c r="AA1198" i="1"/>
  <c r="AB1197" i="1"/>
  <c r="AA1197" i="1"/>
  <c r="AB1196" i="1"/>
  <c r="AA1196" i="1"/>
  <c r="AB1195" i="1"/>
  <c r="AA1195" i="1"/>
  <c r="AB1194" i="1"/>
  <c r="AA1194" i="1"/>
  <c r="AB1193" i="1"/>
  <c r="AA1193" i="1"/>
  <c r="AB1192" i="1"/>
  <c r="AA1192" i="1"/>
  <c r="AB1191" i="1"/>
  <c r="AA1191" i="1"/>
  <c r="AB1190" i="1"/>
  <c r="AA1190" i="1"/>
  <c r="AB1189" i="1"/>
  <c r="AA1189" i="1"/>
  <c r="AB1188" i="1"/>
  <c r="AA1188" i="1"/>
  <c r="AB1187" i="1"/>
  <c r="AA1187" i="1"/>
  <c r="AB1186" i="1"/>
  <c r="AA1186" i="1"/>
  <c r="AB1185" i="1"/>
  <c r="AA1185" i="1"/>
  <c r="AB1184" i="1"/>
  <c r="AA1184" i="1"/>
  <c r="AB1183" i="1"/>
  <c r="AA1183" i="1"/>
  <c r="AB1182" i="1"/>
  <c r="AA1182" i="1"/>
  <c r="AB1181" i="1"/>
  <c r="AA1181" i="1"/>
  <c r="AB1180" i="1"/>
  <c r="AA1180" i="1"/>
  <c r="AB1179" i="1"/>
  <c r="AA1179" i="1"/>
  <c r="AB1178" i="1"/>
  <c r="AA1178" i="1"/>
  <c r="AB1177" i="1"/>
  <c r="AA1177" i="1"/>
  <c r="AB1176" i="1"/>
  <c r="AA1176" i="1"/>
  <c r="AB1175" i="1"/>
  <c r="AA1175" i="1"/>
  <c r="AB1174" i="1"/>
  <c r="AA1174" i="1"/>
  <c r="AB1173" i="1"/>
  <c r="AA1173" i="1"/>
  <c r="AB1172" i="1"/>
  <c r="AA1172" i="1"/>
  <c r="AB1171" i="1"/>
  <c r="AA1171" i="1"/>
  <c r="AB1170" i="1"/>
  <c r="AA1170" i="1"/>
  <c r="AB1169" i="1"/>
  <c r="AA1169" i="1"/>
  <c r="AB1168" i="1"/>
  <c r="AA1168" i="1"/>
  <c r="AB1167" i="1"/>
  <c r="AA1167" i="1"/>
  <c r="AB1166" i="1"/>
  <c r="AA1166" i="1"/>
  <c r="AB1165" i="1"/>
  <c r="AA1165" i="1"/>
  <c r="AB1164" i="1"/>
  <c r="AA1164" i="1"/>
  <c r="AB1163" i="1"/>
  <c r="AA1163" i="1"/>
  <c r="AB1162" i="1"/>
  <c r="AA1162" i="1"/>
  <c r="AB1161" i="1"/>
  <c r="AA1161" i="1"/>
  <c r="AB1160" i="1"/>
  <c r="AA1160" i="1"/>
  <c r="AB1159" i="1"/>
  <c r="AA1159" i="1"/>
  <c r="AB1158" i="1"/>
  <c r="AA1158" i="1"/>
  <c r="AB1157" i="1"/>
  <c r="AA1157" i="1"/>
  <c r="AB1156" i="1"/>
  <c r="AA1156" i="1"/>
  <c r="AB1155" i="1"/>
  <c r="AA1155" i="1"/>
  <c r="AB1154" i="1"/>
  <c r="AA1154" i="1"/>
  <c r="AB1153" i="1"/>
  <c r="AA1153" i="1"/>
  <c r="AB1152" i="1"/>
  <c r="AA1152" i="1"/>
  <c r="AB1151" i="1"/>
  <c r="AA1151" i="1"/>
  <c r="AB1150" i="1"/>
  <c r="AA1150" i="1"/>
  <c r="AB1149" i="1"/>
  <c r="AA1149" i="1"/>
  <c r="AB1148" i="1"/>
  <c r="AA1148" i="1"/>
  <c r="AB1147" i="1"/>
  <c r="AA1147" i="1"/>
  <c r="AB1146" i="1"/>
  <c r="AA1146" i="1"/>
  <c r="AB1145" i="1"/>
  <c r="AA1145" i="1"/>
  <c r="AB1144" i="1"/>
  <c r="AA1144" i="1"/>
  <c r="AB1143" i="1"/>
  <c r="AA1143" i="1"/>
  <c r="AB1142" i="1"/>
  <c r="AA1142" i="1"/>
  <c r="AB1141" i="1"/>
  <c r="AA1141" i="1"/>
  <c r="AB1140" i="1"/>
  <c r="AA1140" i="1"/>
  <c r="AB1139" i="1"/>
  <c r="AA1139" i="1"/>
  <c r="AB1138" i="1"/>
  <c r="AA1138" i="1"/>
  <c r="AB1137" i="1"/>
  <c r="AA1137" i="1"/>
  <c r="AB1136" i="1"/>
  <c r="AA1136" i="1"/>
  <c r="AB1135" i="1"/>
  <c r="AA1135" i="1"/>
  <c r="AB1134" i="1"/>
  <c r="AA1134" i="1"/>
  <c r="AB1133" i="1"/>
  <c r="AA1133" i="1"/>
  <c r="AB1132" i="1"/>
  <c r="AA1132" i="1"/>
  <c r="AB1131" i="1"/>
  <c r="AA1131" i="1"/>
  <c r="AB1130" i="1"/>
  <c r="AA1130" i="1"/>
  <c r="AB1129" i="1"/>
  <c r="AA1129" i="1"/>
  <c r="AB1128" i="1"/>
  <c r="AA1128" i="1"/>
  <c r="AB1127" i="1"/>
  <c r="AA1127" i="1"/>
  <c r="AB1126" i="1"/>
  <c r="AA1126" i="1"/>
  <c r="AB1125" i="1"/>
  <c r="AA1125" i="1"/>
  <c r="AB1124" i="1"/>
  <c r="AA1124" i="1"/>
  <c r="AB1123" i="1"/>
  <c r="AA1123" i="1"/>
  <c r="AB1122" i="1"/>
  <c r="AA1122" i="1"/>
  <c r="AB1121" i="1"/>
  <c r="AA1121" i="1"/>
  <c r="AB1120" i="1"/>
  <c r="AA1120" i="1"/>
  <c r="AB1119" i="1"/>
  <c r="AA1119" i="1"/>
  <c r="AB1118" i="1"/>
  <c r="AA1118" i="1"/>
  <c r="AB1117" i="1"/>
  <c r="AA1117" i="1"/>
  <c r="AB1116" i="1"/>
  <c r="AA1116" i="1"/>
  <c r="AB1115" i="1"/>
  <c r="AA1115" i="1"/>
  <c r="AB1114" i="1"/>
  <c r="AA1114" i="1"/>
  <c r="AB1113" i="1"/>
  <c r="AA1113" i="1"/>
  <c r="AB1112" i="1"/>
  <c r="AA1112" i="1"/>
  <c r="AB1111" i="1"/>
  <c r="AA1111" i="1"/>
  <c r="AB1110" i="1"/>
  <c r="AA1110" i="1"/>
  <c r="AB1109" i="1"/>
  <c r="AA1109" i="1"/>
  <c r="AB1108" i="1"/>
  <c r="AA1108" i="1"/>
  <c r="AB1107" i="1"/>
  <c r="AA1107" i="1"/>
  <c r="AB1106" i="1"/>
  <c r="AA1106" i="1"/>
  <c r="AB1105" i="1"/>
  <c r="AA1105" i="1"/>
  <c r="AB1104" i="1"/>
  <c r="AA1104" i="1"/>
  <c r="AB1103" i="1"/>
  <c r="AA1103" i="1"/>
  <c r="AB1102" i="1"/>
  <c r="AA1102" i="1"/>
  <c r="AB1101" i="1"/>
  <c r="AA1101" i="1"/>
  <c r="AB1100" i="1"/>
  <c r="AA1100" i="1"/>
  <c r="AB1099" i="1"/>
  <c r="AA1099" i="1"/>
  <c r="AB1098" i="1"/>
  <c r="AA1098" i="1"/>
  <c r="AB1097" i="1"/>
  <c r="AA1097" i="1"/>
  <c r="AB1096" i="1"/>
  <c r="AA1096" i="1"/>
  <c r="AB1095" i="1"/>
  <c r="AA1095" i="1"/>
  <c r="AB1094" i="1"/>
  <c r="AA1094" i="1"/>
  <c r="AB1093" i="1"/>
  <c r="AA1093" i="1"/>
  <c r="AB1092" i="1"/>
  <c r="AA1092" i="1"/>
  <c r="AB1091" i="1"/>
  <c r="AA1091" i="1"/>
  <c r="AB1090" i="1"/>
  <c r="AA1090" i="1"/>
  <c r="AB1089" i="1"/>
  <c r="AA1089" i="1"/>
  <c r="AB1088" i="1"/>
  <c r="AA1088" i="1"/>
  <c r="AB1087" i="1"/>
  <c r="AA1087" i="1"/>
  <c r="AB1086" i="1"/>
  <c r="AA1086" i="1"/>
  <c r="AB1085" i="1"/>
  <c r="AA1085" i="1"/>
  <c r="AB1084" i="1"/>
  <c r="AA1084" i="1"/>
  <c r="AB1083" i="1"/>
  <c r="AA1083" i="1"/>
  <c r="AB1082" i="1"/>
  <c r="AA1082" i="1"/>
  <c r="AB1081" i="1"/>
  <c r="AA1081" i="1"/>
  <c r="AB1080" i="1"/>
  <c r="AA1080" i="1"/>
  <c r="AB1079" i="1"/>
  <c r="AA1079" i="1"/>
  <c r="AB1078" i="1"/>
  <c r="AA1078" i="1"/>
  <c r="AB1077" i="1"/>
  <c r="AA1077" i="1"/>
  <c r="AB1076" i="1"/>
  <c r="AA1076" i="1"/>
  <c r="AB1075" i="1"/>
  <c r="AA1075" i="1"/>
  <c r="AB1074" i="1"/>
  <c r="AA1074" i="1"/>
  <c r="AB1073" i="1"/>
  <c r="AA1073" i="1"/>
  <c r="AB1072" i="1"/>
  <c r="AA1072" i="1"/>
  <c r="AB1071" i="1"/>
  <c r="AA1071" i="1"/>
  <c r="AB1070" i="1"/>
  <c r="AA1070" i="1"/>
  <c r="AB1069" i="1"/>
  <c r="AA1069" i="1"/>
  <c r="AB1068" i="1"/>
  <c r="AA1068" i="1"/>
  <c r="AB1067" i="1"/>
  <c r="AA1067" i="1"/>
  <c r="AB1066" i="1"/>
  <c r="AA1066" i="1"/>
  <c r="AB1065" i="1"/>
  <c r="AA1065" i="1"/>
  <c r="AB1064" i="1"/>
  <c r="AA1064" i="1"/>
  <c r="AB1063" i="1"/>
  <c r="AA1063" i="1"/>
  <c r="AB1062" i="1"/>
  <c r="AA1062" i="1"/>
  <c r="AB1061" i="1"/>
  <c r="AA1061" i="1"/>
  <c r="AB1060" i="1"/>
  <c r="AA1060" i="1"/>
  <c r="AB1059" i="1"/>
  <c r="AA1059" i="1"/>
  <c r="AB1058" i="1"/>
  <c r="AA1058" i="1"/>
  <c r="AB1057" i="1"/>
  <c r="AA1057" i="1"/>
  <c r="AB1056" i="1"/>
  <c r="AA1056" i="1"/>
  <c r="AB1055" i="1"/>
  <c r="AA1055" i="1"/>
  <c r="AB1054" i="1"/>
  <c r="AA1054" i="1"/>
  <c r="AB1053" i="1"/>
  <c r="AA1053" i="1"/>
  <c r="AB1052" i="1"/>
  <c r="AA1052" i="1"/>
  <c r="AB1051" i="1"/>
  <c r="AA1051" i="1"/>
  <c r="AB1050" i="1"/>
  <c r="AA1050" i="1"/>
  <c r="AB1049" i="1"/>
  <c r="AA1049" i="1"/>
  <c r="AB1048" i="1"/>
  <c r="AA1048" i="1"/>
  <c r="AB1047" i="1"/>
  <c r="AA1047" i="1"/>
  <c r="AB1046" i="1"/>
  <c r="AA1046" i="1"/>
  <c r="AB1045" i="1"/>
  <c r="AA1045" i="1"/>
  <c r="AB1044" i="1"/>
  <c r="AA1044" i="1"/>
  <c r="AB1043" i="1"/>
  <c r="AA1043" i="1"/>
  <c r="AB1042" i="1"/>
  <c r="AA1042" i="1"/>
  <c r="AB1041" i="1"/>
  <c r="AA1041" i="1"/>
  <c r="AB1040" i="1"/>
  <c r="AA1040" i="1"/>
  <c r="AB1039" i="1"/>
  <c r="AA1039" i="1"/>
  <c r="AB1038" i="1"/>
  <c r="AA1038" i="1"/>
  <c r="AB1037" i="1"/>
  <c r="AA1037" i="1"/>
  <c r="AB1036" i="1"/>
  <c r="AA1036" i="1"/>
  <c r="AB1035" i="1"/>
  <c r="AA1035" i="1"/>
  <c r="AB1034" i="1"/>
  <c r="AA1034" i="1"/>
  <c r="AB1033" i="1"/>
  <c r="AA1033" i="1"/>
  <c r="AB1032" i="1"/>
  <c r="AA1032" i="1"/>
  <c r="AB1031" i="1"/>
  <c r="AA1031" i="1"/>
  <c r="AB1030" i="1"/>
  <c r="AA1030" i="1"/>
  <c r="AB1029" i="1"/>
  <c r="AA1029" i="1"/>
  <c r="AB1028" i="1"/>
  <c r="AA1028" i="1"/>
  <c r="AB1027" i="1"/>
  <c r="AA1027" i="1"/>
  <c r="AB1026" i="1"/>
  <c r="AA1026" i="1"/>
  <c r="AB1025" i="1"/>
  <c r="AA1025" i="1"/>
  <c r="AB1024" i="1"/>
  <c r="AA1024" i="1"/>
  <c r="AB1023" i="1"/>
  <c r="AA1023" i="1"/>
  <c r="AB1022" i="1"/>
  <c r="AA1022" i="1"/>
  <c r="AB1021" i="1"/>
  <c r="AA1021" i="1"/>
  <c r="AB1020" i="1"/>
  <c r="AA1020" i="1"/>
  <c r="AB1019" i="1"/>
  <c r="AA1019" i="1"/>
  <c r="AB1018" i="1"/>
  <c r="AA1018" i="1"/>
  <c r="AB1017" i="1"/>
  <c r="AA1017" i="1"/>
  <c r="AB1016" i="1"/>
  <c r="AA1016" i="1"/>
  <c r="AB1015" i="1"/>
  <c r="AA1015" i="1"/>
  <c r="AB1014" i="1"/>
  <c r="AA1014" i="1"/>
  <c r="AB1013" i="1"/>
  <c r="AA1013" i="1"/>
  <c r="AB1012" i="1"/>
  <c r="AA1012" i="1"/>
  <c r="AB1011" i="1"/>
  <c r="AA1011" i="1"/>
  <c r="AB1010" i="1"/>
  <c r="AA1010" i="1"/>
  <c r="AB1009" i="1"/>
  <c r="AA1009" i="1"/>
  <c r="AB1008" i="1"/>
  <c r="AA1008" i="1"/>
  <c r="AB1007" i="1"/>
  <c r="AA1007" i="1"/>
  <c r="AB1006" i="1"/>
  <c r="AA1006" i="1"/>
  <c r="AB1005" i="1"/>
  <c r="AA1005" i="1"/>
  <c r="AB1004" i="1"/>
  <c r="AA1004" i="1"/>
  <c r="AB1003" i="1"/>
  <c r="AA1003" i="1"/>
  <c r="AB1002" i="1"/>
  <c r="AA1002" i="1"/>
  <c r="AB1001" i="1"/>
  <c r="AA1001" i="1"/>
  <c r="AB1000" i="1"/>
  <c r="AA1000" i="1"/>
  <c r="AB999" i="1"/>
  <c r="AA999" i="1"/>
  <c r="AB998" i="1"/>
  <c r="AA998" i="1"/>
  <c r="AB997" i="1"/>
  <c r="AA997" i="1"/>
  <c r="AB996" i="1"/>
  <c r="AA996" i="1"/>
  <c r="AB995" i="1"/>
  <c r="AA995" i="1"/>
  <c r="AB994" i="1"/>
  <c r="AA994" i="1"/>
  <c r="AB993" i="1"/>
  <c r="AA993" i="1"/>
  <c r="AB992" i="1"/>
  <c r="AA992" i="1"/>
  <c r="AB991" i="1"/>
  <c r="AA991" i="1"/>
  <c r="AB990" i="1"/>
  <c r="AA990" i="1"/>
  <c r="AB989" i="1"/>
  <c r="AA989" i="1"/>
  <c r="AB988" i="1"/>
  <c r="AA988" i="1"/>
  <c r="AB987" i="1"/>
  <c r="AA987" i="1"/>
  <c r="AB986" i="1"/>
  <c r="AA986" i="1"/>
  <c r="AB985" i="1"/>
  <c r="AA985" i="1"/>
  <c r="AB984" i="1"/>
  <c r="AA984" i="1"/>
  <c r="AB983" i="1"/>
  <c r="AA983" i="1"/>
  <c r="AB982" i="1"/>
  <c r="AA982" i="1"/>
  <c r="AB981" i="1"/>
  <c r="AA981" i="1"/>
  <c r="AB980" i="1"/>
  <c r="AA980" i="1"/>
  <c r="AB979" i="1"/>
  <c r="AA979" i="1"/>
  <c r="AB978" i="1"/>
  <c r="AA978" i="1"/>
  <c r="AB977" i="1"/>
  <c r="AA977" i="1"/>
  <c r="AB976" i="1"/>
  <c r="AA976" i="1"/>
  <c r="AB975" i="1"/>
  <c r="AA975" i="1"/>
  <c r="AB974" i="1"/>
  <c r="AA974" i="1"/>
  <c r="AB973" i="1"/>
  <c r="AA973" i="1"/>
  <c r="AB972" i="1"/>
  <c r="AA972" i="1"/>
  <c r="AB971" i="1"/>
  <c r="AA971" i="1"/>
  <c r="AB970" i="1"/>
  <c r="AA970" i="1"/>
  <c r="AB969" i="1"/>
  <c r="AA969" i="1"/>
  <c r="AB968" i="1"/>
  <c r="AA968" i="1"/>
  <c r="AB967" i="1"/>
  <c r="AA967" i="1"/>
  <c r="AB966" i="1"/>
  <c r="AA966" i="1"/>
  <c r="AB965" i="1"/>
  <c r="AA965" i="1"/>
  <c r="AB964" i="1"/>
  <c r="AA964" i="1"/>
  <c r="AB963" i="1"/>
  <c r="AA963" i="1"/>
  <c r="AB962" i="1"/>
  <c r="AA962" i="1"/>
  <c r="AB961" i="1"/>
  <c r="AA961" i="1"/>
  <c r="AB960" i="1"/>
  <c r="AA960" i="1"/>
  <c r="AB959" i="1"/>
  <c r="AA959" i="1"/>
  <c r="AB958" i="1"/>
  <c r="AA958" i="1"/>
  <c r="AB957" i="1"/>
  <c r="AA957" i="1"/>
  <c r="AB956" i="1"/>
  <c r="AA956" i="1"/>
  <c r="AB955" i="1"/>
  <c r="AA955" i="1"/>
  <c r="AB954" i="1"/>
  <c r="AA954" i="1"/>
  <c r="AB953" i="1"/>
  <c r="AA953" i="1"/>
  <c r="AB952" i="1"/>
  <c r="AA952" i="1"/>
  <c r="AB951" i="1"/>
  <c r="AA951" i="1"/>
  <c r="AB950" i="1"/>
  <c r="AA950" i="1"/>
  <c r="AB949" i="1"/>
  <c r="AA949" i="1"/>
  <c r="AB948" i="1"/>
  <c r="AA948" i="1"/>
  <c r="AB947" i="1"/>
  <c r="AA947" i="1"/>
  <c r="AB946" i="1"/>
  <c r="AA946" i="1"/>
  <c r="AB945" i="1"/>
  <c r="AA945" i="1"/>
  <c r="AB944" i="1"/>
  <c r="AA944" i="1"/>
  <c r="AB943" i="1"/>
  <c r="AA943" i="1"/>
  <c r="AB942" i="1"/>
  <c r="AA942" i="1"/>
  <c r="AB941" i="1"/>
  <c r="AA941" i="1"/>
  <c r="AB940" i="1"/>
  <c r="AA940" i="1"/>
  <c r="AB939" i="1"/>
  <c r="AA939" i="1"/>
  <c r="AB938" i="1"/>
  <c r="AA938" i="1"/>
  <c r="AB937" i="1"/>
  <c r="AA937" i="1"/>
  <c r="AB936" i="1"/>
  <c r="AA936" i="1"/>
  <c r="AB935" i="1"/>
  <c r="AA935" i="1"/>
  <c r="AB934" i="1"/>
  <c r="AA934" i="1"/>
  <c r="AB933" i="1"/>
  <c r="AA933" i="1"/>
  <c r="AB932" i="1"/>
  <c r="AA932" i="1"/>
  <c r="AB931" i="1"/>
  <c r="AA931" i="1"/>
  <c r="AB930" i="1"/>
  <c r="AA930" i="1"/>
  <c r="AB929" i="1"/>
  <c r="AA929" i="1"/>
  <c r="AB928" i="1"/>
  <c r="AA928" i="1"/>
  <c r="AB927" i="1"/>
  <c r="AA927" i="1"/>
  <c r="AB926" i="1"/>
  <c r="AA926" i="1"/>
  <c r="AB925" i="1"/>
  <c r="AA925" i="1"/>
  <c r="AB924" i="1"/>
  <c r="AA924" i="1"/>
  <c r="AB923" i="1"/>
  <c r="AA923" i="1"/>
  <c r="AB922" i="1"/>
  <c r="AA922" i="1"/>
  <c r="AB921" i="1"/>
  <c r="AA921" i="1"/>
  <c r="AB920" i="1"/>
  <c r="AA920" i="1"/>
  <c r="AB919" i="1"/>
  <c r="AA919" i="1"/>
  <c r="AB918" i="1"/>
  <c r="AA918" i="1"/>
  <c r="AB917" i="1"/>
  <c r="AA917" i="1"/>
  <c r="AB916" i="1"/>
  <c r="AA916" i="1"/>
  <c r="AB915" i="1"/>
  <c r="AA915" i="1"/>
  <c r="AB914" i="1"/>
  <c r="AA914" i="1"/>
  <c r="AB913" i="1"/>
  <c r="AA913" i="1"/>
  <c r="AB912" i="1"/>
  <c r="AA912" i="1"/>
  <c r="AB911" i="1"/>
  <c r="AA911" i="1"/>
  <c r="AB910" i="1"/>
  <c r="AA910" i="1"/>
  <c r="AB909" i="1"/>
  <c r="AA909" i="1"/>
  <c r="AB908" i="1"/>
  <c r="AA908" i="1"/>
  <c r="AB907" i="1"/>
  <c r="AA907" i="1"/>
  <c r="AB906" i="1"/>
  <c r="AA906" i="1"/>
  <c r="AB905" i="1"/>
  <c r="AA905" i="1"/>
  <c r="AB904" i="1"/>
  <c r="AA904" i="1"/>
  <c r="AB903" i="1"/>
  <c r="AA903" i="1"/>
  <c r="AB902" i="1"/>
  <c r="AA902" i="1"/>
  <c r="AB901" i="1"/>
  <c r="AA901" i="1"/>
  <c r="AB900" i="1"/>
  <c r="AA900" i="1"/>
  <c r="AB899" i="1"/>
  <c r="AA899" i="1"/>
  <c r="AB898" i="1"/>
  <c r="AA898" i="1"/>
  <c r="AB897" i="1"/>
  <c r="AA897" i="1"/>
  <c r="AB896" i="1"/>
  <c r="AA896" i="1"/>
  <c r="AB895" i="1"/>
  <c r="AA895" i="1"/>
  <c r="AB894" i="1"/>
  <c r="AA894" i="1"/>
  <c r="AB893" i="1"/>
  <c r="AA893" i="1"/>
  <c r="AB892" i="1"/>
  <c r="AA892" i="1"/>
  <c r="AB891" i="1"/>
  <c r="AA891" i="1"/>
  <c r="AB890" i="1"/>
  <c r="AA890" i="1"/>
  <c r="AB889" i="1"/>
  <c r="AA889" i="1"/>
  <c r="AB888" i="1"/>
  <c r="AA888" i="1"/>
  <c r="AB887" i="1"/>
  <c r="AA887" i="1"/>
  <c r="AB886" i="1"/>
  <c r="AA886" i="1"/>
  <c r="AB885" i="1"/>
  <c r="AA885" i="1"/>
  <c r="AB884" i="1"/>
  <c r="AA884" i="1"/>
  <c r="AB883" i="1"/>
  <c r="AA883" i="1"/>
  <c r="AB882" i="1"/>
  <c r="AA882" i="1"/>
  <c r="AB881" i="1"/>
  <c r="AA881" i="1"/>
  <c r="AB880" i="1"/>
  <c r="AA880" i="1"/>
  <c r="AB879" i="1"/>
  <c r="AA879" i="1"/>
  <c r="AB878" i="1"/>
  <c r="AA878" i="1"/>
  <c r="AB877" i="1"/>
  <c r="AA877" i="1"/>
  <c r="AB876" i="1"/>
  <c r="AA876" i="1"/>
  <c r="AB875" i="1"/>
  <c r="AA875" i="1"/>
  <c r="AB874" i="1"/>
  <c r="AA874" i="1"/>
  <c r="AB873" i="1"/>
  <c r="AA873" i="1"/>
  <c r="AB872" i="1"/>
  <c r="AA872" i="1"/>
  <c r="AB871" i="1"/>
  <c r="AA871" i="1"/>
  <c r="AB870" i="1"/>
  <c r="AA870" i="1"/>
  <c r="AB869" i="1"/>
  <c r="AA869" i="1"/>
  <c r="AB868" i="1"/>
  <c r="AA868" i="1"/>
  <c r="AB867" i="1"/>
  <c r="AA867" i="1"/>
  <c r="AB866" i="1"/>
  <c r="AA866" i="1"/>
  <c r="AB865" i="1"/>
  <c r="AA865" i="1"/>
  <c r="AB864" i="1"/>
  <c r="AA864" i="1"/>
  <c r="AB863" i="1"/>
  <c r="AA863" i="1"/>
  <c r="AB862" i="1"/>
  <c r="AA862" i="1"/>
  <c r="AB861" i="1"/>
  <c r="AA861" i="1"/>
  <c r="AB860" i="1"/>
  <c r="AA860" i="1"/>
  <c r="AB859" i="1"/>
  <c r="AA859" i="1"/>
  <c r="AB858" i="1"/>
  <c r="AA858" i="1"/>
  <c r="AB857" i="1"/>
  <c r="AA857" i="1"/>
  <c r="AB856" i="1"/>
  <c r="AA856" i="1"/>
  <c r="AB855" i="1"/>
  <c r="AA855" i="1"/>
  <c r="AB854" i="1"/>
  <c r="AA854" i="1"/>
  <c r="AB853" i="1"/>
  <c r="AA853" i="1"/>
  <c r="AB852" i="1"/>
  <c r="AA852" i="1"/>
  <c r="AB851" i="1"/>
  <c r="AA851" i="1"/>
  <c r="AB850" i="1"/>
  <c r="AA850" i="1"/>
  <c r="AB849" i="1"/>
  <c r="AA849" i="1"/>
  <c r="AB848" i="1"/>
  <c r="AA848" i="1"/>
  <c r="AB847" i="1"/>
  <c r="AA847" i="1"/>
  <c r="AB846" i="1"/>
  <c r="AA846" i="1"/>
  <c r="AB845" i="1"/>
  <c r="AA845" i="1"/>
  <c r="AB844" i="1"/>
  <c r="AA844" i="1"/>
  <c r="AB843" i="1"/>
  <c r="AA843" i="1"/>
  <c r="AB842" i="1"/>
  <c r="AA842" i="1"/>
  <c r="AB841" i="1"/>
  <c r="AA841" i="1"/>
  <c r="AB840" i="1"/>
  <c r="AA840" i="1"/>
  <c r="AB839" i="1"/>
  <c r="AA839" i="1"/>
  <c r="AB838" i="1"/>
  <c r="AA838" i="1"/>
  <c r="AB837" i="1"/>
  <c r="AA837" i="1"/>
  <c r="AB836" i="1"/>
  <c r="AA836" i="1"/>
  <c r="AB835" i="1"/>
  <c r="AA835" i="1"/>
  <c r="AB834" i="1"/>
  <c r="AA834" i="1"/>
  <c r="AB833" i="1"/>
  <c r="AA833" i="1"/>
  <c r="AB832" i="1"/>
  <c r="AA832" i="1"/>
  <c r="AB831" i="1"/>
  <c r="AA831" i="1"/>
  <c r="AB830" i="1"/>
  <c r="AA830" i="1"/>
  <c r="AB829" i="1"/>
  <c r="AA829" i="1"/>
  <c r="AB828" i="1"/>
  <c r="AA828" i="1"/>
  <c r="AB827" i="1"/>
  <c r="AA827" i="1"/>
  <c r="AB826" i="1"/>
  <c r="AA826" i="1"/>
  <c r="AB825" i="1"/>
  <c r="AA825" i="1"/>
  <c r="AB824" i="1"/>
  <c r="AA824" i="1"/>
  <c r="AB823" i="1"/>
  <c r="AA823" i="1"/>
  <c r="AB822" i="1"/>
  <c r="AA822" i="1"/>
  <c r="AB821" i="1"/>
  <c r="AA821" i="1"/>
  <c r="AB820" i="1"/>
  <c r="AA820" i="1"/>
  <c r="AB819" i="1"/>
  <c r="AA819" i="1"/>
  <c r="AB818" i="1"/>
  <c r="AA818" i="1"/>
  <c r="AB817" i="1"/>
  <c r="AA817" i="1"/>
  <c r="AB816" i="1"/>
  <c r="AA816" i="1"/>
  <c r="AB815" i="1"/>
  <c r="AA815" i="1"/>
  <c r="AB814" i="1"/>
  <c r="AA814" i="1"/>
  <c r="AB813" i="1"/>
  <c r="AA813" i="1"/>
  <c r="AB812" i="1"/>
  <c r="AA812" i="1"/>
  <c r="AB811" i="1"/>
  <c r="AA811" i="1"/>
  <c r="AB810" i="1"/>
  <c r="AA810" i="1"/>
  <c r="AB809" i="1"/>
  <c r="AA809" i="1"/>
  <c r="AB808" i="1"/>
  <c r="AA808" i="1"/>
  <c r="AB807" i="1"/>
  <c r="AA807" i="1"/>
  <c r="AB806" i="1"/>
  <c r="AA806" i="1"/>
  <c r="AB805" i="1"/>
  <c r="AA805" i="1"/>
  <c r="AB804" i="1"/>
  <c r="AA804" i="1"/>
  <c r="AB803" i="1"/>
  <c r="AA803" i="1"/>
  <c r="AB802" i="1"/>
  <c r="AA802" i="1"/>
  <c r="AB801" i="1"/>
  <c r="AA801" i="1"/>
  <c r="AB800" i="1"/>
  <c r="AA800" i="1"/>
  <c r="AB799" i="1"/>
  <c r="AA799" i="1"/>
  <c r="AB798" i="1"/>
  <c r="AA798" i="1"/>
  <c r="AB797" i="1"/>
  <c r="AA797" i="1"/>
  <c r="AB796" i="1"/>
  <c r="AA796" i="1"/>
  <c r="AB795" i="1"/>
  <c r="AA795" i="1"/>
  <c r="AB794" i="1"/>
  <c r="AA794" i="1"/>
  <c r="AB793" i="1"/>
  <c r="AA793" i="1"/>
  <c r="AB792" i="1"/>
  <c r="AA792" i="1"/>
  <c r="AB791" i="1"/>
  <c r="AA791" i="1"/>
  <c r="AB790" i="1"/>
  <c r="AA790" i="1"/>
  <c r="AB789" i="1"/>
  <c r="AA789" i="1"/>
  <c r="AB788" i="1"/>
  <c r="AA788" i="1"/>
  <c r="AB787" i="1"/>
  <c r="AA787" i="1"/>
  <c r="AB786" i="1"/>
  <c r="AA786" i="1"/>
  <c r="AB785" i="1"/>
  <c r="AA785" i="1"/>
  <c r="AB784" i="1"/>
  <c r="AA784" i="1"/>
  <c r="AB783" i="1"/>
  <c r="AA783" i="1"/>
  <c r="AB782" i="1"/>
  <c r="AA782" i="1"/>
  <c r="AB781" i="1"/>
  <c r="AA781" i="1"/>
  <c r="AB780" i="1"/>
  <c r="AA780" i="1"/>
  <c r="AB779" i="1"/>
  <c r="AA779" i="1"/>
  <c r="AB778" i="1"/>
  <c r="AA778" i="1"/>
  <c r="AB777" i="1"/>
  <c r="AA777" i="1"/>
  <c r="AB776" i="1"/>
  <c r="AA776" i="1"/>
  <c r="AB775" i="1"/>
  <c r="AA775" i="1"/>
  <c r="AB774" i="1"/>
  <c r="AA774" i="1"/>
  <c r="AB773" i="1"/>
  <c r="AA773" i="1"/>
  <c r="AB772" i="1"/>
  <c r="AA772" i="1"/>
  <c r="AB771" i="1"/>
  <c r="AA771" i="1"/>
  <c r="AB770" i="1"/>
  <c r="AA770" i="1"/>
  <c r="AB769" i="1"/>
  <c r="AA769" i="1"/>
  <c r="AB768" i="1"/>
  <c r="AA768" i="1"/>
  <c r="AB767" i="1"/>
  <c r="AA767" i="1"/>
  <c r="AB766" i="1"/>
  <c r="AA766" i="1"/>
  <c r="AB765" i="1"/>
  <c r="AA765" i="1"/>
  <c r="AB764" i="1"/>
  <c r="AA764" i="1"/>
  <c r="AB763" i="1"/>
  <c r="AA763" i="1"/>
  <c r="AB762" i="1"/>
  <c r="AA762" i="1"/>
  <c r="AB761" i="1"/>
  <c r="AA761" i="1"/>
  <c r="AB760" i="1"/>
  <c r="AA760" i="1"/>
  <c r="AB759" i="1"/>
  <c r="AA759" i="1"/>
  <c r="AB758" i="1"/>
  <c r="AA758" i="1"/>
  <c r="AB757" i="1"/>
  <c r="AA757" i="1"/>
  <c r="AB756" i="1"/>
  <c r="AA756" i="1"/>
  <c r="AB755" i="1"/>
  <c r="AA755" i="1"/>
  <c r="AB754" i="1"/>
  <c r="AA754" i="1"/>
  <c r="AB753" i="1"/>
  <c r="AA753" i="1"/>
  <c r="AB752" i="1"/>
  <c r="AA752" i="1"/>
  <c r="AB751" i="1"/>
  <c r="AA751" i="1"/>
  <c r="AB750" i="1"/>
  <c r="AA750" i="1"/>
  <c r="AB749" i="1"/>
  <c r="AA749" i="1"/>
  <c r="AB748" i="1"/>
  <c r="AA748" i="1"/>
  <c r="AB747" i="1"/>
  <c r="AA747" i="1"/>
  <c r="AB746" i="1"/>
  <c r="AA746" i="1"/>
  <c r="AB745" i="1"/>
  <c r="AA745" i="1"/>
  <c r="AB744" i="1"/>
  <c r="AA744" i="1"/>
  <c r="AB743" i="1"/>
  <c r="AA743" i="1"/>
  <c r="AB742" i="1"/>
  <c r="AA742" i="1"/>
  <c r="AB741" i="1"/>
  <c r="AA741" i="1"/>
  <c r="AB740" i="1"/>
  <c r="AA740" i="1"/>
  <c r="AB739" i="1"/>
  <c r="AA739" i="1"/>
  <c r="AB738" i="1"/>
  <c r="AA738" i="1"/>
  <c r="AB737" i="1"/>
  <c r="AA737" i="1"/>
  <c r="AB736" i="1"/>
  <c r="AA736" i="1"/>
  <c r="AB735" i="1"/>
  <c r="AA735" i="1"/>
  <c r="AB734" i="1"/>
  <c r="AA734" i="1"/>
  <c r="AB733" i="1"/>
  <c r="AA733" i="1"/>
  <c r="AB732" i="1"/>
  <c r="AA732" i="1"/>
  <c r="AB731" i="1"/>
  <c r="AA731" i="1"/>
  <c r="AB730" i="1"/>
  <c r="AA730" i="1"/>
  <c r="AB729" i="1"/>
  <c r="AA729" i="1"/>
  <c r="AB728" i="1"/>
  <c r="AA728" i="1"/>
  <c r="AB727" i="1"/>
  <c r="AA727" i="1"/>
  <c r="AB726" i="1"/>
  <c r="AA726" i="1"/>
  <c r="AB725" i="1"/>
  <c r="AA725" i="1"/>
  <c r="AB724" i="1"/>
  <c r="AA724" i="1"/>
  <c r="AB723" i="1"/>
  <c r="AA723" i="1"/>
  <c r="AB722" i="1"/>
  <c r="AA722" i="1"/>
  <c r="AB721" i="1"/>
  <c r="AA721" i="1"/>
  <c r="AB720" i="1"/>
  <c r="AA720" i="1"/>
  <c r="AB719" i="1"/>
  <c r="AA719" i="1"/>
  <c r="AB718" i="1"/>
  <c r="AA718" i="1"/>
  <c r="AB717" i="1"/>
  <c r="AA717" i="1"/>
  <c r="AB716" i="1"/>
  <c r="AA716" i="1"/>
  <c r="AB715" i="1"/>
  <c r="AA715" i="1"/>
  <c r="AB714" i="1"/>
  <c r="AA714" i="1"/>
  <c r="AB713" i="1"/>
  <c r="AA713" i="1"/>
  <c r="AB712" i="1"/>
  <c r="AA712" i="1"/>
  <c r="AB711" i="1"/>
  <c r="AA711" i="1"/>
  <c r="AB710" i="1"/>
  <c r="AA710" i="1"/>
  <c r="AB709" i="1"/>
  <c r="AA709" i="1"/>
  <c r="AB708" i="1"/>
  <c r="AA708" i="1"/>
  <c r="AB707" i="1"/>
  <c r="AA707" i="1"/>
  <c r="AB706" i="1"/>
  <c r="AA706" i="1"/>
  <c r="AB705" i="1"/>
  <c r="AA705" i="1"/>
  <c r="AB704" i="1"/>
  <c r="AA704" i="1"/>
  <c r="AB703" i="1"/>
  <c r="AA703" i="1"/>
  <c r="AB702" i="1"/>
  <c r="AA702" i="1"/>
  <c r="AB701" i="1"/>
  <c r="AA701" i="1"/>
  <c r="AB700" i="1"/>
  <c r="AA700" i="1"/>
  <c r="AB699" i="1"/>
  <c r="AA699" i="1"/>
  <c r="AB698" i="1"/>
  <c r="AA698" i="1"/>
  <c r="AB697" i="1"/>
  <c r="AA697" i="1"/>
  <c r="AB696" i="1"/>
  <c r="AA696" i="1"/>
  <c r="AB695" i="1"/>
  <c r="AA695" i="1"/>
  <c r="AB694" i="1"/>
  <c r="AA694" i="1"/>
  <c r="AB693" i="1"/>
  <c r="AA693" i="1"/>
  <c r="AB692" i="1"/>
  <c r="AA692" i="1"/>
  <c r="AB691" i="1"/>
  <c r="AA691" i="1"/>
  <c r="AB690" i="1"/>
  <c r="AA690" i="1"/>
  <c r="AB689" i="1"/>
  <c r="AA689" i="1"/>
  <c r="AB688" i="1"/>
  <c r="AA688" i="1"/>
  <c r="AB687" i="1"/>
  <c r="AA687" i="1"/>
  <c r="AB686" i="1"/>
  <c r="AA686" i="1"/>
  <c r="AB685" i="1"/>
  <c r="AA685" i="1"/>
  <c r="AB684" i="1"/>
  <c r="AA684" i="1"/>
  <c r="AB683" i="1"/>
  <c r="AA683" i="1"/>
  <c r="AB682" i="1"/>
  <c r="AA682" i="1"/>
  <c r="AB681" i="1"/>
  <c r="AA681" i="1"/>
  <c r="AB680" i="1"/>
  <c r="AA680" i="1"/>
  <c r="AB679" i="1"/>
  <c r="AA679" i="1"/>
  <c r="AB678" i="1"/>
  <c r="AA678" i="1"/>
  <c r="AB677" i="1"/>
  <c r="AA677" i="1"/>
  <c r="AB676" i="1"/>
  <c r="AA676" i="1"/>
  <c r="AB675" i="1"/>
  <c r="AA675" i="1"/>
  <c r="AB674" i="1"/>
  <c r="AA674" i="1"/>
  <c r="AB673" i="1"/>
  <c r="AA673" i="1"/>
  <c r="AB672" i="1"/>
  <c r="AA672" i="1"/>
  <c r="AB671" i="1"/>
  <c r="AA671" i="1"/>
  <c r="AB670" i="1"/>
  <c r="AA670" i="1"/>
  <c r="AB669" i="1"/>
  <c r="AA669" i="1"/>
  <c r="AB668" i="1"/>
  <c r="AA668" i="1"/>
  <c r="AB667" i="1"/>
  <c r="AA667" i="1"/>
  <c r="AB666" i="1"/>
  <c r="AA666" i="1"/>
  <c r="AB665" i="1"/>
  <c r="AA665" i="1"/>
  <c r="AB664" i="1"/>
  <c r="AA664" i="1"/>
  <c r="AB663" i="1"/>
  <c r="AA663" i="1"/>
  <c r="AB662" i="1"/>
  <c r="AA662" i="1"/>
  <c r="AB661" i="1"/>
  <c r="AA661" i="1"/>
  <c r="AB660" i="1"/>
  <c r="AA660" i="1"/>
  <c r="AB659" i="1"/>
  <c r="AA659" i="1"/>
  <c r="AB658" i="1"/>
  <c r="AA658" i="1"/>
  <c r="AB657" i="1"/>
  <c r="AA657" i="1"/>
  <c r="AB656" i="1"/>
  <c r="AA656" i="1"/>
  <c r="AB655" i="1"/>
  <c r="AA655" i="1"/>
  <c r="AB654" i="1"/>
  <c r="AA654" i="1"/>
  <c r="AB653" i="1"/>
  <c r="AA653" i="1"/>
  <c r="AB652" i="1"/>
  <c r="AA652" i="1"/>
  <c r="AB651" i="1"/>
  <c r="AA651" i="1"/>
  <c r="AB650" i="1"/>
  <c r="AA650" i="1"/>
  <c r="AB649" i="1"/>
  <c r="AA649" i="1"/>
  <c r="AB648" i="1"/>
  <c r="AA648" i="1"/>
  <c r="AB647" i="1"/>
  <c r="AA647" i="1"/>
  <c r="AB646" i="1"/>
  <c r="AA646" i="1"/>
  <c r="AB645" i="1"/>
  <c r="AA645" i="1"/>
  <c r="AB644" i="1"/>
  <c r="AA644" i="1"/>
  <c r="AB643" i="1"/>
  <c r="AA643" i="1"/>
  <c r="AB642" i="1"/>
  <c r="AA642" i="1"/>
  <c r="AB641" i="1"/>
  <c r="AA641" i="1"/>
  <c r="AB640" i="1"/>
  <c r="AA640" i="1"/>
  <c r="AB639" i="1"/>
  <c r="AA639" i="1"/>
  <c r="AB638" i="1"/>
  <c r="AA638" i="1"/>
  <c r="AB637" i="1"/>
  <c r="AA637" i="1"/>
  <c r="AB636" i="1"/>
  <c r="AA636" i="1"/>
  <c r="AB635" i="1"/>
  <c r="AA635" i="1"/>
  <c r="AB634" i="1"/>
  <c r="AA634" i="1"/>
  <c r="AB633" i="1"/>
  <c r="AA633" i="1"/>
  <c r="AB632" i="1"/>
  <c r="AA632" i="1"/>
  <c r="AB631" i="1"/>
  <c r="AA631" i="1"/>
  <c r="AB630" i="1"/>
  <c r="AA630" i="1"/>
  <c r="AB629" i="1"/>
  <c r="AA629" i="1"/>
  <c r="AB628" i="1"/>
  <c r="AA628" i="1"/>
  <c r="AB627" i="1"/>
  <c r="AA627" i="1"/>
  <c r="AB626" i="1"/>
  <c r="AA626" i="1"/>
  <c r="AB625" i="1"/>
  <c r="AA625" i="1"/>
  <c r="AB624" i="1"/>
  <c r="AA624" i="1"/>
  <c r="AB623" i="1"/>
  <c r="AA623" i="1"/>
  <c r="AB622" i="1"/>
  <c r="AA622" i="1"/>
  <c r="AB621" i="1"/>
  <c r="AA621" i="1"/>
  <c r="AB620" i="1"/>
  <c r="AA620" i="1"/>
  <c r="AB619" i="1"/>
  <c r="AA619" i="1"/>
  <c r="AB618" i="1"/>
  <c r="AA618" i="1"/>
  <c r="AB617" i="1"/>
  <c r="AA617" i="1"/>
  <c r="AB616" i="1"/>
  <c r="AA616" i="1"/>
  <c r="AB615" i="1"/>
  <c r="AA615" i="1"/>
  <c r="AB614" i="1"/>
  <c r="AA614" i="1"/>
  <c r="AB613" i="1"/>
  <c r="AA613" i="1"/>
  <c r="AB612" i="1"/>
  <c r="AA612" i="1"/>
  <c r="AB611" i="1"/>
  <c r="AA611" i="1"/>
  <c r="AB610" i="1"/>
  <c r="AA610" i="1"/>
  <c r="AB609" i="1"/>
  <c r="AA609" i="1"/>
  <c r="AB608" i="1"/>
  <c r="AA608" i="1"/>
  <c r="AB607" i="1"/>
  <c r="AA607" i="1"/>
  <c r="AB606" i="1"/>
  <c r="AA606" i="1"/>
  <c r="AB605" i="1"/>
  <c r="AA605" i="1"/>
  <c r="AB604" i="1"/>
  <c r="AA604" i="1"/>
  <c r="AB603" i="1"/>
  <c r="AA603" i="1"/>
  <c r="AB602" i="1"/>
  <c r="AA602" i="1"/>
  <c r="AB601" i="1"/>
  <c r="AA601" i="1"/>
  <c r="AB600" i="1"/>
  <c r="AA600" i="1"/>
  <c r="AB599" i="1"/>
  <c r="AA599" i="1"/>
  <c r="AB598" i="1"/>
  <c r="AA598" i="1"/>
  <c r="AB597" i="1"/>
  <c r="AA597" i="1"/>
  <c r="AB596" i="1"/>
  <c r="AA596" i="1"/>
  <c r="AB595" i="1"/>
  <c r="AA595" i="1"/>
  <c r="AB594" i="1"/>
  <c r="AA594" i="1"/>
  <c r="AB593" i="1"/>
  <c r="AA593" i="1"/>
  <c r="AB592" i="1"/>
  <c r="AA592" i="1"/>
  <c r="AB591" i="1"/>
  <c r="AA591" i="1"/>
  <c r="AB590" i="1"/>
  <c r="AA590" i="1"/>
  <c r="AB589" i="1"/>
  <c r="AA589" i="1"/>
  <c r="AB588" i="1"/>
  <c r="AA588" i="1"/>
  <c r="AB587" i="1"/>
  <c r="AA587" i="1"/>
  <c r="AB586" i="1"/>
  <c r="AA586" i="1"/>
  <c r="AB585" i="1"/>
  <c r="AA585" i="1"/>
  <c r="AB584" i="1"/>
  <c r="AA584" i="1"/>
  <c r="AB583" i="1"/>
  <c r="AA583" i="1"/>
  <c r="AB582" i="1"/>
  <c r="AA582" i="1"/>
  <c r="AB581" i="1"/>
  <c r="AA581" i="1"/>
  <c r="AB580" i="1"/>
  <c r="AA580" i="1"/>
  <c r="AB579" i="1"/>
  <c r="AA579" i="1"/>
  <c r="AB578" i="1"/>
  <c r="AA578" i="1"/>
  <c r="AB577" i="1"/>
  <c r="AA577" i="1"/>
  <c r="AB576" i="1"/>
  <c r="AA576" i="1"/>
  <c r="AB575" i="1"/>
  <c r="AA575" i="1"/>
  <c r="AB574" i="1"/>
  <c r="AA574" i="1"/>
  <c r="AB573" i="1"/>
  <c r="AA573" i="1"/>
  <c r="AB572" i="1"/>
  <c r="AA572" i="1"/>
  <c r="AB571" i="1"/>
  <c r="AA571" i="1"/>
  <c r="AB570" i="1"/>
  <c r="AA570" i="1"/>
  <c r="AB569" i="1"/>
  <c r="AA569" i="1"/>
  <c r="AB568" i="1"/>
  <c r="AA568" i="1"/>
  <c r="AB567" i="1"/>
  <c r="AA567" i="1"/>
  <c r="AB566" i="1"/>
  <c r="AA566" i="1"/>
  <c r="AB565" i="1"/>
  <c r="AA565" i="1"/>
  <c r="AB564" i="1"/>
  <c r="AA564" i="1"/>
  <c r="AB563" i="1"/>
  <c r="AA563" i="1"/>
  <c r="AB562" i="1"/>
  <c r="AA562" i="1"/>
  <c r="AB561" i="1"/>
  <c r="AA561" i="1"/>
  <c r="AB560" i="1"/>
  <c r="AA560" i="1"/>
  <c r="AB559" i="1"/>
  <c r="AA559" i="1"/>
  <c r="AB558" i="1"/>
  <c r="AA558" i="1"/>
  <c r="AB557" i="1"/>
  <c r="AA557" i="1"/>
  <c r="AB556" i="1"/>
  <c r="AA556" i="1"/>
  <c r="AB555" i="1"/>
  <c r="AA555" i="1"/>
  <c r="AB554" i="1"/>
  <c r="AA554" i="1"/>
  <c r="AB553" i="1"/>
  <c r="AA553" i="1"/>
  <c r="AB552" i="1"/>
  <c r="AA552" i="1"/>
  <c r="AB551" i="1"/>
  <c r="AA551" i="1"/>
  <c r="AB550" i="1"/>
  <c r="AA550" i="1"/>
  <c r="AB549" i="1"/>
  <c r="AA549" i="1"/>
  <c r="AB548" i="1"/>
  <c r="AA548" i="1"/>
  <c r="AB547" i="1"/>
  <c r="AA547" i="1"/>
  <c r="AB546" i="1"/>
  <c r="AA546" i="1"/>
  <c r="AB545" i="1"/>
  <c r="AA545" i="1"/>
  <c r="AB544" i="1"/>
  <c r="AA544" i="1"/>
  <c r="AB543" i="1"/>
  <c r="AA543" i="1"/>
  <c r="AB542" i="1"/>
  <c r="AA542" i="1"/>
  <c r="AB541" i="1"/>
  <c r="AA541" i="1"/>
  <c r="AB540" i="1"/>
  <c r="AA540" i="1"/>
  <c r="AB539" i="1"/>
  <c r="AA539" i="1"/>
  <c r="AB538" i="1"/>
  <c r="AA538" i="1"/>
  <c r="AB537" i="1"/>
  <c r="AA537" i="1"/>
  <c r="AB536" i="1"/>
  <c r="AA536" i="1"/>
  <c r="AB535" i="1"/>
  <c r="AA535" i="1"/>
  <c r="AB534" i="1"/>
  <c r="AA534" i="1"/>
  <c r="AB533" i="1"/>
  <c r="AA533" i="1"/>
  <c r="AB532" i="1"/>
  <c r="AA532" i="1"/>
  <c r="AB531" i="1"/>
  <c r="AA531" i="1"/>
  <c r="AB530" i="1"/>
  <c r="AA530" i="1"/>
  <c r="AB529" i="1"/>
  <c r="AA529" i="1"/>
  <c r="AB528" i="1"/>
  <c r="AA528" i="1"/>
  <c r="AB527" i="1"/>
  <c r="AA527" i="1"/>
  <c r="AB526" i="1"/>
  <c r="AA526" i="1"/>
  <c r="AB525" i="1"/>
  <c r="AA525" i="1"/>
  <c r="AB524" i="1"/>
  <c r="AA524" i="1"/>
  <c r="AB523" i="1"/>
  <c r="AA523" i="1"/>
  <c r="AB522" i="1"/>
  <c r="AA522" i="1"/>
  <c r="AB521" i="1"/>
  <c r="AA521" i="1"/>
  <c r="AB520" i="1"/>
  <c r="AA520" i="1"/>
  <c r="AB519" i="1"/>
  <c r="AA519" i="1"/>
  <c r="AB518" i="1"/>
  <c r="AA518" i="1"/>
  <c r="AB517" i="1"/>
  <c r="AA517" i="1"/>
  <c r="AB516" i="1"/>
  <c r="AA516" i="1"/>
  <c r="AB515" i="1"/>
  <c r="AA515" i="1"/>
  <c r="AB514" i="1"/>
  <c r="AA514" i="1"/>
  <c r="AB513" i="1"/>
  <c r="AA513" i="1"/>
  <c r="AB512" i="1"/>
  <c r="AA512" i="1"/>
  <c r="AB511" i="1"/>
  <c r="AA511" i="1"/>
  <c r="AB510" i="1"/>
  <c r="AA510" i="1"/>
  <c r="AB509" i="1"/>
  <c r="AA509" i="1"/>
  <c r="AB508" i="1"/>
  <c r="AA508" i="1"/>
  <c r="AB507" i="1"/>
  <c r="AA507" i="1"/>
  <c r="AB506" i="1"/>
  <c r="AA506" i="1"/>
  <c r="AB505" i="1"/>
  <c r="AA505" i="1"/>
  <c r="AB504" i="1"/>
  <c r="AA504" i="1"/>
  <c r="AB503" i="1"/>
  <c r="AA503" i="1"/>
  <c r="AB502" i="1"/>
  <c r="AA502" i="1"/>
  <c r="AB501" i="1"/>
  <c r="AA501" i="1"/>
  <c r="AB500" i="1"/>
  <c r="AA500" i="1"/>
  <c r="AB499" i="1"/>
  <c r="AA499" i="1"/>
  <c r="AB498" i="1"/>
  <c r="AA498" i="1"/>
  <c r="AB497" i="1"/>
  <c r="AA497" i="1"/>
  <c r="AB496" i="1"/>
  <c r="AA496" i="1"/>
  <c r="AB495" i="1"/>
  <c r="AA495" i="1"/>
  <c r="AB494" i="1"/>
  <c r="AA494" i="1"/>
  <c r="AB493" i="1"/>
  <c r="AA493" i="1"/>
  <c r="AB492" i="1"/>
  <c r="AA492" i="1"/>
  <c r="AB491" i="1"/>
  <c r="AA491" i="1"/>
  <c r="AB490" i="1"/>
  <c r="AA490" i="1"/>
  <c r="AB489" i="1"/>
  <c r="AA489" i="1"/>
  <c r="AB488" i="1"/>
  <c r="AA488" i="1"/>
  <c r="AB487" i="1"/>
  <c r="AA487" i="1"/>
  <c r="AB486" i="1"/>
  <c r="AA486" i="1"/>
  <c r="AB485" i="1"/>
  <c r="AA485" i="1"/>
  <c r="AB484" i="1"/>
  <c r="AA484" i="1"/>
  <c r="AB483" i="1"/>
  <c r="AA483" i="1"/>
  <c r="AB482" i="1"/>
  <c r="AA482" i="1"/>
  <c r="AB481" i="1"/>
  <c r="AA481" i="1"/>
  <c r="AB480" i="1"/>
  <c r="AA480" i="1"/>
  <c r="AB479" i="1"/>
  <c r="AA479" i="1"/>
  <c r="AB478" i="1"/>
  <c r="AA478" i="1"/>
  <c r="AB477" i="1"/>
  <c r="AA477" i="1"/>
  <c r="AB476" i="1"/>
  <c r="AA476" i="1"/>
  <c r="AB475" i="1"/>
  <c r="AA475" i="1"/>
  <c r="AB474" i="1"/>
  <c r="AA474" i="1"/>
  <c r="AB473" i="1"/>
  <c r="AA473" i="1"/>
  <c r="AB472" i="1"/>
  <c r="AA472" i="1"/>
  <c r="AB471" i="1"/>
  <c r="AA471" i="1"/>
  <c r="AB470" i="1"/>
  <c r="AA470" i="1"/>
  <c r="AB469" i="1"/>
  <c r="AA469" i="1"/>
  <c r="AB468" i="1"/>
  <c r="AA468" i="1"/>
  <c r="AB467" i="1"/>
  <c r="AA467" i="1"/>
  <c r="AB466" i="1"/>
  <c r="AA466" i="1"/>
  <c r="AB465" i="1"/>
  <c r="AA465" i="1"/>
  <c r="AB464" i="1"/>
  <c r="AA464" i="1"/>
  <c r="AB463" i="1"/>
  <c r="AA463" i="1"/>
  <c r="AB462" i="1"/>
  <c r="AA462" i="1"/>
  <c r="AB461" i="1"/>
  <c r="AA461" i="1"/>
  <c r="AB460" i="1"/>
  <c r="AA460" i="1"/>
  <c r="AB459" i="1"/>
  <c r="AA459" i="1"/>
  <c r="AB458" i="1"/>
  <c r="AA458" i="1"/>
  <c r="AB457" i="1"/>
  <c r="AA457" i="1"/>
  <c r="AB456" i="1"/>
  <c r="AA456" i="1"/>
  <c r="AB455" i="1"/>
  <c r="AA455" i="1"/>
  <c r="AB454" i="1"/>
  <c r="AA454" i="1"/>
  <c r="AB453" i="1"/>
  <c r="AA453" i="1"/>
  <c r="AB452" i="1"/>
  <c r="AA452" i="1"/>
  <c r="AB451" i="1"/>
  <c r="AA451" i="1"/>
  <c r="AB450" i="1"/>
  <c r="AA450" i="1"/>
  <c r="AB449" i="1"/>
  <c r="AA449" i="1"/>
  <c r="AB448" i="1"/>
  <c r="AA448" i="1"/>
  <c r="AB447" i="1"/>
  <c r="AA447" i="1"/>
  <c r="AB446" i="1"/>
  <c r="AA446" i="1"/>
  <c r="AB445" i="1"/>
  <c r="AA445" i="1"/>
  <c r="AB444" i="1"/>
  <c r="AA444" i="1"/>
  <c r="AB443" i="1"/>
  <c r="AA443" i="1"/>
  <c r="AB442" i="1"/>
  <c r="AA442" i="1"/>
  <c r="AB441" i="1"/>
  <c r="AA441" i="1"/>
  <c r="AB440" i="1"/>
  <c r="AA440" i="1"/>
  <c r="AB439" i="1"/>
  <c r="AA439" i="1"/>
  <c r="AB438" i="1"/>
  <c r="AA438" i="1"/>
  <c r="AB437" i="1"/>
  <c r="AA437" i="1"/>
  <c r="AB436" i="1"/>
  <c r="AA436" i="1"/>
  <c r="AB435" i="1"/>
  <c r="AA435" i="1"/>
  <c r="AB434" i="1"/>
  <c r="AA434" i="1"/>
  <c r="AB433" i="1"/>
  <c r="AA433" i="1"/>
  <c r="AB432" i="1"/>
  <c r="AA432" i="1"/>
  <c r="AB431" i="1"/>
  <c r="AA431" i="1"/>
  <c r="AB430" i="1"/>
  <c r="AA430" i="1"/>
  <c r="AB429" i="1"/>
  <c r="AA429" i="1"/>
  <c r="AB428" i="1"/>
  <c r="AA428" i="1"/>
  <c r="AB427" i="1"/>
  <c r="AA427" i="1"/>
  <c r="AB426" i="1"/>
  <c r="AA426" i="1"/>
  <c r="AB425" i="1"/>
  <c r="AA425" i="1"/>
  <c r="AB424" i="1"/>
  <c r="AA424" i="1"/>
  <c r="AB423" i="1"/>
  <c r="AA423" i="1"/>
  <c r="AB422" i="1"/>
  <c r="AA422" i="1"/>
  <c r="AB421" i="1"/>
  <c r="AA421" i="1"/>
  <c r="AB420" i="1"/>
  <c r="AA420" i="1"/>
  <c r="AB419" i="1"/>
  <c r="AA419" i="1"/>
  <c r="AB418" i="1"/>
  <c r="AA418" i="1"/>
  <c r="AB417" i="1"/>
  <c r="AA417" i="1"/>
  <c r="AB416" i="1"/>
  <c r="AA416" i="1"/>
  <c r="AB415" i="1"/>
  <c r="AA415" i="1"/>
  <c r="AB414" i="1"/>
  <c r="AA414" i="1"/>
  <c r="AB413" i="1"/>
  <c r="AA413" i="1"/>
  <c r="AB412" i="1"/>
  <c r="AA412" i="1"/>
  <c r="AB411" i="1"/>
  <c r="AA411" i="1"/>
  <c r="AB410" i="1"/>
  <c r="AA410" i="1"/>
  <c r="AB409" i="1"/>
  <c r="AA409" i="1"/>
  <c r="AB408" i="1"/>
  <c r="AA408" i="1"/>
  <c r="AB407" i="1"/>
  <c r="AA407" i="1"/>
  <c r="AB406" i="1"/>
  <c r="AA406" i="1"/>
  <c r="AB405" i="1"/>
  <c r="AA405" i="1"/>
  <c r="AB404" i="1"/>
  <c r="AA404" i="1"/>
  <c r="AB403" i="1"/>
  <c r="AA403" i="1"/>
  <c r="AB402" i="1"/>
  <c r="AA402" i="1"/>
  <c r="AB401" i="1"/>
  <c r="AA401" i="1"/>
  <c r="AB400" i="1"/>
  <c r="AA400" i="1"/>
  <c r="AB399" i="1"/>
  <c r="AA399" i="1"/>
  <c r="AB398" i="1"/>
  <c r="AA398" i="1"/>
  <c r="AB397" i="1"/>
  <c r="AA397" i="1"/>
  <c r="AB396" i="1"/>
  <c r="AA396" i="1"/>
  <c r="AB395" i="1"/>
  <c r="AA395" i="1"/>
  <c r="AB394" i="1"/>
  <c r="AA394" i="1"/>
  <c r="AB393" i="1"/>
  <c r="AA393" i="1"/>
  <c r="AB392" i="1"/>
  <c r="AA392" i="1"/>
  <c r="AB391" i="1"/>
  <c r="AA391" i="1"/>
  <c r="AB390" i="1"/>
  <c r="AA390" i="1"/>
  <c r="AB389" i="1"/>
  <c r="AA389" i="1"/>
  <c r="AB388" i="1"/>
  <c r="AA388" i="1"/>
  <c r="AB387" i="1"/>
  <c r="AA387" i="1"/>
  <c r="AB386" i="1"/>
  <c r="AA386" i="1"/>
  <c r="AB385" i="1"/>
  <c r="AA385" i="1"/>
  <c r="AB384" i="1"/>
  <c r="AA384" i="1"/>
  <c r="AB383" i="1"/>
  <c r="AA383" i="1"/>
  <c r="AB382" i="1"/>
  <c r="AA382" i="1"/>
  <c r="AB381" i="1"/>
  <c r="AA381" i="1"/>
  <c r="AB380" i="1"/>
  <c r="AA380" i="1"/>
  <c r="AB379" i="1"/>
  <c r="AA379" i="1"/>
  <c r="AB378" i="1"/>
  <c r="AA378" i="1"/>
  <c r="AB377" i="1"/>
  <c r="AA377" i="1"/>
  <c r="AB376" i="1"/>
  <c r="AA376" i="1"/>
  <c r="AB375" i="1"/>
  <c r="AA375" i="1"/>
  <c r="AB374" i="1"/>
  <c r="AA374" i="1"/>
  <c r="AB373" i="1"/>
  <c r="AA373" i="1"/>
  <c r="AB372" i="1"/>
  <c r="AA372" i="1"/>
  <c r="AB371" i="1"/>
  <c r="AA371" i="1"/>
  <c r="AB370" i="1"/>
  <c r="AA370" i="1"/>
  <c r="AB369" i="1"/>
  <c r="AA369" i="1"/>
  <c r="AB368" i="1"/>
  <c r="AA368" i="1"/>
  <c r="AB367" i="1"/>
  <c r="AA367" i="1"/>
  <c r="AB366" i="1"/>
  <c r="AA366" i="1"/>
  <c r="AB365" i="1"/>
  <c r="AA365" i="1"/>
  <c r="AB364" i="1"/>
  <c r="AA364" i="1"/>
  <c r="AB363" i="1"/>
  <c r="AA363" i="1"/>
  <c r="AB362" i="1"/>
  <c r="AA362" i="1"/>
  <c r="AB361" i="1"/>
  <c r="AA361" i="1"/>
  <c r="AB360" i="1"/>
  <c r="AA360" i="1"/>
  <c r="AB359" i="1"/>
  <c r="AA359" i="1"/>
  <c r="AB358" i="1"/>
  <c r="AA358" i="1"/>
  <c r="AB357" i="1"/>
  <c r="AA357" i="1"/>
  <c r="AB356" i="1"/>
  <c r="AA356" i="1"/>
  <c r="AB355" i="1"/>
  <c r="AA355" i="1"/>
  <c r="AB354" i="1"/>
  <c r="AA354" i="1"/>
  <c r="AB353" i="1"/>
  <c r="AA353" i="1"/>
  <c r="AB352" i="1"/>
  <c r="AA352" i="1"/>
  <c r="AB351" i="1"/>
  <c r="AA351" i="1"/>
  <c r="AB350" i="1"/>
  <c r="AA350" i="1"/>
  <c r="AB349" i="1"/>
  <c r="AA349" i="1"/>
  <c r="AB348" i="1"/>
  <c r="AA348" i="1"/>
  <c r="AB347" i="1"/>
  <c r="AA347" i="1"/>
  <c r="AB346" i="1"/>
  <c r="AA346" i="1"/>
  <c r="AB345" i="1"/>
  <c r="AA345" i="1"/>
  <c r="AB344" i="1"/>
  <c r="AA344" i="1"/>
  <c r="AB343" i="1"/>
  <c r="AA343" i="1"/>
  <c r="AB342" i="1"/>
  <c r="AA342" i="1"/>
  <c r="AB341" i="1"/>
  <c r="AA341" i="1"/>
  <c r="AB340" i="1"/>
  <c r="AA340" i="1"/>
  <c r="AB339" i="1"/>
  <c r="AA339" i="1"/>
  <c r="AB338" i="1"/>
  <c r="AA338" i="1"/>
  <c r="AB337" i="1"/>
  <c r="AA337" i="1"/>
  <c r="AB336" i="1"/>
  <c r="AA336" i="1"/>
  <c r="AB335" i="1"/>
  <c r="AA335" i="1"/>
  <c r="AB334" i="1"/>
  <c r="AA334" i="1"/>
  <c r="AB333" i="1"/>
  <c r="AA333" i="1"/>
  <c r="AB332" i="1"/>
  <c r="AA332" i="1"/>
  <c r="AB331" i="1"/>
  <c r="AA331" i="1"/>
  <c r="AB330" i="1"/>
  <c r="AA330" i="1"/>
  <c r="AB329" i="1"/>
  <c r="AA329" i="1"/>
  <c r="AB328" i="1"/>
  <c r="AA328" i="1"/>
  <c r="AB327" i="1"/>
  <c r="AA327" i="1"/>
  <c r="AB326" i="1"/>
  <c r="AA326" i="1"/>
  <c r="AB325" i="1"/>
  <c r="AA325" i="1"/>
  <c r="AB324" i="1"/>
  <c r="AA324" i="1"/>
  <c r="AB323" i="1"/>
  <c r="AA323" i="1"/>
  <c r="AB322" i="1"/>
  <c r="AA322" i="1"/>
  <c r="AB321" i="1"/>
  <c r="AA321" i="1"/>
  <c r="AB320" i="1"/>
  <c r="AA320" i="1"/>
  <c r="AB319" i="1"/>
  <c r="AA319" i="1"/>
  <c r="AB318" i="1"/>
  <c r="AA318" i="1"/>
  <c r="AB317" i="1"/>
  <c r="AA317" i="1"/>
  <c r="AB316" i="1"/>
  <c r="AA316" i="1"/>
  <c r="AB315" i="1"/>
  <c r="AA315" i="1"/>
  <c r="AB314" i="1"/>
  <c r="AA314" i="1"/>
  <c r="AB313" i="1"/>
  <c r="AA313" i="1"/>
  <c r="AB312" i="1"/>
  <c r="AA312" i="1"/>
  <c r="AB311" i="1"/>
  <c r="AA311" i="1"/>
  <c r="AB310" i="1"/>
  <c r="AA310" i="1"/>
  <c r="AB309" i="1"/>
  <c r="AA309" i="1"/>
  <c r="AB308" i="1"/>
  <c r="AA308" i="1"/>
  <c r="AB307" i="1"/>
  <c r="AA307" i="1"/>
  <c r="AB306" i="1"/>
  <c r="AA306" i="1"/>
  <c r="AB305" i="1"/>
  <c r="AA305" i="1"/>
  <c r="AB304" i="1"/>
  <c r="AA304" i="1"/>
  <c r="AB303" i="1"/>
  <c r="AA303" i="1"/>
  <c r="AB302" i="1"/>
  <c r="AA302" i="1"/>
  <c r="AB301" i="1"/>
  <c r="AA301" i="1"/>
  <c r="AB300" i="1"/>
  <c r="AA300" i="1"/>
  <c r="AB299" i="1"/>
  <c r="AA299" i="1"/>
  <c r="AB298" i="1"/>
  <c r="AA298" i="1"/>
  <c r="AB297" i="1"/>
  <c r="AA297" i="1"/>
  <c r="AB296" i="1"/>
  <c r="AA296" i="1"/>
  <c r="AB295" i="1"/>
  <c r="AA295" i="1"/>
  <c r="AB294" i="1"/>
  <c r="AA294" i="1"/>
  <c r="AB293" i="1"/>
  <c r="AA293" i="1"/>
  <c r="AB292" i="1"/>
  <c r="AA292" i="1"/>
  <c r="AB291" i="1"/>
  <c r="AA291" i="1"/>
  <c r="AB290" i="1"/>
  <c r="AA290" i="1"/>
  <c r="AB289" i="1"/>
  <c r="AA289" i="1"/>
  <c r="AB288" i="1"/>
  <c r="AA288" i="1"/>
  <c r="AB287" i="1"/>
  <c r="AA287" i="1"/>
  <c r="AB286" i="1"/>
  <c r="AA286" i="1"/>
  <c r="AB285" i="1"/>
  <c r="AA285" i="1"/>
  <c r="AB284" i="1"/>
  <c r="AA284" i="1"/>
  <c r="AB283" i="1"/>
  <c r="AA283" i="1"/>
  <c r="AB282" i="1"/>
  <c r="AA282" i="1"/>
  <c r="AB281" i="1"/>
  <c r="AA281" i="1"/>
  <c r="AB280" i="1"/>
  <c r="AA280" i="1"/>
  <c r="AB279" i="1"/>
  <c r="AA279" i="1"/>
  <c r="AB278" i="1"/>
  <c r="AA278" i="1"/>
  <c r="AB277" i="1"/>
  <c r="AA277" i="1"/>
  <c r="AB276" i="1"/>
  <c r="AA276" i="1"/>
  <c r="AB275" i="1"/>
  <c r="AA275" i="1"/>
  <c r="AB274" i="1"/>
  <c r="AA274" i="1"/>
  <c r="AB273" i="1"/>
  <c r="AA273" i="1"/>
  <c r="AB272" i="1"/>
  <c r="AA272" i="1"/>
  <c r="AB271" i="1"/>
  <c r="AA271" i="1"/>
  <c r="AB270" i="1"/>
  <c r="AA270" i="1"/>
  <c r="AB269" i="1"/>
  <c r="AA269" i="1"/>
  <c r="AB268" i="1"/>
  <c r="AA268" i="1"/>
  <c r="AB267" i="1"/>
  <c r="AA267" i="1"/>
  <c r="AB266" i="1"/>
  <c r="AA266" i="1"/>
  <c r="AB265" i="1"/>
  <c r="AA265" i="1"/>
  <c r="AB264" i="1"/>
  <c r="AA264" i="1"/>
  <c r="AB263" i="1"/>
  <c r="AA263" i="1"/>
  <c r="AB262" i="1"/>
  <c r="AA262" i="1"/>
  <c r="AB261" i="1"/>
  <c r="AA261" i="1"/>
  <c r="AB260" i="1"/>
  <c r="AA260" i="1"/>
  <c r="AB259" i="1"/>
  <c r="AA259" i="1"/>
  <c r="AB258" i="1"/>
  <c r="AA258" i="1"/>
  <c r="AB257" i="1"/>
  <c r="AA257" i="1"/>
  <c r="AB256" i="1"/>
  <c r="AA256" i="1"/>
  <c r="AB255" i="1"/>
  <c r="AA255" i="1"/>
  <c r="AB254" i="1"/>
  <c r="AA254" i="1"/>
  <c r="AB253" i="1"/>
  <c r="AA253" i="1"/>
  <c r="AB252" i="1"/>
  <c r="AA252" i="1"/>
  <c r="AB251" i="1"/>
  <c r="AA251" i="1"/>
  <c r="AB250" i="1"/>
  <c r="AA250" i="1"/>
  <c r="AB249" i="1"/>
  <c r="AA249" i="1"/>
  <c r="AB248" i="1"/>
  <c r="AA248" i="1"/>
  <c r="AB247" i="1"/>
  <c r="AA247" i="1"/>
  <c r="AB246" i="1"/>
  <c r="AA246" i="1"/>
  <c r="AB245" i="1"/>
  <c r="AA245" i="1"/>
  <c r="AB244" i="1"/>
  <c r="AA244" i="1"/>
  <c r="AB243" i="1"/>
  <c r="AA243" i="1"/>
  <c r="AB242" i="1"/>
  <c r="AA242" i="1"/>
  <c r="AB241" i="1"/>
  <c r="AA241" i="1"/>
  <c r="AB240" i="1"/>
  <c r="AA240" i="1"/>
  <c r="AB239" i="1"/>
  <c r="AA239" i="1"/>
  <c r="AB238" i="1"/>
  <c r="AA238" i="1"/>
  <c r="AB237" i="1"/>
  <c r="AA237" i="1"/>
  <c r="AB236" i="1"/>
  <c r="AA236" i="1"/>
  <c r="AB235" i="1"/>
  <c r="AA235" i="1"/>
  <c r="AB234" i="1"/>
  <c r="AA234" i="1"/>
  <c r="AB233" i="1"/>
  <c r="AA233" i="1"/>
  <c r="AB232" i="1"/>
  <c r="AA232" i="1"/>
  <c r="AB231" i="1"/>
  <c r="AA231" i="1"/>
  <c r="AB230" i="1"/>
  <c r="AA230" i="1"/>
  <c r="AB229" i="1"/>
  <c r="AA229" i="1"/>
  <c r="AB228" i="1"/>
  <c r="AA228" i="1"/>
  <c r="AB227" i="1"/>
  <c r="AA227" i="1"/>
  <c r="AB226" i="1"/>
  <c r="AA226" i="1"/>
  <c r="AB225" i="1"/>
  <c r="AA225" i="1"/>
  <c r="AB224" i="1"/>
  <c r="AA224" i="1"/>
  <c r="AB223" i="1"/>
  <c r="AA223" i="1"/>
  <c r="AB222" i="1"/>
  <c r="AA222" i="1"/>
  <c r="AB221" i="1"/>
  <c r="AA221" i="1"/>
  <c r="AB220" i="1"/>
  <c r="AA220" i="1"/>
  <c r="AB219" i="1"/>
  <c r="AA219" i="1"/>
  <c r="AB218" i="1"/>
  <c r="AA218" i="1"/>
  <c r="AB217" i="1"/>
  <c r="AA217" i="1"/>
  <c r="AB216" i="1"/>
  <c r="AA216" i="1"/>
  <c r="AB215" i="1"/>
  <c r="AA215" i="1"/>
  <c r="AB214" i="1"/>
  <c r="AA214" i="1"/>
  <c r="AB213" i="1"/>
  <c r="AA213" i="1"/>
  <c r="AB212" i="1"/>
  <c r="AA212" i="1"/>
  <c r="AB211" i="1"/>
  <c r="AA211" i="1"/>
  <c r="AB210" i="1"/>
  <c r="AA210" i="1"/>
  <c r="AB209" i="1"/>
  <c r="AA209" i="1"/>
  <c r="AB208" i="1"/>
  <c r="AA208" i="1"/>
  <c r="AB207" i="1"/>
  <c r="AA207" i="1"/>
  <c r="AB206" i="1"/>
  <c r="AA206" i="1"/>
  <c r="AB205" i="1"/>
  <c r="AA205" i="1"/>
  <c r="AB204" i="1"/>
  <c r="AA204" i="1"/>
  <c r="AB203" i="1"/>
  <c r="AA203" i="1"/>
  <c r="AB202" i="1"/>
  <c r="AA202" i="1"/>
  <c r="AB201" i="1"/>
  <c r="AA201" i="1"/>
  <c r="AB200" i="1"/>
  <c r="AA200" i="1"/>
  <c r="AB199" i="1"/>
  <c r="AA199" i="1"/>
  <c r="AB198" i="1"/>
  <c r="AA198" i="1"/>
  <c r="AB197" i="1"/>
  <c r="AA197" i="1"/>
  <c r="AB196" i="1"/>
  <c r="AA196" i="1"/>
  <c r="AB195" i="1"/>
  <c r="AA195" i="1"/>
  <c r="AB194" i="1"/>
  <c r="AA194" i="1"/>
  <c r="AB193" i="1"/>
  <c r="AA193" i="1"/>
  <c r="AB192" i="1"/>
  <c r="AA192" i="1"/>
  <c r="AB191" i="1"/>
  <c r="AA191" i="1"/>
  <c r="AB190" i="1"/>
  <c r="AA190" i="1"/>
  <c r="AB189" i="1"/>
  <c r="AA189" i="1"/>
  <c r="AB188" i="1"/>
  <c r="AA188" i="1"/>
  <c r="AB187" i="1"/>
  <c r="AA187" i="1"/>
  <c r="AB186" i="1"/>
  <c r="AA186" i="1"/>
  <c r="AB185" i="1"/>
  <c r="AA185" i="1"/>
  <c r="AB184" i="1"/>
  <c r="AA184" i="1"/>
  <c r="AB183" i="1"/>
  <c r="AA183" i="1"/>
  <c r="AB182" i="1"/>
  <c r="AA182" i="1"/>
  <c r="AB181" i="1"/>
  <c r="AA181" i="1"/>
  <c r="AB180" i="1"/>
  <c r="AA180" i="1"/>
  <c r="AB179" i="1"/>
  <c r="AA179" i="1"/>
  <c r="AB178" i="1"/>
  <c r="AA178" i="1"/>
  <c r="AB177" i="1"/>
  <c r="AA177" i="1"/>
  <c r="AB176" i="1"/>
  <c r="AA176" i="1"/>
  <c r="AB175" i="1"/>
  <c r="AA175" i="1"/>
  <c r="AB174" i="1"/>
  <c r="AA174" i="1"/>
  <c r="AB173" i="1"/>
  <c r="AA173" i="1"/>
  <c r="AB172" i="1"/>
  <c r="AA172" i="1"/>
  <c r="AB171" i="1"/>
  <c r="AA171" i="1"/>
  <c r="AB170" i="1"/>
  <c r="AA170" i="1"/>
  <c r="AB169" i="1"/>
  <c r="AA169" i="1"/>
  <c r="AB168" i="1"/>
  <c r="AA168" i="1"/>
  <c r="AB167" i="1"/>
  <c r="AA167" i="1"/>
  <c r="AB166" i="1"/>
  <c r="AA166" i="1"/>
  <c r="AB165" i="1"/>
  <c r="AA165" i="1"/>
  <c r="AB164" i="1"/>
  <c r="AA164" i="1"/>
  <c r="AB163" i="1"/>
  <c r="AA163" i="1"/>
  <c r="AB162" i="1"/>
  <c r="AA162" i="1"/>
  <c r="AB161" i="1"/>
  <c r="AA161" i="1"/>
  <c r="AB160" i="1"/>
  <c r="AA160" i="1"/>
  <c r="AB159" i="1"/>
  <c r="AA159" i="1"/>
  <c r="AB158" i="1"/>
  <c r="AA158" i="1"/>
  <c r="AB157" i="1"/>
  <c r="AA157" i="1"/>
  <c r="AB156" i="1"/>
  <c r="AA156" i="1"/>
  <c r="AB155" i="1"/>
  <c r="AA155" i="1"/>
  <c r="AB154" i="1"/>
  <c r="AA154" i="1"/>
  <c r="AB153" i="1"/>
  <c r="AA153" i="1"/>
  <c r="AB152" i="1"/>
  <c r="AA152" i="1"/>
  <c r="AB151" i="1"/>
  <c r="AA151" i="1"/>
  <c r="AB150" i="1"/>
  <c r="AA150" i="1"/>
  <c r="AB149" i="1"/>
  <c r="AA149" i="1"/>
  <c r="AB148" i="1"/>
  <c r="AA148" i="1"/>
  <c r="AB147" i="1"/>
  <c r="AA147" i="1"/>
  <c r="AB146" i="1"/>
  <c r="AA146" i="1"/>
  <c r="AB145" i="1"/>
  <c r="AA145" i="1"/>
  <c r="AB144" i="1"/>
  <c r="AA144" i="1"/>
  <c r="AB143" i="1"/>
  <c r="AA143" i="1"/>
  <c r="AB142" i="1"/>
  <c r="AA142" i="1"/>
  <c r="AB141" i="1"/>
  <c r="AA141" i="1"/>
  <c r="AB140" i="1"/>
  <c r="AA140" i="1"/>
  <c r="AB139" i="1"/>
  <c r="AA139" i="1"/>
  <c r="AB138" i="1"/>
  <c r="AA138" i="1"/>
  <c r="AB137" i="1"/>
  <c r="AA137" i="1"/>
  <c r="AB136" i="1"/>
  <c r="AA136" i="1"/>
  <c r="AB135" i="1"/>
  <c r="AA135" i="1"/>
  <c r="AB134" i="1"/>
  <c r="AA134" i="1"/>
  <c r="AB133" i="1"/>
  <c r="AA133" i="1"/>
  <c r="AB132" i="1"/>
  <c r="AA132" i="1"/>
  <c r="AB131" i="1"/>
  <c r="AA131" i="1"/>
  <c r="AB130" i="1"/>
  <c r="AA130" i="1"/>
  <c r="AB129" i="1"/>
  <c r="AA129" i="1"/>
  <c r="AB128" i="1"/>
  <c r="AA128" i="1"/>
  <c r="AB127" i="1"/>
  <c r="AA127" i="1"/>
  <c r="AB126" i="1"/>
  <c r="AA126" i="1"/>
  <c r="AB125" i="1"/>
  <c r="AA125" i="1"/>
  <c r="AB124" i="1"/>
  <c r="AA124" i="1"/>
  <c r="AB123" i="1"/>
  <c r="AA123" i="1"/>
  <c r="AB122" i="1"/>
  <c r="AA122" i="1"/>
  <c r="AB121" i="1"/>
  <c r="AA121" i="1"/>
  <c r="AB120" i="1"/>
  <c r="AA120" i="1"/>
  <c r="AB119" i="1"/>
  <c r="AA119" i="1"/>
  <c r="AB118" i="1"/>
  <c r="AA118" i="1"/>
  <c r="AB117" i="1"/>
  <c r="AA117" i="1"/>
  <c r="AB116" i="1"/>
  <c r="AA116" i="1"/>
  <c r="AB115" i="1"/>
  <c r="AA115" i="1"/>
  <c r="AB114" i="1"/>
  <c r="AA114" i="1"/>
  <c r="AB113" i="1"/>
  <c r="AA113" i="1"/>
  <c r="AB112" i="1"/>
  <c r="AA112" i="1"/>
  <c r="AB111" i="1"/>
  <c r="AA111" i="1"/>
  <c r="AB110" i="1"/>
  <c r="AA110" i="1"/>
  <c r="AB109" i="1"/>
  <c r="AA109" i="1"/>
  <c r="AB108" i="1"/>
  <c r="AA108" i="1"/>
  <c r="AB107" i="1"/>
  <c r="AA107" i="1"/>
  <c r="AB106" i="1"/>
  <c r="AA106" i="1"/>
  <c r="AB105" i="1"/>
  <c r="AA105" i="1"/>
  <c r="AB104" i="1"/>
  <c r="AA104" i="1"/>
  <c r="AB103" i="1"/>
  <c r="AA103" i="1"/>
  <c r="AB102" i="1"/>
  <c r="AA102" i="1"/>
  <c r="AB101" i="1"/>
  <c r="AA101" i="1"/>
  <c r="AB100" i="1"/>
  <c r="AA100" i="1"/>
  <c r="AB99" i="1"/>
  <c r="AA99" i="1"/>
  <c r="AB98" i="1"/>
  <c r="AA98" i="1"/>
  <c r="AB97" i="1"/>
  <c r="AA97" i="1"/>
  <c r="AB96" i="1"/>
  <c r="AA96" i="1"/>
  <c r="AB95" i="1"/>
  <c r="AA95" i="1"/>
  <c r="AB94" i="1"/>
  <c r="AA94" i="1"/>
  <c r="AB93" i="1"/>
  <c r="AA93" i="1"/>
  <c r="AB92" i="1"/>
  <c r="AA92" i="1"/>
  <c r="AB91" i="1"/>
  <c r="AA91" i="1"/>
  <c r="AB90" i="1"/>
  <c r="AA90" i="1"/>
  <c r="AB89" i="1"/>
  <c r="AA89" i="1"/>
  <c r="AB88" i="1"/>
  <c r="AA88" i="1"/>
  <c r="AB87" i="1"/>
  <c r="AA87" i="1"/>
  <c r="AB86" i="1"/>
  <c r="AA86" i="1"/>
  <c r="AB85" i="1"/>
  <c r="AA85" i="1"/>
  <c r="AB84" i="1"/>
  <c r="AA84" i="1"/>
  <c r="AB83" i="1"/>
  <c r="AA83" i="1"/>
  <c r="AB82" i="1"/>
  <c r="AA82" i="1"/>
  <c r="AB81" i="1"/>
  <c r="AA81" i="1"/>
  <c r="AB80" i="1"/>
  <c r="AA80" i="1"/>
  <c r="AB79" i="1"/>
  <c r="AA79" i="1"/>
  <c r="AB78" i="1"/>
  <c r="AA78" i="1"/>
  <c r="AB77" i="1"/>
  <c r="AA77" i="1"/>
  <c r="AB76" i="1"/>
  <c r="AA76" i="1"/>
  <c r="AB75" i="1"/>
  <c r="AA75" i="1"/>
  <c r="AB74" i="1"/>
  <c r="AA74" i="1"/>
  <c r="AB73" i="1"/>
  <c r="AA73" i="1"/>
  <c r="AB72" i="1"/>
  <c r="AA72" i="1"/>
  <c r="AB71" i="1"/>
  <c r="AA71" i="1"/>
  <c r="AB70" i="1"/>
  <c r="AA70" i="1"/>
  <c r="AB69" i="1"/>
  <c r="AA69" i="1"/>
  <c r="AB68" i="1"/>
  <c r="AA68" i="1"/>
  <c r="AB67" i="1"/>
  <c r="AA67" i="1"/>
  <c r="AB66" i="1"/>
  <c r="AA66" i="1"/>
  <c r="AB65" i="1"/>
  <c r="AA65" i="1"/>
  <c r="AB64" i="1"/>
  <c r="AA64" i="1"/>
  <c r="AB63" i="1"/>
  <c r="AA63" i="1"/>
  <c r="AB62" i="1"/>
  <c r="AA62" i="1"/>
  <c r="AB61" i="1"/>
  <c r="AA61" i="1"/>
  <c r="AB60" i="1"/>
  <c r="AA60" i="1"/>
  <c r="AB59" i="1"/>
  <c r="AA59" i="1"/>
  <c r="AB58" i="1"/>
  <c r="AA58" i="1"/>
  <c r="AB57" i="1"/>
  <c r="AA57" i="1"/>
  <c r="AB56" i="1"/>
  <c r="AA56" i="1"/>
  <c r="AB55" i="1"/>
  <c r="AA55" i="1"/>
  <c r="AB54" i="1"/>
  <c r="AA54" i="1"/>
  <c r="AB53" i="1"/>
  <c r="AA53" i="1"/>
  <c r="AB52" i="1"/>
  <c r="AA52" i="1"/>
  <c r="AB51" i="1"/>
  <c r="AA51" i="1"/>
  <c r="AB50" i="1"/>
  <c r="AA50" i="1"/>
  <c r="AB49" i="1"/>
  <c r="AA49" i="1"/>
  <c r="AB48" i="1"/>
  <c r="AA48" i="1"/>
  <c r="AB47" i="1"/>
  <c r="AA47" i="1"/>
  <c r="AB46" i="1"/>
  <c r="AA46" i="1"/>
  <c r="AB45" i="1"/>
  <c r="AA45" i="1"/>
  <c r="AB44" i="1"/>
  <c r="AA44" i="1"/>
  <c r="AB43" i="1"/>
  <c r="AA43" i="1"/>
  <c r="AB42" i="1"/>
  <c r="AA42" i="1"/>
  <c r="AB41" i="1"/>
  <c r="AA41" i="1"/>
  <c r="AB40" i="1"/>
  <c r="AA40" i="1"/>
  <c r="AB39" i="1"/>
  <c r="AA39" i="1"/>
  <c r="AB38" i="1"/>
  <c r="AA38" i="1"/>
  <c r="AB37" i="1"/>
  <c r="AA37" i="1"/>
  <c r="AB36" i="1"/>
  <c r="AA36" i="1"/>
  <c r="AB35" i="1"/>
  <c r="AA35" i="1"/>
  <c r="AB34" i="1"/>
  <c r="AA34" i="1"/>
  <c r="AB33" i="1"/>
  <c r="AA33" i="1"/>
  <c r="AB32" i="1"/>
  <c r="AA32" i="1"/>
  <c r="AB31" i="1"/>
  <c r="AA31" i="1"/>
  <c r="AB30" i="1"/>
  <c r="AA30" i="1"/>
  <c r="AB29" i="1"/>
  <c r="AA29" i="1"/>
  <c r="AB28" i="1"/>
  <c r="AA28" i="1"/>
  <c r="AB27" i="1"/>
  <c r="AA27" i="1"/>
  <c r="AB26" i="1"/>
  <c r="AA26" i="1"/>
  <c r="AB25" i="1"/>
  <c r="AA25" i="1"/>
  <c r="AB24" i="1"/>
  <c r="AA24" i="1"/>
  <c r="AB23" i="1"/>
  <c r="AA23" i="1"/>
  <c r="AB22" i="1"/>
  <c r="AA22" i="1"/>
  <c r="AB21" i="1"/>
  <c r="AA21" i="1"/>
  <c r="AB20" i="1"/>
  <c r="AA20" i="1"/>
  <c r="AB19" i="1"/>
  <c r="AA19" i="1"/>
  <c r="AB18" i="1"/>
  <c r="AA18" i="1"/>
  <c r="AB17" i="1"/>
  <c r="AA17" i="1"/>
  <c r="AB16" i="1"/>
  <c r="AA16" i="1"/>
  <c r="AB15" i="1"/>
  <c r="AA15" i="1"/>
  <c r="AB14" i="1"/>
  <c r="AA14" i="1"/>
  <c r="AB13" i="1"/>
  <c r="AA13" i="1"/>
  <c r="AB12" i="1"/>
  <c r="AA12" i="1"/>
  <c r="AB11" i="1"/>
  <c r="AA11" i="1"/>
  <c r="AB10" i="1"/>
  <c r="AA10" i="1"/>
  <c r="AB9" i="1"/>
  <c r="AA9" i="1"/>
  <c r="AB8" i="1"/>
  <c r="AA8" i="1"/>
  <c r="AB7" i="1"/>
  <c r="AA7" i="1"/>
  <c r="U7" i="1"/>
  <c r="AB6" i="1"/>
  <c r="AA6" i="1"/>
  <c r="B6" i="1"/>
  <c r="AB5" i="1"/>
  <c r="AA5" i="1"/>
  <c r="AB4" i="1"/>
  <c r="AA4" i="1"/>
  <c r="AB3" i="1"/>
  <c r="AA3" i="1"/>
  <c r="E3" i="1"/>
  <c r="AB2" i="1"/>
  <c r="AA2" i="1"/>
  <c r="AL3062" i="1" l="1"/>
  <c r="AL1743" i="1"/>
  <c r="AF1304" i="1"/>
  <c r="AJ3062" i="1"/>
  <c r="AI3062" i="1"/>
  <c r="AH3062" i="1"/>
  <c r="AG3062" i="1"/>
  <c r="AF3062" i="1"/>
  <c r="AJ1765" i="1"/>
  <c r="AJ1743" i="1"/>
  <c r="AL1304" i="1"/>
  <c r="AI864" i="1"/>
  <c r="AI93" i="1"/>
  <c r="AD2443" i="1"/>
  <c r="AJ2401" i="1"/>
  <c r="AC2318" i="1"/>
  <c r="AI1743" i="1"/>
  <c r="AE1304" i="1"/>
  <c r="AC1304" i="1"/>
  <c r="AH864" i="1"/>
  <c r="AL2183" i="1"/>
  <c r="AJ2183" i="1"/>
  <c r="AI2183" i="1"/>
  <c r="AH2183" i="1"/>
  <c r="AG2183" i="1"/>
  <c r="AF2183" i="1"/>
  <c r="AE2183" i="1"/>
  <c r="AD2183" i="1"/>
  <c r="AJ2061" i="1"/>
  <c r="AJ1304" i="1"/>
  <c r="AD1304" i="1"/>
  <c r="AL864" i="1"/>
  <c r="AG864" i="1"/>
  <c r="AJ864" i="1"/>
  <c r="AD336" i="1"/>
  <c r="AL3501" i="1"/>
  <c r="AJ3501" i="1"/>
  <c r="AI3501" i="1"/>
  <c r="AH3501" i="1"/>
  <c r="AG3501" i="1"/>
  <c r="AF3501" i="1"/>
  <c r="AE3501" i="1"/>
  <c r="AD3501" i="1"/>
  <c r="AC3501" i="1"/>
  <c r="AL3500" i="1"/>
  <c r="AJ3500" i="1"/>
  <c r="AI3500" i="1"/>
  <c r="AH3500" i="1"/>
  <c r="AG3500" i="1"/>
  <c r="AF3500" i="1"/>
  <c r="AE3500" i="1"/>
  <c r="AD3500" i="1"/>
  <c r="AC3500" i="1"/>
  <c r="AL3499" i="1"/>
  <c r="AJ3499" i="1"/>
  <c r="AI3499" i="1"/>
  <c r="AH3499" i="1"/>
  <c r="AG3499" i="1"/>
  <c r="AF3499" i="1"/>
  <c r="AE3499" i="1"/>
  <c r="AD3499" i="1"/>
  <c r="AC3499" i="1"/>
  <c r="AL3498" i="1"/>
  <c r="AJ3498" i="1"/>
  <c r="AI3498" i="1"/>
  <c r="AH3498" i="1"/>
  <c r="AG3498" i="1"/>
  <c r="AF3498" i="1"/>
  <c r="AE3498" i="1"/>
  <c r="AD3498" i="1"/>
  <c r="AC3498" i="1"/>
  <c r="AL3497" i="1"/>
  <c r="AJ3497" i="1"/>
  <c r="AI3497" i="1"/>
  <c r="AH3497" i="1"/>
  <c r="AG3497" i="1"/>
  <c r="AF3497" i="1"/>
  <c r="AE3497" i="1"/>
  <c r="AD3497" i="1"/>
  <c r="AC3497" i="1"/>
  <c r="AL3496" i="1"/>
  <c r="AJ3496" i="1"/>
  <c r="AI3496" i="1"/>
  <c r="AH3496" i="1"/>
  <c r="AG3496" i="1"/>
  <c r="AF3496" i="1"/>
  <c r="AE3496" i="1"/>
  <c r="AD3496" i="1"/>
  <c r="AC3496" i="1"/>
  <c r="AL3495" i="1"/>
  <c r="AJ3495" i="1"/>
  <c r="AI3495" i="1"/>
  <c r="AH3495" i="1"/>
  <c r="AG3495" i="1"/>
  <c r="AF3495" i="1"/>
  <c r="AE3495" i="1"/>
  <c r="AD3495" i="1"/>
  <c r="AC3495" i="1"/>
  <c r="AL3494" i="1"/>
  <c r="AJ3494" i="1"/>
  <c r="AI3494" i="1"/>
  <c r="AH3494" i="1"/>
  <c r="AG3494" i="1"/>
  <c r="AF3494" i="1"/>
  <c r="AE3494" i="1"/>
  <c r="AD3494" i="1"/>
  <c r="AC3494" i="1"/>
  <c r="AL3493" i="1"/>
  <c r="AJ3493" i="1"/>
  <c r="AI3493" i="1"/>
  <c r="AH3493" i="1"/>
  <c r="AG3493" i="1"/>
  <c r="AF3493" i="1"/>
  <c r="AE3493" i="1"/>
  <c r="AD3493" i="1"/>
  <c r="AC3493" i="1"/>
  <c r="AL3492" i="1"/>
  <c r="AJ3492" i="1"/>
  <c r="AI3492" i="1"/>
  <c r="AH3492" i="1"/>
  <c r="AG3492" i="1"/>
  <c r="AF3492" i="1"/>
  <c r="AE3492" i="1"/>
  <c r="AD3492" i="1"/>
  <c r="AC3492" i="1"/>
  <c r="AL3491" i="1"/>
  <c r="AJ3491" i="1"/>
  <c r="AI3491" i="1"/>
  <c r="AH3491" i="1"/>
  <c r="AG3491" i="1"/>
  <c r="AF3491" i="1"/>
  <c r="AE3491" i="1"/>
  <c r="AD3491" i="1"/>
  <c r="AC3491" i="1"/>
  <c r="AL3490" i="1"/>
  <c r="AJ3490" i="1"/>
  <c r="AI3490" i="1"/>
  <c r="AH3490" i="1"/>
  <c r="AG3490" i="1"/>
  <c r="AF3490" i="1"/>
  <c r="AE3490" i="1"/>
  <c r="AD3490" i="1"/>
  <c r="AC3490" i="1"/>
  <c r="AL3489" i="1"/>
  <c r="AJ3489" i="1"/>
  <c r="AI3489" i="1"/>
  <c r="AH3489" i="1"/>
  <c r="AG3489" i="1"/>
  <c r="AF3489" i="1"/>
  <c r="AE3489" i="1"/>
  <c r="AD3489" i="1"/>
  <c r="AC3489" i="1"/>
  <c r="AL3488" i="1"/>
  <c r="AJ3488" i="1"/>
  <c r="AI3488" i="1"/>
  <c r="AH3488" i="1"/>
  <c r="AG3488" i="1"/>
  <c r="AF3488" i="1"/>
  <c r="AE3488" i="1"/>
  <c r="AD3488" i="1"/>
  <c r="AC3488" i="1"/>
  <c r="AL3487" i="1"/>
  <c r="AJ3487" i="1"/>
  <c r="AI3487" i="1"/>
  <c r="AH3487" i="1"/>
  <c r="AG3487" i="1"/>
  <c r="AF3487" i="1"/>
  <c r="AE3487" i="1"/>
  <c r="AD3487" i="1"/>
  <c r="AC3487" i="1"/>
  <c r="AL3486" i="1"/>
  <c r="AJ3486" i="1"/>
  <c r="AI3486" i="1"/>
  <c r="AH3486" i="1"/>
  <c r="AG3486" i="1"/>
  <c r="AF3486" i="1"/>
  <c r="AE3486" i="1"/>
  <c r="AD3486" i="1"/>
  <c r="AC3486" i="1"/>
  <c r="AL3485" i="1"/>
  <c r="AJ3485" i="1"/>
  <c r="AI3485" i="1"/>
  <c r="AH3485" i="1"/>
  <c r="AG3485" i="1"/>
  <c r="AF3485" i="1"/>
  <c r="AE3485" i="1"/>
  <c r="AD3485" i="1"/>
  <c r="AC3485" i="1"/>
  <c r="AL3484" i="1"/>
  <c r="AJ3484" i="1"/>
  <c r="AI3484" i="1"/>
  <c r="AH3484" i="1"/>
  <c r="AG3484" i="1"/>
  <c r="AF3484" i="1"/>
  <c r="AE3484" i="1"/>
  <c r="AD3484" i="1"/>
  <c r="AC3484" i="1"/>
  <c r="AL3483" i="1"/>
  <c r="AJ3483" i="1"/>
  <c r="AI3483" i="1"/>
  <c r="AH3483" i="1"/>
  <c r="AG3483" i="1"/>
  <c r="AF3483" i="1"/>
  <c r="AE3483" i="1"/>
  <c r="AD3483" i="1"/>
  <c r="AC3483" i="1"/>
  <c r="AL3482" i="1"/>
  <c r="AJ3482" i="1"/>
  <c r="AI3482" i="1"/>
  <c r="AH3482" i="1"/>
  <c r="AG3482" i="1"/>
  <c r="AF3482" i="1"/>
  <c r="AE3482" i="1"/>
  <c r="AD3482" i="1"/>
  <c r="AC3482" i="1"/>
  <c r="AL3481" i="1"/>
  <c r="AJ3481" i="1"/>
  <c r="AI3481" i="1"/>
  <c r="AH3481" i="1"/>
  <c r="AG3481" i="1"/>
  <c r="AF3481" i="1"/>
  <c r="AE3481" i="1"/>
  <c r="AD3481" i="1"/>
  <c r="AC3481" i="1"/>
  <c r="AL3480" i="1"/>
  <c r="AJ3480" i="1"/>
  <c r="AI3480" i="1"/>
  <c r="AH3480" i="1"/>
  <c r="AG3480" i="1"/>
  <c r="AF3480" i="1"/>
  <c r="AE3480" i="1"/>
  <c r="AD3480" i="1"/>
  <c r="AC3480" i="1"/>
  <c r="AL3479" i="1"/>
  <c r="AJ3479" i="1"/>
  <c r="AI3479" i="1"/>
  <c r="AH3479" i="1"/>
  <c r="AG3479" i="1"/>
  <c r="AF3479" i="1"/>
  <c r="AE3479" i="1"/>
  <c r="AD3479" i="1"/>
  <c r="AC3479" i="1"/>
  <c r="AL3478" i="1"/>
  <c r="AJ3478" i="1"/>
  <c r="AI3478" i="1"/>
  <c r="AH3478" i="1"/>
  <c r="AG3478" i="1"/>
  <c r="AF3478" i="1"/>
  <c r="AE3478" i="1"/>
  <c r="AD3478" i="1"/>
  <c r="AC3478" i="1"/>
  <c r="AL3477" i="1"/>
  <c r="AJ3477" i="1"/>
  <c r="AI3477" i="1"/>
  <c r="AH3477" i="1"/>
  <c r="AG3477" i="1"/>
  <c r="AF3477" i="1"/>
  <c r="AE3477" i="1"/>
  <c r="AD3477" i="1"/>
  <c r="AC3477" i="1"/>
  <c r="AL3476" i="1"/>
  <c r="AJ3476" i="1"/>
  <c r="AI3476" i="1"/>
  <c r="AH3476" i="1"/>
  <c r="AG3476" i="1"/>
  <c r="AF3476" i="1"/>
  <c r="AE3476" i="1"/>
  <c r="AD3476" i="1"/>
  <c r="AC3476" i="1"/>
  <c r="AL3475" i="1"/>
  <c r="AJ3475" i="1"/>
  <c r="AI3475" i="1"/>
  <c r="AH3475" i="1"/>
  <c r="AG3475" i="1"/>
  <c r="AF3475" i="1"/>
  <c r="AE3475" i="1"/>
  <c r="AD3475" i="1"/>
  <c r="AC3475" i="1"/>
  <c r="AL3474" i="1"/>
  <c r="AJ3474" i="1"/>
  <c r="AI3474" i="1"/>
  <c r="AH3474" i="1"/>
  <c r="AG3474" i="1"/>
  <c r="AF3474" i="1"/>
  <c r="AE3474" i="1"/>
  <c r="AD3474" i="1"/>
  <c r="AC3474" i="1"/>
  <c r="AL3473" i="1"/>
  <c r="AJ3473" i="1"/>
  <c r="AI3473" i="1"/>
  <c r="AH3473" i="1"/>
  <c r="AG3473" i="1"/>
  <c r="AF3473" i="1"/>
  <c r="AE3473" i="1"/>
  <c r="AD3473" i="1"/>
  <c r="AC3473" i="1"/>
  <c r="AL3472" i="1"/>
  <c r="AJ3472" i="1"/>
  <c r="AI3472" i="1"/>
  <c r="AH3472" i="1"/>
  <c r="AG3472" i="1"/>
  <c r="AF3472" i="1"/>
  <c r="AE3472" i="1"/>
  <c r="AD3472" i="1"/>
  <c r="AC3472" i="1"/>
  <c r="AL3471" i="1"/>
  <c r="AJ3471" i="1"/>
  <c r="AI3471" i="1"/>
  <c r="AH3471" i="1"/>
  <c r="AG3471" i="1"/>
  <c r="AF3471" i="1"/>
  <c r="AE3471" i="1"/>
  <c r="AD3471" i="1"/>
  <c r="AC3471" i="1"/>
  <c r="AL3470" i="1"/>
  <c r="AJ3470" i="1"/>
  <c r="AI3470" i="1"/>
  <c r="AH3470" i="1"/>
  <c r="AG3470" i="1"/>
  <c r="AF3470" i="1"/>
  <c r="AE3470" i="1"/>
  <c r="AD3470" i="1"/>
  <c r="AC3470" i="1"/>
  <c r="AL3469" i="1"/>
  <c r="AJ3469" i="1"/>
  <c r="AI3469" i="1"/>
  <c r="AH3469" i="1"/>
  <c r="AG3469" i="1"/>
  <c r="AF3469" i="1"/>
  <c r="AE3469" i="1"/>
  <c r="AD3469" i="1"/>
  <c r="AC3469" i="1"/>
  <c r="AL3468" i="1"/>
  <c r="AJ3468" i="1"/>
  <c r="AI3468" i="1"/>
  <c r="AH3468" i="1"/>
  <c r="AG3468" i="1"/>
  <c r="AF3468" i="1"/>
  <c r="AE3468" i="1"/>
  <c r="AD3468" i="1"/>
  <c r="AC3468" i="1"/>
  <c r="AL3467" i="1"/>
  <c r="AJ3467" i="1"/>
  <c r="AI3467" i="1"/>
  <c r="AH3467" i="1"/>
  <c r="AG3467" i="1"/>
  <c r="AF3467" i="1"/>
  <c r="AE3467" i="1"/>
  <c r="AD3467" i="1"/>
  <c r="AC3467" i="1"/>
  <c r="AL3466" i="1"/>
  <c r="AJ3466" i="1"/>
  <c r="AI3466" i="1"/>
  <c r="AH3466" i="1"/>
  <c r="AG3466" i="1"/>
  <c r="AF3466" i="1"/>
  <c r="AE3466" i="1"/>
  <c r="AD3466" i="1"/>
  <c r="AC3466" i="1"/>
  <c r="AL3465" i="1"/>
  <c r="AJ3465" i="1"/>
  <c r="AI3465" i="1"/>
  <c r="AH3465" i="1"/>
  <c r="AG3465" i="1"/>
  <c r="AF3465" i="1"/>
  <c r="AE3465" i="1"/>
  <c r="AD3465" i="1"/>
  <c r="AC3465" i="1"/>
  <c r="AL3464" i="1"/>
  <c r="AJ3464" i="1"/>
  <c r="AI3464" i="1"/>
  <c r="AH3464" i="1"/>
  <c r="AG3464" i="1"/>
  <c r="AF3464" i="1"/>
  <c r="AE3464" i="1"/>
  <c r="AD3464" i="1"/>
  <c r="AC3464" i="1"/>
  <c r="AL3463" i="1"/>
  <c r="AJ3463" i="1"/>
  <c r="AI3463" i="1"/>
  <c r="AH3463" i="1"/>
  <c r="AG3463" i="1"/>
  <c r="AF3463" i="1"/>
  <c r="AE3463" i="1"/>
  <c r="AD3463" i="1"/>
  <c r="AC3463" i="1"/>
  <c r="AL3462" i="1"/>
  <c r="AJ3462" i="1"/>
  <c r="AI3462" i="1"/>
  <c r="AH3462" i="1"/>
  <c r="AG3462" i="1"/>
  <c r="AF3462" i="1"/>
  <c r="AE3462" i="1"/>
  <c r="AD3462" i="1"/>
  <c r="AC3462" i="1"/>
  <c r="AL3461" i="1"/>
  <c r="AJ3461" i="1"/>
  <c r="AI3461" i="1"/>
  <c r="AH3461" i="1"/>
  <c r="AG3461" i="1"/>
  <c r="AF3461" i="1"/>
  <c r="AE3461" i="1"/>
  <c r="AD3461" i="1"/>
  <c r="AC3461" i="1"/>
  <c r="AL3460" i="1"/>
  <c r="AJ3460" i="1"/>
  <c r="AI3460" i="1"/>
  <c r="AH3460" i="1"/>
  <c r="AG3460" i="1"/>
  <c r="AF3460" i="1"/>
  <c r="AE3460" i="1"/>
  <c r="AD3460" i="1"/>
  <c r="AC3460" i="1"/>
  <c r="AL3459" i="1"/>
  <c r="AJ3459" i="1"/>
  <c r="AI3459" i="1"/>
  <c r="AH3459" i="1"/>
  <c r="AG3459" i="1"/>
  <c r="AF3459" i="1"/>
  <c r="AE3459" i="1"/>
  <c r="AD3459" i="1"/>
  <c r="AC3459" i="1"/>
  <c r="AL3458" i="1"/>
  <c r="AJ3458" i="1"/>
  <c r="AI3458" i="1"/>
  <c r="AH3458" i="1"/>
  <c r="AG3458" i="1"/>
  <c r="AF3458" i="1"/>
  <c r="AE3458" i="1"/>
  <c r="AD3458" i="1"/>
  <c r="AC3458" i="1"/>
  <c r="AL3457" i="1"/>
  <c r="AJ3457" i="1"/>
  <c r="AI3457" i="1"/>
  <c r="AH3457" i="1"/>
  <c r="AG3457" i="1"/>
  <c r="AF3457" i="1"/>
  <c r="AE3457" i="1"/>
  <c r="AD3457" i="1"/>
  <c r="AC3457" i="1"/>
  <c r="AL3456" i="1"/>
  <c r="AJ3456" i="1"/>
  <c r="AI3456" i="1"/>
  <c r="AH3456" i="1"/>
  <c r="AG3456" i="1"/>
  <c r="AF3456" i="1"/>
  <c r="AE3456" i="1"/>
  <c r="AD3456" i="1"/>
  <c r="AC3456" i="1"/>
  <c r="AL3455" i="1"/>
  <c r="AJ3455" i="1"/>
  <c r="AI3455" i="1"/>
  <c r="AH3455" i="1"/>
  <c r="AG3455" i="1"/>
  <c r="AF3455" i="1"/>
  <c r="AE3455" i="1"/>
  <c r="AD3455" i="1"/>
  <c r="AC3455" i="1"/>
  <c r="AL3454" i="1"/>
  <c r="AJ3454" i="1"/>
  <c r="AI3454" i="1"/>
  <c r="AH3454" i="1"/>
  <c r="AG3454" i="1"/>
  <c r="AF3454" i="1"/>
  <c r="AE3454" i="1"/>
  <c r="AD3454" i="1"/>
  <c r="AC3454" i="1"/>
  <c r="AL3453" i="1"/>
  <c r="AJ3453" i="1"/>
  <c r="AI3453" i="1"/>
  <c r="AH3453" i="1"/>
  <c r="AG3453" i="1"/>
  <c r="AF3453" i="1"/>
  <c r="AE3453" i="1"/>
  <c r="AD3453" i="1"/>
  <c r="AC3453" i="1"/>
  <c r="AL3452" i="1"/>
  <c r="AJ3452" i="1"/>
  <c r="AI3452" i="1"/>
  <c r="AH3452" i="1"/>
  <c r="AG3452" i="1"/>
  <c r="AF3452" i="1"/>
  <c r="AE3452" i="1"/>
  <c r="AD3452" i="1"/>
  <c r="AC3452" i="1"/>
  <c r="AL3451" i="1"/>
  <c r="AJ3451" i="1"/>
  <c r="AI3451" i="1"/>
  <c r="AH3451" i="1"/>
  <c r="AG3451" i="1"/>
  <c r="AF3451" i="1"/>
  <c r="AE3451" i="1"/>
  <c r="AD3451" i="1"/>
  <c r="AC3451" i="1"/>
  <c r="AL3450" i="1"/>
  <c r="AJ3450" i="1"/>
  <c r="AI3450" i="1"/>
  <c r="AH3450" i="1"/>
  <c r="AG3450" i="1"/>
  <c r="AF3450" i="1"/>
  <c r="AE3450" i="1"/>
  <c r="AD3450" i="1"/>
  <c r="AC3450" i="1"/>
  <c r="AL3449" i="1"/>
  <c r="AJ3449" i="1"/>
  <c r="AI3449" i="1"/>
  <c r="AH3449" i="1"/>
  <c r="AG3449" i="1"/>
  <c r="AF3449" i="1"/>
  <c r="AE3449" i="1"/>
  <c r="AD3449" i="1"/>
  <c r="AC3449" i="1"/>
  <c r="AL3448" i="1"/>
  <c r="AJ3448" i="1"/>
  <c r="AI3448" i="1"/>
  <c r="AH3448" i="1"/>
  <c r="AG3448" i="1"/>
  <c r="AF3448" i="1"/>
  <c r="AE3448" i="1"/>
  <c r="AD3448" i="1"/>
  <c r="AC3448" i="1"/>
  <c r="AL3447" i="1"/>
  <c r="AJ3447" i="1"/>
  <c r="AI3447" i="1"/>
  <c r="AH3447" i="1"/>
  <c r="AG3447" i="1"/>
  <c r="AF3447" i="1"/>
  <c r="AE3447" i="1"/>
  <c r="AD3447" i="1"/>
  <c r="AC3447" i="1"/>
  <c r="AL3446" i="1"/>
  <c r="AJ3446" i="1"/>
  <c r="AI3446" i="1"/>
  <c r="AH3446" i="1"/>
  <c r="AG3446" i="1"/>
  <c r="AF3446" i="1"/>
  <c r="AE3446" i="1"/>
  <c r="AD3446" i="1"/>
  <c r="AC3446" i="1"/>
  <c r="AL3445" i="1"/>
  <c r="AJ3445" i="1"/>
  <c r="AI3445" i="1"/>
  <c r="AH3445" i="1"/>
  <c r="AG3445" i="1"/>
  <c r="AF3445" i="1"/>
  <c r="AE3445" i="1"/>
  <c r="AD3445" i="1"/>
  <c r="AC3445" i="1"/>
  <c r="AL3444" i="1"/>
  <c r="AJ3444" i="1"/>
  <c r="AI3444" i="1"/>
  <c r="AH3444" i="1"/>
  <c r="AG3444" i="1"/>
  <c r="AF3444" i="1"/>
  <c r="AE3444" i="1"/>
  <c r="AD3444" i="1"/>
  <c r="AC3444" i="1"/>
  <c r="AL3443" i="1"/>
  <c r="AJ3443" i="1"/>
  <c r="AI3443" i="1"/>
  <c r="AH3443" i="1"/>
  <c r="AG3443" i="1"/>
  <c r="AF3443" i="1"/>
  <c r="AE3443" i="1"/>
  <c r="AD3443" i="1"/>
  <c r="AC3443" i="1"/>
  <c r="AL3442" i="1"/>
  <c r="AJ3442" i="1"/>
  <c r="AI3442" i="1"/>
  <c r="AH3442" i="1"/>
  <c r="AG3442" i="1"/>
  <c r="AF3442" i="1"/>
  <c r="AE3442" i="1"/>
  <c r="AD3442" i="1"/>
  <c r="AC3442" i="1"/>
  <c r="AL3441" i="1"/>
  <c r="AJ3441" i="1"/>
  <c r="AI3441" i="1"/>
  <c r="AH3441" i="1"/>
  <c r="AG3441" i="1"/>
  <c r="AF3441" i="1"/>
  <c r="AE3441" i="1"/>
  <c r="AD3441" i="1"/>
  <c r="AC3441" i="1"/>
  <c r="AL3440" i="1"/>
  <c r="AJ3440" i="1"/>
  <c r="AI3440" i="1"/>
  <c r="AH3440" i="1"/>
  <c r="AG3440" i="1"/>
  <c r="AF3440" i="1"/>
  <c r="AE3440" i="1"/>
  <c r="AD3440" i="1"/>
  <c r="AC3440" i="1"/>
  <c r="AL3439" i="1"/>
  <c r="AJ3439" i="1"/>
  <c r="AI3439" i="1"/>
  <c r="AH3439" i="1"/>
  <c r="AG3439" i="1"/>
  <c r="AF3439" i="1"/>
  <c r="AE3439" i="1"/>
  <c r="AD3439" i="1"/>
  <c r="AC3439" i="1"/>
  <c r="AL3438" i="1"/>
  <c r="AJ3438" i="1"/>
  <c r="AI3438" i="1"/>
  <c r="AH3438" i="1"/>
  <c r="AG3438" i="1"/>
  <c r="AF3438" i="1"/>
  <c r="AE3438" i="1"/>
  <c r="AD3438" i="1"/>
  <c r="AC3438" i="1"/>
  <c r="AL3437" i="1"/>
  <c r="AJ3437" i="1"/>
  <c r="AI3437" i="1"/>
  <c r="AH3437" i="1"/>
  <c r="AG3437" i="1"/>
  <c r="AF3437" i="1"/>
  <c r="AE3437" i="1"/>
  <c r="AD3437" i="1"/>
  <c r="AC3437" i="1"/>
  <c r="AL3436" i="1"/>
  <c r="AJ3436" i="1"/>
  <c r="AI3436" i="1"/>
  <c r="AH3436" i="1"/>
  <c r="AG3436" i="1"/>
  <c r="AF3436" i="1"/>
  <c r="AE3436" i="1"/>
  <c r="AD3436" i="1"/>
  <c r="AC3436" i="1"/>
  <c r="AL3435" i="1"/>
  <c r="AJ3435" i="1"/>
  <c r="AI3435" i="1"/>
  <c r="AH3435" i="1"/>
  <c r="AG3435" i="1"/>
  <c r="AF3435" i="1"/>
  <c r="AE3435" i="1"/>
  <c r="AD3435" i="1"/>
  <c r="AC3435" i="1"/>
  <c r="AL3434" i="1"/>
  <c r="AJ3434" i="1"/>
  <c r="AI3434" i="1"/>
  <c r="AH3434" i="1"/>
  <c r="AG3434" i="1"/>
  <c r="AF3434" i="1"/>
  <c r="AE3434" i="1"/>
  <c r="AD3434" i="1"/>
  <c r="AC3434" i="1"/>
  <c r="AL3433" i="1"/>
  <c r="AJ3433" i="1"/>
  <c r="AI3433" i="1"/>
  <c r="AH3433" i="1"/>
  <c r="AG3433" i="1"/>
  <c r="AF3433" i="1"/>
  <c r="AE3433" i="1"/>
  <c r="AD3433" i="1"/>
  <c r="AC3433" i="1"/>
  <c r="AL3432" i="1"/>
  <c r="AJ3432" i="1"/>
  <c r="AI3432" i="1"/>
  <c r="AH3432" i="1"/>
  <c r="AG3432" i="1"/>
  <c r="AF3432" i="1"/>
  <c r="AE3432" i="1"/>
  <c r="AD3432" i="1"/>
  <c r="AC3432" i="1"/>
  <c r="AL3431" i="1"/>
  <c r="AJ3431" i="1"/>
  <c r="AI3431" i="1"/>
  <c r="AH3431" i="1"/>
  <c r="AG3431" i="1"/>
  <c r="AF3431" i="1"/>
  <c r="AE3431" i="1"/>
  <c r="AD3431" i="1"/>
  <c r="AC3431" i="1"/>
  <c r="AL3430" i="1"/>
  <c r="AJ3430" i="1"/>
  <c r="AI3430" i="1"/>
  <c r="AH3430" i="1"/>
  <c r="AG3430" i="1"/>
  <c r="AF3430" i="1"/>
  <c r="AE3430" i="1"/>
  <c r="AD3430" i="1"/>
  <c r="AC3430" i="1"/>
  <c r="AL3429" i="1"/>
  <c r="AJ3429" i="1"/>
  <c r="AI3429" i="1"/>
  <c r="AH3429" i="1"/>
  <c r="AG3429" i="1"/>
  <c r="AF3429" i="1"/>
  <c r="AE3429" i="1"/>
  <c r="AD3429" i="1"/>
  <c r="AC3429" i="1"/>
  <c r="AL3428" i="1"/>
  <c r="AJ3428" i="1"/>
  <c r="AI3428" i="1"/>
  <c r="AH3428" i="1"/>
  <c r="AG3428" i="1"/>
  <c r="AF3428" i="1"/>
  <c r="AE3428" i="1"/>
  <c r="AD3428" i="1"/>
  <c r="AC3428" i="1"/>
  <c r="AL3427" i="1"/>
  <c r="AJ3427" i="1"/>
  <c r="AI3427" i="1"/>
  <c r="AH3427" i="1"/>
  <c r="AG3427" i="1"/>
  <c r="AF3427" i="1"/>
  <c r="AE3427" i="1"/>
  <c r="AD3427" i="1"/>
  <c r="AC3427" i="1"/>
  <c r="AL3426" i="1"/>
  <c r="AJ3426" i="1"/>
  <c r="AI3426" i="1"/>
  <c r="AH3426" i="1"/>
  <c r="AG3426" i="1"/>
  <c r="AF3426" i="1"/>
  <c r="AE3426" i="1"/>
  <c r="AD3426" i="1"/>
  <c r="AC3426" i="1"/>
  <c r="AL3425" i="1"/>
  <c r="AJ3425" i="1"/>
  <c r="AI3425" i="1"/>
  <c r="AH3425" i="1"/>
  <c r="AG3425" i="1"/>
  <c r="AF3425" i="1"/>
  <c r="AE3425" i="1"/>
  <c r="AD3425" i="1"/>
  <c r="AC3425" i="1"/>
  <c r="AL3424" i="1"/>
  <c r="AJ3424" i="1"/>
  <c r="AI3424" i="1"/>
  <c r="AH3424" i="1"/>
  <c r="AG3424" i="1"/>
  <c r="AF3424" i="1"/>
  <c r="AE3424" i="1"/>
  <c r="AD3424" i="1"/>
  <c r="AC3424" i="1"/>
  <c r="AL3423" i="1"/>
  <c r="AJ3423" i="1"/>
  <c r="AI3423" i="1"/>
  <c r="AH3423" i="1"/>
  <c r="AG3423" i="1"/>
  <c r="AF3423" i="1"/>
  <c r="AE3423" i="1"/>
  <c r="AD3423" i="1"/>
  <c r="AC3423" i="1"/>
  <c r="AL3422" i="1"/>
  <c r="AJ3422" i="1"/>
  <c r="AI3422" i="1"/>
  <c r="AH3422" i="1"/>
  <c r="AG3422" i="1"/>
  <c r="AF3422" i="1"/>
  <c r="AE3422" i="1"/>
  <c r="AD3422" i="1"/>
  <c r="AC3422" i="1"/>
  <c r="AL3421" i="1"/>
  <c r="AJ3421" i="1"/>
  <c r="AI3421" i="1"/>
  <c r="AH3421" i="1"/>
  <c r="AG3421" i="1"/>
  <c r="AF3421" i="1"/>
  <c r="AE3421" i="1"/>
  <c r="AD3421" i="1"/>
  <c r="AC3421" i="1"/>
  <c r="AL3420" i="1"/>
  <c r="AJ3420" i="1"/>
  <c r="AI3420" i="1"/>
  <c r="AH3420" i="1"/>
  <c r="AG3420" i="1"/>
  <c r="AF3420" i="1"/>
  <c r="AE3420" i="1"/>
  <c r="AD3420" i="1"/>
  <c r="AC3420" i="1"/>
  <c r="AL3419" i="1"/>
  <c r="AJ3419" i="1"/>
  <c r="AI3419" i="1"/>
  <c r="AH3419" i="1"/>
  <c r="AG3419" i="1"/>
  <c r="AF3419" i="1"/>
  <c r="AE3419" i="1"/>
  <c r="AD3419" i="1"/>
  <c r="AC3419" i="1"/>
  <c r="AL3418" i="1"/>
  <c r="AJ3418" i="1"/>
  <c r="AI3418" i="1"/>
  <c r="AH3418" i="1"/>
  <c r="AG3418" i="1"/>
  <c r="AF3418" i="1"/>
  <c r="AE3418" i="1"/>
  <c r="AD3418" i="1"/>
  <c r="AC3418" i="1"/>
  <c r="AL3417" i="1"/>
  <c r="AJ3417" i="1"/>
  <c r="AI3417" i="1"/>
  <c r="AH3417" i="1"/>
  <c r="AG3417" i="1"/>
  <c r="AF3417" i="1"/>
  <c r="AE3417" i="1"/>
  <c r="AD3417" i="1"/>
  <c r="AC3417" i="1"/>
  <c r="AL3416" i="1"/>
  <c r="AJ3416" i="1"/>
  <c r="AI3416" i="1"/>
  <c r="AH3416" i="1"/>
  <c r="AG3416" i="1"/>
  <c r="AF3416" i="1"/>
  <c r="AE3416" i="1"/>
  <c r="AD3416" i="1"/>
  <c r="AC3416" i="1"/>
  <c r="AL3415" i="1"/>
  <c r="AJ3415" i="1"/>
  <c r="AI3415" i="1"/>
  <c r="AH3415" i="1"/>
  <c r="AG3415" i="1"/>
  <c r="AF3415" i="1"/>
  <c r="AE3415" i="1"/>
  <c r="AD3415" i="1"/>
  <c r="AC3415" i="1"/>
  <c r="AL3414" i="1"/>
  <c r="AJ3414" i="1"/>
  <c r="AI3414" i="1"/>
  <c r="AH3414" i="1"/>
  <c r="AG3414" i="1"/>
  <c r="AF3414" i="1"/>
  <c r="AE3414" i="1"/>
  <c r="AD3414" i="1"/>
  <c r="AC3414" i="1"/>
  <c r="AL3413" i="1"/>
  <c r="AJ3413" i="1"/>
  <c r="AI3413" i="1"/>
  <c r="AH3413" i="1"/>
  <c r="AG3413" i="1"/>
  <c r="AF3413" i="1"/>
  <c r="AE3413" i="1"/>
  <c r="AD3413" i="1"/>
  <c r="AC3413" i="1"/>
  <c r="AL3412" i="1"/>
  <c r="AJ3412" i="1"/>
  <c r="AI3412" i="1"/>
  <c r="AH3412" i="1"/>
  <c r="AG3412" i="1"/>
  <c r="AF3412" i="1"/>
  <c r="AE3412" i="1"/>
  <c r="AD3412" i="1"/>
  <c r="AC3412" i="1"/>
  <c r="AL3411" i="1"/>
  <c r="AJ3411" i="1"/>
  <c r="AI3411" i="1"/>
  <c r="AH3411" i="1"/>
  <c r="AG3411" i="1"/>
  <c r="AF3411" i="1"/>
  <c r="AE3411" i="1"/>
  <c r="AD3411" i="1"/>
  <c r="AC3411" i="1"/>
  <c r="AL3410" i="1"/>
  <c r="AJ3410" i="1"/>
  <c r="AI3410" i="1"/>
  <c r="AH3410" i="1"/>
  <c r="AG3410" i="1"/>
  <c r="AF3410" i="1"/>
  <c r="AE3410" i="1"/>
  <c r="AD3410" i="1"/>
  <c r="AC3410" i="1"/>
  <c r="AL3409" i="1"/>
  <c r="AJ3409" i="1"/>
  <c r="AI3409" i="1"/>
  <c r="AH3409" i="1"/>
  <c r="AG3409" i="1"/>
  <c r="AF3409" i="1"/>
  <c r="AE3409" i="1"/>
  <c r="AD3409" i="1"/>
  <c r="AC3409" i="1"/>
  <c r="AL3408" i="1"/>
  <c r="AJ3408" i="1"/>
  <c r="AI3408" i="1"/>
  <c r="AH3408" i="1"/>
  <c r="AG3408" i="1"/>
  <c r="AF3408" i="1"/>
  <c r="AE3408" i="1"/>
  <c r="AD3408" i="1"/>
  <c r="AC3408" i="1"/>
  <c r="AL3407" i="1"/>
  <c r="AJ3407" i="1"/>
  <c r="AI3407" i="1"/>
  <c r="AH3407" i="1"/>
  <c r="AG3407" i="1"/>
  <c r="AF3407" i="1"/>
  <c r="AE3407" i="1"/>
  <c r="AD3407" i="1"/>
  <c r="AC3407" i="1"/>
  <c r="AL3406" i="1"/>
  <c r="AJ3406" i="1"/>
  <c r="AI3406" i="1"/>
  <c r="AH3406" i="1"/>
  <c r="AG3406" i="1"/>
  <c r="AF3406" i="1"/>
  <c r="AE3406" i="1"/>
  <c r="AD3406" i="1"/>
  <c r="AC3406" i="1"/>
  <c r="AL3405" i="1"/>
  <c r="AJ3405" i="1"/>
  <c r="AI3405" i="1"/>
  <c r="AH3405" i="1"/>
  <c r="AG3405" i="1"/>
  <c r="AF3405" i="1"/>
  <c r="AE3405" i="1"/>
  <c r="AD3405" i="1"/>
  <c r="AC3405" i="1"/>
  <c r="AL3404" i="1"/>
  <c r="AJ3404" i="1"/>
  <c r="AI3404" i="1"/>
  <c r="AH3404" i="1"/>
  <c r="AG3404" i="1"/>
  <c r="AF3404" i="1"/>
  <c r="AE3404" i="1"/>
  <c r="AD3404" i="1"/>
  <c r="AC3404" i="1"/>
  <c r="AL3403" i="1"/>
  <c r="AJ3403" i="1"/>
  <c r="AI3403" i="1"/>
  <c r="AH3403" i="1"/>
  <c r="AG3403" i="1"/>
  <c r="AF3403" i="1"/>
  <c r="AE3403" i="1"/>
  <c r="AD3403" i="1"/>
  <c r="AC3403" i="1"/>
  <c r="AL3402" i="1"/>
  <c r="AJ3402" i="1"/>
  <c r="AI3402" i="1"/>
  <c r="AH3402" i="1"/>
  <c r="AG3402" i="1"/>
  <c r="AF3402" i="1"/>
  <c r="AE3402" i="1"/>
  <c r="AD3402" i="1"/>
  <c r="AC3402" i="1"/>
  <c r="AL3401" i="1"/>
  <c r="AJ3401" i="1"/>
  <c r="AI3401" i="1"/>
  <c r="AH3401" i="1"/>
  <c r="AG3401" i="1"/>
  <c r="AF3401" i="1"/>
  <c r="AE3401" i="1"/>
  <c r="AD3401" i="1"/>
  <c r="AC3401" i="1"/>
  <c r="AL3400" i="1"/>
  <c r="AJ3400" i="1"/>
  <c r="AI3400" i="1"/>
  <c r="AH3400" i="1"/>
  <c r="AG3400" i="1"/>
  <c r="AF3400" i="1"/>
  <c r="AE3400" i="1"/>
  <c r="AD3400" i="1"/>
  <c r="AC3400" i="1"/>
  <c r="AL3399" i="1"/>
  <c r="AJ3399" i="1"/>
  <c r="AI3399" i="1"/>
  <c r="AH3399" i="1"/>
  <c r="AG3399" i="1"/>
  <c r="AF3399" i="1"/>
  <c r="AE3399" i="1"/>
  <c r="AD3399" i="1"/>
  <c r="AC3399" i="1"/>
  <c r="AL3398" i="1"/>
  <c r="AJ3398" i="1"/>
  <c r="AI3398" i="1"/>
  <c r="AH3398" i="1"/>
  <c r="AG3398" i="1"/>
  <c r="AF3398" i="1"/>
  <c r="AE3398" i="1"/>
  <c r="AD3398" i="1"/>
  <c r="AC3398" i="1"/>
  <c r="AL3397" i="1"/>
  <c r="AJ3397" i="1"/>
  <c r="AI3397" i="1"/>
  <c r="AH3397" i="1"/>
  <c r="AG3397" i="1"/>
  <c r="AF3397" i="1"/>
  <c r="AE3397" i="1"/>
  <c r="AD3397" i="1"/>
  <c r="AC3397" i="1"/>
  <c r="AL3396" i="1"/>
  <c r="AJ3396" i="1"/>
  <c r="AI3396" i="1"/>
  <c r="AH3396" i="1"/>
  <c r="AG3396" i="1"/>
  <c r="AF3396" i="1"/>
  <c r="AE3396" i="1"/>
  <c r="AD3396" i="1"/>
  <c r="AC3396" i="1"/>
  <c r="AL3395" i="1"/>
  <c r="AJ3395" i="1"/>
  <c r="AI3395" i="1"/>
  <c r="AH3395" i="1"/>
  <c r="AG3395" i="1"/>
  <c r="AF3395" i="1"/>
  <c r="AE3395" i="1"/>
  <c r="AD3395" i="1"/>
  <c r="AC3395" i="1"/>
  <c r="AL3394" i="1"/>
  <c r="AJ3394" i="1"/>
  <c r="AI3394" i="1"/>
  <c r="AH3394" i="1"/>
  <c r="AG3394" i="1"/>
  <c r="AF3394" i="1"/>
  <c r="AE3394" i="1"/>
  <c r="AD3394" i="1"/>
  <c r="AC3394" i="1"/>
  <c r="AL3393" i="1"/>
  <c r="AJ3393" i="1"/>
  <c r="AI3393" i="1"/>
  <c r="AH3393" i="1"/>
  <c r="AG3393" i="1"/>
  <c r="AF3393" i="1"/>
  <c r="AE3393" i="1"/>
  <c r="AD3393" i="1"/>
  <c r="AC3393" i="1"/>
  <c r="AL3392" i="1"/>
  <c r="AJ3392" i="1"/>
  <c r="AI3392" i="1"/>
  <c r="AH3392" i="1"/>
  <c r="AG3392" i="1"/>
  <c r="AF3392" i="1"/>
  <c r="AE3392" i="1"/>
  <c r="AD3392" i="1"/>
  <c r="AC3392" i="1"/>
  <c r="AL3391" i="1"/>
  <c r="AJ3391" i="1"/>
  <c r="AI3391" i="1"/>
  <c r="AH3391" i="1"/>
  <c r="AG3391" i="1"/>
  <c r="AF3391" i="1"/>
  <c r="AE3391" i="1"/>
  <c r="AD3391" i="1"/>
  <c r="AC3391" i="1"/>
  <c r="AL3390" i="1"/>
  <c r="AJ3390" i="1"/>
  <c r="AI3390" i="1"/>
  <c r="AH3390" i="1"/>
  <c r="AG3390" i="1"/>
  <c r="AF3390" i="1"/>
  <c r="AE3390" i="1"/>
  <c r="AD3390" i="1"/>
  <c r="AC3390" i="1"/>
  <c r="AL3389" i="1"/>
  <c r="AJ3389" i="1"/>
  <c r="AI3389" i="1"/>
  <c r="AH3389" i="1"/>
  <c r="AG3389" i="1"/>
  <c r="AF3389" i="1"/>
  <c r="AE3389" i="1"/>
  <c r="AD3389" i="1"/>
  <c r="AC3389" i="1"/>
  <c r="AL3388" i="1"/>
  <c r="AJ3388" i="1"/>
  <c r="AI3388" i="1"/>
  <c r="AH3388" i="1"/>
  <c r="AG3388" i="1"/>
  <c r="AF3388" i="1"/>
  <c r="AE3388" i="1"/>
  <c r="AD3388" i="1"/>
  <c r="AC3388" i="1"/>
  <c r="AL3387" i="1"/>
  <c r="AJ3387" i="1"/>
  <c r="AI3387" i="1"/>
  <c r="AH3387" i="1"/>
  <c r="AG3387" i="1"/>
  <c r="AF3387" i="1"/>
  <c r="AE3387" i="1"/>
  <c r="AD3387" i="1"/>
  <c r="AC3387" i="1"/>
  <c r="AL3386" i="1"/>
  <c r="AJ3386" i="1"/>
  <c r="AI3386" i="1"/>
  <c r="AH3386" i="1"/>
  <c r="AG3386" i="1"/>
  <c r="AF3386" i="1"/>
  <c r="AE3386" i="1"/>
  <c r="AD3386" i="1"/>
  <c r="AC3386" i="1"/>
  <c r="AL3385" i="1"/>
  <c r="AJ3385" i="1"/>
  <c r="AI3385" i="1"/>
  <c r="AH3385" i="1"/>
  <c r="AG3385" i="1"/>
  <c r="AF3385" i="1"/>
  <c r="AE3385" i="1"/>
  <c r="AD3385" i="1"/>
  <c r="AC3385" i="1"/>
  <c r="AL3384" i="1"/>
  <c r="AJ3384" i="1"/>
  <c r="AI3384" i="1"/>
  <c r="AH3384" i="1"/>
  <c r="AG3384" i="1"/>
  <c r="AF3384" i="1"/>
  <c r="AE3384" i="1"/>
  <c r="AD3384" i="1"/>
  <c r="AC3384" i="1"/>
  <c r="AL3383" i="1"/>
  <c r="AJ3383" i="1"/>
  <c r="AI3383" i="1"/>
  <c r="AH3383" i="1"/>
  <c r="AG3383" i="1"/>
  <c r="AF3383" i="1"/>
  <c r="AE3383" i="1"/>
  <c r="AD3383" i="1"/>
  <c r="AC3383" i="1"/>
  <c r="AL3382" i="1"/>
  <c r="AJ3382" i="1"/>
  <c r="AI3382" i="1"/>
  <c r="AH3382" i="1"/>
  <c r="AG3382" i="1"/>
  <c r="AF3382" i="1"/>
  <c r="AE3382" i="1"/>
  <c r="AD3382" i="1"/>
  <c r="AC3382" i="1"/>
  <c r="AL3381" i="1"/>
  <c r="AJ3381" i="1"/>
  <c r="AI3381" i="1"/>
  <c r="AH3381" i="1"/>
  <c r="AG3381" i="1"/>
  <c r="AF3381" i="1"/>
  <c r="AE3381" i="1"/>
  <c r="AD3381" i="1"/>
  <c r="AC3381" i="1"/>
  <c r="AL3380" i="1"/>
  <c r="AJ3380" i="1"/>
  <c r="AI3380" i="1"/>
  <c r="AH3380" i="1"/>
  <c r="AG3380" i="1"/>
  <c r="AF3380" i="1"/>
  <c r="AE3380" i="1"/>
  <c r="AD3380" i="1"/>
  <c r="AC3380" i="1"/>
  <c r="AL3379" i="1"/>
  <c r="AJ3379" i="1"/>
  <c r="AI3379" i="1"/>
  <c r="AH3379" i="1"/>
  <c r="AG3379" i="1"/>
  <c r="AF3379" i="1"/>
  <c r="AE3379" i="1"/>
  <c r="AD3379" i="1"/>
  <c r="AC3379" i="1"/>
  <c r="AL3378" i="1"/>
  <c r="AJ3378" i="1"/>
  <c r="AI3378" i="1"/>
  <c r="AH3378" i="1"/>
  <c r="AG3378" i="1"/>
  <c r="AF3378" i="1"/>
  <c r="AE3378" i="1"/>
  <c r="AD3378" i="1"/>
  <c r="AC3378" i="1"/>
  <c r="AL3377" i="1"/>
  <c r="AJ3377" i="1"/>
  <c r="AI3377" i="1"/>
  <c r="AH3377" i="1"/>
  <c r="AG3377" i="1"/>
  <c r="AF3377" i="1"/>
  <c r="AE3377" i="1"/>
  <c r="AD3377" i="1"/>
  <c r="AC3377" i="1"/>
  <c r="AL3376" i="1"/>
  <c r="AJ3376" i="1"/>
  <c r="AI3376" i="1"/>
  <c r="AH3376" i="1"/>
  <c r="AG3376" i="1"/>
  <c r="AF3376" i="1"/>
  <c r="AE3376" i="1"/>
  <c r="AD3376" i="1"/>
  <c r="AC3376" i="1"/>
  <c r="AL3375" i="1"/>
  <c r="AJ3375" i="1"/>
  <c r="AI3375" i="1"/>
  <c r="AH3375" i="1"/>
  <c r="AG3375" i="1"/>
  <c r="AF3375" i="1"/>
  <c r="AE3375" i="1"/>
  <c r="AD3375" i="1"/>
  <c r="AC3375" i="1"/>
  <c r="AL3374" i="1"/>
  <c r="AJ3374" i="1"/>
  <c r="AI3374" i="1"/>
  <c r="AH3374" i="1"/>
  <c r="AG3374" i="1"/>
  <c r="AF3374" i="1"/>
  <c r="AE3374" i="1"/>
  <c r="AD3374" i="1"/>
  <c r="AC3374" i="1"/>
  <c r="AL3373" i="1"/>
  <c r="AJ3373" i="1"/>
  <c r="AI3373" i="1"/>
  <c r="AH3373" i="1"/>
  <c r="AG3373" i="1"/>
  <c r="AF3373" i="1"/>
  <c r="AE3373" i="1"/>
  <c r="AD3373" i="1"/>
  <c r="AC3373" i="1"/>
  <c r="AL3372" i="1"/>
  <c r="AJ3372" i="1"/>
  <c r="AI3372" i="1"/>
  <c r="AH3372" i="1"/>
  <c r="AG3372" i="1"/>
  <c r="AF3372" i="1"/>
  <c r="AE3372" i="1"/>
  <c r="AD3372" i="1"/>
  <c r="AC3372" i="1"/>
  <c r="AL3371" i="1"/>
  <c r="AJ3371" i="1"/>
  <c r="AI3371" i="1"/>
  <c r="AH3371" i="1"/>
  <c r="AG3371" i="1"/>
  <c r="AF3371" i="1"/>
  <c r="AE3371" i="1"/>
  <c r="AD3371" i="1"/>
  <c r="AC3371" i="1"/>
  <c r="AL3370" i="1"/>
  <c r="AJ3370" i="1"/>
  <c r="AI3370" i="1"/>
  <c r="AH3370" i="1"/>
  <c r="AG3370" i="1"/>
  <c r="AF3370" i="1"/>
  <c r="AE3370" i="1"/>
  <c r="AD3370" i="1"/>
  <c r="AC3370" i="1"/>
  <c r="AL3369" i="1"/>
  <c r="AJ3369" i="1"/>
  <c r="AI3369" i="1"/>
  <c r="AH3369" i="1"/>
  <c r="AG3369" i="1"/>
  <c r="AF3369" i="1"/>
  <c r="AE3369" i="1"/>
  <c r="AD3369" i="1"/>
  <c r="AC3369" i="1"/>
  <c r="AL3368" i="1"/>
  <c r="AJ3368" i="1"/>
  <c r="AI3368" i="1"/>
  <c r="AH3368" i="1"/>
  <c r="AG3368" i="1"/>
  <c r="AF3368" i="1"/>
  <c r="AE3368" i="1"/>
  <c r="AD3368" i="1"/>
  <c r="AC3368" i="1"/>
  <c r="AL3367" i="1"/>
  <c r="AJ3367" i="1"/>
  <c r="AI3367" i="1"/>
  <c r="AH3367" i="1"/>
  <c r="AG3367" i="1"/>
  <c r="AF3367" i="1"/>
  <c r="AE3367" i="1"/>
  <c r="AD3367" i="1"/>
  <c r="AC3367" i="1"/>
  <c r="AL3366" i="1"/>
  <c r="AJ3366" i="1"/>
  <c r="AI3366" i="1"/>
  <c r="AH3366" i="1"/>
  <c r="AG3366" i="1"/>
  <c r="AF3366" i="1"/>
  <c r="AE3366" i="1"/>
  <c r="AD3366" i="1"/>
  <c r="AC3366" i="1"/>
  <c r="AL3365" i="1"/>
  <c r="AJ3365" i="1"/>
  <c r="AI3365" i="1"/>
  <c r="AH3365" i="1"/>
  <c r="AG3365" i="1"/>
  <c r="AF3365" i="1"/>
  <c r="AE3365" i="1"/>
  <c r="AD3365" i="1"/>
  <c r="AC3365" i="1"/>
  <c r="AL3364" i="1"/>
  <c r="AJ3364" i="1"/>
  <c r="AI3364" i="1"/>
  <c r="AH3364" i="1"/>
  <c r="AG3364" i="1"/>
  <c r="AF3364" i="1"/>
  <c r="AE3364" i="1"/>
  <c r="AD3364" i="1"/>
  <c r="AC3364" i="1"/>
  <c r="AL3363" i="1"/>
  <c r="AJ3363" i="1"/>
  <c r="AI3363" i="1"/>
  <c r="AH3363" i="1"/>
  <c r="AG3363" i="1"/>
  <c r="AF3363" i="1"/>
  <c r="AE3363" i="1"/>
  <c r="AD3363" i="1"/>
  <c r="AC3363" i="1"/>
  <c r="AL3362" i="1"/>
  <c r="AJ3362" i="1"/>
  <c r="AI3362" i="1"/>
  <c r="AH3362" i="1"/>
  <c r="AG3362" i="1"/>
  <c r="AF3362" i="1"/>
  <c r="AE3362" i="1"/>
  <c r="AD3362" i="1"/>
  <c r="AC3362" i="1"/>
  <c r="AL3361" i="1"/>
  <c r="AJ3361" i="1"/>
  <c r="AI3361" i="1"/>
  <c r="AH3361" i="1"/>
  <c r="AG3361" i="1"/>
  <c r="AF3361" i="1"/>
  <c r="AE3361" i="1"/>
  <c r="AD3361" i="1"/>
  <c r="AC3361" i="1"/>
  <c r="AL3360" i="1"/>
  <c r="AJ3360" i="1"/>
  <c r="AI3360" i="1"/>
  <c r="AH3360" i="1"/>
  <c r="AG3360" i="1"/>
  <c r="AF3360" i="1"/>
  <c r="AE3360" i="1"/>
  <c r="AD3360" i="1"/>
  <c r="AC3360" i="1"/>
  <c r="AL3359" i="1"/>
  <c r="AJ3359" i="1"/>
  <c r="AI3359" i="1"/>
  <c r="AH3359" i="1"/>
  <c r="AG3359" i="1"/>
  <c r="AF3359" i="1"/>
  <c r="AE3359" i="1"/>
  <c r="AD3359" i="1"/>
  <c r="AC3359" i="1"/>
  <c r="AL3358" i="1"/>
  <c r="AJ3358" i="1"/>
  <c r="AI3358" i="1"/>
  <c r="AH3358" i="1"/>
  <c r="AG3358" i="1"/>
  <c r="AF3358" i="1"/>
  <c r="AE3358" i="1"/>
  <c r="AD3358" i="1"/>
  <c r="AC3358" i="1"/>
  <c r="AL3357" i="1"/>
  <c r="AJ3357" i="1"/>
  <c r="AI3357" i="1"/>
  <c r="AH3357" i="1"/>
  <c r="AG3357" i="1"/>
  <c r="AF3357" i="1"/>
  <c r="AE3357" i="1"/>
  <c r="AD3357" i="1"/>
  <c r="AC3357" i="1"/>
  <c r="AL3356" i="1"/>
  <c r="AJ3356" i="1"/>
  <c r="AI3356" i="1"/>
  <c r="AH3356" i="1"/>
  <c r="AG3356" i="1"/>
  <c r="AF3356" i="1"/>
  <c r="AE3356" i="1"/>
  <c r="AD3356" i="1"/>
  <c r="AC3356" i="1"/>
  <c r="AL3355" i="1"/>
  <c r="AJ3355" i="1"/>
  <c r="AI3355" i="1"/>
  <c r="AH3355" i="1"/>
  <c r="AG3355" i="1"/>
  <c r="AF3355" i="1"/>
  <c r="AE3355" i="1"/>
  <c r="AD3355" i="1"/>
  <c r="AC3355" i="1"/>
  <c r="AL3354" i="1"/>
  <c r="AJ3354" i="1"/>
  <c r="AI3354" i="1"/>
  <c r="AH3354" i="1"/>
  <c r="AG3354" i="1"/>
  <c r="AF3354" i="1"/>
  <c r="AE3354" i="1"/>
  <c r="AD3354" i="1"/>
  <c r="AC3354" i="1"/>
  <c r="AL3353" i="1"/>
  <c r="AJ3353" i="1"/>
  <c r="AI3353" i="1"/>
  <c r="AH3353" i="1"/>
  <c r="AG3353" i="1"/>
  <c r="AF3353" i="1"/>
  <c r="AE3353" i="1"/>
  <c r="AD3353" i="1"/>
  <c r="AC3353" i="1"/>
  <c r="AL3352" i="1"/>
  <c r="AJ3352" i="1"/>
  <c r="AI3352" i="1"/>
  <c r="AH3352" i="1"/>
  <c r="AG3352" i="1"/>
  <c r="AF3352" i="1"/>
  <c r="AE3352" i="1"/>
  <c r="AD3352" i="1"/>
  <c r="AC3352" i="1"/>
  <c r="AL3351" i="1"/>
  <c r="AJ3351" i="1"/>
  <c r="AI3351" i="1"/>
  <c r="AH3351" i="1"/>
  <c r="AG3351" i="1"/>
  <c r="AF3351" i="1"/>
  <c r="AE3351" i="1"/>
  <c r="AD3351" i="1"/>
  <c r="AC3351" i="1"/>
  <c r="AL3350" i="1"/>
  <c r="AJ3350" i="1"/>
  <c r="AI3350" i="1"/>
  <c r="AH3350" i="1"/>
  <c r="AG3350" i="1"/>
  <c r="AF3350" i="1"/>
  <c r="AE3350" i="1"/>
  <c r="AD3350" i="1"/>
  <c r="AC3350" i="1"/>
  <c r="AL3349" i="1"/>
  <c r="AJ3349" i="1"/>
  <c r="AI3349" i="1"/>
  <c r="AH3349" i="1"/>
  <c r="AG3349" i="1"/>
  <c r="AF3349" i="1"/>
  <c r="AE3349" i="1"/>
  <c r="AD3349" i="1"/>
  <c r="AC3349" i="1"/>
  <c r="AL3348" i="1"/>
  <c r="AJ3348" i="1"/>
  <c r="AI3348" i="1"/>
  <c r="AH3348" i="1"/>
  <c r="AG3348" i="1"/>
  <c r="AF3348" i="1"/>
  <c r="AE3348" i="1"/>
  <c r="AD3348" i="1"/>
  <c r="AC3348" i="1"/>
  <c r="AL3347" i="1"/>
  <c r="AJ3347" i="1"/>
  <c r="AI3347" i="1"/>
  <c r="AH3347" i="1"/>
  <c r="AG3347" i="1"/>
  <c r="AF3347" i="1"/>
  <c r="AE3347" i="1"/>
  <c r="AD3347" i="1"/>
  <c r="AC3347" i="1"/>
  <c r="AL3346" i="1"/>
  <c r="AJ3346" i="1"/>
  <c r="AI3346" i="1"/>
  <c r="AH3346" i="1"/>
  <c r="AG3346" i="1"/>
  <c r="AF3346" i="1"/>
  <c r="AE3346" i="1"/>
  <c r="AD3346" i="1"/>
  <c r="AC3346" i="1"/>
  <c r="AL3345" i="1"/>
  <c r="AJ3345" i="1"/>
  <c r="AI3345" i="1"/>
  <c r="AH3345" i="1"/>
  <c r="AG3345" i="1"/>
  <c r="AF3345" i="1"/>
  <c r="AE3345" i="1"/>
  <c r="AD3345" i="1"/>
  <c r="AC3345" i="1"/>
  <c r="AL3344" i="1"/>
  <c r="AJ3344" i="1"/>
  <c r="AI3344" i="1"/>
  <c r="AH3344" i="1"/>
  <c r="AG3344" i="1"/>
  <c r="AF3344" i="1"/>
  <c r="AE3344" i="1"/>
  <c r="AD3344" i="1"/>
  <c r="AC3344" i="1"/>
  <c r="AL3343" i="1"/>
  <c r="AJ3343" i="1"/>
  <c r="AI3343" i="1"/>
  <c r="AH3343" i="1"/>
  <c r="AG3343" i="1"/>
  <c r="AF3343" i="1"/>
  <c r="AE3343" i="1"/>
  <c r="AD3343" i="1"/>
  <c r="AC3343" i="1"/>
  <c r="AL3342" i="1"/>
  <c r="AJ3342" i="1"/>
  <c r="AI3342" i="1"/>
  <c r="AH3342" i="1"/>
  <c r="AG3342" i="1"/>
  <c r="AF3342" i="1"/>
  <c r="AE3342" i="1"/>
  <c r="AD3342" i="1"/>
  <c r="AC3342" i="1"/>
  <c r="AL3341" i="1"/>
  <c r="AJ3341" i="1"/>
  <c r="AI3341" i="1"/>
  <c r="AH3341" i="1"/>
  <c r="AG3341" i="1"/>
  <c r="AF3341" i="1"/>
  <c r="AE3341" i="1"/>
  <c r="AD3341" i="1"/>
  <c r="AC3341" i="1"/>
  <c r="AL3340" i="1"/>
  <c r="AJ3340" i="1"/>
  <c r="AI3340" i="1"/>
  <c r="AH3340" i="1"/>
  <c r="AG3340" i="1"/>
  <c r="AF3340" i="1"/>
  <c r="AE3340" i="1"/>
  <c r="AD3340" i="1"/>
  <c r="AC3340" i="1"/>
  <c r="AL3339" i="1"/>
  <c r="AJ3339" i="1"/>
  <c r="AI3339" i="1"/>
  <c r="AH3339" i="1"/>
  <c r="AG3339" i="1"/>
  <c r="AF3339" i="1"/>
  <c r="AE3339" i="1"/>
  <c r="AD3339" i="1"/>
  <c r="AC3339" i="1"/>
  <c r="AL3338" i="1"/>
  <c r="AJ3338" i="1"/>
  <c r="AI3338" i="1"/>
  <c r="AH3338" i="1"/>
  <c r="AG3338" i="1"/>
  <c r="AF3338" i="1"/>
  <c r="AE3338" i="1"/>
  <c r="AD3338" i="1"/>
  <c r="AC3338" i="1"/>
  <c r="AL3337" i="1"/>
  <c r="AJ3337" i="1"/>
  <c r="AI3337" i="1"/>
  <c r="AH3337" i="1"/>
  <c r="AG3337" i="1"/>
  <c r="AF3337" i="1"/>
  <c r="AE3337" i="1"/>
  <c r="AD3337" i="1"/>
  <c r="AC3337" i="1"/>
  <c r="AL3336" i="1"/>
  <c r="AJ3336" i="1"/>
  <c r="AI3336" i="1"/>
  <c r="AH3336" i="1"/>
  <c r="AG3336" i="1"/>
  <c r="AF3336" i="1"/>
  <c r="AE3336" i="1"/>
  <c r="AD3336" i="1"/>
  <c r="AC3336" i="1"/>
  <c r="AL3335" i="1"/>
  <c r="AJ3335" i="1"/>
  <c r="AI3335" i="1"/>
  <c r="AH3335" i="1"/>
  <c r="AG3335" i="1"/>
  <c r="AF3335" i="1"/>
  <c r="AE3335" i="1"/>
  <c r="AD3335" i="1"/>
  <c r="AC3335" i="1"/>
  <c r="AL3334" i="1"/>
  <c r="AJ3334" i="1"/>
  <c r="AI3334" i="1"/>
  <c r="AH3334" i="1"/>
  <c r="AG3334" i="1"/>
  <c r="AF3334" i="1"/>
  <c r="AE3334" i="1"/>
  <c r="AD3334" i="1"/>
  <c r="AC3334" i="1"/>
  <c r="AL3333" i="1"/>
  <c r="AJ3333" i="1"/>
  <c r="AI3333" i="1"/>
  <c r="AH3333" i="1"/>
  <c r="AG3333" i="1"/>
  <c r="AF3333" i="1"/>
  <c r="AE3333" i="1"/>
  <c r="AD3333" i="1"/>
  <c r="AC3333" i="1"/>
  <c r="AL3332" i="1"/>
  <c r="AJ3332" i="1"/>
  <c r="AI3332" i="1"/>
  <c r="AH3332" i="1"/>
  <c r="AG3332" i="1"/>
  <c r="AF3332" i="1"/>
  <c r="AE3332" i="1"/>
  <c r="AD3332" i="1"/>
  <c r="AC3332" i="1"/>
  <c r="AL3331" i="1"/>
  <c r="AJ3331" i="1"/>
  <c r="AI3331" i="1"/>
  <c r="AH3331" i="1"/>
  <c r="AG3331" i="1"/>
  <c r="AF3331" i="1"/>
  <c r="AE3331" i="1"/>
  <c r="AD3331" i="1"/>
  <c r="AC3331" i="1"/>
  <c r="AL3330" i="1"/>
  <c r="AJ3330" i="1"/>
  <c r="AI3330" i="1"/>
  <c r="AH3330" i="1"/>
  <c r="AG3330" i="1"/>
  <c r="AF3330" i="1"/>
  <c r="AE3330" i="1"/>
  <c r="AD3330" i="1"/>
  <c r="AC3330" i="1"/>
  <c r="AL3329" i="1"/>
  <c r="AJ3329" i="1"/>
  <c r="AI3329" i="1"/>
  <c r="AH3329" i="1"/>
  <c r="AG3329" i="1"/>
  <c r="AF3329" i="1"/>
  <c r="AE3329" i="1"/>
  <c r="AD3329" i="1"/>
  <c r="AC3329" i="1"/>
  <c r="AL3328" i="1"/>
  <c r="AJ3328" i="1"/>
  <c r="AI3328" i="1"/>
  <c r="AH3328" i="1"/>
  <c r="AG3328" i="1"/>
  <c r="AF3328" i="1"/>
  <c r="AE3328" i="1"/>
  <c r="AD3328" i="1"/>
  <c r="AC3328" i="1"/>
  <c r="AL3327" i="1"/>
  <c r="AJ3327" i="1"/>
  <c r="AI3327" i="1"/>
  <c r="AH3327" i="1"/>
  <c r="AG3327" i="1"/>
  <c r="AF3327" i="1"/>
  <c r="AE3327" i="1"/>
  <c r="AD3327" i="1"/>
  <c r="AC3327" i="1"/>
  <c r="AL3326" i="1"/>
  <c r="AJ3326" i="1"/>
  <c r="AI3326" i="1"/>
  <c r="AH3326" i="1"/>
  <c r="AG3326" i="1"/>
  <c r="AF3326" i="1"/>
  <c r="AE3326" i="1"/>
  <c r="AD3326" i="1"/>
  <c r="AC3326" i="1"/>
  <c r="AL3325" i="1"/>
  <c r="AJ3325" i="1"/>
  <c r="AI3325" i="1"/>
  <c r="AH3325" i="1"/>
  <c r="AG3325" i="1"/>
  <c r="AF3325" i="1"/>
  <c r="AE3325" i="1"/>
  <c r="AD3325" i="1"/>
  <c r="AC3325" i="1"/>
  <c r="AL3324" i="1"/>
  <c r="AJ3324" i="1"/>
  <c r="AI3324" i="1"/>
  <c r="AH3324" i="1"/>
  <c r="AG3324" i="1"/>
  <c r="AF3324" i="1"/>
  <c r="AE3324" i="1"/>
  <c r="AD3324" i="1"/>
  <c r="AC3324" i="1"/>
  <c r="AL3323" i="1"/>
  <c r="AJ3323" i="1"/>
  <c r="AI3323" i="1"/>
  <c r="AH3323" i="1"/>
  <c r="AG3323" i="1"/>
  <c r="AF3323" i="1"/>
  <c r="AE3323" i="1"/>
  <c r="AD3323" i="1"/>
  <c r="AC3323" i="1"/>
  <c r="AL3322" i="1"/>
  <c r="AJ3322" i="1"/>
  <c r="AI3322" i="1"/>
  <c r="AH3322" i="1"/>
  <c r="AG3322" i="1"/>
  <c r="AF3322" i="1"/>
  <c r="AE3322" i="1"/>
  <c r="AD3322" i="1"/>
  <c r="AC3322" i="1"/>
  <c r="AL3321" i="1"/>
  <c r="AJ3321" i="1"/>
  <c r="AI3321" i="1"/>
  <c r="AH3321" i="1"/>
  <c r="AG3321" i="1"/>
  <c r="AF3321" i="1"/>
  <c r="AE3321" i="1"/>
  <c r="AD3321" i="1"/>
  <c r="AC3321" i="1"/>
  <c r="AL3320" i="1"/>
  <c r="AJ3320" i="1"/>
  <c r="AI3320" i="1"/>
  <c r="AH3320" i="1"/>
  <c r="AG3320" i="1"/>
  <c r="AF3320" i="1"/>
  <c r="AE3320" i="1"/>
  <c r="AD3320" i="1"/>
  <c r="AC3320" i="1"/>
  <c r="AL3319" i="1"/>
  <c r="AJ3319" i="1"/>
  <c r="AI3319" i="1"/>
  <c r="AH3319" i="1"/>
  <c r="AG3319" i="1"/>
  <c r="AF3319" i="1"/>
  <c r="AE3319" i="1"/>
  <c r="AD3319" i="1"/>
  <c r="AC3319" i="1"/>
  <c r="AL3318" i="1"/>
  <c r="AJ3318" i="1"/>
  <c r="AI3318" i="1"/>
  <c r="AH3318" i="1"/>
  <c r="AG3318" i="1"/>
  <c r="AF3318" i="1"/>
  <c r="AE3318" i="1"/>
  <c r="AD3318" i="1"/>
  <c r="AC3318" i="1"/>
  <c r="AL3317" i="1"/>
  <c r="AJ3317" i="1"/>
  <c r="AI3317" i="1"/>
  <c r="AH3317" i="1"/>
  <c r="AG3317" i="1"/>
  <c r="AF3317" i="1"/>
  <c r="AE3317" i="1"/>
  <c r="AD3317" i="1"/>
  <c r="AC3317" i="1"/>
  <c r="AL3316" i="1"/>
  <c r="AJ3316" i="1"/>
  <c r="AI3316" i="1"/>
  <c r="AH3316" i="1"/>
  <c r="AG3316" i="1"/>
  <c r="AF3316" i="1"/>
  <c r="AE3316" i="1"/>
  <c r="AD3316" i="1"/>
  <c r="AC3316" i="1"/>
  <c r="AL3315" i="1"/>
  <c r="AJ3315" i="1"/>
  <c r="AI3315" i="1"/>
  <c r="AH3315" i="1"/>
  <c r="AG3315" i="1"/>
  <c r="AF3315" i="1"/>
  <c r="AE3315" i="1"/>
  <c r="AD3315" i="1"/>
  <c r="AC3315" i="1"/>
  <c r="AL3314" i="1"/>
  <c r="AJ3314" i="1"/>
  <c r="AI3314" i="1"/>
  <c r="AH3314" i="1"/>
  <c r="AG3314" i="1"/>
  <c r="AF3314" i="1"/>
  <c r="AE3314" i="1"/>
  <c r="AD3314" i="1"/>
  <c r="AC3314" i="1"/>
  <c r="AL3313" i="1"/>
  <c r="AJ3313" i="1"/>
  <c r="AI3313" i="1"/>
  <c r="AH3313" i="1"/>
  <c r="AG3313" i="1"/>
  <c r="AF3313" i="1"/>
  <c r="AE3313" i="1"/>
  <c r="AD3313" i="1"/>
  <c r="AC3313" i="1"/>
  <c r="AL3312" i="1"/>
  <c r="AJ3312" i="1"/>
  <c r="AI3312" i="1"/>
  <c r="AH3312" i="1"/>
  <c r="AG3312" i="1"/>
  <c r="AF3312" i="1"/>
  <c r="AE3312" i="1"/>
  <c r="AD3312" i="1"/>
  <c r="AC3312" i="1"/>
  <c r="AL3311" i="1"/>
  <c r="AJ3311" i="1"/>
  <c r="AI3311" i="1"/>
  <c r="AH3311" i="1"/>
  <c r="AG3311" i="1"/>
  <c r="AF3311" i="1"/>
  <c r="AE3311" i="1"/>
  <c r="AD3311" i="1"/>
  <c r="AC3311" i="1"/>
  <c r="AL3310" i="1"/>
  <c r="AJ3310" i="1"/>
  <c r="AI3310" i="1"/>
  <c r="AH3310" i="1"/>
  <c r="AG3310" i="1"/>
  <c r="AF3310" i="1"/>
  <c r="AE3310" i="1"/>
  <c r="AD3310" i="1"/>
  <c r="AC3310" i="1"/>
  <c r="AL3309" i="1"/>
  <c r="AJ3309" i="1"/>
  <c r="AI3309" i="1"/>
  <c r="AH3309" i="1"/>
  <c r="AG3309" i="1"/>
  <c r="AF3309" i="1"/>
  <c r="AE3309" i="1"/>
  <c r="AD3309" i="1"/>
  <c r="AC3309" i="1"/>
  <c r="AL3308" i="1"/>
  <c r="AJ3308" i="1"/>
  <c r="AI3308" i="1"/>
  <c r="AH3308" i="1"/>
  <c r="AG3308" i="1"/>
  <c r="AF3308" i="1"/>
  <c r="AE3308" i="1"/>
  <c r="AD3308" i="1"/>
  <c r="AC3308" i="1"/>
  <c r="AL3307" i="1"/>
  <c r="AJ3307" i="1"/>
  <c r="AI3307" i="1"/>
  <c r="AH3307" i="1"/>
  <c r="AG3307" i="1"/>
  <c r="AF3307" i="1"/>
  <c r="AE3307" i="1"/>
  <c r="AD3307" i="1"/>
  <c r="AC3307" i="1"/>
  <c r="AL3306" i="1"/>
  <c r="AJ3306" i="1"/>
  <c r="AI3306" i="1"/>
  <c r="AH3306" i="1"/>
  <c r="AG3306" i="1"/>
  <c r="AF3306" i="1"/>
  <c r="AE3306" i="1"/>
  <c r="AD3306" i="1"/>
  <c r="AC3306" i="1"/>
  <c r="AL3305" i="1"/>
  <c r="AJ3305" i="1"/>
  <c r="AI3305" i="1"/>
  <c r="AH3305" i="1"/>
  <c r="AG3305" i="1"/>
  <c r="AF3305" i="1"/>
  <c r="AE3305" i="1"/>
  <c r="AD3305" i="1"/>
  <c r="AC3305" i="1"/>
  <c r="AL3304" i="1"/>
  <c r="AJ3304" i="1"/>
  <c r="AI3304" i="1"/>
  <c r="AH3304" i="1"/>
  <c r="AG3304" i="1"/>
  <c r="AF3304" i="1"/>
  <c r="AE3304" i="1"/>
  <c r="AD3304" i="1"/>
  <c r="AC3304" i="1"/>
  <c r="AL3303" i="1"/>
  <c r="AJ3303" i="1"/>
  <c r="AI3303" i="1"/>
  <c r="AH3303" i="1"/>
  <c r="AG3303" i="1"/>
  <c r="AF3303" i="1"/>
  <c r="AE3303" i="1"/>
  <c r="AD3303" i="1"/>
  <c r="AC3303" i="1"/>
  <c r="AL3302" i="1"/>
  <c r="AJ3302" i="1"/>
  <c r="AI3302" i="1"/>
  <c r="AH3302" i="1"/>
  <c r="AG3302" i="1"/>
  <c r="AF3302" i="1"/>
  <c r="AE3302" i="1"/>
  <c r="AD3302" i="1"/>
  <c r="AC3302" i="1"/>
  <c r="AL3301" i="1"/>
  <c r="AJ3301" i="1"/>
  <c r="AI3301" i="1"/>
  <c r="AH3301" i="1"/>
  <c r="AG3301" i="1"/>
  <c r="AF3301" i="1"/>
  <c r="AE3301" i="1"/>
  <c r="AD3301" i="1"/>
  <c r="AC3301" i="1"/>
  <c r="AL3300" i="1"/>
  <c r="AJ3300" i="1"/>
  <c r="AI3300" i="1"/>
  <c r="AH3300" i="1"/>
  <c r="AG3300" i="1"/>
  <c r="AF3300" i="1"/>
  <c r="AE3300" i="1"/>
  <c r="AD3300" i="1"/>
  <c r="AC3300" i="1"/>
  <c r="AL3299" i="1"/>
  <c r="AJ3299" i="1"/>
  <c r="AI3299" i="1"/>
  <c r="AH3299" i="1"/>
  <c r="AG3299" i="1"/>
  <c r="AF3299" i="1"/>
  <c r="AE3299" i="1"/>
  <c r="AD3299" i="1"/>
  <c r="AC3299" i="1"/>
  <c r="AL3298" i="1"/>
  <c r="AJ3298" i="1"/>
  <c r="AI3298" i="1"/>
  <c r="AH3298" i="1"/>
  <c r="AG3298" i="1"/>
  <c r="AF3298" i="1"/>
  <c r="AE3298" i="1"/>
  <c r="AD3298" i="1"/>
  <c r="AC3298" i="1"/>
  <c r="AL3297" i="1"/>
  <c r="AJ3297" i="1"/>
  <c r="AI3297" i="1"/>
  <c r="AH3297" i="1"/>
  <c r="AG3297" i="1"/>
  <c r="AF3297" i="1"/>
  <c r="AE3297" i="1"/>
  <c r="AD3297" i="1"/>
  <c r="AC3297" i="1"/>
  <c r="AL3296" i="1"/>
  <c r="AJ3296" i="1"/>
  <c r="AI3296" i="1"/>
  <c r="AH3296" i="1"/>
  <c r="AG3296" i="1"/>
  <c r="AF3296" i="1"/>
  <c r="AE3296" i="1"/>
  <c r="AD3296" i="1"/>
  <c r="AC3296" i="1"/>
  <c r="AL3295" i="1"/>
  <c r="AJ3295" i="1"/>
  <c r="AI3295" i="1"/>
  <c r="AH3295" i="1"/>
  <c r="AG3295" i="1"/>
  <c r="AF3295" i="1"/>
  <c r="AE3295" i="1"/>
  <c r="AD3295" i="1"/>
  <c r="AC3295" i="1"/>
  <c r="AL3294" i="1"/>
  <c r="AJ3294" i="1"/>
  <c r="AI3294" i="1"/>
  <c r="AH3294" i="1"/>
  <c r="AG3294" i="1"/>
  <c r="AF3294" i="1"/>
  <c r="AE3294" i="1"/>
  <c r="AD3294" i="1"/>
  <c r="AC3294" i="1"/>
  <c r="AL3293" i="1"/>
  <c r="AJ3293" i="1"/>
  <c r="AI3293" i="1"/>
  <c r="AH3293" i="1"/>
  <c r="AG3293" i="1"/>
  <c r="AF3293" i="1"/>
  <c r="AE3293" i="1"/>
  <c r="AD3293" i="1"/>
  <c r="AC3293" i="1"/>
  <c r="AL3292" i="1"/>
  <c r="AJ3292" i="1"/>
  <c r="AI3292" i="1"/>
  <c r="AH3292" i="1"/>
  <c r="AG3292" i="1"/>
  <c r="AF3292" i="1"/>
  <c r="AE3292" i="1"/>
  <c r="AD3292" i="1"/>
  <c r="AC3292" i="1"/>
  <c r="AL3291" i="1"/>
  <c r="AJ3291" i="1"/>
  <c r="AI3291" i="1"/>
  <c r="AH3291" i="1"/>
  <c r="AG3291" i="1"/>
  <c r="AF3291" i="1"/>
  <c r="AE3291" i="1"/>
  <c r="AD3291" i="1"/>
  <c r="AC3291" i="1"/>
  <c r="AL3290" i="1"/>
  <c r="AJ3290" i="1"/>
  <c r="AI3290" i="1"/>
  <c r="AH3290" i="1"/>
  <c r="AG3290" i="1"/>
  <c r="AF3290" i="1"/>
  <c r="AE3290" i="1"/>
  <c r="AD3290" i="1"/>
  <c r="AC3290" i="1"/>
  <c r="AL3289" i="1"/>
  <c r="AJ3289" i="1"/>
  <c r="AI3289" i="1"/>
  <c r="AH3289" i="1"/>
  <c r="AG3289" i="1"/>
  <c r="AF3289" i="1"/>
  <c r="AE3289" i="1"/>
  <c r="AD3289" i="1"/>
  <c r="AC3289" i="1"/>
  <c r="AL3288" i="1"/>
  <c r="AJ3288" i="1"/>
  <c r="AI3288" i="1"/>
  <c r="AH3288" i="1"/>
  <c r="AG3288" i="1"/>
  <c r="AF3288" i="1"/>
  <c r="AE3288" i="1"/>
  <c r="AD3288" i="1"/>
  <c r="AC3288" i="1"/>
  <c r="AL3287" i="1"/>
  <c r="AJ3287" i="1"/>
  <c r="AI3287" i="1"/>
  <c r="AH3287" i="1"/>
  <c r="AG3287" i="1"/>
  <c r="AF3287" i="1"/>
  <c r="AE3287" i="1"/>
  <c r="AD3287" i="1"/>
  <c r="AC3287" i="1"/>
  <c r="AL3286" i="1"/>
  <c r="AJ3286" i="1"/>
  <c r="AI3286" i="1"/>
  <c r="AH3286" i="1"/>
  <c r="AG3286" i="1"/>
  <c r="AF3286" i="1"/>
  <c r="AE3286" i="1"/>
  <c r="AD3286" i="1"/>
  <c r="AC3286" i="1"/>
  <c r="AL3285" i="1"/>
  <c r="AJ3285" i="1"/>
  <c r="AI3285" i="1"/>
  <c r="AH3285" i="1"/>
  <c r="AG3285" i="1"/>
  <c r="AF3285" i="1"/>
  <c r="AE3285" i="1"/>
  <c r="AD3285" i="1"/>
  <c r="AC3285" i="1"/>
  <c r="AL3284" i="1"/>
  <c r="AJ3284" i="1"/>
  <c r="AI3284" i="1"/>
  <c r="AH3284" i="1"/>
  <c r="AG3284" i="1"/>
  <c r="AF3284" i="1"/>
  <c r="AE3284" i="1"/>
  <c r="AD3284" i="1"/>
  <c r="AC3284" i="1"/>
  <c r="AL3283" i="1"/>
  <c r="AJ3283" i="1"/>
  <c r="AI3283" i="1"/>
  <c r="AH3283" i="1"/>
  <c r="AG3283" i="1"/>
  <c r="AF3283" i="1"/>
  <c r="AE3283" i="1"/>
  <c r="AD3283" i="1"/>
  <c r="AC3283" i="1"/>
  <c r="AL3282" i="1"/>
  <c r="AJ3282" i="1"/>
  <c r="AI3282" i="1"/>
  <c r="AH3282" i="1"/>
  <c r="AG3282" i="1"/>
  <c r="AF3282" i="1"/>
  <c r="AE3282" i="1"/>
  <c r="AD3282" i="1"/>
  <c r="AC3282" i="1"/>
  <c r="AL3281" i="1"/>
  <c r="AJ3281" i="1"/>
  <c r="AI3281" i="1"/>
  <c r="AH3281" i="1"/>
  <c r="AG3281" i="1"/>
  <c r="AF3281" i="1"/>
  <c r="AE3281" i="1"/>
  <c r="AD3281" i="1"/>
  <c r="AC3281" i="1"/>
  <c r="AL3280" i="1"/>
  <c r="AJ3280" i="1"/>
  <c r="AI3280" i="1"/>
  <c r="AH3280" i="1"/>
  <c r="AG3280" i="1"/>
  <c r="AF3280" i="1"/>
  <c r="AE3280" i="1"/>
  <c r="AD3280" i="1"/>
  <c r="AC3280" i="1"/>
  <c r="AL3279" i="1"/>
  <c r="AJ3279" i="1"/>
  <c r="AI3279" i="1"/>
  <c r="AH3279" i="1"/>
  <c r="AG3279" i="1"/>
  <c r="AF3279" i="1"/>
  <c r="AE3279" i="1"/>
  <c r="AD3279" i="1"/>
  <c r="AC3279" i="1"/>
  <c r="AL3278" i="1"/>
  <c r="AJ3278" i="1"/>
  <c r="AI3278" i="1"/>
  <c r="AH3278" i="1"/>
  <c r="AG3278" i="1"/>
  <c r="AF3278" i="1"/>
  <c r="AE3278" i="1"/>
  <c r="AD3278" i="1"/>
  <c r="AC3278" i="1"/>
  <c r="AL3277" i="1"/>
  <c r="AJ3277" i="1"/>
  <c r="AI3277" i="1"/>
  <c r="AH3277" i="1"/>
  <c r="AG3277" i="1"/>
  <c r="AF3277" i="1"/>
  <c r="AE3277" i="1"/>
  <c r="AD3277" i="1"/>
  <c r="AC3277" i="1"/>
  <c r="AL3276" i="1"/>
  <c r="AJ3276" i="1"/>
  <c r="AI3276" i="1"/>
  <c r="AH3276" i="1"/>
  <c r="AG3276" i="1"/>
  <c r="AF3276" i="1"/>
  <c r="AE3276" i="1"/>
  <c r="AD3276" i="1"/>
  <c r="AC3276" i="1"/>
  <c r="AL3275" i="1"/>
  <c r="AJ3275" i="1"/>
  <c r="AI3275" i="1"/>
  <c r="AH3275" i="1"/>
  <c r="AG3275" i="1"/>
  <c r="AF3275" i="1"/>
  <c r="AE3275" i="1"/>
  <c r="AD3275" i="1"/>
  <c r="AC3275" i="1"/>
  <c r="AL3274" i="1"/>
  <c r="AJ3274" i="1"/>
  <c r="AI3274" i="1"/>
  <c r="AH3274" i="1"/>
  <c r="AG3274" i="1"/>
  <c r="AF3274" i="1"/>
  <c r="AE3274" i="1"/>
  <c r="AD3274" i="1"/>
  <c r="AC3274" i="1"/>
  <c r="AL3273" i="1"/>
  <c r="AJ3273" i="1"/>
  <c r="AI3273" i="1"/>
  <c r="AH3273" i="1"/>
  <c r="AG3273" i="1"/>
  <c r="AF3273" i="1"/>
  <c r="AE3273" i="1"/>
  <c r="AD3273" i="1"/>
  <c r="AC3273" i="1"/>
  <c r="AL3272" i="1"/>
  <c r="AJ3272" i="1"/>
  <c r="AI3272" i="1"/>
  <c r="AH3272" i="1"/>
  <c r="AG3272" i="1"/>
  <c r="AF3272" i="1"/>
  <c r="AE3272" i="1"/>
  <c r="AD3272" i="1"/>
  <c r="AC3272" i="1"/>
  <c r="AL3271" i="1"/>
  <c r="AJ3271" i="1"/>
  <c r="AI3271" i="1"/>
  <c r="AH3271" i="1"/>
  <c r="AG3271" i="1"/>
  <c r="AF3271" i="1"/>
  <c r="AE3271" i="1"/>
  <c r="AD3271" i="1"/>
  <c r="AC3271" i="1"/>
  <c r="AL3270" i="1"/>
  <c r="AJ3270" i="1"/>
  <c r="AI3270" i="1"/>
  <c r="AH3270" i="1"/>
  <c r="AG3270" i="1"/>
  <c r="AF3270" i="1"/>
  <c r="AE3270" i="1"/>
  <c r="AD3270" i="1"/>
  <c r="AC3270" i="1"/>
  <c r="AL3269" i="1"/>
  <c r="AJ3269" i="1"/>
  <c r="AI3269" i="1"/>
  <c r="AH3269" i="1"/>
  <c r="AG3269" i="1"/>
  <c r="AF3269" i="1"/>
  <c r="AE3269" i="1"/>
  <c r="AD3269" i="1"/>
  <c r="AC3269" i="1"/>
  <c r="AL3268" i="1"/>
  <c r="AJ3268" i="1"/>
  <c r="AI3268" i="1"/>
  <c r="AH3268" i="1"/>
  <c r="AG3268" i="1"/>
  <c r="AF3268" i="1"/>
  <c r="AE3268" i="1"/>
  <c r="AD3268" i="1"/>
  <c r="AC3268" i="1"/>
  <c r="AL3267" i="1"/>
  <c r="AJ3267" i="1"/>
  <c r="AI3267" i="1"/>
  <c r="AH3267" i="1"/>
  <c r="AG3267" i="1"/>
  <c r="AF3267" i="1"/>
  <c r="AE3267" i="1"/>
  <c r="AD3267" i="1"/>
  <c r="AC3267" i="1"/>
  <c r="AL3266" i="1"/>
  <c r="AJ3266" i="1"/>
  <c r="AI3266" i="1"/>
  <c r="AH3266" i="1"/>
  <c r="AG3266" i="1"/>
  <c r="AF3266" i="1"/>
  <c r="AE3266" i="1"/>
  <c r="AD3266" i="1"/>
  <c r="AC3266" i="1"/>
  <c r="AL3265" i="1"/>
  <c r="AJ3265" i="1"/>
  <c r="AI3265" i="1"/>
  <c r="AH3265" i="1"/>
  <c r="AG3265" i="1"/>
  <c r="AF3265" i="1"/>
  <c r="AE3265" i="1"/>
  <c r="AD3265" i="1"/>
  <c r="AC3265" i="1"/>
  <c r="AL3264" i="1"/>
  <c r="AJ3264" i="1"/>
  <c r="AI3264" i="1"/>
  <c r="AH3264" i="1"/>
  <c r="AG3264" i="1"/>
  <c r="AF3264" i="1"/>
  <c r="AE3264" i="1"/>
  <c r="AD3264" i="1"/>
  <c r="AC3264" i="1"/>
  <c r="AL3263" i="1"/>
  <c r="AJ3263" i="1"/>
  <c r="AI3263" i="1"/>
  <c r="AH3263" i="1"/>
  <c r="AG3263" i="1"/>
  <c r="AF3263" i="1"/>
  <c r="AE3263" i="1"/>
  <c r="AD3263" i="1"/>
  <c r="AC3263" i="1"/>
  <c r="AL3262" i="1"/>
  <c r="AJ3262" i="1"/>
  <c r="AI3262" i="1"/>
  <c r="AH3262" i="1"/>
  <c r="AG3262" i="1"/>
  <c r="AF3262" i="1"/>
  <c r="AE3262" i="1"/>
  <c r="AD3262" i="1"/>
  <c r="AC3262" i="1"/>
  <c r="AL3261" i="1"/>
  <c r="AJ3261" i="1"/>
  <c r="AI3261" i="1"/>
  <c r="AH3261" i="1"/>
  <c r="AG3261" i="1"/>
  <c r="AF3261" i="1"/>
  <c r="AE3261" i="1"/>
  <c r="AD3261" i="1"/>
  <c r="AC3261" i="1"/>
  <c r="AL3260" i="1"/>
  <c r="AJ3260" i="1"/>
  <c r="AI3260" i="1"/>
  <c r="AH3260" i="1"/>
  <c r="AG3260" i="1"/>
  <c r="AF3260" i="1"/>
  <c r="AE3260" i="1"/>
  <c r="AD3260" i="1"/>
  <c r="AC3260" i="1"/>
  <c r="AL3259" i="1"/>
  <c r="AJ3259" i="1"/>
  <c r="AI3259" i="1"/>
  <c r="AH3259" i="1"/>
  <c r="AG3259" i="1"/>
  <c r="AF3259" i="1"/>
  <c r="AE3259" i="1"/>
  <c r="AD3259" i="1"/>
  <c r="AC3259" i="1"/>
  <c r="AL3258" i="1"/>
  <c r="AJ3258" i="1"/>
  <c r="AI3258" i="1"/>
  <c r="AH3258" i="1"/>
  <c r="AG3258" i="1"/>
  <c r="AF3258" i="1"/>
  <c r="AE3258" i="1"/>
  <c r="AD3258" i="1"/>
  <c r="AC3258" i="1"/>
  <c r="AL3257" i="1"/>
  <c r="AJ3257" i="1"/>
  <c r="AI3257" i="1"/>
  <c r="AH3257" i="1"/>
  <c r="AG3257" i="1"/>
  <c r="AF3257" i="1"/>
  <c r="AE3257" i="1"/>
  <c r="AD3257" i="1"/>
  <c r="AC3257" i="1"/>
  <c r="AL3256" i="1"/>
  <c r="AJ3256" i="1"/>
  <c r="AI3256" i="1"/>
  <c r="AH3256" i="1"/>
  <c r="AG3256" i="1"/>
  <c r="AF3256" i="1"/>
  <c r="AE3256" i="1"/>
  <c r="AD3256" i="1"/>
  <c r="AC3256" i="1"/>
  <c r="AL3255" i="1"/>
  <c r="AJ3255" i="1"/>
  <c r="AI3255" i="1"/>
  <c r="AH3255" i="1"/>
  <c r="AG3255" i="1"/>
  <c r="AF3255" i="1"/>
  <c r="AE3255" i="1"/>
  <c r="AD3255" i="1"/>
  <c r="AC3255" i="1"/>
  <c r="AL3254" i="1"/>
  <c r="AJ3254" i="1"/>
  <c r="AI3254" i="1"/>
  <c r="AH3254" i="1"/>
  <c r="AG3254" i="1"/>
  <c r="AF3254" i="1"/>
  <c r="AE3254" i="1"/>
  <c r="AD3254" i="1"/>
  <c r="AC3254" i="1"/>
  <c r="AL3253" i="1"/>
  <c r="AJ3253" i="1"/>
  <c r="AI3253" i="1"/>
  <c r="AH3253" i="1"/>
  <c r="AG3253" i="1"/>
  <c r="AF3253" i="1"/>
  <c r="AE3253" i="1"/>
  <c r="AD3253" i="1"/>
  <c r="AC3253" i="1"/>
  <c r="AL3252" i="1"/>
  <c r="AJ3252" i="1"/>
  <c r="AI3252" i="1"/>
  <c r="AH3252" i="1"/>
  <c r="AG3252" i="1"/>
  <c r="AF3252" i="1"/>
  <c r="AE3252" i="1"/>
  <c r="AD3252" i="1"/>
  <c r="AC3252" i="1"/>
  <c r="AL3251" i="1"/>
  <c r="AJ3251" i="1"/>
  <c r="AI3251" i="1"/>
  <c r="AH3251" i="1"/>
  <c r="AG3251" i="1"/>
  <c r="AF3251" i="1"/>
  <c r="AE3251" i="1"/>
  <c r="AD3251" i="1"/>
  <c r="AC3251" i="1"/>
  <c r="AL3250" i="1"/>
  <c r="AJ3250" i="1"/>
  <c r="AI3250" i="1"/>
  <c r="AH3250" i="1"/>
  <c r="AG3250" i="1"/>
  <c r="AF3250" i="1"/>
  <c r="AE3250" i="1"/>
  <c r="AD3250" i="1"/>
  <c r="AC3250" i="1"/>
  <c r="AL3249" i="1"/>
  <c r="AJ3249" i="1"/>
  <c r="AI3249" i="1"/>
  <c r="AH3249" i="1"/>
  <c r="AG3249" i="1"/>
  <c r="AF3249" i="1"/>
  <c r="AE3249" i="1"/>
  <c r="AD3249" i="1"/>
  <c r="AC3249" i="1"/>
  <c r="AL3248" i="1"/>
  <c r="AJ3248" i="1"/>
  <c r="AI3248" i="1"/>
  <c r="AH3248" i="1"/>
  <c r="AG3248" i="1"/>
  <c r="AF3248" i="1"/>
  <c r="AE3248" i="1"/>
  <c r="AD3248" i="1"/>
  <c r="AC3248" i="1"/>
  <c r="AL3247" i="1"/>
  <c r="AJ3247" i="1"/>
  <c r="AI3247" i="1"/>
  <c r="AH3247" i="1"/>
  <c r="AG3247" i="1"/>
  <c r="AF3247" i="1"/>
  <c r="AE3247" i="1"/>
  <c r="AD3247" i="1"/>
  <c r="AC3247" i="1"/>
  <c r="AL3246" i="1"/>
  <c r="AJ3246" i="1"/>
  <c r="AI3246" i="1"/>
  <c r="AH3246" i="1"/>
  <c r="AG3246" i="1"/>
  <c r="AF3246" i="1"/>
  <c r="AE3246" i="1"/>
  <c r="AD3246" i="1"/>
  <c r="AC3246" i="1"/>
  <c r="AL3245" i="1"/>
  <c r="AJ3245" i="1"/>
  <c r="AI3245" i="1"/>
  <c r="AH3245" i="1"/>
  <c r="AG3245" i="1"/>
  <c r="AF3245" i="1"/>
  <c r="AE3245" i="1"/>
  <c r="AD3245" i="1"/>
  <c r="AC3245" i="1"/>
  <c r="AL3244" i="1"/>
  <c r="AJ3244" i="1"/>
  <c r="AI3244" i="1"/>
  <c r="AH3244" i="1"/>
  <c r="AG3244" i="1"/>
  <c r="AF3244" i="1"/>
  <c r="AE3244" i="1"/>
  <c r="AD3244" i="1"/>
  <c r="AC3244" i="1"/>
  <c r="AL3243" i="1"/>
  <c r="AJ3243" i="1"/>
  <c r="AI3243" i="1"/>
  <c r="AH3243" i="1"/>
  <c r="AG3243" i="1"/>
  <c r="AF3243" i="1"/>
  <c r="AE3243" i="1"/>
  <c r="AD3243" i="1"/>
  <c r="AC3243" i="1"/>
  <c r="AL3242" i="1"/>
  <c r="AJ3242" i="1"/>
  <c r="AI3242" i="1"/>
  <c r="AH3242" i="1"/>
  <c r="AG3242" i="1"/>
  <c r="AF3242" i="1"/>
  <c r="AE3242" i="1"/>
  <c r="AD3242" i="1"/>
  <c r="AC3242" i="1"/>
  <c r="AL3241" i="1"/>
  <c r="AJ3241" i="1"/>
  <c r="AI3241" i="1"/>
  <c r="AH3241" i="1"/>
  <c r="AG3241" i="1"/>
  <c r="AF3241" i="1"/>
  <c r="AE3241" i="1"/>
  <c r="AD3241" i="1"/>
  <c r="AC3241" i="1"/>
  <c r="AL3240" i="1"/>
  <c r="AJ3240" i="1"/>
  <c r="AI3240" i="1"/>
  <c r="AH3240" i="1"/>
  <c r="AG3240" i="1"/>
  <c r="AF3240" i="1"/>
  <c r="AE3240" i="1"/>
  <c r="AD3240" i="1"/>
  <c r="AC3240" i="1"/>
  <c r="AL3239" i="1"/>
  <c r="AJ3239" i="1"/>
  <c r="AI3239" i="1"/>
  <c r="AH3239" i="1"/>
  <c r="AG3239" i="1"/>
  <c r="AF3239" i="1"/>
  <c r="AE3239" i="1"/>
  <c r="AD3239" i="1"/>
  <c r="AC3239" i="1"/>
  <c r="AL3238" i="1"/>
  <c r="AJ3238" i="1"/>
  <c r="AI3238" i="1"/>
  <c r="AH3238" i="1"/>
  <c r="AG3238" i="1"/>
  <c r="AF3238" i="1"/>
  <c r="AE3238" i="1"/>
  <c r="AD3238" i="1"/>
  <c r="AC3238" i="1"/>
  <c r="AL3237" i="1"/>
  <c r="AJ3237" i="1"/>
  <c r="AI3237" i="1"/>
  <c r="AH3237" i="1"/>
  <c r="AG3237" i="1"/>
  <c r="AF3237" i="1"/>
  <c r="AE3237" i="1"/>
  <c r="AD3237" i="1"/>
  <c r="AC3237" i="1"/>
  <c r="AL3236" i="1"/>
  <c r="AJ3236" i="1"/>
  <c r="AI3236" i="1"/>
  <c r="AH3236" i="1"/>
  <c r="AG3236" i="1"/>
  <c r="AF3236" i="1"/>
  <c r="AE3236" i="1"/>
  <c r="AD3236" i="1"/>
  <c r="AC3236" i="1"/>
  <c r="AL3235" i="1"/>
  <c r="AJ3235" i="1"/>
  <c r="AI3235" i="1"/>
  <c r="AH3235" i="1"/>
  <c r="AG3235" i="1"/>
  <c r="AF3235" i="1"/>
  <c r="AE3235" i="1"/>
  <c r="AD3235" i="1"/>
  <c r="AC3235" i="1"/>
  <c r="AL3234" i="1"/>
  <c r="AJ3234" i="1"/>
  <c r="AI3234" i="1"/>
  <c r="AH3234" i="1"/>
  <c r="AG3234" i="1"/>
  <c r="AF3234" i="1"/>
  <c r="AE3234" i="1"/>
  <c r="AD3234" i="1"/>
  <c r="AC3234" i="1"/>
  <c r="AL3233" i="1"/>
  <c r="AJ3233" i="1"/>
  <c r="AI3233" i="1"/>
  <c r="AH3233" i="1"/>
  <c r="AG3233" i="1"/>
  <c r="AF3233" i="1"/>
  <c r="AE3233" i="1"/>
  <c r="AD3233" i="1"/>
  <c r="AC3233" i="1"/>
  <c r="AL3232" i="1"/>
  <c r="AJ3232" i="1"/>
  <c r="AI3232" i="1"/>
  <c r="AH3232" i="1"/>
  <c r="AG3232" i="1"/>
  <c r="AF3232" i="1"/>
  <c r="AE3232" i="1"/>
  <c r="AD3232" i="1"/>
  <c r="AC3232" i="1"/>
  <c r="AL3231" i="1"/>
  <c r="AJ3231" i="1"/>
  <c r="AI3231" i="1"/>
  <c r="AH3231" i="1"/>
  <c r="AG3231" i="1"/>
  <c r="AF3231" i="1"/>
  <c r="AE3231" i="1"/>
  <c r="AD3231" i="1"/>
  <c r="AC3231" i="1"/>
  <c r="AL3230" i="1"/>
  <c r="AJ3230" i="1"/>
  <c r="AI3230" i="1"/>
  <c r="AH3230" i="1"/>
  <c r="AG3230" i="1"/>
  <c r="AF3230" i="1"/>
  <c r="AE3230" i="1"/>
  <c r="AD3230" i="1"/>
  <c r="AC3230" i="1"/>
  <c r="AL3229" i="1"/>
  <c r="AJ3229" i="1"/>
  <c r="AI3229" i="1"/>
  <c r="AH3229" i="1"/>
  <c r="AG3229" i="1"/>
  <c r="AF3229" i="1"/>
  <c r="AE3229" i="1"/>
  <c r="AD3229" i="1"/>
  <c r="AC3229" i="1"/>
  <c r="AL3228" i="1"/>
  <c r="AJ3228" i="1"/>
  <c r="AI3228" i="1"/>
  <c r="AH3228" i="1"/>
  <c r="AG3228" i="1"/>
  <c r="AF3228" i="1"/>
  <c r="AE3228" i="1"/>
  <c r="AD3228" i="1"/>
  <c r="AC3228" i="1"/>
  <c r="AL3227" i="1"/>
  <c r="AJ3227" i="1"/>
  <c r="AI3227" i="1"/>
  <c r="AH3227" i="1"/>
  <c r="AG3227" i="1"/>
  <c r="AF3227" i="1"/>
  <c r="AE3227" i="1"/>
  <c r="AD3227" i="1"/>
  <c r="AC3227" i="1"/>
  <c r="AL3226" i="1"/>
  <c r="AJ3226" i="1"/>
  <c r="AI3226" i="1"/>
  <c r="AH3226" i="1"/>
  <c r="AG3226" i="1"/>
  <c r="AF3226" i="1"/>
  <c r="AE3226" i="1"/>
  <c r="AD3226" i="1"/>
  <c r="AC3226" i="1"/>
  <c r="AL3225" i="1"/>
  <c r="AJ3225" i="1"/>
  <c r="AI3225" i="1"/>
  <c r="AH3225" i="1"/>
  <c r="AG3225" i="1"/>
  <c r="AF3225" i="1"/>
  <c r="AE3225" i="1"/>
  <c r="AD3225" i="1"/>
  <c r="AC3225" i="1"/>
  <c r="AL3224" i="1"/>
  <c r="AJ3224" i="1"/>
  <c r="AI3224" i="1"/>
  <c r="AH3224" i="1"/>
  <c r="AG3224" i="1"/>
  <c r="AF3224" i="1"/>
  <c r="AE3224" i="1"/>
  <c r="AD3224" i="1"/>
  <c r="AC3224" i="1"/>
  <c r="AL3223" i="1"/>
  <c r="AJ3223" i="1"/>
  <c r="AI3223" i="1"/>
  <c r="AH3223" i="1"/>
  <c r="AG3223" i="1"/>
  <c r="AF3223" i="1"/>
  <c r="AE3223" i="1"/>
  <c r="AD3223" i="1"/>
  <c r="AC3223" i="1"/>
  <c r="AL3222" i="1"/>
  <c r="AJ3222" i="1"/>
  <c r="AI3222" i="1"/>
  <c r="AH3222" i="1"/>
  <c r="AG3222" i="1"/>
  <c r="AF3222" i="1"/>
  <c r="AE3222" i="1"/>
  <c r="AD3222" i="1"/>
  <c r="AC3222" i="1"/>
  <c r="AL3221" i="1"/>
  <c r="AJ3221" i="1"/>
  <c r="AI3221" i="1"/>
  <c r="AH3221" i="1"/>
  <c r="AG3221" i="1"/>
  <c r="AF3221" i="1"/>
  <c r="AE3221" i="1"/>
  <c r="AD3221" i="1"/>
  <c r="AC3221" i="1"/>
  <c r="AL3220" i="1"/>
  <c r="AJ3220" i="1"/>
  <c r="AI3220" i="1"/>
  <c r="AH3220" i="1"/>
  <c r="AG3220" i="1"/>
  <c r="AF3220" i="1"/>
  <c r="AE3220" i="1"/>
  <c r="AD3220" i="1"/>
  <c r="AC3220" i="1"/>
  <c r="AL3219" i="1"/>
  <c r="AJ3219" i="1"/>
  <c r="AI3219" i="1"/>
  <c r="AH3219" i="1"/>
  <c r="AG3219" i="1"/>
  <c r="AF3219" i="1"/>
  <c r="AE3219" i="1"/>
  <c r="AD3219" i="1"/>
  <c r="AC3219" i="1"/>
  <c r="AL3218" i="1"/>
  <c r="AJ3218" i="1"/>
  <c r="AI3218" i="1"/>
  <c r="AH3218" i="1"/>
  <c r="AG3218" i="1"/>
  <c r="AF3218" i="1"/>
  <c r="AE3218" i="1"/>
  <c r="AD3218" i="1"/>
  <c r="AC3218" i="1"/>
  <c r="AL3217" i="1"/>
  <c r="AJ3217" i="1"/>
  <c r="AI3217" i="1"/>
  <c r="AH3217" i="1"/>
  <c r="AG3217" i="1"/>
  <c r="AF3217" i="1"/>
  <c r="AE3217" i="1"/>
  <c r="AD3217" i="1"/>
  <c r="AC3217" i="1"/>
  <c r="AL3216" i="1"/>
  <c r="AJ3216" i="1"/>
  <c r="AI3216" i="1"/>
  <c r="AH3216" i="1"/>
  <c r="AG3216" i="1"/>
  <c r="AF3216" i="1"/>
  <c r="AE3216" i="1"/>
  <c r="AD3216" i="1"/>
  <c r="AC3216" i="1"/>
  <c r="AL3215" i="1"/>
  <c r="AJ3215" i="1"/>
  <c r="AI3215" i="1"/>
  <c r="AH3215" i="1"/>
  <c r="AG3215" i="1"/>
  <c r="AF3215" i="1"/>
  <c r="AE3215" i="1"/>
  <c r="AD3215" i="1"/>
  <c r="AC3215" i="1"/>
  <c r="AL3214" i="1"/>
  <c r="AJ3214" i="1"/>
  <c r="AI3214" i="1"/>
  <c r="AH3214" i="1"/>
  <c r="AG3214" i="1"/>
  <c r="AF3214" i="1"/>
  <c r="AE3214" i="1"/>
  <c r="AD3214" i="1"/>
  <c r="AC3214" i="1"/>
  <c r="AL3213" i="1"/>
  <c r="AJ3213" i="1"/>
  <c r="AI3213" i="1"/>
  <c r="AH3213" i="1"/>
  <c r="AG3213" i="1"/>
  <c r="AF3213" i="1"/>
  <c r="AE3213" i="1"/>
  <c r="AD3213" i="1"/>
  <c r="AC3213" i="1"/>
  <c r="AL3212" i="1"/>
  <c r="AJ3212" i="1"/>
  <c r="AI3212" i="1"/>
  <c r="AH3212" i="1"/>
  <c r="AG3212" i="1"/>
  <c r="AF3212" i="1"/>
  <c r="AE3212" i="1"/>
  <c r="AD3212" i="1"/>
  <c r="AC3212" i="1"/>
  <c r="AL3211" i="1"/>
  <c r="AJ3211" i="1"/>
  <c r="AI3211" i="1"/>
  <c r="AH3211" i="1"/>
  <c r="AG3211" i="1"/>
  <c r="AF3211" i="1"/>
  <c r="AE3211" i="1"/>
  <c r="AD3211" i="1"/>
  <c r="AC3211" i="1"/>
  <c r="AL3210" i="1"/>
  <c r="AJ3210" i="1"/>
  <c r="AI3210" i="1"/>
  <c r="AH3210" i="1"/>
  <c r="AG3210" i="1"/>
  <c r="AF3210" i="1"/>
  <c r="AE3210" i="1"/>
  <c r="AD3210" i="1"/>
  <c r="AC3210" i="1"/>
  <c r="AL3209" i="1"/>
  <c r="AJ3209" i="1"/>
  <c r="AI3209" i="1"/>
  <c r="AH3209" i="1"/>
  <c r="AG3209" i="1"/>
  <c r="AF3209" i="1"/>
  <c r="AE3209" i="1"/>
  <c r="AD3209" i="1"/>
  <c r="AC3209" i="1"/>
  <c r="AL3208" i="1"/>
  <c r="AJ3208" i="1"/>
  <c r="AI3208" i="1"/>
  <c r="AH3208" i="1"/>
  <c r="AG3208" i="1"/>
  <c r="AF3208" i="1"/>
  <c r="AE3208" i="1"/>
  <c r="AD3208" i="1"/>
  <c r="AC3208" i="1"/>
  <c r="AL3207" i="1"/>
  <c r="AJ3207" i="1"/>
  <c r="AI3207" i="1"/>
  <c r="AH3207" i="1"/>
  <c r="AG3207" i="1"/>
  <c r="AF3207" i="1"/>
  <c r="AE3207" i="1"/>
  <c r="AD3207" i="1"/>
  <c r="AC3207" i="1"/>
  <c r="AL3206" i="1"/>
  <c r="AJ3206" i="1"/>
  <c r="AI3206" i="1"/>
  <c r="AH3206" i="1"/>
  <c r="AG3206" i="1"/>
  <c r="AF3206" i="1"/>
  <c r="AE3206" i="1"/>
  <c r="AD3206" i="1"/>
  <c r="AC3206" i="1"/>
  <c r="AL3205" i="1"/>
  <c r="AJ3205" i="1"/>
  <c r="AI3205" i="1"/>
  <c r="AH3205" i="1"/>
  <c r="AG3205" i="1"/>
  <c r="AF3205" i="1"/>
  <c r="AE3205" i="1"/>
  <c r="AD3205" i="1"/>
  <c r="AC3205" i="1"/>
  <c r="AL3204" i="1"/>
  <c r="AJ3204" i="1"/>
  <c r="AI3204" i="1"/>
  <c r="AH3204" i="1"/>
  <c r="AG3204" i="1"/>
  <c r="AF3204" i="1"/>
  <c r="AE3204" i="1"/>
  <c r="AD3204" i="1"/>
  <c r="AC3204" i="1"/>
  <c r="AL3203" i="1"/>
  <c r="AJ3203" i="1"/>
  <c r="AI3203" i="1"/>
  <c r="AH3203" i="1"/>
  <c r="AG3203" i="1"/>
  <c r="AF3203" i="1"/>
  <c r="AE3203" i="1"/>
  <c r="AD3203" i="1"/>
  <c r="AC3203" i="1"/>
  <c r="AL3202" i="1"/>
  <c r="AJ3202" i="1"/>
  <c r="AI3202" i="1"/>
  <c r="AH3202" i="1"/>
  <c r="AG3202" i="1"/>
  <c r="AF3202" i="1"/>
  <c r="AE3202" i="1"/>
  <c r="AD3202" i="1"/>
  <c r="AC3202" i="1"/>
  <c r="AL3201" i="1"/>
  <c r="AJ3201" i="1"/>
  <c r="AI3201" i="1"/>
  <c r="AH3201" i="1"/>
  <c r="AG3201" i="1"/>
  <c r="AF3201" i="1"/>
  <c r="AE3201" i="1"/>
  <c r="AD3201" i="1"/>
  <c r="AC3201" i="1"/>
  <c r="AL3200" i="1"/>
  <c r="AJ3200" i="1"/>
  <c r="AI3200" i="1"/>
  <c r="AH3200" i="1"/>
  <c r="AG3200" i="1"/>
  <c r="AF3200" i="1"/>
  <c r="AE3200" i="1"/>
  <c r="AD3200" i="1"/>
  <c r="AC3200" i="1"/>
  <c r="AL3199" i="1"/>
  <c r="AJ3199" i="1"/>
  <c r="AI3199" i="1"/>
  <c r="AH3199" i="1"/>
  <c r="AG3199" i="1"/>
  <c r="AF3199" i="1"/>
  <c r="AE3199" i="1"/>
  <c r="AD3199" i="1"/>
  <c r="AC3199" i="1"/>
  <c r="AL3198" i="1"/>
  <c r="AJ3198" i="1"/>
  <c r="AI3198" i="1"/>
  <c r="AH3198" i="1"/>
  <c r="AG3198" i="1"/>
  <c r="AF3198" i="1"/>
  <c r="AE3198" i="1"/>
  <c r="AD3198" i="1"/>
  <c r="AC3198" i="1"/>
  <c r="AL3197" i="1"/>
  <c r="AJ3197" i="1"/>
  <c r="AI3197" i="1"/>
  <c r="AH3197" i="1"/>
  <c r="AG3197" i="1"/>
  <c r="AF3197" i="1"/>
  <c r="AE3197" i="1"/>
  <c r="AD3197" i="1"/>
  <c r="AC3197" i="1"/>
  <c r="AL3196" i="1"/>
  <c r="AJ3196" i="1"/>
  <c r="AI3196" i="1"/>
  <c r="AH3196" i="1"/>
  <c r="AG3196" i="1"/>
  <c r="AF3196" i="1"/>
  <c r="AE3196" i="1"/>
  <c r="AD3196" i="1"/>
  <c r="AC3196" i="1"/>
  <c r="AL3195" i="1"/>
  <c r="AJ3195" i="1"/>
  <c r="AI3195" i="1"/>
  <c r="AH3195" i="1"/>
  <c r="AG3195" i="1"/>
  <c r="AF3195" i="1"/>
  <c r="AE3195" i="1"/>
  <c r="AD3195" i="1"/>
  <c r="AC3195" i="1"/>
  <c r="AL3194" i="1"/>
  <c r="AJ3194" i="1"/>
  <c r="AI3194" i="1"/>
  <c r="AH3194" i="1"/>
  <c r="AG3194" i="1"/>
  <c r="AF3194" i="1"/>
  <c r="AE3194" i="1"/>
  <c r="AD3194" i="1"/>
  <c r="AC3194" i="1"/>
  <c r="AL3193" i="1"/>
  <c r="AJ3193" i="1"/>
  <c r="AI3193" i="1"/>
  <c r="AH3193" i="1"/>
  <c r="AG3193" i="1"/>
  <c r="AF3193" i="1"/>
  <c r="AE3193" i="1"/>
  <c r="AD3193" i="1"/>
  <c r="AC3193" i="1"/>
  <c r="AL3192" i="1"/>
  <c r="AJ3192" i="1"/>
  <c r="AI3192" i="1"/>
  <c r="AH3192" i="1"/>
  <c r="AG3192" i="1"/>
  <c r="AF3192" i="1"/>
  <c r="AE3192" i="1"/>
  <c r="AD3192" i="1"/>
  <c r="AC3192" i="1"/>
  <c r="AL3191" i="1"/>
  <c r="AJ3191" i="1"/>
  <c r="AI3191" i="1"/>
  <c r="AH3191" i="1"/>
  <c r="AG3191" i="1"/>
  <c r="AF3191" i="1"/>
  <c r="AE3191" i="1"/>
  <c r="AD3191" i="1"/>
  <c r="AC3191" i="1"/>
  <c r="AL3190" i="1"/>
  <c r="AJ3190" i="1"/>
  <c r="AI3190" i="1"/>
  <c r="AH3190" i="1"/>
  <c r="AG3190" i="1"/>
  <c r="AF3190" i="1"/>
  <c r="AE3190" i="1"/>
  <c r="AD3190" i="1"/>
  <c r="AC3190" i="1"/>
  <c r="AL3189" i="1"/>
  <c r="AJ3189" i="1"/>
  <c r="AI3189" i="1"/>
  <c r="AH3189" i="1"/>
  <c r="AG3189" i="1"/>
  <c r="AF3189" i="1"/>
  <c r="AE3189" i="1"/>
  <c r="AD3189" i="1"/>
  <c r="AC3189" i="1"/>
  <c r="AL3188" i="1"/>
  <c r="AJ3188" i="1"/>
  <c r="AI3188" i="1"/>
  <c r="AH3188" i="1"/>
  <c r="AG3188" i="1"/>
  <c r="AF3188" i="1"/>
  <c r="AE3188" i="1"/>
  <c r="AD3188" i="1"/>
  <c r="AC3188" i="1"/>
  <c r="AL3187" i="1"/>
  <c r="AJ3187" i="1"/>
  <c r="AI3187" i="1"/>
  <c r="AH3187" i="1"/>
  <c r="AG3187" i="1"/>
  <c r="AF3187" i="1"/>
  <c r="AE3187" i="1"/>
  <c r="AD3187" i="1"/>
  <c r="AC3187" i="1"/>
  <c r="AL3186" i="1"/>
  <c r="AJ3186" i="1"/>
  <c r="AI3186" i="1"/>
  <c r="AH3186" i="1"/>
  <c r="AG3186" i="1"/>
  <c r="AF3186" i="1"/>
  <c r="AE3186" i="1"/>
  <c r="AD3186" i="1"/>
  <c r="AC3186" i="1"/>
  <c r="AL3185" i="1"/>
  <c r="AJ3185" i="1"/>
  <c r="AI3185" i="1"/>
  <c r="AH3185" i="1"/>
  <c r="AG3185" i="1"/>
  <c r="AF3185" i="1"/>
  <c r="AE3185" i="1"/>
  <c r="AD3185" i="1"/>
  <c r="AC3185" i="1"/>
  <c r="AL3184" i="1"/>
  <c r="AJ3184" i="1"/>
  <c r="AI3184" i="1"/>
  <c r="AH3184" i="1"/>
  <c r="AG3184" i="1"/>
  <c r="AF3184" i="1"/>
  <c r="AE3184" i="1"/>
  <c r="AD3184" i="1"/>
  <c r="AC3184" i="1"/>
  <c r="AL3183" i="1"/>
  <c r="AJ3183" i="1"/>
  <c r="AI3183" i="1"/>
  <c r="AH3183" i="1"/>
  <c r="AG3183" i="1"/>
  <c r="AF3183" i="1"/>
  <c r="AE3183" i="1"/>
  <c r="AD3183" i="1"/>
  <c r="AC3183" i="1"/>
  <c r="AL3182" i="1"/>
  <c r="AJ3182" i="1"/>
  <c r="AI3182" i="1"/>
  <c r="AH3182" i="1"/>
  <c r="AG3182" i="1"/>
  <c r="AF3182" i="1"/>
  <c r="AE3182" i="1"/>
  <c r="AD3182" i="1"/>
  <c r="AC3182" i="1"/>
  <c r="AL3181" i="1"/>
  <c r="AJ3181" i="1"/>
  <c r="AI3181" i="1"/>
  <c r="AH3181" i="1"/>
  <c r="AG3181" i="1"/>
  <c r="AF3181" i="1"/>
  <c r="AE3181" i="1"/>
  <c r="AD3181" i="1"/>
  <c r="AC3181" i="1"/>
  <c r="AL3180" i="1"/>
  <c r="AJ3180" i="1"/>
  <c r="AI3180" i="1"/>
  <c r="AH3180" i="1"/>
  <c r="AG3180" i="1"/>
  <c r="AF3180" i="1"/>
  <c r="AE3180" i="1"/>
  <c r="AD3180" i="1"/>
  <c r="AC3180" i="1"/>
  <c r="AL3179" i="1"/>
  <c r="AJ3179" i="1"/>
  <c r="AI3179" i="1"/>
  <c r="AH3179" i="1"/>
  <c r="AG3179" i="1"/>
  <c r="AF3179" i="1"/>
  <c r="AE3179" i="1"/>
  <c r="AD3179" i="1"/>
  <c r="AC3179" i="1"/>
  <c r="AL3178" i="1"/>
  <c r="AJ3178" i="1"/>
  <c r="AI3178" i="1"/>
  <c r="AH3178" i="1"/>
  <c r="AG3178" i="1"/>
  <c r="AF3178" i="1"/>
  <c r="AE3178" i="1"/>
  <c r="AD3178" i="1"/>
  <c r="AC3178" i="1"/>
  <c r="AL3177" i="1"/>
  <c r="AJ3177" i="1"/>
  <c r="AI3177" i="1"/>
  <c r="AH3177" i="1"/>
  <c r="AG3177" i="1"/>
  <c r="AF3177" i="1"/>
  <c r="AE3177" i="1"/>
  <c r="AD3177" i="1"/>
  <c r="AC3177" i="1"/>
  <c r="AL3176" i="1"/>
  <c r="AJ3176" i="1"/>
  <c r="AI3176" i="1"/>
  <c r="AH3176" i="1"/>
  <c r="AG3176" i="1"/>
  <c r="AF3176" i="1"/>
  <c r="AE3176" i="1"/>
  <c r="AD3176" i="1"/>
  <c r="AC3176" i="1"/>
  <c r="AL3175" i="1"/>
  <c r="AJ3175" i="1"/>
  <c r="AI3175" i="1"/>
  <c r="AH3175" i="1"/>
  <c r="AG3175" i="1"/>
  <c r="AF3175" i="1"/>
  <c r="AE3175" i="1"/>
  <c r="AD3175" i="1"/>
  <c r="AC3175" i="1"/>
  <c r="AL3174" i="1"/>
  <c r="AJ3174" i="1"/>
  <c r="AI3174" i="1"/>
  <c r="AH3174" i="1"/>
  <c r="AG3174" i="1"/>
  <c r="AF3174" i="1"/>
  <c r="AE3174" i="1"/>
  <c r="AD3174" i="1"/>
  <c r="AC3174" i="1"/>
  <c r="AL3173" i="1"/>
  <c r="AJ3173" i="1"/>
  <c r="AI3173" i="1"/>
  <c r="AH3173" i="1"/>
  <c r="AG3173" i="1"/>
  <c r="AF3173" i="1"/>
  <c r="AE3173" i="1"/>
  <c r="AD3173" i="1"/>
  <c r="AC3173" i="1"/>
  <c r="AL3172" i="1"/>
  <c r="AJ3172" i="1"/>
  <c r="AI3172" i="1"/>
  <c r="AH3172" i="1"/>
  <c r="AG3172" i="1"/>
  <c r="AF3172" i="1"/>
  <c r="AE3172" i="1"/>
  <c r="AD3172" i="1"/>
  <c r="AC3172" i="1"/>
  <c r="AL3171" i="1"/>
  <c r="AJ3171" i="1"/>
  <c r="AI3171" i="1"/>
  <c r="AH3171" i="1"/>
  <c r="AG3171" i="1"/>
  <c r="AF3171" i="1"/>
  <c r="AE3171" i="1"/>
  <c r="AD3171" i="1"/>
  <c r="AC3171" i="1"/>
  <c r="AL3170" i="1"/>
  <c r="AJ3170" i="1"/>
  <c r="AI3170" i="1"/>
  <c r="AH3170" i="1"/>
  <c r="AG3170" i="1"/>
  <c r="AF3170" i="1"/>
  <c r="AE3170" i="1"/>
  <c r="AD3170" i="1"/>
  <c r="AC3170" i="1"/>
  <c r="AL3169" i="1"/>
  <c r="AJ3169" i="1"/>
  <c r="AI3169" i="1"/>
  <c r="AH3169" i="1"/>
  <c r="AG3169" i="1"/>
  <c r="AF3169" i="1"/>
  <c r="AE3169" i="1"/>
  <c r="AD3169" i="1"/>
  <c r="AC3169" i="1"/>
  <c r="AL3168" i="1"/>
  <c r="AJ3168" i="1"/>
  <c r="AI3168" i="1"/>
  <c r="AH3168" i="1"/>
  <c r="AG3168" i="1"/>
  <c r="AF3168" i="1"/>
  <c r="AE3168" i="1"/>
  <c r="AD3168" i="1"/>
  <c r="AC3168" i="1"/>
  <c r="AL3167" i="1"/>
  <c r="AJ3167" i="1"/>
  <c r="AI3167" i="1"/>
  <c r="AH3167" i="1"/>
  <c r="AG3167" i="1"/>
  <c r="AF3167" i="1"/>
  <c r="AE3167" i="1"/>
  <c r="AD3167" i="1"/>
  <c r="AC3167" i="1"/>
  <c r="AL3166" i="1"/>
  <c r="AJ3166" i="1"/>
  <c r="AI3166" i="1"/>
  <c r="AH3166" i="1"/>
  <c r="AG3166" i="1"/>
  <c r="AF3166" i="1"/>
  <c r="AE3166" i="1"/>
  <c r="AD3166" i="1"/>
  <c r="AC3166" i="1"/>
  <c r="AL3165" i="1"/>
  <c r="AJ3165" i="1"/>
  <c r="AI3165" i="1"/>
  <c r="AH3165" i="1"/>
  <c r="AG3165" i="1"/>
  <c r="AF3165" i="1"/>
  <c r="AE3165" i="1"/>
  <c r="AD3165" i="1"/>
  <c r="AC3165" i="1"/>
  <c r="AL3164" i="1"/>
  <c r="AJ3164" i="1"/>
  <c r="AI3164" i="1"/>
  <c r="AH3164" i="1"/>
  <c r="AG3164" i="1"/>
  <c r="AF3164" i="1"/>
  <c r="AE3164" i="1"/>
  <c r="AD3164" i="1"/>
  <c r="AC3164" i="1"/>
  <c r="AL3163" i="1"/>
  <c r="AJ3163" i="1"/>
  <c r="AI3163" i="1"/>
  <c r="AH3163" i="1"/>
  <c r="AG3163" i="1"/>
  <c r="AF3163" i="1"/>
  <c r="AE3163" i="1"/>
  <c r="AD3163" i="1"/>
  <c r="AC3163" i="1"/>
  <c r="AL3162" i="1"/>
  <c r="AJ3162" i="1"/>
  <c r="AI3162" i="1"/>
  <c r="AH3162" i="1"/>
  <c r="AG3162" i="1"/>
  <c r="AF3162" i="1"/>
  <c r="AE3162" i="1"/>
  <c r="AD3162" i="1"/>
  <c r="AC3162" i="1"/>
  <c r="AL3161" i="1"/>
  <c r="AJ3161" i="1"/>
  <c r="AI3161" i="1"/>
  <c r="AH3161" i="1"/>
  <c r="AG3161" i="1"/>
  <c r="AF3161" i="1"/>
  <c r="AE3161" i="1"/>
  <c r="AD3161" i="1"/>
  <c r="AC3161" i="1"/>
  <c r="AL3160" i="1"/>
  <c r="AJ3160" i="1"/>
  <c r="AI3160" i="1"/>
  <c r="AH3160" i="1"/>
  <c r="AG3160" i="1"/>
  <c r="AF3160" i="1"/>
  <c r="AE3160" i="1"/>
  <c r="AD3160" i="1"/>
  <c r="AC3160" i="1"/>
  <c r="AL3159" i="1"/>
  <c r="AJ3159" i="1"/>
  <c r="AI3159" i="1"/>
  <c r="AH3159" i="1"/>
  <c r="AG3159" i="1"/>
  <c r="AF3159" i="1"/>
  <c r="AE3159" i="1"/>
  <c r="AD3159" i="1"/>
  <c r="AC3159" i="1"/>
  <c r="AL3158" i="1"/>
  <c r="AJ3158" i="1"/>
  <c r="AI3158" i="1"/>
  <c r="AH3158" i="1"/>
  <c r="AG3158" i="1"/>
  <c r="AF3158" i="1"/>
  <c r="AE3158" i="1"/>
  <c r="AD3158" i="1"/>
  <c r="AC3158" i="1"/>
  <c r="AL3157" i="1"/>
  <c r="AJ3157" i="1"/>
  <c r="AI3157" i="1"/>
  <c r="AH3157" i="1"/>
  <c r="AG3157" i="1"/>
  <c r="AF3157" i="1"/>
  <c r="AE3157" i="1"/>
  <c r="AD3157" i="1"/>
  <c r="AC3157" i="1"/>
  <c r="AL3156" i="1"/>
  <c r="AJ3156" i="1"/>
  <c r="AI3156" i="1"/>
  <c r="AH3156" i="1"/>
  <c r="AG3156" i="1"/>
  <c r="AF3156" i="1"/>
  <c r="AE3156" i="1"/>
  <c r="AD3156" i="1"/>
  <c r="AC3156" i="1"/>
  <c r="AL3155" i="1"/>
  <c r="AJ3155" i="1"/>
  <c r="AI3155" i="1"/>
  <c r="AH3155" i="1"/>
  <c r="AG3155" i="1"/>
  <c r="AF3155" i="1"/>
  <c r="AE3155" i="1"/>
  <c r="AD3155" i="1"/>
  <c r="AC3155" i="1"/>
  <c r="AL3154" i="1"/>
  <c r="AJ3154" i="1"/>
  <c r="AI3154" i="1"/>
  <c r="AH3154" i="1"/>
  <c r="AG3154" i="1"/>
  <c r="AF3154" i="1"/>
  <c r="AE3154" i="1"/>
  <c r="AD3154" i="1"/>
  <c r="AC3154" i="1"/>
  <c r="AL3153" i="1"/>
  <c r="AJ3153" i="1"/>
  <c r="AI3153" i="1"/>
  <c r="AH3153" i="1"/>
  <c r="AG3153" i="1"/>
  <c r="AF3153" i="1"/>
  <c r="AE3153" i="1"/>
  <c r="AD3153" i="1"/>
  <c r="AC3153" i="1"/>
  <c r="AL3152" i="1"/>
  <c r="AJ3152" i="1"/>
  <c r="AI3152" i="1"/>
  <c r="AH3152" i="1"/>
  <c r="AG3152" i="1"/>
  <c r="AF3152" i="1"/>
  <c r="AE3152" i="1"/>
  <c r="AD3152" i="1"/>
  <c r="AC3152" i="1"/>
  <c r="AL3151" i="1"/>
  <c r="AJ3151" i="1"/>
  <c r="AI3151" i="1"/>
  <c r="AH3151" i="1"/>
  <c r="AG3151" i="1"/>
  <c r="AF3151" i="1"/>
  <c r="AE3151" i="1"/>
  <c r="AD3151" i="1"/>
  <c r="AC3151" i="1"/>
  <c r="AL3150" i="1"/>
  <c r="AJ3150" i="1"/>
  <c r="AI3150" i="1"/>
  <c r="AH3150" i="1"/>
  <c r="AG3150" i="1"/>
  <c r="AF3150" i="1"/>
  <c r="AE3150" i="1"/>
  <c r="AD3150" i="1"/>
  <c r="AC3150" i="1"/>
  <c r="AL3149" i="1"/>
  <c r="AJ3149" i="1"/>
  <c r="AI3149" i="1"/>
  <c r="AH3149" i="1"/>
  <c r="AG3149" i="1"/>
  <c r="AF3149" i="1"/>
  <c r="AE3149" i="1"/>
  <c r="AD3149" i="1"/>
  <c r="AC3149" i="1"/>
  <c r="AL3148" i="1"/>
  <c r="AJ3148" i="1"/>
  <c r="AI3148" i="1"/>
  <c r="AH3148" i="1"/>
  <c r="AG3148" i="1"/>
  <c r="AF3148" i="1"/>
  <c r="AE3148" i="1"/>
  <c r="AD3148" i="1"/>
  <c r="AC3148" i="1"/>
  <c r="AL3147" i="1"/>
  <c r="AJ3147" i="1"/>
  <c r="AI3147" i="1"/>
  <c r="AH3147" i="1"/>
  <c r="AG3147" i="1"/>
  <c r="AF3147" i="1"/>
  <c r="AE3147" i="1"/>
  <c r="AD3147" i="1"/>
  <c r="AC3147" i="1"/>
  <c r="AL3146" i="1"/>
  <c r="AJ3146" i="1"/>
  <c r="AI3146" i="1"/>
  <c r="AH3146" i="1"/>
  <c r="AG3146" i="1"/>
  <c r="AF3146" i="1"/>
  <c r="AE3146" i="1"/>
  <c r="AD3146" i="1"/>
  <c r="AC3146" i="1"/>
  <c r="AL3145" i="1"/>
  <c r="AJ3145" i="1"/>
  <c r="AI3145" i="1"/>
  <c r="AH3145" i="1"/>
  <c r="AG3145" i="1"/>
  <c r="AF3145" i="1"/>
  <c r="AE3145" i="1"/>
  <c r="AD3145" i="1"/>
  <c r="AC3145" i="1"/>
  <c r="AL3144" i="1"/>
  <c r="AJ3144" i="1"/>
  <c r="AI3144" i="1"/>
  <c r="AH3144" i="1"/>
  <c r="AG3144" i="1"/>
  <c r="AF3144" i="1"/>
  <c r="AE3144" i="1"/>
  <c r="AD3144" i="1"/>
  <c r="AC3144" i="1"/>
  <c r="AL3143" i="1"/>
  <c r="AJ3143" i="1"/>
  <c r="AI3143" i="1"/>
  <c r="AH3143" i="1"/>
  <c r="AG3143" i="1"/>
  <c r="AF3143" i="1"/>
  <c r="AE3143" i="1"/>
  <c r="AD3143" i="1"/>
  <c r="AC3143" i="1"/>
  <c r="AL3142" i="1"/>
  <c r="AJ3142" i="1"/>
  <c r="AI3142" i="1"/>
  <c r="AH3142" i="1"/>
  <c r="AG3142" i="1"/>
  <c r="AF3142" i="1"/>
  <c r="AE3142" i="1"/>
  <c r="AD3142" i="1"/>
  <c r="AC3142" i="1"/>
  <c r="AL3141" i="1"/>
  <c r="AJ3141" i="1"/>
  <c r="AI3141" i="1"/>
  <c r="AH3141" i="1"/>
  <c r="AG3141" i="1"/>
  <c r="AF3141" i="1"/>
  <c r="AE3141" i="1"/>
  <c r="AD3141" i="1"/>
  <c r="AC3141" i="1"/>
  <c r="AL3140" i="1"/>
  <c r="AJ3140" i="1"/>
  <c r="AI3140" i="1"/>
  <c r="AH3140" i="1"/>
  <c r="AG3140" i="1"/>
  <c r="AF3140" i="1"/>
  <c r="AE3140" i="1"/>
  <c r="AD3140" i="1"/>
  <c r="AC3140" i="1"/>
  <c r="AL3139" i="1"/>
  <c r="AJ3139" i="1"/>
  <c r="AI3139" i="1"/>
  <c r="AH3139" i="1"/>
  <c r="AG3139" i="1"/>
  <c r="AF3139" i="1"/>
  <c r="AE3139" i="1"/>
  <c r="AD3139" i="1"/>
  <c r="AC3139" i="1"/>
  <c r="AL3138" i="1"/>
  <c r="AJ3138" i="1"/>
  <c r="AI3138" i="1"/>
  <c r="AH3138" i="1"/>
  <c r="AG3138" i="1"/>
  <c r="AF3138" i="1"/>
  <c r="AE3138" i="1"/>
  <c r="AD3138" i="1"/>
  <c r="AC3138" i="1"/>
  <c r="AL3137" i="1"/>
  <c r="AJ3137" i="1"/>
  <c r="AI3137" i="1"/>
  <c r="AH3137" i="1"/>
  <c r="AG3137" i="1"/>
  <c r="AF3137" i="1"/>
  <c r="AE3137" i="1"/>
  <c r="AD3137" i="1"/>
  <c r="AC3137" i="1"/>
  <c r="AL3136" i="1"/>
  <c r="AJ3136" i="1"/>
  <c r="AI3136" i="1"/>
  <c r="AH3136" i="1"/>
  <c r="AG3136" i="1"/>
  <c r="AF3136" i="1"/>
  <c r="AE3136" i="1"/>
  <c r="AD3136" i="1"/>
  <c r="AC3136" i="1"/>
  <c r="AL3135" i="1"/>
  <c r="AJ3135" i="1"/>
  <c r="AI3135" i="1"/>
  <c r="AH3135" i="1"/>
  <c r="AG3135" i="1"/>
  <c r="AF3135" i="1"/>
  <c r="AE3135" i="1"/>
  <c r="AD3135" i="1"/>
  <c r="AC3135" i="1"/>
  <c r="AL3134" i="1"/>
  <c r="AJ3134" i="1"/>
  <c r="AI3134" i="1"/>
  <c r="AH3134" i="1"/>
  <c r="AG3134" i="1"/>
  <c r="AF3134" i="1"/>
  <c r="AE3134" i="1"/>
  <c r="AD3134" i="1"/>
  <c r="AC3134" i="1"/>
  <c r="AL3133" i="1"/>
  <c r="AJ3133" i="1"/>
  <c r="AI3133" i="1"/>
  <c r="AH3133" i="1"/>
  <c r="AG3133" i="1"/>
  <c r="AF3133" i="1"/>
  <c r="AE3133" i="1"/>
  <c r="AD3133" i="1"/>
  <c r="AC3133" i="1"/>
  <c r="AL3132" i="1"/>
  <c r="AJ3132" i="1"/>
  <c r="AI3132" i="1"/>
  <c r="AH3132" i="1"/>
  <c r="AG3132" i="1"/>
  <c r="AF3132" i="1"/>
  <c r="AE3132" i="1"/>
  <c r="AD3132" i="1"/>
  <c r="AC3132" i="1"/>
  <c r="AL3131" i="1"/>
  <c r="AJ3131" i="1"/>
  <c r="AI3131" i="1"/>
  <c r="AH3131" i="1"/>
  <c r="AG3131" i="1"/>
  <c r="AF3131" i="1"/>
  <c r="AE3131" i="1"/>
  <c r="AD3131" i="1"/>
  <c r="AC3131" i="1"/>
  <c r="AL3130" i="1"/>
  <c r="AJ3130" i="1"/>
  <c r="AI3130" i="1"/>
  <c r="AH3130" i="1"/>
  <c r="AG3130" i="1"/>
  <c r="AF3130" i="1"/>
  <c r="AE3130" i="1"/>
  <c r="AD3130" i="1"/>
  <c r="AC3130" i="1"/>
  <c r="AL3129" i="1"/>
  <c r="AJ3129" i="1"/>
  <c r="AI3129" i="1"/>
  <c r="AH3129" i="1"/>
  <c r="AG3129" i="1"/>
  <c r="AF3129" i="1"/>
  <c r="AE3129" i="1"/>
  <c r="AD3129" i="1"/>
  <c r="AC3129" i="1"/>
  <c r="AL3128" i="1"/>
  <c r="AJ3128" i="1"/>
  <c r="AI3128" i="1"/>
  <c r="AH3128" i="1"/>
  <c r="AG3128" i="1"/>
  <c r="AF3128" i="1"/>
  <c r="AE3128" i="1"/>
  <c r="AD3128" i="1"/>
  <c r="AC3128" i="1"/>
  <c r="AL3127" i="1"/>
  <c r="AJ3127" i="1"/>
  <c r="AI3127" i="1"/>
  <c r="AH3127" i="1"/>
  <c r="AG3127" i="1"/>
  <c r="AF3127" i="1"/>
  <c r="AE3127" i="1"/>
  <c r="AD3127" i="1"/>
  <c r="AC3127" i="1"/>
  <c r="AL3126" i="1"/>
  <c r="AJ3126" i="1"/>
  <c r="AI3126" i="1"/>
  <c r="AH3126" i="1"/>
  <c r="AG3126" i="1"/>
  <c r="AF3126" i="1"/>
  <c r="AE3126" i="1"/>
  <c r="AD3126" i="1"/>
  <c r="AC3126" i="1"/>
  <c r="AL3125" i="1"/>
  <c r="AJ3125" i="1"/>
  <c r="AI3125" i="1"/>
  <c r="AH3125" i="1"/>
  <c r="AG3125" i="1"/>
  <c r="AF3125" i="1"/>
  <c r="AE3125" i="1"/>
  <c r="AD3125" i="1"/>
  <c r="AC3125" i="1"/>
  <c r="AL3124" i="1"/>
  <c r="AJ3124" i="1"/>
  <c r="AI3124" i="1"/>
  <c r="AH3124" i="1"/>
  <c r="AG3124" i="1"/>
  <c r="AF3124" i="1"/>
  <c r="AE3124" i="1"/>
  <c r="AD3124" i="1"/>
  <c r="AC3124" i="1"/>
  <c r="AL3123" i="1"/>
  <c r="AJ3123" i="1"/>
  <c r="AI3123" i="1"/>
  <c r="AH3123" i="1"/>
  <c r="AG3123" i="1"/>
  <c r="AF3123" i="1"/>
  <c r="AE3123" i="1"/>
  <c r="AD3123" i="1"/>
  <c r="AC3123" i="1"/>
  <c r="AL3122" i="1"/>
  <c r="AJ3122" i="1"/>
  <c r="AI3122" i="1"/>
  <c r="AH3122" i="1"/>
  <c r="AG3122" i="1"/>
  <c r="AF3122" i="1"/>
  <c r="AE3122" i="1"/>
  <c r="AD3122" i="1"/>
  <c r="AC3122" i="1"/>
  <c r="AL3121" i="1"/>
  <c r="AJ3121" i="1"/>
  <c r="AI3121" i="1"/>
  <c r="AH3121" i="1"/>
  <c r="AG3121" i="1"/>
  <c r="AF3121" i="1"/>
  <c r="AE3121" i="1"/>
  <c r="AD3121" i="1"/>
  <c r="AC3121" i="1"/>
  <c r="AL3120" i="1"/>
  <c r="AJ3120" i="1"/>
  <c r="AI3120" i="1"/>
  <c r="AH3120" i="1"/>
  <c r="AG3120" i="1"/>
  <c r="AF3120" i="1"/>
  <c r="AE3120" i="1"/>
  <c r="AD3120" i="1"/>
  <c r="AC3120" i="1"/>
  <c r="AL3119" i="1"/>
  <c r="AJ3119" i="1"/>
  <c r="AI3119" i="1"/>
  <c r="AH3119" i="1"/>
  <c r="AG3119" i="1"/>
  <c r="AF3119" i="1"/>
  <c r="AE3119" i="1"/>
  <c r="AD3119" i="1"/>
  <c r="AC3119" i="1"/>
  <c r="AL3118" i="1"/>
  <c r="AJ3118" i="1"/>
  <c r="AI3118" i="1"/>
  <c r="AH3118" i="1"/>
  <c r="AG3118" i="1"/>
  <c r="AF3118" i="1"/>
  <c r="AE3118" i="1"/>
  <c r="AD3118" i="1"/>
  <c r="AC3118" i="1"/>
  <c r="AL3117" i="1"/>
  <c r="AJ3117" i="1"/>
  <c r="AI3117" i="1"/>
  <c r="AH3117" i="1"/>
  <c r="AG3117" i="1"/>
  <c r="AF3117" i="1"/>
  <c r="AE3117" i="1"/>
  <c r="AD3117" i="1"/>
  <c r="AC3117" i="1"/>
  <c r="AL3116" i="1"/>
  <c r="AJ3116" i="1"/>
  <c r="AI3116" i="1"/>
  <c r="AH3116" i="1"/>
  <c r="AG3116" i="1"/>
  <c r="AF3116" i="1"/>
  <c r="AE3116" i="1"/>
  <c r="AD3116" i="1"/>
  <c r="AC3116" i="1"/>
  <c r="AL3115" i="1"/>
  <c r="AJ3115" i="1"/>
  <c r="AI3115" i="1"/>
  <c r="AH3115" i="1"/>
  <c r="AG3115" i="1"/>
  <c r="AF3115" i="1"/>
  <c r="AE3115" i="1"/>
  <c r="AD3115" i="1"/>
  <c r="AC3115" i="1"/>
  <c r="AL3114" i="1"/>
  <c r="AJ3114" i="1"/>
  <c r="AI3114" i="1"/>
  <c r="AH3114" i="1"/>
  <c r="AG3114" i="1"/>
  <c r="AF3114" i="1"/>
  <c r="AE3114" i="1"/>
  <c r="AD3114" i="1"/>
  <c r="AC3114" i="1"/>
  <c r="AL3113" i="1"/>
  <c r="AJ3113" i="1"/>
  <c r="AI3113" i="1"/>
  <c r="AH3113" i="1"/>
  <c r="AG3113" i="1"/>
  <c r="AF3113" i="1"/>
  <c r="AE3113" i="1"/>
  <c r="AD3113" i="1"/>
  <c r="AC3113" i="1"/>
  <c r="AL3112" i="1"/>
  <c r="AJ3112" i="1"/>
  <c r="AI3112" i="1"/>
  <c r="AH3112" i="1"/>
  <c r="AG3112" i="1"/>
  <c r="AF3112" i="1"/>
  <c r="AE3112" i="1"/>
  <c r="AD3112" i="1"/>
  <c r="AC3112" i="1"/>
  <c r="AL3111" i="1"/>
  <c r="AJ3111" i="1"/>
  <c r="AI3111" i="1"/>
  <c r="AH3111" i="1"/>
  <c r="AG3111" i="1"/>
  <c r="AF3111" i="1"/>
  <c r="AE3111" i="1"/>
  <c r="AD3111" i="1"/>
  <c r="AC3111" i="1"/>
  <c r="AL3110" i="1"/>
  <c r="AJ3110" i="1"/>
  <c r="AI3110" i="1"/>
  <c r="AH3110" i="1"/>
  <c r="AG3110" i="1"/>
  <c r="AF3110" i="1"/>
  <c r="AE3110" i="1"/>
  <c r="AD3110" i="1"/>
  <c r="AC3110" i="1"/>
  <c r="AL3109" i="1"/>
  <c r="AJ3109" i="1"/>
  <c r="AI3109" i="1"/>
  <c r="AH3109" i="1"/>
  <c r="AG3109" i="1"/>
  <c r="AF3109" i="1"/>
  <c r="AE3109" i="1"/>
  <c r="AD3109" i="1"/>
  <c r="AC3109" i="1"/>
  <c r="AL3108" i="1"/>
  <c r="AJ3108" i="1"/>
  <c r="AI3108" i="1"/>
  <c r="AH3108" i="1"/>
  <c r="AG3108" i="1"/>
  <c r="AF3108" i="1"/>
  <c r="AE3108" i="1"/>
  <c r="AD3108" i="1"/>
  <c r="AC3108" i="1"/>
  <c r="AL3107" i="1"/>
  <c r="AJ3107" i="1"/>
  <c r="AI3107" i="1"/>
  <c r="AH3107" i="1"/>
  <c r="AG3107" i="1"/>
  <c r="AF3107" i="1"/>
  <c r="AE3107" i="1"/>
  <c r="AD3107" i="1"/>
  <c r="AC3107" i="1"/>
  <c r="AL3106" i="1"/>
  <c r="AJ3106" i="1"/>
  <c r="AI3106" i="1"/>
  <c r="AH3106" i="1"/>
  <c r="AG3106" i="1"/>
  <c r="AF3106" i="1"/>
  <c r="AE3106" i="1"/>
  <c r="AD3106" i="1"/>
  <c r="AC3106" i="1"/>
  <c r="AL3105" i="1"/>
  <c r="AJ3105" i="1"/>
  <c r="AI3105" i="1"/>
  <c r="AH3105" i="1"/>
  <c r="AG3105" i="1"/>
  <c r="AF3105" i="1"/>
  <c r="AE3105" i="1"/>
  <c r="AD3105" i="1"/>
  <c r="AC3105" i="1"/>
  <c r="AL3104" i="1"/>
  <c r="AJ3104" i="1"/>
  <c r="AI3104" i="1"/>
  <c r="AH3104" i="1"/>
  <c r="AG3104" i="1"/>
  <c r="AF3104" i="1"/>
  <c r="AE3104" i="1"/>
  <c r="AD3104" i="1"/>
  <c r="AC3104" i="1"/>
  <c r="AL3103" i="1"/>
  <c r="AJ3103" i="1"/>
  <c r="AI3103" i="1"/>
  <c r="AH3103" i="1"/>
  <c r="AG3103" i="1"/>
  <c r="AF3103" i="1"/>
  <c r="AE3103" i="1"/>
  <c r="AD3103" i="1"/>
  <c r="AC3103" i="1"/>
  <c r="AL3102" i="1"/>
  <c r="AJ3102" i="1"/>
  <c r="AI3102" i="1"/>
  <c r="AH3102" i="1"/>
  <c r="AG3102" i="1"/>
  <c r="AF3102" i="1"/>
  <c r="AE3102" i="1"/>
  <c r="AD3102" i="1"/>
  <c r="AC3102" i="1"/>
  <c r="AL3101" i="1"/>
  <c r="AJ3101" i="1"/>
  <c r="AI3101" i="1"/>
  <c r="AH3101" i="1"/>
  <c r="AG3101" i="1"/>
  <c r="AF3101" i="1"/>
  <c r="AE3101" i="1"/>
  <c r="AD3101" i="1"/>
  <c r="AC3101" i="1"/>
  <c r="AL3100" i="1"/>
  <c r="AJ3100" i="1"/>
  <c r="AI3100" i="1"/>
  <c r="AH3100" i="1"/>
  <c r="AG3100" i="1"/>
  <c r="AF3100" i="1"/>
  <c r="AE3100" i="1"/>
  <c r="AD3100" i="1"/>
  <c r="AC3100" i="1"/>
  <c r="AL3099" i="1"/>
  <c r="AJ3099" i="1"/>
  <c r="AI3099" i="1"/>
  <c r="AH3099" i="1"/>
  <c r="AG3099" i="1"/>
  <c r="AF3099" i="1"/>
  <c r="AE3099" i="1"/>
  <c r="AD3099" i="1"/>
  <c r="AC3099" i="1"/>
  <c r="AL3098" i="1"/>
  <c r="AJ3098" i="1"/>
  <c r="AI3098" i="1"/>
  <c r="AH3098" i="1"/>
  <c r="AG3098" i="1"/>
  <c r="AF3098" i="1"/>
  <c r="AE3098" i="1"/>
  <c r="AD3098" i="1"/>
  <c r="AC3098" i="1"/>
  <c r="AL3097" i="1"/>
  <c r="AJ3097" i="1"/>
  <c r="AI3097" i="1"/>
  <c r="AH3097" i="1"/>
  <c r="AG3097" i="1"/>
  <c r="AF3097" i="1"/>
  <c r="AE3097" i="1"/>
  <c r="AD3097" i="1"/>
  <c r="AC3097" i="1"/>
  <c r="AL3096" i="1"/>
  <c r="AJ3096" i="1"/>
  <c r="AI3096" i="1"/>
  <c r="AH3096" i="1"/>
  <c r="AG3096" i="1"/>
  <c r="AF3096" i="1"/>
  <c r="AE3096" i="1"/>
  <c r="AD3096" i="1"/>
  <c r="AC3096" i="1"/>
  <c r="AL3095" i="1"/>
  <c r="AJ3095" i="1"/>
  <c r="AI3095" i="1"/>
  <c r="AH3095" i="1"/>
  <c r="AG3095" i="1"/>
  <c r="AF3095" i="1"/>
  <c r="AE3095" i="1"/>
  <c r="AD3095" i="1"/>
  <c r="AC3095" i="1"/>
  <c r="AL3094" i="1"/>
  <c r="AJ3094" i="1"/>
  <c r="AI3094" i="1"/>
  <c r="AH3094" i="1"/>
  <c r="AG3094" i="1"/>
  <c r="AF3094" i="1"/>
  <c r="AE3094" i="1"/>
  <c r="AD3094" i="1"/>
  <c r="AC3094" i="1"/>
  <c r="AL3093" i="1"/>
  <c r="AJ3093" i="1"/>
  <c r="AI3093" i="1"/>
  <c r="AH3093" i="1"/>
  <c r="AG3093" i="1"/>
  <c r="AF3093" i="1"/>
  <c r="AE3093" i="1"/>
  <c r="AD3093" i="1"/>
  <c r="AC3093" i="1"/>
  <c r="AL3092" i="1"/>
  <c r="AJ3092" i="1"/>
  <c r="AI3092" i="1"/>
  <c r="AH3092" i="1"/>
  <c r="AG3092" i="1"/>
  <c r="AF3092" i="1"/>
  <c r="AE3092" i="1"/>
  <c r="AD3092" i="1"/>
  <c r="AC3092" i="1"/>
  <c r="AL3091" i="1"/>
  <c r="AJ3091" i="1"/>
  <c r="AI3091" i="1"/>
  <c r="AH3091" i="1"/>
  <c r="AG3091" i="1"/>
  <c r="AF3091" i="1"/>
  <c r="AE3091" i="1"/>
  <c r="AD3091" i="1"/>
  <c r="AC3091" i="1"/>
  <c r="AL3090" i="1"/>
  <c r="AJ3090" i="1"/>
  <c r="AI3090" i="1"/>
  <c r="AH3090" i="1"/>
  <c r="AG3090" i="1"/>
  <c r="AF3090" i="1"/>
  <c r="AE3090" i="1"/>
  <c r="AD3090" i="1"/>
  <c r="AC3090" i="1"/>
  <c r="AL3089" i="1"/>
  <c r="AJ3089" i="1"/>
  <c r="AI3089" i="1"/>
  <c r="AH3089" i="1"/>
  <c r="AG3089" i="1"/>
  <c r="AF3089" i="1"/>
  <c r="AE3089" i="1"/>
  <c r="AD3089" i="1"/>
  <c r="AC3089" i="1"/>
  <c r="AL3088" i="1"/>
  <c r="AJ3088" i="1"/>
  <c r="AI3088" i="1"/>
  <c r="AH3088" i="1"/>
  <c r="AG3088" i="1"/>
  <c r="AF3088" i="1"/>
  <c r="AE3088" i="1"/>
  <c r="AD3088" i="1"/>
  <c r="AC3088" i="1"/>
  <c r="AL3087" i="1"/>
  <c r="AJ3087" i="1"/>
  <c r="AI3087" i="1"/>
  <c r="AH3087" i="1"/>
  <c r="AG3087" i="1"/>
  <c r="AF3087" i="1"/>
  <c r="AE3087" i="1"/>
  <c r="AD3087" i="1"/>
  <c r="AC3087" i="1"/>
  <c r="AL3086" i="1"/>
  <c r="AJ3086" i="1"/>
  <c r="AI3086" i="1"/>
  <c r="AH3086" i="1"/>
  <c r="AG3086" i="1"/>
  <c r="AF3086" i="1"/>
  <c r="AE3086" i="1"/>
  <c r="AD3086" i="1"/>
  <c r="AC3086" i="1"/>
  <c r="AL3085" i="1"/>
  <c r="AJ3085" i="1"/>
  <c r="AI3085" i="1"/>
  <c r="AH3085" i="1"/>
  <c r="AG3085" i="1"/>
  <c r="AF3085" i="1"/>
  <c r="AE3085" i="1"/>
  <c r="AD3085" i="1"/>
  <c r="AC3085" i="1"/>
  <c r="AL3084" i="1"/>
  <c r="AJ3084" i="1"/>
  <c r="AI3084" i="1"/>
  <c r="AH3084" i="1"/>
  <c r="AG3084" i="1"/>
  <c r="AF3084" i="1"/>
  <c r="AE3084" i="1"/>
  <c r="AD3084" i="1"/>
  <c r="AC3084" i="1"/>
  <c r="AL3083" i="1"/>
  <c r="AJ3083" i="1"/>
  <c r="AI3083" i="1"/>
  <c r="AH3083" i="1"/>
  <c r="AG3083" i="1"/>
  <c r="AF3083" i="1"/>
  <c r="AE3083" i="1"/>
  <c r="AD3083" i="1"/>
  <c r="AC3083" i="1"/>
  <c r="AL3082" i="1"/>
  <c r="AJ3082" i="1"/>
  <c r="AI3082" i="1"/>
  <c r="AH3082" i="1"/>
  <c r="AG3082" i="1"/>
  <c r="AF3082" i="1"/>
  <c r="AE3082" i="1"/>
  <c r="AD3082" i="1"/>
  <c r="AC3082" i="1"/>
  <c r="AL3081" i="1"/>
  <c r="AJ3081" i="1"/>
  <c r="AI3081" i="1"/>
  <c r="AH3081" i="1"/>
  <c r="AG3081" i="1"/>
  <c r="AF3081" i="1"/>
  <c r="AE3081" i="1"/>
  <c r="AD3081" i="1"/>
  <c r="AC3081" i="1"/>
  <c r="AL3080" i="1"/>
  <c r="AJ3080" i="1"/>
  <c r="AI3080" i="1"/>
  <c r="AH3080" i="1"/>
  <c r="AG3080" i="1"/>
  <c r="AF3080" i="1"/>
  <c r="AE3080" i="1"/>
  <c r="AD3080" i="1"/>
  <c r="AC3080" i="1"/>
  <c r="AL3079" i="1"/>
  <c r="AJ3079" i="1"/>
  <c r="AI3079" i="1"/>
  <c r="AH3079" i="1"/>
  <c r="AG3079" i="1"/>
  <c r="AF3079" i="1"/>
  <c r="AE3079" i="1"/>
  <c r="AD3079" i="1"/>
  <c r="AC3079" i="1"/>
  <c r="AL3078" i="1"/>
  <c r="AJ3078" i="1"/>
  <c r="AI3078" i="1"/>
  <c r="AH3078" i="1"/>
  <c r="AG3078" i="1"/>
  <c r="AF3078" i="1"/>
  <c r="AE3078" i="1"/>
  <c r="AD3078" i="1"/>
  <c r="AC3078" i="1"/>
  <c r="AL3077" i="1"/>
  <c r="AJ3077" i="1"/>
  <c r="AI3077" i="1"/>
  <c r="AH3077" i="1"/>
  <c r="AG3077" i="1"/>
  <c r="AF3077" i="1"/>
  <c r="AE3077" i="1"/>
  <c r="AD3077" i="1"/>
  <c r="AC3077" i="1"/>
  <c r="AL3076" i="1"/>
  <c r="AJ3076" i="1"/>
  <c r="AI3076" i="1"/>
  <c r="AH3076" i="1"/>
  <c r="AG3076" i="1"/>
  <c r="AF3076" i="1"/>
  <c r="AE3076" i="1"/>
  <c r="AD3076" i="1"/>
  <c r="AC3076" i="1"/>
  <c r="AL3075" i="1"/>
  <c r="AJ3075" i="1"/>
  <c r="AI3075" i="1"/>
  <c r="AH3075" i="1"/>
  <c r="AG3075" i="1"/>
  <c r="AF3075" i="1"/>
  <c r="AE3075" i="1"/>
  <c r="AD3075" i="1"/>
  <c r="AC3075" i="1"/>
  <c r="AL3074" i="1"/>
  <c r="AJ3074" i="1"/>
  <c r="AI3074" i="1"/>
  <c r="AH3074" i="1"/>
  <c r="AG3074" i="1"/>
  <c r="AF3074" i="1"/>
  <c r="AE3074" i="1"/>
  <c r="AD3074" i="1"/>
  <c r="AC3074" i="1"/>
  <c r="AL3073" i="1"/>
  <c r="AJ3073" i="1"/>
  <c r="AI3073" i="1"/>
  <c r="AH3073" i="1"/>
  <c r="AG3073" i="1"/>
  <c r="AF3073" i="1"/>
  <c r="AE3073" i="1"/>
  <c r="AD3073" i="1"/>
  <c r="AC3073" i="1"/>
  <c r="AL3072" i="1"/>
  <c r="AJ3072" i="1"/>
  <c r="AI3072" i="1"/>
  <c r="AH3072" i="1"/>
  <c r="AG3072" i="1"/>
  <c r="AF3072" i="1"/>
  <c r="AE3072" i="1"/>
  <c r="AD3072" i="1"/>
  <c r="AC3072" i="1"/>
  <c r="AL3071" i="1"/>
  <c r="AJ3071" i="1"/>
  <c r="AI3071" i="1"/>
  <c r="AH3071" i="1"/>
  <c r="AG3071" i="1"/>
  <c r="AF3071" i="1"/>
  <c r="AE3071" i="1"/>
  <c r="AD3071" i="1"/>
  <c r="AC3071" i="1"/>
  <c r="AL3070" i="1"/>
  <c r="AJ3070" i="1"/>
  <c r="AI3070" i="1"/>
  <c r="AH3070" i="1"/>
  <c r="AG3070" i="1"/>
  <c r="AF3070" i="1"/>
  <c r="AE3070" i="1"/>
  <c r="AD3070" i="1"/>
  <c r="AC3070" i="1"/>
  <c r="AL3069" i="1"/>
  <c r="AJ3069" i="1"/>
  <c r="AI3069" i="1"/>
  <c r="AH3069" i="1"/>
  <c r="AG3069" i="1"/>
  <c r="AF3069" i="1"/>
  <c r="AE3069" i="1"/>
  <c r="AD3069" i="1"/>
  <c r="AC3069" i="1"/>
  <c r="AL3068" i="1"/>
  <c r="AJ3068" i="1"/>
  <c r="AI3068" i="1"/>
  <c r="AH3068" i="1"/>
  <c r="AG3068" i="1"/>
  <c r="AF3068" i="1"/>
  <c r="AE3068" i="1"/>
  <c r="AD3068" i="1"/>
  <c r="AC3068" i="1"/>
  <c r="AL3067" i="1"/>
  <c r="AJ3067" i="1"/>
  <c r="AI3067" i="1"/>
  <c r="AH3067" i="1"/>
  <c r="AG3067" i="1"/>
  <c r="AF3067" i="1"/>
  <c r="AE3067" i="1"/>
  <c r="AD3067" i="1"/>
  <c r="AC3067" i="1"/>
  <c r="AL3066" i="1"/>
  <c r="AJ3066" i="1"/>
  <c r="AI3066" i="1"/>
  <c r="AH3066" i="1"/>
  <c r="AG3066" i="1"/>
  <c r="AF3066" i="1"/>
  <c r="AE3066" i="1"/>
  <c r="AD3066" i="1"/>
  <c r="AC3066" i="1"/>
  <c r="AL3065" i="1"/>
  <c r="AJ3065" i="1"/>
  <c r="AI3065" i="1"/>
  <c r="AH3065" i="1"/>
  <c r="AG3065" i="1"/>
  <c r="AF3065" i="1"/>
  <c r="AE3065" i="1"/>
  <c r="AD3065" i="1"/>
  <c r="AC3065" i="1"/>
  <c r="AL3064" i="1"/>
  <c r="AJ3064" i="1"/>
  <c r="AI3064" i="1"/>
  <c r="AH3064" i="1"/>
  <c r="AG3064" i="1"/>
  <c r="AF3064" i="1"/>
  <c r="AE3064" i="1"/>
  <c r="AD3064" i="1"/>
  <c r="AC3064" i="1"/>
  <c r="AL3063" i="1"/>
  <c r="AJ3063" i="1"/>
  <c r="AI3063" i="1"/>
  <c r="AH3063" i="1"/>
  <c r="AG3063" i="1"/>
  <c r="AF3063" i="1"/>
  <c r="AE3063" i="1"/>
  <c r="AD3063" i="1"/>
  <c r="AC3063" i="1"/>
  <c r="AL2628" i="1"/>
  <c r="AH2628" i="1"/>
  <c r="AF2628" i="1"/>
  <c r="AD2628" i="1"/>
  <c r="AL2627" i="1"/>
  <c r="AI2627" i="1"/>
  <c r="AG2627" i="1"/>
  <c r="AE2627" i="1"/>
  <c r="AC2627" i="1"/>
  <c r="AH2626" i="1"/>
  <c r="AF2626" i="1"/>
  <c r="AD2626" i="1"/>
  <c r="AJ2625" i="1"/>
  <c r="AH2625" i="1"/>
  <c r="AF2625" i="1"/>
  <c r="AD2625" i="1"/>
  <c r="AL2624" i="1"/>
  <c r="AI2624" i="1"/>
  <c r="AH2624" i="1"/>
  <c r="AF2624" i="1"/>
  <c r="AD2624" i="1"/>
  <c r="AL2623" i="1"/>
  <c r="AJ2623" i="1"/>
  <c r="AI2623" i="1"/>
  <c r="AG2623" i="1"/>
  <c r="AD2623" i="1"/>
  <c r="AL2622" i="1"/>
  <c r="AL2621" i="1"/>
  <c r="AI2621" i="1"/>
  <c r="AJ2620" i="1"/>
  <c r="AI2620" i="1"/>
  <c r="AG2620" i="1"/>
  <c r="AE2620" i="1"/>
  <c r="AC2620" i="1"/>
  <c r="AF2619" i="1"/>
  <c r="AD2619" i="1"/>
  <c r="AJ2618" i="1"/>
  <c r="AH2618" i="1"/>
  <c r="AF2618" i="1"/>
  <c r="AD2618" i="1"/>
  <c r="AL2617" i="1"/>
  <c r="AJ2617" i="1"/>
  <c r="AI2617" i="1"/>
  <c r="AH2617" i="1"/>
  <c r="AG2617" i="1"/>
  <c r="AF2617" i="1"/>
  <c r="AE2617" i="1"/>
  <c r="AD2617" i="1"/>
  <c r="AC2617" i="1"/>
  <c r="AJ2616" i="1"/>
  <c r="AH2616" i="1"/>
  <c r="AF2616" i="1"/>
  <c r="AD2616" i="1"/>
  <c r="AL2615" i="1"/>
  <c r="AJ2615" i="1"/>
  <c r="AI2615" i="1"/>
  <c r="AH2615" i="1"/>
  <c r="AF2615" i="1"/>
  <c r="AD2615" i="1"/>
  <c r="AL2614" i="1"/>
  <c r="AJ2614" i="1"/>
  <c r="AI2614" i="1"/>
  <c r="AG2614" i="1"/>
  <c r="AD2614" i="1"/>
  <c r="AL2613" i="1"/>
  <c r="AJ2613" i="1"/>
  <c r="AH2613" i="1"/>
  <c r="AF2613" i="1"/>
  <c r="AD2613" i="1"/>
  <c r="AL2612" i="1"/>
  <c r="AJ2612" i="1"/>
  <c r="AI2612" i="1"/>
  <c r="AG2612" i="1"/>
  <c r="AE2612" i="1"/>
  <c r="AC2612" i="1"/>
  <c r="AL2611" i="1"/>
  <c r="AJ2611" i="1"/>
  <c r="AH2611" i="1"/>
  <c r="AF2611" i="1"/>
  <c r="AD2611" i="1"/>
  <c r="AL2610" i="1"/>
  <c r="AJ2610" i="1"/>
  <c r="AH2610" i="1"/>
  <c r="AF2610" i="1"/>
  <c r="AD2610" i="1"/>
  <c r="AG2609" i="1"/>
  <c r="AE2609" i="1"/>
  <c r="AC2609" i="1"/>
  <c r="AL2608" i="1"/>
  <c r="AJ2608" i="1"/>
  <c r="AI2608" i="1"/>
  <c r="AH2608" i="1"/>
  <c r="AG2608" i="1"/>
  <c r="AF2608" i="1"/>
  <c r="AE2608" i="1"/>
  <c r="AD2608" i="1"/>
  <c r="AC2608" i="1"/>
  <c r="AL2607" i="1"/>
  <c r="AJ2607" i="1"/>
  <c r="AI2607" i="1"/>
  <c r="AH2607" i="1"/>
  <c r="AG2607" i="1"/>
  <c r="AF2607" i="1"/>
  <c r="AE2607" i="1"/>
  <c r="AC2607" i="1"/>
  <c r="AJ2606" i="1"/>
  <c r="AH2606" i="1"/>
  <c r="AF2606" i="1"/>
  <c r="AD2606" i="1"/>
  <c r="AL2605" i="1"/>
  <c r="AJ2605" i="1"/>
  <c r="AH2605" i="1"/>
  <c r="AF2605" i="1"/>
  <c r="AE2605" i="1"/>
  <c r="AC2605" i="1"/>
  <c r="AJ2604" i="1"/>
  <c r="AI2604" i="1"/>
  <c r="AG2604" i="1"/>
  <c r="AE2604" i="1"/>
  <c r="AD2604" i="1"/>
  <c r="AL2603" i="1"/>
  <c r="AI2603" i="1"/>
  <c r="AH2603" i="1"/>
  <c r="AF2603" i="1"/>
  <c r="AD2603" i="1"/>
  <c r="AL2602" i="1"/>
  <c r="AJ2602" i="1"/>
  <c r="AI2602" i="1"/>
  <c r="AH2602" i="1"/>
  <c r="AG2602" i="1"/>
  <c r="AE2602" i="1"/>
  <c r="AC2602" i="1"/>
  <c r="AH2601" i="1"/>
  <c r="AF2601" i="1"/>
  <c r="AE2601" i="1"/>
  <c r="AC2601" i="1"/>
  <c r="AJ2600" i="1"/>
  <c r="AG2600" i="1"/>
  <c r="AE2600" i="1"/>
  <c r="AC2600" i="1"/>
  <c r="AJ2599" i="1"/>
  <c r="AH2599" i="1"/>
  <c r="AF2599" i="1"/>
  <c r="AE2599" i="1"/>
  <c r="AC2599" i="1"/>
  <c r="AJ2598" i="1"/>
  <c r="AI2598" i="1"/>
  <c r="AG2598" i="1"/>
  <c r="AE2598" i="1"/>
  <c r="AC2598" i="1"/>
  <c r="AH2597" i="1"/>
  <c r="AF2597" i="1"/>
  <c r="AD2597" i="1"/>
  <c r="AC2597" i="1"/>
  <c r="AG2596" i="1"/>
  <c r="AE2596" i="1"/>
  <c r="AC2596" i="1"/>
  <c r="AL2595" i="1"/>
  <c r="AH2595" i="1"/>
  <c r="AF2595" i="1"/>
  <c r="AD2595" i="1"/>
  <c r="AL2594" i="1"/>
  <c r="AI2594" i="1"/>
  <c r="AG2594" i="1"/>
  <c r="AE2594" i="1"/>
  <c r="AC2594" i="1"/>
  <c r="AJ2593" i="1"/>
  <c r="AH2593" i="1"/>
  <c r="AF2593" i="1"/>
  <c r="AD2593" i="1"/>
  <c r="AL2592" i="1"/>
  <c r="AJ2592" i="1"/>
  <c r="AI2592" i="1"/>
  <c r="AG2592" i="1"/>
  <c r="AE2592" i="1"/>
  <c r="AC2592" i="1"/>
  <c r="AI2591" i="1"/>
  <c r="AG2591" i="1"/>
  <c r="AD2591" i="1"/>
  <c r="AL2590" i="1"/>
  <c r="AJ2590" i="1"/>
  <c r="AI2590" i="1"/>
  <c r="AH2590" i="1"/>
  <c r="AF2590" i="1"/>
  <c r="AE2590" i="1"/>
  <c r="AL2589" i="1"/>
  <c r="AI2589" i="1"/>
  <c r="AF2589" i="1"/>
  <c r="AE2589" i="1"/>
  <c r="AC2589" i="1"/>
  <c r="AJ2588" i="1"/>
  <c r="AI2588" i="1"/>
  <c r="AG2588" i="1"/>
  <c r="AE2588" i="1"/>
  <c r="AC2588" i="1"/>
  <c r="AJ2587" i="1"/>
  <c r="AH2587" i="1"/>
  <c r="AE2587" i="1"/>
  <c r="AC2587" i="1"/>
  <c r="AI2586" i="1"/>
  <c r="AH2586" i="1"/>
  <c r="AF2586" i="1"/>
  <c r="AE2586" i="1"/>
  <c r="AC2586" i="1"/>
  <c r="AH2585" i="1"/>
  <c r="AF2585" i="1"/>
  <c r="AD2585" i="1"/>
  <c r="AL2584" i="1"/>
  <c r="AJ2584" i="1"/>
  <c r="AI2584" i="1"/>
  <c r="AG2584" i="1"/>
  <c r="AE2584" i="1"/>
  <c r="AC2584" i="1"/>
  <c r="AH2583" i="1"/>
  <c r="AF2583" i="1"/>
  <c r="AD2583" i="1"/>
  <c r="AL2582" i="1"/>
  <c r="AJ2582" i="1"/>
  <c r="AH2582" i="1"/>
  <c r="AE2582" i="1"/>
  <c r="AC2582" i="1"/>
  <c r="AI2581" i="1"/>
  <c r="AG2581" i="1"/>
  <c r="AE2581" i="1"/>
  <c r="AC2581" i="1"/>
  <c r="AH2580" i="1"/>
  <c r="AG2580" i="1"/>
  <c r="AF2580" i="1"/>
  <c r="AD2580" i="1"/>
  <c r="AL2579" i="1"/>
  <c r="AJ2579" i="1"/>
  <c r="AI2579" i="1"/>
  <c r="AH2579" i="1"/>
  <c r="AG2579" i="1"/>
  <c r="AE2579" i="1"/>
  <c r="AC2579" i="1"/>
  <c r="AJ2578" i="1"/>
  <c r="AH2578" i="1"/>
  <c r="AE2578" i="1"/>
  <c r="AC2578" i="1"/>
  <c r="AJ2577" i="1"/>
  <c r="AH2577" i="1"/>
  <c r="AF2577" i="1"/>
  <c r="AD2577" i="1"/>
  <c r="AL2576" i="1"/>
  <c r="AI2576" i="1"/>
  <c r="AG2576" i="1"/>
  <c r="AE2576" i="1"/>
  <c r="AC2576" i="1"/>
  <c r="AL2575" i="1"/>
  <c r="AI2575" i="1"/>
  <c r="AH2575" i="1"/>
  <c r="AF2575" i="1"/>
  <c r="AD2575" i="1"/>
  <c r="AL2574" i="1"/>
  <c r="AJ2574" i="1"/>
  <c r="AI2574" i="1"/>
  <c r="AG2574" i="1"/>
  <c r="AE2574" i="1"/>
  <c r="AC2574" i="1"/>
  <c r="AJ2573" i="1"/>
  <c r="AH2573" i="1"/>
  <c r="AF2573" i="1"/>
  <c r="AE2573" i="1"/>
  <c r="AC2573" i="1"/>
  <c r="AI2572" i="1"/>
  <c r="AH2572" i="1"/>
  <c r="AG2572" i="1"/>
  <c r="AF2572" i="1"/>
  <c r="AE2572" i="1"/>
  <c r="AD2572" i="1"/>
  <c r="AC2572" i="1"/>
  <c r="AL2571" i="1"/>
  <c r="AJ2571" i="1"/>
  <c r="AI2571" i="1"/>
  <c r="AH2571" i="1"/>
  <c r="AG2571" i="1"/>
  <c r="AF2571" i="1"/>
  <c r="AD2571" i="1"/>
  <c r="AC2571" i="1"/>
  <c r="AJ2570" i="1"/>
  <c r="AG2570" i="1"/>
  <c r="AE2570" i="1"/>
  <c r="AC2570" i="1"/>
  <c r="AH2569" i="1"/>
  <c r="AF2569" i="1"/>
  <c r="AD2569" i="1"/>
  <c r="AL2568" i="1"/>
  <c r="AJ2568" i="1"/>
  <c r="AG2568" i="1"/>
  <c r="AE2568" i="1"/>
  <c r="AC2568" i="1"/>
  <c r="AH2567" i="1"/>
  <c r="AF2567" i="1"/>
  <c r="AD2567" i="1"/>
  <c r="AL2566" i="1"/>
  <c r="AJ2566" i="1"/>
  <c r="AI2566" i="1"/>
  <c r="AH2566" i="1"/>
  <c r="AG2566" i="1"/>
  <c r="AE2566" i="1"/>
  <c r="AC2566" i="1"/>
  <c r="AL2565" i="1"/>
  <c r="AJ2565" i="1"/>
  <c r="AI2565" i="1"/>
  <c r="AH2565" i="1"/>
  <c r="AF2565" i="1"/>
  <c r="AE2565" i="1"/>
  <c r="AC2565" i="1"/>
  <c r="AJ2564" i="1"/>
  <c r="AG2564" i="1"/>
  <c r="AE2564" i="1"/>
  <c r="AC2564" i="1"/>
  <c r="AH2563" i="1"/>
  <c r="AF2563" i="1"/>
  <c r="AD2563" i="1"/>
  <c r="AL2562" i="1"/>
  <c r="AJ2562" i="1"/>
  <c r="AI2562" i="1"/>
  <c r="AG2562" i="1"/>
  <c r="AE2562" i="1"/>
  <c r="AC2562" i="1"/>
  <c r="AH2561" i="1"/>
  <c r="AF2561" i="1"/>
  <c r="AD2561" i="1"/>
  <c r="AL2560" i="1"/>
  <c r="AI2560" i="1"/>
  <c r="AG2560" i="1"/>
  <c r="AF2560" i="1"/>
  <c r="AD2560" i="1"/>
  <c r="AL2559" i="1"/>
  <c r="AJ2559" i="1"/>
  <c r="AI2559" i="1"/>
  <c r="AH2559" i="1"/>
  <c r="AG2559" i="1"/>
  <c r="AF2559" i="1"/>
  <c r="AD2559" i="1"/>
  <c r="AL2558" i="1"/>
  <c r="AI2558" i="1"/>
  <c r="AG2558" i="1"/>
  <c r="AL2557" i="1"/>
  <c r="AJ2557" i="1"/>
  <c r="AH2557" i="1"/>
  <c r="AE2557" i="1"/>
  <c r="AL2556" i="1"/>
  <c r="AJ2556" i="1"/>
  <c r="AG2556" i="1"/>
  <c r="AE2556" i="1"/>
  <c r="AC2556" i="1"/>
  <c r="AI2555" i="1"/>
  <c r="AE2555" i="1"/>
  <c r="AC2555" i="1"/>
  <c r="AH2554" i="1"/>
  <c r="AF2554" i="1"/>
  <c r="AD2554" i="1"/>
  <c r="AL2553" i="1"/>
  <c r="AJ2553" i="1"/>
  <c r="AH2553" i="1"/>
  <c r="AG2553" i="1"/>
  <c r="AE2553" i="1"/>
  <c r="AC2553" i="1"/>
  <c r="AH2552" i="1"/>
  <c r="AF2552" i="1"/>
  <c r="AD2552" i="1"/>
  <c r="AL2551" i="1"/>
  <c r="AJ2551" i="1"/>
  <c r="AH2551" i="1"/>
  <c r="AF2551" i="1"/>
  <c r="AD2551" i="1"/>
  <c r="AL2550" i="1"/>
  <c r="AJ2550" i="1"/>
  <c r="AI2550" i="1"/>
  <c r="AG2550" i="1"/>
  <c r="AE2550" i="1"/>
  <c r="AC2550" i="1"/>
  <c r="AI2549" i="1"/>
  <c r="AH2549" i="1"/>
  <c r="AF2549" i="1"/>
  <c r="AD2549" i="1"/>
  <c r="AL2548" i="1"/>
  <c r="AI2548" i="1"/>
  <c r="AG2548" i="1"/>
  <c r="AE2548" i="1"/>
  <c r="AC2548" i="1"/>
  <c r="AH2547" i="1"/>
  <c r="AF2547" i="1"/>
  <c r="AD2547" i="1"/>
  <c r="AC2547" i="1"/>
  <c r="AG2546" i="1"/>
  <c r="AE2546" i="1"/>
  <c r="AC2546" i="1"/>
  <c r="AH2545" i="1"/>
  <c r="AF2545" i="1"/>
  <c r="AD2545" i="1"/>
  <c r="AL2544" i="1"/>
  <c r="AI2544" i="1"/>
  <c r="AH2544" i="1"/>
  <c r="AF2544" i="1"/>
  <c r="AD2544" i="1"/>
  <c r="AL2543" i="1"/>
  <c r="AJ2543" i="1"/>
  <c r="AH2543" i="1"/>
  <c r="AF2543" i="1"/>
  <c r="AD2543" i="1"/>
  <c r="AJ2542" i="1"/>
  <c r="AI2542" i="1"/>
  <c r="AG2542" i="1"/>
  <c r="AE2542" i="1"/>
  <c r="AC2542" i="1"/>
  <c r="AL2540" i="1"/>
  <c r="AH2540" i="1"/>
  <c r="AF2540" i="1"/>
  <c r="AD2540" i="1"/>
  <c r="AL2539" i="1"/>
  <c r="AJ2539" i="1"/>
  <c r="AH2539" i="1"/>
  <c r="AF2539" i="1"/>
  <c r="AD2539" i="1"/>
  <c r="AG2538" i="1"/>
  <c r="AF2538" i="1"/>
  <c r="AE2538" i="1"/>
  <c r="AD2538" i="1"/>
  <c r="AC2538" i="1"/>
  <c r="AL2537" i="1"/>
  <c r="AJ2537" i="1"/>
  <c r="AI2537" i="1"/>
  <c r="AH2537" i="1"/>
  <c r="AG2537" i="1"/>
  <c r="AF2537" i="1"/>
  <c r="AE2537" i="1"/>
  <c r="AD2537" i="1"/>
  <c r="AC2537" i="1"/>
  <c r="AL2536" i="1"/>
  <c r="AJ2536" i="1"/>
  <c r="AI2536" i="1"/>
  <c r="AH2536" i="1"/>
  <c r="AG2536" i="1"/>
  <c r="AF2536" i="1"/>
  <c r="AE2536" i="1"/>
  <c r="AD2536" i="1"/>
  <c r="AC2536" i="1"/>
  <c r="AL2535" i="1"/>
  <c r="AJ2535" i="1"/>
  <c r="AI2535" i="1"/>
  <c r="AH2535" i="1"/>
  <c r="AG2535" i="1"/>
  <c r="AF2535" i="1"/>
  <c r="AE2535" i="1"/>
  <c r="AD2535" i="1"/>
  <c r="AC2535" i="1"/>
  <c r="AL2534" i="1"/>
  <c r="AJ2534" i="1"/>
  <c r="AI2534" i="1"/>
  <c r="AH2534" i="1"/>
  <c r="AG2534" i="1"/>
  <c r="AF2534" i="1"/>
  <c r="AE2534" i="1"/>
  <c r="AD2534" i="1"/>
  <c r="AC2534" i="1"/>
  <c r="AL2533" i="1"/>
  <c r="AJ2533" i="1"/>
  <c r="AI2533" i="1"/>
  <c r="AH2533" i="1"/>
  <c r="AG2533" i="1"/>
  <c r="AF2533" i="1"/>
  <c r="AE2533" i="1"/>
  <c r="AD2533" i="1"/>
  <c r="AC2533" i="1"/>
  <c r="AL2532" i="1"/>
  <c r="AJ2532" i="1"/>
  <c r="AI2532" i="1"/>
  <c r="AH2532" i="1"/>
  <c r="AG2532" i="1"/>
  <c r="AF2532" i="1"/>
  <c r="AE2532" i="1"/>
  <c r="AD2532" i="1"/>
  <c r="AC2532" i="1"/>
  <c r="AL2531" i="1"/>
  <c r="AJ2531" i="1"/>
  <c r="AI2531" i="1"/>
  <c r="AH2531" i="1"/>
  <c r="AG2531" i="1"/>
  <c r="AF2531" i="1"/>
  <c r="AE2531" i="1"/>
  <c r="AD2531" i="1"/>
  <c r="AC2531" i="1"/>
  <c r="AL2530" i="1"/>
  <c r="AJ2530" i="1"/>
  <c r="AI2530" i="1"/>
  <c r="AH2530" i="1"/>
  <c r="AG2530" i="1"/>
  <c r="AF2530" i="1"/>
  <c r="AE2530" i="1"/>
  <c r="AD2530" i="1"/>
  <c r="AC2530" i="1"/>
  <c r="AL2529" i="1"/>
  <c r="AJ2529" i="1"/>
  <c r="AI2529" i="1"/>
  <c r="AH2529" i="1"/>
  <c r="AG2529" i="1"/>
  <c r="AF2529" i="1"/>
  <c r="AE2529" i="1"/>
  <c r="AD2529" i="1"/>
  <c r="AC2529" i="1"/>
  <c r="AL2528" i="1"/>
  <c r="AJ2528" i="1"/>
  <c r="AI2528" i="1"/>
  <c r="AH2528" i="1"/>
  <c r="AG2528" i="1"/>
  <c r="AF2528" i="1"/>
  <c r="AE2528" i="1"/>
  <c r="AD2528" i="1"/>
  <c r="AC2528" i="1"/>
  <c r="AL2527" i="1"/>
  <c r="AJ2527" i="1"/>
  <c r="AI2527" i="1"/>
  <c r="AH2527" i="1"/>
  <c r="AG2527" i="1"/>
  <c r="AF2527" i="1"/>
  <c r="AE2527" i="1"/>
  <c r="AD2527" i="1"/>
  <c r="AC2527" i="1"/>
  <c r="AL2526" i="1"/>
  <c r="AJ2526" i="1"/>
  <c r="AI2526" i="1"/>
  <c r="AH2526" i="1"/>
  <c r="AG2526" i="1"/>
  <c r="AF2526" i="1"/>
  <c r="AE2526" i="1"/>
  <c r="AD2526" i="1"/>
  <c r="AC2526" i="1"/>
  <c r="AL2525" i="1"/>
  <c r="AJ2525" i="1"/>
  <c r="AI2525" i="1"/>
  <c r="AH2525" i="1"/>
  <c r="AG2525" i="1"/>
  <c r="AF2525" i="1"/>
  <c r="AE2525" i="1"/>
  <c r="AD2525" i="1"/>
  <c r="AC2525" i="1"/>
  <c r="AL2524" i="1"/>
  <c r="AJ2524" i="1"/>
  <c r="AI2524" i="1"/>
  <c r="AH2524" i="1"/>
  <c r="AG2524" i="1"/>
  <c r="AF2524" i="1"/>
  <c r="AE2524" i="1"/>
  <c r="AD2524" i="1"/>
  <c r="AC2524" i="1"/>
  <c r="AL2523" i="1"/>
  <c r="AJ2523" i="1"/>
  <c r="AI2523" i="1"/>
  <c r="AH2523" i="1"/>
  <c r="AG2523" i="1"/>
  <c r="AF2523" i="1"/>
  <c r="AE2523" i="1"/>
  <c r="AD2523" i="1"/>
  <c r="AC2523" i="1"/>
  <c r="AL2522" i="1"/>
  <c r="AJ2522" i="1"/>
  <c r="AI2522" i="1"/>
  <c r="AH2522" i="1"/>
  <c r="AG2522" i="1"/>
  <c r="AF2522" i="1"/>
  <c r="AE2522" i="1"/>
  <c r="AD2522" i="1"/>
  <c r="AC2522" i="1"/>
  <c r="AL2521" i="1"/>
  <c r="AJ2521" i="1"/>
  <c r="AI2521" i="1"/>
  <c r="AH2521" i="1"/>
  <c r="AG2521" i="1"/>
  <c r="AF2521" i="1"/>
  <c r="AE2521" i="1"/>
  <c r="AD2521" i="1"/>
  <c r="AC2521" i="1"/>
  <c r="AL2520" i="1"/>
  <c r="AJ2520" i="1"/>
  <c r="AI2520" i="1"/>
  <c r="AH2520" i="1"/>
  <c r="AG2520" i="1"/>
  <c r="AF2520" i="1"/>
  <c r="AE2520" i="1"/>
  <c r="AD2520" i="1"/>
  <c r="AC2520" i="1"/>
  <c r="AL2519" i="1"/>
  <c r="AJ2519" i="1"/>
  <c r="AI2519" i="1"/>
  <c r="AH2519" i="1"/>
  <c r="AG2519" i="1"/>
  <c r="AF2519" i="1"/>
  <c r="AE2519" i="1"/>
  <c r="AD2519" i="1"/>
  <c r="AC2519" i="1"/>
  <c r="AL2518" i="1"/>
  <c r="AJ2518" i="1"/>
  <c r="AI2518" i="1"/>
  <c r="AH2518" i="1"/>
  <c r="AG2518" i="1"/>
  <c r="AF2518" i="1"/>
  <c r="AE2518" i="1"/>
  <c r="AD2518" i="1"/>
  <c r="AC2518" i="1"/>
  <c r="AL2517" i="1"/>
  <c r="AJ2517" i="1"/>
  <c r="AI2517" i="1"/>
  <c r="AH2517" i="1"/>
  <c r="AG2517" i="1"/>
  <c r="AF2517" i="1"/>
  <c r="AE2517" i="1"/>
  <c r="AD2517" i="1"/>
  <c r="AC2517" i="1"/>
  <c r="AL2516" i="1"/>
  <c r="AJ2516" i="1"/>
  <c r="AI2516" i="1"/>
  <c r="AH2516" i="1"/>
  <c r="AG2516" i="1"/>
  <c r="AF2516" i="1"/>
  <c r="AE2516" i="1"/>
  <c r="AD2516" i="1"/>
  <c r="AC2516" i="1"/>
  <c r="AL2515" i="1"/>
  <c r="AI2515" i="1"/>
  <c r="AG2515" i="1"/>
  <c r="AF2515" i="1"/>
  <c r="AD2515" i="1"/>
  <c r="AC2515" i="1"/>
  <c r="AL2514" i="1"/>
  <c r="AJ2514" i="1"/>
  <c r="AI2514" i="1"/>
  <c r="AH2514" i="1"/>
  <c r="AG2514" i="1"/>
  <c r="AF2514" i="1"/>
  <c r="AE2514" i="1"/>
  <c r="AD2514" i="1"/>
  <c r="AC2514" i="1"/>
  <c r="AJ2513" i="1"/>
  <c r="AH2513" i="1"/>
  <c r="AF2513" i="1"/>
  <c r="AD2513" i="1"/>
  <c r="AL2512" i="1"/>
  <c r="AJ2512" i="1"/>
  <c r="AH2512" i="1"/>
  <c r="AF2512" i="1"/>
  <c r="AE2512" i="1"/>
  <c r="AC2512" i="1"/>
  <c r="AL2511" i="1"/>
  <c r="AJ2511" i="1"/>
  <c r="AL2509" i="1"/>
  <c r="AH2509" i="1"/>
  <c r="AF2509" i="1"/>
  <c r="AD2509" i="1"/>
  <c r="AJ2508" i="1"/>
  <c r="AI2508" i="1"/>
  <c r="AH2508" i="1"/>
  <c r="AD2508" i="1"/>
  <c r="AJ2507" i="1"/>
  <c r="AH2507" i="1"/>
  <c r="AD2507" i="1"/>
  <c r="AL2506" i="1"/>
  <c r="AJ2506" i="1"/>
  <c r="AI2506" i="1"/>
  <c r="AH2506" i="1"/>
  <c r="AD2506" i="1"/>
  <c r="AC2506" i="1"/>
  <c r="AJ2505" i="1"/>
  <c r="AG2505" i="1"/>
  <c r="AE2505" i="1"/>
  <c r="AL2504" i="1"/>
  <c r="AJ2504" i="1"/>
  <c r="AI2504" i="1"/>
  <c r="AH2504" i="1"/>
  <c r="AC2504" i="1"/>
  <c r="AL2503" i="1"/>
  <c r="AJ2503" i="1"/>
  <c r="AI2503" i="1"/>
  <c r="AH2503" i="1"/>
  <c r="AD2503" i="1"/>
  <c r="AL2502" i="1"/>
  <c r="AJ2502" i="1"/>
  <c r="AI2502" i="1"/>
  <c r="AH2502" i="1"/>
  <c r="AD2502" i="1"/>
  <c r="AJ2501" i="1"/>
  <c r="AG2501" i="1"/>
  <c r="AE2501" i="1"/>
  <c r="AC2501" i="1"/>
  <c r="AH2500" i="1"/>
  <c r="AF2500" i="1"/>
  <c r="AD2500" i="1"/>
  <c r="AL2499" i="1"/>
  <c r="AJ2499" i="1"/>
  <c r="AH2499" i="1"/>
  <c r="AF2499" i="1"/>
  <c r="AC2499" i="1"/>
  <c r="AJ2498" i="1"/>
  <c r="AI2498" i="1"/>
  <c r="AG2498" i="1"/>
  <c r="AE2498" i="1"/>
  <c r="AC2498" i="1"/>
  <c r="AH2497" i="1"/>
  <c r="AF2497" i="1"/>
  <c r="AD2497" i="1"/>
  <c r="AL2496" i="1"/>
  <c r="AH2496" i="1"/>
  <c r="AF2496" i="1"/>
  <c r="AD2496" i="1"/>
  <c r="AL2495" i="1"/>
  <c r="AJ2495" i="1"/>
  <c r="AH2495" i="1"/>
  <c r="AF2495" i="1"/>
  <c r="AD2495" i="1"/>
  <c r="AL2494" i="1"/>
  <c r="AJ2494" i="1"/>
  <c r="AI2494" i="1"/>
  <c r="AH2494" i="1"/>
  <c r="AG2494" i="1"/>
  <c r="AF2494" i="1"/>
  <c r="AD2494" i="1"/>
  <c r="AL2493" i="1"/>
  <c r="AJ2493" i="1"/>
  <c r="AI2493" i="1"/>
  <c r="AH2493" i="1"/>
  <c r="AF2493" i="1"/>
  <c r="AD2493" i="1"/>
  <c r="AL2492" i="1"/>
  <c r="AJ2492" i="1"/>
  <c r="AI2492" i="1"/>
  <c r="AG2492" i="1"/>
  <c r="AE2492" i="1"/>
  <c r="AL2491" i="1"/>
  <c r="AJ2491" i="1"/>
  <c r="AI2491" i="1"/>
  <c r="AG2491" i="1"/>
  <c r="AE2491" i="1"/>
  <c r="AC2491" i="1"/>
  <c r="AH2490" i="1"/>
  <c r="AF2490" i="1"/>
  <c r="AD2490" i="1"/>
  <c r="AL2489" i="1"/>
  <c r="AI2489" i="1"/>
  <c r="AG2489" i="1"/>
  <c r="AE2489" i="1"/>
  <c r="AC2489" i="1"/>
  <c r="AH2488" i="1"/>
  <c r="AF2488" i="1"/>
  <c r="AD2488" i="1"/>
  <c r="AL2487" i="1"/>
  <c r="AJ2487" i="1"/>
  <c r="AI2487" i="1"/>
  <c r="AH2487" i="1"/>
  <c r="AF2487" i="1"/>
  <c r="AD2487" i="1"/>
  <c r="AL2486" i="1"/>
  <c r="AI2486" i="1"/>
  <c r="AG2486" i="1"/>
  <c r="AE2486" i="1"/>
  <c r="AC2486" i="1"/>
  <c r="AI2485" i="1"/>
  <c r="AG2485" i="1"/>
  <c r="AE2485" i="1"/>
  <c r="AC2485" i="1"/>
  <c r="AJ2484" i="1"/>
  <c r="AI2484" i="1"/>
  <c r="AG2484" i="1"/>
  <c r="AE2484" i="1"/>
  <c r="AC2484" i="1"/>
  <c r="AG2483" i="1"/>
  <c r="AE2483" i="1"/>
  <c r="AC2483" i="1"/>
  <c r="AH2482" i="1"/>
  <c r="AF2482" i="1"/>
  <c r="AD2482" i="1"/>
  <c r="AC2482" i="1"/>
  <c r="AH2481" i="1"/>
  <c r="AF2481" i="1"/>
  <c r="AD2481" i="1"/>
  <c r="AL2480" i="1"/>
  <c r="AJ2480" i="1"/>
  <c r="AI2480" i="1"/>
  <c r="AH2480" i="1"/>
  <c r="AG2480" i="1"/>
  <c r="AF2480" i="1"/>
  <c r="AE2480" i="1"/>
  <c r="AD2480" i="1"/>
  <c r="AC2480" i="1"/>
  <c r="AJ2479" i="1"/>
  <c r="AH2479" i="1"/>
  <c r="AF2479" i="1"/>
  <c r="AD2479" i="1"/>
  <c r="AL2478" i="1"/>
  <c r="AJ2478" i="1"/>
  <c r="AI2478" i="1"/>
  <c r="AH2478" i="1"/>
  <c r="AG2478" i="1"/>
  <c r="AL2477" i="1"/>
  <c r="AJ2477" i="1"/>
  <c r="AH2477" i="1"/>
  <c r="AF2477" i="1"/>
  <c r="AD2477" i="1"/>
  <c r="AL2476" i="1"/>
  <c r="AI2476" i="1"/>
  <c r="AG2476" i="1"/>
  <c r="AD2476" i="1"/>
  <c r="AJ2475" i="1"/>
  <c r="AI2475" i="1"/>
  <c r="AG2475" i="1"/>
  <c r="AE2475" i="1"/>
  <c r="AC2475" i="1"/>
  <c r="AJ2474" i="1"/>
  <c r="AH2474" i="1"/>
  <c r="AF2474" i="1"/>
  <c r="AD2474" i="1"/>
  <c r="AL2473" i="1"/>
  <c r="AJ2473" i="1"/>
  <c r="AI2473" i="1"/>
  <c r="AH2473" i="1"/>
  <c r="AF2473" i="1"/>
  <c r="AD2473" i="1"/>
  <c r="AL2472" i="1"/>
  <c r="AI2472" i="1"/>
  <c r="AG2472" i="1"/>
  <c r="AE2472" i="1"/>
  <c r="AC2472" i="1"/>
  <c r="AL2471" i="1"/>
  <c r="AJ2471" i="1"/>
  <c r="AH2471" i="1"/>
  <c r="AF2471" i="1"/>
  <c r="AD2471" i="1"/>
  <c r="AJ2469" i="1"/>
  <c r="AH2469" i="1"/>
  <c r="AF2469" i="1"/>
  <c r="AD2469" i="1"/>
  <c r="AJ2468" i="1"/>
  <c r="AH2468" i="1"/>
  <c r="AF2468" i="1"/>
  <c r="AD2468" i="1"/>
  <c r="AL2467" i="1"/>
  <c r="AJ2467" i="1"/>
  <c r="AI2467" i="1"/>
  <c r="AH2467" i="1"/>
  <c r="AG2467" i="1"/>
  <c r="AF2467" i="1"/>
  <c r="AE2467" i="1"/>
  <c r="AC2467" i="1"/>
  <c r="AH2466" i="1"/>
  <c r="AF2466" i="1"/>
  <c r="AD2466" i="1"/>
  <c r="AL2465" i="1"/>
  <c r="AJ2465" i="1"/>
  <c r="AH2465" i="1"/>
  <c r="AF2465" i="1"/>
  <c r="AD2465" i="1"/>
  <c r="AL2464" i="1"/>
  <c r="AE2464" i="1"/>
  <c r="AC2464" i="1"/>
  <c r="AG2463" i="1"/>
  <c r="AE2463" i="1"/>
  <c r="AC2463" i="1"/>
  <c r="AI2462" i="1"/>
  <c r="AG2462" i="1"/>
  <c r="AE2462" i="1"/>
  <c r="AL2461" i="1"/>
  <c r="AJ2461" i="1"/>
  <c r="AH2461" i="1"/>
  <c r="AF2461" i="1"/>
  <c r="AE2461" i="1"/>
  <c r="AD2461" i="1"/>
  <c r="AC2461" i="1"/>
  <c r="AL2460" i="1"/>
  <c r="AJ2460" i="1"/>
  <c r="AI2460" i="1"/>
  <c r="AH2460" i="1"/>
  <c r="AG2460" i="1"/>
  <c r="AE2460" i="1"/>
  <c r="AD2460" i="1"/>
  <c r="AL2459" i="1"/>
  <c r="AJ2459" i="1"/>
  <c r="AI2459" i="1"/>
  <c r="AG2459" i="1"/>
  <c r="AE2459" i="1"/>
  <c r="AC2459" i="1"/>
  <c r="AJ2458" i="1"/>
  <c r="AI2458" i="1"/>
  <c r="AG2458" i="1"/>
  <c r="AF2458" i="1"/>
  <c r="AD2458" i="1"/>
  <c r="AL2457" i="1"/>
  <c r="AI2457" i="1"/>
  <c r="AG2457" i="1"/>
  <c r="AE2457" i="1"/>
  <c r="AC2457" i="1"/>
  <c r="AH2456" i="1"/>
  <c r="AF2456" i="1"/>
  <c r="AD2456" i="1"/>
  <c r="AL2455" i="1"/>
  <c r="AI2455" i="1"/>
  <c r="AG2455" i="1"/>
  <c r="AE2455" i="1"/>
  <c r="AC2455" i="1"/>
  <c r="AH2454" i="1"/>
  <c r="AF2454" i="1"/>
  <c r="AE2454" i="1"/>
  <c r="AC2454" i="1"/>
  <c r="AJ2453" i="1"/>
  <c r="AH2453" i="1"/>
  <c r="AF2453" i="1"/>
  <c r="AD2453" i="1"/>
  <c r="AL2452" i="1"/>
  <c r="AI2452" i="1"/>
  <c r="AG2452" i="1"/>
  <c r="AE2452" i="1"/>
  <c r="AC2452" i="1"/>
  <c r="AH2451" i="1"/>
  <c r="AG2451" i="1"/>
  <c r="AE2451" i="1"/>
  <c r="AC2451" i="1"/>
  <c r="AI2450" i="1"/>
  <c r="AG2450" i="1"/>
  <c r="AE2450" i="1"/>
  <c r="AC2450" i="1"/>
  <c r="AJ2449" i="1"/>
  <c r="AH2449" i="1"/>
  <c r="AF2449" i="1"/>
  <c r="AD2449" i="1"/>
  <c r="AJ2448" i="1"/>
  <c r="AG2448" i="1"/>
  <c r="AE2448" i="1"/>
  <c r="AC2448" i="1"/>
  <c r="AH2447" i="1"/>
  <c r="AF2447" i="1"/>
  <c r="AD2447" i="1"/>
  <c r="AL2446" i="1"/>
  <c r="AJ2446" i="1"/>
  <c r="AI2446" i="1"/>
  <c r="AH2446" i="1"/>
  <c r="AG2446" i="1"/>
  <c r="AE2446" i="1"/>
  <c r="AC2446" i="1"/>
  <c r="AL2445" i="1"/>
  <c r="AJ2445" i="1"/>
  <c r="AI2445" i="1"/>
  <c r="AH2445" i="1"/>
  <c r="AG2445" i="1"/>
  <c r="AF2445" i="1"/>
  <c r="AE2445" i="1"/>
  <c r="AD2445" i="1"/>
  <c r="AC2445" i="1"/>
  <c r="AL2444" i="1"/>
  <c r="AJ2444" i="1"/>
  <c r="AI2444" i="1"/>
  <c r="AH2444" i="1"/>
  <c r="AG2444" i="1"/>
  <c r="AF2444" i="1"/>
  <c r="AE2444" i="1"/>
  <c r="AD2444" i="1"/>
  <c r="AC2444" i="1"/>
  <c r="AH2443" i="1"/>
  <c r="AF2443" i="1"/>
  <c r="AL2417" i="1"/>
  <c r="AJ2417" i="1"/>
  <c r="AH2417" i="1"/>
  <c r="AF2417" i="1"/>
  <c r="AD2417" i="1"/>
  <c r="AL2416" i="1"/>
  <c r="AG2416" i="1"/>
  <c r="AE2416" i="1"/>
  <c r="AC2416" i="1"/>
  <c r="AE2415" i="1"/>
  <c r="AL2414" i="1"/>
  <c r="AI2414" i="1"/>
  <c r="AG2414" i="1"/>
  <c r="AE2414" i="1"/>
  <c r="AC2414" i="1"/>
  <c r="AI2413" i="1"/>
  <c r="AG2413" i="1"/>
  <c r="AD2413" i="1"/>
  <c r="AF2412" i="1"/>
  <c r="AD2412" i="1"/>
  <c r="AL2411" i="1"/>
  <c r="AI2411" i="1"/>
  <c r="AG2411" i="1"/>
  <c r="AD2411" i="1"/>
  <c r="AL2410" i="1"/>
  <c r="AH2410" i="1"/>
  <c r="AE2410" i="1"/>
  <c r="AC2410" i="1"/>
  <c r="AH2409" i="1"/>
  <c r="AE2409" i="1"/>
  <c r="AC2409" i="1"/>
  <c r="AH2408" i="1"/>
  <c r="AF2408" i="1"/>
  <c r="AD2408" i="1"/>
  <c r="AL2407" i="1"/>
  <c r="AI2407" i="1"/>
  <c r="AG2407" i="1"/>
  <c r="AE2407" i="1"/>
  <c r="AC2407" i="1"/>
  <c r="AE2406" i="1"/>
  <c r="AC2406" i="1"/>
  <c r="AJ2405" i="1"/>
  <c r="AH2405" i="1"/>
  <c r="AF2405" i="1"/>
  <c r="AD2405" i="1"/>
  <c r="AL2404" i="1"/>
  <c r="AJ2404" i="1"/>
  <c r="AG2404" i="1"/>
  <c r="AE2404" i="1"/>
  <c r="AC2404" i="1"/>
  <c r="AH2403" i="1"/>
  <c r="AF2403" i="1"/>
  <c r="AD2403" i="1"/>
  <c r="AL2402" i="1"/>
  <c r="AJ2402" i="1"/>
  <c r="AI2402" i="1"/>
  <c r="AG2402" i="1"/>
  <c r="AE2402" i="1"/>
  <c r="AC2402" i="1"/>
  <c r="AI2401" i="1"/>
  <c r="AH2401" i="1"/>
  <c r="AG2401" i="1"/>
  <c r="AF2401" i="1"/>
  <c r="AE2401" i="1"/>
  <c r="AD2401" i="1"/>
  <c r="AC2401" i="1"/>
  <c r="AL2400" i="1"/>
  <c r="AJ2400" i="1"/>
  <c r="AI2400" i="1"/>
  <c r="AH2400" i="1"/>
  <c r="AG2400" i="1"/>
  <c r="AF2400" i="1"/>
  <c r="AE2400" i="1"/>
  <c r="AD2400" i="1"/>
  <c r="AC2400" i="1"/>
  <c r="AL2399" i="1"/>
  <c r="AJ2399" i="1"/>
  <c r="AI2399" i="1"/>
  <c r="AH2399" i="1"/>
  <c r="AG2399" i="1"/>
  <c r="AF2399" i="1"/>
  <c r="AE2399" i="1"/>
  <c r="AD2399" i="1"/>
  <c r="AC2399" i="1"/>
  <c r="AL2398" i="1"/>
  <c r="AJ2398" i="1"/>
  <c r="AI2398" i="1"/>
  <c r="AH2398" i="1"/>
  <c r="AG2398" i="1"/>
  <c r="AF2398" i="1"/>
  <c r="AE2398" i="1"/>
  <c r="AD2398" i="1"/>
  <c r="AC2398" i="1"/>
  <c r="AL2397" i="1"/>
  <c r="AJ2397" i="1"/>
  <c r="AI2397" i="1"/>
  <c r="AH2397" i="1"/>
  <c r="AG2397" i="1"/>
  <c r="AF2397" i="1"/>
  <c r="AE2397" i="1"/>
  <c r="AD2397" i="1"/>
  <c r="AC2397" i="1"/>
  <c r="AL2396" i="1"/>
  <c r="AJ2396" i="1"/>
  <c r="AI2396" i="1"/>
  <c r="AH2396" i="1"/>
  <c r="AG2396" i="1"/>
  <c r="AF2396" i="1"/>
  <c r="AE2396" i="1"/>
  <c r="AD2396" i="1"/>
  <c r="AC2396" i="1"/>
  <c r="AL2395" i="1"/>
  <c r="AJ2395" i="1"/>
  <c r="AI2395" i="1"/>
  <c r="AH2395" i="1"/>
  <c r="AG2395" i="1"/>
  <c r="AF2395" i="1"/>
  <c r="AE2395" i="1"/>
  <c r="AD2395" i="1"/>
  <c r="AC2395" i="1"/>
  <c r="AL2394" i="1"/>
  <c r="AJ2394" i="1"/>
  <c r="AI2394" i="1"/>
  <c r="AH2394" i="1"/>
  <c r="AG2394" i="1"/>
  <c r="AF2394" i="1"/>
  <c r="AE2394" i="1"/>
  <c r="AD2394" i="1"/>
  <c r="AC2394" i="1"/>
  <c r="AL2393" i="1"/>
  <c r="AJ2393" i="1"/>
  <c r="AI2393" i="1"/>
  <c r="AH2393" i="1"/>
  <c r="AG2393" i="1"/>
  <c r="AF2393" i="1"/>
  <c r="AE2393" i="1"/>
  <c r="AD2393" i="1"/>
  <c r="AC2393" i="1"/>
  <c r="AL2392" i="1"/>
  <c r="AJ2392" i="1"/>
  <c r="AI2392" i="1"/>
  <c r="AH2392" i="1"/>
  <c r="AG2392" i="1"/>
  <c r="AF2392" i="1"/>
  <c r="AE2392" i="1"/>
  <c r="AD2392" i="1"/>
  <c r="AC2392" i="1"/>
  <c r="AL2391" i="1"/>
  <c r="AJ2391" i="1"/>
  <c r="AI2391" i="1"/>
  <c r="AH2391" i="1"/>
  <c r="AG2391" i="1"/>
  <c r="AF2391" i="1"/>
  <c r="AE2391" i="1"/>
  <c r="AD2391" i="1"/>
  <c r="AC2391" i="1"/>
  <c r="AL2390" i="1"/>
  <c r="AJ2390" i="1"/>
  <c r="AI2390" i="1"/>
  <c r="AH2390" i="1"/>
  <c r="AG2390" i="1"/>
  <c r="AF2390" i="1"/>
  <c r="AE2390" i="1"/>
  <c r="AD2390" i="1"/>
  <c r="AC2390" i="1"/>
  <c r="AL2389" i="1"/>
  <c r="AJ2389" i="1"/>
  <c r="AI2389" i="1"/>
  <c r="AH2389" i="1"/>
  <c r="AG2389" i="1"/>
  <c r="AF2389" i="1"/>
  <c r="AE2389" i="1"/>
  <c r="AD2389" i="1"/>
  <c r="AC2389" i="1"/>
  <c r="AL2388" i="1"/>
  <c r="AJ2388" i="1"/>
  <c r="AI2388" i="1"/>
  <c r="AH2388" i="1"/>
  <c r="AG2388" i="1"/>
  <c r="AF2388" i="1"/>
  <c r="AE2388" i="1"/>
  <c r="AD2388" i="1"/>
  <c r="AC2388" i="1"/>
  <c r="AL2387" i="1"/>
  <c r="AJ2387" i="1"/>
  <c r="AI2387" i="1"/>
  <c r="AH2387" i="1"/>
  <c r="AG2387" i="1"/>
  <c r="AF2387" i="1"/>
  <c r="AE2387" i="1"/>
  <c r="AD2387" i="1"/>
  <c r="AC2387" i="1"/>
  <c r="AL2386" i="1"/>
  <c r="AJ2386" i="1"/>
  <c r="AI2386" i="1"/>
  <c r="AH2386" i="1"/>
  <c r="AG2386" i="1"/>
  <c r="AF2386" i="1"/>
  <c r="AE2386" i="1"/>
  <c r="AD2386" i="1"/>
  <c r="AC2386" i="1"/>
  <c r="AL2385" i="1"/>
  <c r="AJ2385" i="1"/>
  <c r="AI2385" i="1"/>
  <c r="AH2385" i="1"/>
  <c r="AG2385" i="1"/>
  <c r="AF2385" i="1"/>
  <c r="AE2385" i="1"/>
  <c r="AD2385" i="1"/>
  <c r="AC2385" i="1"/>
  <c r="AL2384" i="1"/>
  <c r="AJ2384" i="1"/>
  <c r="AI2384" i="1"/>
  <c r="AH2384" i="1"/>
  <c r="AG2384" i="1"/>
  <c r="AF2384" i="1"/>
  <c r="AE2384" i="1"/>
  <c r="AD2384" i="1"/>
  <c r="AC2384" i="1"/>
  <c r="AL2383" i="1"/>
  <c r="AJ2383" i="1"/>
  <c r="AI2383" i="1"/>
  <c r="AH2383" i="1"/>
  <c r="AG2383" i="1"/>
  <c r="AF2383" i="1"/>
  <c r="AE2383" i="1"/>
  <c r="AD2383" i="1"/>
  <c r="AC2383" i="1"/>
  <c r="AL2382" i="1"/>
  <c r="AJ2382" i="1"/>
  <c r="AI2382" i="1"/>
  <c r="AH2382" i="1"/>
  <c r="AG2382" i="1"/>
  <c r="AF2382" i="1"/>
  <c r="AE2382" i="1"/>
  <c r="AD2382" i="1"/>
  <c r="AC2382" i="1"/>
  <c r="AL2381" i="1"/>
  <c r="AJ2381" i="1"/>
  <c r="AI2381" i="1"/>
  <c r="AH2381" i="1"/>
  <c r="AG2381" i="1"/>
  <c r="AF2381" i="1"/>
  <c r="AE2381" i="1"/>
  <c r="AD2381" i="1"/>
  <c r="AC2381" i="1"/>
  <c r="AL2380" i="1"/>
  <c r="AJ2380" i="1"/>
  <c r="AI2380" i="1"/>
  <c r="AH2380" i="1"/>
  <c r="AG2380" i="1"/>
  <c r="AF2380" i="1"/>
  <c r="AE2380" i="1"/>
  <c r="AD2380" i="1"/>
  <c r="AC2380" i="1"/>
  <c r="AL2379" i="1"/>
  <c r="AJ2379" i="1"/>
  <c r="AI2379" i="1"/>
  <c r="AH2379" i="1"/>
  <c r="AG2379" i="1"/>
  <c r="AF2379" i="1"/>
  <c r="AE2379" i="1"/>
  <c r="AD2379" i="1"/>
  <c r="AC2379" i="1"/>
  <c r="AL2378" i="1"/>
  <c r="AJ2378" i="1"/>
  <c r="AI2378" i="1"/>
  <c r="AH2378" i="1"/>
  <c r="AG2378" i="1"/>
  <c r="AF2378" i="1"/>
  <c r="AE2378" i="1"/>
  <c r="AD2378" i="1"/>
  <c r="AC2378" i="1"/>
  <c r="AL2377" i="1"/>
  <c r="AJ2377" i="1"/>
  <c r="AI2377" i="1"/>
  <c r="AH2377" i="1"/>
  <c r="AG2377" i="1"/>
  <c r="AF2377" i="1"/>
  <c r="AE2377" i="1"/>
  <c r="AD2377" i="1"/>
  <c r="AC2377" i="1"/>
  <c r="AL2376" i="1"/>
  <c r="AJ2376" i="1"/>
  <c r="AI2376" i="1"/>
  <c r="AH2376" i="1"/>
  <c r="AG2376" i="1"/>
  <c r="AF2376" i="1"/>
  <c r="AE2376" i="1"/>
  <c r="AD2376" i="1"/>
  <c r="AC2376" i="1"/>
  <c r="AJ2375" i="1"/>
  <c r="AH2375" i="1"/>
  <c r="AE2375" i="1"/>
  <c r="AL2374" i="1"/>
  <c r="AJ2374" i="1"/>
  <c r="AI2374" i="1"/>
  <c r="AH2374" i="1"/>
  <c r="AG2374" i="1"/>
  <c r="AF2374" i="1"/>
  <c r="AE2374" i="1"/>
  <c r="AD2374" i="1"/>
  <c r="AC2374" i="1"/>
  <c r="AL2373" i="1"/>
  <c r="AJ2373" i="1"/>
  <c r="AH2373" i="1"/>
  <c r="AG2373" i="1"/>
  <c r="AE2373" i="1"/>
  <c r="AC2373" i="1"/>
  <c r="AL2372" i="1"/>
  <c r="AH2372" i="1"/>
  <c r="AF2372" i="1"/>
  <c r="AD2372" i="1"/>
  <c r="AL2371" i="1"/>
  <c r="AI2371" i="1"/>
  <c r="AG2371" i="1"/>
  <c r="AE2371" i="1"/>
  <c r="AC2371" i="1"/>
  <c r="AJ2370" i="1"/>
  <c r="AH2370" i="1"/>
  <c r="AF2370" i="1"/>
  <c r="AD2370" i="1"/>
  <c r="AJ2369" i="1"/>
  <c r="AI2369" i="1"/>
  <c r="AH2369" i="1"/>
  <c r="AE2369" i="1"/>
  <c r="AC2369" i="1"/>
  <c r="AI2368" i="1"/>
  <c r="AG2368" i="1"/>
  <c r="AE2368" i="1"/>
  <c r="AC2368" i="1"/>
  <c r="AJ2367" i="1"/>
  <c r="AH2367" i="1"/>
  <c r="AF2367" i="1"/>
  <c r="AD2367" i="1"/>
  <c r="AL2366" i="1"/>
  <c r="AI2366" i="1"/>
  <c r="AG2366" i="1"/>
  <c r="AE2366" i="1"/>
  <c r="AC2366" i="1"/>
  <c r="AL2365" i="1"/>
  <c r="AI2365" i="1"/>
  <c r="AH2365" i="1"/>
  <c r="AF2365" i="1"/>
  <c r="AD2365" i="1"/>
  <c r="AL2364" i="1"/>
  <c r="AJ2364" i="1"/>
  <c r="AH2364" i="1"/>
  <c r="AF2364" i="1"/>
  <c r="AD2364" i="1"/>
  <c r="AJ2363" i="1"/>
  <c r="AI2363" i="1"/>
  <c r="AG2363" i="1"/>
  <c r="AE2363" i="1"/>
  <c r="AC2363" i="1"/>
  <c r="AC2362" i="1"/>
  <c r="AI2361" i="1"/>
  <c r="AG2361" i="1"/>
  <c r="AE2361" i="1"/>
  <c r="AC2361" i="1"/>
  <c r="AH2360" i="1"/>
  <c r="AF2360" i="1"/>
  <c r="AD2360" i="1"/>
  <c r="AL2359" i="1"/>
  <c r="AJ2359" i="1"/>
  <c r="AH2359" i="1"/>
  <c r="AF2359" i="1"/>
  <c r="AE2359" i="1"/>
  <c r="AC2359" i="1"/>
  <c r="AJ2358" i="1"/>
  <c r="AI2358" i="1"/>
  <c r="AG2358" i="1"/>
  <c r="AE2358" i="1"/>
  <c r="AC2358" i="1"/>
  <c r="AH2357" i="1"/>
  <c r="AF2357" i="1"/>
  <c r="AD2357" i="1"/>
  <c r="AL2356" i="1"/>
  <c r="AI2356" i="1"/>
  <c r="AG2356" i="1"/>
  <c r="AE2356" i="1"/>
  <c r="AC2356" i="1"/>
  <c r="AH2355" i="1"/>
  <c r="AE2355" i="1"/>
  <c r="AC2355" i="1"/>
  <c r="AL2354" i="1"/>
  <c r="AI2354" i="1"/>
  <c r="AH2354" i="1"/>
  <c r="AF2354" i="1"/>
  <c r="AD2354" i="1"/>
  <c r="AI2353" i="1"/>
  <c r="AH2353" i="1"/>
  <c r="AF2353" i="1"/>
  <c r="AD2353" i="1"/>
  <c r="AL2352" i="1"/>
  <c r="AJ2352" i="1"/>
  <c r="AI2352" i="1"/>
  <c r="AH2352" i="1"/>
  <c r="AG2352" i="1"/>
  <c r="AE2352" i="1"/>
  <c r="AC2352" i="1"/>
  <c r="AJ2351" i="1"/>
  <c r="AH2351" i="1"/>
  <c r="AF2351" i="1"/>
  <c r="AE2351" i="1"/>
  <c r="AC2351" i="1"/>
  <c r="AF2350" i="1"/>
  <c r="AD2350" i="1"/>
  <c r="AL2349" i="1"/>
  <c r="AJ2349" i="1"/>
  <c r="AH2349" i="1"/>
  <c r="AE2349" i="1"/>
  <c r="AC2349" i="1"/>
  <c r="AJ2348" i="1"/>
  <c r="AI2348" i="1"/>
  <c r="AG2348" i="1"/>
  <c r="AE2348" i="1"/>
  <c r="AC2348" i="1"/>
  <c r="AH2347" i="1"/>
  <c r="AE2347" i="1"/>
  <c r="AC2347" i="1"/>
  <c r="AG2346" i="1"/>
  <c r="AE2346" i="1"/>
  <c r="AC2346" i="1"/>
  <c r="AG2345" i="1"/>
  <c r="AE2345" i="1"/>
  <c r="AC2345" i="1"/>
  <c r="AG2344" i="1"/>
  <c r="AE2344" i="1"/>
  <c r="AD2344" i="1"/>
  <c r="AL2343" i="1"/>
  <c r="AJ2343" i="1"/>
  <c r="AI2343" i="1"/>
  <c r="AH2343" i="1"/>
  <c r="AF2343" i="1"/>
  <c r="AD2343" i="1"/>
  <c r="AL2342" i="1"/>
  <c r="AJ2342" i="1"/>
  <c r="AI2342" i="1"/>
  <c r="AH2342" i="1"/>
  <c r="AF2342" i="1"/>
  <c r="AD2342" i="1"/>
  <c r="AL2341" i="1"/>
  <c r="AJ2341" i="1"/>
  <c r="AI2341" i="1"/>
  <c r="AH2341" i="1"/>
  <c r="AF2341" i="1"/>
  <c r="AD2341" i="1"/>
  <c r="AL2340" i="1"/>
  <c r="AJ2340" i="1"/>
  <c r="AI2340" i="1"/>
  <c r="AG2340" i="1"/>
  <c r="AF2340" i="1"/>
  <c r="AD2340" i="1"/>
  <c r="AL2339" i="1"/>
  <c r="AJ2339" i="1"/>
  <c r="AI2339" i="1"/>
  <c r="AH2339" i="1"/>
  <c r="AE2339" i="1"/>
  <c r="AC2339" i="1"/>
  <c r="AJ2338" i="1"/>
  <c r="AH2338" i="1"/>
  <c r="AF2338" i="1"/>
  <c r="AE2338" i="1"/>
  <c r="AC2338" i="1"/>
  <c r="AL2337" i="1"/>
  <c r="AJ2337" i="1"/>
  <c r="AI2337" i="1"/>
  <c r="AH2337" i="1"/>
  <c r="AG2337" i="1"/>
  <c r="AF2337" i="1"/>
  <c r="AE2337" i="1"/>
  <c r="AD2337" i="1"/>
  <c r="AC2337" i="1"/>
  <c r="AL2336" i="1"/>
  <c r="AI2336" i="1"/>
  <c r="AG2336" i="1"/>
  <c r="AE2336" i="1"/>
  <c r="AC2336" i="1"/>
  <c r="AG2335" i="1"/>
  <c r="AE2335" i="1"/>
  <c r="AC2335" i="1"/>
  <c r="AI2334" i="1"/>
  <c r="AF2334" i="1"/>
  <c r="AD2334" i="1"/>
  <c r="AJ2333" i="1"/>
  <c r="AH2333" i="1"/>
  <c r="AF2333" i="1"/>
  <c r="AD2333" i="1"/>
  <c r="AL2332" i="1"/>
  <c r="AJ2332" i="1"/>
  <c r="AI2332" i="1"/>
  <c r="AH2332" i="1"/>
  <c r="AG2332" i="1"/>
  <c r="AF2332" i="1"/>
  <c r="AE2332" i="1"/>
  <c r="AC2332" i="1"/>
  <c r="AH2331" i="1"/>
  <c r="AG2331" i="1"/>
  <c r="AF2331" i="1"/>
  <c r="AD2331" i="1"/>
  <c r="AL2330" i="1"/>
  <c r="AJ2330" i="1"/>
  <c r="AG2330" i="1"/>
  <c r="AE2330" i="1"/>
  <c r="AC2330" i="1"/>
  <c r="AI2329" i="1"/>
  <c r="AF2329" i="1"/>
  <c r="AD2329" i="1"/>
  <c r="AF2328" i="1"/>
  <c r="AD2328" i="1"/>
  <c r="AL2327" i="1"/>
  <c r="AI2327" i="1"/>
  <c r="AH2327" i="1"/>
  <c r="AF2327" i="1"/>
  <c r="AD2327" i="1"/>
  <c r="AJ2326" i="1"/>
  <c r="AI2326" i="1"/>
  <c r="AG2326" i="1"/>
  <c r="AF2326" i="1"/>
  <c r="AE2326" i="1"/>
  <c r="AH2325" i="1"/>
  <c r="AE2325" i="1"/>
  <c r="AC2325" i="1"/>
  <c r="AL2324" i="1"/>
  <c r="AI2324" i="1"/>
  <c r="AG2324" i="1"/>
  <c r="AD2324" i="1"/>
  <c r="AL2323" i="1"/>
  <c r="AI2323" i="1"/>
  <c r="AG2323" i="1"/>
  <c r="AE2323" i="1"/>
  <c r="AD2323" i="1"/>
  <c r="AI2322" i="1"/>
  <c r="AG2322" i="1"/>
  <c r="AE2322" i="1"/>
  <c r="AL2321" i="1"/>
  <c r="AI2321" i="1"/>
  <c r="AG2321" i="1"/>
  <c r="AE2321" i="1"/>
  <c r="AC2321" i="1"/>
  <c r="AL2320" i="1"/>
  <c r="AH2320" i="1"/>
  <c r="AF2320" i="1"/>
  <c r="AD2320" i="1"/>
  <c r="AL2319" i="1"/>
  <c r="AI2319" i="1"/>
  <c r="AF2319" i="1"/>
  <c r="AD2319" i="1"/>
  <c r="AJ2318" i="1"/>
  <c r="AG2318" i="1"/>
  <c r="AE2318" i="1"/>
  <c r="AL2317" i="1"/>
  <c r="AJ2317" i="1"/>
  <c r="AI2317" i="1"/>
  <c r="AH2317" i="1"/>
  <c r="AG2317" i="1"/>
  <c r="AF2317" i="1"/>
  <c r="AE2317" i="1"/>
  <c r="AD2317" i="1"/>
  <c r="AC2317" i="1"/>
  <c r="AL2316" i="1"/>
  <c r="AJ2316" i="1"/>
  <c r="AI2316" i="1"/>
  <c r="AH2316" i="1"/>
  <c r="AG2316" i="1"/>
  <c r="AF2316" i="1"/>
  <c r="AE2316" i="1"/>
  <c r="AD2316" i="1"/>
  <c r="AC2316" i="1"/>
  <c r="AL2315" i="1"/>
  <c r="AJ2315" i="1"/>
  <c r="AI2315" i="1"/>
  <c r="AH2315" i="1"/>
  <c r="AG2315" i="1"/>
  <c r="AF2315" i="1"/>
  <c r="AE2315" i="1"/>
  <c r="AD2315" i="1"/>
  <c r="AC2315" i="1"/>
  <c r="AL2314" i="1"/>
  <c r="AJ2314" i="1"/>
  <c r="AI2314" i="1"/>
  <c r="AH2314" i="1"/>
  <c r="AG2314" i="1"/>
  <c r="AF2314" i="1"/>
  <c r="AE2314" i="1"/>
  <c r="AD2314" i="1"/>
  <c r="AC2314" i="1"/>
  <c r="AL2313" i="1"/>
  <c r="AJ2313" i="1"/>
  <c r="AI2313" i="1"/>
  <c r="AH2313" i="1"/>
  <c r="AG2313" i="1"/>
  <c r="AF2313" i="1"/>
  <c r="AE2313" i="1"/>
  <c r="AD2313" i="1"/>
  <c r="AC2313" i="1"/>
  <c r="AL2312" i="1"/>
  <c r="AJ2312" i="1"/>
  <c r="AI2312" i="1"/>
  <c r="AH2312" i="1"/>
  <c r="AG2312" i="1"/>
  <c r="AF2312" i="1"/>
  <c r="AE2312" i="1"/>
  <c r="AD2312" i="1"/>
  <c r="AC2312" i="1"/>
  <c r="AL2311" i="1"/>
  <c r="AJ2311" i="1"/>
  <c r="AI2311" i="1"/>
  <c r="AH2311" i="1"/>
  <c r="AG2311" i="1"/>
  <c r="AF2311" i="1"/>
  <c r="AE2311" i="1"/>
  <c r="AD2311" i="1"/>
  <c r="AC2311" i="1"/>
  <c r="AL2310" i="1"/>
  <c r="AJ2310" i="1"/>
  <c r="AI2310" i="1"/>
  <c r="AH2310" i="1"/>
  <c r="AG2310" i="1"/>
  <c r="AF2310" i="1"/>
  <c r="AE2310" i="1"/>
  <c r="AD2310" i="1"/>
  <c r="AC2310" i="1"/>
  <c r="AL2309" i="1"/>
  <c r="AJ2309" i="1"/>
  <c r="AI2309" i="1"/>
  <c r="AH2309" i="1"/>
  <c r="AG2309" i="1"/>
  <c r="AF2309" i="1"/>
  <c r="AE2309" i="1"/>
  <c r="AD2309" i="1"/>
  <c r="AC2309" i="1"/>
  <c r="AL2308" i="1"/>
  <c r="AJ2308" i="1"/>
  <c r="AI2308" i="1"/>
  <c r="AH2308" i="1"/>
  <c r="AG2308" i="1"/>
  <c r="AF2308" i="1"/>
  <c r="AE2308" i="1"/>
  <c r="AD2308" i="1"/>
  <c r="AC2308" i="1"/>
  <c r="AL2307" i="1"/>
  <c r="AJ2307" i="1"/>
  <c r="AI2307" i="1"/>
  <c r="AH2307" i="1"/>
  <c r="AG2307" i="1"/>
  <c r="AF2307" i="1"/>
  <c r="AE2307" i="1"/>
  <c r="AD2307" i="1"/>
  <c r="AC2307" i="1"/>
  <c r="AL2306" i="1"/>
  <c r="AI2306" i="1"/>
  <c r="AH2306" i="1"/>
  <c r="AG2306" i="1"/>
  <c r="AF2306" i="1"/>
  <c r="AE2306" i="1"/>
  <c r="AC2306" i="1"/>
  <c r="AL2305" i="1"/>
  <c r="AJ2305" i="1"/>
  <c r="AI2305" i="1"/>
  <c r="AH2305" i="1"/>
  <c r="AG2305" i="1"/>
  <c r="AF2305" i="1"/>
  <c r="AE2305" i="1"/>
  <c r="AC2305" i="1"/>
  <c r="AI2304" i="1"/>
  <c r="AE2304" i="1"/>
  <c r="AD2304" i="1"/>
  <c r="AF2303" i="1"/>
  <c r="AC2303" i="1"/>
  <c r="AH2302" i="1"/>
  <c r="AF2302" i="1"/>
  <c r="AC2302" i="1"/>
  <c r="AH2301" i="1"/>
  <c r="AD2301" i="1"/>
  <c r="AG2300" i="1"/>
  <c r="AD2300" i="1"/>
  <c r="AL2299" i="1"/>
  <c r="AJ2299" i="1"/>
  <c r="AI2299" i="1"/>
  <c r="AH2299" i="1"/>
  <c r="AG2299" i="1"/>
  <c r="AF2299" i="1"/>
  <c r="AE2299" i="1"/>
  <c r="AC2299" i="1"/>
  <c r="AG2298" i="1"/>
  <c r="AD2298" i="1"/>
  <c r="AG2297" i="1"/>
  <c r="AD2297" i="1"/>
  <c r="AH2296" i="1"/>
  <c r="AD2296" i="1"/>
  <c r="AL2295" i="1"/>
  <c r="AI2295" i="1"/>
  <c r="AG2295" i="1"/>
  <c r="AE2295" i="1"/>
  <c r="AC2295" i="1"/>
  <c r="AH2294" i="1"/>
  <c r="AD2294" i="1"/>
  <c r="AL2293" i="1"/>
  <c r="AI2293" i="1"/>
  <c r="AG2293" i="1"/>
  <c r="AE2293" i="1"/>
  <c r="AL2292" i="1"/>
  <c r="AJ2292" i="1"/>
  <c r="AH2292" i="1"/>
  <c r="AF2292" i="1"/>
  <c r="AD2292" i="1"/>
  <c r="AC2292" i="1"/>
  <c r="AF2291" i="1"/>
  <c r="AC2291" i="1"/>
  <c r="AH2290" i="1"/>
  <c r="AD2290" i="1"/>
  <c r="AL2289" i="1"/>
  <c r="AI2289" i="1"/>
  <c r="AF2289" i="1"/>
  <c r="AD2289" i="1"/>
  <c r="AC2289" i="1"/>
  <c r="AL2288" i="1"/>
  <c r="AI2288" i="1"/>
  <c r="AG2288" i="1"/>
  <c r="AE2288" i="1"/>
  <c r="AC2288" i="1"/>
  <c r="AD2287" i="1"/>
  <c r="AI2286" i="1"/>
  <c r="AF2286" i="1"/>
  <c r="AC2286" i="1"/>
  <c r="AH2285" i="1"/>
  <c r="AF2285" i="1"/>
  <c r="AD2285" i="1"/>
  <c r="AJ2284" i="1"/>
  <c r="AH2284" i="1"/>
  <c r="AF2284" i="1"/>
  <c r="AD2284" i="1"/>
  <c r="AL2283" i="1"/>
  <c r="AH2283" i="1"/>
  <c r="AF2283" i="1"/>
  <c r="AC2283" i="1"/>
  <c r="AH2282" i="1"/>
  <c r="AE2282" i="1"/>
  <c r="AC2282" i="1"/>
  <c r="AE2281" i="1"/>
  <c r="AC2281" i="1"/>
  <c r="AJ2280" i="1"/>
  <c r="AH2280" i="1"/>
  <c r="AF2280" i="1"/>
  <c r="AD2280" i="1"/>
  <c r="AL2279" i="1"/>
  <c r="AH2279" i="1"/>
  <c r="AF2279" i="1"/>
  <c r="AD2279" i="1"/>
  <c r="AL2278" i="1"/>
  <c r="AI2278" i="1"/>
  <c r="AG2278" i="1"/>
  <c r="AE2278" i="1"/>
  <c r="AJ2277" i="1"/>
  <c r="AG2277" i="1"/>
  <c r="AE2277" i="1"/>
  <c r="AC2277" i="1"/>
  <c r="AF2276" i="1"/>
  <c r="AD2276" i="1"/>
  <c r="AL2275" i="1"/>
  <c r="AJ2275" i="1"/>
  <c r="AI2275" i="1"/>
  <c r="AH2275" i="1"/>
  <c r="AG2275" i="1"/>
  <c r="AF2275" i="1"/>
  <c r="AE2275" i="1"/>
  <c r="AD2275" i="1"/>
  <c r="AC2275" i="1"/>
  <c r="AL2274" i="1"/>
  <c r="AH2274" i="1"/>
  <c r="AF2274" i="1"/>
  <c r="AC2274" i="1"/>
  <c r="AH2273" i="1"/>
  <c r="AE2273" i="1"/>
  <c r="AL2272" i="1"/>
  <c r="AH2272" i="1"/>
  <c r="AF2272" i="1"/>
  <c r="AC2272" i="1"/>
  <c r="AF2271" i="1"/>
  <c r="AC2271" i="1"/>
  <c r="AG2270" i="1"/>
  <c r="AD2270" i="1"/>
  <c r="AG2269" i="1"/>
  <c r="AD2269" i="1"/>
  <c r="AL2268" i="1"/>
  <c r="AH2268" i="1"/>
  <c r="AF2268" i="1"/>
  <c r="AD2268" i="1"/>
  <c r="AL2267" i="1"/>
  <c r="AI2267" i="1"/>
  <c r="AG2267" i="1"/>
  <c r="AE2267" i="1"/>
  <c r="AL2266" i="1"/>
  <c r="AI2266" i="1"/>
  <c r="AG2266" i="1"/>
  <c r="AE2266" i="1"/>
  <c r="AC2266" i="1"/>
  <c r="AG2265" i="1"/>
  <c r="AD2265" i="1"/>
  <c r="AH2264" i="1"/>
  <c r="AE2264" i="1"/>
  <c r="AL2263" i="1"/>
  <c r="AI2263" i="1"/>
  <c r="AF2263" i="1"/>
  <c r="AD2263" i="1"/>
  <c r="AL2262" i="1"/>
  <c r="AI2262" i="1"/>
  <c r="AG2262" i="1"/>
  <c r="AE2262" i="1"/>
  <c r="AC2262" i="1"/>
  <c r="AH2261" i="1"/>
  <c r="AE2261" i="1"/>
  <c r="AC2261" i="1"/>
  <c r="AI2260" i="1"/>
  <c r="AF2260" i="1"/>
  <c r="AD2260" i="1"/>
  <c r="AL2259" i="1"/>
  <c r="AI2259" i="1"/>
  <c r="AG2259" i="1"/>
  <c r="AE2259" i="1"/>
  <c r="AC2259" i="1"/>
  <c r="AG2258" i="1"/>
  <c r="AD2258" i="1"/>
  <c r="AH2257" i="1"/>
  <c r="AD2257" i="1"/>
  <c r="AC2257" i="1"/>
  <c r="AJ2256" i="1"/>
  <c r="AG2256" i="1"/>
  <c r="AE2256" i="1"/>
  <c r="AC2256" i="1"/>
  <c r="AL2255" i="1"/>
  <c r="AH2255" i="1"/>
  <c r="AF2255" i="1"/>
  <c r="AD2255" i="1"/>
  <c r="AL2254" i="1"/>
  <c r="AH2254" i="1"/>
  <c r="AF2254" i="1"/>
  <c r="AD2254" i="1"/>
  <c r="AH2253" i="1"/>
  <c r="AD2253" i="1"/>
  <c r="AG2252" i="1"/>
  <c r="AD2252" i="1"/>
  <c r="AJ2251" i="1"/>
  <c r="AI2251" i="1"/>
  <c r="AH2251" i="1"/>
  <c r="AF2251" i="1"/>
  <c r="AD2251" i="1"/>
  <c r="AL2250" i="1"/>
  <c r="AJ2250" i="1"/>
  <c r="AG2250" i="1"/>
  <c r="AD2250" i="1"/>
  <c r="AL2249" i="1"/>
  <c r="AI2249" i="1"/>
  <c r="AF2249" i="1"/>
  <c r="AD2249" i="1"/>
  <c r="AL2248" i="1"/>
  <c r="AH2248" i="1"/>
  <c r="AF2248" i="1"/>
  <c r="AD2248" i="1"/>
  <c r="AC2248" i="1"/>
  <c r="AH2247" i="1"/>
  <c r="AF2247" i="1"/>
  <c r="AC2247" i="1"/>
  <c r="AG2246" i="1"/>
  <c r="AD2246" i="1"/>
  <c r="AJ2245" i="1"/>
  <c r="AH2245" i="1"/>
  <c r="AE2245" i="1"/>
  <c r="AC2245" i="1"/>
  <c r="AG2244" i="1"/>
  <c r="AD2244" i="1"/>
  <c r="AJ2243" i="1"/>
  <c r="AF2243" i="1"/>
  <c r="AD2243" i="1"/>
  <c r="AL2242" i="1"/>
  <c r="AI2242" i="1"/>
  <c r="AF2242" i="1"/>
  <c r="AC2242" i="1"/>
  <c r="AJ2241" i="1"/>
  <c r="AG2241" i="1"/>
  <c r="AE2241" i="1"/>
  <c r="AJ2240" i="1"/>
  <c r="AI2240" i="1"/>
  <c r="AG2240" i="1"/>
  <c r="AE2240" i="1"/>
  <c r="AJ2239" i="1"/>
  <c r="AG2239" i="1"/>
  <c r="AE2239" i="1"/>
  <c r="AC2239" i="1"/>
  <c r="AH2238" i="1"/>
  <c r="AF2238" i="1"/>
  <c r="AD2238" i="1"/>
  <c r="AL2237" i="1"/>
  <c r="AJ2237" i="1"/>
  <c r="AH2237" i="1"/>
  <c r="AF2237" i="1"/>
  <c r="AD2237" i="1"/>
  <c r="AG2236" i="1"/>
  <c r="AD2236" i="1"/>
  <c r="AL2235" i="1"/>
  <c r="AI2235" i="1"/>
  <c r="AF2235" i="1"/>
  <c r="AD2235" i="1"/>
  <c r="AL2234" i="1"/>
  <c r="AI2234" i="1"/>
  <c r="AF2234" i="1"/>
  <c r="AD2234" i="1"/>
  <c r="AD2233" i="1"/>
  <c r="AE2232" i="1"/>
  <c r="AC2232" i="1"/>
  <c r="AE2231" i="1"/>
  <c r="AC2231" i="1"/>
  <c r="AF2230" i="1"/>
  <c r="AC2230" i="1"/>
  <c r="AL2229" i="1"/>
  <c r="AI2229" i="1"/>
  <c r="AG2229" i="1"/>
  <c r="AE2229" i="1"/>
  <c r="AL2228" i="1"/>
  <c r="AH2228" i="1"/>
  <c r="AE2228" i="1"/>
  <c r="AC2228" i="1"/>
  <c r="AD2227" i="1"/>
  <c r="AG2226" i="1"/>
  <c r="AD2226" i="1"/>
  <c r="AF2225" i="1"/>
  <c r="AD2225" i="1"/>
  <c r="AJ2224" i="1"/>
  <c r="AG2224" i="1"/>
  <c r="AE2224" i="1"/>
  <c r="AC2224" i="1"/>
  <c r="AG2223" i="1"/>
  <c r="AD2223" i="1"/>
  <c r="AL2222" i="1"/>
  <c r="AG2222" i="1"/>
  <c r="AD2222" i="1"/>
  <c r="AL2221" i="1"/>
  <c r="AH2221" i="1"/>
  <c r="AF2221" i="1"/>
  <c r="AD2221" i="1"/>
  <c r="AG2220" i="1"/>
  <c r="AD2220" i="1"/>
  <c r="AJ2219" i="1"/>
  <c r="AH2219" i="1"/>
  <c r="AF2219" i="1"/>
  <c r="AD2219" i="1"/>
  <c r="AG2218" i="1"/>
  <c r="AC2218" i="1"/>
  <c r="AG2217" i="1"/>
  <c r="AC2217" i="1"/>
  <c r="AF2216" i="1"/>
  <c r="AC2216" i="1"/>
  <c r="AF2215" i="1"/>
  <c r="AD2215" i="1"/>
  <c r="AL2214" i="1"/>
  <c r="AI2214" i="1"/>
  <c r="AG2214" i="1"/>
  <c r="AE2214" i="1"/>
  <c r="AD2211" i="1"/>
  <c r="AH2210" i="1"/>
  <c r="AD2210" i="1"/>
  <c r="AH2209" i="1"/>
  <c r="AD2209" i="1"/>
  <c r="AH2208" i="1"/>
  <c r="AD2208" i="1"/>
  <c r="AL2207" i="1"/>
  <c r="AI2207" i="1"/>
  <c r="AF2207" i="1"/>
  <c r="AD2207" i="1"/>
  <c r="AL2206" i="1"/>
  <c r="AJ2206" i="1"/>
  <c r="AI2206" i="1"/>
  <c r="AG2206" i="1"/>
  <c r="AE2206" i="1"/>
  <c r="AC2206" i="1"/>
  <c r="AL2205" i="1"/>
  <c r="AH2205" i="1"/>
  <c r="AF2205" i="1"/>
  <c r="AD2205" i="1"/>
  <c r="AH2204" i="1"/>
  <c r="AD2204" i="1"/>
  <c r="AL2203" i="1"/>
  <c r="AH2203" i="1"/>
  <c r="AG2203" i="1"/>
  <c r="AD2203" i="1"/>
  <c r="AL2202" i="1"/>
  <c r="AI2202" i="1"/>
  <c r="AG2202" i="1"/>
  <c r="AD2202" i="1"/>
  <c r="AJ2201" i="1"/>
  <c r="AI2201" i="1"/>
  <c r="AG2201" i="1"/>
  <c r="AE2201" i="1"/>
  <c r="AL2200" i="1"/>
  <c r="AH2200" i="1"/>
  <c r="AF2200" i="1"/>
  <c r="AD2200" i="1"/>
  <c r="AL2199" i="1"/>
  <c r="AH2199" i="1"/>
  <c r="AE2199" i="1"/>
  <c r="AC2199" i="1"/>
  <c r="AE2198" i="1"/>
  <c r="AH2197" i="1"/>
  <c r="AF2197" i="1"/>
  <c r="AC2197" i="1"/>
  <c r="AG2196" i="1"/>
  <c r="AD2196" i="1"/>
  <c r="AD2195" i="1"/>
  <c r="AH2194" i="1"/>
  <c r="AD2194" i="1"/>
  <c r="AH2193" i="1"/>
  <c r="AE2193" i="1"/>
  <c r="AC2193" i="1"/>
  <c r="AG2192" i="1"/>
  <c r="AD2192" i="1"/>
  <c r="AE2191" i="1"/>
  <c r="AC2190" i="1"/>
  <c r="AF2189" i="1"/>
  <c r="AC2189" i="1"/>
  <c r="AE2188" i="1"/>
  <c r="AH2187" i="1"/>
  <c r="AE2187" i="1"/>
  <c r="AL2186" i="1"/>
  <c r="AH2186" i="1"/>
  <c r="AF2186" i="1"/>
  <c r="AC2186" i="1"/>
  <c r="AF2185" i="1"/>
  <c r="AC2185" i="1"/>
  <c r="AH2184" i="1"/>
  <c r="AE2184" i="1"/>
  <c r="AC2184" i="1"/>
  <c r="AD2144" i="1"/>
  <c r="AC2144" i="1"/>
  <c r="AG2142" i="1"/>
  <c r="AD2142" i="1"/>
  <c r="AH2141" i="1"/>
  <c r="AC2141" i="1"/>
  <c r="AC2140" i="1"/>
  <c r="AJ2139" i="1"/>
  <c r="AH2139" i="1"/>
  <c r="AD2139" i="1"/>
  <c r="AE2138" i="1"/>
  <c r="AJ2137" i="1"/>
  <c r="AH2137" i="1"/>
  <c r="AE2137" i="1"/>
  <c r="AJ2136" i="1"/>
  <c r="AH2136" i="1"/>
  <c r="AE2136" i="1"/>
  <c r="AI2135" i="1"/>
  <c r="AG2135" i="1"/>
  <c r="AD2135" i="1"/>
  <c r="AC2134" i="1"/>
  <c r="AL2133" i="1"/>
  <c r="AI2133" i="1"/>
  <c r="AF2133" i="1"/>
  <c r="AC2133" i="1"/>
  <c r="AL2132" i="1"/>
  <c r="AH2132" i="1"/>
  <c r="AF2132" i="1"/>
  <c r="AC2131" i="1"/>
  <c r="AL2130" i="1"/>
  <c r="AI2130" i="1"/>
  <c r="AG2130" i="1"/>
  <c r="AE2130" i="1"/>
  <c r="AH2129" i="1"/>
  <c r="AE2129" i="1"/>
  <c r="AE2128" i="1"/>
  <c r="AL2127" i="1"/>
  <c r="AJ2127" i="1"/>
  <c r="AH2127" i="1"/>
  <c r="AE2127" i="1"/>
  <c r="AJ2126" i="1"/>
  <c r="AF2126" i="1"/>
  <c r="AC2126" i="1"/>
  <c r="AL2125" i="1"/>
  <c r="AJ2125" i="1"/>
  <c r="AI2125" i="1"/>
  <c r="AG2125" i="1"/>
  <c r="AE2125" i="1"/>
  <c r="AJ2124" i="1"/>
  <c r="AH2124" i="1"/>
  <c r="AE2124" i="1"/>
  <c r="AI2123" i="1"/>
  <c r="AG2123" i="1"/>
  <c r="AC2123" i="1"/>
  <c r="AL2122" i="1"/>
  <c r="AI2122" i="1"/>
  <c r="AG2122" i="1"/>
  <c r="AD2122" i="1"/>
  <c r="AH2120" i="1"/>
  <c r="AC2120" i="1"/>
  <c r="AL2119" i="1"/>
  <c r="AI2119" i="1"/>
  <c r="AG2119" i="1"/>
  <c r="AD2119" i="1"/>
  <c r="AL2118" i="1"/>
  <c r="AH2118" i="1"/>
  <c r="AF2118" i="1"/>
  <c r="AI2117" i="1"/>
  <c r="AF2117" i="1"/>
  <c r="AC2116" i="1"/>
  <c r="AL2115" i="1"/>
  <c r="AI2115" i="1"/>
  <c r="AG2115" i="1"/>
  <c r="AL2114" i="1"/>
  <c r="AI2114" i="1"/>
  <c r="AF2114" i="1"/>
  <c r="AC2114" i="1"/>
  <c r="AL2113" i="1"/>
  <c r="AI2113" i="1"/>
  <c r="AD2113" i="1"/>
  <c r="AJ2112" i="1"/>
  <c r="AH2112" i="1"/>
  <c r="AD2112" i="1"/>
  <c r="AD2111" i="1"/>
  <c r="AL2110" i="1"/>
  <c r="AI2110" i="1"/>
  <c r="AF2110" i="1"/>
  <c r="AG2109" i="1"/>
  <c r="AD2109" i="1"/>
  <c r="AL2108" i="1"/>
  <c r="AJ2108" i="1"/>
  <c r="AH2108" i="1"/>
  <c r="AF2108" i="1"/>
  <c r="AC2108" i="1"/>
  <c r="AJ2107" i="1"/>
  <c r="AG2107" i="1"/>
  <c r="AC2107" i="1"/>
  <c r="AG2105" i="1"/>
  <c r="AD2105" i="1"/>
  <c r="AH2104" i="1"/>
  <c r="AD2104" i="1"/>
  <c r="AH2103" i="1"/>
  <c r="AF2103" i="1"/>
  <c r="AD2103" i="1"/>
  <c r="AL2102" i="1"/>
  <c r="AI2102" i="1"/>
  <c r="AG2102" i="1"/>
  <c r="AE2102" i="1"/>
  <c r="AI2101" i="1"/>
  <c r="AF2101" i="1"/>
  <c r="AD2101" i="1"/>
  <c r="AC2100" i="1"/>
  <c r="AL2099" i="1"/>
  <c r="AC2099" i="1"/>
  <c r="AC2098" i="1"/>
  <c r="AL2097" i="1"/>
  <c r="AI2097" i="1"/>
  <c r="AF2097" i="1"/>
  <c r="AJ2096" i="1"/>
  <c r="AI2096" i="1"/>
  <c r="AG2096" i="1"/>
  <c r="AC2096" i="1"/>
  <c r="AL2095" i="1"/>
  <c r="AJ2095" i="1"/>
  <c r="AH2095" i="1"/>
  <c r="AF2095" i="1"/>
  <c r="AD2095" i="1"/>
  <c r="AD2093" i="1"/>
  <c r="AL2092" i="1"/>
  <c r="AJ2092" i="1"/>
  <c r="AH2092" i="1"/>
  <c r="AF2092" i="1"/>
  <c r="AD2092" i="1"/>
  <c r="AE2091" i="1"/>
  <c r="AH2090" i="1"/>
  <c r="AF2090" i="1"/>
  <c r="AI2089" i="1"/>
  <c r="AF2089" i="1"/>
  <c r="AI2088" i="1"/>
  <c r="AD2088" i="1"/>
  <c r="AE2086" i="1"/>
  <c r="AC2085" i="1"/>
  <c r="AL2084" i="1"/>
  <c r="AI2084" i="1"/>
  <c r="AG2084" i="1"/>
  <c r="AD2084" i="1"/>
  <c r="AL2083" i="1"/>
  <c r="AJ2083" i="1"/>
  <c r="AH2083" i="1"/>
  <c r="AF2083" i="1"/>
  <c r="AC2083" i="1"/>
  <c r="AJ2081" i="1"/>
  <c r="AH2081" i="1"/>
  <c r="AE2081" i="1"/>
  <c r="AD2080" i="1"/>
  <c r="AL2079" i="1"/>
  <c r="AI2079" i="1"/>
  <c r="AG2079" i="1"/>
  <c r="AE2079" i="1"/>
  <c r="AC2079" i="1"/>
  <c r="AJ2078" i="1"/>
  <c r="AF2078" i="1"/>
  <c r="AD2078" i="1"/>
  <c r="AF2077" i="1"/>
  <c r="AI2076" i="1"/>
  <c r="AF2076" i="1"/>
  <c r="AI2075" i="1"/>
  <c r="AG2075" i="1"/>
  <c r="AD2075" i="1"/>
  <c r="AL2074" i="1"/>
  <c r="AJ2074" i="1"/>
  <c r="AH2074" i="1"/>
  <c r="AF2074" i="1"/>
  <c r="AC2074" i="1"/>
  <c r="AL2073" i="1"/>
  <c r="AI2073" i="1"/>
  <c r="AG2073" i="1"/>
  <c r="AD2073" i="1"/>
  <c r="AI2072" i="1"/>
  <c r="AG2072" i="1"/>
  <c r="AE2072" i="1"/>
  <c r="AI2071" i="1"/>
  <c r="AF2071" i="1"/>
  <c r="AC2071" i="1"/>
  <c r="AL2070" i="1"/>
  <c r="AI2070" i="1"/>
  <c r="AF2070" i="1"/>
  <c r="AC2070" i="1"/>
  <c r="AL2069" i="1"/>
  <c r="AH2069" i="1"/>
  <c r="AF2069" i="1"/>
  <c r="AI2068" i="1"/>
  <c r="AF2068" i="1"/>
  <c r="AD2068" i="1"/>
  <c r="AL2067" i="1"/>
  <c r="AJ2067" i="1"/>
  <c r="AI2067" i="1"/>
  <c r="AG2067" i="1"/>
  <c r="AC2067" i="1"/>
  <c r="AL2066" i="1"/>
  <c r="AJ2066" i="1"/>
  <c r="AH2066" i="1"/>
  <c r="AF2066" i="1"/>
  <c r="AD2066" i="1"/>
  <c r="AL2065" i="1"/>
  <c r="AI2065" i="1"/>
  <c r="AH2065" i="1"/>
  <c r="AF2065" i="1"/>
  <c r="AJ2064" i="1"/>
  <c r="AI2064" i="1"/>
  <c r="AD2064" i="1"/>
  <c r="AL2063" i="1"/>
  <c r="AI2063" i="1"/>
  <c r="AG2063" i="1"/>
  <c r="AE2063" i="1"/>
  <c r="AI2062" i="1"/>
  <c r="AF2062" i="1"/>
  <c r="AD2061" i="1"/>
  <c r="AL2060" i="1"/>
  <c r="AI2060" i="1"/>
  <c r="AF2060" i="1"/>
  <c r="AD2060" i="1"/>
  <c r="AF2059" i="1"/>
  <c r="AC2059" i="1"/>
  <c r="AH2058" i="1"/>
  <c r="AE2058" i="1"/>
  <c r="AC2058" i="1"/>
  <c r="AH2057" i="1"/>
  <c r="AD2057" i="1"/>
  <c r="AI2056" i="1"/>
  <c r="AF2056" i="1"/>
  <c r="AD2056" i="1"/>
  <c r="AD2055" i="1"/>
  <c r="AD2054" i="1"/>
  <c r="AJ2053" i="1"/>
  <c r="AF2053" i="1"/>
  <c r="AC2053" i="1"/>
  <c r="AL2052" i="1"/>
  <c r="AI2052" i="1"/>
  <c r="AF2052" i="1"/>
  <c r="AD2052" i="1"/>
  <c r="AI2051" i="1"/>
  <c r="AF2051" i="1"/>
  <c r="AC2051" i="1"/>
  <c r="AL2050" i="1"/>
  <c r="AJ2050" i="1"/>
  <c r="AI2050" i="1"/>
  <c r="AG2050" i="1"/>
  <c r="AD2050" i="1"/>
  <c r="AI2049" i="1"/>
  <c r="AF2049" i="1"/>
  <c r="AL2048" i="1"/>
  <c r="AG2048" i="1"/>
  <c r="AC2048" i="1"/>
  <c r="AC2047" i="1"/>
  <c r="AL2046" i="1"/>
  <c r="AJ2046" i="1"/>
  <c r="AI2046" i="1"/>
  <c r="AG2046" i="1"/>
  <c r="AI2045" i="1"/>
  <c r="AF2045" i="1"/>
  <c r="AC2045" i="1"/>
  <c r="AL2044" i="1"/>
  <c r="AI2044" i="1"/>
  <c r="AG2044" i="1"/>
  <c r="AE2044" i="1"/>
  <c r="AI2043" i="1"/>
  <c r="AG2043" i="1"/>
  <c r="AD2043" i="1"/>
  <c r="AL2042" i="1"/>
  <c r="AI2042" i="1"/>
  <c r="AE2042" i="1"/>
  <c r="AI2041" i="1"/>
  <c r="AF2041" i="1"/>
  <c r="AC2041" i="1"/>
  <c r="AL2040" i="1"/>
  <c r="AJ2040" i="1"/>
  <c r="AH2040" i="1"/>
  <c r="AF2040" i="1"/>
  <c r="AD2040" i="1"/>
  <c r="AD2039" i="1"/>
  <c r="AI2037" i="1"/>
  <c r="AE2037" i="1"/>
  <c r="AH2036" i="1"/>
  <c r="AE2036" i="1"/>
  <c r="AL2035" i="1"/>
  <c r="AJ2035" i="1"/>
  <c r="AH2035" i="1"/>
  <c r="AF2035" i="1"/>
  <c r="AJ2034" i="1"/>
  <c r="AH2034" i="1"/>
  <c r="AE2034" i="1"/>
  <c r="AL2033" i="1"/>
  <c r="AI2033" i="1"/>
  <c r="AH2033" i="1"/>
  <c r="AE2033" i="1"/>
  <c r="AI2032" i="1"/>
  <c r="AG2032" i="1"/>
  <c r="AF2032" i="1"/>
  <c r="AC2032" i="1"/>
  <c r="AF2031" i="1"/>
  <c r="AI2029" i="1"/>
  <c r="AD2029" i="1"/>
  <c r="AC2027" i="1"/>
  <c r="AL2026" i="1"/>
  <c r="AJ2026" i="1"/>
  <c r="AI2026" i="1"/>
  <c r="AH2026" i="1"/>
  <c r="AF2026" i="1"/>
  <c r="AD2026" i="1"/>
  <c r="AC2025" i="1"/>
  <c r="AL2024" i="1"/>
  <c r="AJ2024" i="1"/>
  <c r="AI2024" i="1"/>
  <c r="AF2024" i="1"/>
  <c r="AG2023" i="1"/>
  <c r="AC2023" i="1"/>
  <c r="AL2022" i="1"/>
  <c r="AI2022" i="1"/>
  <c r="AE2022" i="1"/>
  <c r="AD2020" i="1"/>
  <c r="AL2019" i="1"/>
  <c r="AJ2019" i="1"/>
  <c r="AH2019" i="1"/>
  <c r="AE2019" i="1"/>
  <c r="AJ2018" i="1"/>
  <c r="AH2018" i="1"/>
  <c r="AE2018" i="1"/>
  <c r="AC2018" i="1"/>
  <c r="AE2017" i="1"/>
  <c r="AJ2016" i="1"/>
  <c r="AG2016" i="1"/>
  <c r="AE2016" i="1"/>
  <c r="AC2016" i="1"/>
  <c r="AD2015" i="1"/>
  <c r="AC2014" i="1"/>
  <c r="AD2013" i="1"/>
  <c r="AH2012" i="1"/>
  <c r="AE2012" i="1"/>
  <c r="AC2012" i="1"/>
  <c r="AJ2011" i="1"/>
  <c r="AD2011" i="1"/>
  <c r="AC2010" i="1"/>
  <c r="AL2009" i="1"/>
  <c r="AJ2009" i="1"/>
  <c r="AI2009" i="1"/>
  <c r="AH2009" i="1"/>
  <c r="AG2009" i="1"/>
  <c r="AE2009" i="1"/>
  <c r="AC2005" i="1"/>
  <c r="AL2004" i="1"/>
  <c r="AI2004" i="1"/>
  <c r="AG2004" i="1"/>
  <c r="AC2004" i="1"/>
  <c r="AL2003" i="1"/>
  <c r="AI2003" i="1"/>
  <c r="AC2003" i="1"/>
  <c r="AL2002" i="1"/>
  <c r="AI2002" i="1"/>
  <c r="AG2002" i="1"/>
  <c r="AE2002" i="1"/>
  <c r="AC2001" i="1"/>
  <c r="AJ2000" i="1"/>
  <c r="AH2000" i="1"/>
  <c r="AE2000" i="1"/>
  <c r="AL1999" i="1"/>
  <c r="AJ1999" i="1"/>
  <c r="AI1999" i="1"/>
  <c r="AG1999" i="1"/>
  <c r="AC1999" i="1"/>
  <c r="AL1998" i="1"/>
  <c r="AJ1998" i="1"/>
  <c r="AI1998" i="1"/>
  <c r="AF1998" i="1"/>
  <c r="AC1998" i="1"/>
  <c r="AL1997" i="1"/>
  <c r="AJ1997" i="1"/>
  <c r="AI1997" i="1"/>
  <c r="AG1997" i="1"/>
  <c r="AD1996" i="1"/>
  <c r="AL1995" i="1"/>
  <c r="AJ1995" i="1"/>
  <c r="AH1995" i="1"/>
  <c r="AF1995" i="1"/>
  <c r="AC1995" i="1"/>
  <c r="AL1994" i="1"/>
  <c r="AI1994" i="1"/>
  <c r="AG1994" i="1"/>
  <c r="AC1993" i="1"/>
  <c r="AL1992" i="1"/>
  <c r="AJ1992" i="1"/>
  <c r="AI1992" i="1"/>
  <c r="AG1992" i="1"/>
  <c r="AD1992" i="1"/>
  <c r="AL1991" i="1"/>
  <c r="AI1991" i="1"/>
  <c r="AF1991" i="1"/>
  <c r="AC1991" i="1"/>
  <c r="AL1990" i="1"/>
  <c r="AI1990" i="1"/>
  <c r="AG1990" i="1"/>
  <c r="AE1990" i="1"/>
  <c r="AH1989" i="1"/>
  <c r="AE1989" i="1"/>
  <c r="AL1988" i="1"/>
  <c r="AI1988" i="1"/>
  <c r="AG1988" i="1"/>
  <c r="AD1988" i="1"/>
  <c r="AL1987" i="1"/>
  <c r="AI1987" i="1"/>
  <c r="AF1987" i="1"/>
  <c r="AC1987" i="1"/>
  <c r="AL1986" i="1"/>
  <c r="AI1986" i="1"/>
  <c r="AG1986" i="1"/>
  <c r="AD1986" i="1"/>
  <c r="AL1985" i="1"/>
  <c r="AJ1985" i="1"/>
  <c r="AH1985" i="1"/>
  <c r="AF1985" i="1"/>
  <c r="AC1985" i="1"/>
  <c r="AJ1984" i="1"/>
  <c r="AH1984" i="1"/>
  <c r="AD1984" i="1"/>
  <c r="AH1982" i="1"/>
  <c r="AD1982" i="1"/>
  <c r="AL1981" i="1"/>
  <c r="AJ1981" i="1"/>
  <c r="AG1981" i="1"/>
  <c r="AL1980" i="1"/>
  <c r="AI1980" i="1"/>
  <c r="AF1980" i="1"/>
  <c r="AE1979" i="1"/>
  <c r="AH1976" i="1"/>
  <c r="AF1976" i="1"/>
  <c r="AL1975" i="1"/>
  <c r="AJ1975" i="1"/>
  <c r="AH1975" i="1"/>
  <c r="AE1975" i="1"/>
  <c r="AH1974" i="1"/>
  <c r="AF1974" i="1"/>
  <c r="AC1974" i="1"/>
  <c r="AL1973" i="1"/>
  <c r="AJ1973" i="1"/>
  <c r="AI1973" i="1"/>
  <c r="AG1973" i="1"/>
  <c r="AE1973" i="1"/>
  <c r="AD1972" i="1"/>
  <c r="AL1971" i="1"/>
  <c r="AI1971" i="1"/>
  <c r="AH1971" i="1"/>
  <c r="AD1971" i="1"/>
  <c r="AL1970" i="1"/>
  <c r="AJ1970" i="1"/>
  <c r="AH1970" i="1"/>
  <c r="AD1970" i="1"/>
  <c r="AL1969" i="1"/>
  <c r="AJ1969" i="1"/>
  <c r="AH1969" i="1"/>
  <c r="AD1969" i="1"/>
  <c r="AL1968" i="1"/>
  <c r="AJ1968" i="1"/>
  <c r="AH1968" i="1"/>
  <c r="AG1968" i="1"/>
  <c r="AE1968" i="1"/>
  <c r="AC1968" i="1"/>
  <c r="AH1967" i="1"/>
  <c r="AE1967" i="1"/>
  <c r="AC1967" i="1"/>
  <c r="AD1966" i="1"/>
  <c r="AE1965" i="1"/>
  <c r="AE1964" i="1"/>
  <c r="AC1964" i="1"/>
  <c r="AL1963" i="1"/>
  <c r="AJ1963" i="1"/>
  <c r="AH1963" i="1"/>
  <c r="AF1963" i="1"/>
  <c r="AD1963" i="1"/>
  <c r="AH1962" i="1"/>
  <c r="AE1962" i="1"/>
  <c r="AH1961" i="1"/>
  <c r="AF1961" i="1"/>
  <c r="AL1960" i="1"/>
  <c r="AJ1960" i="1"/>
  <c r="AI1960" i="1"/>
  <c r="AH1960" i="1"/>
  <c r="AC1960" i="1"/>
  <c r="AL1959" i="1"/>
  <c r="AJ1959" i="1"/>
  <c r="AH1959" i="1"/>
  <c r="AE1959" i="1"/>
  <c r="AI1958" i="1"/>
  <c r="AF1958" i="1"/>
  <c r="AD1958" i="1"/>
  <c r="AL1957" i="1"/>
  <c r="AJ1957" i="1"/>
  <c r="AH1957" i="1"/>
  <c r="AH1956" i="1"/>
  <c r="AF1956" i="1"/>
  <c r="AD1956" i="1"/>
  <c r="AC1955" i="1"/>
  <c r="AL1954" i="1"/>
  <c r="AJ1954" i="1"/>
  <c r="AH1954" i="1"/>
  <c r="AF1954" i="1"/>
  <c r="AF1953" i="1"/>
  <c r="AC1953" i="1"/>
  <c r="AL1952" i="1"/>
  <c r="AI1952" i="1"/>
  <c r="AG1952" i="1"/>
  <c r="AD1952" i="1"/>
  <c r="AL1951" i="1"/>
  <c r="AI1951" i="1"/>
  <c r="AG1951" i="1"/>
  <c r="AD1951" i="1"/>
  <c r="AL1950" i="1"/>
  <c r="AJ1950" i="1"/>
  <c r="AG1950" i="1"/>
  <c r="AD1950" i="1"/>
  <c r="AD1949" i="1"/>
  <c r="AD1948" i="1"/>
  <c r="AC1947" i="1"/>
  <c r="AL1946" i="1"/>
  <c r="AJ1946" i="1"/>
  <c r="AI1946" i="1"/>
  <c r="AG1946" i="1"/>
  <c r="AE1946" i="1"/>
  <c r="AI1945" i="1"/>
  <c r="AF1945" i="1"/>
  <c r="AC1945" i="1"/>
  <c r="AL1944" i="1"/>
  <c r="AJ1944" i="1"/>
  <c r="AI1944" i="1"/>
  <c r="AG1944" i="1"/>
  <c r="AD1944" i="1"/>
  <c r="AL1943" i="1"/>
  <c r="AI1943" i="1"/>
  <c r="AH1943" i="1"/>
  <c r="AF1943" i="1"/>
  <c r="AD1943" i="1"/>
  <c r="AD1942" i="1"/>
  <c r="AE1941" i="1"/>
  <c r="AG1940" i="1"/>
  <c r="AE1940" i="1"/>
  <c r="AC1939" i="1"/>
  <c r="AL1938" i="1"/>
  <c r="AJ1938" i="1"/>
  <c r="AI1938" i="1"/>
  <c r="AG1938" i="1"/>
  <c r="AE1938" i="1"/>
  <c r="AC1938" i="1"/>
  <c r="AL1937" i="1"/>
  <c r="AJ1937" i="1"/>
  <c r="AI1937" i="1"/>
  <c r="AG1937" i="1"/>
  <c r="AE1937" i="1"/>
  <c r="AJ1936" i="1"/>
  <c r="AH1936" i="1"/>
  <c r="AD1936" i="1"/>
  <c r="AL1935" i="1"/>
  <c r="AJ1935" i="1"/>
  <c r="AI1935" i="1"/>
  <c r="AD1935" i="1"/>
  <c r="AH1933" i="1"/>
  <c r="AE1933" i="1"/>
  <c r="AJ1932" i="1"/>
  <c r="AI1932" i="1"/>
  <c r="AF1932" i="1"/>
  <c r="AJ1931" i="1"/>
  <c r="AG1931" i="1"/>
  <c r="AC1931" i="1"/>
  <c r="AL1930" i="1"/>
  <c r="AJ1930" i="1"/>
  <c r="AI1930" i="1"/>
  <c r="AG1930" i="1"/>
  <c r="AC1930" i="1"/>
  <c r="AL1929" i="1"/>
  <c r="AJ1929" i="1"/>
  <c r="AH1929" i="1"/>
  <c r="AE1929" i="1"/>
  <c r="AG1928" i="1"/>
  <c r="AD1928" i="1"/>
  <c r="AD1927" i="1"/>
  <c r="AL1926" i="1"/>
  <c r="AJ1926" i="1"/>
  <c r="AH1926" i="1"/>
  <c r="AF1926" i="1"/>
  <c r="AD1926" i="1"/>
  <c r="AC1926" i="1"/>
  <c r="AL1925" i="1"/>
  <c r="AI1925" i="1"/>
  <c r="AG1925" i="1"/>
  <c r="AE1925" i="1"/>
  <c r="AL1924" i="1"/>
  <c r="AJ1924" i="1"/>
  <c r="AI1924" i="1"/>
  <c r="AG1924" i="1"/>
  <c r="AE1924" i="1"/>
  <c r="AH1923" i="1"/>
  <c r="AC1923" i="1"/>
  <c r="AL1922" i="1"/>
  <c r="AJ1922" i="1"/>
  <c r="AI1922" i="1"/>
  <c r="AG1922" i="1"/>
  <c r="AD1922" i="1"/>
  <c r="AD1921" i="1"/>
  <c r="AJ1920" i="1"/>
  <c r="AH1920" i="1"/>
  <c r="AF1920" i="1"/>
  <c r="AD1920" i="1"/>
  <c r="AF1919" i="1"/>
  <c r="AD1919" i="1"/>
  <c r="AE1918" i="1"/>
  <c r="AL1917" i="1"/>
  <c r="AI1917" i="1"/>
  <c r="AG1917" i="1"/>
  <c r="AD1917" i="1"/>
  <c r="AL1916" i="1"/>
  <c r="AI1916" i="1"/>
  <c r="AG1916" i="1"/>
  <c r="AD1916" i="1"/>
  <c r="AE1915" i="1"/>
  <c r="AJ1914" i="1"/>
  <c r="AI1914" i="1"/>
  <c r="AG1914" i="1"/>
  <c r="AD1914" i="1"/>
  <c r="AG1913" i="1"/>
  <c r="AC1913" i="1"/>
  <c r="AL1912" i="1"/>
  <c r="AJ1912" i="1"/>
  <c r="AH1912" i="1"/>
  <c r="AF1912" i="1"/>
  <c r="AD1912" i="1"/>
  <c r="AL1911" i="1"/>
  <c r="AJ1911" i="1"/>
  <c r="AH1911" i="1"/>
  <c r="AF1911" i="1"/>
  <c r="AD1911" i="1"/>
  <c r="AE1910" i="1"/>
  <c r="AH1909" i="1"/>
  <c r="AE1909" i="1"/>
  <c r="AH1908" i="1"/>
  <c r="AG1908" i="1"/>
  <c r="AD1908" i="1"/>
  <c r="AI1906" i="1"/>
  <c r="AF1906" i="1"/>
  <c r="AD1906" i="1"/>
  <c r="AH1904" i="1"/>
  <c r="AD1904" i="1"/>
  <c r="AL1903" i="1"/>
  <c r="AI1903" i="1"/>
  <c r="AG1903" i="1"/>
  <c r="AD1903" i="1"/>
  <c r="AD1902" i="1"/>
  <c r="AL1901" i="1"/>
  <c r="AI1901" i="1"/>
  <c r="AG1901" i="1"/>
  <c r="AC1901" i="1"/>
  <c r="AL1900" i="1"/>
  <c r="AI1900" i="1"/>
  <c r="AG1900" i="1"/>
  <c r="AD1900" i="1"/>
  <c r="AL1899" i="1"/>
  <c r="AJ1899" i="1"/>
  <c r="AH1899" i="1"/>
  <c r="AE1899" i="1"/>
  <c r="AL1898" i="1"/>
  <c r="AJ1898" i="1"/>
  <c r="AD1898" i="1"/>
  <c r="AC1897" i="1"/>
  <c r="AC1896" i="1"/>
  <c r="AL1895" i="1"/>
  <c r="AJ1895" i="1"/>
  <c r="AG1895" i="1"/>
  <c r="AD1895" i="1"/>
  <c r="AE1894" i="1"/>
  <c r="AH1893" i="1"/>
  <c r="AH1892" i="1"/>
  <c r="AE1892" i="1"/>
  <c r="AC1892" i="1"/>
  <c r="AL1891" i="1"/>
  <c r="AI1891" i="1"/>
  <c r="AG1891" i="1"/>
  <c r="AE1891" i="1"/>
  <c r="AH1890" i="1"/>
  <c r="AF1890" i="1"/>
  <c r="AC1890" i="1"/>
  <c r="AL1889" i="1"/>
  <c r="AI1889" i="1"/>
  <c r="AG1889" i="1"/>
  <c r="AE1889" i="1"/>
  <c r="AI1888" i="1"/>
  <c r="AG1888" i="1"/>
  <c r="AD1888" i="1"/>
  <c r="AC1887" i="1"/>
  <c r="AL1886" i="1"/>
  <c r="AJ1886" i="1"/>
  <c r="AI1886" i="1"/>
  <c r="AG1886" i="1"/>
  <c r="AE1886" i="1"/>
  <c r="AC1886" i="1"/>
  <c r="AL1885" i="1"/>
  <c r="AI1885" i="1"/>
  <c r="AG1885" i="1"/>
  <c r="AC1885" i="1"/>
  <c r="AL1884" i="1"/>
  <c r="AI1884" i="1"/>
  <c r="AG1884" i="1"/>
  <c r="AD1884" i="1"/>
  <c r="AL1883" i="1"/>
  <c r="AJ1883" i="1"/>
  <c r="AH1883" i="1"/>
  <c r="AF1883" i="1"/>
  <c r="AD1883" i="1"/>
  <c r="AH1881" i="1"/>
  <c r="AF1881" i="1"/>
  <c r="AC1881" i="1"/>
  <c r="AL1880" i="1"/>
  <c r="AH1880" i="1"/>
  <c r="AL1878" i="1"/>
  <c r="AI1878" i="1"/>
  <c r="AG1878" i="1"/>
  <c r="AD1878" i="1"/>
  <c r="AL1877" i="1"/>
  <c r="AI1877" i="1"/>
  <c r="AG1877" i="1"/>
  <c r="AD1877" i="1"/>
  <c r="AH1876" i="1"/>
  <c r="AF1876" i="1"/>
  <c r="AJ1875" i="1"/>
  <c r="AH1875" i="1"/>
  <c r="AE1875" i="1"/>
  <c r="AE1874" i="1"/>
  <c r="AI1873" i="1"/>
  <c r="AG1873" i="1"/>
  <c r="AE1873" i="1"/>
  <c r="AF1872" i="1"/>
  <c r="AC1872" i="1"/>
  <c r="AL1871" i="1"/>
  <c r="AI1871" i="1"/>
  <c r="AG1871" i="1"/>
  <c r="AC1871" i="1"/>
  <c r="AF1869" i="1"/>
  <c r="AC1869" i="1"/>
  <c r="AL1868" i="1"/>
  <c r="AH1868" i="1"/>
  <c r="AE1868" i="1"/>
  <c r="AD1867" i="1"/>
  <c r="AL1866" i="1"/>
  <c r="AI1866" i="1"/>
  <c r="AG1866" i="1"/>
  <c r="AE1866" i="1"/>
  <c r="AI1865" i="1"/>
  <c r="AG1865" i="1"/>
  <c r="AC1865" i="1"/>
  <c r="AL1864" i="1"/>
  <c r="AI1864" i="1"/>
  <c r="AD1864" i="1"/>
  <c r="AJ1863" i="1"/>
  <c r="AI1863" i="1"/>
  <c r="AH1863" i="1"/>
  <c r="AE1863" i="1"/>
  <c r="AC1863" i="1"/>
  <c r="AI1862" i="1"/>
  <c r="AG1862" i="1"/>
  <c r="AE1862" i="1"/>
  <c r="AC1862" i="1"/>
  <c r="AH1861" i="1"/>
  <c r="AF1861" i="1"/>
  <c r="AD1861" i="1"/>
  <c r="AL1860" i="1"/>
  <c r="AH1860" i="1"/>
  <c r="AD1860" i="1"/>
  <c r="AL1859" i="1"/>
  <c r="AI1859" i="1"/>
  <c r="AG1859" i="1"/>
  <c r="AD1859" i="1"/>
  <c r="AL1858" i="1"/>
  <c r="AI1858" i="1"/>
  <c r="AG1858" i="1"/>
  <c r="AC1858" i="1"/>
  <c r="AL1857" i="1"/>
  <c r="AI1857" i="1"/>
  <c r="AG1857" i="1"/>
  <c r="AD1857" i="1"/>
  <c r="AE1856" i="1"/>
  <c r="AH1855" i="1"/>
  <c r="AE1855" i="1"/>
  <c r="AL1854" i="1"/>
  <c r="AJ1854" i="1"/>
  <c r="AI1854" i="1"/>
  <c r="AG1854" i="1"/>
  <c r="AE1854" i="1"/>
  <c r="AJ1853" i="1"/>
  <c r="AI1853" i="1"/>
  <c r="AF1853" i="1"/>
  <c r="AC1853" i="1"/>
  <c r="AL1852" i="1"/>
  <c r="AI1852" i="1"/>
  <c r="AG1852" i="1"/>
  <c r="AE1852" i="1"/>
  <c r="AI1851" i="1"/>
  <c r="AG1851" i="1"/>
  <c r="AD1851" i="1"/>
  <c r="AD1850" i="1"/>
  <c r="AH1849" i="1"/>
  <c r="AF1849" i="1"/>
  <c r="AD1849" i="1"/>
  <c r="AD1848" i="1"/>
  <c r="AF1847" i="1"/>
  <c r="AC1847" i="1"/>
  <c r="AL1846" i="1"/>
  <c r="AJ1846" i="1"/>
  <c r="AH1846" i="1"/>
  <c r="AF1846" i="1"/>
  <c r="AD1846" i="1"/>
  <c r="AL1845" i="1"/>
  <c r="AI1845" i="1"/>
  <c r="AG1845" i="1"/>
  <c r="AE1845" i="1"/>
  <c r="AC1845" i="1"/>
  <c r="AL1844" i="1"/>
  <c r="AI1844" i="1"/>
  <c r="AF1844" i="1"/>
  <c r="AD1844" i="1"/>
  <c r="AH1843" i="1"/>
  <c r="AD1843" i="1"/>
  <c r="AL1842" i="1"/>
  <c r="AJ1842" i="1"/>
  <c r="AH1842" i="1"/>
  <c r="AF1842" i="1"/>
  <c r="AC1842" i="1"/>
  <c r="AE1841" i="1"/>
  <c r="AH1840" i="1"/>
  <c r="AF1840" i="1"/>
  <c r="AC1840" i="1"/>
  <c r="AL1839" i="1"/>
  <c r="AJ1839" i="1"/>
  <c r="AI1839" i="1"/>
  <c r="AG1839" i="1"/>
  <c r="AE1839" i="1"/>
  <c r="AC1839" i="1"/>
  <c r="AF1838" i="1"/>
  <c r="AJ1837" i="1"/>
  <c r="AI1837" i="1"/>
  <c r="AG1837" i="1"/>
  <c r="AC1835" i="1"/>
  <c r="AL1833" i="1"/>
  <c r="AH1833" i="1"/>
  <c r="AF1833" i="1"/>
  <c r="AC1833" i="1"/>
  <c r="AL1832" i="1"/>
  <c r="AI1832" i="1"/>
  <c r="AG1832" i="1"/>
  <c r="AD1832" i="1"/>
  <c r="AJ1829" i="1"/>
  <c r="AI1829" i="1"/>
  <c r="AE1829" i="1"/>
  <c r="AJ1826" i="1"/>
  <c r="AH1826" i="1"/>
  <c r="AE1825" i="1"/>
  <c r="AJ1824" i="1"/>
  <c r="AH1824" i="1"/>
  <c r="AF1824" i="1"/>
  <c r="AL1823" i="1"/>
  <c r="AH1823" i="1"/>
  <c r="AF1823" i="1"/>
  <c r="AC1823" i="1"/>
  <c r="AJ1822" i="1"/>
  <c r="AH1822" i="1"/>
  <c r="AC1822" i="1"/>
  <c r="AL1821" i="1"/>
  <c r="AH1821" i="1"/>
  <c r="AL1820" i="1"/>
  <c r="AI1820" i="1"/>
  <c r="AF1820" i="1"/>
  <c r="AF1819" i="1"/>
  <c r="AC1819" i="1"/>
  <c r="AJ1818" i="1"/>
  <c r="AH1818" i="1"/>
  <c r="AF1818" i="1"/>
  <c r="AC1818" i="1"/>
  <c r="AL1817" i="1"/>
  <c r="AJ1817" i="1"/>
  <c r="AC1817" i="1"/>
  <c r="AJ1816" i="1"/>
  <c r="AH1816" i="1"/>
  <c r="AD1816" i="1"/>
  <c r="AJ1815" i="1"/>
  <c r="AH1815" i="1"/>
  <c r="AD1815" i="1"/>
  <c r="AL1814" i="1"/>
  <c r="AH1814" i="1"/>
  <c r="AL1812" i="1"/>
  <c r="AG1812" i="1"/>
  <c r="AD1812" i="1"/>
  <c r="AL1811" i="1"/>
  <c r="AJ1811" i="1"/>
  <c r="AH1811" i="1"/>
  <c r="AC1811" i="1"/>
  <c r="AJ1810" i="1"/>
  <c r="AH1810" i="1"/>
  <c r="AF1810" i="1"/>
  <c r="AJ1809" i="1"/>
  <c r="AH1809" i="1"/>
  <c r="AE1809" i="1"/>
  <c r="AG1807" i="1"/>
  <c r="AD1807" i="1"/>
  <c r="AE1806" i="1"/>
  <c r="AJ1804" i="1"/>
  <c r="AI1802" i="1"/>
  <c r="AG1802" i="1"/>
  <c r="AD1802" i="1"/>
  <c r="AJ1801" i="1"/>
  <c r="AH1801" i="1"/>
  <c r="AF1801" i="1"/>
  <c r="AJ1799" i="1"/>
  <c r="AC1799" i="1"/>
  <c r="AL1798" i="1"/>
  <c r="AI1798" i="1"/>
  <c r="AF1798" i="1"/>
  <c r="AC1798" i="1"/>
  <c r="AJ1796" i="1"/>
  <c r="AH1796" i="1"/>
  <c r="AE1796" i="1"/>
  <c r="AJ1795" i="1"/>
  <c r="AG1795" i="1"/>
  <c r="AD1795" i="1"/>
  <c r="AJ1793" i="1"/>
  <c r="AC1793" i="1"/>
  <c r="AJ1792" i="1"/>
  <c r="AI1792" i="1"/>
  <c r="AF1784" i="1"/>
  <c r="AH1783" i="1"/>
  <c r="AC1783" i="1"/>
  <c r="AG1782" i="1"/>
  <c r="AL1780" i="1"/>
  <c r="AE1780" i="1"/>
  <c r="AL1779" i="1"/>
  <c r="AF1779" i="1"/>
  <c r="AJ1777" i="1"/>
  <c r="AF1777" i="1"/>
  <c r="AI1776" i="1"/>
  <c r="AE1776" i="1"/>
  <c r="AH1775" i="1"/>
  <c r="AE1775" i="1"/>
  <c r="AL1774" i="1"/>
  <c r="AJ1769" i="1"/>
  <c r="AC1769" i="1"/>
  <c r="AL1768" i="1"/>
  <c r="AI1767" i="1"/>
  <c r="AH1765" i="1"/>
  <c r="AL1762" i="1"/>
  <c r="AG1762" i="1"/>
  <c r="AL1761" i="1"/>
  <c r="AH1761" i="1"/>
  <c r="AL1760" i="1"/>
  <c r="AF1760" i="1"/>
  <c r="AL1759" i="1"/>
  <c r="AL1758" i="1"/>
  <c r="AH1758" i="1"/>
  <c r="AD1757" i="1"/>
  <c r="AI1756" i="1"/>
  <c r="AC1756" i="1"/>
  <c r="AI1755" i="1"/>
  <c r="AD1755" i="1"/>
  <c r="AJ1754" i="1"/>
  <c r="AF1754" i="1"/>
  <c r="AC1754" i="1"/>
  <c r="AL1753" i="1"/>
  <c r="AL1752" i="1"/>
  <c r="AG1752" i="1"/>
  <c r="AL1751" i="1"/>
  <c r="AG1751" i="1"/>
  <c r="AL1750" i="1"/>
  <c r="AF1750" i="1"/>
  <c r="AC1750" i="1"/>
  <c r="AL1749" i="1"/>
  <c r="AE1749" i="1"/>
  <c r="AL1748" i="1"/>
  <c r="AG1748" i="1"/>
  <c r="AJ1747" i="1"/>
  <c r="AL1746" i="1"/>
  <c r="AD1746" i="1"/>
  <c r="AL1745" i="1"/>
  <c r="AE3062" i="1"/>
  <c r="AD3062" i="1"/>
  <c r="AC3062" i="1"/>
  <c r="AL3061" i="1"/>
  <c r="AJ3061" i="1"/>
  <c r="AI3061" i="1"/>
  <c r="AH3061" i="1"/>
  <c r="AG3061" i="1"/>
  <c r="AF3061" i="1"/>
  <c r="AE3061" i="1"/>
  <c r="AD3061" i="1"/>
  <c r="AC3061" i="1"/>
  <c r="AL3060" i="1"/>
  <c r="AJ3060" i="1"/>
  <c r="AI3060" i="1"/>
  <c r="AH3060" i="1"/>
  <c r="AG3060" i="1"/>
  <c r="AF3060" i="1"/>
  <c r="AE3060" i="1"/>
  <c r="AD3060" i="1"/>
  <c r="AC3060" i="1"/>
  <c r="AL3059" i="1"/>
  <c r="AJ3059" i="1"/>
  <c r="AI3059" i="1"/>
  <c r="AH3059" i="1"/>
  <c r="AG3059" i="1"/>
  <c r="AF3059" i="1"/>
  <c r="AE3059" i="1"/>
  <c r="AD3059" i="1"/>
  <c r="AC3059" i="1"/>
  <c r="AL3058" i="1"/>
  <c r="AJ3058" i="1"/>
  <c r="AI3058" i="1"/>
  <c r="AH3058" i="1"/>
  <c r="AG3058" i="1"/>
  <c r="AF3058" i="1"/>
  <c r="AE3058" i="1"/>
  <c r="AD3058" i="1"/>
  <c r="AC3058" i="1"/>
  <c r="AL3057" i="1"/>
  <c r="AJ3057" i="1"/>
  <c r="AI3057" i="1"/>
  <c r="AH3057" i="1"/>
  <c r="AG3057" i="1"/>
  <c r="AF3057" i="1"/>
  <c r="AE3057" i="1"/>
  <c r="AD3057" i="1"/>
  <c r="AC3057" i="1"/>
  <c r="AL3056" i="1"/>
  <c r="AJ3056" i="1"/>
  <c r="AI3056" i="1"/>
  <c r="AH3056" i="1"/>
  <c r="AG3056" i="1"/>
  <c r="AF3056" i="1"/>
  <c r="AE3056" i="1"/>
  <c r="AD3056" i="1"/>
  <c r="AC3056" i="1"/>
  <c r="AL3055" i="1"/>
  <c r="AJ3055" i="1"/>
  <c r="AI3055" i="1"/>
  <c r="AH3055" i="1"/>
  <c r="AG3055" i="1"/>
  <c r="AF3055" i="1"/>
  <c r="AE3055" i="1"/>
  <c r="AD3055" i="1"/>
  <c r="AC3055" i="1"/>
  <c r="AL3054" i="1"/>
  <c r="AJ3054" i="1"/>
  <c r="AI3054" i="1"/>
  <c r="AH3054" i="1"/>
  <c r="AG3054" i="1"/>
  <c r="AF3054" i="1"/>
  <c r="AE3054" i="1"/>
  <c r="AD3054" i="1"/>
  <c r="AC3054" i="1"/>
  <c r="AL3053" i="1"/>
  <c r="AJ3053" i="1"/>
  <c r="AI3053" i="1"/>
  <c r="AH3053" i="1"/>
  <c r="AG3053" i="1"/>
  <c r="AF3053" i="1"/>
  <c r="AE3053" i="1"/>
  <c r="AD3053" i="1"/>
  <c r="AC3053" i="1"/>
  <c r="AL3052" i="1"/>
  <c r="AJ3052" i="1"/>
  <c r="AI3052" i="1"/>
  <c r="AH3052" i="1"/>
  <c r="AG3052" i="1"/>
  <c r="AF3052" i="1"/>
  <c r="AE3052" i="1"/>
  <c r="AD3052" i="1"/>
  <c r="AC3052" i="1"/>
  <c r="AL3051" i="1"/>
  <c r="AJ3051" i="1"/>
  <c r="AI3051" i="1"/>
  <c r="AH3051" i="1"/>
  <c r="AG3051" i="1"/>
  <c r="AF3051" i="1"/>
  <c r="AE3051" i="1"/>
  <c r="AD3051" i="1"/>
  <c r="AC3051" i="1"/>
  <c r="AL3050" i="1"/>
  <c r="AJ3050" i="1"/>
  <c r="AI3050" i="1"/>
  <c r="AH3050" i="1"/>
  <c r="AG3050" i="1"/>
  <c r="AF3050" i="1"/>
  <c r="AE3050" i="1"/>
  <c r="AD3050" i="1"/>
  <c r="AC3050" i="1"/>
  <c r="AL3049" i="1"/>
  <c r="AJ3049" i="1"/>
  <c r="AI3049" i="1"/>
  <c r="AH3049" i="1"/>
  <c r="AG3049" i="1"/>
  <c r="AF3049" i="1"/>
  <c r="AE3049" i="1"/>
  <c r="AD3049" i="1"/>
  <c r="AC3049" i="1"/>
  <c r="AL3048" i="1"/>
  <c r="AJ3048" i="1"/>
  <c r="AI3048" i="1"/>
  <c r="AH3048" i="1"/>
  <c r="AG3048" i="1"/>
  <c r="AF3048" i="1"/>
  <c r="AE3048" i="1"/>
  <c r="AD3048" i="1"/>
  <c r="AC3048" i="1"/>
  <c r="AL3047" i="1"/>
  <c r="AJ3047" i="1"/>
  <c r="AI3047" i="1"/>
  <c r="AH3047" i="1"/>
  <c r="AG3047" i="1"/>
  <c r="AF3047" i="1"/>
  <c r="AE3047" i="1"/>
  <c r="AD3047" i="1"/>
  <c r="AC3047" i="1"/>
  <c r="AL3046" i="1"/>
  <c r="AJ3046" i="1"/>
  <c r="AI3046" i="1"/>
  <c r="AH3046" i="1"/>
  <c r="AG3046" i="1"/>
  <c r="AF3046" i="1"/>
  <c r="AE3046" i="1"/>
  <c r="AD3046" i="1"/>
  <c r="AC3046" i="1"/>
  <c r="AL3045" i="1"/>
  <c r="AJ3045" i="1"/>
  <c r="AI3045" i="1"/>
  <c r="AH3045" i="1"/>
  <c r="AG3045" i="1"/>
  <c r="AF3045" i="1"/>
  <c r="AE3045" i="1"/>
  <c r="AD3045" i="1"/>
  <c r="AC3045" i="1"/>
  <c r="AL3044" i="1"/>
  <c r="AJ3044" i="1"/>
  <c r="AI3044" i="1"/>
  <c r="AH3044" i="1"/>
  <c r="AG3044" i="1"/>
  <c r="AF3044" i="1"/>
  <c r="AE3044" i="1"/>
  <c r="AD3044" i="1"/>
  <c r="AC3044" i="1"/>
  <c r="AL3043" i="1"/>
  <c r="AJ3043" i="1"/>
  <c r="AI3043" i="1"/>
  <c r="AH3043" i="1"/>
  <c r="AG3043" i="1"/>
  <c r="AF3043" i="1"/>
  <c r="AE3043" i="1"/>
  <c r="AD3043" i="1"/>
  <c r="AC3043" i="1"/>
  <c r="AL3042" i="1"/>
  <c r="AJ3042" i="1"/>
  <c r="AI3042" i="1"/>
  <c r="AH3042" i="1"/>
  <c r="AG3042" i="1"/>
  <c r="AF3042" i="1"/>
  <c r="AE3042" i="1"/>
  <c r="AD3042" i="1"/>
  <c r="AC3042" i="1"/>
  <c r="AL3041" i="1"/>
  <c r="AJ3041" i="1"/>
  <c r="AI3041" i="1"/>
  <c r="AH3041" i="1"/>
  <c r="AG3041" i="1"/>
  <c r="AF3041" i="1"/>
  <c r="AE3041" i="1"/>
  <c r="AD3041" i="1"/>
  <c r="AC3041" i="1"/>
  <c r="AL3040" i="1"/>
  <c r="AJ3040" i="1"/>
  <c r="AI3040" i="1"/>
  <c r="AH3040" i="1"/>
  <c r="AG3040" i="1"/>
  <c r="AF3040" i="1"/>
  <c r="AE3040" i="1"/>
  <c r="AD3040" i="1"/>
  <c r="AC3040" i="1"/>
  <c r="AL3039" i="1"/>
  <c r="AJ3039" i="1"/>
  <c r="AI3039" i="1"/>
  <c r="AH3039" i="1"/>
  <c r="AG3039" i="1"/>
  <c r="AF3039" i="1"/>
  <c r="AE3039" i="1"/>
  <c r="AD3039" i="1"/>
  <c r="AC3039" i="1"/>
  <c r="AL3038" i="1"/>
  <c r="AJ3038" i="1"/>
  <c r="AI3038" i="1"/>
  <c r="AH3038" i="1"/>
  <c r="AG3038" i="1"/>
  <c r="AF3038" i="1"/>
  <c r="AE3038" i="1"/>
  <c r="AD3038" i="1"/>
  <c r="AC3038" i="1"/>
  <c r="AL3037" i="1"/>
  <c r="AJ3037" i="1"/>
  <c r="AI3037" i="1"/>
  <c r="AH3037" i="1"/>
  <c r="AG3037" i="1"/>
  <c r="AF3037" i="1"/>
  <c r="AE3037" i="1"/>
  <c r="AD3037" i="1"/>
  <c r="AC3037" i="1"/>
  <c r="AL3036" i="1"/>
  <c r="AJ3036" i="1"/>
  <c r="AI3036" i="1"/>
  <c r="AH3036" i="1"/>
  <c r="AG3036" i="1"/>
  <c r="AF3036" i="1"/>
  <c r="AE3036" i="1"/>
  <c r="AD3036" i="1"/>
  <c r="AC3036" i="1"/>
  <c r="AL3035" i="1"/>
  <c r="AJ3035" i="1"/>
  <c r="AI3035" i="1"/>
  <c r="AH3035" i="1"/>
  <c r="AG3035" i="1"/>
  <c r="AF3035" i="1"/>
  <c r="AE3035" i="1"/>
  <c r="AD3035" i="1"/>
  <c r="AC3035" i="1"/>
  <c r="AL3034" i="1"/>
  <c r="AJ3034" i="1"/>
  <c r="AI3034" i="1"/>
  <c r="AH3034" i="1"/>
  <c r="AG3034" i="1"/>
  <c r="AF3034" i="1"/>
  <c r="AE3034" i="1"/>
  <c r="AD3034" i="1"/>
  <c r="AC3034" i="1"/>
  <c r="AL3033" i="1"/>
  <c r="AJ3033" i="1"/>
  <c r="AI3033" i="1"/>
  <c r="AH3033" i="1"/>
  <c r="AG3033" i="1"/>
  <c r="AF3033" i="1"/>
  <c r="AE3033" i="1"/>
  <c r="AD3033" i="1"/>
  <c r="AC3033" i="1"/>
  <c r="AL3032" i="1"/>
  <c r="AJ3032" i="1"/>
  <c r="AI3032" i="1"/>
  <c r="AH3032" i="1"/>
  <c r="AG3032" i="1"/>
  <c r="AF3032" i="1"/>
  <c r="AE3032" i="1"/>
  <c r="AD3032" i="1"/>
  <c r="AC3032" i="1"/>
  <c r="AL3031" i="1"/>
  <c r="AJ3031" i="1"/>
  <c r="AI3031" i="1"/>
  <c r="AH3031" i="1"/>
  <c r="AG3031" i="1"/>
  <c r="AF3031" i="1"/>
  <c r="AE3031" i="1"/>
  <c r="AD3031" i="1"/>
  <c r="AC3031" i="1"/>
  <c r="AL3030" i="1"/>
  <c r="AJ3030" i="1"/>
  <c r="AI3030" i="1"/>
  <c r="AH3030" i="1"/>
  <c r="AG3030" i="1"/>
  <c r="AF3030" i="1"/>
  <c r="AE3030" i="1"/>
  <c r="AD3030" i="1"/>
  <c r="AC3030" i="1"/>
  <c r="AL3029" i="1"/>
  <c r="AJ3029" i="1"/>
  <c r="AI3029" i="1"/>
  <c r="AH3029" i="1"/>
  <c r="AG3029" i="1"/>
  <c r="AF3029" i="1"/>
  <c r="AE3029" i="1"/>
  <c r="AD3029" i="1"/>
  <c r="AC3029" i="1"/>
  <c r="AL3028" i="1"/>
  <c r="AJ3028" i="1"/>
  <c r="AI3028" i="1"/>
  <c r="AH3028" i="1"/>
  <c r="AG3028" i="1"/>
  <c r="AF3028" i="1"/>
  <c r="AE3028" i="1"/>
  <c r="AD3028" i="1"/>
  <c r="AC3028" i="1"/>
  <c r="AL3027" i="1"/>
  <c r="AJ3027" i="1"/>
  <c r="AI3027" i="1"/>
  <c r="AH3027" i="1"/>
  <c r="AG3027" i="1"/>
  <c r="AF3027" i="1"/>
  <c r="AE3027" i="1"/>
  <c r="AD3027" i="1"/>
  <c r="AC3027" i="1"/>
  <c r="AL3026" i="1"/>
  <c r="AJ3026" i="1"/>
  <c r="AI3026" i="1"/>
  <c r="AH3026" i="1"/>
  <c r="AG3026" i="1"/>
  <c r="AF3026" i="1"/>
  <c r="AE3026" i="1"/>
  <c r="AD3026" i="1"/>
  <c r="AC3026" i="1"/>
  <c r="AL3025" i="1"/>
  <c r="AJ3025" i="1"/>
  <c r="AI3025" i="1"/>
  <c r="AH3025" i="1"/>
  <c r="AG3025" i="1"/>
  <c r="AF3025" i="1"/>
  <c r="AE3025" i="1"/>
  <c r="AD3025" i="1"/>
  <c r="AC3025" i="1"/>
  <c r="AL3024" i="1"/>
  <c r="AJ3024" i="1"/>
  <c r="AI3024" i="1"/>
  <c r="AH3024" i="1"/>
  <c r="AG3024" i="1"/>
  <c r="AF3024" i="1"/>
  <c r="AE3024" i="1"/>
  <c r="AD3024" i="1"/>
  <c r="AC3024" i="1"/>
  <c r="AL3023" i="1"/>
  <c r="AJ3023" i="1"/>
  <c r="AI3023" i="1"/>
  <c r="AH3023" i="1"/>
  <c r="AG3023" i="1"/>
  <c r="AF3023" i="1"/>
  <c r="AE3023" i="1"/>
  <c r="AD3023" i="1"/>
  <c r="AC3023" i="1"/>
  <c r="AL3022" i="1"/>
  <c r="AJ3022" i="1"/>
  <c r="AI3022" i="1"/>
  <c r="AH3022" i="1"/>
  <c r="AG3022" i="1"/>
  <c r="AF3022" i="1"/>
  <c r="AE3022" i="1"/>
  <c r="AD3022" i="1"/>
  <c r="AC3022" i="1"/>
  <c r="AL3021" i="1"/>
  <c r="AJ3021" i="1"/>
  <c r="AI3021" i="1"/>
  <c r="AH3021" i="1"/>
  <c r="AG3021" i="1"/>
  <c r="AF3021" i="1"/>
  <c r="AE3021" i="1"/>
  <c r="AD3021" i="1"/>
  <c r="AC3021" i="1"/>
  <c r="AL3020" i="1"/>
  <c r="AJ3020" i="1"/>
  <c r="AI3020" i="1"/>
  <c r="AH3020" i="1"/>
  <c r="AG3020" i="1"/>
  <c r="AF3020" i="1"/>
  <c r="AE3020" i="1"/>
  <c r="AD3020" i="1"/>
  <c r="AC3020" i="1"/>
  <c r="AL3019" i="1"/>
  <c r="AJ3019" i="1"/>
  <c r="AI3019" i="1"/>
  <c r="AH3019" i="1"/>
  <c r="AG3019" i="1"/>
  <c r="AF3019" i="1"/>
  <c r="AE3019" i="1"/>
  <c r="AD3019" i="1"/>
  <c r="AC3019" i="1"/>
  <c r="AL3018" i="1"/>
  <c r="AJ3018" i="1"/>
  <c r="AI3018" i="1"/>
  <c r="AH3018" i="1"/>
  <c r="AG3018" i="1"/>
  <c r="AF3018" i="1"/>
  <c r="AE3018" i="1"/>
  <c r="AD3018" i="1"/>
  <c r="AC3018" i="1"/>
  <c r="AL3017" i="1"/>
  <c r="AJ3017" i="1"/>
  <c r="AI3017" i="1"/>
  <c r="AH3017" i="1"/>
  <c r="AG3017" i="1"/>
  <c r="AF3017" i="1"/>
  <c r="AE3017" i="1"/>
  <c r="AD3017" i="1"/>
  <c r="AC3017" i="1"/>
  <c r="AL3016" i="1"/>
  <c r="AJ3016" i="1"/>
  <c r="AI3016" i="1"/>
  <c r="AH3016" i="1"/>
  <c r="AG3016" i="1"/>
  <c r="AF3016" i="1"/>
  <c r="AE3016" i="1"/>
  <c r="AD3016" i="1"/>
  <c r="AC3016" i="1"/>
  <c r="AL3015" i="1"/>
  <c r="AJ3015" i="1"/>
  <c r="AI3015" i="1"/>
  <c r="AH3015" i="1"/>
  <c r="AG3015" i="1"/>
  <c r="AF3015" i="1"/>
  <c r="AE3015" i="1"/>
  <c r="AD3015" i="1"/>
  <c r="AC3015" i="1"/>
  <c r="AL3014" i="1"/>
  <c r="AJ3014" i="1"/>
  <c r="AI3014" i="1"/>
  <c r="AH3014" i="1"/>
  <c r="AG3014" i="1"/>
  <c r="AF3014" i="1"/>
  <c r="AE3014" i="1"/>
  <c r="AD3014" i="1"/>
  <c r="AC3014" i="1"/>
  <c r="AL3013" i="1"/>
  <c r="AJ3013" i="1"/>
  <c r="AI3013" i="1"/>
  <c r="AH3013" i="1"/>
  <c r="AG3013" i="1"/>
  <c r="AF3013" i="1"/>
  <c r="AE3013" i="1"/>
  <c r="AD3013" i="1"/>
  <c r="AC3013" i="1"/>
  <c r="AL3012" i="1"/>
  <c r="AJ3012" i="1"/>
  <c r="AI3012" i="1"/>
  <c r="AH3012" i="1"/>
  <c r="AG3012" i="1"/>
  <c r="AF3012" i="1"/>
  <c r="AE3012" i="1"/>
  <c r="AD3012" i="1"/>
  <c r="AC3012" i="1"/>
  <c r="AL3011" i="1"/>
  <c r="AJ3011" i="1"/>
  <c r="AI3011" i="1"/>
  <c r="AH3011" i="1"/>
  <c r="AG3011" i="1"/>
  <c r="AF3011" i="1"/>
  <c r="AE3011" i="1"/>
  <c r="AD3011" i="1"/>
  <c r="AC3011" i="1"/>
  <c r="AL3010" i="1"/>
  <c r="AJ3010" i="1"/>
  <c r="AI3010" i="1"/>
  <c r="AH3010" i="1"/>
  <c r="AG3010" i="1"/>
  <c r="AF3010" i="1"/>
  <c r="AE3010" i="1"/>
  <c r="AD3010" i="1"/>
  <c r="AC3010" i="1"/>
  <c r="AL3009" i="1"/>
  <c r="AJ3009" i="1"/>
  <c r="AI3009" i="1"/>
  <c r="AH3009" i="1"/>
  <c r="AG3009" i="1"/>
  <c r="AF3009" i="1"/>
  <c r="AE3009" i="1"/>
  <c r="AD3009" i="1"/>
  <c r="AC3009" i="1"/>
  <c r="AL3008" i="1"/>
  <c r="AJ3008" i="1"/>
  <c r="AI3008" i="1"/>
  <c r="AH3008" i="1"/>
  <c r="AG3008" i="1"/>
  <c r="AF3008" i="1"/>
  <c r="AE3008" i="1"/>
  <c r="AD3008" i="1"/>
  <c r="AC3008" i="1"/>
  <c r="AL3007" i="1"/>
  <c r="AJ3007" i="1"/>
  <c r="AI3007" i="1"/>
  <c r="AH3007" i="1"/>
  <c r="AG3007" i="1"/>
  <c r="AF3007" i="1"/>
  <c r="AE3007" i="1"/>
  <c r="AD3007" i="1"/>
  <c r="AC3007" i="1"/>
  <c r="AL3006" i="1"/>
  <c r="AJ3006" i="1"/>
  <c r="AI3006" i="1"/>
  <c r="AH3006" i="1"/>
  <c r="AG3006" i="1"/>
  <c r="AF3006" i="1"/>
  <c r="AE3006" i="1"/>
  <c r="AD3006" i="1"/>
  <c r="AC3006" i="1"/>
  <c r="AL3005" i="1"/>
  <c r="AJ3005" i="1"/>
  <c r="AI3005" i="1"/>
  <c r="AH3005" i="1"/>
  <c r="AG3005" i="1"/>
  <c r="AF3005" i="1"/>
  <c r="AE3005" i="1"/>
  <c r="AD3005" i="1"/>
  <c r="AC3005" i="1"/>
  <c r="AL3004" i="1"/>
  <c r="AJ3004" i="1"/>
  <c r="AI3004" i="1"/>
  <c r="AH3004" i="1"/>
  <c r="AG3004" i="1"/>
  <c r="AF3004" i="1"/>
  <c r="AE3004" i="1"/>
  <c r="AD3004" i="1"/>
  <c r="AC3004" i="1"/>
  <c r="AL3003" i="1"/>
  <c r="AJ3003" i="1"/>
  <c r="AI3003" i="1"/>
  <c r="AH3003" i="1"/>
  <c r="AG3003" i="1"/>
  <c r="AF3003" i="1"/>
  <c r="AE3003" i="1"/>
  <c r="AD3003" i="1"/>
  <c r="AC3003" i="1"/>
  <c r="AL3002" i="1"/>
  <c r="AJ3002" i="1"/>
  <c r="AI3002" i="1"/>
  <c r="AH3002" i="1"/>
  <c r="AG3002" i="1"/>
  <c r="AF3002" i="1"/>
  <c r="AE3002" i="1"/>
  <c r="AD3002" i="1"/>
  <c r="AC3002" i="1"/>
  <c r="AL3001" i="1"/>
  <c r="AJ3001" i="1"/>
  <c r="AI3001" i="1"/>
  <c r="AH3001" i="1"/>
  <c r="AG3001" i="1"/>
  <c r="AF3001" i="1"/>
  <c r="AE3001" i="1"/>
  <c r="AD3001" i="1"/>
  <c r="AC3001" i="1"/>
  <c r="AL3000" i="1"/>
  <c r="AJ3000" i="1"/>
  <c r="AI3000" i="1"/>
  <c r="AH3000" i="1"/>
  <c r="AG3000" i="1"/>
  <c r="AF3000" i="1"/>
  <c r="AE3000" i="1"/>
  <c r="AD3000" i="1"/>
  <c r="AC3000" i="1"/>
  <c r="AL2999" i="1"/>
  <c r="AJ2999" i="1"/>
  <c r="AI2999" i="1"/>
  <c r="AH2999" i="1"/>
  <c r="AG2999" i="1"/>
  <c r="AF2999" i="1"/>
  <c r="AE2999" i="1"/>
  <c r="AD2999" i="1"/>
  <c r="AC2999" i="1"/>
  <c r="AL2998" i="1"/>
  <c r="AJ2998" i="1"/>
  <c r="AI2998" i="1"/>
  <c r="AH2998" i="1"/>
  <c r="AG2998" i="1"/>
  <c r="AF2998" i="1"/>
  <c r="AE2998" i="1"/>
  <c r="AD2998" i="1"/>
  <c r="AC2998" i="1"/>
  <c r="AL2997" i="1"/>
  <c r="AJ2997" i="1"/>
  <c r="AI2997" i="1"/>
  <c r="AH2997" i="1"/>
  <c r="AG2997" i="1"/>
  <c r="AF2997" i="1"/>
  <c r="AE2997" i="1"/>
  <c r="AD2997" i="1"/>
  <c r="AC2997" i="1"/>
  <c r="AL2996" i="1"/>
  <c r="AJ2996" i="1"/>
  <c r="AI2996" i="1"/>
  <c r="AH2996" i="1"/>
  <c r="AG2996" i="1"/>
  <c r="AF2996" i="1"/>
  <c r="AE2996" i="1"/>
  <c r="AD2996" i="1"/>
  <c r="AC2996" i="1"/>
  <c r="AL2995" i="1"/>
  <c r="AJ2995" i="1"/>
  <c r="AI2995" i="1"/>
  <c r="AH2995" i="1"/>
  <c r="AG2995" i="1"/>
  <c r="AF2995" i="1"/>
  <c r="AE2995" i="1"/>
  <c r="AD2995" i="1"/>
  <c r="AC2995" i="1"/>
  <c r="AL2994" i="1"/>
  <c r="AJ2994" i="1"/>
  <c r="AI2994" i="1"/>
  <c r="AH2994" i="1"/>
  <c r="AG2994" i="1"/>
  <c r="AF2994" i="1"/>
  <c r="AE2994" i="1"/>
  <c r="AD2994" i="1"/>
  <c r="AC2994" i="1"/>
  <c r="AL2993" i="1"/>
  <c r="AJ2993" i="1"/>
  <c r="AI2993" i="1"/>
  <c r="AH2993" i="1"/>
  <c r="AG2993" i="1"/>
  <c r="AF2993" i="1"/>
  <c r="AE2993" i="1"/>
  <c r="AD2993" i="1"/>
  <c r="AC2993" i="1"/>
  <c r="AL2992" i="1"/>
  <c r="AJ2992" i="1"/>
  <c r="AI2992" i="1"/>
  <c r="AH2992" i="1"/>
  <c r="AG2992" i="1"/>
  <c r="AF2992" i="1"/>
  <c r="AE2992" i="1"/>
  <c r="AD2992" i="1"/>
  <c r="AC2992" i="1"/>
  <c r="AL2991" i="1"/>
  <c r="AJ2991" i="1"/>
  <c r="AI2991" i="1"/>
  <c r="AH2991" i="1"/>
  <c r="AG2991" i="1"/>
  <c r="AF2991" i="1"/>
  <c r="AE2991" i="1"/>
  <c r="AD2991" i="1"/>
  <c r="AC2991" i="1"/>
  <c r="AL2990" i="1"/>
  <c r="AJ2990" i="1"/>
  <c r="AI2990" i="1"/>
  <c r="AH2990" i="1"/>
  <c r="AG2990" i="1"/>
  <c r="AF2990" i="1"/>
  <c r="AE2990" i="1"/>
  <c r="AD2990" i="1"/>
  <c r="AC2990" i="1"/>
  <c r="AL2989" i="1"/>
  <c r="AJ2989" i="1"/>
  <c r="AI2989" i="1"/>
  <c r="AH2989" i="1"/>
  <c r="AG2989" i="1"/>
  <c r="AF2989" i="1"/>
  <c r="AE2989" i="1"/>
  <c r="AD2989" i="1"/>
  <c r="AC2989" i="1"/>
  <c r="AL2988" i="1"/>
  <c r="AJ2988" i="1"/>
  <c r="AI2988" i="1"/>
  <c r="AH2988" i="1"/>
  <c r="AG2988" i="1"/>
  <c r="AF2988" i="1"/>
  <c r="AE2988" i="1"/>
  <c r="AD2988" i="1"/>
  <c r="AC2988" i="1"/>
  <c r="AL2987" i="1"/>
  <c r="AJ2987" i="1"/>
  <c r="AI2987" i="1"/>
  <c r="AH2987" i="1"/>
  <c r="AG2987" i="1"/>
  <c r="AF2987" i="1"/>
  <c r="AE2987" i="1"/>
  <c r="AD2987" i="1"/>
  <c r="AC2987" i="1"/>
  <c r="AL2986" i="1"/>
  <c r="AJ2986" i="1"/>
  <c r="AI2986" i="1"/>
  <c r="AH2986" i="1"/>
  <c r="AG2986" i="1"/>
  <c r="AF2986" i="1"/>
  <c r="AE2986" i="1"/>
  <c r="AD2986" i="1"/>
  <c r="AC2986" i="1"/>
  <c r="AL2985" i="1"/>
  <c r="AJ2985" i="1"/>
  <c r="AI2985" i="1"/>
  <c r="AH2985" i="1"/>
  <c r="AG2985" i="1"/>
  <c r="AF2985" i="1"/>
  <c r="AE2985" i="1"/>
  <c r="AD2985" i="1"/>
  <c r="AC2985" i="1"/>
  <c r="AL2984" i="1"/>
  <c r="AJ2984" i="1"/>
  <c r="AI2984" i="1"/>
  <c r="AH2984" i="1"/>
  <c r="AG2984" i="1"/>
  <c r="AF2984" i="1"/>
  <c r="AE2984" i="1"/>
  <c r="AD2984" i="1"/>
  <c r="AC2984" i="1"/>
  <c r="AL2983" i="1"/>
  <c r="AJ2983" i="1"/>
  <c r="AI2983" i="1"/>
  <c r="AH2983" i="1"/>
  <c r="AG2983" i="1"/>
  <c r="AF2983" i="1"/>
  <c r="AE2983" i="1"/>
  <c r="AD2983" i="1"/>
  <c r="AC2983" i="1"/>
  <c r="AL2982" i="1"/>
  <c r="AJ2982" i="1"/>
  <c r="AI2982" i="1"/>
  <c r="AH2982" i="1"/>
  <c r="AG2982" i="1"/>
  <c r="AF2982" i="1"/>
  <c r="AE2982" i="1"/>
  <c r="AD2982" i="1"/>
  <c r="AC2982" i="1"/>
  <c r="AL2981" i="1"/>
  <c r="AJ2981" i="1"/>
  <c r="AI2981" i="1"/>
  <c r="AH2981" i="1"/>
  <c r="AG2981" i="1"/>
  <c r="AF2981" i="1"/>
  <c r="AE2981" i="1"/>
  <c r="AD2981" i="1"/>
  <c r="AC2981" i="1"/>
  <c r="AL2980" i="1"/>
  <c r="AJ2980" i="1"/>
  <c r="AI2980" i="1"/>
  <c r="AH2980" i="1"/>
  <c r="AG2980" i="1"/>
  <c r="AF2980" i="1"/>
  <c r="AE2980" i="1"/>
  <c r="AD2980" i="1"/>
  <c r="AC2980" i="1"/>
  <c r="AL2979" i="1"/>
  <c r="AJ2979" i="1"/>
  <c r="AI2979" i="1"/>
  <c r="AH2979" i="1"/>
  <c r="AG2979" i="1"/>
  <c r="AF2979" i="1"/>
  <c r="AE2979" i="1"/>
  <c r="AD2979" i="1"/>
  <c r="AC2979" i="1"/>
  <c r="AL2978" i="1"/>
  <c r="AJ2978" i="1"/>
  <c r="AI2978" i="1"/>
  <c r="AH2978" i="1"/>
  <c r="AG2978" i="1"/>
  <c r="AF2978" i="1"/>
  <c r="AE2978" i="1"/>
  <c r="AD2978" i="1"/>
  <c r="AC2978" i="1"/>
  <c r="AL2977" i="1"/>
  <c r="AJ2977" i="1"/>
  <c r="AI2977" i="1"/>
  <c r="AH2977" i="1"/>
  <c r="AG2977" i="1"/>
  <c r="AF2977" i="1"/>
  <c r="AE2977" i="1"/>
  <c r="AD2977" i="1"/>
  <c r="AC2977" i="1"/>
  <c r="AL2976" i="1"/>
  <c r="AJ2976" i="1"/>
  <c r="AI2976" i="1"/>
  <c r="AH2976" i="1"/>
  <c r="AG2976" i="1"/>
  <c r="AF2976" i="1"/>
  <c r="AE2976" i="1"/>
  <c r="AD2976" i="1"/>
  <c r="AC2976" i="1"/>
  <c r="AL2975" i="1"/>
  <c r="AJ2975" i="1"/>
  <c r="AI2975" i="1"/>
  <c r="AH2975" i="1"/>
  <c r="AG2975" i="1"/>
  <c r="AF2975" i="1"/>
  <c r="AE2975" i="1"/>
  <c r="AD2975" i="1"/>
  <c r="AC2975" i="1"/>
  <c r="AL2974" i="1"/>
  <c r="AJ2974" i="1"/>
  <c r="AI2974" i="1"/>
  <c r="AH2974" i="1"/>
  <c r="AG2974" i="1"/>
  <c r="AF2974" i="1"/>
  <c r="AE2974" i="1"/>
  <c r="AD2974" i="1"/>
  <c r="AC2974" i="1"/>
  <c r="AL2973" i="1"/>
  <c r="AJ2973" i="1"/>
  <c r="AI2973" i="1"/>
  <c r="AH2973" i="1"/>
  <c r="AG2973" i="1"/>
  <c r="AF2973" i="1"/>
  <c r="AE2973" i="1"/>
  <c r="AD2973" i="1"/>
  <c r="AC2973" i="1"/>
  <c r="AL2972" i="1"/>
  <c r="AJ2972" i="1"/>
  <c r="AI2972" i="1"/>
  <c r="AH2972" i="1"/>
  <c r="AG2972" i="1"/>
  <c r="AF2972" i="1"/>
  <c r="AE2972" i="1"/>
  <c r="AD2972" i="1"/>
  <c r="AC2972" i="1"/>
  <c r="AL2971" i="1"/>
  <c r="AJ2971" i="1"/>
  <c r="AI2971" i="1"/>
  <c r="AH2971" i="1"/>
  <c r="AG2971" i="1"/>
  <c r="AF2971" i="1"/>
  <c r="AE2971" i="1"/>
  <c r="AD2971" i="1"/>
  <c r="AC2971" i="1"/>
  <c r="AL2970" i="1"/>
  <c r="AJ2970" i="1"/>
  <c r="AI2970" i="1"/>
  <c r="AH2970" i="1"/>
  <c r="AG2970" i="1"/>
  <c r="AF2970" i="1"/>
  <c r="AE2970" i="1"/>
  <c r="AD2970" i="1"/>
  <c r="AC2970" i="1"/>
  <c r="AL2969" i="1"/>
  <c r="AJ2969" i="1"/>
  <c r="AI2969" i="1"/>
  <c r="AH2969" i="1"/>
  <c r="AG2969" i="1"/>
  <c r="AF2969" i="1"/>
  <c r="AE2969" i="1"/>
  <c r="AD2969" i="1"/>
  <c r="AC2969" i="1"/>
  <c r="AL2968" i="1"/>
  <c r="AJ2968" i="1"/>
  <c r="AI2968" i="1"/>
  <c r="AH2968" i="1"/>
  <c r="AG2968" i="1"/>
  <c r="AF2968" i="1"/>
  <c r="AE2968" i="1"/>
  <c r="AD2968" i="1"/>
  <c r="AC2968" i="1"/>
  <c r="AL2967" i="1"/>
  <c r="AJ2967" i="1"/>
  <c r="AI2967" i="1"/>
  <c r="AH2967" i="1"/>
  <c r="AG2967" i="1"/>
  <c r="AF2967" i="1"/>
  <c r="AE2967" i="1"/>
  <c r="AD2967" i="1"/>
  <c r="AC2967" i="1"/>
  <c r="AL2966" i="1"/>
  <c r="AJ2966" i="1"/>
  <c r="AI2966" i="1"/>
  <c r="AH2966" i="1"/>
  <c r="AG2966" i="1"/>
  <c r="AF2966" i="1"/>
  <c r="AE2966" i="1"/>
  <c r="AD2966" i="1"/>
  <c r="AC2966" i="1"/>
  <c r="AL2965" i="1"/>
  <c r="AJ2965" i="1"/>
  <c r="AI2965" i="1"/>
  <c r="AH2965" i="1"/>
  <c r="AG2965" i="1"/>
  <c r="AF2965" i="1"/>
  <c r="AE2965" i="1"/>
  <c r="AD2965" i="1"/>
  <c r="AC2965" i="1"/>
  <c r="AL2964" i="1"/>
  <c r="AJ2964" i="1"/>
  <c r="AI2964" i="1"/>
  <c r="AH2964" i="1"/>
  <c r="AG2964" i="1"/>
  <c r="AF2964" i="1"/>
  <c r="AE2964" i="1"/>
  <c r="AD2964" i="1"/>
  <c r="AC2964" i="1"/>
  <c r="AL2963" i="1"/>
  <c r="AJ2963" i="1"/>
  <c r="AI2963" i="1"/>
  <c r="AH2963" i="1"/>
  <c r="AG2963" i="1"/>
  <c r="AF2963" i="1"/>
  <c r="AE2963" i="1"/>
  <c r="AD2963" i="1"/>
  <c r="AC2963" i="1"/>
  <c r="AL2962" i="1"/>
  <c r="AJ2962" i="1"/>
  <c r="AI2962" i="1"/>
  <c r="AH2962" i="1"/>
  <c r="AG2962" i="1"/>
  <c r="AF2962" i="1"/>
  <c r="AE2962" i="1"/>
  <c r="AD2962" i="1"/>
  <c r="AC2962" i="1"/>
  <c r="AL2961" i="1"/>
  <c r="AJ2961" i="1"/>
  <c r="AI2961" i="1"/>
  <c r="AH2961" i="1"/>
  <c r="AG2961" i="1"/>
  <c r="AF2961" i="1"/>
  <c r="AE2961" i="1"/>
  <c r="AD2961" i="1"/>
  <c r="AC2961" i="1"/>
  <c r="AL2960" i="1"/>
  <c r="AJ2960" i="1"/>
  <c r="AI2960" i="1"/>
  <c r="AH2960" i="1"/>
  <c r="AG2960" i="1"/>
  <c r="AF2960" i="1"/>
  <c r="AE2960" i="1"/>
  <c r="AD2960" i="1"/>
  <c r="AC2960" i="1"/>
  <c r="AL2959" i="1"/>
  <c r="AJ2959" i="1"/>
  <c r="AI2959" i="1"/>
  <c r="AH2959" i="1"/>
  <c r="AG2959" i="1"/>
  <c r="AF2959" i="1"/>
  <c r="AE2959" i="1"/>
  <c r="AD2959" i="1"/>
  <c r="AC2959" i="1"/>
  <c r="AL2958" i="1"/>
  <c r="AJ2958" i="1"/>
  <c r="AI2958" i="1"/>
  <c r="AH2958" i="1"/>
  <c r="AG2958" i="1"/>
  <c r="AF2958" i="1"/>
  <c r="AE2958" i="1"/>
  <c r="AD2958" i="1"/>
  <c r="AC2958" i="1"/>
  <c r="AL2957" i="1"/>
  <c r="AJ2957" i="1"/>
  <c r="AI2957" i="1"/>
  <c r="AH2957" i="1"/>
  <c r="AG2957" i="1"/>
  <c r="AF2957" i="1"/>
  <c r="AE2957" i="1"/>
  <c r="AD2957" i="1"/>
  <c r="AC2957" i="1"/>
  <c r="AL2956" i="1"/>
  <c r="AJ2956" i="1"/>
  <c r="AI2956" i="1"/>
  <c r="AH2956" i="1"/>
  <c r="AG2956" i="1"/>
  <c r="AF2956" i="1"/>
  <c r="AE2956" i="1"/>
  <c r="AD2956" i="1"/>
  <c r="AC2956" i="1"/>
  <c r="AL2955" i="1"/>
  <c r="AJ2955" i="1"/>
  <c r="AI2955" i="1"/>
  <c r="AH2955" i="1"/>
  <c r="AG2955" i="1"/>
  <c r="AF2955" i="1"/>
  <c r="AE2955" i="1"/>
  <c r="AD2955" i="1"/>
  <c r="AC2955" i="1"/>
  <c r="AL2954" i="1"/>
  <c r="AJ2954" i="1"/>
  <c r="AI2954" i="1"/>
  <c r="AH2954" i="1"/>
  <c r="AG2954" i="1"/>
  <c r="AF2954" i="1"/>
  <c r="AE2954" i="1"/>
  <c r="AD2954" i="1"/>
  <c r="AC2954" i="1"/>
  <c r="AL2953" i="1"/>
  <c r="AJ2953" i="1"/>
  <c r="AI2953" i="1"/>
  <c r="AH2953" i="1"/>
  <c r="AG2953" i="1"/>
  <c r="AF2953" i="1"/>
  <c r="AE2953" i="1"/>
  <c r="AD2953" i="1"/>
  <c r="AC2953" i="1"/>
  <c r="AL2952" i="1"/>
  <c r="AJ2952" i="1"/>
  <c r="AI2952" i="1"/>
  <c r="AH2952" i="1"/>
  <c r="AG2952" i="1"/>
  <c r="AF2952" i="1"/>
  <c r="AE2952" i="1"/>
  <c r="AD2952" i="1"/>
  <c r="AC2952" i="1"/>
  <c r="AL2951" i="1"/>
  <c r="AJ2951" i="1"/>
  <c r="AI2951" i="1"/>
  <c r="AH2951" i="1"/>
  <c r="AG2951" i="1"/>
  <c r="AF2951" i="1"/>
  <c r="AE2951" i="1"/>
  <c r="AD2951" i="1"/>
  <c r="AC2951" i="1"/>
  <c r="AL2950" i="1"/>
  <c r="AJ2950" i="1"/>
  <c r="AI2950" i="1"/>
  <c r="AH2950" i="1"/>
  <c r="AG2950" i="1"/>
  <c r="AF2950" i="1"/>
  <c r="AE2950" i="1"/>
  <c r="AD2950" i="1"/>
  <c r="AC2950" i="1"/>
  <c r="AL2949" i="1"/>
  <c r="AJ2949" i="1"/>
  <c r="AI2949" i="1"/>
  <c r="AH2949" i="1"/>
  <c r="AG2949" i="1"/>
  <c r="AF2949" i="1"/>
  <c r="AE2949" i="1"/>
  <c r="AD2949" i="1"/>
  <c r="AC2949" i="1"/>
  <c r="AL2948" i="1"/>
  <c r="AJ2948" i="1"/>
  <c r="AI2948" i="1"/>
  <c r="AH2948" i="1"/>
  <c r="AG2948" i="1"/>
  <c r="AF2948" i="1"/>
  <c r="AE2948" i="1"/>
  <c r="AD2948" i="1"/>
  <c r="AC2948" i="1"/>
  <c r="AL2947" i="1"/>
  <c r="AJ2947" i="1"/>
  <c r="AI2947" i="1"/>
  <c r="AH2947" i="1"/>
  <c r="AG2947" i="1"/>
  <c r="AF2947" i="1"/>
  <c r="AE2947" i="1"/>
  <c r="AD2947" i="1"/>
  <c r="AC2947" i="1"/>
  <c r="AL2946" i="1"/>
  <c r="AJ2946" i="1"/>
  <c r="AI2946" i="1"/>
  <c r="AH2946" i="1"/>
  <c r="AG2946" i="1"/>
  <c r="AF2946" i="1"/>
  <c r="AE2946" i="1"/>
  <c r="AD2946" i="1"/>
  <c r="AC2946" i="1"/>
  <c r="AL2945" i="1"/>
  <c r="AJ2945" i="1"/>
  <c r="AI2945" i="1"/>
  <c r="AH2945" i="1"/>
  <c r="AG2945" i="1"/>
  <c r="AF2945" i="1"/>
  <c r="AE2945" i="1"/>
  <c r="AD2945" i="1"/>
  <c r="AC2945" i="1"/>
  <c r="AL2944" i="1"/>
  <c r="AJ2944" i="1"/>
  <c r="AI2944" i="1"/>
  <c r="AH2944" i="1"/>
  <c r="AG2944" i="1"/>
  <c r="AF2944" i="1"/>
  <c r="AE2944" i="1"/>
  <c r="AD2944" i="1"/>
  <c r="AC2944" i="1"/>
  <c r="AL2943" i="1"/>
  <c r="AJ2943" i="1"/>
  <c r="AI2943" i="1"/>
  <c r="AH2943" i="1"/>
  <c r="AG2943" i="1"/>
  <c r="AF2943" i="1"/>
  <c r="AE2943" i="1"/>
  <c r="AD2943" i="1"/>
  <c r="AC2943" i="1"/>
  <c r="AL2942" i="1"/>
  <c r="AJ2942" i="1"/>
  <c r="AI2942" i="1"/>
  <c r="AH2942" i="1"/>
  <c r="AG2942" i="1"/>
  <c r="AF2942" i="1"/>
  <c r="AE2942" i="1"/>
  <c r="AD2942" i="1"/>
  <c r="AC2942" i="1"/>
  <c r="AL2941" i="1"/>
  <c r="AJ2941" i="1"/>
  <c r="AI2941" i="1"/>
  <c r="AH2941" i="1"/>
  <c r="AG2941" i="1"/>
  <c r="AF2941" i="1"/>
  <c r="AE2941" i="1"/>
  <c r="AD2941" i="1"/>
  <c r="AC2941" i="1"/>
  <c r="AL2940" i="1"/>
  <c r="AJ2940" i="1"/>
  <c r="AI2940" i="1"/>
  <c r="AH2940" i="1"/>
  <c r="AG2940" i="1"/>
  <c r="AF2940" i="1"/>
  <c r="AE2940" i="1"/>
  <c r="AD2940" i="1"/>
  <c r="AC2940" i="1"/>
  <c r="AL2939" i="1"/>
  <c r="AJ2939" i="1"/>
  <c r="AI2939" i="1"/>
  <c r="AH2939" i="1"/>
  <c r="AG2939" i="1"/>
  <c r="AF2939" i="1"/>
  <c r="AE2939" i="1"/>
  <c r="AD2939" i="1"/>
  <c r="AC2939" i="1"/>
  <c r="AL2938" i="1"/>
  <c r="AJ2938" i="1"/>
  <c r="AI2938" i="1"/>
  <c r="AH2938" i="1"/>
  <c r="AG2938" i="1"/>
  <c r="AF2938" i="1"/>
  <c r="AE2938" i="1"/>
  <c r="AD2938" i="1"/>
  <c r="AC2938" i="1"/>
  <c r="AL2937" i="1"/>
  <c r="AJ2937" i="1"/>
  <c r="AI2937" i="1"/>
  <c r="AH2937" i="1"/>
  <c r="AG2937" i="1"/>
  <c r="AF2937" i="1"/>
  <c r="AE2937" i="1"/>
  <c r="AD2937" i="1"/>
  <c r="AC2937" i="1"/>
  <c r="AL2936" i="1"/>
  <c r="AJ2936" i="1"/>
  <c r="AI2936" i="1"/>
  <c r="AH2936" i="1"/>
  <c r="AG2936" i="1"/>
  <c r="AF2936" i="1"/>
  <c r="AE2936" i="1"/>
  <c r="AD2936" i="1"/>
  <c r="AC2936" i="1"/>
  <c r="AL2935" i="1"/>
  <c r="AJ2935" i="1"/>
  <c r="AI2935" i="1"/>
  <c r="AH2935" i="1"/>
  <c r="AG2935" i="1"/>
  <c r="AF2935" i="1"/>
  <c r="AE2935" i="1"/>
  <c r="AD2935" i="1"/>
  <c r="AC2935" i="1"/>
  <c r="AL2934" i="1"/>
  <c r="AJ2934" i="1"/>
  <c r="AI2934" i="1"/>
  <c r="AH2934" i="1"/>
  <c r="AG2934" i="1"/>
  <c r="AF2934" i="1"/>
  <c r="AE2934" i="1"/>
  <c r="AD2934" i="1"/>
  <c r="AC2934" i="1"/>
  <c r="AL2933" i="1"/>
  <c r="AJ2933" i="1"/>
  <c r="AI2933" i="1"/>
  <c r="AH2933" i="1"/>
  <c r="AG2933" i="1"/>
  <c r="AF2933" i="1"/>
  <c r="AE2933" i="1"/>
  <c r="AD2933" i="1"/>
  <c r="AC2933" i="1"/>
  <c r="AL2932" i="1"/>
  <c r="AJ2932" i="1"/>
  <c r="AI2932" i="1"/>
  <c r="AH2932" i="1"/>
  <c r="AG2932" i="1"/>
  <c r="AF2932" i="1"/>
  <c r="AE2932" i="1"/>
  <c r="AD2932" i="1"/>
  <c r="AC2932" i="1"/>
  <c r="AL2931" i="1"/>
  <c r="AJ2931" i="1"/>
  <c r="AI2931" i="1"/>
  <c r="AH2931" i="1"/>
  <c r="AG2931" i="1"/>
  <c r="AF2931" i="1"/>
  <c r="AE2931" i="1"/>
  <c r="AD2931" i="1"/>
  <c r="AC2931" i="1"/>
  <c r="AL2930" i="1"/>
  <c r="AJ2930" i="1"/>
  <c r="AI2930" i="1"/>
  <c r="AH2930" i="1"/>
  <c r="AG2930" i="1"/>
  <c r="AF2930" i="1"/>
  <c r="AE2930" i="1"/>
  <c r="AD2930" i="1"/>
  <c r="AC2930" i="1"/>
  <c r="AL2929" i="1"/>
  <c r="AJ2929" i="1"/>
  <c r="AI2929" i="1"/>
  <c r="AH2929" i="1"/>
  <c r="AG2929" i="1"/>
  <c r="AF2929" i="1"/>
  <c r="AE2929" i="1"/>
  <c r="AD2929" i="1"/>
  <c r="AC2929" i="1"/>
  <c r="AL2928" i="1"/>
  <c r="AJ2928" i="1"/>
  <c r="AI2928" i="1"/>
  <c r="AH2928" i="1"/>
  <c r="AG2928" i="1"/>
  <c r="AF2928" i="1"/>
  <c r="AE2928" i="1"/>
  <c r="AD2928" i="1"/>
  <c r="AC2928" i="1"/>
  <c r="AL2927" i="1"/>
  <c r="AJ2927" i="1"/>
  <c r="AI2927" i="1"/>
  <c r="AH2927" i="1"/>
  <c r="AG2927" i="1"/>
  <c r="AF2927" i="1"/>
  <c r="AE2927" i="1"/>
  <c r="AD2927" i="1"/>
  <c r="AC2927" i="1"/>
  <c r="AL2926" i="1"/>
  <c r="AJ2926" i="1"/>
  <c r="AI2926" i="1"/>
  <c r="AH2926" i="1"/>
  <c r="AG2926" i="1"/>
  <c r="AF2926" i="1"/>
  <c r="AE2926" i="1"/>
  <c r="AD2926" i="1"/>
  <c r="AC2926" i="1"/>
  <c r="AL2925" i="1"/>
  <c r="AJ2925" i="1"/>
  <c r="AI2925" i="1"/>
  <c r="AH2925" i="1"/>
  <c r="AG2925" i="1"/>
  <c r="AF2925" i="1"/>
  <c r="AE2925" i="1"/>
  <c r="AD2925" i="1"/>
  <c r="AC2925" i="1"/>
  <c r="AL2924" i="1"/>
  <c r="AJ2924" i="1"/>
  <c r="AI2924" i="1"/>
  <c r="AH2924" i="1"/>
  <c r="AG2924" i="1"/>
  <c r="AF2924" i="1"/>
  <c r="AE2924" i="1"/>
  <c r="AD2924" i="1"/>
  <c r="AC2924" i="1"/>
  <c r="AL2923" i="1"/>
  <c r="AJ2923" i="1"/>
  <c r="AI2923" i="1"/>
  <c r="AH2923" i="1"/>
  <c r="AG2923" i="1"/>
  <c r="AF2923" i="1"/>
  <c r="AE2923" i="1"/>
  <c r="AD2923" i="1"/>
  <c r="AC2923" i="1"/>
  <c r="AL2922" i="1"/>
  <c r="AJ2922" i="1"/>
  <c r="AI2922" i="1"/>
  <c r="AH2922" i="1"/>
  <c r="AG2922" i="1"/>
  <c r="AF2922" i="1"/>
  <c r="AE2922" i="1"/>
  <c r="AD2922" i="1"/>
  <c r="AC2922" i="1"/>
  <c r="AL2921" i="1"/>
  <c r="AJ2921" i="1"/>
  <c r="AI2921" i="1"/>
  <c r="AH2921" i="1"/>
  <c r="AG2921" i="1"/>
  <c r="AF2921" i="1"/>
  <c r="AE2921" i="1"/>
  <c r="AD2921" i="1"/>
  <c r="AC2921" i="1"/>
  <c r="AL2920" i="1"/>
  <c r="AJ2920" i="1"/>
  <c r="AI2920" i="1"/>
  <c r="AH2920" i="1"/>
  <c r="AG2920" i="1"/>
  <c r="AF2920" i="1"/>
  <c r="AE2920" i="1"/>
  <c r="AD2920" i="1"/>
  <c r="AC2920" i="1"/>
  <c r="AL2919" i="1"/>
  <c r="AJ2919" i="1"/>
  <c r="AI2919" i="1"/>
  <c r="AH2919" i="1"/>
  <c r="AG2919" i="1"/>
  <c r="AF2919" i="1"/>
  <c r="AE2919" i="1"/>
  <c r="AD2919" i="1"/>
  <c r="AC2919" i="1"/>
  <c r="AL2918" i="1"/>
  <c r="AJ2918" i="1"/>
  <c r="AI2918" i="1"/>
  <c r="AH2918" i="1"/>
  <c r="AG2918" i="1"/>
  <c r="AF2918" i="1"/>
  <c r="AE2918" i="1"/>
  <c r="AD2918" i="1"/>
  <c r="AC2918" i="1"/>
  <c r="AL2917" i="1"/>
  <c r="AJ2917" i="1"/>
  <c r="AI2917" i="1"/>
  <c r="AH2917" i="1"/>
  <c r="AG2917" i="1"/>
  <c r="AF2917" i="1"/>
  <c r="AE2917" i="1"/>
  <c r="AD2917" i="1"/>
  <c r="AC2917" i="1"/>
  <c r="AL2916" i="1"/>
  <c r="AJ2916" i="1"/>
  <c r="AI2916" i="1"/>
  <c r="AH2916" i="1"/>
  <c r="AG2916" i="1"/>
  <c r="AF2916" i="1"/>
  <c r="AE2916" i="1"/>
  <c r="AD2916" i="1"/>
  <c r="AC2916" i="1"/>
  <c r="AL2915" i="1"/>
  <c r="AJ2915" i="1"/>
  <c r="AI2915" i="1"/>
  <c r="AH2915" i="1"/>
  <c r="AG2915" i="1"/>
  <c r="AF2915" i="1"/>
  <c r="AE2915" i="1"/>
  <c r="AD2915" i="1"/>
  <c r="AC2915" i="1"/>
  <c r="AL2914" i="1"/>
  <c r="AJ2914" i="1"/>
  <c r="AI2914" i="1"/>
  <c r="AH2914" i="1"/>
  <c r="AG2914" i="1"/>
  <c r="AF2914" i="1"/>
  <c r="AE2914" i="1"/>
  <c r="AD2914" i="1"/>
  <c r="AC2914" i="1"/>
  <c r="AL2913" i="1"/>
  <c r="AJ2913" i="1"/>
  <c r="AI2913" i="1"/>
  <c r="AH2913" i="1"/>
  <c r="AG2913" i="1"/>
  <c r="AF2913" i="1"/>
  <c r="AE2913" i="1"/>
  <c r="AD2913" i="1"/>
  <c r="AC2913" i="1"/>
  <c r="AL2912" i="1"/>
  <c r="AJ2912" i="1"/>
  <c r="AI2912" i="1"/>
  <c r="AH2912" i="1"/>
  <c r="AG2912" i="1"/>
  <c r="AF2912" i="1"/>
  <c r="AE2912" i="1"/>
  <c r="AD2912" i="1"/>
  <c r="AC2912" i="1"/>
  <c r="AL2911" i="1"/>
  <c r="AJ2911" i="1"/>
  <c r="AI2911" i="1"/>
  <c r="AH2911" i="1"/>
  <c r="AG2911" i="1"/>
  <c r="AF2911" i="1"/>
  <c r="AE2911" i="1"/>
  <c r="AD2911" i="1"/>
  <c r="AC2911" i="1"/>
  <c r="AL2910" i="1"/>
  <c r="AJ2910" i="1"/>
  <c r="AI2910" i="1"/>
  <c r="AH2910" i="1"/>
  <c r="AG2910" i="1"/>
  <c r="AF2910" i="1"/>
  <c r="AE2910" i="1"/>
  <c r="AD2910" i="1"/>
  <c r="AC2910" i="1"/>
  <c r="AL2909" i="1"/>
  <c r="AJ2909" i="1"/>
  <c r="AI2909" i="1"/>
  <c r="AH2909" i="1"/>
  <c r="AG2909" i="1"/>
  <c r="AF2909" i="1"/>
  <c r="AE2909" i="1"/>
  <c r="AD2909" i="1"/>
  <c r="AC2909" i="1"/>
  <c r="AL2908" i="1"/>
  <c r="AJ2908" i="1"/>
  <c r="AI2908" i="1"/>
  <c r="AH2908" i="1"/>
  <c r="AG2908" i="1"/>
  <c r="AF2908" i="1"/>
  <c r="AE2908" i="1"/>
  <c r="AD2908" i="1"/>
  <c r="AC2908" i="1"/>
  <c r="AL2907" i="1"/>
  <c r="AJ2907" i="1"/>
  <c r="AI2907" i="1"/>
  <c r="AH2907" i="1"/>
  <c r="AG2907" i="1"/>
  <c r="AF2907" i="1"/>
  <c r="AE2907" i="1"/>
  <c r="AD2907" i="1"/>
  <c r="AC2907" i="1"/>
  <c r="AL2906" i="1"/>
  <c r="AJ2906" i="1"/>
  <c r="AI2906" i="1"/>
  <c r="AH2906" i="1"/>
  <c r="AG2906" i="1"/>
  <c r="AF2906" i="1"/>
  <c r="AE2906" i="1"/>
  <c r="AD2906" i="1"/>
  <c r="AC2906" i="1"/>
  <c r="AL2905" i="1"/>
  <c r="AJ2905" i="1"/>
  <c r="AI2905" i="1"/>
  <c r="AH2905" i="1"/>
  <c r="AG2905" i="1"/>
  <c r="AF2905" i="1"/>
  <c r="AE2905" i="1"/>
  <c r="AD2905" i="1"/>
  <c r="AC2905" i="1"/>
  <c r="AL2904" i="1"/>
  <c r="AJ2904" i="1"/>
  <c r="AI2904" i="1"/>
  <c r="AH2904" i="1"/>
  <c r="AG2904" i="1"/>
  <c r="AF2904" i="1"/>
  <c r="AE2904" i="1"/>
  <c r="AD2904" i="1"/>
  <c r="AC2904" i="1"/>
  <c r="AL2903" i="1"/>
  <c r="AJ2903" i="1"/>
  <c r="AI2903" i="1"/>
  <c r="AH2903" i="1"/>
  <c r="AG2903" i="1"/>
  <c r="AF2903" i="1"/>
  <c r="AE2903" i="1"/>
  <c r="AD2903" i="1"/>
  <c r="AC2903" i="1"/>
  <c r="AL2902" i="1"/>
  <c r="AJ2902" i="1"/>
  <c r="AI2902" i="1"/>
  <c r="AH2902" i="1"/>
  <c r="AG2902" i="1"/>
  <c r="AF2902" i="1"/>
  <c r="AE2902" i="1"/>
  <c r="AD2902" i="1"/>
  <c r="AC2902" i="1"/>
  <c r="AL2901" i="1"/>
  <c r="AJ2901" i="1"/>
  <c r="AI2901" i="1"/>
  <c r="AH2901" i="1"/>
  <c r="AG2901" i="1"/>
  <c r="AF2901" i="1"/>
  <c r="AE2901" i="1"/>
  <c r="AD2901" i="1"/>
  <c r="AC2901" i="1"/>
  <c r="AL2900" i="1"/>
  <c r="AJ2900" i="1"/>
  <c r="AI2900" i="1"/>
  <c r="AH2900" i="1"/>
  <c r="AG2900" i="1"/>
  <c r="AF2900" i="1"/>
  <c r="AE2900" i="1"/>
  <c r="AD2900" i="1"/>
  <c r="AC2900" i="1"/>
  <c r="AL2899" i="1"/>
  <c r="AJ2899" i="1"/>
  <c r="AI2899" i="1"/>
  <c r="AH2899" i="1"/>
  <c r="AG2899" i="1"/>
  <c r="AF2899" i="1"/>
  <c r="AE2899" i="1"/>
  <c r="AD2899" i="1"/>
  <c r="AC2899" i="1"/>
  <c r="AL2898" i="1"/>
  <c r="AJ2898" i="1"/>
  <c r="AI2898" i="1"/>
  <c r="AH2898" i="1"/>
  <c r="AG2898" i="1"/>
  <c r="AF2898" i="1"/>
  <c r="AE2898" i="1"/>
  <c r="AD2898" i="1"/>
  <c r="AC2898" i="1"/>
  <c r="AL2897" i="1"/>
  <c r="AJ2897" i="1"/>
  <c r="AI2897" i="1"/>
  <c r="AH2897" i="1"/>
  <c r="AG2897" i="1"/>
  <c r="AF2897" i="1"/>
  <c r="AE2897" i="1"/>
  <c r="AD2897" i="1"/>
  <c r="AC2897" i="1"/>
  <c r="AL2896" i="1"/>
  <c r="AJ2896" i="1"/>
  <c r="AI2896" i="1"/>
  <c r="AH2896" i="1"/>
  <c r="AG2896" i="1"/>
  <c r="AF2896" i="1"/>
  <c r="AE2896" i="1"/>
  <c r="AD2896" i="1"/>
  <c r="AC2896" i="1"/>
  <c r="AL2895" i="1"/>
  <c r="AJ2895" i="1"/>
  <c r="AI2895" i="1"/>
  <c r="AH2895" i="1"/>
  <c r="AG2895" i="1"/>
  <c r="AF2895" i="1"/>
  <c r="AE2895" i="1"/>
  <c r="AD2895" i="1"/>
  <c r="AC2895" i="1"/>
  <c r="AL2894" i="1"/>
  <c r="AJ2894" i="1"/>
  <c r="AI2894" i="1"/>
  <c r="AH2894" i="1"/>
  <c r="AG2894" i="1"/>
  <c r="AF2894" i="1"/>
  <c r="AE2894" i="1"/>
  <c r="AD2894" i="1"/>
  <c r="AC2894" i="1"/>
  <c r="AL2893" i="1"/>
  <c r="AJ2893" i="1"/>
  <c r="AI2893" i="1"/>
  <c r="AH2893" i="1"/>
  <c r="AG2893" i="1"/>
  <c r="AF2893" i="1"/>
  <c r="AE2893" i="1"/>
  <c r="AD2893" i="1"/>
  <c r="AC2893" i="1"/>
  <c r="AL2892" i="1"/>
  <c r="AJ2892" i="1"/>
  <c r="AI2892" i="1"/>
  <c r="AH2892" i="1"/>
  <c r="AG2892" i="1"/>
  <c r="AF2892" i="1"/>
  <c r="AE2892" i="1"/>
  <c r="AD2892" i="1"/>
  <c r="AC2892" i="1"/>
  <c r="AL2891" i="1"/>
  <c r="AJ2891" i="1"/>
  <c r="AI2891" i="1"/>
  <c r="AH2891" i="1"/>
  <c r="AG2891" i="1"/>
  <c r="AF2891" i="1"/>
  <c r="AE2891" i="1"/>
  <c r="AD2891" i="1"/>
  <c r="AC2891" i="1"/>
  <c r="AL2890" i="1"/>
  <c r="AJ2890" i="1"/>
  <c r="AI2890" i="1"/>
  <c r="AH2890" i="1"/>
  <c r="AG2890" i="1"/>
  <c r="AF2890" i="1"/>
  <c r="AE2890" i="1"/>
  <c r="AD2890" i="1"/>
  <c r="AC2890" i="1"/>
  <c r="AL2889" i="1"/>
  <c r="AJ2889" i="1"/>
  <c r="AI2889" i="1"/>
  <c r="AH2889" i="1"/>
  <c r="AG2889" i="1"/>
  <c r="AF2889" i="1"/>
  <c r="AE2889" i="1"/>
  <c r="AD2889" i="1"/>
  <c r="AC2889" i="1"/>
  <c r="AL2888" i="1"/>
  <c r="AJ2888" i="1"/>
  <c r="AI2888" i="1"/>
  <c r="AH2888" i="1"/>
  <c r="AG2888" i="1"/>
  <c r="AF2888" i="1"/>
  <c r="AE2888" i="1"/>
  <c r="AD2888" i="1"/>
  <c r="AC2888" i="1"/>
  <c r="AL2887" i="1"/>
  <c r="AJ2887" i="1"/>
  <c r="AI2887" i="1"/>
  <c r="AH2887" i="1"/>
  <c r="AG2887" i="1"/>
  <c r="AF2887" i="1"/>
  <c r="AE2887" i="1"/>
  <c r="AD2887" i="1"/>
  <c r="AC2887" i="1"/>
  <c r="AL2886" i="1"/>
  <c r="AJ2886" i="1"/>
  <c r="AI2886" i="1"/>
  <c r="AH2886" i="1"/>
  <c r="AG2886" i="1"/>
  <c r="AF2886" i="1"/>
  <c r="AE2886" i="1"/>
  <c r="AD2886" i="1"/>
  <c r="AC2886" i="1"/>
  <c r="AL2885" i="1"/>
  <c r="AJ2885" i="1"/>
  <c r="AI2885" i="1"/>
  <c r="AH2885" i="1"/>
  <c r="AG2885" i="1"/>
  <c r="AF2885" i="1"/>
  <c r="AE2885" i="1"/>
  <c r="AD2885" i="1"/>
  <c r="AC2885" i="1"/>
  <c r="AL2884" i="1"/>
  <c r="AJ2884" i="1"/>
  <c r="AI2884" i="1"/>
  <c r="AH2884" i="1"/>
  <c r="AG2884" i="1"/>
  <c r="AF2884" i="1"/>
  <c r="AE2884" i="1"/>
  <c r="AD2884" i="1"/>
  <c r="AC2884" i="1"/>
  <c r="AL2883" i="1"/>
  <c r="AJ2883" i="1"/>
  <c r="AI2883" i="1"/>
  <c r="AH2883" i="1"/>
  <c r="AG2883" i="1"/>
  <c r="AF2883" i="1"/>
  <c r="AE2883" i="1"/>
  <c r="AD2883" i="1"/>
  <c r="AC2883" i="1"/>
  <c r="AL2882" i="1"/>
  <c r="AJ2882" i="1"/>
  <c r="AI2882" i="1"/>
  <c r="AH2882" i="1"/>
  <c r="AG2882" i="1"/>
  <c r="AF2882" i="1"/>
  <c r="AE2882" i="1"/>
  <c r="AD2882" i="1"/>
  <c r="AC2882" i="1"/>
  <c r="AL2881" i="1"/>
  <c r="AJ2881" i="1"/>
  <c r="AI2881" i="1"/>
  <c r="AH2881" i="1"/>
  <c r="AG2881" i="1"/>
  <c r="AF2881" i="1"/>
  <c r="AE2881" i="1"/>
  <c r="AD2881" i="1"/>
  <c r="AC2881" i="1"/>
  <c r="AL2880" i="1"/>
  <c r="AJ2880" i="1"/>
  <c r="AI2880" i="1"/>
  <c r="AH2880" i="1"/>
  <c r="AG2880" i="1"/>
  <c r="AF2880" i="1"/>
  <c r="AE2880" i="1"/>
  <c r="AD2880" i="1"/>
  <c r="AC2880" i="1"/>
  <c r="AL2879" i="1"/>
  <c r="AJ2879" i="1"/>
  <c r="AI2879" i="1"/>
  <c r="AH2879" i="1"/>
  <c r="AG2879" i="1"/>
  <c r="AF2879" i="1"/>
  <c r="AE2879" i="1"/>
  <c r="AD2879" i="1"/>
  <c r="AC2879" i="1"/>
  <c r="AL2878" i="1"/>
  <c r="AJ2878" i="1"/>
  <c r="AI2878" i="1"/>
  <c r="AH2878" i="1"/>
  <c r="AG2878" i="1"/>
  <c r="AF2878" i="1"/>
  <c r="AE2878" i="1"/>
  <c r="AD2878" i="1"/>
  <c r="AC2878" i="1"/>
  <c r="AL2877" i="1"/>
  <c r="AJ2877" i="1"/>
  <c r="AI2877" i="1"/>
  <c r="AH2877" i="1"/>
  <c r="AG2877" i="1"/>
  <c r="AF2877" i="1"/>
  <c r="AE2877" i="1"/>
  <c r="AD2877" i="1"/>
  <c r="AC2877" i="1"/>
  <c r="AL2876" i="1"/>
  <c r="AJ2876" i="1"/>
  <c r="AI2876" i="1"/>
  <c r="AH2876" i="1"/>
  <c r="AG2876" i="1"/>
  <c r="AF2876" i="1"/>
  <c r="AE2876" i="1"/>
  <c r="AD2876" i="1"/>
  <c r="AC2876" i="1"/>
  <c r="AL2875" i="1"/>
  <c r="AJ2875" i="1"/>
  <c r="AI2875" i="1"/>
  <c r="AH2875" i="1"/>
  <c r="AG2875" i="1"/>
  <c r="AF2875" i="1"/>
  <c r="AE2875" i="1"/>
  <c r="AD2875" i="1"/>
  <c r="AC2875" i="1"/>
  <c r="AL2874" i="1"/>
  <c r="AJ2874" i="1"/>
  <c r="AI2874" i="1"/>
  <c r="AH2874" i="1"/>
  <c r="AG2874" i="1"/>
  <c r="AF2874" i="1"/>
  <c r="AE2874" i="1"/>
  <c r="AD2874" i="1"/>
  <c r="AC2874" i="1"/>
  <c r="AL2873" i="1"/>
  <c r="AJ2873" i="1"/>
  <c r="AI2873" i="1"/>
  <c r="AH2873" i="1"/>
  <c r="AG2873" i="1"/>
  <c r="AF2873" i="1"/>
  <c r="AE2873" i="1"/>
  <c r="AD2873" i="1"/>
  <c r="AC2873" i="1"/>
  <c r="AL2872" i="1"/>
  <c r="AJ2872" i="1"/>
  <c r="AI2872" i="1"/>
  <c r="AH2872" i="1"/>
  <c r="AG2872" i="1"/>
  <c r="AF2872" i="1"/>
  <c r="AE2872" i="1"/>
  <c r="AD2872" i="1"/>
  <c r="AC2872" i="1"/>
  <c r="AL2871" i="1"/>
  <c r="AJ2871" i="1"/>
  <c r="AI2871" i="1"/>
  <c r="AH2871" i="1"/>
  <c r="AG2871" i="1"/>
  <c r="AF2871" i="1"/>
  <c r="AE2871" i="1"/>
  <c r="AD2871" i="1"/>
  <c r="AC2871" i="1"/>
  <c r="AL2870" i="1"/>
  <c r="AJ2870" i="1"/>
  <c r="AI2870" i="1"/>
  <c r="AH2870" i="1"/>
  <c r="AG2870" i="1"/>
  <c r="AF2870" i="1"/>
  <c r="AE2870" i="1"/>
  <c r="AD2870" i="1"/>
  <c r="AC2870" i="1"/>
  <c r="AL2869" i="1"/>
  <c r="AJ2869" i="1"/>
  <c r="AI2869" i="1"/>
  <c r="AH2869" i="1"/>
  <c r="AG2869" i="1"/>
  <c r="AF2869" i="1"/>
  <c r="AE2869" i="1"/>
  <c r="AD2869" i="1"/>
  <c r="AC2869" i="1"/>
  <c r="AL2868" i="1"/>
  <c r="AJ2868" i="1"/>
  <c r="AI2868" i="1"/>
  <c r="AH2868" i="1"/>
  <c r="AG2868" i="1"/>
  <c r="AF2868" i="1"/>
  <c r="AE2868" i="1"/>
  <c r="AD2868" i="1"/>
  <c r="AC2868" i="1"/>
  <c r="AL2867" i="1"/>
  <c r="AJ2867" i="1"/>
  <c r="AI2867" i="1"/>
  <c r="AH2867" i="1"/>
  <c r="AG2867" i="1"/>
  <c r="AF2867" i="1"/>
  <c r="AE2867" i="1"/>
  <c r="AD2867" i="1"/>
  <c r="AC2867" i="1"/>
  <c r="AL2866" i="1"/>
  <c r="AJ2866" i="1"/>
  <c r="AI2866" i="1"/>
  <c r="AH2866" i="1"/>
  <c r="AG2866" i="1"/>
  <c r="AF2866" i="1"/>
  <c r="AE2866" i="1"/>
  <c r="AD2866" i="1"/>
  <c r="AC2866" i="1"/>
  <c r="AL2865" i="1"/>
  <c r="AJ2865" i="1"/>
  <c r="AI2865" i="1"/>
  <c r="AH2865" i="1"/>
  <c r="AG2865" i="1"/>
  <c r="AF2865" i="1"/>
  <c r="AE2865" i="1"/>
  <c r="AD2865" i="1"/>
  <c r="AC2865" i="1"/>
  <c r="AL2864" i="1"/>
  <c r="AJ2864" i="1"/>
  <c r="AI2864" i="1"/>
  <c r="AH2864" i="1"/>
  <c r="AG2864" i="1"/>
  <c r="AF2864" i="1"/>
  <c r="AE2864" i="1"/>
  <c r="AD2864" i="1"/>
  <c r="AC2864" i="1"/>
  <c r="AL2863" i="1"/>
  <c r="AJ2863" i="1"/>
  <c r="AI2863" i="1"/>
  <c r="AH2863" i="1"/>
  <c r="AG2863" i="1"/>
  <c r="AF2863" i="1"/>
  <c r="AE2863" i="1"/>
  <c r="AD2863" i="1"/>
  <c r="AC2863" i="1"/>
  <c r="AL2862" i="1"/>
  <c r="AJ2862" i="1"/>
  <c r="AI2862" i="1"/>
  <c r="AH2862" i="1"/>
  <c r="AG2862" i="1"/>
  <c r="AF2862" i="1"/>
  <c r="AE2862" i="1"/>
  <c r="AD2862" i="1"/>
  <c r="AC2862" i="1"/>
  <c r="AL2861" i="1"/>
  <c r="AJ2861" i="1"/>
  <c r="AI2861" i="1"/>
  <c r="AH2861" i="1"/>
  <c r="AG2861" i="1"/>
  <c r="AF2861" i="1"/>
  <c r="AE2861" i="1"/>
  <c r="AD2861" i="1"/>
  <c r="AC2861" i="1"/>
  <c r="AL2860" i="1"/>
  <c r="AJ2860" i="1"/>
  <c r="AI2860" i="1"/>
  <c r="AH2860" i="1"/>
  <c r="AG2860" i="1"/>
  <c r="AF2860" i="1"/>
  <c r="AE2860" i="1"/>
  <c r="AD2860" i="1"/>
  <c r="AC2860" i="1"/>
  <c r="AL2859" i="1"/>
  <c r="AJ2859" i="1"/>
  <c r="AI2859" i="1"/>
  <c r="AH2859" i="1"/>
  <c r="AG2859" i="1"/>
  <c r="AF2859" i="1"/>
  <c r="AE2859" i="1"/>
  <c r="AD2859" i="1"/>
  <c r="AC2859" i="1"/>
  <c r="AL2858" i="1"/>
  <c r="AJ2858" i="1"/>
  <c r="AI2858" i="1"/>
  <c r="AH2858" i="1"/>
  <c r="AG2858" i="1"/>
  <c r="AF2858" i="1"/>
  <c r="AE2858" i="1"/>
  <c r="AD2858" i="1"/>
  <c r="AC2858" i="1"/>
  <c r="AL2857" i="1"/>
  <c r="AJ2857" i="1"/>
  <c r="AI2857" i="1"/>
  <c r="AH2857" i="1"/>
  <c r="AG2857" i="1"/>
  <c r="AF2857" i="1"/>
  <c r="AE2857" i="1"/>
  <c r="AD2857" i="1"/>
  <c r="AC2857" i="1"/>
  <c r="AL2856" i="1"/>
  <c r="AJ2856" i="1"/>
  <c r="AI2856" i="1"/>
  <c r="AH2856" i="1"/>
  <c r="AG2856" i="1"/>
  <c r="AF2856" i="1"/>
  <c r="AE2856" i="1"/>
  <c r="AD2856" i="1"/>
  <c r="AC2856" i="1"/>
  <c r="AL2855" i="1"/>
  <c r="AJ2855" i="1"/>
  <c r="AI2855" i="1"/>
  <c r="AH2855" i="1"/>
  <c r="AG2855" i="1"/>
  <c r="AF2855" i="1"/>
  <c r="AE2855" i="1"/>
  <c r="AD2855" i="1"/>
  <c r="AC2855" i="1"/>
  <c r="AL2854" i="1"/>
  <c r="AJ2854" i="1"/>
  <c r="AI2854" i="1"/>
  <c r="AH2854" i="1"/>
  <c r="AG2854" i="1"/>
  <c r="AF2854" i="1"/>
  <c r="AE2854" i="1"/>
  <c r="AD2854" i="1"/>
  <c r="AC2854" i="1"/>
  <c r="AL2853" i="1"/>
  <c r="AJ2853" i="1"/>
  <c r="AI2853" i="1"/>
  <c r="AH2853" i="1"/>
  <c r="AG2853" i="1"/>
  <c r="AF2853" i="1"/>
  <c r="AE2853" i="1"/>
  <c r="AD2853" i="1"/>
  <c r="AC2853" i="1"/>
  <c r="AL2852" i="1"/>
  <c r="AJ2852" i="1"/>
  <c r="AI2852" i="1"/>
  <c r="AH2852" i="1"/>
  <c r="AG2852" i="1"/>
  <c r="AF2852" i="1"/>
  <c r="AE2852" i="1"/>
  <c r="AD2852" i="1"/>
  <c r="AC2852" i="1"/>
  <c r="AL2851" i="1"/>
  <c r="AJ2851" i="1"/>
  <c r="AI2851" i="1"/>
  <c r="AH2851" i="1"/>
  <c r="AG2851" i="1"/>
  <c r="AF2851" i="1"/>
  <c r="AE2851" i="1"/>
  <c r="AD2851" i="1"/>
  <c r="AC2851" i="1"/>
  <c r="AL2850" i="1"/>
  <c r="AJ2850" i="1"/>
  <c r="AI2850" i="1"/>
  <c r="AH2850" i="1"/>
  <c r="AG2850" i="1"/>
  <c r="AF2850" i="1"/>
  <c r="AE2850" i="1"/>
  <c r="AD2850" i="1"/>
  <c r="AC2850" i="1"/>
  <c r="AL2849" i="1"/>
  <c r="AJ2849" i="1"/>
  <c r="AI2849" i="1"/>
  <c r="AH2849" i="1"/>
  <c r="AG2849" i="1"/>
  <c r="AF2849" i="1"/>
  <c r="AE2849" i="1"/>
  <c r="AD2849" i="1"/>
  <c r="AC2849" i="1"/>
  <c r="AL2848" i="1"/>
  <c r="AJ2848" i="1"/>
  <c r="AI2848" i="1"/>
  <c r="AH2848" i="1"/>
  <c r="AG2848" i="1"/>
  <c r="AF2848" i="1"/>
  <c r="AE2848" i="1"/>
  <c r="AD2848" i="1"/>
  <c r="AC2848" i="1"/>
  <c r="AL2847" i="1"/>
  <c r="AJ2847" i="1"/>
  <c r="AI2847" i="1"/>
  <c r="AH2847" i="1"/>
  <c r="AG2847" i="1"/>
  <c r="AF2847" i="1"/>
  <c r="AE2847" i="1"/>
  <c r="AD2847" i="1"/>
  <c r="AC2847" i="1"/>
  <c r="AL2846" i="1"/>
  <c r="AJ2846" i="1"/>
  <c r="AI2846" i="1"/>
  <c r="AH2846" i="1"/>
  <c r="AG2846" i="1"/>
  <c r="AF2846" i="1"/>
  <c r="AE2846" i="1"/>
  <c r="AD2846" i="1"/>
  <c r="AC2846" i="1"/>
  <c r="AL2845" i="1"/>
  <c r="AJ2845" i="1"/>
  <c r="AI2845" i="1"/>
  <c r="AH2845" i="1"/>
  <c r="AG2845" i="1"/>
  <c r="AF2845" i="1"/>
  <c r="AE2845" i="1"/>
  <c r="AD2845" i="1"/>
  <c r="AC2845" i="1"/>
  <c r="AL2844" i="1"/>
  <c r="AJ2844" i="1"/>
  <c r="AI2844" i="1"/>
  <c r="AH2844" i="1"/>
  <c r="AG2844" i="1"/>
  <c r="AF2844" i="1"/>
  <c r="AE2844" i="1"/>
  <c r="AD2844" i="1"/>
  <c r="AC2844" i="1"/>
  <c r="AL2843" i="1"/>
  <c r="AJ2843" i="1"/>
  <c r="AI2843" i="1"/>
  <c r="AH2843" i="1"/>
  <c r="AG2843" i="1"/>
  <c r="AF2843" i="1"/>
  <c r="AE2843" i="1"/>
  <c r="AD2843" i="1"/>
  <c r="AC2843" i="1"/>
  <c r="AL2842" i="1"/>
  <c r="AJ2842" i="1"/>
  <c r="AI2842" i="1"/>
  <c r="AH2842" i="1"/>
  <c r="AG2842" i="1"/>
  <c r="AF2842" i="1"/>
  <c r="AE2842" i="1"/>
  <c r="AD2842" i="1"/>
  <c r="AC2842" i="1"/>
  <c r="AL2841" i="1"/>
  <c r="AJ2841" i="1"/>
  <c r="AI2841" i="1"/>
  <c r="AH2841" i="1"/>
  <c r="AG2841" i="1"/>
  <c r="AF2841" i="1"/>
  <c r="AE2841" i="1"/>
  <c r="AD2841" i="1"/>
  <c r="AC2841" i="1"/>
  <c r="AL2840" i="1"/>
  <c r="AJ2840" i="1"/>
  <c r="AI2840" i="1"/>
  <c r="AH2840" i="1"/>
  <c r="AG2840" i="1"/>
  <c r="AF2840" i="1"/>
  <c r="AE2840" i="1"/>
  <c r="AD2840" i="1"/>
  <c r="AC2840" i="1"/>
  <c r="AL2839" i="1"/>
  <c r="AJ2839" i="1"/>
  <c r="AI2839" i="1"/>
  <c r="AH2839" i="1"/>
  <c r="AG2839" i="1"/>
  <c r="AF2839" i="1"/>
  <c r="AE2839" i="1"/>
  <c r="AD2839" i="1"/>
  <c r="AC2839" i="1"/>
  <c r="AL2838" i="1"/>
  <c r="AJ2838" i="1"/>
  <c r="AI2838" i="1"/>
  <c r="AH2838" i="1"/>
  <c r="AG2838" i="1"/>
  <c r="AF2838" i="1"/>
  <c r="AE2838" i="1"/>
  <c r="AD2838" i="1"/>
  <c r="AC2838" i="1"/>
  <c r="AL2837" i="1"/>
  <c r="AJ2837" i="1"/>
  <c r="AI2837" i="1"/>
  <c r="AH2837" i="1"/>
  <c r="AG2837" i="1"/>
  <c r="AF2837" i="1"/>
  <c r="AE2837" i="1"/>
  <c r="AD2837" i="1"/>
  <c r="AC2837" i="1"/>
  <c r="AL2836" i="1"/>
  <c r="AJ2836" i="1"/>
  <c r="AI2836" i="1"/>
  <c r="AH2836" i="1"/>
  <c r="AG2836" i="1"/>
  <c r="AF2836" i="1"/>
  <c r="AE2836" i="1"/>
  <c r="AD2836" i="1"/>
  <c r="AC2836" i="1"/>
  <c r="AL2835" i="1"/>
  <c r="AJ2835" i="1"/>
  <c r="AI2835" i="1"/>
  <c r="AH2835" i="1"/>
  <c r="AG2835" i="1"/>
  <c r="AF2835" i="1"/>
  <c r="AE2835" i="1"/>
  <c r="AD2835" i="1"/>
  <c r="AC2835" i="1"/>
  <c r="AL2834" i="1"/>
  <c r="AJ2834" i="1"/>
  <c r="AI2834" i="1"/>
  <c r="AH2834" i="1"/>
  <c r="AG2834" i="1"/>
  <c r="AF2834" i="1"/>
  <c r="AE2834" i="1"/>
  <c r="AD2834" i="1"/>
  <c r="AC2834" i="1"/>
  <c r="AL2833" i="1"/>
  <c r="AJ2833" i="1"/>
  <c r="AI2833" i="1"/>
  <c r="AH2833" i="1"/>
  <c r="AG2833" i="1"/>
  <c r="AF2833" i="1"/>
  <c r="AE2833" i="1"/>
  <c r="AD2833" i="1"/>
  <c r="AC2833" i="1"/>
  <c r="AL2832" i="1"/>
  <c r="AJ2832" i="1"/>
  <c r="AI2832" i="1"/>
  <c r="AH2832" i="1"/>
  <c r="AG2832" i="1"/>
  <c r="AF2832" i="1"/>
  <c r="AE2832" i="1"/>
  <c r="AD2832" i="1"/>
  <c r="AC2832" i="1"/>
  <c r="AL2831" i="1"/>
  <c r="AJ2831" i="1"/>
  <c r="AI2831" i="1"/>
  <c r="AH2831" i="1"/>
  <c r="AG2831" i="1"/>
  <c r="AF2831" i="1"/>
  <c r="AE2831" i="1"/>
  <c r="AD2831" i="1"/>
  <c r="AC2831" i="1"/>
  <c r="AL2830" i="1"/>
  <c r="AJ2830" i="1"/>
  <c r="AI2830" i="1"/>
  <c r="AH2830" i="1"/>
  <c r="AG2830" i="1"/>
  <c r="AF2830" i="1"/>
  <c r="AE2830" i="1"/>
  <c r="AD2830" i="1"/>
  <c r="AC2830" i="1"/>
  <c r="AL2829" i="1"/>
  <c r="AJ2829" i="1"/>
  <c r="AI2829" i="1"/>
  <c r="AH2829" i="1"/>
  <c r="AG2829" i="1"/>
  <c r="AF2829" i="1"/>
  <c r="AE2829" i="1"/>
  <c r="AD2829" i="1"/>
  <c r="AC2829" i="1"/>
  <c r="AL2828" i="1"/>
  <c r="AJ2828" i="1"/>
  <c r="AI2828" i="1"/>
  <c r="AH2828" i="1"/>
  <c r="AG2828" i="1"/>
  <c r="AF2828" i="1"/>
  <c r="AE2828" i="1"/>
  <c r="AD2828" i="1"/>
  <c r="AC2828" i="1"/>
  <c r="AL2827" i="1"/>
  <c r="AJ2827" i="1"/>
  <c r="AI2827" i="1"/>
  <c r="AH2827" i="1"/>
  <c r="AG2827" i="1"/>
  <c r="AF2827" i="1"/>
  <c r="AE2827" i="1"/>
  <c r="AD2827" i="1"/>
  <c r="AC2827" i="1"/>
  <c r="AL2826" i="1"/>
  <c r="AJ2826" i="1"/>
  <c r="AI2826" i="1"/>
  <c r="AH2826" i="1"/>
  <c r="AG2826" i="1"/>
  <c r="AF2826" i="1"/>
  <c r="AE2826" i="1"/>
  <c r="AD2826" i="1"/>
  <c r="AC2826" i="1"/>
  <c r="AL2825" i="1"/>
  <c r="AJ2825" i="1"/>
  <c r="AI2825" i="1"/>
  <c r="AH2825" i="1"/>
  <c r="AG2825" i="1"/>
  <c r="AF2825" i="1"/>
  <c r="AE2825" i="1"/>
  <c r="AD2825" i="1"/>
  <c r="AC2825" i="1"/>
  <c r="AL2824" i="1"/>
  <c r="AJ2824" i="1"/>
  <c r="AI2824" i="1"/>
  <c r="AH2824" i="1"/>
  <c r="AG2824" i="1"/>
  <c r="AF2824" i="1"/>
  <c r="AE2824" i="1"/>
  <c r="AD2824" i="1"/>
  <c r="AC2824" i="1"/>
  <c r="AL2823" i="1"/>
  <c r="AJ2823" i="1"/>
  <c r="AI2823" i="1"/>
  <c r="AH2823" i="1"/>
  <c r="AG2823" i="1"/>
  <c r="AF2823" i="1"/>
  <c r="AE2823" i="1"/>
  <c r="AD2823" i="1"/>
  <c r="AC2823" i="1"/>
  <c r="AL2822" i="1"/>
  <c r="AJ2822" i="1"/>
  <c r="AI2822" i="1"/>
  <c r="AH2822" i="1"/>
  <c r="AG2822" i="1"/>
  <c r="AF2822" i="1"/>
  <c r="AE2822" i="1"/>
  <c r="AD2822" i="1"/>
  <c r="AC2822" i="1"/>
  <c r="AL2821" i="1"/>
  <c r="AJ2821" i="1"/>
  <c r="AI2821" i="1"/>
  <c r="AH2821" i="1"/>
  <c r="AG2821" i="1"/>
  <c r="AF2821" i="1"/>
  <c r="AE2821" i="1"/>
  <c r="AD2821" i="1"/>
  <c r="AC2821" i="1"/>
  <c r="AL2820" i="1"/>
  <c r="AJ2820" i="1"/>
  <c r="AI2820" i="1"/>
  <c r="AH2820" i="1"/>
  <c r="AG2820" i="1"/>
  <c r="AF2820" i="1"/>
  <c r="AE2820" i="1"/>
  <c r="AD2820" i="1"/>
  <c r="AC2820" i="1"/>
  <c r="AL2819" i="1"/>
  <c r="AJ2819" i="1"/>
  <c r="AI2819" i="1"/>
  <c r="AH2819" i="1"/>
  <c r="AG2819" i="1"/>
  <c r="AF2819" i="1"/>
  <c r="AE2819" i="1"/>
  <c r="AD2819" i="1"/>
  <c r="AC2819" i="1"/>
  <c r="AL2818" i="1"/>
  <c r="AJ2818" i="1"/>
  <c r="AI2818" i="1"/>
  <c r="AH2818" i="1"/>
  <c r="AG2818" i="1"/>
  <c r="AF2818" i="1"/>
  <c r="AE2818" i="1"/>
  <c r="AD2818" i="1"/>
  <c r="AC2818" i="1"/>
  <c r="AL2817" i="1"/>
  <c r="AJ2817" i="1"/>
  <c r="AI2817" i="1"/>
  <c r="AH2817" i="1"/>
  <c r="AG2817" i="1"/>
  <c r="AF2817" i="1"/>
  <c r="AE2817" i="1"/>
  <c r="AD2817" i="1"/>
  <c r="AC2817" i="1"/>
  <c r="AL2816" i="1"/>
  <c r="AJ2816" i="1"/>
  <c r="AI2816" i="1"/>
  <c r="AH2816" i="1"/>
  <c r="AG2816" i="1"/>
  <c r="AF2816" i="1"/>
  <c r="AE2816" i="1"/>
  <c r="AD2816" i="1"/>
  <c r="AC2816" i="1"/>
  <c r="AL2815" i="1"/>
  <c r="AJ2815" i="1"/>
  <c r="AI2815" i="1"/>
  <c r="AH2815" i="1"/>
  <c r="AG2815" i="1"/>
  <c r="AF2815" i="1"/>
  <c r="AE2815" i="1"/>
  <c r="AD2815" i="1"/>
  <c r="AC2815" i="1"/>
  <c r="AL2814" i="1"/>
  <c r="AJ2814" i="1"/>
  <c r="AI2814" i="1"/>
  <c r="AH2814" i="1"/>
  <c r="AG2814" i="1"/>
  <c r="AF2814" i="1"/>
  <c r="AE2814" i="1"/>
  <c r="AD2814" i="1"/>
  <c r="AC2814" i="1"/>
  <c r="AL2813" i="1"/>
  <c r="AJ2813" i="1"/>
  <c r="AI2813" i="1"/>
  <c r="AH2813" i="1"/>
  <c r="AG2813" i="1"/>
  <c r="AF2813" i="1"/>
  <c r="AE2813" i="1"/>
  <c r="AD2813" i="1"/>
  <c r="AC2813" i="1"/>
  <c r="AL2812" i="1"/>
  <c r="AJ2812" i="1"/>
  <c r="AI2812" i="1"/>
  <c r="AH2812" i="1"/>
  <c r="AG2812" i="1"/>
  <c r="AF2812" i="1"/>
  <c r="AE2812" i="1"/>
  <c r="AD2812" i="1"/>
  <c r="AC2812" i="1"/>
  <c r="AL2811" i="1"/>
  <c r="AJ2811" i="1"/>
  <c r="AI2811" i="1"/>
  <c r="AH2811" i="1"/>
  <c r="AG2811" i="1"/>
  <c r="AF2811" i="1"/>
  <c r="AE2811" i="1"/>
  <c r="AD2811" i="1"/>
  <c r="AC2811" i="1"/>
  <c r="AL2810" i="1"/>
  <c r="AJ2810" i="1"/>
  <c r="AI2810" i="1"/>
  <c r="AH2810" i="1"/>
  <c r="AG2810" i="1"/>
  <c r="AF2810" i="1"/>
  <c r="AE2810" i="1"/>
  <c r="AD2810" i="1"/>
  <c r="AC2810" i="1"/>
  <c r="AL2809" i="1"/>
  <c r="AJ2809" i="1"/>
  <c r="AI2809" i="1"/>
  <c r="AH2809" i="1"/>
  <c r="AG2809" i="1"/>
  <c r="AF2809" i="1"/>
  <c r="AE2809" i="1"/>
  <c r="AD2809" i="1"/>
  <c r="AC2809" i="1"/>
  <c r="AL2808" i="1"/>
  <c r="AJ2808" i="1"/>
  <c r="AI2808" i="1"/>
  <c r="AH2808" i="1"/>
  <c r="AG2808" i="1"/>
  <c r="AF2808" i="1"/>
  <c r="AE2808" i="1"/>
  <c r="AD2808" i="1"/>
  <c r="AC2808" i="1"/>
  <c r="AL2807" i="1"/>
  <c r="AJ2807" i="1"/>
  <c r="AI2807" i="1"/>
  <c r="AH2807" i="1"/>
  <c r="AG2807" i="1"/>
  <c r="AF2807" i="1"/>
  <c r="AE2807" i="1"/>
  <c r="AD2807" i="1"/>
  <c r="AC2807" i="1"/>
  <c r="AL2806" i="1"/>
  <c r="AJ2806" i="1"/>
  <c r="AI2806" i="1"/>
  <c r="AH2806" i="1"/>
  <c r="AG2806" i="1"/>
  <c r="AF2806" i="1"/>
  <c r="AE2806" i="1"/>
  <c r="AD2806" i="1"/>
  <c r="AC2806" i="1"/>
  <c r="AL2805" i="1"/>
  <c r="AJ2805" i="1"/>
  <c r="AI2805" i="1"/>
  <c r="AH2805" i="1"/>
  <c r="AG2805" i="1"/>
  <c r="AF2805" i="1"/>
  <c r="AE2805" i="1"/>
  <c r="AD2805" i="1"/>
  <c r="AC2805" i="1"/>
  <c r="AL2804" i="1"/>
  <c r="AJ2804" i="1"/>
  <c r="AI2804" i="1"/>
  <c r="AH2804" i="1"/>
  <c r="AG2804" i="1"/>
  <c r="AF2804" i="1"/>
  <c r="AE2804" i="1"/>
  <c r="AD2804" i="1"/>
  <c r="AC2804" i="1"/>
  <c r="AL2803" i="1"/>
  <c r="AJ2803" i="1"/>
  <c r="AI2803" i="1"/>
  <c r="AH2803" i="1"/>
  <c r="AG2803" i="1"/>
  <c r="AF2803" i="1"/>
  <c r="AE2803" i="1"/>
  <c r="AD2803" i="1"/>
  <c r="AC2803" i="1"/>
  <c r="AL2802" i="1"/>
  <c r="AJ2802" i="1"/>
  <c r="AI2802" i="1"/>
  <c r="AH2802" i="1"/>
  <c r="AG2802" i="1"/>
  <c r="AF2802" i="1"/>
  <c r="AE2802" i="1"/>
  <c r="AD2802" i="1"/>
  <c r="AC2802" i="1"/>
  <c r="AL2801" i="1"/>
  <c r="AJ2801" i="1"/>
  <c r="AI2801" i="1"/>
  <c r="AH2801" i="1"/>
  <c r="AG2801" i="1"/>
  <c r="AF2801" i="1"/>
  <c r="AE2801" i="1"/>
  <c r="AD2801" i="1"/>
  <c r="AC2801" i="1"/>
  <c r="AL2800" i="1"/>
  <c r="AJ2800" i="1"/>
  <c r="AI2800" i="1"/>
  <c r="AH2800" i="1"/>
  <c r="AG2800" i="1"/>
  <c r="AF2800" i="1"/>
  <c r="AE2800" i="1"/>
  <c r="AD2800" i="1"/>
  <c r="AC2800" i="1"/>
  <c r="AL2799" i="1"/>
  <c r="AJ2799" i="1"/>
  <c r="AI2799" i="1"/>
  <c r="AH2799" i="1"/>
  <c r="AG2799" i="1"/>
  <c r="AF2799" i="1"/>
  <c r="AE2799" i="1"/>
  <c r="AD2799" i="1"/>
  <c r="AC2799" i="1"/>
  <c r="AL2798" i="1"/>
  <c r="AJ2798" i="1"/>
  <c r="AI2798" i="1"/>
  <c r="AH2798" i="1"/>
  <c r="AG2798" i="1"/>
  <c r="AF2798" i="1"/>
  <c r="AE2798" i="1"/>
  <c r="AD2798" i="1"/>
  <c r="AC2798" i="1"/>
  <c r="AL2797" i="1"/>
  <c r="AJ2797" i="1"/>
  <c r="AI2797" i="1"/>
  <c r="AH2797" i="1"/>
  <c r="AG2797" i="1"/>
  <c r="AF2797" i="1"/>
  <c r="AE2797" i="1"/>
  <c r="AD2797" i="1"/>
  <c r="AC2797" i="1"/>
  <c r="AL2796" i="1"/>
  <c r="AJ2796" i="1"/>
  <c r="AI2796" i="1"/>
  <c r="AH2796" i="1"/>
  <c r="AG2796" i="1"/>
  <c r="AF2796" i="1"/>
  <c r="AE2796" i="1"/>
  <c r="AD2796" i="1"/>
  <c r="AC2796" i="1"/>
  <c r="AL2795" i="1"/>
  <c r="AJ2795" i="1"/>
  <c r="AI2795" i="1"/>
  <c r="AH2795" i="1"/>
  <c r="AG2795" i="1"/>
  <c r="AF2795" i="1"/>
  <c r="AE2795" i="1"/>
  <c r="AD2795" i="1"/>
  <c r="AC2795" i="1"/>
  <c r="AL2794" i="1"/>
  <c r="AJ2794" i="1"/>
  <c r="AI2794" i="1"/>
  <c r="AH2794" i="1"/>
  <c r="AG2794" i="1"/>
  <c r="AF2794" i="1"/>
  <c r="AE2794" i="1"/>
  <c r="AD2794" i="1"/>
  <c r="AC2794" i="1"/>
  <c r="AL2793" i="1"/>
  <c r="AJ2793" i="1"/>
  <c r="AI2793" i="1"/>
  <c r="AH2793" i="1"/>
  <c r="AG2793" i="1"/>
  <c r="AF2793" i="1"/>
  <c r="AE2793" i="1"/>
  <c r="AD2793" i="1"/>
  <c r="AC2793" i="1"/>
  <c r="AL2792" i="1"/>
  <c r="AJ2792" i="1"/>
  <c r="AI2792" i="1"/>
  <c r="AH2792" i="1"/>
  <c r="AG2792" i="1"/>
  <c r="AF2792" i="1"/>
  <c r="AE2792" i="1"/>
  <c r="AD2792" i="1"/>
  <c r="AC2792" i="1"/>
  <c r="AL2791" i="1"/>
  <c r="AJ2791" i="1"/>
  <c r="AI2791" i="1"/>
  <c r="AH2791" i="1"/>
  <c r="AG2791" i="1"/>
  <c r="AF2791" i="1"/>
  <c r="AE2791" i="1"/>
  <c r="AD2791" i="1"/>
  <c r="AC2791" i="1"/>
  <c r="AL2790" i="1"/>
  <c r="AJ2790" i="1"/>
  <c r="AI2790" i="1"/>
  <c r="AH2790" i="1"/>
  <c r="AG2790" i="1"/>
  <c r="AF2790" i="1"/>
  <c r="AE2790" i="1"/>
  <c r="AD2790" i="1"/>
  <c r="AC2790" i="1"/>
  <c r="AL2789" i="1"/>
  <c r="AJ2789" i="1"/>
  <c r="AI2789" i="1"/>
  <c r="AH2789" i="1"/>
  <c r="AG2789" i="1"/>
  <c r="AF2789" i="1"/>
  <c r="AE2789" i="1"/>
  <c r="AD2789" i="1"/>
  <c r="AC2789" i="1"/>
  <c r="AL2788" i="1"/>
  <c r="AJ2788" i="1"/>
  <c r="AI2788" i="1"/>
  <c r="AH2788" i="1"/>
  <c r="AG2788" i="1"/>
  <c r="AF2788" i="1"/>
  <c r="AE2788" i="1"/>
  <c r="AD2788" i="1"/>
  <c r="AC2788" i="1"/>
  <c r="AL2787" i="1"/>
  <c r="AJ2787" i="1"/>
  <c r="AI2787" i="1"/>
  <c r="AH2787" i="1"/>
  <c r="AG2787" i="1"/>
  <c r="AF2787" i="1"/>
  <c r="AE2787" i="1"/>
  <c r="AD2787" i="1"/>
  <c r="AC2787" i="1"/>
  <c r="AL2786" i="1"/>
  <c r="AJ2786" i="1"/>
  <c r="AI2786" i="1"/>
  <c r="AH2786" i="1"/>
  <c r="AG2786" i="1"/>
  <c r="AF2786" i="1"/>
  <c r="AE2786" i="1"/>
  <c r="AD2786" i="1"/>
  <c r="AC2786" i="1"/>
  <c r="AL2785" i="1"/>
  <c r="AJ2785" i="1"/>
  <c r="AI2785" i="1"/>
  <c r="AH2785" i="1"/>
  <c r="AG2785" i="1"/>
  <c r="AF2785" i="1"/>
  <c r="AE2785" i="1"/>
  <c r="AD2785" i="1"/>
  <c r="AC2785" i="1"/>
  <c r="AL2784" i="1"/>
  <c r="AJ2784" i="1"/>
  <c r="AI2784" i="1"/>
  <c r="AH2784" i="1"/>
  <c r="AG2784" i="1"/>
  <c r="AF2784" i="1"/>
  <c r="AE2784" i="1"/>
  <c r="AD2784" i="1"/>
  <c r="AC2784" i="1"/>
  <c r="AL2783" i="1"/>
  <c r="AJ2783" i="1"/>
  <c r="AI2783" i="1"/>
  <c r="AH2783" i="1"/>
  <c r="AG2783" i="1"/>
  <c r="AF2783" i="1"/>
  <c r="AE2783" i="1"/>
  <c r="AD2783" i="1"/>
  <c r="AC2783" i="1"/>
  <c r="AL2782" i="1"/>
  <c r="AJ2782" i="1"/>
  <c r="AI2782" i="1"/>
  <c r="AH2782" i="1"/>
  <c r="AG2782" i="1"/>
  <c r="AF2782" i="1"/>
  <c r="AE2782" i="1"/>
  <c r="AD2782" i="1"/>
  <c r="AC2782" i="1"/>
  <c r="AL2781" i="1"/>
  <c r="AJ2781" i="1"/>
  <c r="AI2781" i="1"/>
  <c r="AH2781" i="1"/>
  <c r="AG2781" i="1"/>
  <c r="AF2781" i="1"/>
  <c r="AE2781" i="1"/>
  <c r="AD2781" i="1"/>
  <c r="AC2781" i="1"/>
  <c r="AL2780" i="1"/>
  <c r="AJ2780" i="1"/>
  <c r="AI2780" i="1"/>
  <c r="AH2780" i="1"/>
  <c r="AG2780" i="1"/>
  <c r="AF2780" i="1"/>
  <c r="AE2780" i="1"/>
  <c r="AD2780" i="1"/>
  <c r="AC2780" i="1"/>
  <c r="AL2779" i="1"/>
  <c r="AJ2779" i="1"/>
  <c r="AI2779" i="1"/>
  <c r="AH2779" i="1"/>
  <c r="AG2779" i="1"/>
  <c r="AF2779" i="1"/>
  <c r="AE2779" i="1"/>
  <c r="AD2779" i="1"/>
  <c r="AC2779" i="1"/>
  <c r="AL2778" i="1"/>
  <c r="AJ2778" i="1"/>
  <c r="AI2778" i="1"/>
  <c r="AH2778" i="1"/>
  <c r="AG2778" i="1"/>
  <c r="AF2778" i="1"/>
  <c r="AE2778" i="1"/>
  <c r="AD2778" i="1"/>
  <c r="AC2778" i="1"/>
  <c r="AL2777" i="1"/>
  <c r="AJ2777" i="1"/>
  <c r="AI2777" i="1"/>
  <c r="AH2777" i="1"/>
  <c r="AG2777" i="1"/>
  <c r="AF2777" i="1"/>
  <c r="AE2777" i="1"/>
  <c r="AD2777" i="1"/>
  <c r="AC2777" i="1"/>
  <c r="AL2776" i="1"/>
  <c r="AJ2776" i="1"/>
  <c r="AI2776" i="1"/>
  <c r="AH2776" i="1"/>
  <c r="AG2776" i="1"/>
  <c r="AF2776" i="1"/>
  <c r="AE2776" i="1"/>
  <c r="AD2776" i="1"/>
  <c r="AC2776" i="1"/>
  <c r="AL2775" i="1"/>
  <c r="AJ2775" i="1"/>
  <c r="AI2775" i="1"/>
  <c r="AH2775" i="1"/>
  <c r="AG2775" i="1"/>
  <c r="AF2775" i="1"/>
  <c r="AE2775" i="1"/>
  <c r="AD2775" i="1"/>
  <c r="AC2775" i="1"/>
  <c r="AL2774" i="1"/>
  <c r="AJ2774" i="1"/>
  <c r="AI2774" i="1"/>
  <c r="AH2774" i="1"/>
  <c r="AG2774" i="1"/>
  <c r="AF2774" i="1"/>
  <c r="AE2774" i="1"/>
  <c r="AD2774" i="1"/>
  <c r="AC2774" i="1"/>
  <c r="AL2773" i="1"/>
  <c r="AJ2773" i="1"/>
  <c r="AI2773" i="1"/>
  <c r="AH2773" i="1"/>
  <c r="AG2773" i="1"/>
  <c r="AF2773" i="1"/>
  <c r="AE2773" i="1"/>
  <c r="AD2773" i="1"/>
  <c r="AC2773" i="1"/>
  <c r="AL2772" i="1"/>
  <c r="AJ2772" i="1"/>
  <c r="AI2772" i="1"/>
  <c r="AH2772" i="1"/>
  <c r="AG2772" i="1"/>
  <c r="AF2772" i="1"/>
  <c r="AE2772" i="1"/>
  <c r="AD2772" i="1"/>
  <c r="AC2772" i="1"/>
  <c r="AL2771" i="1"/>
  <c r="AJ2771" i="1"/>
  <c r="AI2771" i="1"/>
  <c r="AH2771" i="1"/>
  <c r="AG2771" i="1"/>
  <c r="AF2771" i="1"/>
  <c r="AE2771" i="1"/>
  <c r="AD2771" i="1"/>
  <c r="AC2771" i="1"/>
  <c r="AL2770" i="1"/>
  <c r="AJ2770" i="1"/>
  <c r="AI2770" i="1"/>
  <c r="AH2770" i="1"/>
  <c r="AG2770" i="1"/>
  <c r="AF2770" i="1"/>
  <c r="AE2770" i="1"/>
  <c r="AD2770" i="1"/>
  <c r="AC2770" i="1"/>
  <c r="AL2769" i="1"/>
  <c r="AJ2769" i="1"/>
  <c r="AI2769" i="1"/>
  <c r="AH2769" i="1"/>
  <c r="AG2769" i="1"/>
  <c r="AF2769" i="1"/>
  <c r="AE2769" i="1"/>
  <c r="AD2769" i="1"/>
  <c r="AC2769" i="1"/>
  <c r="AL2768" i="1"/>
  <c r="AJ2768" i="1"/>
  <c r="AI2768" i="1"/>
  <c r="AH2768" i="1"/>
  <c r="AG2768" i="1"/>
  <c r="AF2768" i="1"/>
  <c r="AE2768" i="1"/>
  <c r="AD2768" i="1"/>
  <c r="AC2768" i="1"/>
  <c r="AL2767" i="1"/>
  <c r="AJ2767" i="1"/>
  <c r="AI2767" i="1"/>
  <c r="AH2767" i="1"/>
  <c r="AG2767" i="1"/>
  <c r="AF2767" i="1"/>
  <c r="AE2767" i="1"/>
  <c r="AD2767" i="1"/>
  <c r="AC2767" i="1"/>
  <c r="AL2766" i="1"/>
  <c r="AJ2766" i="1"/>
  <c r="AI2766" i="1"/>
  <c r="AH2766" i="1"/>
  <c r="AG2766" i="1"/>
  <c r="AF2766" i="1"/>
  <c r="AE2766" i="1"/>
  <c r="AD2766" i="1"/>
  <c r="AC2766" i="1"/>
  <c r="AL2765" i="1"/>
  <c r="AJ2765" i="1"/>
  <c r="AI2765" i="1"/>
  <c r="AH2765" i="1"/>
  <c r="AG2765" i="1"/>
  <c r="AF2765" i="1"/>
  <c r="AE2765" i="1"/>
  <c r="AD2765" i="1"/>
  <c r="AC2765" i="1"/>
  <c r="AL2764" i="1"/>
  <c r="AJ2764" i="1"/>
  <c r="AI2764" i="1"/>
  <c r="AH2764" i="1"/>
  <c r="AG2764" i="1"/>
  <c r="AF2764" i="1"/>
  <c r="AE2764" i="1"/>
  <c r="AD2764" i="1"/>
  <c r="AC2764" i="1"/>
  <c r="AL2763" i="1"/>
  <c r="AJ2763" i="1"/>
  <c r="AI2763" i="1"/>
  <c r="AH2763" i="1"/>
  <c r="AG2763" i="1"/>
  <c r="AF2763" i="1"/>
  <c r="AE2763" i="1"/>
  <c r="AD2763" i="1"/>
  <c r="AC2763" i="1"/>
  <c r="AL2762" i="1"/>
  <c r="AJ2762" i="1"/>
  <c r="AI2762" i="1"/>
  <c r="AH2762" i="1"/>
  <c r="AG2762" i="1"/>
  <c r="AF2762" i="1"/>
  <c r="AE2762" i="1"/>
  <c r="AD2762" i="1"/>
  <c r="AC2762" i="1"/>
  <c r="AL2761" i="1"/>
  <c r="AJ2761" i="1"/>
  <c r="AI2761" i="1"/>
  <c r="AH2761" i="1"/>
  <c r="AG2761" i="1"/>
  <c r="AF2761" i="1"/>
  <c r="AE2761" i="1"/>
  <c r="AD2761" i="1"/>
  <c r="AC2761" i="1"/>
  <c r="AL2760" i="1"/>
  <c r="AJ2760" i="1"/>
  <c r="AI2760" i="1"/>
  <c r="AH2760" i="1"/>
  <c r="AG2760" i="1"/>
  <c r="AF2760" i="1"/>
  <c r="AE2760" i="1"/>
  <c r="AD2760" i="1"/>
  <c r="AC2760" i="1"/>
  <c r="AL2759" i="1"/>
  <c r="AJ2759" i="1"/>
  <c r="AI2759" i="1"/>
  <c r="AH2759" i="1"/>
  <c r="AG2759" i="1"/>
  <c r="AF2759" i="1"/>
  <c r="AE2759" i="1"/>
  <c r="AD2759" i="1"/>
  <c r="AC2759" i="1"/>
  <c r="AL2758" i="1"/>
  <c r="AJ2758" i="1"/>
  <c r="AI2758" i="1"/>
  <c r="AH2758" i="1"/>
  <c r="AG2758" i="1"/>
  <c r="AF2758" i="1"/>
  <c r="AE2758" i="1"/>
  <c r="AD2758" i="1"/>
  <c r="AC2758" i="1"/>
  <c r="AL2757" i="1"/>
  <c r="AJ2757" i="1"/>
  <c r="AI2757" i="1"/>
  <c r="AH2757" i="1"/>
  <c r="AG2757" i="1"/>
  <c r="AF2757" i="1"/>
  <c r="AE2757" i="1"/>
  <c r="AD2757" i="1"/>
  <c r="AC2757" i="1"/>
  <c r="AL2756" i="1"/>
  <c r="AJ2756" i="1"/>
  <c r="AI2756" i="1"/>
  <c r="AH2756" i="1"/>
  <c r="AG2756" i="1"/>
  <c r="AF2756" i="1"/>
  <c r="AE2756" i="1"/>
  <c r="AD2756" i="1"/>
  <c r="AC2756" i="1"/>
  <c r="AL2755" i="1"/>
  <c r="AJ2755" i="1"/>
  <c r="AI2755" i="1"/>
  <c r="AH2755" i="1"/>
  <c r="AG2755" i="1"/>
  <c r="AF2755" i="1"/>
  <c r="AE2755" i="1"/>
  <c r="AD2755" i="1"/>
  <c r="AC2755" i="1"/>
  <c r="AL2754" i="1"/>
  <c r="AJ2754" i="1"/>
  <c r="AI2754" i="1"/>
  <c r="AH2754" i="1"/>
  <c r="AG2754" i="1"/>
  <c r="AF2754" i="1"/>
  <c r="AE2754" i="1"/>
  <c r="AD2754" i="1"/>
  <c r="AC2754" i="1"/>
  <c r="AL2753" i="1"/>
  <c r="AJ2753" i="1"/>
  <c r="AI2753" i="1"/>
  <c r="AH2753" i="1"/>
  <c r="AG2753" i="1"/>
  <c r="AF2753" i="1"/>
  <c r="AE2753" i="1"/>
  <c r="AD2753" i="1"/>
  <c r="AC2753" i="1"/>
  <c r="AL2752" i="1"/>
  <c r="AJ2752" i="1"/>
  <c r="AI2752" i="1"/>
  <c r="AH2752" i="1"/>
  <c r="AG2752" i="1"/>
  <c r="AF2752" i="1"/>
  <c r="AE2752" i="1"/>
  <c r="AD2752" i="1"/>
  <c r="AC2752" i="1"/>
  <c r="AL2751" i="1"/>
  <c r="AJ2751" i="1"/>
  <c r="AI2751" i="1"/>
  <c r="AH2751" i="1"/>
  <c r="AG2751" i="1"/>
  <c r="AF2751" i="1"/>
  <c r="AE2751" i="1"/>
  <c r="AD2751" i="1"/>
  <c r="AC2751" i="1"/>
  <c r="AL2750" i="1"/>
  <c r="AJ2750" i="1"/>
  <c r="AI2750" i="1"/>
  <c r="AH2750" i="1"/>
  <c r="AG2750" i="1"/>
  <c r="AF2750" i="1"/>
  <c r="AE2750" i="1"/>
  <c r="AD2750" i="1"/>
  <c r="AC2750" i="1"/>
  <c r="AL2749" i="1"/>
  <c r="AJ2749" i="1"/>
  <c r="AI2749" i="1"/>
  <c r="AH2749" i="1"/>
  <c r="AG2749" i="1"/>
  <c r="AF2749" i="1"/>
  <c r="AE2749" i="1"/>
  <c r="AD2749" i="1"/>
  <c r="AC2749" i="1"/>
  <c r="AL2748" i="1"/>
  <c r="AJ2748" i="1"/>
  <c r="AI2748" i="1"/>
  <c r="AH2748" i="1"/>
  <c r="AG2748" i="1"/>
  <c r="AF2748" i="1"/>
  <c r="AE2748" i="1"/>
  <c r="AD2748" i="1"/>
  <c r="AC2748" i="1"/>
  <c r="AL2747" i="1"/>
  <c r="AJ2747" i="1"/>
  <c r="AI2747" i="1"/>
  <c r="AH2747" i="1"/>
  <c r="AG2747" i="1"/>
  <c r="AF2747" i="1"/>
  <c r="AE2747" i="1"/>
  <c r="AD2747" i="1"/>
  <c r="AC2747" i="1"/>
  <c r="AL2746" i="1"/>
  <c r="AJ2746" i="1"/>
  <c r="AI2746" i="1"/>
  <c r="AH2746" i="1"/>
  <c r="AG2746" i="1"/>
  <c r="AF2746" i="1"/>
  <c r="AE2746" i="1"/>
  <c r="AD2746" i="1"/>
  <c r="AC2746" i="1"/>
  <c r="AL2745" i="1"/>
  <c r="AJ2745" i="1"/>
  <c r="AI2745" i="1"/>
  <c r="AH2745" i="1"/>
  <c r="AG2745" i="1"/>
  <c r="AF2745" i="1"/>
  <c r="AE2745" i="1"/>
  <c r="AD2745" i="1"/>
  <c r="AC2745" i="1"/>
  <c r="AL2744" i="1"/>
  <c r="AJ2744" i="1"/>
  <c r="AI2744" i="1"/>
  <c r="AH2744" i="1"/>
  <c r="AG2744" i="1"/>
  <c r="AF2744" i="1"/>
  <c r="AE2744" i="1"/>
  <c r="AD2744" i="1"/>
  <c r="AC2744" i="1"/>
  <c r="AL2743" i="1"/>
  <c r="AJ2743" i="1"/>
  <c r="AI2743" i="1"/>
  <c r="AH2743" i="1"/>
  <c r="AG2743" i="1"/>
  <c r="AF2743" i="1"/>
  <c r="AE2743" i="1"/>
  <c r="AD2743" i="1"/>
  <c r="AC2743" i="1"/>
  <c r="AL2742" i="1"/>
  <c r="AJ2742" i="1"/>
  <c r="AI2742" i="1"/>
  <c r="AH2742" i="1"/>
  <c r="AG2742" i="1"/>
  <c r="AF2742" i="1"/>
  <c r="AE2742" i="1"/>
  <c r="AD2742" i="1"/>
  <c r="AC2742" i="1"/>
  <c r="AL2741" i="1"/>
  <c r="AJ2741" i="1"/>
  <c r="AI2741" i="1"/>
  <c r="AH2741" i="1"/>
  <c r="AG2741" i="1"/>
  <c r="AF2741" i="1"/>
  <c r="AE2741" i="1"/>
  <c r="AD2741" i="1"/>
  <c r="AC2741" i="1"/>
  <c r="AL2740" i="1"/>
  <c r="AJ2740" i="1"/>
  <c r="AI2740" i="1"/>
  <c r="AH2740" i="1"/>
  <c r="AG2740" i="1"/>
  <c r="AF2740" i="1"/>
  <c r="AE2740" i="1"/>
  <c r="AD2740" i="1"/>
  <c r="AC2740" i="1"/>
  <c r="AL2739" i="1"/>
  <c r="AJ2739" i="1"/>
  <c r="AI2739" i="1"/>
  <c r="AH2739" i="1"/>
  <c r="AG2739" i="1"/>
  <c r="AF2739" i="1"/>
  <c r="AE2739" i="1"/>
  <c r="AD2739" i="1"/>
  <c r="AC2739" i="1"/>
  <c r="AL2738" i="1"/>
  <c r="AJ2738" i="1"/>
  <c r="AI2738" i="1"/>
  <c r="AH2738" i="1"/>
  <c r="AG2738" i="1"/>
  <c r="AF2738" i="1"/>
  <c r="AE2738" i="1"/>
  <c r="AD2738" i="1"/>
  <c r="AC2738" i="1"/>
  <c r="AL2737" i="1"/>
  <c r="AJ2737" i="1"/>
  <c r="AI2737" i="1"/>
  <c r="AH2737" i="1"/>
  <c r="AG2737" i="1"/>
  <c r="AF2737" i="1"/>
  <c r="AE2737" i="1"/>
  <c r="AD2737" i="1"/>
  <c r="AC2737" i="1"/>
  <c r="AL2736" i="1"/>
  <c r="AJ2736" i="1"/>
  <c r="AI2736" i="1"/>
  <c r="AH2736" i="1"/>
  <c r="AG2736" i="1"/>
  <c r="AF2736" i="1"/>
  <c r="AE2736" i="1"/>
  <c r="AD2736" i="1"/>
  <c r="AC2736" i="1"/>
  <c r="AL2735" i="1"/>
  <c r="AJ2735" i="1"/>
  <c r="AI2735" i="1"/>
  <c r="AH2735" i="1"/>
  <c r="AG2735" i="1"/>
  <c r="AF2735" i="1"/>
  <c r="AE2735" i="1"/>
  <c r="AD2735" i="1"/>
  <c r="AC2735" i="1"/>
  <c r="AL2734" i="1"/>
  <c r="AJ2734" i="1"/>
  <c r="AI2734" i="1"/>
  <c r="AH2734" i="1"/>
  <c r="AG2734" i="1"/>
  <c r="AF2734" i="1"/>
  <c r="AE2734" i="1"/>
  <c r="AD2734" i="1"/>
  <c r="AC2734" i="1"/>
  <c r="AL2733" i="1"/>
  <c r="AJ2733" i="1"/>
  <c r="AI2733" i="1"/>
  <c r="AH2733" i="1"/>
  <c r="AG2733" i="1"/>
  <c r="AF2733" i="1"/>
  <c r="AE2733" i="1"/>
  <c r="AD2733" i="1"/>
  <c r="AC2733" i="1"/>
  <c r="AL2732" i="1"/>
  <c r="AJ2732" i="1"/>
  <c r="AI2732" i="1"/>
  <c r="AH2732" i="1"/>
  <c r="AG2732" i="1"/>
  <c r="AF2732" i="1"/>
  <c r="AE2732" i="1"/>
  <c r="AD2732" i="1"/>
  <c r="AC2732" i="1"/>
  <c r="AL2731" i="1"/>
  <c r="AJ2731" i="1"/>
  <c r="AI2731" i="1"/>
  <c r="AH2731" i="1"/>
  <c r="AG2731" i="1"/>
  <c r="AF2731" i="1"/>
  <c r="AE2731" i="1"/>
  <c r="AD2731" i="1"/>
  <c r="AC2731" i="1"/>
  <c r="AL2730" i="1"/>
  <c r="AJ2730" i="1"/>
  <c r="AI2730" i="1"/>
  <c r="AH2730" i="1"/>
  <c r="AG2730" i="1"/>
  <c r="AF2730" i="1"/>
  <c r="AE2730" i="1"/>
  <c r="AD2730" i="1"/>
  <c r="AC2730" i="1"/>
  <c r="AL2729" i="1"/>
  <c r="AJ2729" i="1"/>
  <c r="AI2729" i="1"/>
  <c r="AH2729" i="1"/>
  <c r="AG2729" i="1"/>
  <c r="AF2729" i="1"/>
  <c r="AE2729" i="1"/>
  <c r="AD2729" i="1"/>
  <c r="AC2729" i="1"/>
  <c r="AL2728" i="1"/>
  <c r="AJ2728" i="1"/>
  <c r="AI2728" i="1"/>
  <c r="AH2728" i="1"/>
  <c r="AG2728" i="1"/>
  <c r="AF2728" i="1"/>
  <c r="AE2728" i="1"/>
  <c r="AD2728" i="1"/>
  <c r="AC2728" i="1"/>
  <c r="AL2727" i="1"/>
  <c r="AJ2727" i="1"/>
  <c r="AI2727" i="1"/>
  <c r="AH2727" i="1"/>
  <c r="AG2727" i="1"/>
  <c r="AF2727" i="1"/>
  <c r="AE2727" i="1"/>
  <c r="AD2727" i="1"/>
  <c r="AC2727" i="1"/>
  <c r="AL2726" i="1"/>
  <c r="AJ2726" i="1"/>
  <c r="AI2726" i="1"/>
  <c r="AH2726" i="1"/>
  <c r="AG2726" i="1"/>
  <c r="AF2726" i="1"/>
  <c r="AE2726" i="1"/>
  <c r="AD2726" i="1"/>
  <c r="AC2726" i="1"/>
  <c r="AL2725" i="1"/>
  <c r="AJ2725" i="1"/>
  <c r="AI2725" i="1"/>
  <c r="AH2725" i="1"/>
  <c r="AG2725" i="1"/>
  <c r="AF2725" i="1"/>
  <c r="AE2725" i="1"/>
  <c r="AD2725" i="1"/>
  <c r="AC2725" i="1"/>
  <c r="AL2724" i="1"/>
  <c r="AJ2724" i="1"/>
  <c r="AI2724" i="1"/>
  <c r="AH2724" i="1"/>
  <c r="AG2724" i="1"/>
  <c r="AF2724" i="1"/>
  <c r="AE2724" i="1"/>
  <c r="AD2724" i="1"/>
  <c r="AC2724" i="1"/>
  <c r="AL2723" i="1"/>
  <c r="AJ2723" i="1"/>
  <c r="AI2723" i="1"/>
  <c r="AH2723" i="1"/>
  <c r="AG2723" i="1"/>
  <c r="AF2723" i="1"/>
  <c r="AE2723" i="1"/>
  <c r="AD2723" i="1"/>
  <c r="AC2723" i="1"/>
  <c r="AL2722" i="1"/>
  <c r="AJ2722" i="1"/>
  <c r="AI2722" i="1"/>
  <c r="AH2722" i="1"/>
  <c r="AG2722" i="1"/>
  <c r="AF2722" i="1"/>
  <c r="AE2722" i="1"/>
  <c r="AD2722" i="1"/>
  <c r="AC2722" i="1"/>
  <c r="AL2721" i="1"/>
  <c r="AJ2721" i="1"/>
  <c r="AI2721" i="1"/>
  <c r="AH2721" i="1"/>
  <c r="AG2721" i="1"/>
  <c r="AF2721" i="1"/>
  <c r="AE2721" i="1"/>
  <c r="AD2721" i="1"/>
  <c r="AC2721" i="1"/>
  <c r="AL2720" i="1"/>
  <c r="AJ2720" i="1"/>
  <c r="AI2720" i="1"/>
  <c r="AH2720" i="1"/>
  <c r="AG2720" i="1"/>
  <c r="AF2720" i="1"/>
  <c r="AE2720" i="1"/>
  <c r="AD2720" i="1"/>
  <c r="AC2720" i="1"/>
  <c r="AL2719" i="1"/>
  <c r="AJ2719" i="1"/>
  <c r="AI2719" i="1"/>
  <c r="AH2719" i="1"/>
  <c r="AG2719" i="1"/>
  <c r="AF2719" i="1"/>
  <c r="AE2719" i="1"/>
  <c r="AD2719" i="1"/>
  <c r="AC2719" i="1"/>
  <c r="AL2718" i="1"/>
  <c r="AJ2718" i="1"/>
  <c r="AI2718" i="1"/>
  <c r="AH2718" i="1"/>
  <c r="AG2718" i="1"/>
  <c r="AF2718" i="1"/>
  <c r="AE2718" i="1"/>
  <c r="AD2718" i="1"/>
  <c r="AC2718" i="1"/>
  <c r="AL2717" i="1"/>
  <c r="AJ2717" i="1"/>
  <c r="AI2717" i="1"/>
  <c r="AH2717" i="1"/>
  <c r="AG2717" i="1"/>
  <c r="AF2717" i="1"/>
  <c r="AE2717" i="1"/>
  <c r="AD2717" i="1"/>
  <c r="AC2717" i="1"/>
  <c r="AL2716" i="1"/>
  <c r="AJ2716" i="1"/>
  <c r="AI2716" i="1"/>
  <c r="AH2716" i="1"/>
  <c r="AG2716" i="1"/>
  <c r="AF2716" i="1"/>
  <c r="AE2716" i="1"/>
  <c r="AD2716" i="1"/>
  <c r="AC2716" i="1"/>
  <c r="AL2715" i="1"/>
  <c r="AJ2715" i="1"/>
  <c r="AI2715" i="1"/>
  <c r="AH2715" i="1"/>
  <c r="AG2715" i="1"/>
  <c r="AF2715" i="1"/>
  <c r="AE2715" i="1"/>
  <c r="AD2715" i="1"/>
  <c r="AC2715" i="1"/>
  <c r="AL2714" i="1"/>
  <c r="AJ2714" i="1"/>
  <c r="AI2714" i="1"/>
  <c r="AH2714" i="1"/>
  <c r="AG2714" i="1"/>
  <c r="AF2714" i="1"/>
  <c r="AE2714" i="1"/>
  <c r="AD2714" i="1"/>
  <c r="AC2714" i="1"/>
  <c r="AL2713" i="1"/>
  <c r="AJ2713" i="1"/>
  <c r="AI2713" i="1"/>
  <c r="AH2713" i="1"/>
  <c r="AG2713" i="1"/>
  <c r="AF2713" i="1"/>
  <c r="AE2713" i="1"/>
  <c r="AD2713" i="1"/>
  <c r="AC2713" i="1"/>
  <c r="AL2712" i="1"/>
  <c r="AJ2712" i="1"/>
  <c r="AI2712" i="1"/>
  <c r="AH2712" i="1"/>
  <c r="AG2712" i="1"/>
  <c r="AF2712" i="1"/>
  <c r="AE2712" i="1"/>
  <c r="AD2712" i="1"/>
  <c r="AC2712" i="1"/>
  <c r="AL2711" i="1"/>
  <c r="AJ2711" i="1"/>
  <c r="AI2711" i="1"/>
  <c r="AH2711" i="1"/>
  <c r="AG2711" i="1"/>
  <c r="AF2711" i="1"/>
  <c r="AE2711" i="1"/>
  <c r="AD2711" i="1"/>
  <c r="AC2711" i="1"/>
  <c r="AL2710" i="1"/>
  <c r="AJ2710" i="1"/>
  <c r="AI2710" i="1"/>
  <c r="AH2710" i="1"/>
  <c r="AG2710" i="1"/>
  <c r="AF2710" i="1"/>
  <c r="AE2710" i="1"/>
  <c r="AD2710" i="1"/>
  <c r="AC2710" i="1"/>
  <c r="AL2709" i="1"/>
  <c r="AJ2709" i="1"/>
  <c r="AI2709" i="1"/>
  <c r="AH2709" i="1"/>
  <c r="AG2709" i="1"/>
  <c r="AF2709" i="1"/>
  <c r="AE2709" i="1"/>
  <c r="AD2709" i="1"/>
  <c r="AC2709" i="1"/>
  <c r="AL2708" i="1"/>
  <c r="AJ2708" i="1"/>
  <c r="AI2708" i="1"/>
  <c r="AH2708" i="1"/>
  <c r="AG2708" i="1"/>
  <c r="AF2708" i="1"/>
  <c r="AE2708" i="1"/>
  <c r="AD2708" i="1"/>
  <c r="AC2708" i="1"/>
  <c r="AL2707" i="1"/>
  <c r="AJ2707" i="1"/>
  <c r="AI2707" i="1"/>
  <c r="AH2707" i="1"/>
  <c r="AG2707" i="1"/>
  <c r="AF2707" i="1"/>
  <c r="AE2707" i="1"/>
  <c r="AD2707" i="1"/>
  <c r="AC2707" i="1"/>
  <c r="AL2706" i="1"/>
  <c r="AJ2706" i="1"/>
  <c r="AI2706" i="1"/>
  <c r="AH2706" i="1"/>
  <c r="AG2706" i="1"/>
  <c r="AF2706" i="1"/>
  <c r="AE2706" i="1"/>
  <c r="AD2706" i="1"/>
  <c r="AC2706" i="1"/>
  <c r="AL2705" i="1"/>
  <c r="AJ2705" i="1"/>
  <c r="AI2705" i="1"/>
  <c r="AH2705" i="1"/>
  <c r="AG2705" i="1"/>
  <c r="AF2705" i="1"/>
  <c r="AE2705" i="1"/>
  <c r="AD2705" i="1"/>
  <c r="AC2705" i="1"/>
  <c r="AL2704" i="1"/>
  <c r="AJ2704" i="1"/>
  <c r="AI2704" i="1"/>
  <c r="AH2704" i="1"/>
  <c r="AG2704" i="1"/>
  <c r="AF2704" i="1"/>
  <c r="AE2704" i="1"/>
  <c r="AD2704" i="1"/>
  <c r="AC2704" i="1"/>
  <c r="AL2703" i="1"/>
  <c r="AJ2703" i="1"/>
  <c r="AI2703" i="1"/>
  <c r="AH2703" i="1"/>
  <c r="AG2703" i="1"/>
  <c r="AF2703" i="1"/>
  <c r="AE2703" i="1"/>
  <c r="AD2703" i="1"/>
  <c r="AC2703" i="1"/>
  <c r="AL2702" i="1"/>
  <c r="AJ2702" i="1"/>
  <c r="AI2702" i="1"/>
  <c r="AH2702" i="1"/>
  <c r="AG2702" i="1"/>
  <c r="AF2702" i="1"/>
  <c r="AE2702" i="1"/>
  <c r="AD2702" i="1"/>
  <c r="AC2702" i="1"/>
  <c r="AL2701" i="1"/>
  <c r="AJ2701" i="1"/>
  <c r="AI2701" i="1"/>
  <c r="AH2701" i="1"/>
  <c r="AG2701" i="1"/>
  <c r="AF2701" i="1"/>
  <c r="AE2701" i="1"/>
  <c r="AD2701" i="1"/>
  <c r="AC2701" i="1"/>
  <c r="AL2700" i="1"/>
  <c r="AJ2700" i="1"/>
  <c r="AI2700" i="1"/>
  <c r="AH2700" i="1"/>
  <c r="AG2700" i="1"/>
  <c r="AF2700" i="1"/>
  <c r="AE2700" i="1"/>
  <c r="AD2700" i="1"/>
  <c r="AC2700" i="1"/>
  <c r="AL2699" i="1"/>
  <c r="AJ2699" i="1"/>
  <c r="AI2699" i="1"/>
  <c r="AH2699" i="1"/>
  <c r="AG2699" i="1"/>
  <c r="AF2699" i="1"/>
  <c r="AE2699" i="1"/>
  <c r="AD2699" i="1"/>
  <c r="AC2699" i="1"/>
  <c r="AL2698" i="1"/>
  <c r="AJ2698" i="1"/>
  <c r="AI2698" i="1"/>
  <c r="AH2698" i="1"/>
  <c r="AG2698" i="1"/>
  <c r="AF2698" i="1"/>
  <c r="AE2698" i="1"/>
  <c r="AD2698" i="1"/>
  <c r="AC2698" i="1"/>
  <c r="AL2697" i="1"/>
  <c r="AJ2697" i="1"/>
  <c r="AI2697" i="1"/>
  <c r="AH2697" i="1"/>
  <c r="AG2697" i="1"/>
  <c r="AF2697" i="1"/>
  <c r="AE2697" i="1"/>
  <c r="AD2697" i="1"/>
  <c r="AC2697" i="1"/>
  <c r="AL2696" i="1"/>
  <c r="AJ2696" i="1"/>
  <c r="AI2696" i="1"/>
  <c r="AH2696" i="1"/>
  <c r="AG2696" i="1"/>
  <c r="AF2696" i="1"/>
  <c r="AE2696" i="1"/>
  <c r="AD2696" i="1"/>
  <c r="AC2696" i="1"/>
  <c r="AL2695" i="1"/>
  <c r="AJ2695" i="1"/>
  <c r="AI2695" i="1"/>
  <c r="AH2695" i="1"/>
  <c r="AG2695" i="1"/>
  <c r="AF2695" i="1"/>
  <c r="AE2695" i="1"/>
  <c r="AD2695" i="1"/>
  <c r="AC2695" i="1"/>
  <c r="AL2694" i="1"/>
  <c r="AJ2694" i="1"/>
  <c r="AI2694" i="1"/>
  <c r="AH2694" i="1"/>
  <c r="AG2694" i="1"/>
  <c r="AF2694" i="1"/>
  <c r="AE2694" i="1"/>
  <c r="AD2694" i="1"/>
  <c r="AC2694" i="1"/>
  <c r="AL2693" i="1"/>
  <c r="AJ2693" i="1"/>
  <c r="AI2693" i="1"/>
  <c r="AH2693" i="1"/>
  <c r="AG2693" i="1"/>
  <c r="AF2693" i="1"/>
  <c r="AE2693" i="1"/>
  <c r="AD2693" i="1"/>
  <c r="AC2693" i="1"/>
  <c r="AL2692" i="1"/>
  <c r="AJ2692" i="1"/>
  <c r="AI2692" i="1"/>
  <c r="AH2692" i="1"/>
  <c r="AG2692" i="1"/>
  <c r="AF2692" i="1"/>
  <c r="AE2692" i="1"/>
  <c r="AD2692" i="1"/>
  <c r="AC2692" i="1"/>
  <c r="AL2691" i="1"/>
  <c r="AJ2691" i="1"/>
  <c r="AI2691" i="1"/>
  <c r="AH2691" i="1"/>
  <c r="AG2691" i="1"/>
  <c r="AF2691" i="1"/>
  <c r="AE2691" i="1"/>
  <c r="AD2691" i="1"/>
  <c r="AC2691" i="1"/>
  <c r="AL2690" i="1"/>
  <c r="AJ2690" i="1"/>
  <c r="AI2690" i="1"/>
  <c r="AH2690" i="1"/>
  <c r="AG2690" i="1"/>
  <c r="AF2690" i="1"/>
  <c r="AE2690" i="1"/>
  <c r="AD2690" i="1"/>
  <c r="AC2690" i="1"/>
  <c r="AL2689" i="1"/>
  <c r="AJ2689" i="1"/>
  <c r="AI2689" i="1"/>
  <c r="AH2689" i="1"/>
  <c r="AG2689" i="1"/>
  <c r="AF2689" i="1"/>
  <c r="AE2689" i="1"/>
  <c r="AD2689" i="1"/>
  <c r="AC2689" i="1"/>
  <c r="AL2688" i="1"/>
  <c r="AJ2688" i="1"/>
  <c r="AI2688" i="1"/>
  <c r="AH2688" i="1"/>
  <c r="AG2688" i="1"/>
  <c r="AF2688" i="1"/>
  <c r="AE2688" i="1"/>
  <c r="AD2688" i="1"/>
  <c r="AC2688" i="1"/>
  <c r="AL2687" i="1"/>
  <c r="AJ2687" i="1"/>
  <c r="AI2687" i="1"/>
  <c r="AH2687" i="1"/>
  <c r="AG2687" i="1"/>
  <c r="AF2687" i="1"/>
  <c r="AE2687" i="1"/>
  <c r="AD2687" i="1"/>
  <c r="AC2687" i="1"/>
  <c r="AL2686" i="1"/>
  <c r="AJ2686" i="1"/>
  <c r="AI2686" i="1"/>
  <c r="AH2686" i="1"/>
  <c r="AG2686" i="1"/>
  <c r="AF2686" i="1"/>
  <c r="AE2686" i="1"/>
  <c r="AD2686" i="1"/>
  <c r="AC2686" i="1"/>
  <c r="AL2685" i="1"/>
  <c r="AJ2685" i="1"/>
  <c r="AI2685" i="1"/>
  <c r="AH2685" i="1"/>
  <c r="AG2685" i="1"/>
  <c r="AF2685" i="1"/>
  <c r="AE2685" i="1"/>
  <c r="AD2685" i="1"/>
  <c r="AC2685" i="1"/>
  <c r="AL2684" i="1"/>
  <c r="AJ2684" i="1"/>
  <c r="AI2684" i="1"/>
  <c r="AH2684" i="1"/>
  <c r="AG2684" i="1"/>
  <c r="AF2684" i="1"/>
  <c r="AE2684" i="1"/>
  <c r="AD2684" i="1"/>
  <c r="AC2684" i="1"/>
  <c r="AL2683" i="1"/>
  <c r="AJ2683" i="1"/>
  <c r="AI2683" i="1"/>
  <c r="AH2683" i="1"/>
  <c r="AG2683" i="1"/>
  <c r="AF2683" i="1"/>
  <c r="AE2683" i="1"/>
  <c r="AD2683" i="1"/>
  <c r="AC2683" i="1"/>
  <c r="AL2682" i="1"/>
  <c r="AJ2682" i="1"/>
  <c r="AI2682" i="1"/>
  <c r="AH2682" i="1"/>
  <c r="AG2682" i="1"/>
  <c r="AF2682" i="1"/>
  <c r="AE2682" i="1"/>
  <c r="AD2682" i="1"/>
  <c r="AC2682" i="1"/>
  <c r="AL2681" i="1"/>
  <c r="AJ2681" i="1"/>
  <c r="AI2681" i="1"/>
  <c r="AH2681" i="1"/>
  <c r="AG2681" i="1"/>
  <c r="AF2681" i="1"/>
  <c r="AE2681" i="1"/>
  <c r="AD2681" i="1"/>
  <c r="AC2681" i="1"/>
  <c r="AL2680" i="1"/>
  <c r="AJ2680" i="1"/>
  <c r="AI2680" i="1"/>
  <c r="AH2680" i="1"/>
  <c r="AG2680" i="1"/>
  <c r="AF2680" i="1"/>
  <c r="AE2680" i="1"/>
  <c r="AD2680" i="1"/>
  <c r="AC2680" i="1"/>
  <c r="AL2679" i="1"/>
  <c r="AJ2679" i="1"/>
  <c r="AI2679" i="1"/>
  <c r="AH2679" i="1"/>
  <c r="AG2679" i="1"/>
  <c r="AF2679" i="1"/>
  <c r="AE2679" i="1"/>
  <c r="AD2679" i="1"/>
  <c r="AC2679" i="1"/>
  <c r="AL2678" i="1"/>
  <c r="AJ2678" i="1"/>
  <c r="AI2678" i="1"/>
  <c r="AH2678" i="1"/>
  <c r="AG2678" i="1"/>
  <c r="AF2678" i="1"/>
  <c r="AE2678" i="1"/>
  <c r="AD2678" i="1"/>
  <c r="AC2678" i="1"/>
  <c r="AL2677" i="1"/>
  <c r="AJ2677" i="1"/>
  <c r="AI2677" i="1"/>
  <c r="AH2677" i="1"/>
  <c r="AG2677" i="1"/>
  <c r="AF2677" i="1"/>
  <c r="AE2677" i="1"/>
  <c r="AD2677" i="1"/>
  <c r="AC2677" i="1"/>
  <c r="AL2676" i="1"/>
  <c r="AJ2676" i="1"/>
  <c r="AI2676" i="1"/>
  <c r="AH2676" i="1"/>
  <c r="AG2676" i="1"/>
  <c r="AF2676" i="1"/>
  <c r="AE2676" i="1"/>
  <c r="AD2676" i="1"/>
  <c r="AC2676" i="1"/>
  <c r="AL2675" i="1"/>
  <c r="AJ2675" i="1"/>
  <c r="AI2675" i="1"/>
  <c r="AH2675" i="1"/>
  <c r="AG2675" i="1"/>
  <c r="AF2675" i="1"/>
  <c r="AE2675" i="1"/>
  <c r="AD2675" i="1"/>
  <c r="AC2675" i="1"/>
  <c r="AL2674" i="1"/>
  <c r="AJ2674" i="1"/>
  <c r="AI2674" i="1"/>
  <c r="AH2674" i="1"/>
  <c r="AG2674" i="1"/>
  <c r="AF2674" i="1"/>
  <c r="AE2674" i="1"/>
  <c r="AD2674" i="1"/>
  <c r="AC2674" i="1"/>
  <c r="AL2673" i="1"/>
  <c r="AJ2673" i="1"/>
  <c r="AI2673" i="1"/>
  <c r="AH2673" i="1"/>
  <c r="AG2673" i="1"/>
  <c r="AF2673" i="1"/>
  <c r="AE2673" i="1"/>
  <c r="AD2673" i="1"/>
  <c r="AC2673" i="1"/>
  <c r="AL2672" i="1"/>
  <c r="AJ2672" i="1"/>
  <c r="AI2672" i="1"/>
  <c r="AH2672" i="1"/>
  <c r="AG2672" i="1"/>
  <c r="AF2672" i="1"/>
  <c r="AE2672" i="1"/>
  <c r="AD2672" i="1"/>
  <c r="AC2672" i="1"/>
  <c r="AL2671" i="1"/>
  <c r="AJ2671" i="1"/>
  <c r="AI2671" i="1"/>
  <c r="AH2671" i="1"/>
  <c r="AG2671" i="1"/>
  <c r="AF2671" i="1"/>
  <c r="AE2671" i="1"/>
  <c r="AD2671" i="1"/>
  <c r="AC2671" i="1"/>
  <c r="AL2670" i="1"/>
  <c r="AJ2670" i="1"/>
  <c r="AI2670" i="1"/>
  <c r="AH2670" i="1"/>
  <c r="AG2670" i="1"/>
  <c r="AF2670" i="1"/>
  <c r="AE2670" i="1"/>
  <c r="AD2670" i="1"/>
  <c r="AC2670" i="1"/>
  <c r="AL2669" i="1"/>
  <c r="AJ2669" i="1"/>
  <c r="AI2669" i="1"/>
  <c r="AH2669" i="1"/>
  <c r="AG2669" i="1"/>
  <c r="AF2669" i="1"/>
  <c r="AE2669" i="1"/>
  <c r="AD2669" i="1"/>
  <c r="AC2669" i="1"/>
  <c r="AL2668" i="1"/>
  <c r="AJ2668" i="1"/>
  <c r="AI2668" i="1"/>
  <c r="AH2668" i="1"/>
  <c r="AG2668" i="1"/>
  <c r="AF2668" i="1"/>
  <c r="AE2668" i="1"/>
  <c r="AD2668" i="1"/>
  <c r="AC2668" i="1"/>
  <c r="AL2667" i="1"/>
  <c r="AJ2667" i="1"/>
  <c r="AI2667" i="1"/>
  <c r="AH2667" i="1"/>
  <c r="AG2667" i="1"/>
  <c r="AF2667" i="1"/>
  <c r="AE2667" i="1"/>
  <c r="AD2667" i="1"/>
  <c r="AC2667" i="1"/>
  <c r="AL2666" i="1"/>
  <c r="AJ2666" i="1"/>
  <c r="AI2666" i="1"/>
  <c r="AH2666" i="1"/>
  <c r="AG2666" i="1"/>
  <c r="AF2666" i="1"/>
  <c r="AE2666" i="1"/>
  <c r="AD2666" i="1"/>
  <c r="AC2666" i="1"/>
  <c r="AL2665" i="1"/>
  <c r="AJ2665" i="1"/>
  <c r="AI2665" i="1"/>
  <c r="AH2665" i="1"/>
  <c r="AG2665" i="1"/>
  <c r="AF2665" i="1"/>
  <c r="AE2665" i="1"/>
  <c r="AD2665" i="1"/>
  <c r="AC2665" i="1"/>
  <c r="AL2664" i="1"/>
  <c r="AJ2664" i="1"/>
  <c r="AI2664" i="1"/>
  <c r="AH2664" i="1"/>
  <c r="AG2664" i="1"/>
  <c r="AF2664" i="1"/>
  <c r="AE2664" i="1"/>
  <c r="AD2664" i="1"/>
  <c r="AC2664" i="1"/>
  <c r="AL2663" i="1"/>
  <c r="AJ2663" i="1"/>
  <c r="AI2663" i="1"/>
  <c r="AH2663" i="1"/>
  <c r="AG2663" i="1"/>
  <c r="AF2663" i="1"/>
  <c r="AE2663" i="1"/>
  <c r="AD2663" i="1"/>
  <c r="AC2663" i="1"/>
  <c r="AL2662" i="1"/>
  <c r="AJ2662" i="1"/>
  <c r="AI2662" i="1"/>
  <c r="AH2662" i="1"/>
  <c r="AG2662" i="1"/>
  <c r="AF2662" i="1"/>
  <c r="AE2662" i="1"/>
  <c r="AD2662" i="1"/>
  <c r="AC2662" i="1"/>
  <c r="AL2661" i="1"/>
  <c r="AJ2661" i="1"/>
  <c r="AI2661" i="1"/>
  <c r="AH2661" i="1"/>
  <c r="AG2661" i="1"/>
  <c r="AF2661" i="1"/>
  <c r="AE2661" i="1"/>
  <c r="AD2661" i="1"/>
  <c r="AC2661" i="1"/>
  <c r="AL2660" i="1"/>
  <c r="AJ2660" i="1"/>
  <c r="AI2660" i="1"/>
  <c r="AH2660" i="1"/>
  <c r="AG2660" i="1"/>
  <c r="AF2660" i="1"/>
  <c r="AE2660" i="1"/>
  <c r="AD2660" i="1"/>
  <c r="AC2660" i="1"/>
  <c r="AL2659" i="1"/>
  <c r="AJ2659" i="1"/>
  <c r="AI2659" i="1"/>
  <c r="AH2659" i="1"/>
  <c r="AG2659" i="1"/>
  <c r="AF2659" i="1"/>
  <c r="AE2659" i="1"/>
  <c r="AD2659" i="1"/>
  <c r="AC2659" i="1"/>
  <c r="AL2658" i="1"/>
  <c r="AJ2658" i="1"/>
  <c r="AI2658" i="1"/>
  <c r="AH2658" i="1"/>
  <c r="AG2658" i="1"/>
  <c r="AF2658" i="1"/>
  <c r="AE2658" i="1"/>
  <c r="AD2658" i="1"/>
  <c r="AC2658" i="1"/>
  <c r="AL2657" i="1"/>
  <c r="AJ2657" i="1"/>
  <c r="AI2657" i="1"/>
  <c r="AH2657" i="1"/>
  <c r="AG2657" i="1"/>
  <c r="AF2657" i="1"/>
  <c r="AE2657" i="1"/>
  <c r="AD2657" i="1"/>
  <c r="AC2657" i="1"/>
  <c r="AL2656" i="1"/>
  <c r="AJ2656" i="1"/>
  <c r="AI2656" i="1"/>
  <c r="AH2656" i="1"/>
  <c r="AG2656" i="1"/>
  <c r="AF2656" i="1"/>
  <c r="AE2656" i="1"/>
  <c r="AD2656" i="1"/>
  <c r="AC2656" i="1"/>
  <c r="AL2655" i="1"/>
  <c r="AJ2655" i="1"/>
  <c r="AI2655" i="1"/>
  <c r="AH2655" i="1"/>
  <c r="AG2655" i="1"/>
  <c r="AF2655" i="1"/>
  <c r="AE2655" i="1"/>
  <c r="AD2655" i="1"/>
  <c r="AC2655" i="1"/>
  <c r="AL2654" i="1"/>
  <c r="AJ2654" i="1"/>
  <c r="AI2654" i="1"/>
  <c r="AH2654" i="1"/>
  <c r="AG2654" i="1"/>
  <c r="AF2654" i="1"/>
  <c r="AE2654" i="1"/>
  <c r="AD2654" i="1"/>
  <c r="AC2654" i="1"/>
  <c r="AL2653" i="1"/>
  <c r="AJ2653" i="1"/>
  <c r="AI2653" i="1"/>
  <c r="AH2653" i="1"/>
  <c r="AG2653" i="1"/>
  <c r="AF2653" i="1"/>
  <c r="AE2653" i="1"/>
  <c r="AD2653" i="1"/>
  <c r="AC2653" i="1"/>
  <c r="AL2652" i="1"/>
  <c r="AJ2652" i="1"/>
  <c r="AI2652" i="1"/>
  <c r="AH2652" i="1"/>
  <c r="AG2652" i="1"/>
  <c r="AF2652" i="1"/>
  <c r="AE2652" i="1"/>
  <c r="AD2652" i="1"/>
  <c r="AC2652" i="1"/>
  <c r="AL2651" i="1"/>
  <c r="AJ2651" i="1"/>
  <c r="AI2651" i="1"/>
  <c r="AH2651" i="1"/>
  <c r="AG2651" i="1"/>
  <c r="AF2651" i="1"/>
  <c r="AE2651" i="1"/>
  <c r="AD2651" i="1"/>
  <c r="AC2651" i="1"/>
  <c r="AL2650" i="1"/>
  <c r="AJ2650" i="1"/>
  <c r="AI2650" i="1"/>
  <c r="AH2650" i="1"/>
  <c r="AG2650" i="1"/>
  <c r="AF2650" i="1"/>
  <c r="AE2650" i="1"/>
  <c r="AD2650" i="1"/>
  <c r="AC2650" i="1"/>
  <c r="AL2649" i="1"/>
  <c r="AJ2649" i="1"/>
  <c r="AI2649" i="1"/>
  <c r="AH2649" i="1"/>
  <c r="AG2649" i="1"/>
  <c r="AF2649" i="1"/>
  <c r="AE2649" i="1"/>
  <c r="AD2649" i="1"/>
  <c r="AC2649" i="1"/>
  <c r="AL2648" i="1"/>
  <c r="AJ2648" i="1"/>
  <c r="AI2648" i="1"/>
  <c r="AH2648" i="1"/>
  <c r="AG2648" i="1"/>
  <c r="AF2648" i="1"/>
  <c r="AE2648" i="1"/>
  <c r="AD2648" i="1"/>
  <c r="AC2648" i="1"/>
  <c r="AL2647" i="1"/>
  <c r="AJ2647" i="1"/>
  <c r="AI2647" i="1"/>
  <c r="AH2647" i="1"/>
  <c r="AG2647" i="1"/>
  <c r="AF2647" i="1"/>
  <c r="AE2647" i="1"/>
  <c r="AD2647" i="1"/>
  <c r="AC2647" i="1"/>
  <c r="AL2646" i="1"/>
  <c r="AJ2646" i="1"/>
  <c r="AI2646" i="1"/>
  <c r="AH2646" i="1"/>
  <c r="AG2646" i="1"/>
  <c r="AF2646" i="1"/>
  <c r="AE2646" i="1"/>
  <c r="AD2646" i="1"/>
  <c r="AC2646" i="1"/>
  <c r="AL2645" i="1"/>
  <c r="AJ2645" i="1"/>
  <c r="AI2645" i="1"/>
  <c r="AH2645" i="1"/>
  <c r="AG2645" i="1"/>
  <c r="AF2645" i="1"/>
  <c r="AE2645" i="1"/>
  <c r="AD2645" i="1"/>
  <c r="AC2645" i="1"/>
  <c r="AL2644" i="1"/>
  <c r="AJ2644" i="1"/>
  <c r="AI2644" i="1"/>
  <c r="AH2644" i="1"/>
  <c r="AG2644" i="1"/>
  <c r="AF2644" i="1"/>
  <c r="AE2644" i="1"/>
  <c r="AD2644" i="1"/>
  <c r="AC2644" i="1"/>
  <c r="AL2643" i="1"/>
  <c r="AJ2643" i="1"/>
  <c r="AI2643" i="1"/>
  <c r="AH2643" i="1"/>
  <c r="AG2643" i="1"/>
  <c r="AF2643" i="1"/>
  <c r="AE2643" i="1"/>
  <c r="AD2643" i="1"/>
  <c r="AC2643" i="1"/>
  <c r="AL2642" i="1"/>
  <c r="AJ2642" i="1"/>
  <c r="AI2642" i="1"/>
  <c r="AH2642" i="1"/>
  <c r="AG2642" i="1"/>
  <c r="AF2642" i="1"/>
  <c r="AE2642" i="1"/>
  <c r="AD2642" i="1"/>
  <c r="AC2642" i="1"/>
  <c r="AL2641" i="1"/>
  <c r="AJ2641" i="1"/>
  <c r="AI2641" i="1"/>
  <c r="AH2641" i="1"/>
  <c r="AG2641" i="1"/>
  <c r="AF2641" i="1"/>
  <c r="AE2641" i="1"/>
  <c r="AD2641" i="1"/>
  <c r="AC2641" i="1"/>
  <c r="AL2640" i="1"/>
  <c r="AJ2640" i="1"/>
  <c r="AI2640" i="1"/>
  <c r="AH2640" i="1"/>
  <c r="AG2640" i="1"/>
  <c r="AF2640" i="1"/>
  <c r="AE2640" i="1"/>
  <c r="AD2640" i="1"/>
  <c r="AC2640" i="1"/>
  <c r="AL2639" i="1"/>
  <c r="AJ2639" i="1"/>
  <c r="AI2639" i="1"/>
  <c r="AH2639" i="1"/>
  <c r="AG2639" i="1"/>
  <c r="AF2639" i="1"/>
  <c r="AE2639" i="1"/>
  <c r="AD2639" i="1"/>
  <c r="AC2639" i="1"/>
  <c r="AL2638" i="1"/>
  <c r="AJ2638" i="1"/>
  <c r="AI2638" i="1"/>
  <c r="AH2638" i="1"/>
  <c r="AG2638" i="1"/>
  <c r="AF2638" i="1"/>
  <c r="AE2638" i="1"/>
  <c r="AD2638" i="1"/>
  <c r="AC2638" i="1"/>
  <c r="AL2637" i="1"/>
  <c r="AJ2637" i="1"/>
  <c r="AI2637" i="1"/>
  <c r="AH2637" i="1"/>
  <c r="AG2637" i="1"/>
  <c r="AF2637" i="1"/>
  <c r="AE2637" i="1"/>
  <c r="AD2637" i="1"/>
  <c r="AC2637" i="1"/>
  <c r="AL2636" i="1"/>
  <c r="AJ2636" i="1"/>
  <c r="AI2636" i="1"/>
  <c r="AH2636" i="1"/>
  <c r="AG2636" i="1"/>
  <c r="AF2636" i="1"/>
  <c r="AE2636" i="1"/>
  <c r="AD2636" i="1"/>
  <c r="AC2636" i="1"/>
  <c r="AL2635" i="1"/>
  <c r="AJ2635" i="1"/>
  <c r="AI2635" i="1"/>
  <c r="AH2635" i="1"/>
  <c r="AG2635" i="1"/>
  <c r="AF2635" i="1"/>
  <c r="AE2635" i="1"/>
  <c r="AD2635" i="1"/>
  <c r="AC2635" i="1"/>
  <c r="AL2634" i="1"/>
  <c r="AJ2634" i="1"/>
  <c r="AI2634" i="1"/>
  <c r="AH2634" i="1"/>
  <c r="AG2634" i="1"/>
  <c r="AF2634" i="1"/>
  <c r="AE2634" i="1"/>
  <c r="AD2634" i="1"/>
  <c r="AC2634" i="1"/>
  <c r="AL2633" i="1"/>
  <c r="AJ2633" i="1"/>
  <c r="AI2633" i="1"/>
  <c r="AH2633" i="1"/>
  <c r="AG2633" i="1"/>
  <c r="AF2633" i="1"/>
  <c r="AE2633" i="1"/>
  <c r="AD2633" i="1"/>
  <c r="AC2633" i="1"/>
  <c r="AL2632" i="1"/>
  <c r="AJ2632" i="1"/>
  <c r="AI2632" i="1"/>
  <c r="AH2632" i="1"/>
  <c r="AG2632" i="1"/>
  <c r="AF2632" i="1"/>
  <c r="AE2632" i="1"/>
  <c r="AD2632" i="1"/>
  <c r="AC2632" i="1"/>
  <c r="AL2631" i="1"/>
  <c r="AJ2631" i="1"/>
  <c r="AI2631" i="1"/>
  <c r="AH2631" i="1"/>
  <c r="AG2631" i="1"/>
  <c r="AF2631" i="1"/>
  <c r="AE2631" i="1"/>
  <c r="AD2631" i="1"/>
  <c r="AC2631" i="1"/>
  <c r="AL2630" i="1"/>
  <c r="AJ2630" i="1"/>
  <c r="AI2630" i="1"/>
  <c r="AH2630" i="1"/>
  <c r="AG2630" i="1"/>
  <c r="AF2630" i="1"/>
  <c r="AE2630" i="1"/>
  <c r="AD2630" i="1"/>
  <c r="AC2630" i="1"/>
  <c r="AL2629" i="1"/>
  <c r="AJ2629" i="1"/>
  <c r="AI2629" i="1"/>
  <c r="AH2629" i="1"/>
  <c r="AG2629" i="1"/>
  <c r="AF2629" i="1"/>
  <c r="AE2629" i="1"/>
  <c r="AD2629" i="1"/>
  <c r="AC2629" i="1"/>
  <c r="AJ2628" i="1"/>
  <c r="AI2628" i="1"/>
  <c r="AG2628" i="1"/>
  <c r="AE2628" i="1"/>
  <c r="AC2628" i="1"/>
  <c r="AJ2627" i="1"/>
  <c r="AH2627" i="1"/>
  <c r="AF2627" i="1"/>
  <c r="AD2627" i="1"/>
  <c r="AL2626" i="1"/>
  <c r="AJ2626" i="1"/>
  <c r="AI2626" i="1"/>
  <c r="AG2626" i="1"/>
  <c r="AE2626" i="1"/>
  <c r="AC2626" i="1"/>
  <c r="AL2625" i="1"/>
  <c r="AI2625" i="1"/>
  <c r="AG2625" i="1"/>
  <c r="AE2625" i="1"/>
  <c r="AC2625" i="1"/>
  <c r="AJ2624" i="1"/>
  <c r="AG2624" i="1"/>
  <c r="AE2624" i="1"/>
  <c r="AC2624" i="1"/>
  <c r="AH2623" i="1"/>
  <c r="AF2623" i="1"/>
  <c r="AE2623" i="1"/>
  <c r="AC2623" i="1"/>
  <c r="AJ2621" i="1"/>
  <c r="AH2621" i="1"/>
  <c r="AG2621" i="1"/>
  <c r="AF2621" i="1"/>
  <c r="AE2621" i="1"/>
  <c r="AD2621" i="1"/>
  <c r="AC2621" i="1"/>
  <c r="AL2620" i="1"/>
  <c r="AH2620" i="1"/>
  <c r="AF2620" i="1"/>
  <c r="AD2620" i="1"/>
  <c r="AL2619" i="1"/>
  <c r="AJ2619" i="1"/>
  <c r="AI2619" i="1"/>
  <c r="AH2619" i="1"/>
  <c r="AG2619" i="1"/>
  <c r="AE2619" i="1"/>
  <c r="AC2619" i="1"/>
  <c r="AL2618" i="1"/>
  <c r="AI2618" i="1"/>
  <c r="AG2618" i="1"/>
  <c r="AE2618" i="1"/>
  <c r="AC2618" i="1"/>
  <c r="AL2616" i="1"/>
  <c r="AI2616" i="1"/>
  <c r="AG2616" i="1"/>
  <c r="AE2616" i="1"/>
  <c r="AC2616" i="1"/>
  <c r="AG2615" i="1"/>
  <c r="AE2615" i="1"/>
  <c r="AC2615" i="1"/>
  <c r="AH2614" i="1"/>
  <c r="AF2614" i="1"/>
  <c r="AE2614" i="1"/>
  <c r="AC2614" i="1"/>
  <c r="AI2613" i="1"/>
  <c r="AG2613" i="1"/>
  <c r="AE2613" i="1"/>
  <c r="AC2613" i="1"/>
  <c r="AH2612" i="1"/>
  <c r="AF2612" i="1"/>
  <c r="AD2612" i="1"/>
  <c r="AI2611" i="1"/>
  <c r="AG2611" i="1"/>
  <c r="AE2611" i="1"/>
  <c r="AC2611" i="1"/>
  <c r="AI2610" i="1"/>
  <c r="AG2610" i="1"/>
  <c r="AE2610" i="1"/>
  <c r="AC2610" i="1"/>
  <c r="AL2609" i="1"/>
  <c r="AJ2609" i="1"/>
  <c r="AM2609" i="1" s="1"/>
  <c r="AI2609" i="1"/>
  <c r="AH2609" i="1"/>
  <c r="AF2609" i="1"/>
  <c r="AD2609" i="1"/>
  <c r="AD2607" i="1"/>
  <c r="AL2606" i="1"/>
  <c r="AI2606" i="1"/>
  <c r="AG2606" i="1"/>
  <c r="AE2606" i="1"/>
  <c r="AC2606" i="1"/>
  <c r="AI2605" i="1"/>
  <c r="AG2605" i="1"/>
  <c r="AD2605" i="1"/>
  <c r="AL2604" i="1"/>
  <c r="AH2604" i="1"/>
  <c r="AF2604" i="1"/>
  <c r="AC2604" i="1"/>
  <c r="AJ2603" i="1"/>
  <c r="AG2603" i="1"/>
  <c r="AE2603" i="1"/>
  <c r="AC2603" i="1"/>
  <c r="AF2602" i="1"/>
  <c r="AD2602" i="1"/>
  <c r="AL2601" i="1"/>
  <c r="AJ2601" i="1"/>
  <c r="AI2601" i="1"/>
  <c r="AG2601" i="1"/>
  <c r="AD2601" i="1"/>
  <c r="AL2600" i="1"/>
  <c r="AI2600" i="1"/>
  <c r="AH2600" i="1"/>
  <c r="AF2600" i="1"/>
  <c r="AD2600" i="1"/>
  <c r="AL2599" i="1"/>
  <c r="AI2599" i="1"/>
  <c r="AG2599" i="1"/>
  <c r="AD2599" i="1"/>
  <c r="AL2598" i="1"/>
  <c r="AH2598" i="1"/>
  <c r="AF2598" i="1"/>
  <c r="AD2598" i="1"/>
  <c r="AL2597" i="1"/>
  <c r="AJ2597" i="1"/>
  <c r="AI2597" i="1"/>
  <c r="AG2597" i="1"/>
  <c r="AE2597" i="1"/>
  <c r="AL2596" i="1"/>
  <c r="AJ2596" i="1"/>
  <c r="AI2596" i="1"/>
  <c r="AH2596" i="1"/>
  <c r="AF2596" i="1"/>
  <c r="AD2596" i="1"/>
  <c r="AJ2595" i="1"/>
  <c r="AI2595" i="1"/>
  <c r="AG2595" i="1"/>
  <c r="AE2595" i="1"/>
  <c r="AC2595" i="1"/>
  <c r="AJ2594" i="1"/>
  <c r="AM2594" i="1" s="1"/>
  <c r="AH2594" i="1"/>
  <c r="AF2594" i="1"/>
  <c r="AD2594" i="1"/>
  <c r="AL2593" i="1"/>
  <c r="AI2593" i="1"/>
  <c r="AG2593" i="1"/>
  <c r="AE2593" i="1"/>
  <c r="AC2593" i="1"/>
  <c r="AH2592" i="1"/>
  <c r="AF2592" i="1"/>
  <c r="AD2592" i="1"/>
  <c r="AL2591" i="1"/>
  <c r="AJ2591" i="1"/>
  <c r="AM2591" i="1" s="1"/>
  <c r="AH2591" i="1"/>
  <c r="AF2591" i="1"/>
  <c r="AE2591" i="1"/>
  <c r="AC2591" i="1"/>
  <c r="AG2590" i="1"/>
  <c r="AD2590" i="1"/>
  <c r="AC2590" i="1"/>
  <c r="AJ2589" i="1"/>
  <c r="AH2589" i="1"/>
  <c r="AG2589" i="1"/>
  <c r="AD2589" i="1"/>
  <c r="AL2588" i="1"/>
  <c r="AH2588" i="1"/>
  <c r="AF2588" i="1"/>
  <c r="AD2588" i="1"/>
  <c r="AL2587" i="1"/>
  <c r="AI2587" i="1"/>
  <c r="AG2587" i="1"/>
  <c r="AF2587" i="1"/>
  <c r="AD2587" i="1"/>
  <c r="AL2586" i="1"/>
  <c r="AJ2586" i="1"/>
  <c r="AG2586" i="1"/>
  <c r="AD2586" i="1"/>
  <c r="AL2585" i="1"/>
  <c r="AJ2585" i="1"/>
  <c r="AI2585" i="1"/>
  <c r="AG2585" i="1"/>
  <c r="AE2585" i="1"/>
  <c r="AC2585" i="1"/>
  <c r="AH2584" i="1"/>
  <c r="AF2584" i="1"/>
  <c r="AD2584" i="1"/>
  <c r="AL2583" i="1"/>
  <c r="AJ2583" i="1"/>
  <c r="AI2583" i="1"/>
  <c r="AG2583" i="1"/>
  <c r="AE2583" i="1"/>
  <c r="AC2583" i="1"/>
  <c r="AI2582" i="1"/>
  <c r="AG2582" i="1"/>
  <c r="AF2582" i="1"/>
  <c r="AD2582" i="1"/>
  <c r="AL2581" i="1"/>
  <c r="AJ2581" i="1"/>
  <c r="AM2581" i="1" s="1"/>
  <c r="AH2581" i="1"/>
  <c r="AF2581" i="1"/>
  <c r="AD2581" i="1"/>
  <c r="AL2580" i="1"/>
  <c r="AJ2580" i="1"/>
  <c r="AM2580" i="1" s="1"/>
  <c r="AI2580" i="1"/>
  <c r="AE2580" i="1"/>
  <c r="AC2580" i="1"/>
  <c r="AF2579" i="1"/>
  <c r="AD2579" i="1"/>
  <c r="AL2578" i="1"/>
  <c r="AI2578" i="1"/>
  <c r="AG2578" i="1"/>
  <c r="AF2578" i="1"/>
  <c r="AD2578" i="1"/>
  <c r="AL2577" i="1"/>
  <c r="AI2577" i="1"/>
  <c r="AG2577" i="1"/>
  <c r="AE2577" i="1"/>
  <c r="AC2577" i="1"/>
  <c r="AJ2576" i="1"/>
  <c r="AM2576" i="1" s="1"/>
  <c r="AH2576" i="1"/>
  <c r="AF2576" i="1"/>
  <c r="AD2576" i="1"/>
  <c r="AJ2575" i="1"/>
  <c r="AG2575" i="1"/>
  <c r="AE2575" i="1"/>
  <c r="AC2575" i="1"/>
  <c r="AH2574" i="1"/>
  <c r="AF2574" i="1"/>
  <c r="AD2574" i="1"/>
  <c r="AL2573" i="1"/>
  <c r="AI2573" i="1"/>
  <c r="AG2573" i="1"/>
  <c r="AD2573" i="1"/>
  <c r="AL2572" i="1"/>
  <c r="AJ2572" i="1"/>
  <c r="AE2571" i="1"/>
  <c r="AL2570" i="1"/>
  <c r="AI2570" i="1"/>
  <c r="AH2570" i="1"/>
  <c r="AF2570" i="1"/>
  <c r="AD2570" i="1"/>
  <c r="AL2569" i="1"/>
  <c r="AJ2569" i="1"/>
  <c r="AI2569" i="1"/>
  <c r="AG2569" i="1"/>
  <c r="AE2569" i="1"/>
  <c r="AC2569" i="1"/>
  <c r="AI2568" i="1"/>
  <c r="AH2568" i="1"/>
  <c r="AF2568" i="1"/>
  <c r="AD2568" i="1"/>
  <c r="AL2567" i="1"/>
  <c r="AJ2567" i="1"/>
  <c r="AI2567" i="1"/>
  <c r="AG2567" i="1"/>
  <c r="AE2567" i="1"/>
  <c r="AC2567" i="1"/>
  <c r="AF2566" i="1"/>
  <c r="AD2566" i="1"/>
  <c r="AG2565" i="1"/>
  <c r="AD2565" i="1"/>
  <c r="AL2564" i="1"/>
  <c r="AI2564" i="1"/>
  <c r="AH2564" i="1"/>
  <c r="AF2564" i="1"/>
  <c r="AD2564" i="1"/>
  <c r="AL2563" i="1"/>
  <c r="AJ2563" i="1"/>
  <c r="AI2563" i="1"/>
  <c r="AG2563" i="1"/>
  <c r="AE2563" i="1"/>
  <c r="AC2563" i="1"/>
  <c r="AH2562" i="1"/>
  <c r="AF2562" i="1"/>
  <c r="AD2562" i="1"/>
  <c r="AL2561" i="1"/>
  <c r="AJ2561" i="1"/>
  <c r="AI2561" i="1"/>
  <c r="AG2561" i="1"/>
  <c r="AE2561" i="1"/>
  <c r="AC2561" i="1"/>
  <c r="AJ2560" i="1"/>
  <c r="AM2560" i="1" s="1"/>
  <c r="AH2560" i="1"/>
  <c r="AE2560" i="1"/>
  <c r="AC2560" i="1"/>
  <c r="AE2559" i="1"/>
  <c r="AC2559" i="1"/>
  <c r="AJ2558" i="1"/>
  <c r="AM2558" i="1" s="1"/>
  <c r="AH2558" i="1"/>
  <c r="AF2558" i="1"/>
  <c r="AE2558" i="1"/>
  <c r="AD2558" i="1"/>
  <c r="AC2558" i="1"/>
  <c r="AI2557" i="1"/>
  <c r="AG2557" i="1"/>
  <c r="AF2557" i="1"/>
  <c r="AD2557" i="1"/>
  <c r="AC2557" i="1"/>
  <c r="AI2556" i="1"/>
  <c r="AH2556" i="1"/>
  <c r="AF2556" i="1"/>
  <c r="AD2556" i="1"/>
  <c r="AL2555" i="1"/>
  <c r="AJ2555" i="1"/>
  <c r="AH2555" i="1"/>
  <c r="AG2555" i="1"/>
  <c r="AF2555" i="1"/>
  <c r="AD2555" i="1"/>
  <c r="AL2554" i="1"/>
  <c r="AJ2554" i="1"/>
  <c r="AI2554" i="1"/>
  <c r="AG2554" i="1"/>
  <c r="AE2554" i="1"/>
  <c r="AC2554" i="1"/>
  <c r="AI2553" i="1"/>
  <c r="AF2553" i="1"/>
  <c r="AD2553" i="1"/>
  <c r="AL2552" i="1"/>
  <c r="AJ2552" i="1"/>
  <c r="AI2552" i="1"/>
  <c r="AG2552" i="1"/>
  <c r="AE2552" i="1"/>
  <c r="AC2552" i="1"/>
  <c r="AI2551" i="1"/>
  <c r="AG2551" i="1"/>
  <c r="AE2551" i="1"/>
  <c r="AC2551" i="1"/>
  <c r="AH2550" i="1"/>
  <c r="AF2550" i="1"/>
  <c r="AD2550" i="1"/>
  <c r="AL2549" i="1"/>
  <c r="AJ2549" i="1"/>
  <c r="AG2549" i="1"/>
  <c r="AE2549" i="1"/>
  <c r="AC2549" i="1"/>
  <c r="AJ2548" i="1"/>
  <c r="AM2548" i="1" s="1"/>
  <c r="AH2548" i="1"/>
  <c r="AF2548" i="1"/>
  <c r="AD2548" i="1"/>
  <c r="AL2547" i="1"/>
  <c r="AJ2547" i="1"/>
  <c r="AI2547" i="1"/>
  <c r="AG2547" i="1"/>
  <c r="AE2547" i="1"/>
  <c r="AL2546" i="1"/>
  <c r="AJ2546" i="1"/>
  <c r="AI2546" i="1"/>
  <c r="AH2546" i="1"/>
  <c r="AF2546" i="1"/>
  <c r="AD2546" i="1"/>
  <c r="AL2545" i="1"/>
  <c r="AJ2545" i="1"/>
  <c r="AI2545" i="1"/>
  <c r="AG2545" i="1"/>
  <c r="AE2545" i="1"/>
  <c r="AC2545" i="1"/>
  <c r="AJ2544" i="1"/>
  <c r="AG2544" i="1"/>
  <c r="AE2544" i="1"/>
  <c r="AC2544" i="1"/>
  <c r="AI2543" i="1"/>
  <c r="AG2543" i="1"/>
  <c r="AE2543" i="1"/>
  <c r="AC2543" i="1"/>
  <c r="AL2542" i="1"/>
  <c r="AH2542" i="1"/>
  <c r="AF2542" i="1"/>
  <c r="AD2542" i="1"/>
  <c r="AL2541" i="1"/>
  <c r="AJ2541" i="1"/>
  <c r="AI2541" i="1"/>
  <c r="AH2541" i="1"/>
  <c r="AG2541" i="1"/>
  <c r="AF2541" i="1"/>
  <c r="AE2541" i="1"/>
  <c r="AD2541" i="1"/>
  <c r="AC2541" i="1"/>
  <c r="AJ2540" i="1"/>
  <c r="AI2540" i="1"/>
  <c r="AG2540" i="1"/>
  <c r="AE2540" i="1"/>
  <c r="AC2540" i="1"/>
  <c r="AI2539" i="1"/>
  <c r="AG2539" i="1"/>
  <c r="AE2539" i="1"/>
  <c r="AC2539" i="1"/>
  <c r="AL2538" i="1"/>
  <c r="AJ2538" i="1"/>
  <c r="AI2538" i="1"/>
  <c r="AH2538" i="1"/>
  <c r="AJ2515" i="1"/>
  <c r="AM2515" i="1" s="1"/>
  <c r="AH2515" i="1"/>
  <c r="AE2515" i="1"/>
  <c r="AL2513" i="1"/>
  <c r="AI2513" i="1"/>
  <c r="AG2513" i="1"/>
  <c r="AE2513" i="1"/>
  <c r="AC2513" i="1"/>
  <c r="AI2512" i="1"/>
  <c r="AG2512" i="1"/>
  <c r="AD2512" i="1"/>
  <c r="AI2511" i="1"/>
  <c r="AH2511" i="1"/>
  <c r="AG2511" i="1"/>
  <c r="AF2511" i="1"/>
  <c r="AE2511" i="1"/>
  <c r="AD2511" i="1"/>
  <c r="AC2511" i="1"/>
  <c r="AL2510" i="1"/>
  <c r="AJ2510" i="1"/>
  <c r="AI2510" i="1"/>
  <c r="AH2510" i="1"/>
  <c r="AG2510" i="1"/>
  <c r="AF2510" i="1"/>
  <c r="AE2510" i="1"/>
  <c r="AD2510" i="1"/>
  <c r="AC2510" i="1"/>
  <c r="AJ2509" i="1"/>
  <c r="AI2509" i="1"/>
  <c r="AG2509" i="1"/>
  <c r="AE2509" i="1"/>
  <c r="AC2509" i="1"/>
  <c r="AL2508" i="1"/>
  <c r="AG2508" i="1"/>
  <c r="AE2508" i="1"/>
  <c r="AC2508" i="1"/>
  <c r="AL2507" i="1"/>
  <c r="AI2507" i="1"/>
  <c r="AG2507" i="1"/>
  <c r="AE2507" i="1"/>
  <c r="AC2507" i="1"/>
  <c r="AG2506" i="1"/>
  <c r="AE2506" i="1"/>
  <c r="AL2505" i="1"/>
  <c r="AI2505" i="1"/>
  <c r="AH2505" i="1"/>
  <c r="AF2505" i="1"/>
  <c r="AD2505" i="1"/>
  <c r="AC2505" i="1"/>
  <c r="AG2504" i="1"/>
  <c r="AE2504" i="1"/>
  <c r="AD2504" i="1"/>
  <c r="AG2503" i="1"/>
  <c r="AE2503" i="1"/>
  <c r="AC2503" i="1"/>
  <c r="AG2502" i="1"/>
  <c r="AE2502" i="1"/>
  <c r="AC2502" i="1"/>
  <c r="AL2501" i="1"/>
  <c r="AI2501" i="1"/>
  <c r="AH2501" i="1"/>
  <c r="AF2501" i="1"/>
  <c r="AD2501" i="1"/>
  <c r="AL2500" i="1"/>
  <c r="AJ2500" i="1"/>
  <c r="AI2500" i="1"/>
  <c r="AG2500" i="1"/>
  <c r="AE2500" i="1"/>
  <c r="AC2500" i="1"/>
  <c r="AI2499" i="1"/>
  <c r="AG2499" i="1"/>
  <c r="AE2499" i="1"/>
  <c r="AD2499" i="1"/>
  <c r="AL2498" i="1"/>
  <c r="AH2498" i="1"/>
  <c r="AF2498" i="1"/>
  <c r="AD2498" i="1"/>
  <c r="AL2497" i="1"/>
  <c r="AJ2497" i="1"/>
  <c r="AI2497" i="1"/>
  <c r="AG2497" i="1"/>
  <c r="AE2497" i="1"/>
  <c r="AC2497" i="1"/>
  <c r="AJ2496" i="1"/>
  <c r="AI2496" i="1"/>
  <c r="AG2496" i="1"/>
  <c r="AE2496" i="1"/>
  <c r="AC2496" i="1"/>
  <c r="AI2495" i="1"/>
  <c r="AG2495" i="1"/>
  <c r="AE2495" i="1"/>
  <c r="AC2495" i="1"/>
  <c r="AE2494" i="1"/>
  <c r="AC2494" i="1"/>
  <c r="AG2493" i="1"/>
  <c r="AE2493" i="1"/>
  <c r="AC2493" i="1"/>
  <c r="AH2492" i="1"/>
  <c r="AF2492" i="1"/>
  <c r="AD2492" i="1"/>
  <c r="AC2492" i="1"/>
  <c r="AH2491" i="1"/>
  <c r="AF2491" i="1"/>
  <c r="AD2491" i="1"/>
  <c r="AL2490" i="1"/>
  <c r="AJ2490" i="1"/>
  <c r="AI2490" i="1"/>
  <c r="AG2490" i="1"/>
  <c r="AE2490" i="1"/>
  <c r="AC2490" i="1"/>
  <c r="AJ2489" i="1"/>
  <c r="AM2489" i="1" s="1"/>
  <c r="AH2489" i="1"/>
  <c r="AF2489" i="1"/>
  <c r="AD2489" i="1"/>
  <c r="AL2488" i="1"/>
  <c r="AJ2488" i="1"/>
  <c r="AI2488" i="1"/>
  <c r="AG2488" i="1"/>
  <c r="AE2488" i="1"/>
  <c r="AC2488" i="1"/>
  <c r="AG2487" i="1"/>
  <c r="AE2487" i="1"/>
  <c r="AC2487" i="1"/>
  <c r="AJ2486" i="1"/>
  <c r="AH2486" i="1"/>
  <c r="AF2486" i="1"/>
  <c r="AD2486" i="1"/>
  <c r="AL2485" i="1"/>
  <c r="AJ2485" i="1"/>
  <c r="AH2485" i="1"/>
  <c r="AF2485" i="1"/>
  <c r="AD2485" i="1"/>
  <c r="AL2484" i="1"/>
  <c r="AH2484" i="1"/>
  <c r="AF2484" i="1"/>
  <c r="AD2484" i="1"/>
  <c r="AL2483" i="1"/>
  <c r="AJ2483" i="1"/>
  <c r="AI2483" i="1"/>
  <c r="AH2483" i="1"/>
  <c r="AF2483" i="1"/>
  <c r="AD2483" i="1"/>
  <c r="AL2482" i="1"/>
  <c r="AJ2482" i="1"/>
  <c r="AI2482" i="1"/>
  <c r="AG2482" i="1"/>
  <c r="AE2482" i="1"/>
  <c r="AL2481" i="1"/>
  <c r="AJ2481" i="1"/>
  <c r="AI2481" i="1"/>
  <c r="AG2481" i="1"/>
  <c r="AE2481" i="1"/>
  <c r="AC2481" i="1"/>
  <c r="AL2479" i="1"/>
  <c r="AI2479" i="1"/>
  <c r="AG2479" i="1"/>
  <c r="AE2479" i="1"/>
  <c r="AC2479" i="1"/>
  <c r="AF2478" i="1"/>
  <c r="AE2478" i="1"/>
  <c r="AD2478" i="1"/>
  <c r="AC2478" i="1"/>
  <c r="AI2477" i="1"/>
  <c r="AG2477" i="1"/>
  <c r="AE2477" i="1"/>
  <c r="AC2477" i="1"/>
  <c r="AJ2476" i="1"/>
  <c r="AH2476" i="1"/>
  <c r="AF2476" i="1"/>
  <c r="AE2476" i="1"/>
  <c r="AC2476" i="1"/>
  <c r="AL2475" i="1"/>
  <c r="AH2475" i="1"/>
  <c r="AF2475" i="1"/>
  <c r="AD2475" i="1"/>
  <c r="AL2474" i="1"/>
  <c r="AI2474" i="1"/>
  <c r="AG2474" i="1"/>
  <c r="AE2474" i="1"/>
  <c r="AC2474" i="1"/>
  <c r="AG2473" i="1"/>
  <c r="AE2473" i="1"/>
  <c r="AC2473" i="1"/>
  <c r="AJ2472" i="1"/>
  <c r="AH2472" i="1"/>
  <c r="AF2472" i="1"/>
  <c r="AD2472" i="1"/>
  <c r="AI2471" i="1"/>
  <c r="AG2471" i="1"/>
  <c r="AE2471" i="1"/>
  <c r="AC2471" i="1"/>
  <c r="AL2470" i="1"/>
  <c r="AJ2470" i="1"/>
  <c r="AI2470" i="1"/>
  <c r="AH2470" i="1"/>
  <c r="AG2470" i="1"/>
  <c r="AF2470" i="1"/>
  <c r="AE2470" i="1"/>
  <c r="AD2470" i="1"/>
  <c r="AC2470" i="1"/>
  <c r="AL2469" i="1"/>
  <c r="AI2469" i="1"/>
  <c r="AG2469" i="1"/>
  <c r="AE2469" i="1"/>
  <c r="AC2469" i="1"/>
  <c r="AL2468" i="1"/>
  <c r="AI2468" i="1"/>
  <c r="AG2468" i="1"/>
  <c r="AE2468" i="1"/>
  <c r="AC2468" i="1"/>
  <c r="AD2467" i="1"/>
  <c r="AL2466" i="1"/>
  <c r="AJ2466" i="1"/>
  <c r="AI2466" i="1"/>
  <c r="AG2466" i="1"/>
  <c r="AE2466" i="1"/>
  <c r="AC2466" i="1"/>
  <c r="AI2465" i="1"/>
  <c r="AG2465" i="1"/>
  <c r="AE2465" i="1"/>
  <c r="AC2465" i="1"/>
  <c r="AJ2464" i="1"/>
  <c r="AI2464" i="1"/>
  <c r="AH2464" i="1"/>
  <c r="AG2464" i="1"/>
  <c r="AF2464" i="1"/>
  <c r="AD2464" i="1"/>
  <c r="AL2463" i="1"/>
  <c r="AJ2463" i="1"/>
  <c r="AI2463" i="1"/>
  <c r="AH2463" i="1"/>
  <c r="AF2463" i="1"/>
  <c r="AD2463" i="1"/>
  <c r="AL2462" i="1"/>
  <c r="AJ2462" i="1"/>
  <c r="AH2462" i="1"/>
  <c r="AF2462" i="1"/>
  <c r="AD2462" i="1"/>
  <c r="AC2462" i="1"/>
  <c r="AI2461" i="1"/>
  <c r="AG2461" i="1"/>
  <c r="AF2460" i="1"/>
  <c r="AC2460" i="1"/>
  <c r="AH2459" i="1"/>
  <c r="AF2459" i="1"/>
  <c r="AD2459" i="1"/>
  <c r="AL2458" i="1"/>
  <c r="AH2458" i="1"/>
  <c r="AE2458" i="1"/>
  <c r="AC2458" i="1"/>
  <c r="AJ2457" i="1"/>
  <c r="AH2457" i="1"/>
  <c r="AF2457" i="1"/>
  <c r="AD2457" i="1"/>
  <c r="AL2456" i="1"/>
  <c r="AJ2456" i="1"/>
  <c r="AI2456" i="1"/>
  <c r="AG2456" i="1"/>
  <c r="AE2456" i="1"/>
  <c r="AC2456" i="1"/>
  <c r="AJ2455" i="1"/>
  <c r="AH2455" i="1"/>
  <c r="AF2455" i="1"/>
  <c r="AD2455" i="1"/>
  <c r="AL2454" i="1"/>
  <c r="AJ2454" i="1"/>
  <c r="AI2454" i="1"/>
  <c r="AG2454" i="1"/>
  <c r="AD2454" i="1"/>
  <c r="AL2453" i="1"/>
  <c r="AI2453" i="1"/>
  <c r="AG2453" i="1"/>
  <c r="AE2453" i="1"/>
  <c r="AC2453" i="1"/>
  <c r="AJ2452" i="1"/>
  <c r="AH2452" i="1"/>
  <c r="AF2452" i="1"/>
  <c r="AD2452" i="1"/>
  <c r="AL2451" i="1"/>
  <c r="AJ2451" i="1"/>
  <c r="AI2451" i="1"/>
  <c r="AF2451" i="1"/>
  <c r="AD2451" i="1"/>
  <c r="AL2450" i="1"/>
  <c r="AJ2450" i="1"/>
  <c r="AH2450" i="1"/>
  <c r="AF2450" i="1"/>
  <c r="AD2450" i="1"/>
  <c r="AL2449" i="1"/>
  <c r="AI2449" i="1"/>
  <c r="AG2449" i="1"/>
  <c r="AE2449" i="1"/>
  <c r="AC2449" i="1"/>
  <c r="AL2448" i="1"/>
  <c r="AI2448" i="1"/>
  <c r="AH2448" i="1"/>
  <c r="AF2448" i="1"/>
  <c r="AD2448" i="1"/>
  <c r="AL2447" i="1"/>
  <c r="AJ2447" i="1"/>
  <c r="AI2447" i="1"/>
  <c r="AG2447" i="1"/>
  <c r="AE2447" i="1"/>
  <c r="AC2447" i="1"/>
  <c r="AF2446" i="1"/>
  <c r="AD2446" i="1"/>
  <c r="AL2443" i="1"/>
  <c r="AJ2443" i="1"/>
  <c r="AI2443" i="1"/>
  <c r="AG2443" i="1"/>
  <c r="AE2443" i="1"/>
  <c r="AC2443" i="1"/>
  <c r="AL2442" i="1"/>
  <c r="AJ2442" i="1"/>
  <c r="AI2442" i="1"/>
  <c r="AH2442" i="1"/>
  <c r="AG2442" i="1"/>
  <c r="AF2442" i="1"/>
  <c r="AE2442" i="1"/>
  <c r="AD2442" i="1"/>
  <c r="AC2442" i="1"/>
  <c r="AL2441" i="1"/>
  <c r="AJ2441" i="1"/>
  <c r="AI2441" i="1"/>
  <c r="AH2441" i="1"/>
  <c r="AG2441" i="1"/>
  <c r="AF2441" i="1"/>
  <c r="AE2441" i="1"/>
  <c r="AD2441" i="1"/>
  <c r="AC2441" i="1"/>
  <c r="AL2440" i="1"/>
  <c r="AJ2440" i="1"/>
  <c r="AI2440" i="1"/>
  <c r="AH2440" i="1"/>
  <c r="AG2440" i="1"/>
  <c r="AF2440" i="1"/>
  <c r="AE2440" i="1"/>
  <c r="AD2440" i="1"/>
  <c r="AC2440" i="1"/>
  <c r="AL2439" i="1"/>
  <c r="AJ2439" i="1"/>
  <c r="AI2439" i="1"/>
  <c r="AH2439" i="1"/>
  <c r="AG2439" i="1"/>
  <c r="AF2439" i="1"/>
  <c r="AE2439" i="1"/>
  <c r="AD2439" i="1"/>
  <c r="AC2439" i="1"/>
  <c r="AL2438" i="1"/>
  <c r="AJ2438" i="1"/>
  <c r="AI2438" i="1"/>
  <c r="AH2438" i="1"/>
  <c r="AG2438" i="1"/>
  <c r="AF2438" i="1"/>
  <c r="AE2438" i="1"/>
  <c r="AD2438" i="1"/>
  <c r="AC2438" i="1"/>
  <c r="AL2437" i="1"/>
  <c r="AJ2437" i="1"/>
  <c r="AI2437" i="1"/>
  <c r="AH2437" i="1"/>
  <c r="AG2437" i="1"/>
  <c r="AF2437" i="1"/>
  <c r="AE2437" i="1"/>
  <c r="AD2437" i="1"/>
  <c r="AC2437" i="1"/>
  <c r="AL2436" i="1"/>
  <c r="AJ2436" i="1"/>
  <c r="AI2436" i="1"/>
  <c r="AH2436" i="1"/>
  <c r="AG2436" i="1"/>
  <c r="AF2436" i="1"/>
  <c r="AE2436" i="1"/>
  <c r="AD2436" i="1"/>
  <c r="AC2436" i="1"/>
  <c r="AL2435" i="1"/>
  <c r="AJ2435" i="1"/>
  <c r="AI2435" i="1"/>
  <c r="AH2435" i="1"/>
  <c r="AG2435" i="1"/>
  <c r="AF2435" i="1"/>
  <c r="AE2435" i="1"/>
  <c r="AD2435" i="1"/>
  <c r="AC2435" i="1"/>
  <c r="AL2434" i="1"/>
  <c r="AJ2434" i="1"/>
  <c r="AI2434" i="1"/>
  <c r="AH2434" i="1"/>
  <c r="AG2434" i="1"/>
  <c r="AF2434" i="1"/>
  <c r="AE2434" i="1"/>
  <c r="AD2434" i="1"/>
  <c r="AC2434" i="1"/>
  <c r="AL2433" i="1"/>
  <c r="AJ2433" i="1"/>
  <c r="AI2433" i="1"/>
  <c r="AH2433" i="1"/>
  <c r="AG2433" i="1"/>
  <c r="AF2433" i="1"/>
  <c r="AE2433" i="1"/>
  <c r="AD2433" i="1"/>
  <c r="AC2433" i="1"/>
  <c r="AL2432" i="1"/>
  <c r="AJ2432" i="1"/>
  <c r="AI2432" i="1"/>
  <c r="AH2432" i="1"/>
  <c r="AG2432" i="1"/>
  <c r="AF2432" i="1"/>
  <c r="AE2432" i="1"/>
  <c r="AD2432" i="1"/>
  <c r="AC2432" i="1"/>
  <c r="AL2431" i="1"/>
  <c r="AJ2431" i="1"/>
  <c r="AI2431" i="1"/>
  <c r="AH2431" i="1"/>
  <c r="AG2431" i="1"/>
  <c r="AF2431" i="1"/>
  <c r="AE2431" i="1"/>
  <c r="AD2431" i="1"/>
  <c r="AC2431" i="1"/>
  <c r="AL2430" i="1"/>
  <c r="AJ2430" i="1"/>
  <c r="AI2430" i="1"/>
  <c r="AH2430" i="1"/>
  <c r="AG2430" i="1"/>
  <c r="AF2430" i="1"/>
  <c r="AE2430" i="1"/>
  <c r="AD2430" i="1"/>
  <c r="AC2430" i="1"/>
  <c r="AL2429" i="1"/>
  <c r="AJ2429" i="1"/>
  <c r="AI2429" i="1"/>
  <c r="AH2429" i="1"/>
  <c r="AG2429" i="1"/>
  <c r="AF2429" i="1"/>
  <c r="AE2429" i="1"/>
  <c r="AD2429" i="1"/>
  <c r="AC2429" i="1"/>
  <c r="AL2428" i="1"/>
  <c r="AJ2428" i="1"/>
  <c r="AI2428" i="1"/>
  <c r="AH2428" i="1"/>
  <c r="AG2428" i="1"/>
  <c r="AF2428" i="1"/>
  <c r="AE2428" i="1"/>
  <c r="AD2428" i="1"/>
  <c r="AC2428" i="1"/>
  <c r="AL2427" i="1"/>
  <c r="AJ2427" i="1"/>
  <c r="AI2427" i="1"/>
  <c r="AH2427" i="1"/>
  <c r="AG2427" i="1"/>
  <c r="AF2427" i="1"/>
  <c r="AE2427" i="1"/>
  <c r="AD2427" i="1"/>
  <c r="AC2427" i="1"/>
  <c r="AL2426" i="1"/>
  <c r="AJ2426" i="1"/>
  <c r="AI2426" i="1"/>
  <c r="AH2426" i="1"/>
  <c r="AG2426" i="1"/>
  <c r="AF2426" i="1"/>
  <c r="AE2426" i="1"/>
  <c r="AD2426" i="1"/>
  <c r="AC2426" i="1"/>
  <c r="AL2425" i="1"/>
  <c r="AJ2425" i="1"/>
  <c r="AI2425" i="1"/>
  <c r="AH2425" i="1"/>
  <c r="AG2425" i="1"/>
  <c r="AF2425" i="1"/>
  <c r="AE2425" i="1"/>
  <c r="AD2425" i="1"/>
  <c r="AC2425" i="1"/>
  <c r="AL2424" i="1"/>
  <c r="AJ2424" i="1"/>
  <c r="AI2424" i="1"/>
  <c r="AH2424" i="1"/>
  <c r="AG2424" i="1"/>
  <c r="AF2424" i="1"/>
  <c r="AE2424" i="1"/>
  <c r="AD2424" i="1"/>
  <c r="AC2424" i="1"/>
  <c r="AL2423" i="1"/>
  <c r="AJ2423" i="1"/>
  <c r="AI2423" i="1"/>
  <c r="AH2423" i="1"/>
  <c r="AG2423" i="1"/>
  <c r="AF2423" i="1"/>
  <c r="AE2423" i="1"/>
  <c r="AD2423" i="1"/>
  <c r="AC2423" i="1"/>
  <c r="AL2422" i="1"/>
  <c r="AJ2422" i="1"/>
  <c r="AI2422" i="1"/>
  <c r="AH2422" i="1"/>
  <c r="AG2422" i="1"/>
  <c r="AF2422" i="1"/>
  <c r="AE2422" i="1"/>
  <c r="AD2422" i="1"/>
  <c r="AC2422" i="1"/>
  <c r="AL2421" i="1"/>
  <c r="AJ2421" i="1"/>
  <c r="AI2421" i="1"/>
  <c r="AH2421" i="1"/>
  <c r="AG2421" i="1"/>
  <c r="AF2421" i="1"/>
  <c r="AE2421" i="1"/>
  <c r="AD2421" i="1"/>
  <c r="AC2421" i="1"/>
  <c r="AL2420" i="1"/>
  <c r="AJ2420" i="1"/>
  <c r="AI2420" i="1"/>
  <c r="AH2420" i="1"/>
  <c r="AG2420" i="1"/>
  <c r="AF2420" i="1"/>
  <c r="AE2420" i="1"/>
  <c r="AD2420" i="1"/>
  <c r="AC2420" i="1"/>
  <c r="AL2419" i="1"/>
  <c r="AJ2419" i="1"/>
  <c r="AI2419" i="1"/>
  <c r="AH2419" i="1"/>
  <c r="AG2419" i="1"/>
  <c r="AF2419" i="1"/>
  <c r="AE2419" i="1"/>
  <c r="AD2419" i="1"/>
  <c r="AC2419" i="1"/>
  <c r="AL2418" i="1"/>
  <c r="AJ2418" i="1"/>
  <c r="AI2418" i="1"/>
  <c r="AH2418" i="1"/>
  <c r="AG2418" i="1"/>
  <c r="AF2418" i="1"/>
  <c r="AE2418" i="1"/>
  <c r="AD2418" i="1"/>
  <c r="AC2418" i="1"/>
  <c r="AI2417" i="1"/>
  <c r="AG2417" i="1"/>
  <c r="AE2417" i="1"/>
  <c r="AC2417" i="1"/>
  <c r="AJ2416" i="1"/>
  <c r="AI2416" i="1"/>
  <c r="AH2416" i="1"/>
  <c r="AF2416" i="1"/>
  <c r="AD2416" i="1"/>
  <c r="AL2415" i="1"/>
  <c r="AJ2415" i="1"/>
  <c r="AI2415" i="1"/>
  <c r="AH2415" i="1"/>
  <c r="AG2415" i="1"/>
  <c r="AF2415" i="1"/>
  <c r="AD2415" i="1"/>
  <c r="AC2415" i="1"/>
  <c r="AJ2414" i="1"/>
  <c r="AH2414" i="1"/>
  <c r="AF2414" i="1"/>
  <c r="AD2414" i="1"/>
  <c r="AL2413" i="1"/>
  <c r="AJ2413" i="1"/>
  <c r="AH2413" i="1"/>
  <c r="AF2413" i="1"/>
  <c r="AE2413" i="1"/>
  <c r="AC2413" i="1"/>
  <c r="AL2412" i="1"/>
  <c r="AJ2412" i="1"/>
  <c r="AI2412" i="1"/>
  <c r="AH2412" i="1"/>
  <c r="AG2412" i="1"/>
  <c r="AE2412" i="1"/>
  <c r="AC2412" i="1"/>
  <c r="AJ2411" i="1"/>
  <c r="AH2411" i="1"/>
  <c r="AF2411" i="1"/>
  <c r="AE2411" i="1"/>
  <c r="AC2411" i="1"/>
  <c r="AJ2410" i="1"/>
  <c r="AI2410" i="1"/>
  <c r="AG2410" i="1"/>
  <c r="AF2410" i="1"/>
  <c r="AD2410" i="1"/>
  <c r="AL2409" i="1"/>
  <c r="AJ2409" i="1"/>
  <c r="AI2409" i="1"/>
  <c r="AG2409" i="1"/>
  <c r="AF2409" i="1"/>
  <c r="AD2409" i="1"/>
  <c r="AL2408" i="1"/>
  <c r="AJ2408" i="1"/>
  <c r="AI2408" i="1"/>
  <c r="AG2408" i="1"/>
  <c r="AE2408" i="1"/>
  <c r="AC2408" i="1"/>
  <c r="AJ2407" i="1"/>
  <c r="AH2407" i="1"/>
  <c r="AF2407" i="1"/>
  <c r="AD2407" i="1"/>
  <c r="AL2406" i="1"/>
  <c r="AJ2406" i="1"/>
  <c r="AI2406" i="1"/>
  <c r="AH2406" i="1"/>
  <c r="AG2406" i="1"/>
  <c r="AF2406" i="1"/>
  <c r="AD2406" i="1"/>
  <c r="AL2405" i="1"/>
  <c r="AI2405" i="1"/>
  <c r="AG2405" i="1"/>
  <c r="AE2405" i="1"/>
  <c r="AC2405" i="1"/>
  <c r="AI2404" i="1"/>
  <c r="AH2404" i="1"/>
  <c r="AF2404" i="1"/>
  <c r="AD2404" i="1"/>
  <c r="AL2403" i="1"/>
  <c r="AJ2403" i="1"/>
  <c r="AI2403" i="1"/>
  <c r="AG2403" i="1"/>
  <c r="AE2403" i="1"/>
  <c r="AC2403" i="1"/>
  <c r="AH2402" i="1"/>
  <c r="AF2402" i="1"/>
  <c r="AD2402" i="1"/>
  <c r="AL2401" i="1"/>
  <c r="AL2375" i="1"/>
  <c r="AI2375" i="1"/>
  <c r="AG2375" i="1"/>
  <c r="AF2375" i="1"/>
  <c r="AD2375" i="1"/>
  <c r="AC2375" i="1"/>
  <c r="AI2373" i="1"/>
  <c r="AF2373" i="1"/>
  <c r="AD2373" i="1"/>
  <c r="AJ2372" i="1"/>
  <c r="AI2372" i="1"/>
  <c r="AG2372" i="1"/>
  <c r="AE2372" i="1"/>
  <c r="AC2372" i="1"/>
  <c r="AJ2371" i="1"/>
  <c r="AH2371" i="1"/>
  <c r="AF2371" i="1"/>
  <c r="AD2371" i="1"/>
  <c r="AL2370" i="1"/>
  <c r="AI2370" i="1"/>
  <c r="AG2370" i="1"/>
  <c r="AE2370" i="1"/>
  <c r="AC2370" i="1"/>
  <c r="AL2369" i="1"/>
  <c r="AG2369" i="1"/>
  <c r="AF2369" i="1"/>
  <c r="AD2369" i="1"/>
  <c r="AL2368" i="1"/>
  <c r="AJ2368" i="1"/>
  <c r="AH2368" i="1"/>
  <c r="AF2368" i="1"/>
  <c r="AD2368" i="1"/>
  <c r="AL2367" i="1"/>
  <c r="AI2367" i="1"/>
  <c r="AG2367" i="1"/>
  <c r="AE2367" i="1"/>
  <c r="AC2367" i="1"/>
  <c r="AJ2366" i="1"/>
  <c r="AH2366" i="1"/>
  <c r="AF2366" i="1"/>
  <c r="AD2366" i="1"/>
  <c r="AJ2365" i="1"/>
  <c r="AG2365" i="1"/>
  <c r="AE2365" i="1"/>
  <c r="AC2365" i="1"/>
  <c r="AI2364" i="1"/>
  <c r="AG2364" i="1"/>
  <c r="AE2364" i="1"/>
  <c r="AC2364" i="1"/>
  <c r="AL2363" i="1"/>
  <c r="AH2363" i="1"/>
  <c r="AF2363" i="1"/>
  <c r="AD2363" i="1"/>
  <c r="AL2362" i="1"/>
  <c r="AJ2362" i="1"/>
  <c r="AI2362" i="1"/>
  <c r="AH2362" i="1"/>
  <c r="AG2362" i="1"/>
  <c r="AF2362" i="1"/>
  <c r="AE2362" i="1"/>
  <c r="AD2362" i="1"/>
  <c r="AL2361" i="1"/>
  <c r="AJ2361" i="1"/>
  <c r="AH2361" i="1"/>
  <c r="AF2361" i="1"/>
  <c r="AD2361" i="1"/>
  <c r="AL2360" i="1"/>
  <c r="AJ2360" i="1"/>
  <c r="AI2360" i="1"/>
  <c r="AG2360" i="1"/>
  <c r="AE2360" i="1"/>
  <c r="AC2360" i="1"/>
  <c r="AI2359" i="1"/>
  <c r="AG2359" i="1"/>
  <c r="AD2359" i="1"/>
  <c r="AL2358" i="1"/>
  <c r="AH2358" i="1"/>
  <c r="AF2358" i="1"/>
  <c r="AD2358" i="1"/>
  <c r="AL2357" i="1"/>
  <c r="AJ2357" i="1"/>
  <c r="AI2357" i="1"/>
  <c r="AG2357" i="1"/>
  <c r="AE2357" i="1"/>
  <c r="AC2357" i="1"/>
  <c r="AJ2356" i="1"/>
  <c r="AH2356" i="1"/>
  <c r="AF2356" i="1"/>
  <c r="AD2356" i="1"/>
  <c r="AL2355" i="1"/>
  <c r="AJ2355" i="1"/>
  <c r="AI2355" i="1"/>
  <c r="AG2355" i="1"/>
  <c r="AF2355" i="1"/>
  <c r="AD2355" i="1"/>
  <c r="AJ2354" i="1"/>
  <c r="AG2354" i="1"/>
  <c r="AE2354" i="1"/>
  <c r="AC2354" i="1"/>
  <c r="AL2353" i="1"/>
  <c r="AJ2353" i="1"/>
  <c r="AG2353" i="1"/>
  <c r="AE2353" i="1"/>
  <c r="AC2353" i="1"/>
  <c r="AF2352" i="1"/>
  <c r="AD2352" i="1"/>
  <c r="AL2351" i="1"/>
  <c r="AI2351" i="1"/>
  <c r="AG2351" i="1"/>
  <c r="AD2351" i="1"/>
  <c r="AL2350" i="1"/>
  <c r="AJ2350" i="1"/>
  <c r="AI2350" i="1"/>
  <c r="AH2350" i="1"/>
  <c r="AG2350" i="1"/>
  <c r="AE2350" i="1"/>
  <c r="AC2350" i="1"/>
  <c r="AI2349" i="1"/>
  <c r="AG2349" i="1"/>
  <c r="AF2349" i="1"/>
  <c r="AD2349" i="1"/>
  <c r="AL2348" i="1"/>
  <c r="AH2348" i="1"/>
  <c r="AF2348" i="1"/>
  <c r="AD2348" i="1"/>
  <c r="AL2347" i="1"/>
  <c r="AJ2347" i="1"/>
  <c r="AI2347" i="1"/>
  <c r="AG2347" i="1"/>
  <c r="AF2347" i="1"/>
  <c r="AD2347" i="1"/>
  <c r="AL2346" i="1"/>
  <c r="AJ2346" i="1"/>
  <c r="AI2346" i="1"/>
  <c r="AH2346" i="1"/>
  <c r="AF2346" i="1"/>
  <c r="AD2346" i="1"/>
  <c r="AL2345" i="1"/>
  <c r="AJ2345" i="1"/>
  <c r="AI2345" i="1"/>
  <c r="AH2345" i="1"/>
  <c r="AF2345" i="1"/>
  <c r="AD2345" i="1"/>
  <c r="AL2344" i="1"/>
  <c r="AJ2344" i="1"/>
  <c r="AI2344" i="1"/>
  <c r="AH2344" i="1"/>
  <c r="AF2344" i="1"/>
  <c r="AC2344" i="1"/>
  <c r="AG2343" i="1"/>
  <c r="AE2343" i="1"/>
  <c r="AC2343" i="1"/>
  <c r="AG2342" i="1"/>
  <c r="AE2342" i="1"/>
  <c r="AC2342" i="1"/>
  <c r="AG2341" i="1"/>
  <c r="AE2341" i="1"/>
  <c r="AC2341" i="1"/>
  <c r="AH2340" i="1"/>
  <c r="AE2340" i="1"/>
  <c r="AC2340" i="1"/>
  <c r="AG2339" i="1"/>
  <c r="AF2339" i="1"/>
  <c r="AD2339" i="1"/>
  <c r="AL2338" i="1"/>
  <c r="AI2338" i="1"/>
  <c r="AG2338" i="1"/>
  <c r="AD2338" i="1"/>
  <c r="AJ2336" i="1"/>
  <c r="AH2336" i="1"/>
  <c r="AF2336" i="1"/>
  <c r="AD2336" i="1"/>
  <c r="AL2335" i="1"/>
  <c r="AJ2335" i="1"/>
  <c r="AI2335" i="1"/>
  <c r="AH2335" i="1"/>
  <c r="AF2335" i="1"/>
  <c r="AD2335" i="1"/>
  <c r="AL2334" i="1"/>
  <c r="AJ2334" i="1"/>
  <c r="AH2334" i="1"/>
  <c r="AG2334" i="1"/>
  <c r="AE2334" i="1"/>
  <c r="AC2334" i="1"/>
  <c r="AL2333" i="1"/>
  <c r="AI2333" i="1"/>
  <c r="AG2333" i="1"/>
  <c r="AE2333" i="1"/>
  <c r="AC2333" i="1"/>
  <c r="AD2332" i="1"/>
  <c r="AL2331" i="1"/>
  <c r="AJ2331" i="1"/>
  <c r="AI2331" i="1"/>
  <c r="AE2331" i="1"/>
  <c r="AC2331" i="1"/>
  <c r="AI2330" i="1"/>
  <c r="AH2330" i="1"/>
  <c r="AF2330" i="1"/>
  <c r="AD2330" i="1"/>
  <c r="AL2329" i="1"/>
  <c r="AJ2329" i="1"/>
  <c r="AH2329" i="1"/>
  <c r="AG2329" i="1"/>
  <c r="AE2329" i="1"/>
  <c r="AC2329" i="1"/>
  <c r="AL2328" i="1"/>
  <c r="AJ2328" i="1"/>
  <c r="AI2328" i="1"/>
  <c r="AH2328" i="1"/>
  <c r="AG2328" i="1"/>
  <c r="AE2328" i="1"/>
  <c r="AC2328" i="1"/>
  <c r="AJ2327" i="1"/>
  <c r="AG2327" i="1"/>
  <c r="AE2327" i="1"/>
  <c r="AC2327" i="1"/>
  <c r="AL2326" i="1"/>
  <c r="AH2326" i="1"/>
  <c r="AD2326" i="1"/>
  <c r="AC2326" i="1"/>
  <c r="AL2325" i="1"/>
  <c r="AJ2325" i="1"/>
  <c r="AI2325" i="1"/>
  <c r="AG2325" i="1"/>
  <c r="AF2325" i="1"/>
  <c r="AD2325" i="1"/>
  <c r="AJ2324" i="1"/>
  <c r="AH2324" i="1"/>
  <c r="AF2324" i="1"/>
  <c r="AE2324" i="1"/>
  <c r="AC2324" i="1"/>
  <c r="AJ2323" i="1"/>
  <c r="AH2323" i="1"/>
  <c r="AF2323" i="1"/>
  <c r="AC2323" i="1"/>
  <c r="AL2322" i="1"/>
  <c r="AJ2322" i="1"/>
  <c r="AH2322" i="1"/>
  <c r="AF2322" i="1"/>
  <c r="AD2322" i="1"/>
  <c r="AC2322" i="1"/>
  <c r="AJ2321" i="1"/>
  <c r="AH2321" i="1"/>
  <c r="AF2321" i="1"/>
  <c r="AD2321" i="1"/>
  <c r="AJ2320" i="1"/>
  <c r="AI2320" i="1"/>
  <c r="AG2320" i="1"/>
  <c r="AE2320" i="1"/>
  <c r="AC2320" i="1"/>
  <c r="AJ2319" i="1"/>
  <c r="AH2319" i="1"/>
  <c r="AG2319" i="1"/>
  <c r="AE2319" i="1"/>
  <c r="AC2319" i="1"/>
  <c r="AL2318" i="1"/>
  <c r="AI2318" i="1"/>
  <c r="AH2318" i="1"/>
  <c r="AF2318" i="1"/>
  <c r="AD2318" i="1"/>
  <c r="AJ2306" i="1"/>
  <c r="AD2306" i="1"/>
  <c r="AD2305" i="1"/>
  <c r="AL2304" i="1"/>
  <c r="AJ2304" i="1"/>
  <c r="AH2304" i="1"/>
  <c r="AG2304" i="1"/>
  <c r="AF2304" i="1"/>
  <c r="AC2304" i="1"/>
  <c r="AL2303" i="1"/>
  <c r="AJ2303" i="1"/>
  <c r="AI2303" i="1"/>
  <c r="AH2303" i="1"/>
  <c r="AG2303" i="1"/>
  <c r="AE2303" i="1"/>
  <c r="AD2303" i="1"/>
  <c r="AL2302" i="1"/>
  <c r="AJ2302" i="1"/>
  <c r="AI2302" i="1"/>
  <c r="AG2302" i="1"/>
  <c r="AE2302" i="1"/>
  <c r="AD2302" i="1"/>
  <c r="AL2301" i="1"/>
  <c r="AJ2301" i="1"/>
  <c r="AI2301" i="1"/>
  <c r="AG2301" i="1"/>
  <c r="AF2301" i="1"/>
  <c r="AE2301" i="1"/>
  <c r="AC2301" i="1"/>
  <c r="AL2300" i="1"/>
  <c r="AJ2300" i="1"/>
  <c r="AI2300" i="1"/>
  <c r="AH2300" i="1"/>
  <c r="AF2300" i="1"/>
  <c r="AE2300" i="1"/>
  <c r="AC2300" i="1"/>
  <c r="AD2299" i="1"/>
  <c r="AL2298" i="1"/>
  <c r="AJ2298" i="1"/>
  <c r="AI2298" i="1"/>
  <c r="AH2298" i="1"/>
  <c r="AF2298" i="1"/>
  <c r="AE2298" i="1"/>
  <c r="AC2298" i="1"/>
  <c r="AL2297" i="1"/>
  <c r="AJ2297" i="1"/>
  <c r="AI2297" i="1"/>
  <c r="AH2297" i="1"/>
  <c r="AF2297" i="1"/>
  <c r="AE2297" i="1"/>
  <c r="AC2297" i="1"/>
  <c r="AL2296" i="1"/>
  <c r="AJ2296" i="1"/>
  <c r="AI2296" i="1"/>
  <c r="AG2296" i="1"/>
  <c r="AF2296" i="1"/>
  <c r="AE2296" i="1"/>
  <c r="AC2296" i="1"/>
  <c r="AJ2295" i="1"/>
  <c r="AH2295" i="1"/>
  <c r="AF2295" i="1"/>
  <c r="AD2295" i="1"/>
  <c r="AL2294" i="1"/>
  <c r="AJ2294" i="1"/>
  <c r="AI2294" i="1"/>
  <c r="AG2294" i="1"/>
  <c r="AF2294" i="1"/>
  <c r="AE2294" i="1"/>
  <c r="AC2294" i="1"/>
  <c r="AJ2293" i="1"/>
  <c r="AH2293" i="1"/>
  <c r="AF2293" i="1"/>
  <c r="AD2293" i="1"/>
  <c r="AC2293" i="1"/>
  <c r="AI2292" i="1"/>
  <c r="AG2292" i="1"/>
  <c r="AE2292" i="1"/>
  <c r="AL2291" i="1"/>
  <c r="AJ2291" i="1"/>
  <c r="AI2291" i="1"/>
  <c r="AH2291" i="1"/>
  <c r="AG2291" i="1"/>
  <c r="AE2291" i="1"/>
  <c r="AD2291" i="1"/>
  <c r="AL2290" i="1"/>
  <c r="AJ2290" i="1"/>
  <c r="AI2290" i="1"/>
  <c r="AG2290" i="1"/>
  <c r="AF2290" i="1"/>
  <c r="AE2290" i="1"/>
  <c r="AC2290" i="1"/>
  <c r="AJ2289" i="1"/>
  <c r="AH2289" i="1"/>
  <c r="AG2289" i="1"/>
  <c r="AE2289" i="1"/>
  <c r="AJ2288" i="1"/>
  <c r="AH2288" i="1"/>
  <c r="AF2288" i="1"/>
  <c r="AD2288" i="1"/>
  <c r="AL2287" i="1"/>
  <c r="AJ2287" i="1"/>
  <c r="AI2287" i="1"/>
  <c r="AH2287" i="1"/>
  <c r="AG2287" i="1"/>
  <c r="AF2287" i="1"/>
  <c r="AE2287" i="1"/>
  <c r="AC2287" i="1"/>
  <c r="AL2286" i="1"/>
  <c r="AJ2286" i="1"/>
  <c r="AH2286" i="1"/>
  <c r="AG2286" i="1"/>
  <c r="AE2286" i="1"/>
  <c r="AD2286" i="1"/>
  <c r="AL2285" i="1"/>
  <c r="AJ2285" i="1"/>
  <c r="AI2285" i="1"/>
  <c r="AG2285" i="1"/>
  <c r="AE2285" i="1"/>
  <c r="AC2285" i="1"/>
  <c r="AL2284" i="1"/>
  <c r="AI2284" i="1"/>
  <c r="AG2284" i="1"/>
  <c r="AE2284" i="1"/>
  <c r="AC2284" i="1"/>
  <c r="AJ2283" i="1"/>
  <c r="AI2283" i="1"/>
  <c r="AG2283" i="1"/>
  <c r="AE2283" i="1"/>
  <c r="AD2283" i="1"/>
  <c r="AL2282" i="1"/>
  <c r="AJ2282" i="1"/>
  <c r="AI2282" i="1"/>
  <c r="AG2282" i="1"/>
  <c r="AF2282" i="1"/>
  <c r="AD2282" i="1"/>
  <c r="AL2281" i="1"/>
  <c r="AJ2281" i="1"/>
  <c r="AI2281" i="1"/>
  <c r="AH2281" i="1"/>
  <c r="AG2281" i="1"/>
  <c r="AF2281" i="1"/>
  <c r="AD2281" i="1"/>
  <c r="AL2280" i="1"/>
  <c r="AI2280" i="1"/>
  <c r="AG2280" i="1"/>
  <c r="AE2280" i="1"/>
  <c r="AC2280" i="1"/>
  <c r="AJ2279" i="1"/>
  <c r="AI2279" i="1"/>
  <c r="AG2279" i="1"/>
  <c r="AE2279" i="1"/>
  <c r="AC2279" i="1"/>
  <c r="AJ2278" i="1"/>
  <c r="AH2278" i="1"/>
  <c r="AF2278" i="1"/>
  <c r="AD2278" i="1"/>
  <c r="AC2278" i="1"/>
  <c r="AL2277" i="1"/>
  <c r="AI2277" i="1"/>
  <c r="AH2277" i="1"/>
  <c r="AF2277" i="1"/>
  <c r="AD2277" i="1"/>
  <c r="AL2276" i="1"/>
  <c r="AJ2276" i="1"/>
  <c r="AI2276" i="1"/>
  <c r="AH2276" i="1"/>
  <c r="AG2276" i="1"/>
  <c r="AE2276" i="1"/>
  <c r="AC2276" i="1"/>
  <c r="AJ2274" i="1"/>
  <c r="AI2274" i="1"/>
  <c r="AG2274" i="1"/>
  <c r="AE2274" i="1"/>
  <c r="AD2274" i="1"/>
  <c r="AL2273" i="1"/>
  <c r="AJ2273" i="1"/>
  <c r="AI2273" i="1"/>
  <c r="AG2273" i="1"/>
  <c r="AF2273" i="1"/>
  <c r="AD2273" i="1"/>
  <c r="AC2273" i="1"/>
  <c r="AJ2272" i="1"/>
  <c r="AI2272" i="1"/>
  <c r="AG2272" i="1"/>
  <c r="AE2272" i="1"/>
  <c r="AD2272" i="1"/>
  <c r="AL2271" i="1"/>
  <c r="AJ2271" i="1"/>
  <c r="AI2271" i="1"/>
  <c r="AH2271" i="1"/>
  <c r="AG2271" i="1"/>
  <c r="AE2271" i="1"/>
  <c r="AD2271" i="1"/>
  <c r="AL2270" i="1"/>
  <c r="AJ2270" i="1"/>
  <c r="AI2270" i="1"/>
  <c r="AH2270" i="1"/>
  <c r="AF2270" i="1"/>
  <c r="AE2270" i="1"/>
  <c r="AC2270" i="1"/>
  <c r="AL2269" i="1"/>
  <c r="AJ2269" i="1"/>
  <c r="AI2269" i="1"/>
  <c r="AH2269" i="1"/>
  <c r="AF2269" i="1"/>
  <c r="AE2269" i="1"/>
  <c r="AC2269" i="1"/>
  <c r="AJ2268" i="1"/>
  <c r="AI2268" i="1"/>
  <c r="AG2268" i="1"/>
  <c r="AE2268" i="1"/>
  <c r="AC2268" i="1"/>
  <c r="AJ2267" i="1"/>
  <c r="AH2267" i="1"/>
  <c r="AF2267" i="1"/>
  <c r="AD2267" i="1"/>
  <c r="AC2267" i="1"/>
  <c r="AJ2266" i="1"/>
  <c r="AH2266" i="1"/>
  <c r="AF2266" i="1"/>
  <c r="AD2266" i="1"/>
  <c r="AL2265" i="1"/>
  <c r="AJ2265" i="1"/>
  <c r="AI2265" i="1"/>
  <c r="AH2265" i="1"/>
  <c r="AF2265" i="1"/>
  <c r="AE2265" i="1"/>
  <c r="AC2265" i="1"/>
  <c r="AL2264" i="1"/>
  <c r="AJ2264" i="1"/>
  <c r="AI2264" i="1"/>
  <c r="AG2264" i="1"/>
  <c r="AF2264" i="1"/>
  <c r="AD2264" i="1"/>
  <c r="AC2264" i="1"/>
  <c r="AJ2263" i="1"/>
  <c r="AH2263" i="1"/>
  <c r="AG2263" i="1"/>
  <c r="AE2263" i="1"/>
  <c r="AC2263" i="1"/>
  <c r="AJ2262" i="1"/>
  <c r="AH2262" i="1"/>
  <c r="AF2262" i="1"/>
  <c r="AD2262" i="1"/>
  <c r="AL2261" i="1"/>
  <c r="AJ2261" i="1"/>
  <c r="AI2261" i="1"/>
  <c r="AG2261" i="1"/>
  <c r="AF2261" i="1"/>
  <c r="AD2261" i="1"/>
  <c r="AL2260" i="1"/>
  <c r="AJ2260" i="1"/>
  <c r="AH2260" i="1"/>
  <c r="AG2260" i="1"/>
  <c r="AE2260" i="1"/>
  <c r="AC2260" i="1"/>
  <c r="AJ2259" i="1"/>
  <c r="AH2259" i="1"/>
  <c r="AF2259" i="1"/>
  <c r="AD2259" i="1"/>
  <c r="AL2258" i="1"/>
  <c r="AJ2258" i="1"/>
  <c r="AI2258" i="1"/>
  <c r="AH2258" i="1"/>
  <c r="AF2258" i="1"/>
  <c r="AE2258" i="1"/>
  <c r="AC2258" i="1"/>
  <c r="AL2257" i="1"/>
  <c r="AJ2257" i="1"/>
  <c r="AI2257" i="1"/>
  <c r="AG2257" i="1"/>
  <c r="AF2257" i="1"/>
  <c r="AE2257" i="1"/>
  <c r="AL2256" i="1"/>
  <c r="AI2256" i="1"/>
  <c r="AH2256" i="1"/>
  <c r="AF2256" i="1"/>
  <c r="AD2256" i="1"/>
  <c r="AJ2255" i="1"/>
  <c r="AI2255" i="1"/>
  <c r="AG2255" i="1"/>
  <c r="AE2255" i="1"/>
  <c r="AC2255" i="1"/>
  <c r="AJ2254" i="1"/>
  <c r="AI2254" i="1"/>
  <c r="AG2254" i="1"/>
  <c r="AE2254" i="1"/>
  <c r="AC2254" i="1"/>
  <c r="AL2253" i="1"/>
  <c r="AJ2253" i="1"/>
  <c r="AI2253" i="1"/>
  <c r="AG2253" i="1"/>
  <c r="AF2253" i="1"/>
  <c r="AE2253" i="1"/>
  <c r="AC2253" i="1"/>
  <c r="AL2252" i="1"/>
  <c r="AJ2252" i="1"/>
  <c r="AI2252" i="1"/>
  <c r="AH2252" i="1"/>
  <c r="AF2252" i="1"/>
  <c r="AE2252" i="1"/>
  <c r="AC2252" i="1"/>
  <c r="AL2251" i="1"/>
  <c r="AG2251" i="1"/>
  <c r="AE2251" i="1"/>
  <c r="AC2251" i="1"/>
  <c r="AI2250" i="1"/>
  <c r="AH2250" i="1"/>
  <c r="AF2250" i="1"/>
  <c r="AE2250" i="1"/>
  <c r="AC2250" i="1"/>
  <c r="AJ2249" i="1"/>
  <c r="AH2249" i="1"/>
  <c r="AG2249" i="1"/>
  <c r="AE2249" i="1"/>
  <c r="AC2249" i="1"/>
  <c r="AJ2248" i="1"/>
  <c r="AI2248" i="1"/>
  <c r="AG2248" i="1"/>
  <c r="AE2248" i="1"/>
  <c r="AL2247" i="1"/>
  <c r="AJ2247" i="1"/>
  <c r="AI2247" i="1"/>
  <c r="AG2247" i="1"/>
  <c r="AE2247" i="1"/>
  <c r="AD2247" i="1"/>
  <c r="AL2246" i="1"/>
  <c r="AJ2246" i="1"/>
  <c r="AI2246" i="1"/>
  <c r="AH2246" i="1"/>
  <c r="AF2246" i="1"/>
  <c r="AE2246" i="1"/>
  <c r="AC2246" i="1"/>
  <c r="AL2245" i="1"/>
  <c r="AI2245" i="1"/>
  <c r="AG2245" i="1"/>
  <c r="AF2245" i="1"/>
  <c r="AD2245" i="1"/>
  <c r="AL2244" i="1"/>
  <c r="AJ2244" i="1"/>
  <c r="AI2244" i="1"/>
  <c r="AH2244" i="1"/>
  <c r="AF2244" i="1"/>
  <c r="AE2244" i="1"/>
  <c r="AC2244" i="1"/>
  <c r="AL2243" i="1"/>
  <c r="AI2243" i="1"/>
  <c r="AH2243" i="1"/>
  <c r="AG2243" i="1"/>
  <c r="AE2243" i="1"/>
  <c r="AC2243" i="1"/>
  <c r="AJ2242" i="1"/>
  <c r="AH2242" i="1"/>
  <c r="AG2242" i="1"/>
  <c r="AE2242" i="1"/>
  <c r="AD2242" i="1"/>
  <c r="AL2241" i="1"/>
  <c r="AI2241" i="1"/>
  <c r="AH2241" i="1"/>
  <c r="AF2241" i="1"/>
  <c r="AD2241" i="1"/>
  <c r="AC2241" i="1"/>
  <c r="AL2240" i="1"/>
  <c r="AH2240" i="1"/>
  <c r="AF2240" i="1"/>
  <c r="AD2240" i="1"/>
  <c r="AC2240" i="1"/>
  <c r="AL2239" i="1"/>
  <c r="AI2239" i="1"/>
  <c r="AH2239" i="1"/>
  <c r="AF2239" i="1"/>
  <c r="AD2239" i="1"/>
  <c r="AL2238" i="1"/>
  <c r="AJ2238" i="1"/>
  <c r="AI2238" i="1"/>
  <c r="AG2238" i="1"/>
  <c r="AE2238" i="1"/>
  <c r="AC2238" i="1"/>
  <c r="AI2237" i="1"/>
  <c r="AG2237" i="1"/>
  <c r="AE2237" i="1"/>
  <c r="AC2237" i="1"/>
  <c r="AL2236" i="1"/>
  <c r="AJ2236" i="1"/>
  <c r="AI2236" i="1"/>
  <c r="AH2236" i="1"/>
  <c r="AF2236" i="1"/>
  <c r="AE2236" i="1"/>
  <c r="AC2236" i="1"/>
  <c r="AJ2235" i="1"/>
  <c r="AH2235" i="1"/>
  <c r="AG2235" i="1"/>
  <c r="AE2235" i="1"/>
  <c r="AC2235" i="1"/>
  <c r="AJ2234" i="1"/>
  <c r="AH2234" i="1"/>
  <c r="AG2234" i="1"/>
  <c r="AE2234" i="1"/>
  <c r="AC2234" i="1"/>
  <c r="AL2233" i="1"/>
  <c r="AJ2233" i="1"/>
  <c r="AI2233" i="1"/>
  <c r="AH2233" i="1"/>
  <c r="AG2233" i="1"/>
  <c r="AF2233" i="1"/>
  <c r="AE2233" i="1"/>
  <c r="AC2233" i="1"/>
  <c r="AL2232" i="1"/>
  <c r="AJ2232" i="1"/>
  <c r="AI2232" i="1"/>
  <c r="AH2232" i="1"/>
  <c r="AG2232" i="1"/>
  <c r="AF2232" i="1"/>
  <c r="AD2232" i="1"/>
  <c r="AL2231" i="1"/>
  <c r="AJ2231" i="1"/>
  <c r="AI2231" i="1"/>
  <c r="AH2231" i="1"/>
  <c r="AG2231" i="1"/>
  <c r="AF2231" i="1"/>
  <c r="AD2231" i="1"/>
  <c r="AL2230" i="1"/>
  <c r="AJ2230" i="1"/>
  <c r="AI2230" i="1"/>
  <c r="AH2230" i="1"/>
  <c r="AG2230" i="1"/>
  <c r="AE2230" i="1"/>
  <c r="AD2230" i="1"/>
  <c r="AJ2229" i="1"/>
  <c r="AH2229" i="1"/>
  <c r="AF2229" i="1"/>
  <c r="AD2229" i="1"/>
  <c r="AC2229" i="1"/>
  <c r="AJ2228" i="1"/>
  <c r="AI2228" i="1"/>
  <c r="AG2228" i="1"/>
  <c r="AF2228" i="1"/>
  <c r="AD2228" i="1"/>
  <c r="AL2227" i="1"/>
  <c r="AJ2227" i="1"/>
  <c r="AI2227" i="1"/>
  <c r="AH2227" i="1"/>
  <c r="AG2227" i="1"/>
  <c r="AF2227" i="1"/>
  <c r="AE2227" i="1"/>
  <c r="AC2227" i="1"/>
  <c r="AL2226" i="1"/>
  <c r="AJ2226" i="1"/>
  <c r="AI2226" i="1"/>
  <c r="AH2226" i="1"/>
  <c r="AF2226" i="1"/>
  <c r="AE2226" i="1"/>
  <c r="AC2226" i="1"/>
  <c r="AL2225" i="1"/>
  <c r="AJ2225" i="1"/>
  <c r="AI2225" i="1"/>
  <c r="AH2225" i="1"/>
  <c r="AG2225" i="1"/>
  <c r="AE2225" i="1"/>
  <c r="AC2225" i="1"/>
  <c r="AL2224" i="1"/>
  <c r="AI2224" i="1"/>
  <c r="AH2224" i="1"/>
  <c r="AF2224" i="1"/>
  <c r="AD2224" i="1"/>
  <c r="AL2223" i="1"/>
  <c r="AJ2223" i="1"/>
  <c r="AI2223" i="1"/>
  <c r="AH2223" i="1"/>
  <c r="AF2223" i="1"/>
  <c r="AE2223" i="1"/>
  <c r="AC2223" i="1"/>
  <c r="AJ2222" i="1"/>
  <c r="AI2222" i="1"/>
  <c r="AH2222" i="1"/>
  <c r="AF2222" i="1"/>
  <c r="AE2222" i="1"/>
  <c r="AC2222" i="1"/>
  <c r="AJ2221" i="1"/>
  <c r="AI2221" i="1"/>
  <c r="AG2221" i="1"/>
  <c r="AE2221" i="1"/>
  <c r="AC2221" i="1"/>
  <c r="AL2220" i="1"/>
  <c r="AJ2220" i="1"/>
  <c r="AI2220" i="1"/>
  <c r="AH2220" i="1"/>
  <c r="AF2220" i="1"/>
  <c r="AE2220" i="1"/>
  <c r="AC2220" i="1"/>
  <c r="AL2219" i="1"/>
  <c r="AI2219" i="1"/>
  <c r="AG2219" i="1"/>
  <c r="AE2219" i="1"/>
  <c r="AC2219" i="1"/>
  <c r="AL2218" i="1"/>
  <c r="AJ2218" i="1"/>
  <c r="AI2218" i="1"/>
  <c r="AH2218" i="1"/>
  <c r="AF2218" i="1"/>
  <c r="AE2218" i="1"/>
  <c r="AD2218" i="1"/>
  <c r="AL2217" i="1"/>
  <c r="AJ2217" i="1"/>
  <c r="AI2217" i="1"/>
  <c r="AH2217" i="1"/>
  <c r="AF2217" i="1"/>
  <c r="AE2217" i="1"/>
  <c r="AD2217" i="1"/>
  <c r="AL2216" i="1"/>
  <c r="AJ2216" i="1"/>
  <c r="AI2216" i="1"/>
  <c r="AH2216" i="1"/>
  <c r="AG2216" i="1"/>
  <c r="AE2216" i="1"/>
  <c r="AD2216" i="1"/>
  <c r="AL2215" i="1"/>
  <c r="AJ2215" i="1"/>
  <c r="AI2215" i="1"/>
  <c r="AH2215" i="1"/>
  <c r="AG2215" i="1"/>
  <c r="AE2215" i="1"/>
  <c r="AC2215" i="1"/>
  <c r="AJ2214" i="1"/>
  <c r="AH2214" i="1"/>
  <c r="AF2214" i="1"/>
  <c r="AD2214" i="1"/>
  <c r="AC2214" i="1"/>
  <c r="AL2213" i="1"/>
  <c r="AJ2213" i="1"/>
  <c r="AI2213" i="1"/>
  <c r="AH2213" i="1"/>
  <c r="AG2213" i="1"/>
  <c r="AF2213" i="1"/>
  <c r="AE2213" i="1"/>
  <c r="AD2213" i="1"/>
  <c r="AC2213" i="1"/>
  <c r="AL2212" i="1"/>
  <c r="AJ2212" i="1"/>
  <c r="AI2212" i="1"/>
  <c r="AH2212" i="1"/>
  <c r="AG2212" i="1"/>
  <c r="AF2212" i="1"/>
  <c r="AE2212" i="1"/>
  <c r="AD2212" i="1"/>
  <c r="AC2212" i="1"/>
  <c r="AL2211" i="1"/>
  <c r="AJ2211" i="1"/>
  <c r="AI2211" i="1"/>
  <c r="AH2211" i="1"/>
  <c r="AG2211" i="1"/>
  <c r="AF2211" i="1"/>
  <c r="AE2211" i="1"/>
  <c r="AC2211" i="1"/>
  <c r="AL2210" i="1"/>
  <c r="AJ2210" i="1"/>
  <c r="AI2210" i="1"/>
  <c r="AG2210" i="1"/>
  <c r="AF2210" i="1"/>
  <c r="AE2210" i="1"/>
  <c r="AC2210" i="1"/>
  <c r="AL2209" i="1"/>
  <c r="AJ2209" i="1"/>
  <c r="AI2209" i="1"/>
  <c r="AG2209" i="1"/>
  <c r="AF2209" i="1"/>
  <c r="AE2209" i="1"/>
  <c r="AC2209" i="1"/>
  <c r="AL2208" i="1"/>
  <c r="AJ2208" i="1"/>
  <c r="AI2208" i="1"/>
  <c r="AG2208" i="1"/>
  <c r="AF2208" i="1"/>
  <c r="AE2208" i="1"/>
  <c r="AC2208" i="1"/>
  <c r="AJ2207" i="1"/>
  <c r="AH2207" i="1"/>
  <c r="AG2207" i="1"/>
  <c r="AE2207" i="1"/>
  <c r="AC2207" i="1"/>
  <c r="AH2206" i="1"/>
  <c r="AF2206" i="1"/>
  <c r="AD2206" i="1"/>
  <c r="AJ2205" i="1"/>
  <c r="AI2205" i="1"/>
  <c r="AG2205" i="1"/>
  <c r="AE2205" i="1"/>
  <c r="AC2205" i="1"/>
  <c r="AL2204" i="1"/>
  <c r="AJ2204" i="1"/>
  <c r="AI2204" i="1"/>
  <c r="AG2204" i="1"/>
  <c r="AF2204" i="1"/>
  <c r="AE2204" i="1"/>
  <c r="AC2204" i="1"/>
  <c r="AJ2203" i="1"/>
  <c r="AI2203" i="1"/>
  <c r="AF2203" i="1"/>
  <c r="AE2203" i="1"/>
  <c r="AC2203" i="1"/>
  <c r="AJ2202" i="1"/>
  <c r="AH2202" i="1"/>
  <c r="AF2202" i="1"/>
  <c r="AE2202" i="1"/>
  <c r="AC2202" i="1"/>
  <c r="AL2201" i="1"/>
  <c r="AH2201" i="1"/>
  <c r="AF2201" i="1"/>
  <c r="AD2201" i="1"/>
  <c r="AC2201" i="1"/>
  <c r="AJ2200" i="1"/>
  <c r="AI2200" i="1"/>
  <c r="AG2200" i="1"/>
  <c r="AE2200" i="1"/>
  <c r="AC2200" i="1"/>
  <c r="AJ2199" i="1"/>
  <c r="AI2199" i="1"/>
  <c r="AG2199" i="1"/>
  <c r="AF2199" i="1"/>
  <c r="AD2199" i="1"/>
  <c r="AL2198" i="1"/>
  <c r="AJ2198" i="1"/>
  <c r="AI2198" i="1"/>
  <c r="AH2198" i="1"/>
  <c r="AG2198" i="1"/>
  <c r="AF2198" i="1"/>
  <c r="AD2198" i="1"/>
  <c r="AC2198" i="1"/>
  <c r="AL2197" i="1"/>
  <c r="AJ2197" i="1"/>
  <c r="AI2197" i="1"/>
  <c r="AG2197" i="1"/>
  <c r="AE2197" i="1"/>
  <c r="AD2197" i="1"/>
  <c r="AL2196" i="1"/>
  <c r="AJ2196" i="1"/>
  <c r="AI2196" i="1"/>
  <c r="AH2196" i="1"/>
  <c r="AF2196" i="1"/>
  <c r="AE2196" i="1"/>
  <c r="AC2196" i="1"/>
  <c r="AL2195" i="1"/>
  <c r="AJ2195" i="1"/>
  <c r="AI2195" i="1"/>
  <c r="AH2195" i="1"/>
  <c r="AG2195" i="1"/>
  <c r="AF2195" i="1"/>
  <c r="AE2195" i="1"/>
  <c r="AC2195" i="1"/>
  <c r="AL2194" i="1"/>
  <c r="AJ2194" i="1"/>
  <c r="AI2194" i="1"/>
  <c r="AG2194" i="1"/>
  <c r="AF2194" i="1"/>
  <c r="AE2194" i="1"/>
  <c r="AC2194" i="1"/>
  <c r="AL2193" i="1"/>
  <c r="AJ2193" i="1"/>
  <c r="AI2193" i="1"/>
  <c r="AG2193" i="1"/>
  <c r="AF2193" i="1"/>
  <c r="AD2193" i="1"/>
  <c r="AL2192" i="1"/>
  <c r="AJ2192" i="1"/>
  <c r="AI2192" i="1"/>
  <c r="AH2192" i="1"/>
  <c r="AF2192" i="1"/>
  <c r="AE2192" i="1"/>
  <c r="AC2192" i="1"/>
  <c r="AL2191" i="1"/>
  <c r="AJ2191" i="1"/>
  <c r="AI2191" i="1"/>
  <c r="AH2191" i="1"/>
  <c r="AG2191" i="1"/>
  <c r="AF2191" i="1"/>
  <c r="AD2191" i="1"/>
  <c r="AC2191" i="1"/>
  <c r="AL2190" i="1"/>
  <c r="AJ2190" i="1"/>
  <c r="AI2190" i="1"/>
  <c r="AH2190" i="1"/>
  <c r="AG2190" i="1"/>
  <c r="AF2190" i="1"/>
  <c r="AE2190" i="1"/>
  <c r="AD2190" i="1"/>
  <c r="AL2189" i="1"/>
  <c r="AJ2189" i="1"/>
  <c r="AI2189" i="1"/>
  <c r="AH2189" i="1"/>
  <c r="AG2189" i="1"/>
  <c r="AE2189" i="1"/>
  <c r="AD2189" i="1"/>
  <c r="AL2188" i="1"/>
  <c r="AJ2188" i="1"/>
  <c r="AI2188" i="1"/>
  <c r="AH2188" i="1"/>
  <c r="AG2188" i="1"/>
  <c r="AF2188" i="1"/>
  <c r="AD2188" i="1"/>
  <c r="AC2188" i="1"/>
  <c r="AL2187" i="1"/>
  <c r="AJ2187" i="1"/>
  <c r="AI2187" i="1"/>
  <c r="AG2187" i="1"/>
  <c r="AF2187" i="1"/>
  <c r="AD2187" i="1"/>
  <c r="AC2187" i="1"/>
  <c r="AJ2186" i="1"/>
  <c r="AI2186" i="1"/>
  <c r="AG2186" i="1"/>
  <c r="AE2186" i="1"/>
  <c r="AD2186" i="1"/>
  <c r="AL2185" i="1"/>
  <c r="AJ2185" i="1"/>
  <c r="AI2185" i="1"/>
  <c r="AH2185" i="1"/>
  <c r="AG2185" i="1"/>
  <c r="AE2185" i="1"/>
  <c r="AD2185" i="1"/>
  <c r="AL2184" i="1"/>
  <c r="AJ2184" i="1"/>
  <c r="AI2184" i="1"/>
  <c r="AG2184" i="1"/>
  <c r="AF2184" i="1"/>
  <c r="AD2184" i="1"/>
  <c r="AE2144" i="1"/>
  <c r="AJ2143" i="1"/>
  <c r="AI2143" i="1"/>
  <c r="AG2143" i="1"/>
  <c r="AE2143" i="1"/>
  <c r="AC2143" i="1"/>
  <c r="AL2142" i="1"/>
  <c r="AJ2142" i="1"/>
  <c r="AI2142" i="1"/>
  <c r="AH2142" i="1"/>
  <c r="AF2142" i="1"/>
  <c r="AF2141" i="1"/>
  <c r="AD2141" i="1"/>
  <c r="AL2140" i="1"/>
  <c r="AJ2140" i="1"/>
  <c r="AI2140" i="1"/>
  <c r="AG2140" i="1"/>
  <c r="AF2140" i="1"/>
  <c r="AE2140" i="1"/>
  <c r="AL2139" i="1"/>
  <c r="AI2139" i="1"/>
  <c r="AG2139" i="1"/>
  <c r="AE2139" i="1"/>
  <c r="AJ2138" i="1"/>
  <c r="AH2138" i="1"/>
  <c r="AF2138" i="1"/>
  <c r="AC2138" i="1"/>
  <c r="AL2137" i="1"/>
  <c r="AI2137" i="1"/>
  <c r="AF2137" i="1"/>
  <c r="AD2137" i="1"/>
  <c r="AF2136" i="1"/>
  <c r="AC2136" i="1"/>
  <c r="AE2135" i="1"/>
  <c r="AJ2134" i="1"/>
  <c r="AH2134" i="1"/>
  <c r="AF2134" i="1"/>
  <c r="AD2134" i="1"/>
  <c r="AH2133" i="1"/>
  <c r="AE2133" i="1"/>
  <c r="AJ2132" i="1"/>
  <c r="AI2132" i="1"/>
  <c r="AG2132" i="1"/>
  <c r="AE2132" i="1"/>
  <c r="AC2132" i="1"/>
  <c r="AL2131" i="1"/>
  <c r="AJ2131" i="1"/>
  <c r="AI2131" i="1"/>
  <c r="AG2131" i="1"/>
  <c r="AF2131" i="1"/>
  <c r="AD2131" i="1"/>
  <c r="AC2130" i="1"/>
  <c r="AL2129" i="1"/>
  <c r="AJ2129" i="1"/>
  <c r="AI2129" i="1"/>
  <c r="AG2129" i="1"/>
  <c r="AF2129" i="1"/>
  <c r="AD2129" i="1"/>
  <c r="AL2128" i="1"/>
  <c r="AJ2128" i="1"/>
  <c r="AI2128" i="1"/>
  <c r="AG2128" i="1"/>
  <c r="AF2128" i="1"/>
  <c r="AD2128" i="1"/>
  <c r="AI2127" i="1"/>
  <c r="AG2127" i="1"/>
  <c r="AD2127" i="1"/>
  <c r="AI2126" i="1"/>
  <c r="AG2126" i="1"/>
  <c r="AE2126" i="1"/>
  <c r="AH2125" i="1"/>
  <c r="AF2125" i="1"/>
  <c r="AD2125" i="1"/>
  <c r="AF2124" i="1"/>
  <c r="AC2124" i="1"/>
  <c r="AF2123" i="1"/>
  <c r="AD2123" i="1"/>
  <c r="AJ2122" i="1"/>
  <c r="AH2122" i="1"/>
  <c r="AF2122" i="1"/>
  <c r="AC2122" i="1"/>
  <c r="AL2121" i="1"/>
  <c r="AJ2121" i="1"/>
  <c r="AH2121" i="1"/>
  <c r="AF2121" i="1"/>
  <c r="AD2121" i="1"/>
  <c r="AF2120" i="1"/>
  <c r="AD2120" i="1"/>
  <c r="AF2119" i="1"/>
  <c r="AC2119" i="1"/>
  <c r="AE2118" i="1"/>
  <c r="AC2118" i="1"/>
  <c r="AE2117" i="1"/>
  <c r="AD2117" i="1"/>
  <c r="AJ2116" i="1"/>
  <c r="AI2116" i="1"/>
  <c r="AG2116" i="1"/>
  <c r="AE2116" i="1"/>
  <c r="AE2115" i="1"/>
  <c r="AC2115" i="1"/>
  <c r="AG2114" i="1"/>
  <c r="AE2114" i="1"/>
  <c r="AG2113" i="1"/>
  <c r="AE2113" i="1"/>
  <c r="AL2112" i="1"/>
  <c r="AI2112" i="1"/>
  <c r="AG2112" i="1"/>
  <c r="AE2112" i="1"/>
  <c r="AJ2111" i="1"/>
  <c r="AH2111" i="1"/>
  <c r="AG2111" i="1"/>
  <c r="AE2111" i="1"/>
  <c r="AJ2110" i="1"/>
  <c r="AH2110" i="1"/>
  <c r="AG2110" i="1"/>
  <c r="AE2110" i="1"/>
  <c r="AC2110" i="1"/>
  <c r="AF2109" i="1"/>
  <c r="AC2109" i="1"/>
  <c r="AG2108" i="1"/>
  <c r="AD2108" i="1"/>
  <c r="AH2107" i="1"/>
  <c r="AF2107" i="1"/>
  <c r="AD2107" i="1"/>
  <c r="AJ2106" i="1"/>
  <c r="AI2106" i="1"/>
  <c r="AG2106" i="1"/>
  <c r="AE2106" i="1"/>
  <c r="AD2106" i="1"/>
  <c r="AL2105" i="1"/>
  <c r="AJ2105" i="1"/>
  <c r="AI2105" i="1"/>
  <c r="AH2105" i="1"/>
  <c r="AF2105" i="1"/>
  <c r="AE2105" i="1"/>
  <c r="AF2104" i="1"/>
  <c r="AE2103" i="1"/>
  <c r="AJ2102" i="1"/>
  <c r="AH2102" i="1"/>
  <c r="AF2102" i="1"/>
  <c r="AD2102" i="1"/>
  <c r="AL2101" i="1"/>
  <c r="AJ2101" i="1"/>
  <c r="AH2101" i="1"/>
  <c r="AG2101" i="1"/>
  <c r="AE2101" i="1"/>
  <c r="AJ2100" i="1"/>
  <c r="AH2100" i="1"/>
  <c r="AF2100" i="1"/>
  <c r="AD2100" i="1"/>
  <c r="AH2099" i="1"/>
  <c r="AF2099" i="1"/>
  <c r="AD2099" i="1"/>
  <c r="AJ2098" i="1"/>
  <c r="AH2098" i="1"/>
  <c r="AF2098" i="1"/>
  <c r="AD2098" i="1"/>
  <c r="AG2097" i="1"/>
  <c r="AE2097" i="1"/>
  <c r="AC2097" i="1"/>
  <c r="AH2096" i="1"/>
  <c r="AD2096" i="1"/>
  <c r="AE2095" i="1"/>
  <c r="AC2095" i="1"/>
  <c r="AL2094" i="1"/>
  <c r="AJ2094" i="1"/>
  <c r="AI2094" i="1"/>
  <c r="AG2094" i="1"/>
  <c r="AE2094" i="1"/>
  <c r="AD2094" i="1"/>
  <c r="AH2093" i="1"/>
  <c r="AF2093" i="1"/>
  <c r="AI2092" i="1"/>
  <c r="AG2092" i="1"/>
  <c r="AE2092" i="1"/>
  <c r="AI2091" i="1"/>
  <c r="AG2091" i="1"/>
  <c r="AD2091" i="1"/>
  <c r="AE2090" i="1"/>
  <c r="AC2090" i="1"/>
  <c r="AL2089" i="1"/>
  <c r="AJ2089" i="1"/>
  <c r="AH2089" i="1"/>
  <c r="AG2089" i="1"/>
  <c r="AE2089" i="1"/>
  <c r="AD2089" i="1"/>
  <c r="AF2088" i="1"/>
  <c r="AC2088" i="1"/>
  <c r="AL2087" i="1"/>
  <c r="AJ2087" i="1"/>
  <c r="AI2087" i="1"/>
  <c r="AG2087" i="1"/>
  <c r="AE2087" i="1"/>
  <c r="AD2087" i="1"/>
  <c r="AC2087" i="1"/>
  <c r="AL2086" i="1"/>
  <c r="AJ2086" i="1"/>
  <c r="AI2086" i="1"/>
  <c r="AG2086" i="1"/>
  <c r="AF2086" i="1"/>
  <c r="AC2086" i="1"/>
  <c r="AJ2085" i="1"/>
  <c r="AH2085" i="1"/>
  <c r="AF2085" i="1"/>
  <c r="AE2085" i="1"/>
  <c r="AJ2084" i="1"/>
  <c r="AH2084" i="1"/>
  <c r="AE2084" i="1"/>
  <c r="AC2084" i="1"/>
  <c r="AD2083" i="1"/>
  <c r="AI2082" i="1"/>
  <c r="AG2082" i="1"/>
  <c r="AE2082" i="1"/>
  <c r="AC2082" i="1"/>
  <c r="AF2081" i="1"/>
  <c r="AD2081" i="1"/>
  <c r="AH2078" i="1"/>
  <c r="AE2078" i="1"/>
  <c r="AL2077" i="1"/>
  <c r="AJ2077" i="1"/>
  <c r="AI2077" i="1"/>
  <c r="AH2077" i="1"/>
  <c r="AG2077" i="1"/>
  <c r="AE2077" i="1"/>
  <c r="AC2077" i="1"/>
  <c r="AL2076" i="1"/>
  <c r="AJ2076" i="1"/>
  <c r="AH2076" i="1"/>
  <c r="AG2076" i="1"/>
  <c r="AE2076" i="1"/>
  <c r="AC2076" i="1"/>
  <c r="AE2075" i="1"/>
  <c r="AC2075" i="1"/>
  <c r="AD2074" i="1"/>
  <c r="AF2073" i="1"/>
  <c r="AC2073" i="1"/>
  <c r="AC2072" i="1"/>
  <c r="AG2071" i="1"/>
  <c r="AE2071" i="1"/>
  <c r="AJ2070" i="1"/>
  <c r="AH2070" i="1"/>
  <c r="AG2070" i="1"/>
  <c r="AE2070" i="1"/>
  <c r="AJ2069" i="1"/>
  <c r="AI2069" i="1"/>
  <c r="AE2069" i="1"/>
  <c r="AC2069" i="1"/>
  <c r="AG2068" i="1"/>
  <c r="AE2068" i="1"/>
  <c r="AC2068" i="1"/>
  <c r="AF2067" i="1"/>
  <c r="AD2067" i="1"/>
  <c r="AI2066" i="1"/>
  <c r="AG2066" i="1"/>
  <c r="AE2066" i="1"/>
  <c r="AC2066" i="1"/>
  <c r="AE2065" i="1"/>
  <c r="AC2065" i="1"/>
  <c r="AH2064" i="1"/>
  <c r="AE2064" i="1"/>
  <c r="AJ2063" i="1"/>
  <c r="AH2063" i="1"/>
  <c r="AF2063" i="1"/>
  <c r="AD2063" i="1"/>
  <c r="AG2062" i="1"/>
  <c r="AD2062" i="1"/>
  <c r="AI2061" i="1"/>
  <c r="AH2061" i="1"/>
  <c r="AG2061" i="1"/>
  <c r="AF2061" i="1"/>
  <c r="AE2061" i="1"/>
  <c r="AC2061" i="1"/>
  <c r="AJ2060" i="1"/>
  <c r="AH2060" i="1"/>
  <c r="AG2060" i="1"/>
  <c r="AE2060" i="1"/>
  <c r="AC2060" i="1"/>
  <c r="AL2059" i="1"/>
  <c r="AJ2059" i="1"/>
  <c r="AI2059" i="1"/>
  <c r="AH2059" i="1"/>
  <c r="AG2059" i="1"/>
  <c r="AE2059" i="1"/>
  <c r="AD2059" i="1"/>
  <c r="AL2058" i="1"/>
  <c r="AJ2058" i="1"/>
  <c r="AI2058" i="1"/>
  <c r="AG2058" i="1"/>
  <c r="AF2058" i="1"/>
  <c r="AD2058" i="1"/>
  <c r="AL2057" i="1"/>
  <c r="AJ2057" i="1"/>
  <c r="AI2057" i="1"/>
  <c r="AG2057" i="1"/>
  <c r="AF2057" i="1"/>
  <c r="AE2057" i="1"/>
  <c r="AC2057" i="1"/>
  <c r="AL2056" i="1"/>
  <c r="AJ2056" i="1"/>
  <c r="AH2056" i="1"/>
  <c r="AG2056" i="1"/>
  <c r="AE2056" i="1"/>
  <c r="AC2056" i="1"/>
  <c r="AL2055" i="1"/>
  <c r="AJ2055" i="1"/>
  <c r="AI2055" i="1"/>
  <c r="AH2055" i="1"/>
  <c r="AG2055" i="1"/>
  <c r="AF2055" i="1"/>
  <c r="AE2055" i="1"/>
  <c r="AC2055" i="1"/>
  <c r="AL2054" i="1"/>
  <c r="AJ2054" i="1"/>
  <c r="AI2054" i="1"/>
  <c r="AH2054" i="1"/>
  <c r="AG2054" i="1"/>
  <c r="AF2054" i="1"/>
  <c r="AE2054" i="1"/>
  <c r="AC2054" i="1"/>
  <c r="AL2053" i="1"/>
  <c r="AI2053" i="1"/>
  <c r="AG2053" i="1"/>
  <c r="AD2053" i="1"/>
  <c r="AJ2052" i="1"/>
  <c r="AH2052" i="1"/>
  <c r="AG2052" i="1"/>
  <c r="AE2052" i="1"/>
  <c r="AC2052" i="1"/>
  <c r="AG2051" i="1"/>
  <c r="AE2051" i="1"/>
  <c r="AH2050" i="1"/>
  <c r="AF2050" i="1"/>
  <c r="AL2049" i="1"/>
  <c r="AJ2049" i="1"/>
  <c r="AH2049" i="1"/>
  <c r="AG2049" i="1"/>
  <c r="AE2049" i="1"/>
  <c r="AC2049" i="1"/>
  <c r="AI2048" i="1"/>
  <c r="AD2048" i="1"/>
  <c r="AH2047" i="1"/>
  <c r="AF2047" i="1"/>
  <c r="AD2047" i="1"/>
  <c r="AH2046" i="1"/>
  <c r="AF2046" i="1"/>
  <c r="AD2046" i="1"/>
  <c r="AG2045" i="1"/>
  <c r="AE2045" i="1"/>
  <c r="AJ2044" i="1"/>
  <c r="AH2044" i="1"/>
  <c r="AF2044" i="1"/>
  <c r="AD2044" i="1"/>
  <c r="AF2043" i="1"/>
  <c r="AC2043" i="1"/>
  <c r="AF2042" i="1"/>
  <c r="AC2042" i="1"/>
  <c r="AD2041" i="1"/>
  <c r="AC2040" i="1"/>
  <c r="AL2039" i="1"/>
  <c r="AJ2039" i="1"/>
  <c r="AH2039" i="1"/>
  <c r="AG2039" i="1"/>
  <c r="AC2039" i="1"/>
  <c r="AL2038" i="1"/>
  <c r="AJ2038" i="1"/>
  <c r="AI2038" i="1"/>
  <c r="AG2038" i="1"/>
  <c r="AE2038" i="1"/>
  <c r="AC2038" i="1"/>
  <c r="AG2037" i="1"/>
  <c r="AC2037" i="1"/>
  <c r="AF2036" i="1"/>
  <c r="AC2036" i="1"/>
  <c r="AG2035" i="1"/>
  <c r="AE2035" i="1"/>
  <c r="AC2035" i="1"/>
  <c r="AF2034" i="1"/>
  <c r="AC2034" i="1"/>
  <c r="AJ2033" i="1"/>
  <c r="AG2033" i="1"/>
  <c r="AF2033" i="1"/>
  <c r="AD2033" i="1"/>
  <c r="AH2032" i="1"/>
  <c r="AE2032" i="1"/>
  <c r="AD2032" i="1"/>
  <c r="AL2031" i="1"/>
  <c r="AI2031" i="1"/>
  <c r="AG2031" i="1"/>
  <c r="AE2031" i="1"/>
  <c r="AC2031" i="1"/>
  <c r="AL2030" i="1"/>
  <c r="AJ2030" i="1"/>
  <c r="AI2030" i="1"/>
  <c r="AH2030" i="1"/>
  <c r="AG2030" i="1"/>
  <c r="AF2030" i="1"/>
  <c r="AD2030" i="1"/>
  <c r="AG2029" i="1"/>
  <c r="AE2029" i="1"/>
  <c r="AI2028" i="1"/>
  <c r="AG2028" i="1"/>
  <c r="AE2028" i="1"/>
  <c r="AC2028" i="1"/>
  <c r="AL2027" i="1"/>
  <c r="AJ2027" i="1"/>
  <c r="AI2027" i="1"/>
  <c r="AH2027" i="1"/>
  <c r="AF2027" i="1"/>
  <c r="AE2027" i="1"/>
  <c r="AG2026" i="1"/>
  <c r="AE2026" i="1"/>
  <c r="AH2025" i="1"/>
  <c r="AF2025" i="1"/>
  <c r="AD2025" i="1"/>
  <c r="AG2024" i="1"/>
  <c r="AE2024" i="1"/>
  <c r="AC2024" i="1"/>
  <c r="AL2023" i="1"/>
  <c r="AJ2023" i="1"/>
  <c r="AI2023" i="1"/>
  <c r="AH2023" i="1"/>
  <c r="AF2023" i="1"/>
  <c r="AD2023" i="1"/>
  <c r="AG2022" i="1"/>
  <c r="AD2022" i="1"/>
  <c r="AJ2021" i="1"/>
  <c r="AI2021" i="1"/>
  <c r="AG2021" i="1"/>
  <c r="AE2021" i="1"/>
  <c r="AC2021" i="1"/>
  <c r="AL2020" i="1"/>
  <c r="AJ2020" i="1"/>
  <c r="AI2020" i="1"/>
  <c r="AH2020" i="1"/>
  <c r="AF2020" i="1"/>
  <c r="AE2020" i="1"/>
  <c r="AI2019" i="1"/>
  <c r="AG2019" i="1"/>
  <c r="AF2019" i="1"/>
  <c r="AD2019" i="1"/>
  <c r="AC2019" i="1"/>
  <c r="AL2018" i="1"/>
  <c r="AI2018" i="1"/>
  <c r="AG2018" i="1"/>
  <c r="AF2018" i="1"/>
  <c r="AD2018" i="1"/>
  <c r="AL2017" i="1"/>
  <c r="AJ2017" i="1"/>
  <c r="AI2017" i="1"/>
  <c r="AH2017" i="1"/>
  <c r="AG2017" i="1"/>
  <c r="AF2017" i="1"/>
  <c r="AD2017" i="1"/>
  <c r="AC2017" i="1"/>
  <c r="AL2016" i="1"/>
  <c r="AI2016" i="1"/>
  <c r="AH2016" i="1"/>
  <c r="AF2016" i="1"/>
  <c r="AD2016" i="1"/>
  <c r="AL2015" i="1"/>
  <c r="AJ2015" i="1"/>
  <c r="AI2015" i="1"/>
  <c r="AH2015" i="1"/>
  <c r="AG2015" i="1"/>
  <c r="AF2015" i="1"/>
  <c r="AE2015" i="1"/>
  <c r="AC2015" i="1"/>
  <c r="AL2014" i="1"/>
  <c r="AJ2014" i="1"/>
  <c r="AI2014" i="1"/>
  <c r="AH2014" i="1"/>
  <c r="AG2014" i="1"/>
  <c r="AF2014" i="1"/>
  <c r="AE2014" i="1"/>
  <c r="AD2014" i="1"/>
  <c r="AL2013" i="1"/>
  <c r="AJ2013" i="1"/>
  <c r="AI2013" i="1"/>
  <c r="AH2013" i="1"/>
  <c r="AG2013" i="1"/>
  <c r="AF2013" i="1"/>
  <c r="AE2013" i="1"/>
  <c r="AC2013" i="1"/>
  <c r="AL2012" i="1"/>
  <c r="AJ2012" i="1"/>
  <c r="AI2012" i="1"/>
  <c r="AG2012" i="1"/>
  <c r="AF2012" i="1"/>
  <c r="AD2012" i="1"/>
  <c r="AL2011" i="1"/>
  <c r="AI2011" i="1"/>
  <c r="AG2011" i="1"/>
  <c r="AE2011" i="1"/>
  <c r="AC2011" i="1"/>
  <c r="AL2010" i="1"/>
  <c r="AJ2010" i="1"/>
  <c r="AI2010" i="1"/>
  <c r="AH2010" i="1"/>
  <c r="AG2010" i="1"/>
  <c r="AE2010" i="1"/>
  <c r="AD2010" i="1"/>
  <c r="AC2009" i="1"/>
  <c r="AL2008" i="1"/>
  <c r="AJ2008" i="1"/>
  <c r="AI2008" i="1"/>
  <c r="AH2008" i="1"/>
  <c r="AD2008" i="1"/>
  <c r="AJ2007" i="1"/>
  <c r="AI2007" i="1"/>
  <c r="AG2007" i="1"/>
  <c r="AE2007" i="1"/>
  <c r="AC2007" i="1"/>
  <c r="AJ2006" i="1"/>
  <c r="AH2006" i="1"/>
  <c r="AD2006" i="1"/>
  <c r="AJ2005" i="1"/>
  <c r="AH2005" i="1"/>
  <c r="AD2005" i="1"/>
  <c r="AJ2004" i="1"/>
  <c r="AH2004" i="1"/>
  <c r="AE2004" i="1"/>
  <c r="AJ2003" i="1"/>
  <c r="AH2003" i="1"/>
  <c r="AG2003" i="1"/>
  <c r="AE2003" i="1"/>
  <c r="AD2003" i="1"/>
  <c r="AJ2002" i="1"/>
  <c r="AH2002" i="1"/>
  <c r="AD2002" i="1"/>
  <c r="AJ2001" i="1"/>
  <c r="AH2001" i="1"/>
  <c r="AF2001" i="1"/>
  <c r="AF2000" i="1"/>
  <c r="AC2000" i="1"/>
  <c r="AF1999" i="1"/>
  <c r="AD1999" i="1"/>
  <c r="AG1998" i="1"/>
  <c r="AD1998" i="1"/>
  <c r="AF1997" i="1"/>
  <c r="AD1997" i="1"/>
  <c r="AH1996" i="1"/>
  <c r="AG1996" i="1"/>
  <c r="AE1996" i="1"/>
  <c r="AI1995" i="1"/>
  <c r="AG1995" i="1"/>
  <c r="AE1995" i="1"/>
  <c r="AJ1994" i="1"/>
  <c r="AH1994" i="1"/>
  <c r="AF1994" i="1"/>
  <c r="AD1994" i="1"/>
  <c r="AJ1993" i="1"/>
  <c r="AI1993" i="1"/>
  <c r="AH1993" i="1"/>
  <c r="AF1993" i="1"/>
  <c r="AD1993" i="1"/>
  <c r="AF1992" i="1"/>
  <c r="AC1992" i="1"/>
  <c r="AH1991" i="1"/>
  <c r="AE1991" i="1"/>
  <c r="AJ1990" i="1"/>
  <c r="AH1990" i="1"/>
  <c r="AF1990" i="1"/>
  <c r="AC1990" i="1"/>
  <c r="AF1989" i="1"/>
  <c r="AD1989" i="1"/>
  <c r="AJ1988" i="1"/>
  <c r="AH1988" i="1"/>
  <c r="AE1988" i="1"/>
  <c r="AJ1987" i="1"/>
  <c r="AH1987" i="1"/>
  <c r="AG1987" i="1"/>
  <c r="AD1987" i="1"/>
  <c r="AJ1986" i="1"/>
  <c r="AH1986" i="1"/>
  <c r="AF1986" i="1"/>
  <c r="AC1986" i="1"/>
  <c r="AE1985" i="1"/>
  <c r="AL1984" i="1"/>
  <c r="AI1984" i="1"/>
  <c r="AG1984" i="1"/>
  <c r="AE1984" i="1"/>
  <c r="AJ1983" i="1"/>
  <c r="AH1983" i="1"/>
  <c r="AF1983" i="1"/>
  <c r="AD1983" i="1"/>
  <c r="AF1982" i="1"/>
  <c r="AC1982" i="1"/>
  <c r="AH1981" i="1"/>
  <c r="AF1981" i="1"/>
  <c r="AE1981" i="1"/>
  <c r="AC1981" i="1"/>
  <c r="AG1980" i="1"/>
  <c r="AD1980" i="1"/>
  <c r="AJ1979" i="1"/>
  <c r="AH1979" i="1"/>
  <c r="AF1979" i="1"/>
  <c r="AD1979" i="1"/>
  <c r="AJ1978" i="1"/>
  <c r="AH1978" i="1"/>
  <c r="AF1978" i="1"/>
  <c r="AD1978" i="1"/>
  <c r="AC1978" i="1"/>
  <c r="AL1977" i="1"/>
  <c r="AJ1977" i="1"/>
  <c r="AI1977" i="1"/>
  <c r="AG1977" i="1"/>
  <c r="AF1977" i="1"/>
  <c r="AE1977" i="1"/>
  <c r="AC1977" i="1"/>
  <c r="AE1976" i="1"/>
  <c r="AC1976" i="1"/>
  <c r="AF1975" i="1"/>
  <c r="AC1975" i="1"/>
  <c r="AE1974" i="1"/>
  <c r="AH1973" i="1"/>
  <c r="AF1973" i="1"/>
  <c r="AD1973" i="1"/>
  <c r="AJ1972" i="1"/>
  <c r="AI1972" i="1"/>
  <c r="AG1972" i="1"/>
  <c r="AE1972" i="1"/>
  <c r="AC1972" i="1"/>
  <c r="AF1971" i="1"/>
  <c r="AC1971" i="1"/>
  <c r="AG1970" i="1"/>
  <c r="AE1970" i="1"/>
  <c r="AC1970" i="1"/>
  <c r="AG1969" i="1"/>
  <c r="AE1969" i="1"/>
  <c r="AC1969" i="1"/>
  <c r="AF1968" i="1"/>
  <c r="AD1968" i="1"/>
  <c r="AL1967" i="1"/>
  <c r="AJ1967" i="1"/>
  <c r="AI1967" i="1"/>
  <c r="AG1967" i="1"/>
  <c r="AF1967" i="1"/>
  <c r="AD1967" i="1"/>
  <c r="AJ1966" i="1"/>
  <c r="AI1966" i="1"/>
  <c r="AG1966" i="1"/>
  <c r="AE1966" i="1"/>
  <c r="AC1966" i="1"/>
  <c r="AL1965" i="1"/>
  <c r="AJ1965" i="1"/>
  <c r="AI1965" i="1"/>
  <c r="AH1965" i="1"/>
  <c r="AF1965" i="1"/>
  <c r="AD1965" i="1"/>
  <c r="AH1964" i="1"/>
  <c r="AG1964" i="1"/>
  <c r="AD1964" i="1"/>
  <c r="AI1963" i="1"/>
  <c r="AG1963" i="1"/>
  <c r="AE1963" i="1"/>
  <c r="AC1963" i="1"/>
  <c r="AF1962" i="1"/>
  <c r="AD1962" i="1"/>
  <c r="AE1961" i="1"/>
  <c r="AC1961" i="1"/>
  <c r="AG1960" i="1"/>
  <c r="AE1960" i="1"/>
  <c r="AI1959" i="1"/>
  <c r="AG1959" i="1"/>
  <c r="AF1959" i="1"/>
  <c r="AC1959" i="1"/>
  <c r="AG1958" i="1"/>
  <c r="AC1958" i="1"/>
  <c r="AG1957" i="1"/>
  <c r="AE1957" i="1"/>
  <c r="AC1957" i="1"/>
  <c r="AL1956" i="1"/>
  <c r="AJ1956" i="1"/>
  <c r="AI1956" i="1"/>
  <c r="AG1956" i="1"/>
  <c r="AE1956" i="1"/>
  <c r="AH1955" i="1"/>
  <c r="AF1955" i="1"/>
  <c r="AD1955" i="1"/>
  <c r="AI1954" i="1"/>
  <c r="AG1954" i="1"/>
  <c r="AE1954" i="1"/>
  <c r="AC1954" i="1"/>
  <c r="AL1953" i="1"/>
  <c r="AJ1953" i="1"/>
  <c r="AI1953" i="1"/>
  <c r="AH1953" i="1"/>
  <c r="AG1953" i="1"/>
  <c r="AE1953" i="1"/>
  <c r="AJ1952" i="1"/>
  <c r="AH1952" i="1"/>
  <c r="AE1952" i="1"/>
  <c r="AJ1951" i="1"/>
  <c r="AH1951" i="1"/>
  <c r="AF1951" i="1"/>
  <c r="AC1951" i="1"/>
  <c r="AE1950" i="1"/>
  <c r="AH1949" i="1"/>
  <c r="AE1949" i="1"/>
  <c r="AC1949" i="1"/>
  <c r="AL1948" i="1"/>
  <c r="AJ1948" i="1"/>
  <c r="AI1948" i="1"/>
  <c r="AG1948" i="1"/>
  <c r="AF1948" i="1"/>
  <c r="AC1948" i="1"/>
  <c r="AL1947" i="1"/>
  <c r="AJ1947" i="1"/>
  <c r="AH1947" i="1"/>
  <c r="AF1947" i="1"/>
  <c r="AD1947" i="1"/>
  <c r="AH1946" i="1"/>
  <c r="AF1946" i="1"/>
  <c r="AD1946" i="1"/>
  <c r="AG1945" i="1"/>
  <c r="AE1945" i="1"/>
  <c r="AH1944" i="1"/>
  <c r="AE1944" i="1"/>
  <c r="AJ1943" i="1"/>
  <c r="AG1943" i="1"/>
  <c r="AE1943" i="1"/>
  <c r="AC1943" i="1"/>
  <c r="AL1942" i="1"/>
  <c r="AJ1942" i="1"/>
  <c r="AI1942" i="1"/>
  <c r="AH1942" i="1"/>
  <c r="AF1942" i="1"/>
  <c r="AE1942" i="1"/>
  <c r="AI1941" i="1"/>
  <c r="AG1941" i="1"/>
  <c r="AF1941" i="1"/>
  <c r="AC1941" i="1"/>
  <c r="AD1940" i="1"/>
  <c r="AH1939" i="1"/>
  <c r="AF1939" i="1"/>
  <c r="AD1939" i="1"/>
  <c r="AH1938" i="1"/>
  <c r="AF1938" i="1"/>
  <c r="AH1937" i="1"/>
  <c r="AF1937" i="1"/>
  <c r="AC1937" i="1"/>
  <c r="AG1936" i="1"/>
  <c r="AF1936" i="1"/>
  <c r="AC1936" i="1"/>
  <c r="AG1935" i="1"/>
  <c r="AE1935" i="1"/>
  <c r="AC1935" i="1"/>
  <c r="AL1934" i="1"/>
  <c r="AJ1934" i="1"/>
  <c r="AI1934" i="1"/>
  <c r="AG1934" i="1"/>
  <c r="AE1934" i="1"/>
  <c r="AC1934" i="1"/>
  <c r="AL1933" i="1"/>
  <c r="AJ1933" i="1"/>
  <c r="AI1933" i="1"/>
  <c r="AG1933" i="1"/>
  <c r="AF1933" i="1"/>
  <c r="AC1933" i="1"/>
  <c r="AG1932" i="1"/>
  <c r="AE1932" i="1"/>
  <c r="AC1932" i="1"/>
  <c r="AD1931" i="1"/>
  <c r="AF1930" i="1"/>
  <c r="AD1930" i="1"/>
  <c r="AF1929" i="1"/>
  <c r="AC1929" i="1"/>
  <c r="AE1928" i="1"/>
  <c r="AI1927" i="1"/>
  <c r="AG1927" i="1"/>
  <c r="AE1927" i="1"/>
  <c r="AC1927" i="1"/>
  <c r="AD1925" i="1"/>
  <c r="AH1924" i="1"/>
  <c r="AF1924" i="1"/>
  <c r="AD1924" i="1"/>
  <c r="AF1923" i="1"/>
  <c r="AD1923" i="1"/>
  <c r="AF1922" i="1"/>
  <c r="AC1922" i="1"/>
  <c r="AL1921" i="1"/>
  <c r="AJ1921" i="1"/>
  <c r="AH1921" i="1"/>
  <c r="AF1921" i="1"/>
  <c r="AC1921" i="1"/>
  <c r="AL1919" i="1"/>
  <c r="AI1919" i="1"/>
  <c r="AG1919" i="1"/>
  <c r="AE1919" i="1"/>
  <c r="AJ1918" i="1"/>
  <c r="AI1918" i="1"/>
  <c r="AH1918" i="1"/>
  <c r="AF1918" i="1"/>
  <c r="AC1918" i="1"/>
  <c r="AF1917" i="1"/>
  <c r="AC1917" i="1"/>
  <c r="AE1916" i="1"/>
  <c r="AC1916" i="1"/>
  <c r="AL1915" i="1"/>
  <c r="AJ1915" i="1"/>
  <c r="AH1915" i="1"/>
  <c r="AG1915" i="1"/>
  <c r="AD1915" i="1"/>
  <c r="AH1914" i="1"/>
  <c r="AF1914" i="1"/>
  <c r="AE1914" i="1"/>
  <c r="AC1914" i="1"/>
  <c r="AL1913" i="1"/>
  <c r="AI1913" i="1"/>
  <c r="AD1913" i="1"/>
  <c r="AI1912" i="1"/>
  <c r="AG1912" i="1"/>
  <c r="AE1912" i="1"/>
  <c r="AC1912" i="1"/>
  <c r="AI1911" i="1"/>
  <c r="AG1911" i="1"/>
  <c r="AE1911" i="1"/>
  <c r="AC1911" i="1"/>
  <c r="AL1910" i="1"/>
  <c r="AJ1910" i="1"/>
  <c r="AI1910" i="1"/>
  <c r="AH1910" i="1"/>
  <c r="AG1910" i="1"/>
  <c r="AF1910" i="1"/>
  <c r="AD1910" i="1"/>
  <c r="AF1909" i="1"/>
  <c r="AD1909" i="1"/>
  <c r="AF1908" i="1"/>
  <c r="AI1907" i="1"/>
  <c r="AG1907" i="1"/>
  <c r="AE1907" i="1"/>
  <c r="AC1907" i="1"/>
  <c r="AC1906" i="1"/>
  <c r="AL1905" i="1"/>
  <c r="AJ1905" i="1"/>
  <c r="AI1905" i="1"/>
  <c r="AH1905" i="1"/>
  <c r="AG1905" i="1"/>
  <c r="AE1905" i="1"/>
  <c r="AD1905" i="1"/>
  <c r="AF1904" i="1"/>
  <c r="AC1904" i="1"/>
  <c r="AF1903" i="1"/>
  <c r="AJ1902" i="1"/>
  <c r="AH1902" i="1"/>
  <c r="AF1902" i="1"/>
  <c r="AC1902" i="1"/>
  <c r="AF1901" i="1"/>
  <c r="AD1901" i="1"/>
  <c r="AF1900" i="1"/>
  <c r="AC1900" i="1"/>
  <c r="AF1899" i="1"/>
  <c r="AC1899" i="1"/>
  <c r="AH1898" i="1"/>
  <c r="AF1898" i="1"/>
  <c r="AC1898" i="1"/>
  <c r="AL1897" i="1"/>
  <c r="AJ1897" i="1"/>
  <c r="AI1897" i="1"/>
  <c r="AH1897" i="1"/>
  <c r="AF1897" i="1"/>
  <c r="AD1897" i="1"/>
  <c r="AJ1896" i="1"/>
  <c r="AH1896" i="1"/>
  <c r="AF1896" i="1"/>
  <c r="AD1896" i="1"/>
  <c r="AF1895" i="1"/>
  <c r="AC1895" i="1"/>
  <c r="AL1894" i="1"/>
  <c r="AJ1894" i="1"/>
  <c r="AH1894" i="1"/>
  <c r="AG1894" i="1"/>
  <c r="AD1894" i="1"/>
  <c r="AL1893" i="1"/>
  <c r="AI1893" i="1"/>
  <c r="AG1893" i="1"/>
  <c r="AE1893" i="1"/>
  <c r="AC1893" i="1"/>
  <c r="AF1892" i="1"/>
  <c r="AD1892" i="1"/>
  <c r="AJ1891" i="1"/>
  <c r="AH1891" i="1"/>
  <c r="AF1891" i="1"/>
  <c r="AD1891" i="1"/>
  <c r="AG1890" i="1"/>
  <c r="AD1890" i="1"/>
  <c r="AJ1889" i="1"/>
  <c r="AH1889" i="1"/>
  <c r="AF1889" i="1"/>
  <c r="AC1889" i="1"/>
  <c r="AF1888" i="1"/>
  <c r="AC1888" i="1"/>
  <c r="AL1887" i="1"/>
  <c r="AJ1887" i="1"/>
  <c r="AH1887" i="1"/>
  <c r="AF1887" i="1"/>
  <c r="AD1887" i="1"/>
  <c r="AD1886" i="1"/>
  <c r="AJ1885" i="1"/>
  <c r="AH1885" i="1"/>
  <c r="AF1885" i="1"/>
  <c r="AD1885" i="1"/>
  <c r="AJ1884" i="1"/>
  <c r="AH1884" i="1"/>
  <c r="AF1884" i="1"/>
  <c r="AC1884" i="1"/>
  <c r="AE1883" i="1"/>
  <c r="AI1882" i="1"/>
  <c r="AG1882" i="1"/>
  <c r="AE1882" i="1"/>
  <c r="AC1882" i="1"/>
  <c r="AL1881" i="1"/>
  <c r="AJ1881" i="1"/>
  <c r="AI1881" i="1"/>
  <c r="AG1881" i="1"/>
  <c r="AE1881" i="1"/>
  <c r="AD1881" i="1"/>
  <c r="AG1880" i="1"/>
  <c r="AE1880" i="1"/>
  <c r="AC1880" i="1"/>
  <c r="AL1879" i="1"/>
  <c r="AJ1879" i="1"/>
  <c r="AI1879" i="1"/>
  <c r="AG1879" i="1"/>
  <c r="AE1879" i="1"/>
  <c r="AC1879" i="1"/>
  <c r="AJ1878" i="1"/>
  <c r="AH1878" i="1"/>
  <c r="AE1878" i="1"/>
  <c r="AC1878" i="1"/>
  <c r="AL1876" i="1"/>
  <c r="AJ1876" i="1"/>
  <c r="AI1876" i="1"/>
  <c r="AG1876" i="1"/>
  <c r="AE1876" i="1"/>
  <c r="AC1876" i="1"/>
  <c r="AD1875" i="1"/>
  <c r="AG1874" i="1"/>
  <c r="AD1874" i="1"/>
  <c r="AD1873" i="1"/>
  <c r="AJ1872" i="1"/>
  <c r="AG1872" i="1"/>
  <c r="AE1872" i="1"/>
  <c r="AJ1871" i="1"/>
  <c r="AH1871" i="1"/>
  <c r="AF1871" i="1"/>
  <c r="AD1871" i="1"/>
  <c r="AI1870" i="1"/>
  <c r="AG1870" i="1"/>
  <c r="AE1870" i="1"/>
  <c r="AC1870" i="1"/>
  <c r="AL1869" i="1"/>
  <c r="AI1869" i="1"/>
  <c r="AG1869" i="1"/>
  <c r="AD1869" i="1"/>
  <c r="AF1868" i="1"/>
  <c r="AD1868" i="1"/>
  <c r="AJ1867" i="1"/>
  <c r="AH1867" i="1"/>
  <c r="AF1867" i="1"/>
  <c r="AC1867" i="1"/>
  <c r="AC1866" i="1"/>
  <c r="AL1865" i="1"/>
  <c r="AJ1865" i="1"/>
  <c r="AH1865" i="1"/>
  <c r="AF1865" i="1"/>
  <c r="AD1865" i="1"/>
  <c r="AG1864" i="1"/>
  <c r="AE1864" i="1"/>
  <c r="AL1863" i="1"/>
  <c r="AJ1860" i="1"/>
  <c r="AI1860" i="1"/>
  <c r="AG1860" i="1"/>
  <c r="AE1860" i="1"/>
  <c r="AC1860" i="1"/>
  <c r="AF1859" i="1"/>
  <c r="AE1859" i="1"/>
  <c r="AD1858" i="1"/>
  <c r="AE1857" i="1"/>
  <c r="AC1857" i="1"/>
  <c r="AL1856" i="1"/>
  <c r="AI1856" i="1"/>
  <c r="AH1856" i="1"/>
  <c r="AF1856" i="1"/>
  <c r="AD1856" i="1"/>
  <c r="AD1855" i="1"/>
  <c r="AH1854" i="1"/>
  <c r="AF1854" i="1"/>
  <c r="AD1854" i="1"/>
  <c r="AH1853" i="1"/>
  <c r="AE1853" i="1"/>
  <c r="AJ1852" i="1"/>
  <c r="AH1852" i="1"/>
  <c r="AF1852" i="1"/>
  <c r="AD1852" i="1"/>
  <c r="AL1851" i="1"/>
  <c r="AJ1851" i="1"/>
  <c r="AH1851" i="1"/>
  <c r="AF1851" i="1"/>
  <c r="AE1851" i="1"/>
  <c r="AJ1850" i="1"/>
  <c r="AH1850" i="1"/>
  <c r="AF1850" i="1"/>
  <c r="AC1849" i="1"/>
  <c r="AL1848" i="1"/>
  <c r="AJ1848" i="1"/>
  <c r="AI1848" i="1"/>
  <c r="AH1848" i="1"/>
  <c r="AG1848" i="1"/>
  <c r="AE1848" i="1"/>
  <c r="AC1848" i="1"/>
  <c r="AD1847" i="1"/>
  <c r="AE1846" i="1"/>
  <c r="AJ1845" i="1"/>
  <c r="AH1845" i="1"/>
  <c r="AF1845" i="1"/>
  <c r="AD1845" i="1"/>
  <c r="AJ1844" i="1"/>
  <c r="AH1844" i="1"/>
  <c r="AE1844" i="1"/>
  <c r="AG1843" i="1"/>
  <c r="AE1843" i="1"/>
  <c r="AC1843" i="1"/>
  <c r="AD1842" i="1"/>
  <c r="AJ1841" i="1"/>
  <c r="AG1841" i="1"/>
  <c r="AD1841" i="1"/>
  <c r="AD1840" i="1"/>
  <c r="AH1839" i="1"/>
  <c r="AF1839" i="1"/>
  <c r="AD1839" i="1"/>
  <c r="AL1838" i="1"/>
  <c r="AJ1838" i="1"/>
  <c r="AI1838" i="1"/>
  <c r="AH1838" i="1"/>
  <c r="AG1838" i="1"/>
  <c r="AE1838" i="1"/>
  <c r="AD1838" i="1"/>
  <c r="AC1838" i="1"/>
  <c r="AL1837" i="1"/>
  <c r="AH1837" i="1"/>
  <c r="AF1837" i="1"/>
  <c r="AE1837" i="1"/>
  <c r="AD1837" i="1"/>
  <c r="AC1837" i="1"/>
  <c r="AL1836" i="1"/>
  <c r="AJ1836" i="1"/>
  <c r="AI1836" i="1"/>
  <c r="AH1836" i="1"/>
  <c r="AG1836" i="1"/>
  <c r="AF1836" i="1"/>
  <c r="AE1836" i="1"/>
  <c r="AD1836" i="1"/>
  <c r="AC1836" i="1"/>
  <c r="AL1835" i="1"/>
  <c r="AJ1835" i="1"/>
  <c r="AI1835" i="1"/>
  <c r="AH1835" i="1"/>
  <c r="AG1835" i="1"/>
  <c r="AF1835" i="1"/>
  <c r="AE1835" i="1"/>
  <c r="AD1835" i="1"/>
  <c r="AL1834" i="1"/>
  <c r="AJ1834" i="1"/>
  <c r="AI1834" i="1"/>
  <c r="AH1834" i="1"/>
  <c r="AG1834" i="1"/>
  <c r="AF1834" i="1"/>
  <c r="AE1834" i="1"/>
  <c r="AD1834" i="1"/>
  <c r="AC1834" i="1"/>
  <c r="AJ1833" i="1"/>
  <c r="AI1833" i="1"/>
  <c r="AG1833" i="1"/>
  <c r="AE1833" i="1"/>
  <c r="AJ1832" i="1"/>
  <c r="AH1832" i="1"/>
  <c r="AF1832" i="1"/>
  <c r="AL1831" i="1"/>
  <c r="AI1831" i="1"/>
  <c r="AG1831" i="1"/>
  <c r="AE1831" i="1"/>
  <c r="AC1831" i="1"/>
  <c r="AL1830" i="1"/>
  <c r="AH1830" i="1"/>
  <c r="AF1830" i="1"/>
  <c r="AH1829" i="1"/>
  <c r="AF1829" i="1"/>
  <c r="AG1828" i="1"/>
  <c r="AE1828" i="1"/>
  <c r="AC1828" i="1"/>
  <c r="AL1827" i="1"/>
  <c r="AI1827" i="1"/>
  <c r="AE1827" i="1"/>
  <c r="AD1826" i="1"/>
  <c r="AL1825" i="1"/>
  <c r="AI1825" i="1"/>
  <c r="AG1825" i="1"/>
  <c r="AC1825" i="1"/>
  <c r="AD1824" i="1"/>
  <c r="AJ1823" i="1"/>
  <c r="AG1823" i="1"/>
  <c r="AD1823" i="1"/>
  <c r="AL1822" i="1"/>
  <c r="AI1822" i="1"/>
  <c r="AG1822" i="1"/>
  <c r="AD1822" i="1"/>
  <c r="AJ1821" i="1"/>
  <c r="AI1821" i="1"/>
  <c r="AF1821" i="1"/>
  <c r="AD1821" i="1"/>
  <c r="AG1820" i="1"/>
  <c r="AE1820" i="1"/>
  <c r="AJ1819" i="1"/>
  <c r="AH1819" i="1"/>
  <c r="AE1819" i="1"/>
  <c r="AD1818" i="1"/>
  <c r="AH1817" i="1"/>
  <c r="AF1817" i="1"/>
  <c r="AD1817" i="1"/>
  <c r="AG1814" i="1"/>
  <c r="AE1814" i="1"/>
  <c r="AC1814" i="1"/>
  <c r="AJ1813" i="1"/>
  <c r="AH1813" i="1"/>
  <c r="AF1813" i="1"/>
  <c r="AD1813" i="1"/>
  <c r="AJ1812" i="1"/>
  <c r="AH1812" i="1"/>
  <c r="AE1812" i="1"/>
  <c r="AG1811" i="1"/>
  <c r="AE1811" i="1"/>
  <c r="AG1810" i="1"/>
  <c r="AE1810" i="1"/>
  <c r="AF1809" i="1"/>
  <c r="AC1809" i="1"/>
  <c r="AJ1808" i="1"/>
  <c r="AI1808" i="1"/>
  <c r="AF1808" i="1"/>
  <c r="AC1808" i="1"/>
  <c r="AC1807" i="1"/>
  <c r="AJ1806" i="1"/>
  <c r="AH1806" i="1"/>
  <c r="AF1806" i="1"/>
  <c r="AD1805" i="1"/>
  <c r="AI1804" i="1"/>
  <c r="AG1804" i="1"/>
  <c r="AE1804" i="1"/>
  <c r="AL1803" i="1"/>
  <c r="AI1803" i="1"/>
  <c r="AG1803" i="1"/>
  <c r="AE1803" i="1"/>
  <c r="AC1803" i="1"/>
  <c r="AE1802" i="1"/>
  <c r="AD1801" i="1"/>
  <c r="AL1800" i="1"/>
  <c r="AH1800" i="1"/>
  <c r="AD1800" i="1"/>
  <c r="AL1799" i="1"/>
  <c r="AI1799" i="1"/>
  <c r="AH1799" i="1"/>
  <c r="AF1799" i="1"/>
  <c r="AD1799" i="1"/>
  <c r="AG1798" i="1"/>
  <c r="AD1798" i="1"/>
  <c r="AI1797" i="1"/>
  <c r="AE1797" i="1"/>
  <c r="AF1796" i="1"/>
  <c r="AI1795" i="1"/>
  <c r="AF1795" i="1"/>
  <c r="AG1794" i="1"/>
  <c r="AE1794" i="1"/>
  <c r="AH1793" i="1"/>
  <c r="AE1793" i="1"/>
  <c r="AG1792" i="1"/>
  <c r="AD1792" i="1"/>
  <c r="AC1791" i="1"/>
  <c r="AL1790" i="1"/>
  <c r="AH1790" i="1"/>
  <c r="AE1790" i="1"/>
  <c r="AH1789" i="1"/>
  <c r="AE1789" i="1"/>
  <c r="AD1788" i="1"/>
  <c r="AF1786" i="1"/>
  <c r="AD1786" i="1"/>
  <c r="AJ1785" i="1"/>
  <c r="AG1785" i="1"/>
  <c r="AG1783" i="1"/>
  <c r="AC1782" i="1"/>
  <c r="AJ1781" i="1"/>
  <c r="AM1781" i="1" s="1"/>
  <c r="AH1781" i="1"/>
  <c r="AF1781" i="1"/>
  <c r="AC1780" i="1"/>
  <c r="AI1779" i="1"/>
  <c r="AG1779" i="1"/>
  <c r="AL1778" i="1"/>
  <c r="AH1778" i="1"/>
  <c r="AD1778" i="1"/>
  <c r="AL1777" i="1"/>
  <c r="AH1777" i="1"/>
  <c r="AC1777" i="1"/>
  <c r="AC1776" i="1"/>
  <c r="AL1775" i="1"/>
  <c r="AG1775" i="1"/>
  <c r="AC1775" i="1"/>
  <c r="AE1774" i="1"/>
  <c r="AE1772" i="1"/>
  <c r="AE1771" i="1"/>
  <c r="AI1770" i="1"/>
  <c r="AD1770" i="1"/>
  <c r="AI1769" i="1"/>
  <c r="AF1769" i="1"/>
  <c r="AC1768" i="1"/>
  <c r="AJ1767" i="1"/>
  <c r="AE1767" i="1"/>
  <c r="AI1765" i="1"/>
  <c r="AF1765" i="1"/>
  <c r="AC1765" i="1"/>
  <c r="AI1764" i="1"/>
  <c r="AE1764" i="1"/>
  <c r="AH1763" i="1"/>
  <c r="AF1763" i="1"/>
  <c r="AC1763" i="1"/>
  <c r="AI1762" i="1"/>
  <c r="AH1762" i="1"/>
  <c r="AE1762" i="1"/>
  <c r="AC1762" i="1"/>
  <c r="AJ1761" i="1"/>
  <c r="AI1761" i="1"/>
  <c r="AG1761" i="1"/>
  <c r="AE1761" i="1"/>
  <c r="AC1761" i="1"/>
  <c r="AJ1760" i="1"/>
  <c r="AI1760" i="1"/>
  <c r="AE1760" i="1"/>
  <c r="AI1759" i="1"/>
  <c r="AD1759" i="1"/>
  <c r="AI1758" i="1"/>
  <c r="AG1758" i="1"/>
  <c r="AE1758" i="1"/>
  <c r="AC1758" i="1"/>
  <c r="AL1757" i="1"/>
  <c r="AI1757" i="1"/>
  <c r="AF1757" i="1"/>
  <c r="AJ1756" i="1"/>
  <c r="AG1756" i="1"/>
  <c r="AE1756" i="1"/>
  <c r="AJ1755" i="1"/>
  <c r="AG1755" i="1"/>
  <c r="AC1755" i="1"/>
  <c r="AH1753" i="1"/>
  <c r="AF1753" i="1"/>
  <c r="AD1751" i="1"/>
  <c r="AF1748" i="1"/>
  <c r="AC1748" i="1"/>
  <c r="AG1747" i="1"/>
  <c r="AI1746" i="1"/>
  <c r="AE1746" i="1"/>
  <c r="AH1745" i="1"/>
  <c r="AD1745" i="1"/>
  <c r="AI1744" i="1"/>
  <c r="AF1744" i="1"/>
  <c r="AJ2622" i="1"/>
  <c r="AI2622" i="1"/>
  <c r="AH2622" i="1"/>
  <c r="AG2622" i="1"/>
  <c r="AF2622" i="1"/>
  <c r="AE2622" i="1"/>
  <c r="AD2622" i="1"/>
  <c r="AC2622" i="1"/>
  <c r="AC2183" i="1"/>
  <c r="AL2182" i="1"/>
  <c r="AJ2182" i="1"/>
  <c r="AI2182" i="1"/>
  <c r="AH2182" i="1"/>
  <c r="AG2182" i="1"/>
  <c r="AF2182" i="1"/>
  <c r="AE2182" i="1"/>
  <c r="AD2182" i="1"/>
  <c r="AC2182" i="1"/>
  <c r="AL2181" i="1"/>
  <c r="AJ2181" i="1"/>
  <c r="AI2181" i="1"/>
  <c r="AH2181" i="1"/>
  <c r="AG2181" i="1"/>
  <c r="AF2181" i="1"/>
  <c r="AE2181" i="1"/>
  <c r="AD2181" i="1"/>
  <c r="AC2181" i="1"/>
  <c r="AL2180" i="1"/>
  <c r="AJ2180" i="1"/>
  <c r="AI2180" i="1"/>
  <c r="AH2180" i="1"/>
  <c r="AG2180" i="1"/>
  <c r="AF2180" i="1"/>
  <c r="AE2180" i="1"/>
  <c r="AD2180" i="1"/>
  <c r="AC2180" i="1"/>
  <c r="AL2179" i="1"/>
  <c r="AJ2179" i="1"/>
  <c r="AI2179" i="1"/>
  <c r="AH2179" i="1"/>
  <c r="AG2179" i="1"/>
  <c r="AF2179" i="1"/>
  <c r="AE2179" i="1"/>
  <c r="AD2179" i="1"/>
  <c r="AC2179" i="1"/>
  <c r="AL2178" i="1"/>
  <c r="AJ2178" i="1"/>
  <c r="AI2178" i="1"/>
  <c r="AH2178" i="1"/>
  <c r="AG2178" i="1"/>
  <c r="AF2178" i="1"/>
  <c r="AE2178" i="1"/>
  <c r="AD2178" i="1"/>
  <c r="AC2178" i="1"/>
  <c r="AL2177" i="1"/>
  <c r="AJ2177" i="1"/>
  <c r="AI2177" i="1"/>
  <c r="AH2177" i="1"/>
  <c r="AG2177" i="1"/>
  <c r="AF2177" i="1"/>
  <c r="AE2177" i="1"/>
  <c r="AD2177" i="1"/>
  <c r="AC2177" i="1"/>
  <c r="AL2176" i="1"/>
  <c r="AJ2176" i="1"/>
  <c r="AI2176" i="1"/>
  <c r="AH2176" i="1"/>
  <c r="AG2176" i="1"/>
  <c r="AF2176" i="1"/>
  <c r="AE2176" i="1"/>
  <c r="AD2176" i="1"/>
  <c r="AC2176" i="1"/>
  <c r="AL2175" i="1"/>
  <c r="AJ2175" i="1"/>
  <c r="AI2175" i="1"/>
  <c r="AH2175" i="1"/>
  <c r="AG2175" i="1"/>
  <c r="AF2175" i="1"/>
  <c r="AE2175" i="1"/>
  <c r="AD2175" i="1"/>
  <c r="AC2175" i="1"/>
  <c r="AL2174" i="1"/>
  <c r="AJ2174" i="1"/>
  <c r="AI2174" i="1"/>
  <c r="AH2174" i="1"/>
  <c r="AG2174" i="1"/>
  <c r="AF2174" i="1"/>
  <c r="AE2174" i="1"/>
  <c r="AD2174" i="1"/>
  <c r="AC2174" i="1"/>
  <c r="AL2173" i="1"/>
  <c r="AJ2173" i="1"/>
  <c r="AI2173" i="1"/>
  <c r="AH2173" i="1"/>
  <c r="AG2173" i="1"/>
  <c r="AF2173" i="1"/>
  <c r="AE2173" i="1"/>
  <c r="AD2173" i="1"/>
  <c r="AC2173" i="1"/>
  <c r="AL2172" i="1"/>
  <c r="AJ2172" i="1"/>
  <c r="AI2172" i="1"/>
  <c r="AH2172" i="1"/>
  <c r="AG2172" i="1"/>
  <c r="AF2172" i="1"/>
  <c r="AE2172" i="1"/>
  <c r="AD2172" i="1"/>
  <c r="AC2172" i="1"/>
  <c r="AL2171" i="1"/>
  <c r="AJ2171" i="1"/>
  <c r="AI2171" i="1"/>
  <c r="AH2171" i="1"/>
  <c r="AG2171" i="1"/>
  <c r="AF2171" i="1"/>
  <c r="AE2171" i="1"/>
  <c r="AD2171" i="1"/>
  <c r="AC2171" i="1"/>
  <c r="AL2170" i="1"/>
  <c r="AJ2170" i="1"/>
  <c r="AI2170" i="1"/>
  <c r="AH2170" i="1"/>
  <c r="AG2170" i="1"/>
  <c r="AF2170" i="1"/>
  <c r="AE2170" i="1"/>
  <c r="AD2170" i="1"/>
  <c r="AC2170" i="1"/>
  <c r="AL2169" i="1"/>
  <c r="AJ2169" i="1"/>
  <c r="AI2169" i="1"/>
  <c r="AH2169" i="1"/>
  <c r="AG2169" i="1"/>
  <c r="AF2169" i="1"/>
  <c r="AE2169" i="1"/>
  <c r="AD2169" i="1"/>
  <c r="AC2169" i="1"/>
  <c r="AL2168" i="1"/>
  <c r="AJ2168" i="1"/>
  <c r="AI2168" i="1"/>
  <c r="AH2168" i="1"/>
  <c r="AG2168" i="1"/>
  <c r="AF2168" i="1"/>
  <c r="AE2168" i="1"/>
  <c r="AD2168" i="1"/>
  <c r="AC2168" i="1"/>
  <c r="AL2167" i="1"/>
  <c r="AJ2167" i="1"/>
  <c r="AI2167" i="1"/>
  <c r="AH2167" i="1"/>
  <c r="AG2167" i="1"/>
  <c r="AF2167" i="1"/>
  <c r="AE2167" i="1"/>
  <c r="AD2167" i="1"/>
  <c r="AC2167" i="1"/>
  <c r="AL2166" i="1"/>
  <c r="AJ2166" i="1"/>
  <c r="AI2166" i="1"/>
  <c r="AH2166" i="1"/>
  <c r="AG2166" i="1"/>
  <c r="AF2166" i="1"/>
  <c r="AE2166" i="1"/>
  <c r="AD2166" i="1"/>
  <c r="AC2166" i="1"/>
  <c r="AL2165" i="1"/>
  <c r="AJ2165" i="1"/>
  <c r="AI2165" i="1"/>
  <c r="AH2165" i="1"/>
  <c r="AG2165" i="1"/>
  <c r="AF2165" i="1"/>
  <c r="AE2165" i="1"/>
  <c r="AD2165" i="1"/>
  <c r="AC2165" i="1"/>
  <c r="AL2164" i="1"/>
  <c r="AJ2164" i="1"/>
  <c r="AI2164" i="1"/>
  <c r="AH2164" i="1"/>
  <c r="AG2164" i="1"/>
  <c r="AF2164" i="1"/>
  <c r="AE2164" i="1"/>
  <c r="AD2164" i="1"/>
  <c r="AC2164" i="1"/>
  <c r="AL2163" i="1"/>
  <c r="AJ2163" i="1"/>
  <c r="AI2163" i="1"/>
  <c r="AH2163" i="1"/>
  <c r="AG2163" i="1"/>
  <c r="AF2163" i="1"/>
  <c r="AE2163" i="1"/>
  <c r="AD2163" i="1"/>
  <c r="AC2163" i="1"/>
  <c r="AL2162" i="1"/>
  <c r="AJ2162" i="1"/>
  <c r="AI2162" i="1"/>
  <c r="AH2162" i="1"/>
  <c r="AG2162" i="1"/>
  <c r="AF2162" i="1"/>
  <c r="AE2162" i="1"/>
  <c r="AD2162" i="1"/>
  <c r="AC2162" i="1"/>
  <c r="AL2161" i="1"/>
  <c r="AJ2161" i="1"/>
  <c r="AI2161" i="1"/>
  <c r="AH2161" i="1"/>
  <c r="AG2161" i="1"/>
  <c r="AF2161" i="1"/>
  <c r="AE2161" i="1"/>
  <c r="AD2161" i="1"/>
  <c r="AC2161" i="1"/>
  <c r="AL2160" i="1"/>
  <c r="AJ2160" i="1"/>
  <c r="AI2160" i="1"/>
  <c r="AH2160" i="1"/>
  <c r="AG2160" i="1"/>
  <c r="AF2160" i="1"/>
  <c r="AE2160" i="1"/>
  <c r="AD2160" i="1"/>
  <c r="AC2160" i="1"/>
  <c r="AL2159" i="1"/>
  <c r="AJ2159" i="1"/>
  <c r="AI2159" i="1"/>
  <c r="AH2159" i="1"/>
  <c r="AG2159" i="1"/>
  <c r="AF2159" i="1"/>
  <c r="AE2159" i="1"/>
  <c r="AD2159" i="1"/>
  <c r="AC2159" i="1"/>
  <c r="AL2158" i="1"/>
  <c r="AJ2158" i="1"/>
  <c r="AI2158" i="1"/>
  <c r="AH2158" i="1"/>
  <c r="AG2158" i="1"/>
  <c r="AF2158" i="1"/>
  <c r="AE2158" i="1"/>
  <c r="AD2158" i="1"/>
  <c r="AC2158" i="1"/>
  <c r="AL2157" i="1"/>
  <c r="AJ2157" i="1"/>
  <c r="AI2157" i="1"/>
  <c r="AH2157" i="1"/>
  <c r="AG2157" i="1"/>
  <c r="AF2157" i="1"/>
  <c r="AE2157" i="1"/>
  <c r="AD2157" i="1"/>
  <c r="AC2157" i="1"/>
  <c r="AL2156" i="1"/>
  <c r="AJ2156" i="1"/>
  <c r="AI2156" i="1"/>
  <c r="AH2156" i="1"/>
  <c r="AG2156" i="1"/>
  <c r="AF2156" i="1"/>
  <c r="AE2156" i="1"/>
  <c r="AD2156" i="1"/>
  <c r="AC2156" i="1"/>
  <c r="AL2155" i="1"/>
  <c r="AJ2155" i="1"/>
  <c r="AI2155" i="1"/>
  <c r="AH2155" i="1"/>
  <c r="AG2155" i="1"/>
  <c r="AF2155" i="1"/>
  <c r="AE2155" i="1"/>
  <c r="AD2155" i="1"/>
  <c r="AC2155" i="1"/>
  <c r="AL2154" i="1"/>
  <c r="AJ2154" i="1"/>
  <c r="AI2154" i="1"/>
  <c r="AH2154" i="1"/>
  <c r="AG2154" i="1"/>
  <c r="AF2154" i="1"/>
  <c r="AE2154" i="1"/>
  <c r="AD2154" i="1"/>
  <c r="AC2154" i="1"/>
  <c r="AL2153" i="1"/>
  <c r="AJ2153" i="1"/>
  <c r="AI2153" i="1"/>
  <c r="AH2153" i="1"/>
  <c r="AG2153" i="1"/>
  <c r="AF2153" i="1"/>
  <c r="AE2153" i="1"/>
  <c r="AD2153" i="1"/>
  <c r="AC2153" i="1"/>
  <c r="AL2152" i="1"/>
  <c r="AJ2152" i="1"/>
  <c r="AI2152" i="1"/>
  <c r="AH2152" i="1"/>
  <c r="AG2152" i="1"/>
  <c r="AF2152" i="1"/>
  <c r="AE2152" i="1"/>
  <c r="AD2152" i="1"/>
  <c r="AC2152" i="1"/>
  <c r="AL2151" i="1"/>
  <c r="AJ2151" i="1"/>
  <c r="AI2151" i="1"/>
  <c r="AH2151" i="1"/>
  <c r="AG2151" i="1"/>
  <c r="AF2151" i="1"/>
  <c r="AE2151" i="1"/>
  <c r="AD2151" i="1"/>
  <c r="AC2151" i="1"/>
  <c r="AL2150" i="1"/>
  <c r="AJ2150" i="1"/>
  <c r="AI2150" i="1"/>
  <c r="AH2150" i="1"/>
  <c r="AG2150" i="1"/>
  <c r="AF2150" i="1"/>
  <c r="AE2150" i="1"/>
  <c r="AD2150" i="1"/>
  <c r="AC2150" i="1"/>
  <c r="AL2149" i="1"/>
  <c r="AJ2149" i="1"/>
  <c r="AI2149" i="1"/>
  <c r="AH2149" i="1"/>
  <c r="AG2149" i="1"/>
  <c r="AF2149" i="1"/>
  <c r="AE2149" i="1"/>
  <c r="AD2149" i="1"/>
  <c r="AC2149" i="1"/>
  <c r="AL2148" i="1"/>
  <c r="AJ2148" i="1"/>
  <c r="AI2148" i="1"/>
  <c r="AH2148" i="1"/>
  <c r="AG2148" i="1"/>
  <c r="AF2148" i="1"/>
  <c r="AE2148" i="1"/>
  <c r="AD2148" i="1"/>
  <c r="AC2148" i="1"/>
  <c r="AL2147" i="1"/>
  <c r="AJ2147" i="1"/>
  <c r="AI2147" i="1"/>
  <c r="AH2147" i="1"/>
  <c r="AG2147" i="1"/>
  <c r="AF2147" i="1"/>
  <c r="AE2147" i="1"/>
  <c r="AD2147" i="1"/>
  <c r="AC2147" i="1"/>
  <c r="AL2146" i="1"/>
  <c r="AJ2146" i="1"/>
  <c r="AI2146" i="1"/>
  <c r="AH2146" i="1"/>
  <c r="AG2146" i="1"/>
  <c r="AF2146" i="1"/>
  <c r="AE2146" i="1"/>
  <c r="AD2146" i="1"/>
  <c r="AC2146" i="1"/>
  <c r="AL2145" i="1"/>
  <c r="AJ2145" i="1"/>
  <c r="AI2145" i="1"/>
  <c r="AH2145" i="1"/>
  <c r="AG2145" i="1"/>
  <c r="AF2145" i="1"/>
  <c r="AE2145" i="1"/>
  <c r="AD2145" i="1"/>
  <c r="AC2145" i="1"/>
  <c r="AL2144" i="1"/>
  <c r="AJ2144" i="1"/>
  <c r="AI2144" i="1"/>
  <c r="AH2144" i="1"/>
  <c r="AG2144" i="1"/>
  <c r="AF2144" i="1"/>
  <c r="AL2143" i="1"/>
  <c r="AH2143" i="1"/>
  <c r="AF2143" i="1"/>
  <c r="AD2143" i="1"/>
  <c r="AE2142" i="1"/>
  <c r="AC2142" i="1"/>
  <c r="AL2141" i="1"/>
  <c r="AJ2141" i="1"/>
  <c r="AI2141" i="1"/>
  <c r="AG2141" i="1"/>
  <c r="AE2141" i="1"/>
  <c r="AH2140" i="1"/>
  <c r="AD2140" i="1"/>
  <c r="AF2139" i="1"/>
  <c r="AC2139" i="1"/>
  <c r="AL2138" i="1"/>
  <c r="AI2138" i="1"/>
  <c r="AG2138" i="1"/>
  <c r="AD2138" i="1"/>
  <c r="AG2137" i="1"/>
  <c r="AC2137" i="1"/>
  <c r="AL2136" i="1"/>
  <c r="AI2136" i="1"/>
  <c r="AG2136" i="1"/>
  <c r="AD2136" i="1"/>
  <c r="AL2135" i="1"/>
  <c r="AJ2135" i="1"/>
  <c r="AH2135" i="1"/>
  <c r="AF2135" i="1"/>
  <c r="AC2135" i="1"/>
  <c r="AL2134" i="1"/>
  <c r="AI2134" i="1"/>
  <c r="AG2134" i="1"/>
  <c r="AE2134" i="1"/>
  <c r="AJ2133" i="1"/>
  <c r="AG2133" i="1"/>
  <c r="AD2133" i="1"/>
  <c r="AD2132" i="1"/>
  <c r="AH2131" i="1"/>
  <c r="AE2131" i="1"/>
  <c r="AJ2130" i="1"/>
  <c r="AH2130" i="1"/>
  <c r="AF2130" i="1"/>
  <c r="AD2130" i="1"/>
  <c r="AC2129" i="1"/>
  <c r="AH2128" i="1"/>
  <c r="AC2128" i="1"/>
  <c r="AF2127" i="1"/>
  <c r="AC2127" i="1"/>
  <c r="AL2126" i="1"/>
  <c r="AH2126" i="1"/>
  <c r="AD2126" i="1"/>
  <c r="AC2125" i="1"/>
  <c r="AL2124" i="1"/>
  <c r="AI2124" i="1"/>
  <c r="AG2124" i="1"/>
  <c r="AD2124" i="1"/>
  <c r="AL2123" i="1"/>
  <c r="AJ2123" i="1"/>
  <c r="AH2123" i="1"/>
  <c r="AE2123" i="1"/>
  <c r="AE2122" i="1"/>
  <c r="AI2121" i="1"/>
  <c r="AG2121" i="1"/>
  <c r="AE2121" i="1"/>
  <c r="AC2121" i="1"/>
  <c r="AL2120" i="1"/>
  <c r="AJ2120" i="1"/>
  <c r="AI2120" i="1"/>
  <c r="AG2120" i="1"/>
  <c r="AE2120" i="1"/>
  <c r="AJ2119" i="1"/>
  <c r="AH2119" i="1"/>
  <c r="AE2119" i="1"/>
  <c r="AJ2118" i="1"/>
  <c r="AI2118" i="1"/>
  <c r="AG2118" i="1"/>
  <c r="AD2118" i="1"/>
  <c r="AL2117" i="1"/>
  <c r="AJ2117" i="1"/>
  <c r="AH2117" i="1"/>
  <c r="AG2117" i="1"/>
  <c r="AC2117" i="1"/>
  <c r="AL2116" i="1"/>
  <c r="AH2116" i="1"/>
  <c r="AF2116" i="1"/>
  <c r="AD2116" i="1"/>
  <c r="AJ2115" i="1"/>
  <c r="AH2115" i="1"/>
  <c r="AF2115" i="1"/>
  <c r="AD2115" i="1"/>
  <c r="AJ2114" i="1"/>
  <c r="AH2114" i="1"/>
  <c r="AD2114" i="1"/>
  <c r="AJ2113" i="1"/>
  <c r="AH2113" i="1"/>
  <c r="AF2113" i="1"/>
  <c r="AC2113" i="1"/>
  <c r="AF2112" i="1"/>
  <c r="AC2112" i="1"/>
  <c r="AL2111" i="1"/>
  <c r="AI2111" i="1"/>
  <c r="AF2111" i="1"/>
  <c r="AC2111" i="1"/>
  <c r="AD2110" i="1"/>
  <c r="AL2109" i="1"/>
  <c r="AJ2109" i="1"/>
  <c r="AI2109" i="1"/>
  <c r="AH2109" i="1"/>
  <c r="AE2109" i="1"/>
  <c r="AI2108" i="1"/>
  <c r="AE2108" i="1"/>
  <c r="AL2107" i="1"/>
  <c r="AI2107" i="1"/>
  <c r="AE2107" i="1"/>
  <c r="AL2106" i="1"/>
  <c r="AH2106" i="1"/>
  <c r="AF2106" i="1"/>
  <c r="AC2106" i="1"/>
  <c r="AC2105" i="1"/>
  <c r="AL2104" i="1"/>
  <c r="AJ2104" i="1"/>
  <c r="AI2104" i="1"/>
  <c r="AG2104" i="1"/>
  <c r="AE2104" i="1"/>
  <c r="AC2104" i="1"/>
  <c r="AL2103" i="1"/>
  <c r="AJ2103" i="1"/>
  <c r="AI2103" i="1"/>
  <c r="AG2103" i="1"/>
  <c r="AC2103" i="1"/>
  <c r="AC2102" i="1"/>
  <c r="AC2101" i="1"/>
  <c r="AL2100" i="1"/>
  <c r="AI2100" i="1"/>
  <c r="AG2100" i="1"/>
  <c r="AE2100" i="1"/>
  <c r="AJ2099" i="1"/>
  <c r="AI2099" i="1"/>
  <c r="AG2099" i="1"/>
  <c r="AE2099" i="1"/>
  <c r="AL2098" i="1"/>
  <c r="AI2098" i="1"/>
  <c r="AG2098" i="1"/>
  <c r="AE2098" i="1"/>
  <c r="AJ2097" i="1"/>
  <c r="AH2097" i="1"/>
  <c r="AD2097" i="1"/>
  <c r="AL2096" i="1"/>
  <c r="AF2096" i="1"/>
  <c r="AE2096" i="1"/>
  <c r="AI2095" i="1"/>
  <c r="AG2095" i="1"/>
  <c r="AH2094" i="1"/>
  <c r="AF2094" i="1"/>
  <c r="AC2094" i="1"/>
  <c r="AL2093" i="1"/>
  <c r="AJ2093" i="1"/>
  <c r="AI2093" i="1"/>
  <c r="AG2093" i="1"/>
  <c r="AE2093" i="1"/>
  <c r="AC2093" i="1"/>
  <c r="AC2092" i="1"/>
  <c r="AL2091" i="1"/>
  <c r="AJ2091" i="1"/>
  <c r="AM2091" i="1" s="1"/>
  <c r="AH2091" i="1"/>
  <c r="AF2091" i="1"/>
  <c r="AC2091" i="1"/>
  <c r="AL2090" i="1"/>
  <c r="AJ2090" i="1"/>
  <c r="AI2090" i="1"/>
  <c r="AG2090" i="1"/>
  <c r="AD2090" i="1"/>
  <c r="AC2089" i="1"/>
  <c r="AL2088" i="1"/>
  <c r="AJ2088" i="1"/>
  <c r="AH2088" i="1"/>
  <c r="AG2088" i="1"/>
  <c r="AE2088" i="1"/>
  <c r="AH2087" i="1"/>
  <c r="AF2087" i="1"/>
  <c r="AH2086" i="1"/>
  <c r="AD2086" i="1"/>
  <c r="AL2085" i="1"/>
  <c r="AI2085" i="1"/>
  <c r="AG2085" i="1"/>
  <c r="AD2085" i="1"/>
  <c r="AF2084" i="1"/>
  <c r="AI2083" i="1"/>
  <c r="AG2083" i="1"/>
  <c r="AE2083" i="1"/>
  <c r="AL2082" i="1"/>
  <c r="AJ2082" i="1"/>
  <c r="AM2082" i="1" s="1"/>
  <c r="AH2082" i="1"/>
  <c r="AF2082" i="1"/>
  <c r="AD2082" i="1"/>
  <c r="AL2081" i="1"/>
  <c r="AI2081" i="1"/>
  <c r="AG2081" i="1"/>
  <c r="AC2081" i="1"/>
  <c r="AL2080" i="1"/>
  <c r="AJ2080" i="1"/>
  <c r="AI2080" i="1"/>
  <c r="AH2080" i="1"/>
  <c r="AG2080" i="1"/>
  <c r="AF2080" i="1"/>
  <c r="AE2080" i="1"/>
  <c r="AC2080" i="1"/>
  <c r="AJ2079" i="1"/>
  <c r="AH2079" i="1"/>
  <c r="AF2079" i="1"/>
  <c r="AD2079" i="1"/>
  <c r="AL2078" i="1"/>
  <c r="AI2078" i="1"/>
  <c r="AG2078" i="1"/>
  <c r="AC2078" i="1"/>
  <c r="AD2077" i="1"/>
  <c r="AD2076" i="1"/>
  <c r="AL2075" i="1"/>
  <c r="AJ2075" i="1"/>
  <c r="AH2075" i="1"/>
  <c r="AF2075" i="1"/>
  <c r="AI2074" i="1"/>
  <c r="AG2074" i="1"/>
  <c r="AE2074" i="1"/>
  <c r="AJ2073" i="1"/>
  <c r="AH2073" i="1"/>
  <c r="AE2073" i="1"/>
  <c r="AL2072" i="1"/>
  <c r="AJ2072" i="1"/>
  <c r="AH2072" i="1"/>
  <c r="AF2072" i="1"/>
  <c r="AD2072" i="1"/>
  <c r="AL2071" i="1"/>
  <c r="AJ2071" i="1"/>
  <c r="AM2071" i="1" s="1"/>
  <c r="AH2071" i="1"/>
  <c r="AD2071" i="1"/>
  <c r="AD2070" i="1"/>
  <c r="AG2069" i="1"/>
  <c r="AD2069" i="1"/>
  <c r="AL2068" i="1"/>
  <c r="AJ2068" i="1"/>
  <c r="AM2068" i="1" s="1"/>
  <c r="AH2068" i="1"/>
  <c r="AH2067" i="1"/>
  <c r="AE2067" i="1"/>
  <c r="AJ2065" i="1"/>
  <c r="AG2065" i="1"/>
  <c r="AD2065" i="1"/>
  <c r="AL2064" i="1"/>
  <c r="AG2064" i="1"/>
  <c r="AF2064" i="1"/>
  <c r="AC2064" i="1"/>
  <c r="AC2063" i="1"/>
  <c r="AL2062" i="1"/>
  <c r="AJ2062" i="1"/>
  <c r="AH2062" i="1"/>
  <c r="AE2062" i="1"/>
  <c r="AC2062" i="1"/>
  <c r="AL2061" i="1"/>
  <c r="AH2053" i="1"/>
  <c r="AE2053" i="1"/>
  <c r="AL2051" i="1"/>
  <c r="AJ2051" i="1"/>
  <c r="AH2051" i="1"/>
  <c r="AD2051" i="1"/>
  <c r="AE2050" i="1"/>
  <c r="AC2050" i="1"/>
  <c r="AD2049" i="1"/>
  <c r="AJ2048" i="1"/>
  <c r="AH2048" i="1"/>
  <c r="AF2048" i="1"/>
  <c r="AE2048" i="1"/>
  <c r="AL2047" i="1"/>
  <c r="AJ2047" i="1"/>
  <c r="AI2047" i="1"/>
  <c r="AG2047" i="1"/>
  <c r="AE2047" i="1"/>
  <c r="AE2046" i="1"/>
  <c r="AC2046" i="1"/>
  <c r="AL2045" i="1"/>
  <c r="AJ2045" i="1"/>
  <c r="AH2045" i="1"/>
  <c r="AD2045" i="1"/>
  <c r="AC2044" i="1"/>
  <c r="AL2043" i="1"/>
  <c r="AJ2043" i="1"/>
  <c r="AH2043" i="1"/>
  <c r="AE2043" i="1"/>
  <c r="AJ2042" i="1"/>
  <c r="AH2042" i="1"/>
  <c r="AG2042" i="1"/>
  <c r="AD2042" i="1"/>
  <c r="AL2041" i="1"/>
  <c r="AJ2041" i="1"/>
  <c r="AH2041" i="1"/>
  <c r="AG2041" i="1"/>
  <c r="AE2041" i="1"/>
  <c r="AI2040" i="1"/>
  <c r="AG2040" i="1"/>
  <c r="AE2040" i="1"/>
  <c r="AI2039" i="1"/>
  <c r="AF2039" i="1"/>
  <c r="AE2039" i="1"/>
  <c r="AH2038" i="1"/>
  <c r="AF2038" i="1"/>
  <c r="AD2038" i="1"/>
  <c r="AL2037" i="1"/>
  <c r="AJ2037" i="1"/>
  <c r="AH2037" i="1"/>
  <c r="AF2037" i="1"/>
  <c r="AD2037" i="1"/>
  <c r="AL2036" i="1"/>
  <c r="AJ2036" i="1"/>
  <c r="AI2036" i="1"/>
  <c r="AG2036" i="1"/>
  <c r="AD2036" i="1"/>
  <c r="AI2035" i="1"/>
  <c r="AD2035" i="1"/>
  <c r="AL2034" i="1"/>
  <c r="AI2034" i="1"/>
  <c r="AG2034" i="1"/>
  <c r="AD2034" i="1"/>
  <c r="AC2033" i="1"/>
  <c r="AL2032" i="1"/>
  <c r="AJ2032" i="1"/>
  <c r="AJ2031" i="1"/>
  <c r="AM2031" i="1" s="1"/>
  <c r="AH2031" i="1"/>
  <c r="AD2031" i="1"/>
  <c r="AE2030" i="1"/>
  <c r="AC2030" i="1"/>
  <c r="AL2029" i="1"/>
  <c r="AJ2029" i="1"/>
  <c r="AH2029" i="1"/>
  <c r="AF2029" i="1"/>
  <c r="AC2029" i="1"/>
  <c r="AL2028" i="1"/>
  <c r="AJ2028" i="1"/>
  <c r="AM2028" i="1" s="1"/>
  <c r="AH2028" i="1"/>
  <c r="AF2028" i="1"/>
  <c r="AD2028" i="1"/>
  <c r="AG2027" i="1"/>
  <c r="AD2027" i="1"/>
  <c r="AC2026" i="1"/>
  <c r="AL2025" i="1"/>
  <c r="AJ2025" i="1"/>
  <c r="AI2025" i="1"/>
  <c r="AG2025" i="1"/>
  <c r="AE2025" i="1"/>
  <c r="AH2024" i="1"/>
  <c r="AD2024" i="1"/>
  <c r="AE2023" i="1"/>
  <c r="AJ2022" i="1"/>
  <c r="AH2022" i="1"/>
  <c r="AF2022" i="1"/>
  <c r="AC2022" i="1"/>
  <c r="AL2021" i="1"/>
  <c r="AH2021" i="1"/>
  <c r="AF2021" i="1"/>
  <c r="AD2021" i="1"/>
  <c r="AG2020" i="1"/>
  <c r="AC2020" i="1"/>
  <c r="AH2011" i="1"/>
  <c r="AD2009" i="1"/>
  <c r="AG2008" i="1"/>
  <c r="AE2008" i="1"/>
  <c r="AC2008" i="1"/>
  <c r="AL2007" i="1"/>
  <c r="AH2007" i="1"/>
  <c r="AD2007" i="1"/>
  <c r="AL2006" i="1"/>
  <c r="AI2006" i="1"/>
  <c r="AG2006" i="1"/>
  <c r="AE2006" i="1"/>
  <c r="AC2006" i="1"/>
  <c r="AL2005" i="1"/>
  <c r="AI2005" i="1"/>
  <c r="AG2005" i="1"/>
  <c r="AE2005" i="1"/>
  <c r="AD2004" i="1"/>
  <c r="AC2002" i="1"/>
  <c r="AL2001" i="1"/>
  <c r="AI2001" i="1"/>
  <c r="AG2001" i="1"/>
  <c r="AE2001" i="1"/>
  <c r="AD2001" i="1"/>
  <c r="AL2000" i="1"/>
  <c r="AI2000" i="1"/>
  <c r="AG2000" i="1"/>
  <c r="AD2000" i="1"/>
  <c r="AH1999" i="1"/>
  <c r="AE1999" i="1"/>
  <c r="AH1998" i="1"/>
  <c r="AE1998" i="1"/>
  <c r="AH1997" i="1"/>
  <c r="AE1997" i="1"/>
  <c r="AC1997" i="1"/>
  <c r="AL1996" i="1"/>
  <c r="AJ1996" i="1"/>
  <c r="AI1996" i="1"/>
  <c r="AF1996" i="1"/>
  <c r="AC1996" i="1"/>
  <c r="AD1995" i="1"/>
  <c r="AE1994" i="1"/>
  <c r="AC1994" i="1"/>
  <c r="AL1993" i="1"/>
  <c r="AG1993" i="1"/>
  <c r="AE1993" i="1"/>
  <c r="AH1992" i="1"/>
  <c r="AE1992" i="1"/>
  <c r="AJ1991" i="1"/>
  <c r="AG1991" i="1"/>
  <c r="AD1991" i="1"/>
  <c r="AD1990" i="1"/>
  <c r="AL1989" i="1"/>
  <c r="AJ1989" i="1"/>
  <c r="AI1989" i="1"/>
  <c r="AG1989" i="1"/>
  <c r="AC1989" i="1"/>
  <c r="AF1988" i="1"/>
  <c r="AC1988" i="1"/>
  <c r="AE1987" i="1"/>
  <c r="AE1986" i="1"/>
  <c r="AI1985" i="1"/>
  <c r="AG1985" i="1"/>
  <c r="AD1985" i="1"/>
  <c r="AF1984" i="1"/>
  <c r="AC1984" i="1"/>
  <c r="AL1983" i="1"/>
  <c r="AI1983" i="1"/>
  <c r="AG1983" i="1"/>
  <c r="AE1983" i="1"/>
  <c r="AC1983" i="1"/>
  <c r="AL1982" i="1"/>
  <c r="AJ1982" i="1"/>
  <c r="AI1982" i="1"/>
  <c r="AG1982" i="1"/>
  <c r="AE1982" i="1"/>
  <c r="AI1981" i="1"/>
  <c r="AD1981" i="1"/>
  <c r="AJ1980" i="1"/>
  <c r="AH1980" i="1"/>
  <c r="AE1980" i="1"/>
  <c r="AC1980" i="1"/>
  <c r="AL1979" i="1"/>
  <c r="AI1979" i="1"/>
  <c r="AG1979" i="1"/>
  <c r="AC1979" i="1"/>
  <c r="AL1978" i="1"/>
  <c r="AI1978" i="1"/>
  <c r="AG1978" i="1"/>
  <c r="AE1978" i="1"/>
  <c r="AH1977" i="1"/>
  <c r="AD1977" i="1"/>
  <c r="AL1976" i="1"/>
  <c r="AJ1976" i="1"/>
  <c r="AI1976" i="1"/>
  <c r="AG1976" i="1"/>
  <c r="AD1976" i="1"/>
  <c r="AI1975" i="1"/>
  <c r="AG1975" i="1"/>
  <c r="AD1975" i="1"/>
  <c r="AL1974" i="1"/>
  <c r="AJ1974" i="1"/>
  <c r="AI1974" i="1"/>
  <c r="AG1974" i="1"/>
  <c r="AD1974" i="1"/>
  <c r="AC1973" i="1"/>
  <c r="AL1972" i="1"/>
  <c r="AH1972" i="1"/>
  <c r="AF1972" i="1"/>
  <c r="AJ1971" i="1"/>
  <c r="AG1971" i="1"/>
  <c r="AE1971" i="1"/>
  <c r="AI1970" i="1"/>
  <c r="AF1970" i="1"/>
  <c r="AI1969" i="1"/>
  <c r="AF1969" i="1"/>
  <c r="AI1968" i="1"/>
  <c r="AL1966" i="1"/>
  <c r="AH1966" i="1"/>
  <c r="AF1966" i="1"/>
  <c r="AG1965" i="1"/>
  <c r="AC1965" i="1"/>
  <c r="AL1964" i="1"/>
  <c r="AJ1964" i="1"/>
  <c r="AI1964" i="1"/>
  <c r="AF1964" i="1"/>
  <c r="AL1962" i="1"/>
  <c r="AJ1962" i="1"/>
  <c r="AI1962" i="1"/>
  <c r="AG1962" i="1"/>
  <c r="AC1962" i="1"/>
  <c r="AL1961" i="1"/>
  <c r="AJ1961" i="1"/>
  <c r="AI1961" i="1"/>
  <c r="AG1961" i="1"/>
  <c r="AD1961" i="1"/>
  <c r="AF1960" i="1"/>
  <c r="AD1960" i="1"/>
  <c r="AD1959" i="1"/>
  <c r="AL1958" i="1"/>
  <c r="AJ1958" i="1"/>
  <c r="AH1958" i="1"/>
  <c r="AE1958" i="1"/>
  <c r="AI1957" i="1"/>
  <c r="AF1957" i="1"/>
  <c r="AD1957" i="1"/>
  <c r="AC1956" i="1"/>
  <c r="AL1955" i="1"/>
  <c r="AJ1955" i="1"/>
  <c r="AI1955" i="1"/>
  <c r="AG1955" i="1"/>
  <c r="AE1955" i="1"/>
  <c r="AD1954" i="1"/>
  <c r="AD1953" i="1"/>
  <c r="AF1952" i="1"/>
  <c r="AC1952" i="1"/>
  <c r="AE1951" i="1"/>
  <c r="AI1950" i="1"/>
  <c r="AH1950" i="1"/>
  <c r="AF1950" i="1"/>
  <c r="AC1950" i="1"/>
  <c r="AL1949" i="1"/>
  <c r="AJ1949" i="1"/>
  <c r="AI1949" i="1"/>
  <c r="AG1949" i="1"/>
  <c r="AF1949" i="1"/>
  <c r="AH1948" i="1"/>
  <c r="AE1948" i="1"/>
  <c r="AI1947" i="1"/>
  <c r="AG1947" i="1"/>
  <c r="AE1947" i="1"/>
  <c r="AC1946" i="1"/>
  <c r="AL1945" i="1"/>
  <c r="AJ1945" i="1"/>
  <c r="AH1945" i="1"/>
  <c r="AD1945" i="1"/>
  <c r="AF1944" i="1"/>
  <c r="AC1944" i="1"/>
  <c r="AG1942" i="1"/>
  <c r="AC1942" i="1"/>
  <c r="AL1941" i="1"/>
  <c r="AJ1941" i="1"/>
  <c r="AM1941" i="1" s="1"/>
  <c r="AH1941" i="1"/>
  <c r="AD1941" i="1"/>
  <c r="AL1940" i="1"/>
  <c r="AJ1940" i="1"/>
  <c r="AI1940" i="1"/>
  <c r="AH1940" i="1"/>
  <c r="AF1940" i="1"/>
  <c r="AC1940" i="1"/>
  <c r="AL1939" i="1"/>
  <c r="AJ1939" i="1"/>
  <c r="AI1939" i="1"/>
  <c r="AG1939" i="1"/>
  <c r="AE1939" i="1"/>
  <c r="AD1938" i="1"/>
  <c r="AD1937" i="1"/>
  <c r="AL1936" i="1"/>
  <c r="AI1936" i="1"/>
  <c r="AE1936" i="1"/>
  <c r="AH1935" i="1"/>
  <c r="AF1935" i="1"/>
  <c r="AH1934" i="1"/>
  <c r="AF1934" i="1"/>
  <c r="AD1934" i="1"/>
  <c r="AD1933" i="1"/>
  <c r="AL1932" i="1"/>
  <c r="AH1932" i="1"/>
  <c r="AD1932" i="1"/>
  <c r="AL1931" i="1"/>
  <c r="AI1931" i="1"/>
  <c r="AH1931" i="1"/>
  <c r="AF1931" i="1"/>
  <c r="AE1931" i="1"/>
  <c r="AH1930" i="1"/>
  <c r="AE1930" i="1"/>
  <c r="AI1929" i="1"/>
  <c r="AG1929" i="1"/>
  <c r="AD1929" i="1"/>
  <c r="AL1928" i="1"/>
  <c r="AJ1928" i="1"/>
  <c r="AI1928" i="1"/>
  <c r="AH1928" i="1"/>
  <c r="AF1928" i="1"/>
  <c r="AC1928" i="1"/>
  <c r="AL1927" i="1"/>
  <c r="AJ1927" i="1"/>
  <c r="AM1927" i="1" s="1"/>
  <c r="AH1927" i="1"/>
  <c r="AF1927" i="1"/>
  <c r="AI1926" i="1"/>
  <c r="AG1926" i="1"/>
  <c r="AE1926" i="1"/>
  <c r="AJ1925" i="1"/>
  <c r="AH1925" i="1"/>
  <c r="AF1925" i="1"/>
  <c r="AC1925" i="1"/>
  <c r="AC1924" i="1"/>
  <c r="AL1923" i="1"/>
  <c r="AJ1923" i="1"/>
  <c r="AI1923" i="1"/>
  <c r="AG1923" i="1"/>
  <c r="AE1923" i="1"/>
  <c r="AH1922" i="1"/>
  <c r="AE1922" i="1"/>
  <c r="AI1921" i="1"/>
  <c r="AG1921" i="1"/>
  <c r="AE1921" i="1"/>
  <c r="AL1920" i="1"/>
  <c r="AI1920" i="1"/>
  <c r="AG1920" i="1"/>
  <c r="AE1920" i="1"/>
  <c r="AC1920" i="1"/>
  <c r="AJ1919" i="1"/>
  <c r="AM1919" i="1" s="1"/>
  <c r="AH1919" i="1"/>
  <c r="AC1919" i="1"/>
  <c r="AL1918" i="1"/>
  <c r="AG1918" i="1"/>
  <c r="AD1918" i="1"/>
  <c r="AJ1917" i="1"/>
  <c r="AH1917" i="1"/>
  <c r="AE1917" i="1"/>
  <c r="AJ1916" i="1"/>
  <c r="AH1916" i="1"/>
  <c r="AF1916" i="1"/>
  <c r="AI1915" i="1"/>
  <c r="AF1915" i="1"/>
  <c r="AC1915" i="1"/>
  <c r="AL1914" i="1"/>
  <c r="AJ1913" i="1"/>
  <c r="AH1913" i="1"/>
  <c r="AF1913" i="1"/>
  <c r="AE1913" i="1"/>
  <c r="AC1910" i="1"/>
  <c r="AL1909" i="1"/>
  <c r="AJ1909" i="1"/>
  <c r="AI1909" i="1"/>
  <c r="AG1909" i="1"/>
  <c r="AC1909" i="1"/>
  <c r="AL1908" i="1"/>
  <c r="AJ1908" i="1"/>
  <c r="AI1908" i="1"/>
  <c r="AE1908" i="1"/>
  <c r="AC1908" i="1"/>
  <c r="AL1907" i="1"/>
  <c r="AJ1907" i="1"/>
  <c r="AH1907" i="1"/>
  <c r="AF1907" i="1"/>
  <c r="AD1907" i="1"/>
  <c r="AL1906" i="1"/>
  <c r="AJ1906" i="1"/>
  <c r="AH1906" i="1"/>
  <c r="AG1906" i="1"/>
  <c r="AE1906" i="1"/>
  <c r="AF1905" i="1"/>
  <c r="AC1905" i="1"/>
  <c r="AL1904" i="1"/>
  <c r="AJ1904" i="1"/>
  <c r="AI1904" i="1"/>
  <c r="AG1904" i="1"/>
  <c r="AE1904" i="1"/>
  <c r="AJ1903" i="1"/>
  <c r="AH1903" i="1"/>
  <c r="AE1903" i="1"/>
  <c r="AC1903" i="1"/>
  <c r="AL1902" i="1"/>
  <c r="AI1902" i="1"/>
  <c r="AG1902" i="1"/>
  <c r="AE1902" i="1"/>
  <c r="AJ1901" i="1"/>
  <c r="AH1901" i="1"/>
  <c r="AE1901" i="1"/>
  <c r="AJ1900" i="1"/>
  <c r="AH1900" i="1"/>
  <c r="AE1900" i="1"/>
  <c r="AI1899" i="1"/>
  <c r="AG1899" i="1"/>
  <c r="AD1899" i="1"/>
  <c r="AI1898" i="1"/>
  <c r="AG1898" i="1"/>
  <c r="AE1898" i="1"/>
  <c r="AG1897" i="1"/>
  <c r="AE1897" i="1"/>
  <c r="AL1896" i="1"/>
  <c r="AI1896" i="1"/>
  <c r="AG1896" i="1"/>
  <c r="AE1896" i="1"/>
  <c r="AI1895" i="1"/>
  <c r="AH1895" i="1"/>
  <c r="AE1895" i="1"/>
  <c r="AI1894" i="1"/>
  <c r="AF1894" i="1"/>
  <c r="AC1894" i="1"/>
  <c r="AJ1893" i="1"/>
  <c r="AM1893" i="1" s="1"/>
  <c r="AF1893" i="1"/>
  <c r="AD1893" i="1"/>
  <c r="AL1892" i="1"/>
  <c r="AJ1892" i="1"/>
  <c r="AI1892" i="1"/>
  <c r="AG1892" i="1"/>
  <c r="AC1891" i="1"/>
  <c r="AL1890" i="1"/>
  <c r="AJ1890" i="1"/>
  <c r="AI1890" i="1"/>
  <c r="AE1890" i="1"/>
  <c r="AD1889" i="1"/>
  <c r="AL1888" i="1"/>
  <c r="AJ1888" i="1"/>
  <c r="AH1888" i="1"/>
  <c r="AE1888" i="1"/>
  <c r="AI1887" i="1"/>
  <c r="AG1887" i="1"/>
  <c r="AE1887" i="1"/>
  <c r="AH1886" i="1"/>
  <c r="AF1886" i="1"/>
  <c r="AE1885" i="1"/>
  <c r="AE1884" i="1"/>
  <c r="AI1883" i="1"/>
  <c r="AG1883" i="1"/>
  <c r="AC1883" i="1"/>
  <c r="AL1882" i="1"/>
  <c r="AJ1882" i="1"/>
  <c r="AH1882" i="1"/>
  <c r="AF1882" i="1"/>
  <c r="AD1882" i="1"/>
  <c r="AJ1880" i="1"/>
  <c r="AI1880" i="1"/>
  <c r="AF1880" i="1"/>
  <c r="AD1880" i="1"/>
  <c r="AH1879" i="1"/>
  <c r="AF1879" i="1"/>
  <c r="AD1879" i="1"/>
  <c r="AF1878" i="1"/>
  <c r="AJ1877" i="1"/>
  <c r="AH1877" i="1"/>
  <c r="AF1877" i="1"/>
  <c r="AE1877" i="1"/>
  <c r="AC1877" i="1"/>
  <c r="AD1876" i="1"/>
  <c r="AL1875" i="1"/>
  <c r="AI1875" i="1"/>
  <c r="AG1875" i="1"/>
  <c r="AF1875" i="1"/>
  <c r="AC1875" i="1"/>
  <c r="AL1874" i="1"/>
  <c r="AJ1874" i="1"/>
  <c r="AM1874" i="1" s="1"/>
  <c r="AI1874" i="1"/>
  <c r="AH1874" i="1"/>
  <c r="AF1874" i="1"/>
  <c r="AC1874" i="1"/>
  <c r="AL1873" i="1"/>
  <c r="AJ1873" i="1"/>
  <c r="AH1873" i="1"/>
  <c r="AF1873" i="1"/>
  <c r="AC1873" i="1"/>
  <c r="AL1872" i="1"/>
  <c r="AI1872" i="1"/>
  <c r="AH1872" i="1"/>
  <c r="AD1872" i="1"/>
  <c r="AE1871" i="1"/>
  <c r="AL1870" i="1"/>
  <c r="AJ1870" i="1"/>
  <c r="AH1870" i="1"/>
  <c r="AF1870" i="1"/>
  <c r="AD1870" i="1"/>
  <c r="AJ1869" i="1"/>
  <c r="AM1869" i="1" s="1"/>
  <c r="AH1869" i="1"/>
  <c r="AE1869" i="1"/>
  <c r="AJ1868" i="1"/>
  <c r="AI1868" i="1"/>
  <c r="AG1868" i="1"/>
  <c r="AC1868" i="1"/>
  <c r="AL1867" i="1"/>
  <c r="AI1867" i="1"/>
  <c r="AG1867" i="1"/>
  <c r="AE1867" i="1"/>
  <c r="AJ1866" i="1"/>
  <c r="AH1866" i="1"/>
  <c r="AF1866" i="1"/>
  <c r="AD1866" i="1"/>
  <c r="AE1865" i="1"/>
  <c r="AJ1864" i="1"/>
  <c r="AH1864" i="1"/>
  <c r="AF1864" i="1"/>
  <c r="AC1864" i="1"/>
  <c r="AG1863" i="1"/>
  <c r="AF1863" i="1"/>
  <c r="AD1863" i="1"/>
  <c r="AL1862" i="1"/>
  <c r="AJ1862" i="1"/>
  <c r="AH1862" i="1"/>
  <c r="AF1862" i="1"/>
  <c r="AD1862" i="1"/>
  <c r="AL1861" i="1"/>
  <c r="AJ1861" i="1"/>
  <c r="AI1861" i="1"/>
  <c r="AG1861" i="1"/>
  <c r="AE1861" i="1"/>
  <c r="AC1861" i="1"/>
  <c r="AF1860" i="1"/>
  <c r="AJ1859" i="1"/>
  <c r="AH1859" i="1"/>
  <c r="AC1859" i="1"/>
  <c r="AJ1858" i="1"/>
  <c r="AH1858" i="1"/>
  <c r="AF1858" i="1"/>
  <c r="AE1858" i="1"/>
  <c r="AJ1857" i="1"/>
  <c r="AH1857" i="1"/>
  <c r="AF1857" i="1"/>
  <c r="AJ1856" i="1"/>
  <c r="AG1856" i="1"/>
  <c r="AC1856" i="1"/>
  <c r="AL1855" i="1"/>
  <c r="AJ1855" i="1"/>
  <c r="AI1855" i="1"/>
  <c r="AG1855" i="1"/>
  <c r="AF1855" i="1"/>
  <c r="AC1855" i="1"/>
  <c r="AC1854" i="1"/>
  <c r="AL1853" i="1"/>
  <c r="AG1853" i="1"/>
  <c r="AD1853" i="1"/>
  <c r="AC1852" i="1"/>
  <c r="AC1851" i="1"/>
  <c r="AL1850" i="1"/>
  <c r="AI1850" i="1"/>
  <c r="AG1850" i="1"/>
  <c r="AE1850" i="1"/>
  <c r="AC1850" i="1"/>
  <c r="AL1849" i="1"/>
  <c r="AJ1849" i="1"/>
  <c r="AI1849" i="1"/>
  <c r="AG1849" i="1"/>
  <c r="AE1849" i="1"/>
  <c r="AF1848" i="1"/>
  <c r="AL1847" i="1"/>
  <c r="AJ1847" i="1"/>
  <c r="AI1847" i="1"/>
  <c r="AH1847" i="1"/>
  <c r="AG1847" i="1"/>
  <c r="AE1847" i="1"/>
  <c r="AI1846" i="1"/>
  <c r="AG1846" i="1"/>
  <c r="AC1846" i="1"/>
  <c r="AG1844" i="1"/>
  <c r="AC1844" i="1"/>
  <c r="AL1843" i="1"/>
  <c r="AJ1843" i="1"/>
  <c r="AI1843" i="1"/>
  <c r="AF1843" i="1"/>
  <c r="AI1842" i="1"/>
  <c r="AG1842" i="1"/>
  <c r="AE1842" i="1"/>
  <c r="AL1841" i="1"/>
  <c r="AI1841" i="1"/>
  <c r="AH1841" i="1"/>
  <c r="AF1841" i="1"/>
  <c r="AC1841" i="1"/>
  <c r="AL1840" i="1"/>
  <c r="AJ1840" i="1"/>
  <c r="AI1840" i="1"/>
  <c r="AG1840" i="1"/>
  <c r="AE1840" i="1"/>
  <c r="AD1830" i="1"/>
  <c r="AL1829" i="1"/>
  <c r="AG1829" i="1"/>
  <c r="AD1829" i="1"/>
  <c r="AL1828" i="1"/>
  <c r="AI1828" i="1"/>
  <c r="AF1828" i="1"/>
  <c r="AJ1827" i="1"/>
  <c r="AG1827" i="1"/>
  <c r="AC1827" i="1"/>
  <c r="AL1826" i="1"/>
  <c r="AI1826" i="1"/>
  <c r="AF1826" i="1"/>
  <c r="AJ1825" i="1"/>
  <c r="AM1825" i="1" s="1"/>
  <c r="AH1825" i="1"/>
  <c r="AF1825" i="1"/>
  <c r="AC1824" i="1"/>
  <c r="AJ1820" i="1"/>
  <c r="AH1820" i="1"/>
  <c r="AC1820" i="1"/>
  <c r="AL1819" i="1"/>
  <c r="AI1819" i="1"/>
  <c r="AG1819" i="1"/>
  <c r="AD1819" i="1"/>
  <c r="AL1818" i="1"/>
  <c r="AI1818" i="1"/>
  <c r="AG1818" i="1"/>
  <c r="AE1818" i="1"/>
  <c r="AF1816" i="1"/>
  <c r="AF1815" i="1"/>
  <c r="AJ1814" i="1"/>
  <c r="AI1814" i="1"/>
  <c r="AF1814" i="1"/>
  <c r="AC1813" i="1"/>
  <c r="AI1811" i="1"/>
  <c r="AF1811" i="1"/>
  <c r="AL1810" i="1"/>
  <c r="AI1810" i="1"/>
  <c r="AC1810" i="1"/>
  <c r="AL1809" i="1"/>
  <c r="AI1809" i="1"/>
  <c r="AG1809" i="1"/>
  <c r="AD1809" i="1"/>
  <c r="AL1808" i="1"/>
  <c r="AH1808" i="1"/>
  <c r="AE1808" i="1"/>
  <c r="AJ1807" i="1"/>
  <c r="AH1807" i="1"/>
  <c r="AE1807" i="1"/>
  <c r="AL1806" i="1"/>
  <c r="AJ1805" i="1"/>
  <c r="AH1805" i="1"/>
  <c r="AF1805" i="1"/>
  <c r="AL1804" i="1"/>
  <c r="AH1804" i="1"/>
  <c r="AF1804" i="1"/>
  <c r="AC1804" i="1"/>
  <c r="AJ1803" i="1"/>
  <c r="AM1803" i="1" s="1"/>
  <c r="AH1803" i="1"/>
  <c r="AF1803" i="1"/>
  <c r="AL1802" i="1"/>
  <c r="AJ1802" i="1"/>
  <c r="AH1802" i="1"/>
  <c r="AE1801" i="1"/>
  <c r="AF1800" i="1"/>
  <c r="AG1799" i="1"/>
  <c r="AL1797" i="1"/>
  <c r="AG1797" i="1"/>
  <c r="AC1797" i="1"/>
  <c r="AL1796" i="1"/>
  <c r="AI1796" i="1"/>
  <c r="AG1796" i="1"/>
  <c r="AC1796" i="1"/>
  <c r="AL1795" i="1"/>
  <c r="AH1795" i="1"/>
  <c r="AJ1794" i="1"/>
  <c r="AD1794" i="1"/>
  <c r="AF1793" i="1"/>
  <c r="AL1792" i="1"/>
  <c r="AH1792" i="1"/>
  <c r="AI1791" i="1"/>
  <c r="AF1791" i="1"/>
  <c r="AJ1789" i="1"/>
  <c r="AG1789" i="1"/>
  <c r="AC1789" i="1"/>
  <c r="AL1788" i="1"/>
  <c r="AG1788" i="1"/>
  <c r="AC1788" i="1"/>
  <c r="AL1787" i="1"/>
  <c r="AG1787" i="1"/>
  <c r="AD1787" i="1"/>
  <c r="AL1785" i="1"/>
  <c r="AH1785" i="1"/>
  <c r="AF1785" i="1"/>
  <c r="AC1785" i="1"/>
  <c r="AL1784" i="1"/>
  <c r="AH1784" i="1"/>
  <c r="AD1784" i="1"/>
  <c r="AL1783" i="1"/>
  <c r="AD1783" i="1"/>
  <c r="AJ1782" i="1"/>
  <c r="AE1782" i="1"/>
  <c r="AD1781" i="1"/>
  <c r="AJ1780" i="1"/>
  <c r="AF1780" i="1"/>
  <c r="AD1779" i="1"/>
  <c r="AI1778" i="1"/>
  <c r="AC1778" i="1"/>
  <c r="AI1777" i="1"/>
  <c r="AF1775" i="1"/>
  <c r="AJ1774" i="1"/>
  <c r="AD1774" i="1"/>
  <c r="AI1773" i="1"/>
  <c r="AF1773" i="1"/>
  <c r="AH1772" i="1"/>
  <c r="AJ1771" i="1"/>
  <c r="AL1770" i="1"/>
  <c r="AL1769" i="1"/>
  <c r="AG1769" i="1"/>
  <c r="AJ1768" i="1"/>
  <c r="AL1767" i="1"/>
  <c r="AG1767" i="1"/>
  <c r="AD1767" i="1"/>
  <c r="AL1766" i="1"/>
  <c r="AH1766" i="1"/>
  <c r="AD1766" i="1"/>
  <c r="AL1765" i="1"/>
  <c r="AE1765" i="1"/>
  <c r="AL1764" i="1"/>
  <c r="AG1764" i="1"/>
  <c r="AD1764" i="1"/>
  <c r="AJ1763" i="1"/>
  <c r="AG1763" i="1"/>
  <c r="AD1763" i="1"/>
  <c r="AH1760" i="1"/>
  <c r="AC1760" i="1"/>
  <c r="AJ1759" i="1"/>
  <c r="AH1759" i="1"/>
  <c r="AJ1758" i="1"/>
  <c r="AJ1757" i="1"/>
  <c r="AM1757" i="1" s="1"/>
  <c r="AL1756" i="1"/>
  <c r="AL1755" i="1"/>
  <c r="AJ1753" i="1"/>
  <c r="AC1753" i="1"/>
  <c r="AI1752" i="1"/>
  <c r="AE1752" i="1"/>
  <c r="AI1751" i="1"/>
  <c r="AF1751" i="1"/>
  <c r="AI1749" i="1"/>
  <c r="AL1747" i="1"/>
  <c r="AI1747" i="1"/>
  <c r="AJ1746" i="1"/>
  <c r="AG1746" i="1"/>
  <c r="AJ1745" i="1"/>
  <c r="AJ1744" i="1"/>
  <c r="AM1744" i="1" s="1"/>
  <c r="AD1744" i="1"/>
  <c r="AH1743" i="1"/>
  <c r="AG1743" i="1"/>
  <c r="AF1743" i="1"/>
  <c r="AE1743" i="1"/>
  <c r="AD1743" i="1"/>
  <c r="AC1743" i="1"/>
  <c r="AL1742" i="1"/>
  <c r="AJ1742" i="1"/>
  <c r="AI1742" i="1"/>
  <c r="AH1742" i="1"/>
  <c r="AG1742" i="1"/>
  <c r="AF1742" i="1"/>
  <c r="AE1742" i="1"/>
  <c r="AD1742" i="1"/>
  <c r="AC1742" i="1"/>
  <c r="AL1741" i="1"/>
  <c r="AJ1741" i="1"/>
  <c r="AI1741" i="1"/>
  <c r="AH1741" i="1"/>
  <c r="AG1741" i="1"/>
  <c r="AF1741" i="1"/>
  <c r="AE1741" i="1"/>
  <c r="AD1741" i="1"/>
  <c r="AC1741" i="1"/>
  <c r="AL1740" i="1"/>
  <c r="AJ1740" i="1"/>
  <c r="AI1740" i="1"/>
  <c r="AH1740" i="1"/>
  <c r="AG1740" i="1"/>
  <c r="AF1740" i="1"/>
  <c r="AE1740" i="1"/>
  <c r="AD1740" i="1"/>
  <c r="AC1740" i="1"/>
  <c r="AL1739" i="1"/>
  <c r="AJ1739" i="1"/>
  <c r="AI1739" i="1"/>
  <c r="AH1739" i="1"/>
  <c r="AG1739" i="1"/>
  <c r="AF1739" i="1"/>
  <c r="AE1739" i="1"/>
  <c r="AD1739" i="1"/>
  <c r="AC1739" i="1"/>
  <c r="AL1738" i="1"/>
  <c r="AJ1738" i="1"/>
  <c r="AI1738" i="1"/>
  <c r="AH1738" i="1"/>
  <c r="AG1738" i="1"/>
  <c r="AF1738" i="1"/>
  <c r="AE1738" i="1"/>
  <c r="AD1738" i="1"/>
  <c r="AC1738" i="1"/>
  <c r="AL1737" i="1"/>
  <c r="AJ1737" i="1"/>
  <c r="AI1737" i="1"/>
  <c r="AH1737" i="1"/>
  <c r="AG1737" i="1"/>
  <c r="AF1737" i="1"/>
  <c r="AE1737" i="1"/>
  <c r="AD1737" i="1"/>
  <c r="AC1737" i="1"/>
  <c r="AL1736" i="1"/>
  <c r="AJ1736" i="1"/>
  <c r="AI1736" i="1"/>
  <c r="AH1736" i="1"/>
  <c r="AG1736" i="1"/>
  <c r="AF1736" i="1"/>
  <c r="AE1736" i="1"/>
  <c r="AD1736" i="1"/>
  <c r="AC1736" i="1"/>
  <c r="AL1735" i="1"/>
  <c r="AJ1735" i="1"/>
  <c r="AI1735" i="1"/>
  <c r="AH1735" i="1"/>
  <c r="AG1735" i="1"/>
  <c r="AF1735" i="1"/>
  <c r="AE1735" i="1"/>
  <c r="AD1735" i="1"/>
  <c r="AC1735" i="1"/>
  <c r="AL1734" i="1"/>
  <c r="AJ1734" i="1"/>
  <c r="AI1734" i="1"/>
  <c r="AH1734" i="1"/>
  <c r="AG1734" i="1"/>
  <c r="AF1734" i="1"/>
  <c r="AE1734" i="1"/>
  <c r="AD1734" i="1"/>
  <c r="AC1734" i="1"/>
  <c r="AL1733" i="1"/>
  <c r="AJ1733" i="1"/>
  <c r="AI1733" i="1"/>
  <c r="AH1733" i="1"/>
  <c r="AG1733" i="1"/>
  <c r="AF1733" i="1"/>
  <c r="AE1733" i="1"/>
  <c r="AD1733" i="1"/>
  <c r="AC1733" i="1"/>
  <c r="AL1732" i="1"/>
  <c r="AJ1732" i="1"/>
  <c r="AI1732" i="1"/>
  <c r="AH1732" i="1"/>
  <c r="AG1732" i="1"/>
  <c r="AF1732" i="1"/>
  <c r="AE1732" i="1"/>
  <c r="AD1732" i="1"/>
  <c r="AC1732" i="1"/>
  <c r="AL1731" i="1"/>
  <c r="AJ1731" i="1"/>
  <c r="AI1731" i="1"/>
  <c r="AH1731" i="1"/>
  <c r="AG1731" i="1"/>
  <c r="AF1731" i="1"/>
  <c r="AE1731" i="1"/>
  <c r="AD1731" i="1"/>
  <c r="AC1731" i="1"/>
  <c r="AL1730" i="1"/>
  <c r="AJ1730" i="1"/>
  <c r="AI1730" i="1"/>
  <c r="AH1730" i="1"/>
  <c r="AG1730" i="1"/>
  <c r="AF1730" i="1"/>
  <c r="AE1730" i="1"/>
  <c r="AD1730" i="1"/>
  <c r="AC1730" i="1"/>
  <c r="AL1729" i="1"/>
  <c r="AJ1729" i="1"/>
  <c r="AI1729" i="1"/>
  <c r="AH1729" i="1"/>
  <c r="AG1729" i="1"/>
  <c r="AF1729" i="1"/>
  <c r="AE1729" i="1"/>
  <c r="AD1729" i="1"/>
  <c r="AC1729" i="1"/>
  <c r="AL1728" i="1"/>
  <c r="AJ1728" i="1"/>
  <c r="AI1728" i="1"/>
  <c r="AH1728" i="1"/>
  <c r="AG1728" i="1"/>
  <c r="AF1728" i="1"/>
  <c r="AE1728" i="1"/>
  <c r="AD1728" i="1"/>
  <c r="AC1728" i="1"/>
  <c r="AL1727" i="1"/>
  <c r="AJ1727" i="1"/>
  <c r="AI1727" i="1"/>
  <c r="AH1727" i="1"/>
  <c r="AG1727" i="1"/>
  <c r="AF1727" i="1"/>
  <c r="AE1727" i="1"/>
  <c r="AD1727" i="1"/>
  <c r="AC1727" i="1"/>
  <c r="AL1726" i="1"/>
  <c r="AJ1726" i="1"/>
  <c r="AI1726" i="1"/>
  <c r="AH1726" i="1"/>
  <c r="AG1726" i="1"/>
  <c r="AF1726" i="1"/>
  <c r="AE1726" i="1"/>
  <c r="AD1726" i="1"/>
  <c r="AC1726" i="1"/>
  <c r="AL1725" i="1"/>
  <c r="AJ1725" i="1"/>
  <c r="AI1725" i="1"/>
  <c r="AH1725" i="1"/>
  <c r="AG1725" i="1"/>
  <c r="AF1725" i="1"/>
  <c r="AE1725" i="1"/>
  <c r="AD1725" i="1"/>
  <c r="AC1725" i="1"/>
  <c r="AL1724" i="1"/>
  <c r="AJ1724" i="1"/>
  <c r="AI1724" i="1"/>
  <c r="AH1724" i="1"/>
  <c r="AG1724" i="1"/>
  <c r="AF1724" i="1"/>
  <c r="AE1724" i="1"/>
  <c r="AD1724" i="1"/>
  <c r="AC1724" i="1"/>
  <c r="AL1723" i="1"/>
  <c r="AJ1723" i="1"/>
  <c r="AI1723" i="1"/>
  <c r="AH1723" i="1"/>
  <c r="AG1723" i="1"/>
  <c r="AF1723" i="1"/>
  <c r="AE1723" i="1"/>
  <c r="AD1723" i="1"/>
  <c r="AC1723" i="1"/>
  <c r="AL1722" i="1"/>
  <c r="AJ1722" i="1"/>
  <c r="AI1722" i="1"/>
  <c r="AH1722" i="1"/>
  <c r="AG1722" i="1"/>
  <c r="AF1722" i="1"/>
  <c r="AE1722" i="1"/>
  <c r="AD1722" i="1"/>
  <c r="AC1722" i="1"/>
  <c r="AL1721" i="1"/>
  <c r="AJ1721" i="1"/>
  <c r="AI1721" i="1"/>
  <c r="AH1721" i="1"/>
  <c r="AG1721" i="1"/>
  <c r="AF1721" i="1"/>
  <c r="AE1721" i="1"/>
  <c r="AD1721" i="1"/>
  <c r="AC1721" i="1"/>
  <c r="AL1720" i="1"/>
  <c r="AJ1720" i="1"/>
  <c r="AI1720" i="1"/>
  <c r="AH1720" i="1"/>
  <c r="AG1720" i="1"/>
  <c r="AF1720" i="1"/>
  <c r="AE1720" i="1"/>
  <c r="AD1720" i="1"/>
  <c r="AC1720" i="1"/>
  <c r="AL1719" i="1"/>
  <c r="AJ1719" i="1"/>
  <c r="AI1719" i="1"/>
  <c r="AH1719" i="1"/>
  <c r="AG1719" i="1"/>
  <c r="AF1719" i="1"/>
  <c r="AE1719" i="1"/>
  <c r="AD1719" i="1"/>
  <c r="AC1719" i="1"/>
  <c r="AL1718" i="1"/>
  <c r="AJ1718" i="1"/>
  <c r="AI1718" i="1"/>
  <c r="AH1718" i="1"/>
  <c r="AG1718" i="1"/>
  <c r="AF1718" i="1"/>
  <c r="AE1718" i="1"/>
  <c r="AD1718" i="1"/>
  <c r="AC1718" i="1"/>
  <c r="AL1717" i="1"/>
  <c r="AJ1717" i="1"/>
  <c r="AI1717" i="1"/>
  <c r="AH1717" i="1"/>
  <c r="AG1717" i="1"/>
  <c r="AF1717" i="1"/>
  <c r="AE1717" i="1"/>
  <c r="AD1717" i="1"/>
  <c r="AC1717" i="1"/>
  <c r="AL1716" i="1"/>
  <c r="AJ1716" i="1"/>
  <c r="AI1716" i="1"/>
  <c r="AH1716" i="1"/>
  <c r="AG1716" i="1"/>
  <c r="AF1716" i="1"/>
  <c r="AE1716" i="1"/>
  <c r="AD1716" i="1"/>
  <c r="AC1716" i="1"/>
  <c r="AL1715" i="1"/>
  <c r="AJ1715" i="1"/>
  <c r="AI1715" i="1"/>
  <c r="AH1715" i="1"/>
  <c r="AG1715" i="1"/>
  <c r="AF1715" i="1"/>
  <c r="AE1715" i="1"/>
  <c r="AD1715" i="1"/>
  <c r="AC1715" i="1"/>
  <c r="AL1714" i="1"/>
  <c r="AJ1714" i="1"/>
  <c r="AI1714" i="1"/>
  <c r="AH1714" i="1"/>
  <c r="AG1714" i="1"/>
  <c r="AF1714" i="1"/>
  <c r="AE1714" i="1"/>
  <c r="AD1714" i="1"/>
  <c r="AC1714" i="1"/>
  <c r="AL1713" i="1"/>
  <c r="AJ1713" i="1"/>
  <c r="AI1713" i="1"/>
  <c r="AH1713" i="1"/>
  <c r="AG1713" i="1"/>
  <c r="AF1713" i="1"/>
  <c r="AE1713" i="1"/>
  <c r="AD1713" i="1"/>
  <c r="AC1713" i="1"/>
  <c r="AL1712" i="1"/>
  <c r="AJ1712" i="1"/>
  <c r="AI1712" i="1"/>
  <c r="AH1712" i="1"/>
  <c r="AG1712" i="1"/>
  <c r="AF1712" i="1"/>
  <c r="AE1712" i="1"/>
  <c r="AD1712" i="1"/>
  <c r="AC1712" i="1"/>
  <c r="AL1711" i="1"/>
  <c r="AJ1711" i="1"/>
  <c r="AI1711" i="1"/>
  <c r="AH1711" i="1"/>
  <c r="AG1711" i="1"/>
  <c r="AF1711" i="1"/>
  <c r="AE1711" i="1"/>
  <c r="AD1711" i="1"/>
  <c r="AC1711" i="1"/>
  <c r="AL1710" i="1"/>
  <c r="AJ1710" i="1"/>
  <c r="AI1710" i="1"/>
  <c r="AH1710" i="1"/>
  <c r="AG1710" i="1"/>
  <c r="AF1710" i="1"/>
  <c r="AE1710" i="1"/>
  <c r="AD1710" i="1"/>
  <c r="AC1710" i="1"/>
  <c r="AL1709" i="1"/>
  <c r="AJ1709" i="1"/>
  <c r="AI1709" i="1"/>
  <c r="AH1709" i="1"/>
  <c r="AG1709" i="1"/>
  <c r="AF1709" i="1"/>
  <c r="AE1709" i="1"/>
  <c r="AD1709" i="1"/>
  <c r="AC1709" i="1"/>
  <c r="AL1708" i="1"/>
  <c r="AJ1708" i="1"/>
  <c r="AI1708" i="1"/>
  <c r="AH1708" i="1"/>
  <c r="AG1708" i="1"/>
  <c r="AF1708" i="1"/>
  <c r="AE1708" i="1"/>
  <c r="AD1708" i="1"/>
  <c r="AC1708" i="1"/>
  <c r="AL1707" i="1"/>
  <c r="AJ1707" i="1"/>
  <c r="AI1707" i="1"/>
  <c r="AH1707" i="1"/>
  <c r="AG1707" i="1"/>
  <c r="AF1707" i="1"/>
  <c r="AE1707" i="1"/>
  <c r="AD1707" i="1"/>
  <c r="AC1707" i="1"/>
  <c r="AL1706" i="1"/>
  <c r="AJ1706" i="1"/>
  <c r="AI1706" i="1"/>
  <c r="AH1706" i="1"/>
  <c r="AG1706" i="1"/>
  <c r="AF1706" i="1"/>
  <c r="AE1706" i="1"/>
  <c r="AD1706" i="1"/>
  <c r="AC1706" i="1"/>
  <c r="AL1705" i="1"/>
  <c r="AJ1705" i="1"/>
  <c r="AI1705" i="1"/>
  <c r="AH1705" i="1"/>
  <c r="AG1705" i="1"/>
  <c r="AF1705" i="1"/>
  <c r="AE1705" i="1"/>
  <c r="AD1705" i="1"/>
  <c r="AC1705" i="1"/>
  <c r="AL1704" i="1"/>
  <c r="AJ1704" i="1"/>
  <c r="AI1704" i="1"/>
  <c r="AH1704" i="1"/>
  <c r="AG1704" i="1"/>
  <c r="AF1704" i="1"/>
  <c r="AE1704" i="1"/>
  <c r="AD1704" i="1"/>
  <c r="AC1704" i="1"/>
  <c r="AL1703" i="1"/>
  <c r="AJ1703" i="1"/>
  <c r="AI1703" i="1"/>
  <c r="AH1703" i="1"/>
  <c r="AG1703" i="1"/>
  <c r="AF1703" i="1"/>
  <c r="AE1703" i="1"/>
  <c r="AD1703" i="1"/>
  <c r="AC1703" i="1"/>
  <c r="AL1702" i="1"/>
  <c r="AJ1702" i="1"/>
  <c r="AI1702" i="1"/>
  <c r="AH1702" i="1"/>
  <c r="AG1702" i="1"/>
  <c r="AF1702" i="1"/>
  <c r="AE1702" i="1"/>
  <c r="AD1702" i="1"/>
  <c r="AC1702" i="1"/>
  <c r="AL1701" i="1"/>
  <c r="AJ1701" i="1"/>
  <c r="AI1701" i="1"/>
  <c r="AH1701" i="1"/>
  <c r="AG1701" i="1"/>
  <c r="AF1701" i="1"/>
  <c r="AE1701" i="1"/>
  <c r="AD1701" i="1"/>
  <c r="AC1701" i="1"/>
  <c r="AL1700" i="1"/>
  <c r="AJ1700" i="1"/>
  <c r="AI1700" i="1"/>
  <c r="AH1700" i="1"/>
  <c r="AG1700" i="1"/>
  <c r="AF1700" i="1"/>
  <c r="AE1700" i="1"/>
  <c r="AD1700" i="1"/>
  <c r="AC1700" i="1"/>
  <c r="AL1699" i="1"/>
  <c r="AJ1699" i="1"/>
  <c r="AI1699" i="1"/>
  <c r="AH1699" i="1"/>
  <c r="AG1699" i="1"/>
  <c r="AF1699" i="1"/>
  <c r="AE1699" i="1"/>
  <c r="AD1699" i="1"/>
  <c r="AC1699" i="1"/>
  <c r="AL1698" i="1"/>
  <c r="AJ1698" i="1"/>
  <c r="AI1698" i="1"/>
  <c r="AH1698" i="1"/>
  <c r="AG1698" i="1"/>
  <c r="AF1698" i="1"/>
  <c r="AE1698" i="1"/>
  <c r="AD1698" i="1"/>
  <c r="AC1698" i="1"/>
  <c r="AL1697" i="1"/>
  <c r="AJ1697" i="1"/>
  <c r="AI1697" i="1"/>
  <c r="AH1697" i="1"/>
  <c r="AG1697" i="1"/>
  <c r="AF1697" i="1"/>
  <c r="AE1697" i="1"/>
  <c r="AD1697" i="1"/>
  <c r="AC1697" i="1"/>
  <c r="AL1696" i="1"/>
  <c r="AJ1696" i="1"/>
  <c r="AI1696" i="1"/>
  <c r="AH1696" i="1"/>
  <c r="AG1696" i="1"/>
  <c r="AF1696" i="1"/>
  <c r="AE1696" i="1"/>
  <c r="AD1696" i="1"/>
  <c r="AC1696" i="1"/>
  <c r="AL1695" i="1"/>
  <c r="AJ1695" i="1"/>
  <c r="AI1695" i="1"/>
  <c r="AH1695" i="1"/>
  <c r="AG1695" i="1"/>
  <c r="AF1695" i="1"/>
  <c r="AE1695" i="1"/>
  <c r="AD1695" i="1"/>
  <c r="AC1695" i="1"/>
  <c r="AL1694" i="1"/>
  <c r="AJ1694" i="1"/>
  <c r="AI1694" i="1"/>
  <c r="AH1694" i="1"/>
  <c r="AG1694" i="1"/>
  <c r="AF1694" i="1"/>
  <c r="AE1694" i="1"/>
  <c r="AD1694" i="1"/>
  <c r="AC1694" i="1"/>
  <c r="AL1693" i="1"/>
  <c r="AJ1693" i="1"/>
  <c r="AI1693" i="1"/>
  <c r="AH1693" i="1"/>
  <c r="AG1693" i="1"/>
  <c r="AF1693" i="1"/>
  <c r="AE1693" i="1"/>
  <c r="AD1693" i="1"/>
  <c r="AC1693" i="1"/>
  <c r="AL1692" i="1"/>
  <c r="AJ1692" i="1"/>
  <c r="AI1692" i="1"/>
  <c r="AH1692" i="1"/>
  <c r="AG1692" i="1"/>
  <c r="AF1692" i="1"/>
  <c r="AE1692" i="1"/>
  <c r="AD1692" i="1"/>
  <c r="AC1692" i="1"/>
  <c r="AL1691" i="1"/>
  <c r="AJ1691" i="1"/>
  <c r="AI1691" i="1"/>
  <c r="AH1691" i="1"/>
  <c r="AG1691" i="1"/>
  <c r="AF1691" i="1"/>
  <c r="AE1691" i="1"/>
  <c r="AD1691" i="1"/>
  <c r="AC1691" i="1"/>
  <c r="AL1690" i="1"/>
  <c r="AJ1690" i="1"/>
  <c r="AI1690" i="1"/>
  <c r="AH1690" i="1"/>
  <c r="AG1690" i="1"/>
  <c r="AF1690" i="1"/>
  <c r="AE1690" i="1"/>
  <c r="AD1690" i="1"/>
  <c r="AC1690" i="1"/>
  <c r="AL1689" i="1"/>
  <c r="AJ1689" i="1"/>
  <c r="AI1689" i="1"/>
  <c r="AH1689" i="1"/>
  <c r="AG1689" i="1"/>
  <c r="AF1689" i="1"/>
  <c r="AE1689" i="1"/>
  <c r="AD1689" i="1"/>
  <c r="AC1689" i="1"/>
  <c r="AL1688" i="1"/>
  <c r="AJ1688" i="1"/>
  <c r="AI1688" i="1"/>
  <c r="AH1688" i="1"/>
  <c r="AG1688" i="1"/>
  <c r="AF1688" i="1"/>
  <c r="AE1688" i="1"/>
  <c r="AD1688" i="1"/>
  <c r="AC1688" i="1"/>
  <c r="AL1687" i="1"/>
  <c r="AJ1687" i="1"/>
  <c r="AI1687" i="1"/>
  <c r="AH1687" i="1"/>
  <c r="AG1687" i="1"/>
  <c r="AF1687" i="1"/>
  <c r="AE1687" i="1"/>
  <c r="AD1687" i="1"/>
  <c r="AC1687" i="1"/>
  <c r="AL1686" i="1"/>
  <c r="AJ1686" i="1"/>
  <c r="AI1686" i="1"/>
  <c r="AH1686" i="1"/>
  <c r="AG1686" i="1"/>
  <c r="AF1686" i="1"/>
  <c r="AE1686" i="1"/>
  <c r="AD1686" i="1"/>
  <c r="AC1686" i="1"/>
  <c r="AL1685" i="1"/>
  <c r="AJ1685" i="1"/>
  <c r="AI1685" i="1"/>
  <c r="AH1685" i="1"/>
  <c r="AG1685" i="1"/>
  <c r="AF1685" i="1"/>
  <c r="AE1685" i="1"/>
  <c r="AD1685" i="1"/>
  <c r="AC1685" i="1"/>
  <c r="AL1684" i="1"/>
  <c r="AJ1684" i="1"/>
  <c r="AI1684" i="1"/>
  <c r="AH1684" i="1"/>
  <c r="AG1684" i="1"/>
  <c r="AF1684" i="1"/>
  <c r="AE1684" i="1"/>
  <c r="AD1684" i="1"/>
  <c r="AC1684" i="1"/>
  <c r="AL1683" i="1"/>
  <c r="AJ1683" i="1"/>
  <c r="AI1683" i="1"/>
  <c r="AH1683" i="1"/>
  <c r="AG1683" i="1"/>
  <c r="AF1683" i="1"/>
  <c r="AE1683" i="1"/>
  <c r="AD1683" i="1"/>
  <c r="AC1683" i="1"/>
  <c r="AL1682" i="1"/>
  <c r="AJ1682" i="1"/>
  <c r="AI1682" i="1"/>
  <c r="AH1682" i="1"/>
  <c r="AG1682" i="1"/>
  <c r="AF1682" i="1"/>
  <c r="AE1682" i="1"/>
  <c r="AD1682" i="1"/>
  <c r="AC1682" i="1"/>
  <c r="AL1681" i="1"/>
  <c r="AJ1681" i="1"/>
  <c r="AI1681" i="1"/>
  <c r="AH1681" i="1"/>
  <c r="AG1681" i="1"/>
  <c r="AF1681" i="1"/>
  <c r="AE1681" i="1"/>
  <c r="AD1681" i="1"/>
  <c r="AC1681" i="1"/>
  <c r="AL1680" i="1"/>
  <c r="AJ1680" i="1"/>
  <c r="AI1680" i="1"/>
  <c r="AH1680" i="1"/>
  <c r="AG1680" i="1"/>
  <c r="AF1680" i="1"/>
  <c r="AE1680" i="1"/>
  <c r="AD1680" i="1"/>
  <c r="AC1680" i="1"/>
  <c r="AL1679" i="1"/>
  <c r="AJ1679" i="1"/>
  <c r="AI1679" i="1"/>
  <c r="AH1679" i="1"/>
  <c r="AG1679" i="1"/>
  <c r="AF1679" i="1"/>
  <c r="AE1679" i="1"/>
  <c r="AD1679" i="1"/>
  <c r="AC1679" i="1"/>
  <c r="AL1678" i="1"/>
  <c r="AJ1678" i="1"/>
  <c r="AI1678" i="1"/>
  <c r="AH1678" i="1"/>
  <c r="AG1678" i="1"/>
  <c r="AF1678" i="1"/>
  <c r="AE1678" i="1"/>
  <c r="AD1678" i="1"/>
  <c r="AC1678" i="1"/>
  <c r="AL1677" i="1"/>
  <c r="AJ1677" i="1"/>
  <c r="AI1677" i="1"/>
  <c r="AH1677" i="1"/>
  <c r="AG1677" i="1"/>
  <c r="AF1677" i="1"/>
  <c r="AE1677" i="1"/>
  <c r="AD1677" i="1"/>
  <c r="AC1677" i="1"/>
  <c r="AL1676" i="1"/>
  <c r="AJ1676" i="1"/>
  <c r="AI1676" i="1"/>
  <c r="AH1676" i="1"/>
  <c r="AG1676" i="1"/>
  <c r="AF1676" i="1"/>
  <c r="AE1676" i="1"/>
  <c r="AD1676" i="1"/>
  <c r="AC1676" i="1"/>
  <c r="AL1675" i="1"/>
  <c r="AJ1675" i="1"/>
  <c r="AI1675" i="1"/>
  <c r="AH1675" i="1"/>
  <c r="AG1675" i="1"/>
  <c r="AF1675" i="1"/>
  <c r="AE1675" i="1"/>
  <c r="AD1675" i="1"/>
  <c r="AC1675" i="1"/>
  <c r="AL1674" i="1"/>
  <c r="AJ1674" i="1"/>
  <c r="AI1674" i="1"/>
  <c r="AH1674" i="1"/>
  <c r="AG1674" i="1"/>
  <c r="AF1674" i="1"/>
  <c r="AE1674" i="1"/>
  <c r="AD1674" i="1"/>
  <c r="AC1674" i="1"/>
  <c r="AL1673" i="1"/>
  <c r="AJ1673" i="1"/>
  <c r="AI1673" i="1"/>
  <c r="AH1673" i="1"/>
  <c r="AG1673" i="1"/>
  <c r="AF1673" i="1"/>
  <c r="AE1673" i="1"/>
  <c r="AD1673" i="1"/>
  <c r="AC1673" i="1"/>
  <c r="AL1672" i="1"/>
  <c r="AJ1672" i="1"/>
  <c r="AI1672" i="1"/>
  <c r="AH1672" i="1"/>
  <c r="AG1672" i="1"/>
  <c r="AF1672" i="1"/>
  <c r="AE1672" i="1"/>
  <c r="AD1672" i="1"/>
  <c r="AC1672" i="1"/>
  <c r="AL1671" i="1"/>
  <c r="AJ1671" i="1"/>
  <c r="AI1671" i="1"/>
  <c r="AH1671" i="1"/>
  <c r="AG1671" i="1"/>
  <c r="AF1671" i="1"/>
  <c r="AE1671" i="1"/>
  <c r="AD1671" i="1"/>
  <c r="AC1671" i="1"/>
  <c r="AL1670" i="1"/>
  <c r="AJ1670" i="1"/>
  <c r="AI1670" i="1"/>
  <c r="AH1670" i="1"/>
  <c r="AG1670" i="1"/>
  <c r="AF1670" i="1"/>
  <c r="AE1670" i="1"/>
  <c r="AD1670" i="1"/>
  <c r="AC1670" i="1"/>
  <c r="AL1669" i="1"/>
  <c r="AJ1669" i="1"/>
  <c r="AI1669" i="1"/>
  <c r="AH1669" i="1"/>
  <c r="AG1669" i="1"/>
  <c r="AF1669" i="1"/>
  <c r="AE1669" i="1"/>
  <c r="AD1669" i="1"/>
  <c r="AC1669" i="1"/>
  <c r="AL1668" i="1"/>
  <c r="AJ1668" i="1"/>
  <c r="AI1668" i="1"/>
  <c r="AH1668" i="1"/>
  <c r="AG1668" i="1"/>
  <c r="AF1668" i="1"/>
  <c r="AE1668" i="1"/>
  <c r="AD1668" i="1"/>
  <c r="AC1668" i="1"/>
  <c r="AL1667" i="1"/>
  <c r="AJ1667" i="1"/>
  <c r="AI1667" i="1"/>
  <c r="AH1667" i="1"/>
  <c r="AG1667" i="1"/>
  <c r="AF1667" i="1"/>
  <c r="AE1667" i="1"/>
  <c r="AD1667" i="1"/>
  <c r="AC1667" i="1"/>
  <c r="AL1666" i="1"/>
  <c r="AJ1666" i="1"/>
  <c r="AI1666" i="1"/>
  <c r="AH1666" i="1"/>
  <c r="AG1666" i="1"/>
  <c r="AF1666" i="1"/>
  <c r="AE1666" i="1"/>
  <c r="AD1666" i="1"/>
  <c r="AC1666" i="1"/>
  <c r="AL1665" i="1"/>
  <c r="AJ1665" i="1"/>
  <c r="AI1665" i="1"/>
  <c r="AH1665" i="1"/>
  <c r="AG1665" i="1"/>
  <c r="AF1665" i="1"/>
  <c r="AE1665" i="1"/>
  <c r="AD1665" i="1"/>
  <c r="AC1665" i="1"/>
  <c r="AL1664" i="1"/>
  <c r="AJ1664" i="1"/>
  <c r="AI1664" i="1"/>
  <c r="AH1664" i="1"/>
  <c r="AG1664" i="1"/>
  <c r="AF1664" i="1"/>
  <c r="AE1664" i="1"/>
  <c r="AD1664" i="1"/>
  <c r="AC1664" i="1"/>
  <c r="AL1663" i="1"/>
  <c r="AJ1663" i="1"/>
  <c r="AI1663" i="1"/>
  <c r="AH1663" i="1"/>
  <c r="AG1663" i="1"/>
  <c r="AF1663" i="1"/>
  <c r="AE1663" i="1"/>
  <c r="AD1663" i="1"/>
  <c r="AC1663" i="1"/>
  <c r="AL1662" i="1"/>
  <c r="AJ1662" i="1"/>
  <c r="AI1662" i="1"/>
  <c r="AH1662" i="1"/>
  <c r="AG1662" i="1"/>
  <c r="AF1662" i="1"/>
  <c r="AE1662" i="1"/>
  <c r="AD1662" i="1"/>
  <c r="AC1662" i="1"/>
  <c r="AL1661" i="1"/>
  <c r="AJ1661" i="1"/>
  <c r="AI1661" i="1"/>
  <c r="AH1661" i="1"/>
  <c r="AG1661" i="1"/>
  <c r="AF1661" i="1"/>
  <c r="AE1661" i="1"/>
  <c r="AD1661" i="1"/>
  <c r="AC1661" i="1"/>
  <c r="AL1660" i="1"/>
  <c r="AJ1660" i="1"/>
  <c r="AI1660" i="1"/>
  <c r="AH1660" i="1"/>
  <c r="AG1660" i="1"/>
  <c r="AF1660" i="1"/>
  <c r="AE1660" i="1"/>
  <c r="AD1660" i="1"/>
  <c r="AC1660" i="1"/>
  <c r="AL1659" i="1"/>
  <c r="AJ1659" i="1"/>
  <c r="AI1659" i="1"/>
  <c r="AH1659" i="1"/>
  <c r="AG1659" i="1"/>
  <c r="AF1659" i="1"/>
  <c r="AE1659" i="1"/>
  <c r="AD1659" i="1"/>
  <c r="AC1659" i="1"/>
  <c r="AL1658" i="1"/>
  <c r="AJ1658" i="1"/>
  <c r="AI1658" i="1"/>
  <c r="AH1658" i="1"/>
  <c r="AG1658" i="1"/>
  <c r="AF1658" i="1"/>
  <c r="AE1658" i="1"/>
  <c r="AD1658" i="1"/>
  <c r="AC1658" i="1"/>
  <c r="AL1657" i="1"/>
  <c r="AJ1657" i="1"/>
  <c r="AI1657" i="1"/>
  <c r="AH1657" i="1"/>
  <c r="AG1657" i="1"/>
  <c r="AF1657" i="1"/>
  <c r="AE1657" i="1"/>
  <c r="AD1657" i="1"/>
  <c r="AC1657" i="1"/>
  <c r="AL1656" i="1"/>
  <c r="AJ1656" i="1"/>
  <c r="AI1656" i="1"/>
  <c r="AH1656" i="1"/>
  <c r="AG1656" i="1"/>
  <c r="AF1656" i="1"/>
  <c r="AE1656" i="1"/>
  <c r="AD1656" i="1"/>
  <c r="AC1656" i="1"/>
  <c r="AL1655" i="1"/>
  <c r="AJ1655" i="1"/>
  <c r="AI1655" i="1"/>
  <c r="AH1655" i="1"/>
  <c r="AG1655" i="1"/>
  <c r="AF1655" i="1"/>
  <c r="AE1655" i="1"/>
  <c r="AD1655" i="1"/>
  <c r="AC1655" i="1"/>
  <c r="AL1654" i="1"/>
  <c r="AJ1654" i="1"/>
  <c r="AI1654" i="1"/>
  <c r="AH1654" i="1"/>
  <c r="AG1654" i="1"/>
  <c r="AF1654" i="1"/>
  <c r="AE1654" i="1"/>
  <c r="AD1654" i="1"/>
  <c r="AC1654" i="1"/>
  <c r="AL1653" i="1"/>
  <c r="AJ1653" i="1"/>
  <c r="AI1653" i="1"/>
  <c r="AH1653" i="1"/>
  <c r="AG1653" i="1"/>
  <c r="AF1653" i="1"/>
  <c r="AE1653" i="1"/>
  <c r="AD1653" i="1"/>
  <c r="AC1653" i="1"/>
  <c r="AL1652" i="1"/>
  <c r="AJ1652" i="1"/>
  <c r="AI1652" i="1"/>
  <c r="AH1652" i="1"/>
  <c r="AG1652" i="1"/>
  <c r="AF1652" i="1"/>
  <c r="AE1652" i="1"/>
  <c r="AD1652" i="1"/>
  <c r="AC1652" i="1"/>
  <c r="AL1651" i="1"/>
  <c r="AJ1651" i="1"/>
  <c r="AI1651" i="1"/>
  <c r="AH1651" i="1"/>
  <c r="AG1651" i="1"/>
  <c r="AF1651" i="1"/>
  <c r="AE1651" i="1"/>
  <c r="AD1651" i="1"/>
  <c r="AC1651" i="1"/>
  <c r="AL1650" i="1"/>
  <c r="AJ1650" i="1"/>
  <c r="AI1650" i="1"/>
  <c r="AH1650" i="1"/>
  <c r="AG1650" i="1"/>
  <c r="AF1650" i="1"/>
  <c r="AE1650" i="1"/>
  <c r="AD1650" i="1"/>
  <c r="AC1650" i="1"/>
  <c r="AL1649" i="1"/>
  <c r="AJ1649" i="1"/>
  <c r="AI1649" i="1"/>
  <c r="AH1649" i="1"/>
  <c r="AG1649" i="1"/>
  <c r="AF1649" i="1"/>
  <c r="AE1649" i="1"/>
  <c r="AD1649" i="1"/>
  <c r="AC1649" i="1"/>
  <c r="AL1648" i="1"/>
  <c r="AJ1648" i="1"/>
  <c r="AI1648" i="1"/>
  <c r="AH1648" i="1"/>
  <c r="AG1648" i="1"/>
  <c r="AF1648" i="1"/>
  <c r="AE1648" i="1"/>
  <c r="AD1648" i="1"/>
  <c r="AC1648" i="1"/>
  <c r="AL1647" i="1"/>
  <c r="AJ1647" i="1"/>
  <c r="AI1647" i="1"/>
  <c r="AH1647" i="1"/>
  <c r="AG1647" i="1"/>
  <c r="AF1647" i="1"/>
  <c r="AE1647" i="1"/>
  <c r="AD1647" i="1"/>
  <c r="AC1647" i="1"/>
  <c r="AL1646" i="1"/>
  <c r="AJ1646" i="1"/>
  <c r="AI1646" i="1"/>
  <c r="AH1646" i="1"/>
  <c r="AG1646" i="1"/>
  <c r="AF1646" i="1"/>
  <c r="AE1646" i="1"/>
  <c r="AD1646" i="1"/>
  <c r="AC1646" i="1"/>
  <c r="AL1645" i="1"/>
  <c r="AJ1645" i="1"/>
  <c r="AI1645" i="1"/>
  <c r="AH1645" i="1"/>
  <c r="AG1645" i="1"/>
  <c r="AF1645" i="1"/>
  <c r="AE1645" i="1"/>
  <c r="AD1645" i="1"/>
  <c r="AC1645" i="1"/>
  <c r="AL1644" i="1"/>
  <c r="AJ1644" i="1"/>
  <c r="AI1644" i="1"/>
  <c r="AH1644" i="1"/>
  <c r="AG1644" i="1"/>
  <c r="AF1644" i="1"/>
  <c r="AE1644" i="1"/>
  <c r="AD1644" i="1"/>
  <c r="AC1644" i="1"/>
  <c r="AL1643" i="1"/>
  <c r="AJ1643" i="1"/>
  <c r="AI1643" i="1"/>
  <c r="AH1643" i="1"/>
  <c r="AG1643" i="1"/>
  <c r="AF1643" i="1"/>
  <c r="AE1643" i="1"/>
  <c r="AD1643" i="1"/>
  <c r="AC1643" i="1"/>
  <c r="AL1642" i="1"/>
  <c r="AJ1642" i="1"/>
  <c r="AI1642" i="1"/>
  <c r="AH1642" i="1"/>
  <c r="AG1642" i="1"/>
  <c r="AF1642" i="1"/>
  <c r="AE1642" i="1"/>
  <c r="AD1642" i="1"/>
  <c r="AC1642" i="1"/>
  <c r="AL1641" i="1"/>
  <c r="AJ1641" i="1"/>
  <c r="AI1641" i="1"/>
  <c r="AH1641" i="1"/>
  <c r="AG1641" i="1"/>
  <c r="AF1641" i="1"/>
  <c r="AE1641" i="1"/>
  <c r="AD1641" i="1"/>
  <c r="AC1641" i="1"/>
  <c r="AL1640" i="1"/>
  <c r="AJ1640" i="1"/>
  <c r="AI1640" i="1"/>
  <c r="AH1640" i="1"/>
  <c r="AG1640" i="1"/>
  <c r="AF1640" i="1"/>
  <c r="AE1640" i="1"/>
  <c r="AD1640" i="1"/>
  <c r="AC1640" i="1"/>
  <c r="AL1639" i="1"/>
  <c r="AJ1639" i="1"/>
  <c r="AI1639" i="1"/>
  <c r="AH1639" i="1"/>
  <c r="AG1639" i="1"/>
  <c r="AF1639" i="1"/>
  <c r="AE1639" i="1"/>
  <c r="AD1639" i="1"/>
  <c r="AC1639" i="1"/>
  <c r="AL1638" i="1"/>
  <c r="AJ1638" i="1"/>
  <c r="AI1638" i="1"/>
  <c r="AH1638" i="1"/>
  <c r="AG1638" i="1"/>
  <c r="AF1638" i="1"/>
  <c r="AE1638" i="1"/>
  <c r="AD1638" i="1"/>
  <c r="AC1638" i="1"/>
  <c r="AL1637" i="1"/>
  <c r="AJ1637" i="1"/>
  <c r="AI1637" i="1"/>
  <c r="AH1637" i="1"/>
  <c r="AG1637" i="1"/>
  <c r="AF1637" i="1"/>
  <c r="AE1637" i="1"/>
  <c r="AD1637" i="1"/>
  <c r="AC1637" i="1"/>
  <c r="AL1636" i="1"/>
  <c r="AJ1636" i="1"/>
  <c r="AI1636" i="1"/>
  <c r="AH1636" i="1"/>
  <c r="AG1636" i="1"/>
  <c r="AF1636" i="1"/>
  <c r="AE1636" i="1"/>
  <c r="AD1636" i="1"/>
  <c r="AC1636" i="1"/>
  <c r="AL1635" i="1"/>
  <c r="AJ1635" i="1"/>
  <c r="AI1635" i="1"/>
  <c r="AH1635" i="1"/>
  <c r="AG1635" i="1"/>
  <c r="AF1635" i="1"/>
  <c r="AE1635" i="1"/>
  <c r="AD1635" i="1"/>
  <c r="AC1635" i="1"/>
  <c r="AL1634" i="1"/>
  <c r="AJ1634" i="1"/>
  <c r="AI1634" i="1"/>
  <c r="AH1634" i="1"/>
  <c r="AG1634" i="1"/>
  <c r="AF1634" i="1"/>
  <c r="AE1634" i="1"/>
  <c r="AD1634" i="1"/>
  <c r="AC1634" i="1"/>
  <c r="AL1633" i="1"/>
  <c r="AJ1633" i="1"/>
  <c r="AI1633" i="1"/>
  <c r="AH1633" i="1"/>
  <c r="AG1633" i="1"/>
  <c r="AF1633" i="1"/>
  <c r="AE1633" i="1"/>
  <c r="AD1633" i="1"/>
  <c r="AC1633" i="1"/>
  <c r="AL1632" i="1"/>
  <c r="AJ1632" i="1"/>
  <c r="AI1632" i="1"/>
  <c r="AH1632" i="1"/>
  <c r="AG1632" i="1"/>
  <c r="AF1632" i="1"/>
  <c r="AE1632" i="1"/>
  <c r="AD1632" i="1"/>
  <c r="AC1632" i="1"/>
  <c r="AL1631" i="1"/>
  <c r="AJ1631" i="1"/>
  <c r="AI1631" i="1"/>
  <c r="AH1631" i="1"/>
  <c r="AG1631" i="1"/>
  <c r="AF1631" i="1"/>
  <c r="AE1631" i="1"/>
  <c r="AD1631" i="1"/>
  <c r="AC1631" i="1"/>
  <c r="AL1630" i="1"/>
  <c r="AJ1630" i="1"/>
  <c r="AI1630" i="1"/>
  <c r="AH1630" i="1"/>
  <c r="AG1630" i="1"/>
  <c r="AF1630" i="1"/>
  <c r="AE1630" i="1"/>
  <c r="AD1630" i="1"/>
  <c r="AC1630" i="1"/>
  <c r="AL1629" i="1"/>
  <c r="AJ1629" i="1"/>
  <c r="AI1629" i="1"/>
  <c r="AH1629" i="1"/>
  <c r="AG1629" i="1"/>
  <c r="AF1629" i="1"/>
  <c r="AE1629" i="1"/>
  <c r="AD1629" i="1"/>
  <c r="AC1629" i="1"/>
  <c r="AL1628" i="1"/>
  <c r="AJ1628" i="1"/>
  <c r="AI1628" i="1"/>
  <c r="AH1628" i="1"/>
  <c r="AG1628" i="1"/>
  <c r="AF1628" i="1"/>
  <c r="AE1628" i="1"/>
  <c r="AD1628" i="1"/>
  <c r="AC1628" i="1"/>
  <c r="AL1627" i="1"/>
  <c r="AJ1627" i="1"/>
  <c r="AI1627" i="1"/>
  <c r="AH1627" i="1"/>
  <c r="AG1627" i="1"/>
  <c r="AF1627" i="1"/>
  <c r="AE1627" i="1"/>
  <c r="AD1627" i="1"/>
  <c r="AC1627" i="1"/>
  <c r="AL1626" i="1"/>
  <c r="AJ1626" i="1"/>
  <c r="AI1626" i="1"/>
  <c r="AH1626" i="1"/>
  <c r="AG1626" i="1"/>
  <c r="AF1626" i="1"/>
  <c r="AE1626" i="1"/>
  <c r="AD1626" i="1"/>
  <c r="AC1626" i="1"/>
  <c r="AL1625" i="1"/>
  <c r="AJ1625" i="1"/>
  <c r="AI1625" i="1"/>
  <c r="AH1625" i="1"/>
  <c r="AG1625" i="1"/>
  <c r="AF1625" i="1"/>
  <c r="AE1625" i="1"/>
  <c r="AD1625" i="1"/>
  <c r="AC1625" i="1"/>
  <c r="AL1624" i="1"/>
  <c r="AJ1624" i="1"/>
  <c r="AI1624" i="1"/>
  <c r="AH1624" i="1"/>
  <c r="AG1624" i="1"/>
  <c r="AF1624" i="1"/>
  <c r="AE1624" i="1"/>
  <c r="AD1624" i="1"/>
  <c r="AC1624" i="1"/>
  <c r="AL1623" i="1"/>
  <c r="AJ1623" i="1"/>
  <c r="AI1623" i="1"/>
  <c r="AH1623" i="1"/>
  <c r="AG1623" i="1"/>
  <c r="AF1623" i="1"/>
  <c r="AE1623" i="1"/>
  <c r="AD1623" i="1"/>
  <c r="AC1623" i="1"/>
  <c r="AL1622" i="1"/>
  <c r="AJ1622" i="1"/>
  <c r="AI1622" i="1"/>
  <c r="AH1622" i="1"/>
  <c r="AG1622" i="1"/>
  <c r="AF1622" i="1"/>
  <c r="AE1622" i="1"/>
  <c r="AD1622" i="1"/>
  <c r="AC1622" i="1"/>
  <c r="AL1621" i="1"/>
  <c r="AJ1621" i="1"/>
  <c r="AI1621" i="1"/>
  <c r="AH1621" i="1"/>
  <c r="AG1621" i="1"/>
  <c r="AF1621" i="1"/>
  <c r="AE1621" i="1"/>
  <c r="AD1621" i="1"/>
  <c r="AC1621" i="1"/>
  <c r="AL1620" i="1"/>
  <c r="AJ1620" i="1"/>
  <c r="AI1620" i="1"/>
  <c r="AH1620" i="1"/>
  <c r="AG1620" i="1"/>
  <c r="AF1620" i="1"/>
  <c r="AE1620" i="1"/>
  <c r="AD1620" i="1"/>
  <c r="AC1620" i="1"/>
  <c r="AL1619" i="1"/>
  <c r="AJ1619" i="1"/>
  <c r="AI1619" i="1"/>
  <c r="AH1619" i="1"/>
  <c r="AG1619" i="1"/>
  <c r="AF1619" i="1"/>
  <c r="AE1619" i="1"/>
  <c r="AD1619" i="1"/>
  <c r="AC1619" i="1"/>
  <c r="AL1618" i="1"/>
  <c r="AJ1618" i="1"/>
  <c r="AI1618" i="1"/>
  <c r="AH1618" i="1"/>
  <c r="AG1618" i="1"/>
  <c r="AF1618" i="1"/>
  <c r="AE1618" i="1"/>
  <c r="AD1618" i="1"/>
  <c r="AC1618" i="1"/>
  <c r="AL1617" i="1"/>
  <c r="AJ1617" i="1"/>
  <c r="AI1617" i="1"/>
  <c r="AH1617" i="1"/>
  <c r="AG1617" i="1"/>
  <c r="AF1617" i="1"/>
  <c r="AE1617" i="1"/>
  <c r="AD1617" i="1"/>
  <c r="AC1617" i="1"/>
  <c r="AL1616" i="1"/>
  <c r="AJ1616" i="1"/>
  <c r="AI1616" i="1"/>
  <c r="AH1616" i="1"/>
  <c r="AG1616" i="1"/>
  <c r="AF1616" i="1"/>
  <c r="AE1616" i="1"/>
  <c r="AD1616" i="1"/>
  <c r="AC1616" i="1"/>
  <c r="AL1615" i="1"/>
  <c r="AJ1615" i="1"/>
  <c r="AI1615" i="1"/>
  <c r="AH1615" i="1"/>
  <c r="AG1615" i="1"/>
  <c r="AF1615" i="1"/>
  <c r="AE1615" i="1"/>
  <c r="AD1615" i="1"/>
  <c r="AC1615" i="1"/>
  <c r="AL1614" i="1"/>
  <c r="AJ1614" i="1"/>
  <c r="AI1614" i="1"/>
  <c r="AH1614" i="1"/>
  <c r="AG1614" i="1"/>
  <c r="AF1614" i="1"/>
  <c r="AE1614" i="1"/>
  <c r="AD1614" i="1"/>
  <c r="AC1614" i="1"/>
  <c r="AL1613" i="1"/>
  <c r="AJ1613" i="1"/>
  <c r="AI1613" i="1"/>
  <c r="AH1613" i="1"/>
  <c r="AG1613" i="1"/>
  <c r="AF1613" i="1"/>
  <c r="AE1613" i="1"/>
  <c r="AD1613" i="1"/>
  <c r="AC1613" i="1"/>
  <c r="AL1612" i="1"/>
  <c r="AJ1612" i="1"/>
  <c r="AI1612" i="1"/>
  <c r="AH1612" i="1"/>
  <c r="AG1612" i="1"/>
  <c r="AF1612" i="1"/>
  <c r="AE1612" i="1"/>
  <c r="AD1612" i="1"/>
  <c r="AC1612" i="1"/>
  <c r="AL1611" i="1"/>
  <c r="AJ1611" i="1"/>
  <c r="AI1611" i="1"/>
  <c r="AH1611" i="1"/>
  <c r="AG1611" i="1"/>
  <c r="AF1611" i="1"/>
  <c r="AE1611" i="1"/>
  <c r="AD1611" i="1"/>
  <c r="AC1611" i="1"/>
  <c r="AL1610" i="1"/>
  <c r="AJ1610" i="1"/>
  <c r="AI1610" i="1"/>
  <c r="AH1610" i="1"/>
  <c r="AG1610" i="1"/>
  <c r="AF1610" i="1"/>
  <c r="AE1610" i="1"/>
  <c r="AD1610" i="1"/>
  <c r="AC1610" i="1"/>
  <c r="AL1609" i="1"/>
  <c r="AJ1609" i="1"/>
  <c r="AI1609" i="1"/>
  <c r="AH1609" i="1"/>
  <c r="AG1609" i="1"/>
  <c r="AF1609" i="1"/>
  <c r="AE1609" i="1"/>
  <c r="AD1609" i="1"/>
  <c r="AC1609" i="1"/>
  <c r="AL1608" i="1"/>
  <c r="AJ1608" i="1"/>
  <c r="AI1608" i="1"/>
  <c r="AH1608" i="1"/>
  <c r="AG1608" i="1"/>
  <c r="AF1608" i="1"/>
  <c r="AE1608" i="1"/>
  <c r="AD1608" i="1"/>
  <c r="AC1608" i="1"/>
  <c r="AL1607" i="1"/>
  <c r="AJ1607" i="1"/>
  <c r="AI1607" i="1"/>
  <c r="AH1607" i="1"/>
  <c r="AG1607" i="1"/>
  <c r="AF1607" i="1"/>
  <c r="AE1607" i="1"/>
  <c r="AD1607" i="1"/>
  <c r="AC1607" i="1"/>
  <c r="AL1606" i="1"/>
  <c r="AJ1606" i="1"/>
  <c r="AI1606" i="1"/>
  <c r="AH1606" i="1"/>
  <c r="AG1606" i="1"/>
  <c r="AF1606" i="1"/>
  <c r="AE1606" i="1"/>
  <c r="AD1606" i="1"/>
  <c r="AC1606" i="1"/>
  <c r="AL1605" i="1"/>
  <c r="AJ1605" i="1"/>
  <c r="AI1605" i="1"/>
  <c r="AH1605" i="1"/>
  <c r="AG1605" i="1"/>
  <c r="AF1605" i="1"/>
  <c r="AE1605" i="1"/>
  <c r="AD1605" i="1"/>
  <c r="AC1605" i="1"/>
  <c r="AL1604" i="1"/>
  <c r="AJ1604" i="1"/>
  <c r="AI1604" i="1"/>
  <c r="AH1604" i="1"/>
  <c r="AG1604" i="1"/>
  <c r="AF1604" i="1"/>
  <c r="AE1604" i="1"/>
  <c r="AD1604" i="1"/>
  <c r="AC1604" i="1"/>
  <c r="AL1603" i="1"/>
  <c r="AJ1603" i="1"/>
  <c r="AI1603" i="1"/>
  <c r="AH1603" i="1"/>
  <c r="AG1603" i="1"/>
  <c r="AF1603" i="1"/>
  <c r="AE1603" i="1"/>
  <c r="AD1603" i="1"/>
  <c r="AC1603" i="1"/>
  <c r="AL1602" i="1"/>
  <c r="AJ1602" i="1"/>
  <c r="AI1602" i="1"/>
  <c r="AH1602" i="1"/>
  <c r="AG1602" i="1"/>
  <c r="AF1602" i="1"/>
  <c r="AE1602" i="1"/>
  <c r="AD1602" i="1"/>
  <c r="AC1602" i="1"/>
  <c r="AL1601" i="1"/>
  <c r="AJ1601" i="1"/>
  <c r="AI1601" i="1"/>
  <c r="AH1601" i="1"/>
  <c r="AG1601" i="1"/>
  <c r="AF1601" i="1"/>
  <c r="AE1601" i="1"/>
  <c r="AD1601" i="1"/>
  <c r="AC1601" i="1"/>
  <c r="AL1600" i="1"/>
  <c r="AJ1600" i="1"/>
  <c r="AI1600" i="1"/>
  <c r="AH1600" i="1"/>
  <c r="AG1600" i="1"/>
  <c r="AF1600" i="1"/>
  <c r="AE1600" i="1"/>
  <c r="AD1600" i="1"/>
  <c r="AC1600" i="1"/>
  <c r="AL1599" i="1"/>
  <c r="AJ1599" i="1"/>
  <c r="AI1599" i="1"/>
  <c r="AH1599" i="1"/>
  <c r="AG1599" i="1"/>
  <c r="AF1599" i="1"/>
  <c r="AE1599" i="1"/>
  <c r="AD1599" i="1"/>
  <c r="AC1599" i="1"/>
  <c r="AL1598" i="1"/>
  <c r="AJ1598" i="1"/>
  <c r="AI1598" i="1"/>
  <c r="AH1598" i="1"/>
  <c r="AG1598" i="1"/>
  <c r="AF1598" i="1"/>
  <c r="AE1598" i="1"/>
  <c r="AD1598" i="1"/>
  <c r="AC1598" i="1"/>
  <c r="AL1597" i="1"/>
  <c r="AJ1597" i="1"/>
  <c r="AI1597" i="1"/>
  <c r="AH1597" i="1"/>
  <c r="AG1597" i="1"/>
  <c r="AF1597" i="1"/>
  <c r="AE1597" i="1"/>
  <c r="AD1597" i="1"/>
  <c r="AC1597" i="1"/>
  <c r="AL1596" i="1"/>
  <c r="AJ1596" i="1"/>
  <c r="AI1596" i="1"/>
  <c r="AH1596" i="1"/>
  <c r="AG1596" i="1"/>
  <c r="AF1596" i="1"/>
  <c r="AE1596" i="1"/>
  <c r="AD1596" i="1"/>
  <c r="AC1596" i="1"/>
  <c r="AL1595" i="1"/>
  <c r="AJ1595" i="1"/>
  <c r="AI1595" i="1"/>
  <c r="AH1595" i="1"/>
  <c r="AG1595" i="1"/>
  <c r="AF1595" i="1"/>
  <c r="AE1595" i="1"/>
  <c r="AD1595" i="1"/>
  <c r="AC1595" i="1"/>
  <c r="AL1594" i="1"/>
  <c r="AJ1594" i="1"/>
  <c r="AI1594" i="1"/>
  <c r="AH1594" i="1"/>
  <c r="AG1594" i="1"/>
  <c r="AF1594" i="1"/>
  <c r="AE1594" i="1"/>
  <c r="AD1594" i="1"/>
  <c r="AC1594" i="1"/>
  <c r="AL1593" i="1"/>
  <c r="AJ1593" i="1"/>
  <c r="AI1593" i="1"/>
  <c r="AH1593" i="1"/>
  <c r="AG1593" i="1"/>
  <c r="AF1593" i="1"/>
  <c r="AE1593" i="1"/>
  <c r="AD1593" i="1"/>
  <c r="AC1593" i="1"/>
  <c r="AL1592" i="1"/>
  <c r="AJ1592" i="1"/>
  <c r="AI1592" i="1"/>
  <c r="AH1592" i="1"/>
  <c r="AG1592" i="1"/>
  <c r="AF1592" i="1"/>
  <c r="AE1592" i="1"/>
  <c r="AD1592" i="1"/>
  <c r="AC1592" i="1"/>
  <c r="AL1591" i="1"/>
  <c r="AJ1591" i="1"/>
  <c r="AI1591" i="1"/>
  <c r="AH1591" i="1"/>
  <c r="AG1591" i="1"/>
  <c r="AF1591" i="1"/>
  <c r="AE1591" i="1"/>
  <c r="AD1591" i="1"/>
  <c r="AC1591" i="1"/>
  <c r="AL1590" i="1"/>
  <c r="AJ1590" i="1"/>
  <c r="AI1590" i="1"/>
  <c r="AH1590" i="1"/>
  <c r="AG1590" i="1"/>
  <c r="AF1590" i="1"/>
  <c r="AE1590" i="1"/>
  <c r="AD1590" i="1"/>
  <c r="AC1590" i="1"/>
  <c r="AL1589" i="1"/>
  <c r="AJ1589" i="1"/>
  <c r="AI1589" i="1"/>
  <c r="AH1589" i="1"/>
  <c r="AG1589" i="1"/>
  <c r="AF1589" i="1"/>
  <c r="AE1589" i="1"/>
  <c r="AD1589" i="1"/>
  <c r="AC1589" i="1"/>
  <c r="AL1588" i="1"/>
  <c r="AJ1588" i="1"/>
  <c r="AI1588" i="1"/>
  <c r="AH1588" i="1"/>
  <c r="AG1588" i="1"/>
  <c r="AF1588" i="1"/>
  <c r="AE1588" i="1"/>
  <c r="AD1588" i="1"/>
  <c r="AC1588" i="1"/>
  <c r="AL1587" i="1"/>
  <c r="AJ1587" i="1"/>
  <c r="AI1587" i="1"/>
  <c r="AH1587" i="1"/>
  <c r="AG1587" i="1"/>
  <c r="AF1587" i="1"/>
  <c r="AE1587" i="1"/>
  <c r="AD1587" i="1"/>
  <c r="AC1587" i="1"/>
  <c r="AL1586" i="1"/>
  <c r="AJ1586" i="1"/>
  <c r="AI1586" i="1"/>
  <c r="AH1586" i="1"/>
  <c r="AG1586" i="1"/>
  <c r="AF1586" i="1"/>
  <c r="AE1586" i="1"/>
  <c r="AD1586" i="1"/>
  <c r="AC1586" i="1"/>
  <c r="AL1585" i="1"/>
  <c r="AJ1585" i="1"/>
  <c r="AI1585" i="1"/>
  <c r="AH1585" i="1"/>
  <c r="AG1585" i="1"/>
  <c r="AF1585" i="1"/>
  <c r="AE1585" i="1"/>
  <c r="AD1585" i="1"/>
  <c r="AC1585" i="1"/>
  <c r="AL1584" i="1"/>
  <c r="AJ1584" i="1"/>
  <c r="AI1584" i="1"/>
  <c r="AH1584" i="1"/>
  <c r="AG1584" i="1"/>
  <c r="AF1584" i="1"/>
  <c r="AE1584" i="1"/>
  <c r="AD1584" i="1"/>
  <c r="AC1584" i="1"/>
  <c r="AL1583" i="1"/>
  <c r="AJ1583" i="1"/>
  <c r="AI1583" i="1"/>
  <c r="AH1583" i="1"/>
  <c r="AG1583" i="1"/>
  <c r="AF1583" i="1"/>
  <c r="AE1583" i="1"/>
  <c r="AD1583" i="1"/>
  <c r="AC1583" i="1"/>
  <c r="AL1582" i="1"/>
  <c r="AJ1582" i="1"/>
  <c r="AI1582" i="1"/>
  <c r="AH1582" i="1"/>
  <c r="AG1582" i="1"/>
  <c r="AF1582" i="1"/>
  <c r="AE1582" i="1"/>
  <c r="AD1582" i="1"/>
  <c r="AC1582" i="1"/>
  <c r="AL1581" i="1"/>
  <c r="AJ1581" i="1"/>
  <c r="AI1581" i="1"/>
  <c r="AH1581" i="1"/>
  <c r="AG1581" i="1"/>
  <c r="AF1581" i="1"/>
  <c r="AE1581" i="1"/>
  <c r="AD1581" i="1"/>
  <c r="AC1581" i="1"/>
  <c r="AL1580" i="1"/>
  <c r="AJ1580" i="1"/>
  <c r="AI1580" i="1"/>
  <c r="AH1580" i="1"/>
  <c r="AG1580" i="1"/>
  <c r="AF1580" i="1"/>
  <c r="AE1580" i="1"/>
  <c r="AD1580" i="1"/>
  <c r="AC1580" i="1"/>
  <c r="AL1579" i="1"/>
  <c r="AJ1579" i="1"/>
  <c r="AI1579" i="1"/>
  <c r="AH1579" i="1"/>
  <c r="AG1579" i="1"/>
  <c r="AF1579" i="1"/>
  <c r="AE1579" i="1"/>
  <c r="AD1579" i="1"/>
  <c r="AC1579" i="1"/>
  <c r="AL1578" i="1"/>
  <c r="AJ1578" i="1"/>
  <c r="AI1578" i="1"/>
  <c r="AH1578" i="1"/>
  <c r="AG1578" i="1"/>
  <c r="AF1578" i="1"/>
  <c r="AE1578" i="1"/>
  <c r="AD1578" i="1"/>
  <c r="AC1578" i="1"/>
  <c r="AL1577" i="1"/>
  <c r="AJ1577" i="1"/>
  <c r="AI1577" i="1"/>
  <c r="AH1577" i="1"/>
  <c r="AG1577" i="1"/>
  <c r="AF1577" i="1"/>
  <c r="AE1577" i="1"/>
  <c r="AD1577" i="1"/>
  <c r="AC1577" i="1"/>
  <c r="AL1576" i="1"/>
  <c r="AJ1576" i="1"/>
  <c r="AI1576" i="1"/>
  <c r="AH1576" i="1"/>
  <c r="AG1576" i="1"/>
  <c r="AF1576" i="1"/>
  <c r="AE1576" i="1"/>
  <c r="AD1576" i="1"/>
  <c r="AC1576" i="1"/>
  <c r="AL1575" i="1"/>
  <c r="AJ1575" i="1"/>
  <c r="AI1575" i="1"/>
  <c r="AH1575" i="1"/>
  <c r="AG1575" i="1"/>
  <c r="AF1575" i="1"/>
  <c r="AE1575" i="1"/>
  <c r="AD1575" i="1"/>
  <c r="AC1575" i="1"/>
  <c r="AL1574" i="1"/>
  <c r="AJ1574" i="1"/>
  <c r="AI1574" i="1"/>
  <c r="AH1574" i="1"/>
  <c r="AG1574" i="1"/>
  <c r="AF1574" i="1"/>
  <c r="AE1574" i="1"/>
  <c r="AD1574" i="1"/>
  <c r="AC1574" i="1"/>
  <c r="AL1573" i="1"/>
  <c r="AJ1573" i="1"/>
  <c r="AI1573" i="1"/>
  <c r="AH1573" i="1"/>
  <c r="AG1573" i="1"/>
  <c r="AF1573" i="1"/>
  <c r="AE1573" i="1"/>
  <c r="AD1573" i="1"/>
  <c r="AC1573" i="1"/>
  <c r="AL1572" i="1"/>
  <c r="AJ1572" i="1"/>
  <c r="AI1572" i="1"/>
  <c r="AH1572" i="1"/>
  <c r="AG1572" i="1"/>
  <c r="AF1572" i="1"/>
  <c r="AE1572" i="1"/>
  <c r="AD1572" i="1"/>
  <c r="AC1572" i="1"/>
  <c r="AL1571" i="1"/>
  <c r="AJ1571" i="1"/>
  <c r="AI1571" i="1"/>
  <c r="AH1571" i="1"/>
  <c r="AG1571" i="1"/>
  <c r="AF1571" i="1"/>
  <c r="AE1571" i="1"/>
  <c r="AD1571" i="1"/>
  <c r="AC1571" i="1"/>
  <c r="AL1570" i="1"/>
  <c r="AJ1570" i="1"/>
  <c r="AI1570" i="1"/>
  <c r="AH1570" i="1"/>
  <c r="AG1570" i="1"/>
  <c r="AF1570" i="1"/>
  <c r="AE1570" i="1"/>
  <c r="AD1570" i="1"/>
  <c r="AC1570" i="1"/>
  <c r="AL1569" i="1"/>
  <c r="AJ1569" i="1"/>
  <c r="AI1569" i="1"/>
  <c r="AH1569" i="1"/>
  <c r="AG1569" i="1"/>
  <c r="AF1569" i="1"/>
  <c r="AE1569" i="1"/>
  <c r="AD1569" i="1"/>
  <c r="AC1569" i="1"/>
  <c r="AL1568" i="1"/>
  <c r="AJ1568" i="1"/>
  <c r="AI1568" i="1"/>
  <c r="AH1568" i="1"/>
  <c r="AG1568" i="1"/>
  <c r="AF1568" i="1"/>
  <c r="AE1568" i="1"/>
  <c r="AD1568" i="1"/>
  <c r="AC1568" i="1"/>
  <c r="AL1567" i="1"/>
  <c r="AJ1567" i="1"/>
  <c r="AI1567" i="1"/>
  <c r="AH1567" i="1"/>
  <c r="AG1567" i="1"/>
  <c r="AF1567" i="1"/>
  <c r="AE1567" i="1"/>
  <c r="AD1567" i="1"/>
  <c r="AC1567" i="1"/>
  <c r="AL1566" i="1"/>
  <c r="AJ1566" i="1"/>
  <c r="AI1566" i="1"/>
  <c r="AH1566" i="1"/>
  <c r="AG1566" i="1"/>
  <c r="AF1566" i="1"/>
  <c r="AE1566" i="1"/>
  <c r="AD1566" i="1"/>
  <c r="AC1566" i="1"/>
  <c r="AL1565" i="1"/>
  <c r="AJ1565" i="1"/>
  <c r="AI1565" i="1"/>
  <c r="AH1565" i="1"/>
  <c r="AG1565" i="1"/>
  <c r="AF1565" i="1"/>
  <c r="AE1565" i="1"/>
  <c r="AD1565" i="1"/>
  <c r="AC1565" i="1"/>
  <c r="AL1564" i="1"/>
  <c r="AJ1564" i="1"/>
  <c r="AI1564" i="1"/>
  <c r="AH1564" i="1"/>
  <c r="AG1564" i="1"/>
  <c r="AF1564" i="1"/>
  <c r="AE1564" i="1"/>
  <c r="AD1564" i="1"/>
  <c r="AC1564" i="1"/>
  <c r="AL1563" i="1"/>
  <c r="AJ1563" i="1"/>
  <c r="AI1563" i="1"/>
  <c r="AH1563" i="1"/>
  <c r="AG1563" i="1"/>
  <c r="AF1563" i="1"/>
  <c r="AE1563" i="1"/>
  <c r="AD1563" i="1"/>
  <c r="AC1563" i="1"/>
  <c r="AL1562" i="1"/>
  <c r="AJ1562" i="1"/>
  <c r="AI1562" i="1"/>
  <c r="AH1562" i="1"/>
  <c r="AG1562" i="1"/>
  <c r="AF1562" i="1"/>
  <c r="AE1562" i="1"/>
  <c r="AD1562" i="1"/>
  <c r="AC1562" i="1"/>
  <c r="AL1561" i="1"/>
  <c r="AJ1561" i="1"/>
  <c r="AI1561" i="1"/>
  <c r="AH1561" i="1"/>
  <c r="AG1561" i="1"/>
  <c r="AF1561" i="1"/>
  <c r="AE1561" i="1"/>
  <c r="AD1561" i="1"/>
  <c r="AC1561" i="1"/>
  <c r="AL1560" i="1"/>
  <c r="AJ1560" i="1"/>
  <c r="AI1560" i="1"/>
  <c r="AH1560" i="1"/>
  <c r="AG1560" i="1"/>
  <c r="AF1560" i="1"/>
  <c r="AE1560" i="1"/>
  <c r="AD1560" i="1"/>
  <c r="AC1560" i="1"/>
  <c r="AL1559" i="1"/>
  <c r="AJ1559" i="1"/>
  <c r="AI1559" i="1"/>
  <c r="AH1559" i="1"/>
  <c r="AG1559" i="1"/>
  <c r="AF1559" i="1"/>
  <c r="AE1559" i="1"/>
  <c r="AD1559" i="1"/>
  <c r="AC1559" i="1"/>
  <c r="AL1558" i="1"/>
  <c r="AJ1558" i="1"/>
  <c r="AI1558" i="1"/>
  <c r="AH1558" i="1"/>
  <c r="AG1558" i="1"/>
  <c r="AF1558" i="1"/>
  <c r="AE1558" i="1"/>
  <c r="AD1558" i="1"/>
  <c r="AC1558" i="1"/>
  <c r="AL1557" i="1"/>
  <c r="AJ1557" i="1"/>
  <c r="AI1557" i="1"/>
  <c r="AH1557" i="1"/>
  <c r="AG1557" i="1"/>
  <c r="AF1557" i="1"/>
  <c r="AE1557" i="1"/>
  <c r="AD1557" i="1"/>
  <c r="AC1557" i="1"/>
  <c r="AL1556" i="1"/>
  <c r="AJ1556" i="1"/>
  <c r="AI1556" i="1"/>
  <c r="AH1556" i="1"/>
  <c r="AG1556" i="1"/>
  <c r="AF1556" i="1"/>
  <c r="AE1556" i="1"/>
  <c r="AD1556" i="1"/>
  <c r="AC1556" i="1"/>
  <c r="AL1555" i="1"/>
  <c r="AJ1555" i="1"/>
  <c r="AI1555" i="1"/>
  <c r="AH1555" i="1"/>
  <c r="AG1555" i="1"/>
  <c r="AF1555" i="1"/>
  <c r="AE1555" i="1"/>
  <c r="AD1555" i="1"/>
  <c r="AC1555" i="1"/>
  <c r="AL1554" i="1"/>
  <c r="AJ1554" i="1"/>
  <c r="AI1554" i="1"/>
  <c r="AH1554" i="1"/>
  <c r="AG1554" i="1"/>
  <c r="AF1554" i="1"/>
  <c r="AE1554" i="1"/>
  <c r="AD1554" i="1"/>
  <c r="AC1554" i="1"/>
  <c r="AL1553" i="1"/>
  <c r="AJ1553" i="1"/>
  <c r="AI1553" i="1"/>
  <c r="AH1553" i="1"/>
  <c r="AG1553" i="1"/>
  <c r="AF1553" i="1"/>
  <c r="AE1553" i="1"/>
  <c r="AD1553" i="1"/>
  <c r="AC1553" i="1"/>
  <c r="AL1552" i="1"/>
  <c r="AJ1552" i="1"/>
  <c r="AI1552" i="1"/>
  <c r="AH1552" i="1"/>
  <c r="AG1552" i="1"/>
  <c r="AF1552" i="1"/>
  <c r="AE1552" i="1"/>
  <c r="AD1552" i="1"/>
  <c r="AC1552" i="1"/>
  <c r="AL1551" i="1"/>
  <c r="AJ1551" i="1"/>
  <c r="AI1551" i="1"/>
  <c r="AH1551" i="1"/>
  <c r="AG1551" i="1"/>
  <c r="AF1551" i="1"/>
  <c r="AE1551" i="1"/>
  <c r="AD1551" i="1"/>
  <c r="AC1551" i="1"/>
  <c r="AL1550" i="1"/>
  <c r="AJ1550" i="1"/>
  <c r="AI1550" i="1"/>
  <c r="AH1550" i="1"/>
  <c r="AG1550" i="1"/>
  <c r="AF1550" i="1"/>
  <c r="AE1550" i="1"/>
  <c r="AD1550" i="1"/>
  <c r="AC1550" i="1"/>
  <c r="AL1549" i="1"/>
  <c r="AJ1549" i="1"/>
  <c r="AI1549" i="1"/>
  <c r="AH1549" i="1"/>
  <c r="AG1549" i="1"/>
  <c r="AF1549" i="1"/>
  <c r="AE1549" i="1"/>
  <c r="AD1549" i="1"/>
  <c r="AC1549" i="1"/>
  <c r="AL1548" i="1"/>
  <c r="AJ1548" i="1"/>
  <c r="AI1548" i="1"/>
  <c r="AH1548" i="1"/>
  <c r="AG1548" i="1"/>
  <c r="AF1548" i="1"/>
  <c r="AE1548" i="1"/>
  <c r="AD1548" i="1"/>
  <c r="AC1548" i="1"/>
  <c r="AL1547" i="1"/>
  <c r="AJ1547" i="1"/>
  <c r="AI1547" i="1"/>
  <c r="AH1547" i="1"/>
  <c r="AG1547" i="1"/>
  <c r="AF1547" i="1"/>
  <c r="AE1547" i="1"/>
  <c r="AD1547" i="1"/>
  <c r="AC1547" i="1"/>
  <c r="AL1546" i="1"/>
  <c r="AJ1546" i="1"/>
  <c r="AI1546" i="1"/>
  <c r="AH1546" i="1"/>
  <c r="AG1546" i="1"/>
  <c r="AF1546" i="1"/>
  <c r="AE1546" i="1"/>
  <c r="AD1546" i="1"/>
  <c r="AC1546" i="1"/>
  <c r="AL1545" i="1"/>
  <c r="AJ1545" i="1"/>
  <c r="AI1545" i="1"/>
  <c r="AH1545" i="1"/>
  <c r="AG1545" i="1"/>
  <c r="AF1545" i="1"/>
  <c r="AE1545" i="1"/>
  <c r="AD1545" i="1"/>
  <c r="AC1545" i="1"/>
  <c r="AL1544" i="1"/>
  <c r="AJ1544" i="1"/>
  <c r="AI1544" i="1"/>
  <c r="AH1544" i="1"/>
  <c r="AG1544" i="1"/>
  <c r="AF1544" i="1"/>
  <c r="AE1544" i="1"/>
  <c r="AD1544" i="1"/>
  <c r="AC1544" i="1"/>
  <c r="AL1543" i="1"/>
  <c r="AJ1543" i="1"/>
  <c r="AI1543" i="1"/>
  <c r="AH1543" i="1"/>
  <c r="AG1543" i="1"/>
  <c r="AF1543" i="1"/>
  <c r="AE1543" i="1"/>
  <c r="AD1543" i="1"/>
  <c r="AC1543" i="1"/>
  <c r="AL1542" i="1"/>
  <c r="AJ1542" i="1"/>
  <c r="AI1542" i="1"/>
  <c r="AH1542" i="1"/>
  <c r="AG1542" i="1"/>
  <c r="AF1542" i="1"/>
  <c r="AE1542" i="1"/>
  <c r="AD1542" i="1"/>
  <c r="AC1542" i="1"/>
  <c r="AL1541" i="1"/>
  <c r="AJ1541" i="1"/>
  <c r="AI1541" i="1"/>
  <c r="AH1541" i="1"/>
  <c r="AG1541" i="1"/>
  <c r="AF1541" i="1"/>
  <c r="AE1541" i="1"/>
  <c r="AD1541" i="1"/>
  <c r="AC1541" i="1"/>
  <c r="AL1540" i="1"/>
  <c r="AJ1540" i="1"/>
  <c r="AI1540" i="1"/>
  <c r="AH1540" i="1"/>
  <c r="AG1540" i="1"/>
  <c r="AF1540" i="1"/>
  <c r="AE1540" i="1"/>
  <c r="AD1540" i="1"/>
  <c r="AC1540" i="1"/>
  <c r="AL1539" i="1"/>
  <c r="AJ1539" i="1"/>
  <c r="AI1539" i="1"/>
  <c r="AH1539" i="1"/>
  <c r="AG1539" i="1"/>
  <c r="AF1539" i="1"/>
  <c r="AE1539" i="1"/>
  <c r="AD1539" i="1"/>
  <c r="AC1539" i="1"/>
  <c r="AL1538" i="1"/>
  <c r="AJ1538" i="1"/>
  <c r="AI1538" i="1"/>
  <c r="AH1538" i="1"/>
  <c r="AG1538" i="1"/>
  <c r="AF1538" i="1"/>
  <c r="AE1538" i="1"/>
  <c r="AD1538" i="1"/>
  <c r="AC1538" i="1"/>
  <c r="AL1537" i="1"/>
  <c r="AJ1537" i="1"/>
  <c r="AI1537" i="1"/>
  <c r="AH1537" i="1"/>
  <c r="AG1537" i="1"/>
  <c r="AF1537" i="1"/>
  <c r="AE1537" i="1"/>
  <c r="AD1537" i="1"/>
  <c r="AC1537" i="1"/>
  <c r="AL1536" i="1"/>
  <c r="AJ1536" i="1"/>
  <c r="AI1536" i="1"/>
  <c r="AH1536" i="1"/>
  <c r="AG1536" i="1"/>
  <c r="AF1536" i="1"/>
  <c r="AE1536" i="1"/>
  <c r="AD1536" i="1"/>
  <c r="AC1536" i="1"/>
  <c r="AL1535" i="1"/>
  <c r="AJ1535" i="1"/>
  <c r="AI1535" i="1"/>
  <c r="AH1535" i="1"/>
  <c r="AG1535" i="1"/>
  <c r="AF1535" i="1"/>
  <c r="AE1535" i="1"/>
  <c r="AD1535" i="1"/>
  <c r="AC1535" i="1"/>
  <c r="AL1534" i="1"/>
  <c r="AJ1534" i="1"/>
  <c r="AI1534" i="1"/>
  <c r="AH1534" i="1"/>
  <c r="AG1534" i="1"/>
  <c r="AF1534" i="1"/>
  <c r="AE1534" i="1"/>
  <c r="AD1534" i="1"/>
  <c r="AC1534" i="1"/>
  <c r="AL1533" i="1"/>
  <c r="AJ1533" i="1"/>
  <c r="AI1533" i="1"/>
  <c r="AH1533" i="1"/>
  <c r="AG1533" i="1"/>
  <c r="AF1533" i="1"/>
  <c r="AE1533" i="1"/>
  <c r="AD1533" i="1"/>
  <c r="AC1533" i="1"/>
  <c r="AL1532" i="1"/>
  <c r="AJ1532" i="1"/>
  <c r="AI1532" i="1"/>
  <c r="AH1532" i="1"/>
  <c r="AG1532" i="1"/>
  <c r="AF1532" i="1"/>
  <c r="AE1532" i="1"/>
  <c r="AD1532" i="1"/>
  <c r="AC1532" i="1"/>
  <c r="AL1531" i="1"/>
  <c r="AJ1531" i="1"/>
  <c r="AI1531" i="1"/>
  <c r="AH1531" i="1"/>
  <c r="AG1531" i="1"/>
  <c r="AF1531" i="1"/>
  <c r="AE1531" i="1"/>
  <c r="AD1531" i="1"/>
  <c r="AC1531" i="1"/>
  <c r="AL1530" i="1"/>
  <c r="AJ1530" i="1"/>
  <c r="AI1530" i="1"/>
  <c r="AH1530" i="1"/>
  <c r="AG1530" i="1"/>
  <c r="AF1530" i="1"/>
  <c r="AE1530" i="1"/>
  <c r="AD1530" i="1"/>
  <c r="AC1530" i="1"/>
  <c r="AL1529" i="1"/>
  <c r="AJ1529" i="1"/>
  <c r="AI1529" i="1"/>
  <c r="AH1529" i="1"/>
  <c r="AG1529" i="1"/>
  <c r="AF1529" i="1"/>
  <c r="AE1529" i="1"/>
  <c r="AD1529" i="1"/>
  <c r="AC1529" i="1"/>
  <c r="AL1528" i="1"/>
  <c r="AJ1528" i="1"/>
  <c r="AI1528" i="1"/>
  <c r="AH1528" i="1"/>
  <c r="AG1528" i="1"/>
  <c r="AF1528" i="1"/>
  <c r="AE1528" i="1"/>
  <c r="AD1528" i="1"/>
  <c r="AC1528" i="1"/>
  <c r="AL1527" i="1"/>
  <c r="AJ1527" i="1"/>
  <c r="AI1527" i="1"/>
  <c r="AH1527" i="1"/>
  <c r="AG1527" i="1"/>
  <c r="AF1527" i="1"/>
  <c r="AE1527" i="1"/>
  <c r="AD1527" i="1"/>
  <c r="AC1527" i="1"/>
  <c r="AL1526" i="1"/>
  <c r="AJ1526" i="1"/>
  <c r="AI1526" i="1"/>
  <c r="AH1526" i="1"/>
  <c r="AG1526" i="1"/>
  <c r="AF1526" i="1"/>
  <c r="AE1526" i="1"/>
  <c r="AD1526" i="1"/>
  <c r="AC1526" i="1"/>
  <c r="AL1525" i="1"/>
  <c r="AJ1525" i="1"/>
  <c r="AI1525" i="1"/>
  <c r="AH1525" i="1"/>
  <c r="AG1525" i="1"/>
  <c r="AF1525" i="1"/>
  <c r="AE1525" i="1"/>
  <c r="AD1525" i="1"/>
  <c r="AC1525" i="1"/>
  <c r="AL1524" i="1"/>
  <c r="AJ1524" i="1"/>
  <c r="AI1524" i="1"/>
  <c r="AH1524" i="1"/>
  <c r="AG1524" i="1"/>
  <c r="AF1524" i="1"/>
  <c r="AE1524" i="1"/>
  <c r="AD1524" i="1"/>
  <c r="AC1524" i="1"/>
  <c r="AL1523" i="1"/>
  <c r="AJ1523" i="1"/>
  <c r="AI1523" i="1"/>
  <c r="AH1523" i="1"/>
  <c r="AG1523" i="1"/>
  <c r="AF1523" i="1"/>
  <c r="AE1523" i="1"/>
  <c r="AD1523" i="1"/>
  <c r="AC1523" i="1"/>
  <c r="AL1522" i="1"/>
  <c r="AJ1522" i="1"/>
  <c r="AI1522" i="1"/>
  <c r="AH1522" i="1"/>
  <c r="AG1522" i="1"/>
  <c r="AF1522" i="1"/>
  <c r="AE1522" i="1"/>
  <c r="AD1522" i="1"/>
  <c r="AC1522" i="1"/>
  <c r="AL1521" i="1"/>
  <c r="AJ1521" i="1"/>
  <c r="AI1521" i="1"/>
  <c r="AH1521" i="1"/>
  <c r="AG1521" i="1"/>
  <c r="AF1521" i="1"/>
  <c r="AE1521" i="1"/>
  <c r="AD1521" i="1"/>
  <c r="AC1521" i="1"/>
  <c r="AL1520" i="1"/>
  <c r="AJ1520" i="1"/>
  <c r="AI1520" i="1"/>
  <c r="AH1520" i="1"/>
  <c r="AG1520" i="1"/>
  <c r="AF1520" i="1"/>
  <c r="AE1520" i="1"/>
  <c r="AD1520" i="1"/>
  <c r="AC1520" i="1"/>
  <c r="AL1519" i="1"/>
  <c r="AJ1519" i="1"/>
  <c r="AI1519" i="1"/>
  <c r="AH1519" i="1"/>
  <c r="AG1519" i="1"/>
  <c r="AF1519" i="1"/>
  <c r="AE1519" i="1"/>
  <c r="AD1519" i="1"/>
  <c r="AC1519" i="1"/>
  <c r="AL1518" i="1"/>
  <c r="AJ1518" i="1"/>
  <c r="AI1518" i="1"/>
  <c r="AH1518" i="1"/>
  <c r="AG1518" i="1"/>
  <c r="AF1518" i="1"/>
  <c r="AE1518" i="1"/>
  <c r="AD1518" i="1"/>
  <c r="AC1518" i="1"/>
  <c r="AL1517" i="1"/>
  <c r="AJ1517" i="1"/>
  <c r="AI1517" i="1"/>
  <c r="AH1517" i="1"/>
  <c r="AG1517" i="1"/>
  <c r="AF1517" i="1"/>
  <c r="AE1517" i="1"/>
  <c r="AD1517" i="1"/>
  <c r="AC1517" i="1"/>
  <c r="AL1516" i="1"/>
  <c r="AJ1516" i="1"/>
  <c r="AI1516" i="1"/>
  <c r="AH1516" i="1"/>
  <c r="AG1516" i="1"/>
  <c r="AF1516" i="1"/>
  <c r="AE1516" i="1"/>
  <c r="AD1516" i="1"/>
  <c r="AC1516" i="1"/>
  <c r="AL1515" i="1"/>
  <c r="AJ1515" i="1"/>
  <c r="AI1515" i="1"/>
  <c r="AH1515" i="1"/>
  <c r="AG1515" i="1"/>
  <c r="AF1515" i="1"/>
  <c r="AE1515" i="1"/>
  <c r="AD1515" i="1"/>
  <c r="AC1515" i="1"/>
  <c r="AL1514" i="1"/>
  <c r="AJ1514" i="1"/>
  <c r="AI1514" i="1"/>
  <c r="AH1514" i="1"/>
  <c r="AG1514" i="1"/>
  <c r="AF1514" i="1"/>
  <c r="AE1514" i="1"/>
  <c r="AD1514" i="1"/>
  <c r="AC1514" i="1"/>
  <c r="AL1513" i="1"/>
  <c r="AJ1513" i="1"/>
  <c r="AI1513" i="1"/>
  <c r="AH1513" i="1"/>
  <c r="AG1513" i="1"/>
  <c r="AF1513" i="1"/>
  <c r="AE1513" i="1"/>
  <c r="AD1513" i="1"/>
  <c r="AC1513" i="1"/>
  <c r="AL1512" i="1"/>
  <c r="AJ1512" i="1"/>
  <c r="AI1512" i="1"/>
  <c r="AH1512" i="1"/>
  <c r="AG1512" i="1"/>
  <c r="AF1512" i="1"/>
  <c r="AE1512" i="1"/>
  <c r="AD1512" i="1"/>
  <c r="AC1512" i="1"/>
  <c r="AL1511" i="1"/>
  <c r="AJ1511" i="1"/>
  <c r="AI1511" i="1"/>
  <c r="AH1511" i="1"/>
  <c r="AG1511" i="1"/>
  <c r="AF1511" i="1"/>
  <c r="AE1511" i="1"/>
  <c r="AD1511" i="1"/>
  <c r="AC1511" i="1"/>
  <c r="AL1510" i="1"/>
  <c r="AJ1510" i="1"/>
  <c r="AI1510" i="1"/>
  <c r="AH1510" i="1"/>
  <c r="AG1510" i="1"/>
  <c r="AF1510" i="1"/>
  <c r="AE1510" i="1"/>
  <c r="AD1510" i="1"/>
  <c r="AC1510" i="1"/>
  <c r="AL1509" i="1"/>
  <c r="AJ1509" i="1"/>
  <c r="AI1509" i="1"/>
  <c r="AH1509" i="1"/>
  <c r="AG1509" i="1"/>
  <c r="AF1509" i="1"/>
  <c r="AE1509" i="1"/>
  <c r="AD1509" i="1"/>
  <c r="AC1509" i="1"/>
  <c r="AL1508" i="1"/>
  <c r="AJ1508" i="1"/>
  <c r="AI1508" i="1"/>
  <c r="AH1508" i="1"/>
  <c r="AG1508" i="1"/>
  <c r="AF1508" i="1"/>
  <c r="AE1508" i="1"/>
  <c r="AD1508" i="1"/>
  <c r="AC1508" i="1"/>
  <c r="AL1507" i="1"/>
  <c r="AJ1507" i="1"/>
  <c r="AI1507" i="1"/>
  <c r="AH1507" i="1"/>
  <c r="AG1507" i="1"/>
  <c r="AF1507" i="1"/>
  <c r="AE1507" i="1"/>
  <c r="AD1507" i="1"/>
  <c r="AC1507" i="1"/>
  <c r="AL1506" i="1"/>
  <c r="AJ1506" i="1"/>
  <c r="AI1506" i="1"/>
  <c r="AH1506" i="1"/>
  <c r="AG1506" i="1"/>
  <c r="AF1506" i="1"/>
  <c r="AE1506" i="1"/>
  <c r="AD1506" i="1"/>
  <c r="AC1506" i="1"/>
  <c r="AL1505" i="1"/>
  <c r="AJ1505" i="1"/>
  <c r="AI1505" i="1"/>
  <c r="AH1505" i="1"/>
  <c r="AG1505" i="1"/>
  <c r="AF1505" i="1"/>
  <c r="AE1505" i="1"/>
  <c r="AD1505" i="1"/>
  <c r="AC1505" i="1"/>
  <c r="AL1504" i="1"/>
  <c r="AJ1504" i="1"/>
  <c r="AI1504" i="1"/>
  <c r="AH1504" i="1"/>
  <c r="AG1504" i="1"/>
  <c r="AF1504" i="1"/>
  <c r="AE1504" i="1"/>
  <c r="AD1504" i="1"/>
  <c r="AC1504" i="1"/>
  <c r="AL1503" i="1"/>
  <c r="AJ1503" i="1"/>
  <c r="AI1503" i="1"/>
  <c r="AH1503" i="1"/>
  <c r="AG1503" i="1"/>
  <c r="AF1503" i="1"/>
  <c r="AE1503" i="1"/>
  <c r="AD1503" i="1"/>
  <c r="AC1503" i="1"/>
  <c r="AL1502" i="1"/>
  <c r="AJ1502" i="1"/>
  <c r="AI1502" i="1"/>
  <c r="AH1502" i="1"/>
  <c r="AG1502" i="1"/>
  <c r="AF1502" i="1"/>
  <c r="AE1502" i="1"/>
  <c r="AD1502" i="1"/>
  <c r="AC1502" i="1"/>
  <c r="AL1501" i="1"/>
  <c r="AJ1501" i="1"/>
  <c r="AI1501" i="1"/>
  <c r="AH1501" i="1"/>
  <c r="AG1501" i="1"/>
  <c r="AF1501" i="1"/>
  <c r="AE1501" i="1"/>
  <c r="AD1501" i="1"/>
  <c r="AC1501" i="1"/>
  <c r="AL1500" i="1"/>
  <c r="AJ1500" i="1"/>
  <c r="AI1500" i="1"/>
  <c r="AH1500" i="1"/>
  <c r="AG1500" i="1"/>
  <c r="AF1500" i="1"/>
  <c r="AE1500" i="1"/>
  <c r="AD1500" i="1"/>
  <c r="AC1500" i="1"/>
  <c r="AL1499" i="1"/>
  <c r="AJ1499" i="1"/>
  <c r="AI1499" i="1"/>
  <c r="AH1499" i="1"/>
  <c r="AG1499" i="1"/>
  <c r="AF1499" i="1"/>
  <c r="AE1499" i="1"/>
  <c r="AD1499" i="1"/>
  <c r="AC1499" i="1"/>
  <c r="AL1498" i="1"/>
  <c r="AJ1498" i="1"/>
  <c r="AI1498" i="1"/>
  <c r="AH1498" i="1"/>
  <c r="AG1498" i="1"/>
  <c r="AF1498" i="1"/>
  <c r="AE1498" i="1"/>
  <c r="AD1498" i="1"/>
  <c r="AC1498" i="1"/>
  <c r="AL1497" i="1"/>
  <c r="AJ1497" i="1"/>
  <c r="AI1497" i="1"/>
  <c r="AH1497" i="1"/>
  <c r="AG1497" i="1"/>
  <c r="AF1497" i="1"/>
  <c r="AE1497" i="1"/>
  <c r="AD1497" i="1"/>
  <c r="AC1497" i="1"/>
  <c r="AL1496" i="1"/>
  <c r="AJ1496" i="1"/>
  <c r="AI1496" i="1"/>
  <c r="AH1496" i="1"/>
  <c r="AG1496" i="1"/>
  <c r="AF1496" i="1"/>
  <c r="AE1496" i="1"/>
  <c r="AD1496" i="1"/>
  <c r="AC1496" i="1"/>
  <c r="AL1495" i="1"/>
  <c r="AJ1495" i="1"/>
  <c r="AI1495" i="1"/>
  <c r="AH1495" i="1"/>
  <c r="AG1495" i="1"/>
  <c r="AF1495" i="1"/>
  <c r="AE1495" i="1"/>
  <c r="AD1495" i="1"/>
  <c r="AC1495" i="1"/>
  <c r="AL1494" i="1"/>
  <c r="AJ1494" i="1"/>
  <c r="AI1494" i="1"/>
  <c r="AH1494" i="1"/>
  <c r="AG1494" i="1"/>
  <c r="AF1494" i="1"/>
  <c r="AE1494" i="1"/>
  <c r="AD1494" i="1"/>
  <c r="AC1494" i="1"/>
  <c r="AL1493" i="1"/>
  <c r="AJ1493" i="1"/>
  <c r="AI1493" i="1"/>
  <c r="AH1493" i="1"/>
  <c r="AG1493" i="1"/>
  <c r="AF1493" i="1"/>
  <c r="AE1493" i="1"/>
  <c r="AD1493" i="1"/>
  <c r="AC1493" i="1"/>
  <c r="AL1492" i="1"/>
  <c r="AJ1492" i="1"/>
  <c r="AI1492" i="1"/>
  <c r="AH1492" i="1"/>
  <c r="AG1492" i="1"/>
  <c r="AF1492" i="1"/>
  <c r="AE1492" i="1"/>
  <c r="AD1492" i="1"/>
  <c r="AC1492" i="1"/>
  <c r="AL1491" i="1"/>
  <c r="AJ1491" i="1"/>
  <c r="AI1491" i="1"/>
  <c r="AH1491" i="1"/>
  <c r="AG1491" i="1"/>
  <c r="AF1491" i="1"/>
  <c r="AE1491" i="1"/>
  <c r="AD1491" i="1"/>
  <c r="AC1491" i="1"/>
  <c r="AL1490" i="1"/>
  <c r="AJ1490" i="1"/>
  <c r="AI1490" i="1"/>
  <c r="AH1490" i="1"/>
  <c r="AG1490" i="1"/>
  <c r="AF1490" i="1"/>
  <c r="AE1490" i="1"/>
  <c r="AD1490" i="1"/>
  <c r="AC1490" i="1"/>
  <c r="AL1489" i="1"/>
  <c r="AJ1489" i="1"/>
  <c r="AI1489" i="1"/>
  <c r="AH1489" i="1"/>
  <c r="AG1489" i="1"/>
  <c r="AF1489" i="1"/>
  <c r="AE1489" i="1"/>
  <c r="AD1489" i="1"/>
  <c r="AC1489" i="1"/>
  <c r="AL1488" i="1"/>
  <c r="AJ1488" i="1"/>
  <c r="AI1488" i="1"/>
  <c r="AH1488" i="1"/>
  <c r="AG1488" i="1"/>
  <c r="AF1488" i="1"/>
  <c r="AE1488" i="1"/>
  <c r="AD1488" i="1"/>
  <c r="AC1488" i="1"/>
  <c r="AL1487" i="1"/>
  <c r="AJ1487" i="1"/>
  <c r="AI1487" i="1"/>
  <c r="AH1487" i="1"/>
  <c r="AG1487" i="1"/>
  <c r="AF1487" i="1"/>
  <c r="AE1487" i="1"/>
  <c r="AD1487" i="1"/>
  <c r="AC1487" i="1"/>
  <c r="AL1486" i="1"/>
  <c r="AJ1486" i="1"/>
  <c r="AI1486" i="1"/>
  <c r="AH1486" i="1"/>
  <c r="AG1486" i="1"/>
  <c r="AF1486" i="1"/>
  <c r="AE1486" i="1"/>
  <c r="AD1486" i="1"/>
  <c r="AC1486" i="1"/>
  <c r="AL1485" i="1"/>
  <c r="AJ1485" i="1"/>
  <c r="AI1485" i="1"/>
  <c r="AH1485" i="1"/>
  <c r="AG1485" i="1"/>
  <c r="AF1485" i="1"/>
  <c r="AE1485" i="1"/>
  <c r="AD1485" i="1"/>
  <c r="AC1485" i="1"/>
  <c r="AL1484" i="1"/>
  <c r="AJ1484" i="1"/>
  <c r="AI1484" i="1"/>
  <c r="AH1484" i="1"/>
  <c r="AG1484" i="1"/>
  <c r="AF1484" i="1"/>
  <c r="AE1484" i="1"/>
  <c r="AD1484" i="1"/>
  <c r="AC1484" i="1"/>
  <c r="AL1483" i="1"/>
  <c r="AJ1483" i="1"/>
  <c r="AI1483" i="1"/>
  <c r="AH1483" i="1"/>
  <c r="AG1483" i="1"/>
  <c r="AF1483" i="1"/>
  <c r="AE1483" i="1"/>
  <c r="AD1483" i="1"/>
  <c r="AC1483" i="1"/>
  <c r="AL1482" i="1"/>
  <c r="AJ1482" i="1"/>
  <c r="AI1482" i="1"/>
  <c r="AH1482" i="1"/>
  <c r="AG1482" i="1"/>
  <c r="AF1482" i="1"/>
  <c r="AE1482" i="1"/>
  <c r="AD1482" i="1"/>
  <c r="AC1482" i="1"/>
  <c r="AL1481" i="1"/>
  <c r="AJ1481" i="1"/>
  <c r="AI1481" i="1"/>
  <c r="AH1481" i="1"/>
  <c r="AG1481" i="1"/>
  <c r="AF1481" i="1"/>
  <c r="AE1481" i="1"/>
  <c r="AD1481" i="1"/>
  <c r="AC1481" i="1"/>
  <c r="AL1480" i="1"/>
  <c r="AJ1480" i="1"/>
  <c r="AI1480" i="1"/>
  <c r="AH1480" i="1"/>
  <c r="AG1480" i="1"/>
  <c r="AF1480" i="1"/>
  <c r="AE1480" i="1"/>
  <c r="AD1480" i="1"/>
  <c r="AC1480" i="1"/>
  <c r="AL1479" i="1"/>
  <c r="AJ1479" i="1"/>
  <c r="AI1479" i="1"/>
  <c r="AH1479" i="1"/>
  <c r="AG1479" i="1"/>
  <c r="AF1479" i="1"/>
  <c r="AE1479" i="1"/>
  <c r="AD1479" i="1"/>
  <c r="AC1479" i="1"/>
  <c r="AL1478" i="1"/>
  <c r="AJ1478" i="1"/>
  <c r="AI1478" i="1"/>
  <c r="AH1478" i="1"/>
  <c r="AG1478" i="1"/>
  <c r="AF1478" i="1"/>
  <c r="AE1478" i="1"/>
  <c r="AD1478" i="1"/>
  <c r="AC1478" i="1"/>
  <c r="AL1477" i="1"/>
  <c r="AJ1477" i="1"/>
  <c r="AI1477" i="1"/>
  <c r="AH1477" i="1"/>
  <c r="AG1477" i="1"/>
  <c r="AF1477" i="1"/>
  <c r="AE1477" i="1"/>
  <c r="AD1477" i="1"/>
  <c r="AC1477" i="1"/>
  <c r="AL1476" i="1"/>
  <c r="AJ1476" i="1"/>
  <c r="AI1476" i="1"/>
  <c r="AH1476" i="1"/>
  <c r="AG1476" i="1"/>
  <c r="AF1476" i="1"/>
  <c r="AE1476" i="1"/>
  <c r="AD1476" i="1"/>
  <c r="AC1476" i="1"/>
  <c r="AL1475" i="1"/>
  <c r="AJ1475" i="1"/>
  <c r="AI1475" i="1"/>
  <c r="AH1475" i="1"/>
  <c r="AG1475" i="1"/>
  <c r="AF1475" i="1"/>
  <c r="AE1475" i="1"/>
  <c r="AD1475" i="1"/>
  <c r="AC1475" i="1"/>
  <c r="AL1474" i="1"/>
  <c r="AJ1474" i="1"/>
  <c r="AI1474" i="1"/>
  <c r="AH1474" i="1"/>
  <c r="AG1474" i="1"/>
  <c r="AF1474" i="1"/>
  <c r="AE1474" i="1"/>
  <c r="AD1474" i="1"/>
  <c r="AC1474" i="1"/>
  <c r="AL1473" i="1"/>
  <c r="AJ1473" i="1"/>
  <c r="AI1473" i="1"/>
  <c r="AH1473" i="1"/>
  <c r="AG1473" i="1"/>
  <c r="AF1473" i="1"/>
  <c r="AE1473" i="1"/>
  <c r="AD1473" i="1"/>
  <c r="AC1473" i="1"/>
  <c r="AL1472" i="1"/>
  <c r="AJ1472" i="1"/>
  <c r="AI1472" i="1"/>
  <c r="AH1472" i="1"/>
  <c r="AG1472" i="1"/>
  <c r="AF1472" i="1"/>
  <c r="AE1472" i="1"/>
  <c r="AD1472" i="1"/>
  <c r="AC1472" i="1"/>
  <c r="AL1471" i="1"/>
  <c r="AJ1471" i="1"/>
  <c r="AI1471" i="1"/>
  <c r="AH1471" i="1"/>
  <c r="AG1471" i="1"/>
  <c r="AF1471" i="1"/>
  <c r="AE1471" i="1"/>
  <c r="AD1471" i="1"/>
  <c r="AC1471" i="1"/>
  <c r="AL1470" i="1"/>
  <c r="AJ1470" i="1"/>
  <c r="AI1470" i="1"/>
  <c r="AH1470" i="1"/>
  <c r="AG1470" i="1"/>
  <c r="AF1470" i="1"/>
  <c r="AE1470" i="1"/>
  <c r="AD1470" i="1"/>
  <c r="AC1470" i="1"/>
  <c r="AL1469" i="1"/>
  <c r="AJ1469" i="1"/>
  <c r="AI1469" i="1"/>
  <c r="AH1469" i="1"/>
  <c r="AG1469" i="1"/>
  <c r="AF1469" i="1"/>
  <c r="AE1469" i="1"/>
  <c r="AD1469" i="1"/>
  <c r="AC1469" i="1"/>
  <c r="AL1468" i="1"/>
  <c r="AJ1468" i="1"/>
  <c r="AI1468" i="1"/>
  <c r="AH1468" i="1"/>
  <c r="AG1468" i="1"/>
  <c r="AF1468" i="1"/>
  <c r="AE1468" i="1"/>
  <c r="AD1468" i="1"/>
  <c r="AC1468" i="1"/>
  <c r="AL1467" i="1"/>
  <c r="AJ1467" i="1"/>
  <c r="AI1467" i="1"/>
  <c r="AH1467" i="1"/>
  <c r="AG1467" i="1"/>
  <c r="AF1467" i="1"/>
  <c r="AE1467" i="1"/>
  <c r="AD1467" i="1"/>
  <c r="AC1467" i="1"/>
  <c r="AL1466" i="1"/>
  <c r="AJ1466" i="1"/>
  <c r="AI1466" i="1"/>
  <c r="AH1466" i="1"/>
  <c r="AG1466" i="1"/>
  <c r="AF1466" i="1"/>
  <c r="AE1466" i="1"/>
  <c r="AD1466" i="1"/>
  <c r="AC1466" i="1"/>
  <c r="AL1465" i="1"/>
  <c r="AJ1465" i="1"/>
  <c r="AI1465" i="1"/>
  <c r="AH1465" i="1"/>
  <c r="AG1465" i="1"/>
  <c r="AF1465" i="1"/>
  <c r="AE1465" i="1"/>
  <c r="AD1465" i="1"/>
  <c r="AC1465" i="1"/>
  <c r="AL1464" i="1"/>
  <c r="AJ1464" i="1"/>
  <c r="AI1464" i="1"/>
  <c r="AH1464" i="1"/>
  <c r="AG1464" i="1"/>
  <c r="AF1464" i="1"/>
  <c r="AE1464" i="1"/>
  <c r="AD1464" i="1"/>
  <c r="AC1464" i="1"/>
  <c r="AL1463" i="1"/>
  <c r="AJ1463" i="1"/>
  <c r="AI1463" i="1"/>
  <c r="AH1463" i="1"/>
  <c r="AG1463" i="1"/>
  <c r="AF1463" i="1"/>
  <c r="AE1463" i="1"/>
  <c r="AD1463" i="1"/>
  <c r="AC1463" i="1"/>
  <c r="AL1462" i="1"/>
  <c r="AJ1462" i="1"/>
  <c r="AI1462" i="1"/>
  <c r="AH1462" i="1"/>
  <c r="AG1462" i="1"/>
  <c r="AF1462" i="1"/>
  <c r="AE1462" i="1"/>
  <c r="AD1462" i="1"/>
  <c r="AC1462" i="1"/>
  <c r="AL1461" i="1"/>
  <c r="AJ1461" i="1"/>
  <c r="AI1461" i="1"/>
  <c r="AH1461" i="1"/>
  <c r="AG1461" i="1"/>
  <c r="AF1461" i="1"/>
  <c r="AE1461" i="1"/>
  <c r="AD1461" i="1"/>
  <c r="AC1461" i="1"/>
  <c r="AL1460" i="1"/>
  <c r="AJ1460" i="1"/>
  <c r="AI1460" i="1"/>
  <c r="AH1460" i="1"/>
  <c r="AG1460" i="1"/>
  <c r="AF1460" i="1"/>
  <c r="AE1460" i="1"/>
  <c r="AD1460" i="1"/>
  <c r="AC1460" i="1"/>
  <c r="AL1459" i="1"/>
  <c r="AJ1459" i="1"/>
  <c r="AI1459" i="1"/>
  <c r="AH1459" i="1"/>
  <c r="AG1459" i="1"/>
  <c r="AF1459" i="1"/>
  <c r="AE1459" i="1"/>
  <c r="AD1459" i="1"/>
  <c r="AC1459" i="1"/>
  <c r="AL1458" i="1"/>
  <c r="AJ1458" i="1"/>
  <c r="AI1458" i="1"/>
  <c r="AH1458" i="1"/>
  <c r="AG1458" i="1"/>
  <c r="AF1458" i="1"/>
  <c r="AE1458" i="1"/>
  <c r="AD1458" i="1"/>
  <c r="AC1458" i="1"/>
  <c r="AL1457" i="1"/>
  <c r="AJ1457" i="1"/>
  <c r="AI1457" i="1"/>
  <c r="AH1457" i="1"/>
  <c r="AG1457" i="1"/>
  <c r="AF1457" i="1"/>
  <c r="AE1457" i="1"/>
  <c r="AD1457" i="1"/>
  <c r="AC1457" i="1"/>
  <c r="AL1456" i="1"/>
  <c r="AJ1456" i="1"/>
  <c r="AI1456" i="1"/>
  <c r="AH1456" i="1"/>
  <c r="AG1456" i="1"/>
  <c r="AF1456" i="1"/>
  <c r="AE1456" i="1"/>
  <c r="AD1456" i="1"/>
  <c r="AC1456" i="1"/>
  <c r="AL1455" i="1"/>
  <c r="AJ1455" i="1"/>
  <c r="AI1455" i="1"/>
  <c r="AH1455" i="1"/>
  <c r="AG1455" i="1"/>
  <c r="AF1455" i="1"/>
  <c r="AE1455" i="1"/>
  <c r="AD1455" i="1"/>
  <c r="AC1455" i="1"/>
  <c r="AL1454" i="1"/>
  <c r="AJ1454" i="1"/>
  <c r="AI1454" i="1"/>
  <c r="AH1454" i="1"/>
  <c r="AG1454" i="1"/>
  <c r="AF1454" i="1"/>
  <c r="AE1454" i="1"/>
  <c r="AD1454" i="1"/>
  <c r="AC1454" i="1"/>
  <c r="AL1453" i="1"/>
  <c r="AJ1453" i="1"/>
  <c r="AI1453" i="1"/>
  <c r="AH1453" i="1"/>
  <c r="AG1453" i="1"/>
  <c r="AF1453" i="1"/>
  <c r="AE1453" i="1"/>
  <c r="AD1453" i="1"/>
  <c r="AC1453" i="1"/>
  <c r="AL1452" i="1"/>
  <c r="AJ1452" i="1"/>
  <c r="AI1452" i="1"/>
  <c r="AH1452" i="1"/>
  <c r="AG1452" i="1"/>
  <c r="AF1452" i="1"/>
  <c r="AE1452" i="1"/>
  <c r="AD1452" i="1"/>
  <c r="AC1452" i="1"/>
  <c r="AL1451" i="1"/>
  <c r="AJ1451" i="1"/>
  <c r="AI1451" i="1"/>
  <c r="AH1451" i="1"/>
  <c r="AG1451" i="1"/>
  <c r="AF1451" i="1"/>
  <c r="AE1451" i="1"/>
  <c r="AD1451" i="1"/>
  <c r="AC1451" i="1"/>
  <c r="AL1450" i="1"/>
  <c r="AJ1450" i="1"/>
  <c r="AI1450" i="1"/>
  <c r="AH1450" i="1"/>
  <c r="AG1450" i="1"/>
  <c r="AF1450" i="1"/>
  <c r="AE1450" i="1"/>
  <c r="AD1450" i="1"/>
  <c r="AC1450" i="1"/>
  <c r="AL1449" i="1"/>
  <c r="AJ1449" i="1"/>
  <c r="AI1449" i="1"/>
  <c r="AH1449" i="1"/>
  <c r="AG1449" i="1"/>
  <c r="AF1449" i="1"/>
  <c r="AE1449" i="1"/>
  <c r="AD1449" i="1"/>
  <c r="AC1449" i="1"/>
  <c r="AL1448" i="1"/>
  <c r="AJ1448" i="1"/>
  <c r="AI1448" i="1"/>
  <c r="AH1448" i="1"/>
  <c r="AG1448" i="1"/>
  <c r="AF1448" i="1"/>
  <c r="AE1448" i="1"/>
  <c r="AD1448" i="1"/>
  <c r="AC1448" i="1"/>
  <c r="AL1447" i="1"/>
  <c r="AJ1447" i="1"/>
  <c r="AI1447" i="1"/>
  <c r="AH1447" i="1"/>
  <c r="AG1447" i="1"/>
  <c r="AF1447" i="1"/>
  <c r="AE1447" i="1"/>
  <c r="AD1447" i="1"/>
  <c r="AC1447" i="1"/>
  <c r="AL1446" i="1"/>
  <c r="AJ1446" i="1"/>
  <c r="AI1446" i="1"/>
  <c r="AH1446" i="1"/>
  <c r="AG1446" i="1"/>
  <c r="AF1446" i="1"/>
  <c r="AE1446" i="1"/>
  <c r="AD1446" i="1"/>
  <c r="AC1446" i="1"/>
  <c r="AL1445" i="1"/>
  <c r="AJ1445" i="1"/>
  <c r="AI1445" i="1"/>
  <c r="AH1445" i="1"/>
  <c r="AG1445" i="1"/>
  <c r="AF1445" i="1"/>
  <c r="AE1445" i="1"/>
  <c r="AD1445" i="1"/>
  <c r="AC1445" i="1"/>
  <c r="AL1444" i="1"/>
  <c r="AJ1444" i="1"/>
  <c r="AI1444" i="1"/>
  <c r="AH1444" i="1"/>
  <c r="AG1444" i="1"/>
  <c r="AF1444" i="1"/>
  <c r="AE1444" i="1"/>
  <c r="AD1444" i="1"/>
  <c r="AC1444" i="1"/>
  <c r="AL1443" i="1"/>
  <c r="AJ1443" i="1"/>
  <c r="AI1443" i="1"/>
  <c r="AH1443" i="1"/>
  <c r="AG1443" i="1"/>
  <c r="AF1443" i="1"/>
  <c r="AE1443" i="1"/>
  <c r="AD1443" i="1"/>
  <c r="AC1443" i="1"/>
  <c r="AL1442" i="1"/>
  <c r="AJ1442" i="1"/>
  <c r="AI1442" i="1"/>
  <c r="AH1442" i="1"/>
  <c r="AG1442" i="1"/>
  <c r="AF1442" i="1"/>
  <c r="AE1442" i="1"/>
  <c r="AD1442" i="1"/>
  <c r="AC1442" i="1"/>
  <c r="AL1441" i="1"/>
  <c r="AJ1441" i="1"/>
  <c r="AI1441" i="1"/>
  <c r="AH1441" i="1"/>
  <c r="AG1441" i="1"/>
  <c r="AF1441" i="1"/>
  <c r="AE1441" i="1"/>
  <c r="AD1441" i="1"/>
  <c r="AC1441" i="1"/>
  <c r="AL1440" i="1"/>
  <c r="AJ1440" i="1"/>
  <c r="AI1440" i="1"/>
  <c r="AH1440" i="1"/>
  <c r="AG1440" i="1"/>
  <c r="AF1440" i="1"/>
  <c r="AE1440" i="1"/>
  <c r="AD1440" i="1"/>
  <c r="AC1440" i="1"/>
  <c r="AL1439" i="1"/>
  <c r="AJ1439" i="1"/>
  <c r="AI1439" i="1"/>
  <c r="AH1439" i="1"/>
  <c r="AG1439" i="1"/>
  <c r="AF1439" i="1"/>
  <c r="AE1439" i="1"/>
  <c r="AD1439" i="1"/>
  <c r="AC1439" i="1"/>
  <c r="AL1438" i="1"/>
  <c r="AJ1438" i="1"/>
  <c r="AI1438" i="1"/>
  <c r="AH1438" i="1"/>
  <c r="AG1438" i="1"/>
  <c r="AF1438" i="1"/>
  <c r="AE1438" i="1"/>
  <c r="AD1438" i="1"/>
  <c r="AC1438" i="1"/>
  <c r="AL1437" i="1"/>
  <c r="AJ1437" i="1"/>
  <c r="AI1437" i="1"/>
  <c r="AH1437" i="1"/>
  <c r="AG1437" i="1"/>
  <c r="AF1437" i="1"/>
  <c r="AE1437" i="1"/>
  <c r="AD1437" i="1"/>
  <c r="AC1437" i="1"/>
  <c r="AL1436" i="1"/>
  <c r="AJ1436" i="1"/>
  <c r="AI1436" i="1"/>
  <c r="AH1436" i="1"/>
  <c r="AG1436" i="1"/>
  <c r="AF1436" i="1"/>
  <c r="AE1436" i="1"/>
  <c r="AD1436" i="1"/>
  <c r="AC1436" i="1"/>
  <c r="AL1435" i="1"/>
  <c r="AJ1435" i="1"/>
  <c r="AI1435" i="1"/>
  <c r="AH1435" i="1"/>
  <c r="AG1435" i="1"/>
  <c r="AF1435" i="1"/>
  <c r="AE1435" i="1"/>
  <c r="AD1435" i="1"/>
  <c r="AC1435" i="1"/>
  <c r="AL1434" i="1"/>
  <c r="AJ1434" i="1"/>
  <c r="AI1434" i="1"/>
  <c r="AH1434" i="1"/>
  <c r="AG1434" i="1"/>
  <c r="AF1434" i="1"/>
  <c r="AE1434" i="1"/>
  <c r="AD1434" i="1"/>
  <c r="AC1434" i="1"/>
  <c r="AL1433" i="1"/>
  <c r="AJ1433" i="1"/>
  <c r="AI1433" i="1"/>
  <c r="AH1433" i="1"/>
  <c r="AG1433" i="1"/>
  <c r="AF1433" i="1"/>
  <c r="AE1433" i="1"/>
  <c r="AD1433" i="1"/>
  <c r="AC1433" i="1"/>
  <c r="AL1432" i="1"/>
  <c r="AJ1432" i="1"/>
  <c r="AI1432" i="1"/>
  <c r="AH1432" i="1"/>
  <c r="AG1432" i="1"/>
  <c r="AF1432" i="1"/>
  <c r="AE1432" i="1"/>
  <c r="AD1432" i="1"/>
  <c r="AC1432" i="1"/>
  <c r="AL1431" i="1"/>
  <c r="AJ1431" i="1"/>
  <c r="AI1431" i="1"/>
  <c r="AH1431" i="1"/>
  <c r="AG1431" i="1"/>
  <c r="AF1431" i="1"/>
  <c r="AE1431" i="1"/>
  <c r="AD1431" i="1"/>
  <c r="AC1431" i="1"/>
  <c r="AL1430" i="1"/>
  <c r="AJ1430" i="1"/>
  <c r="AI1430" i="1"/>
  <c r="AH1430" i="1"/>
  <c r="AG1430" i="1"/>
  <c r="AF1430" i="1"/>
  <c r="AE1430" i="1"/>
  <c r="AD1430" i="1"/>
  <c r="AC1430" i="1"/>
  <c r="AL1429" i="1"/>
  <c r="AJ1429" i="1"/>
  <c r="AI1429" i="1"/>
  <c r="AH1429" i="1"/>
  <c r="AG1429" i="1"/>
  <c r="AF1429" i="1"/>
  <c r="AE1429" i="1"/>
  <c r="AD1429" i="1"/>
  <c r="AC1429" i="1"/>
  <c r="AL1428" i="1"/>
  <c r="AJ1428" i="1"/>
  <c r="AI1428" i="1"/>
  <c r="AH1428" i="1"/>
  <c r="AG1428" i="1"/>
  <c r="AF1428" i="1"/>
  <c r="AE1428" i="1"/>
  <c r="AD1428" i="1"/>
  <c r="AC1428" i="1"/>
  <c r="AL1427" i="1"/>
  <c r="AJ1427" i="1"/>
  <c r="AI1427" i="1"/>
  <c r="AH1427" i="1"/>
  <c r="AG1427" i="1"/>
  <c r="AF1427" i="1"/>
  <c r="AE1427" i="1"/>
  <c r="AD1427" i="1"/>
  <c r="AC1427" i="1"/>
  <c r="AL1426" i="1"/>
  <c r="AJ1426" i="1"/>
  <c r="AI1426" i="1"/>
  <c r="AH1426" i="1"/>
  <c r="AG1426" i="1"/>
  <c r="AF1426" i="1"/>
  <c r="AE1426" i="1"/>
  <c r="AD1426" i="1"/>
  <c r="AC1426" i="1"/>
  <c r="AL1425" i="1"/>
  <c r="AJ1425" i="1"/>
  <c r="AI1425" i="1"/>
  <c r="AH1425" i="1"/>
  <c r="AG1425" i="1"/>
  <c r="AF1425" i="1"/>
  <c r="AE1425" i="1"/>
  <c r="AD1425" i="1"/>
  <c r="AC1425" i="1"/>
  <c r="AL1424" i="1"/>
  <c r="AJ1424" i="1"/>
  <c r="AI1424" i="1"/>
  <c r="AH1424" i="1"/>
  <c r="AG1424" i="1"/>
  <c r="AF1424" i="1"/>
  <c r="AE1424" i="1"/>
  <c r="AD1424" i="1"/>
  <c r="AC1424" i="1"/>
  <c r="AL1423" i="1"/>
  <c r="AJ1423" i="1"/>
  <c r="AI1423" i="1"/>
  <c r="AH1423" i="1"/>
  <c r="AG1423" i="1"/>
  <c r="AF1423" i="1"/>
  <c r="AE1423" i="1"/>
  <c r="AD1423" i="1"/>
  <c r="AC1423" i="1"/>
  <c r="AL1422" i="1"/>
  <c r="AJ1422" i="1"/>
  <c r="AI1422" i="1"/>
  <c r="AH1422" i="1"/>
  <c r="AG1422" i="1"/>
  <c r="AF1422" i="1"/>
  <c r="AE1422" i="1"/>
  <c r="AD1422" i="1"/>
  <c r="AC1422" i="1"/>
  <c r="AL1421" i="1"/>
  <c r="AJ1421" i="1"/>
  <c r="AI1421" i="1"/>
  <c r="AH1421" i="1"/>
  <c r="AG1421" i="1"/>
  <c r="AF1421" i="1"/>
  <c r="AE1421" i="1"/>
  <c r="AD1421" i="1"/>
  <c r="AC1421" i="1"/>
  <c r="AL1420" i="1"/>
  <c r="AJ1420" i="1"/>
  <c r="AI1420" i="1"/>
  <c r="AH1420" i="1"/>
  <c r="AG1420" i="1"/>
  <c r="AF1420" i="1"/>
  <c r="AE1420" i="1"/>
  <c r="AD1420" i="1"/>
  <c r="AC1420" i="1"/>
  <c r="AL1419" i="1"/>
  <c r="AJ1419" i="1"/>
  <c r="AI1419" i="1"/>
  <c r="AH1419" i="1"/>
  <c r="AG1419" i="1"/>
  <c r="AF1419" i="1"/>
  <c r="AE1419" i="1"/>
  <c r="AD1419" i="1"/>
  <c r="AC1419" i="1"/>
  <c r="AL1418" i="1"/>
  <c r="AJ1418" i="1"/>
  <c r="AI1418" i="1"/>
  <c r="AH1418" i="1"/>
  <c r="AG1418" i="1"/>
  <c r="AF1418" i="1"/>
  <c r="AE1418" i="1"/>
  <c r="AD1418" i="1"/>
  <c r="AC1418" i="1"/>
  <c r="AL1417" i="1"/>
  <c r="AJ1417" i="1"/>
  <c r="AI1417" i="1"/>
  <c r="AH1417" i="1"/>
  <c r="AG1417" i="1"/>
  <c r="AF1417" i="1"/>
  <c r="AE1417" i="1"/>
  <c r="AD1417" i="1"/>
  <c r="AC1417" i="1"/>
  <c r="AL1416" i="1"/>
  <c r="AJ1416" i="1"/>
  <c r="AI1416" i="1"/>
  <c r="AH1416" i="1"/>
  <c r="AG1416" i="1"/>
  <c r="AF1416" i="1"/>
  <c r="AE1416" i="1"/>
  <c r="AD1416" i="1"/>
  <c r="AC1416" i="1"/>
  <c r="AL1415" i="1"/>
  <c r="AJ1415" i="1"/>
  <c r="AI1415" i="1"/>
  <c r="AH1415" i="1"/>
  <c r="AG1415" i="1"/>
  <c r="AF1415" i="1"/>
  <c r="AE1415" i="1"/>
  <c r="AD1415" i="1"/>
  <c r="AC1415" i="1"/>
  <c r="AL1414" i="1"/>
  <c r="AJ1414" i="1"/>
  <c r="AI1414" i="1"/>
  <c r="AH1414" i="1"/>
  <c r="AG1414" i="1"/>
  <c r="AF1414" i="1"/>
  <c r="AE1414" i="1"/>
  <c r="AD1414" i="1"/>
  <c r="AC1414" i="1"/>
  <c r="AL1413" i="1"/>
  <c r="AJ1413" i="1"/>
  <c r="AI1413" i="1"/>
  <c r="AH1413" i="1"/>
  <c r="AG1413" i="1"/>
  <c r="AF1413" i="1"/>
  <c r="AE1413" i="1"/>
  <c r="AD1413" i="1"/>
  <c r="AC1413" i="1"/>
  <c r="AL1412" i="1"/>
  <c r="AJ1412" i="1"/>
  <c r="AI1412" i="1"/>
  <c r="AH1412" i="1"/>
  <c r="AG1412" i="1"/>
  <c r="AF1412" i="1"/>
  <c r="AE1412" i="1"/>
  <c r="AD1412" i="1"/>
  <c r="AC1412" i="1"/>
  <c r="AL1411" i="1"/>
  <c r="AJ1411" i="1"/>
  <c r="AI1411" i="1"/>
  <c r="AH1411" i="1"/>
  <c r="AG1411" i="1"/>
  <c r="AF1411" i="1"/>
  <c r="AE1411" i="1"/>
  <c r="AD1411" i="1"/>
  <c r="AC1411" i="1"/>
  <c r="AL1410" i="1"/>
  <c r="AJ1410" i="1"/>
  <c r="AI1410" i="1"/>
  <c r="AH1410" i="1"/>
  <c r="AG1410" i="1"/>
  <c r="AF1410" i="1"/>
  <c r="AE1410" i="1"/>
  <c r="AD1410" i="1"/>
  <c r="AC1410" i="1"/>
  <c r="AL1409" i="1"/>
  <c r="AJ1409" i="1"/>
  <c r="AI1409" i="1"/>
  <c r="AH1409" i="1"/>
  <c r="AG1409" i="1"/>
  <c r="AF1409" i="1"/>
  <c r="AE1409" i="1"/>
  <c r="AD1409" i="1"/>
  <c r="AC1409" i="1"/>
  <c r="AL1408" i="1"/>
  <c r="AJ1408" i="1"/>
  <c r="AI1408" i="1"/>
  <c r="AH1408" i="1"/>
  <c r="AG1408" i="1"/>
  <c r="AF1408" i="1"/>
  <c r="AE1408" i="1"/>
  <c r="AD1408" i="1"/>
  <c r="AC1408" i="1"/>
  <c r="AL1407" i="1"/>
  <c r="AJ1407" i="1"/>
  <c r="AI1407" i="1"/>
  <c r="AH1407" i="1"/>
  <c r="AG1407" i="1"/>
  <c r="AF1407" i="1"/>
  <c r="AE1407" i="1"/>
  <c r="AD1407" i="1"/>
  <c r="AC1407" i="1"/>
  <c r="AL1406" i="1"/>
  <c r="AJ1406" i="1"/>
  <c r="AI1406" i="1"/>
  <c r="AH1406" i="1"/>
  <c r="AG1406" i="1"/>
  <c r="AF1406" i="1"/>
  <c r="AE1406" i="1"/>
  <c r="AD1406" i="1"/>
  <c r="AC1406" i="1"/>
  <c r="AL1405" i="1"/>
  <c r="AJ1405" i="1"/>
  <c r="AI1405" i="1"/>
  <c r="AH1405" i="1"/>
  <c r="AG1405" i="1"/>
  <c r="AF1405" i="1"/>
  <c r="AE1405" i="1"/>
  <c r="AD1405" i="1"/>
  <c r="AC1405" i="1"/>
  <c r="AL1404" i="1"/>
  <c r="AJ1404" i="1"/>
  <c r="AI1404" i="1"/>
  <c r="AH1404" i="1"/>
  <c r="AG1404" i="1"/>
  <c r="AF1404" i="1"/>
  <c r="AE1404" i="1"/>
  <c r="AD1404" i="1"/>
  <c r="AC1404" i="1"/>
  <c r="AL1403" i="1"/>
  <c r="AJ1403" i="1"/>
  <c r="AI1403" i="1"/>
  <c r="AH1403" i="1"/>
  <c r="AG1403" i="1"/>
  <c r="AF1403" i="1"/>
  <c r="AE1403" i="1"/>
  <c r="AD1403" i="1"/>
  <c r="AC1403" i="1"/>
  <c r="AL1402" i="1"/>
  <c r="AJ1402" i="1"/>
  <c r="AI1402" i="1"/>
  <c r="AH1402" i="1"/>
  <c r="AG1402" i="1"/>
  <c r="AF1402" i="1"/>
  <c r="AE1402" i="1"/>
  <c r="AD1402" i="1"/>
  <c r="AC1402" i="1"/>
  <c r="AL1401" i="1"/>
  <c r="AJ1401" i="1"/>
  <c r="AI1401" i="1"/>
  <c r="AH1401" i="1"/>
  <c r="AG1401" i="1"/>
  <c r="AF1401" i="1"/>
  <c r="AE1401" i="1"/>
  <c r="AD1401" i="1"/>
  <c r="AC1401" i="1"/>
  <c r="AL1400" i="1"/>
  <c r="AJ1400" i="1"/>
  <c r="AI1400" i="1"/>
  <c r="AH1400" i="1"/>
  <c r="AG1400" i="1"/>
  <c r="AF1400" i="1"/>
  <c r="AE1400" i="1"/>
  <c r="AD1400" i="1"/>
  <c r="AC1400" i="1"/>
  <c r="AL1399" i="1"/>
  <c r="AJ1399" i="1"/>
  <c r="AI1399" i="1"/>
  <c r="AH1399" i="1"/>
  <c r="AG1399" i="1"/>
  <c r="AF1399" i="1"/>
  <c r="AE1399" i="1"/>
  <c r="AD1399" i="1"/>
  <c r="AC1399" i="1"/>
  <c r="AL1398" i="1"/>
  <c r="AJ1398" i="1"/>
  <c r="AI1398" i="1"/>
  <c r="AH1398" i="1"/>
  <c r="AG1398" i="1"/>
  <c r="AF1398" i="1"/>
  <c r="AE1398" i="1"/>
  <c r="AD1398" i="1"/>
  <c r="AC1398" i="1"/>
  <c r="AL1397" i="1"/>
  <c r="AJ1397" i="1"/>
  <c r="AI1397" i="1"/>
  <c r="AH1397" i="1"/>
  <c r="AG1397" i="1"/>
  <c r="AF1397" i="1"/>
  <c r="AE1397" i="1"/>
  <c r="AD1397" i="1"/>
  <c r="AC1397" i="1"/>
  <c r="AL1396" i="1"/>
  <c r="AJ1396" i="1"/>
  <c r="AI1396" i="1"/>
  <c r="AH1396" i="1"/>
  <c r="AG1396" i="1"/>
  <c r="AF1396" i="1"/>
  <c r="AE1396" i="1"/>
  <c r="AD1396" i="1"/>
  <c r="AC1396" i="1"/>
  <c r="AL1395" i="1"/>
  <c r="AJ1395" i="1"/>
  <c r="AI1395" i="1"/>
  <c r="AH1395" i="1"/>
  <c r="AG1395" i="1"/>
  <c r="AF1395" i="1"/>
  <c r="AE1395" i="1"/>
  <c r="AD1395" i="1"/>
  <c r="AC1395" i="1"/>
  <c r="AL1394" i="1"/>
  <c r="AJ1394" i="1"/>
  <c r="AI1394" i="1"/>
  <c r="AH1394" i="1"/>
  <c r="AG1394" i="1"/>
  <c r="AF1394" i="1"/>
  <c r="AE1394" i="1"/>
  <c r="AD1394" i="1"/>
  <c r="AC1394" i="1"/>
  <c r="AL1393" i="1"/>
  <c r="AJ1393" i="1"/>
  <c r="AI1393" i="1"/>
  <c r="AH1393" i="1"/>
  <c r="AG1393" i="1"/>
  <c r="AF1393" i="1"/>
  <c r="AE1393" i="1"/>
  <c r="AD1393" i="1"/>
  <c r="AC1393" i="1"/>
  <c r="AL1392" i="1"/>
  <c r="AJ1392" i="1"/>
  <c r="AI1392" i="1"/>
  <c r="AH1392" i="1"/>
  <c r="AG1392" i="1"/>
  <c r="AF1392" i="1"/>
  <c r="AE1392" i="1"/>
  <c r="AD1392" i="1"/>
  <c r="AC1392" i="1"/>
  <c r="AL1391" i="1"/>
  <c r="AJ1391" i="1"/>
  <c r="AI1391" i="1"/>
  <c r="AH1391" i="1"/>
  <c r="AG1391" i="1"/>
  <c r="AF1391" i="1"/>
  <c r="AE1391" i="1"/>
  <c r="AD1391" i="1"/>
  <c r="AC1391" i="1"/>
  <c r="AL1390" i="1"/>
  <c r="AJ1390" i="1"/>
  <c r="AI1390" i="1"/>
  <c r="AH1390" i="1"/>
  <c r="AG1390" i="1"/>
  <c r="AF1390" i="1"/>
  <c r="AE1390" i="1"/>
  <c r="AD1390" i="1"/>
  <c r="AC1390" i="1"/>
  <c r="AL1389" i="1"/>
  <c r="AJ1389" i="1"/>
  <c r="AI1389" i="1"/>
  <c r="AH1389" i="1"/>
  <c r="AG1389" i="1"/>
  <c r="AF1389" i="1"/>
  <c r="AE1389" i="1"/>
  <c r="AD1389" i="1"/>
  <c r="AC1389" i="1"/>
  <c r="AL1388" i="1"/>
  <c r="AJ1388" i="1"/>
  <c r="AI1388" i="1"/>
  <c r="AH1388" i="1"/>
  <c r="AG1388" i="1"/>
  <c r="AF1388" i="1"/>
  <c r="AE1388" i="1"/>
  <c r="AD1388" i="1"/>
  <c r="AC1388" i="1"/>
  <c r="AL1387" i="1"/>
  <c r="AJ1387" i="1"/>
  <c r="AI1387" i="1"/>
  <c r="AH1387" i="1"/>
  <c r="AG1387" i="1"/>
  <c r="AF1387" i="1"/>
  <c r="AE1387" i="1"/>
  <c r="AD1387" i="1"/>
  <c r="AC1387" i="1"/>
  <c r="AL1386" i="1"/>
  <c r="AJ1386" i="1"/>
  <c r="AI1386" i="1"/>
  <c r="AH1386" i="1"/>
  <c r="AG1386" i="1"/>
  <c r="AF1386" i="1"/>
  <c r="AE1386" i="1"/>
  <c r="AD1386" i="1"/>
  <c r="AC1386" i="1"/>
  <c r="AL1385" i="1"/>
  <c r="AJ1385" i="1"/>
  <c r="AI1385" i="1"/>
  <c r="AH1385" i="1"/>
  <c r="AG1385" i="1"/>
  <c r="AF1385" i="1"/>
  <c r="AE1385" i="1"/>
  <c r="AD1385" i="1"/>
  <c r="AC1385" i="1"/>
  <c r="AL1384" i="1"/>
  <c r="AJ1384" i="1"/>
  <c r="AI1384" i="1"/>
  <c r="AH1384" i="1"/>
  <c r="AG1384" i="1"/>
  <c r="AF1384" i="1"/>
  <c r="AE1384" i="1"/>
  <c r="AD1384" i="1"/>
  <c r="AC1384" i="1"/>
  <c r="AL1383" i="1"/>
  <c r="AJ1383" i="1"/>
  <c r="AI1383" i="1"/>
  <c r="AH1383" i="1"/>
  <c r="AG1383" i="1"/>
  <c r="AF1383" i="1"/>
  <c r="AE1383" i="1"/>
  <c r="AD1383" i="1"/>
  <c r="AC1383" i="1"/>
  <c r="AL1382" i="1"/>
  <c r="AJ1382" i="1"/>
  <c r="AI1382" i="1"/>
  <c r="AH1382" i="1"/>
  <c r="AG1382" i="1"/>
  <c r="AF1382" i="1"/>
  <c r="AE1382" i="1"/>
  <c r="AD1382" i="1"/>
  <c r="AC1382" i="1"/>
  <c r="AL1381" i="1"/>
  <c r="AJ1381" i="1"/>
  <c r="AI1381" i="1"/>
  <c r="AH1381" i="1"/>
  <c r="AG1381" i="1"/>
  <c r="AF1381" i="1"/>
  <c r="AE1381" i="1"/>
  <c r="AD1381" i="1"/>
  <c r="AC1381" i="1"/>
  <c r="AL1380" i="1"/>
  <c r="AJ1380" i="1"/>
  <c r="AI1380" i="1"/>
  <c r="AH1380" i="1"/>
  <c r="AG1380" i="1"/>
  <c r="AF1380" i="1"/>
  <c r="AE1380" i="1"/>
  <c r="AD1380" i="1"/>
  <c r="AC1380" i="1"/>
  <c r="AL1379" i="1"/>
  <c r="AJ1379" i="1"/>
  <c r="AI1379" i="1"/>
  <c r="AH1379" i="1"/>
  <c r="AG1379" i="1"/>
  <c r="AF1379" i="1"/>
  <c r="AE1379" i="1"/>
  <c r="AD1379" i="1"/>
  <c r="AC1379" i="1"/>
  <c r="AL1378" i="1"/>
  <c r="AJ1378" i="1"/>
  <c r="AI1378" i="1"/>
  <c r="AH1378" i="1"/>
  <c r="AG1378" i="1"/>
  <c r="AF1378" i="1"/>
  <c r="AE1378" i="1"/>
  <c r="AD1378" i="1"/>
  <c r="AC1378" i="1"/>
  <c r="AL1377" i="1"/>
  <c r="AJ1377" i="1"/>
  <c r="AI1377" i="1"/>
  <c r="AH1377" i="1"/>
  <c r="AG1377" i="1"/>
  <c r="AF1377" i="1"/>
  <c r="AE1377" i="1"/>
  <c r="AD1377" i="1"/>
  <c r="AC1377" i="1"/>
  <c r="AL1376" i="1"/>
  <c r="AJ1376" i="1"/>
  <c r="AI1376" i="1"/>
  <c r="AH1376" i="1"/>
  <c r="AG1376" i="1"/>
  <c r="AF1376" i="1"/>
  <c r="AE1376" i="1"/>
  <c r="AD1376" i="1"/>
  <c r="AC1376" i="1"/>
  <c r="AL1375" i="1"/>
  <c r="AJ1375" i="1"/>
  <c r="AI1375" i="1"/>
  <c r="AH1375" i="1"/>
  <c r="AG1375" i="1"/>
  <c r="AF1375" i="1"/>
  <c r="AE1375" i="1"/>
  <c r="AD1375" i="1"/>
  <c r="AC1375" i="1"/>
  <c r="AL1374" i="1"/>
  <c r="AJ1374" i="1"/>
  <c r="AI1374" i="1"/>
  <c r="AH1374" i="1"/>
  <c r="AG1374" i="1"/>
  <c r="AF1374" i="1"/>
  <c r="AE1374" i="1"/>
  <c r="AD1374" i="1"/>
  <c r="AC1374" i="1"/>
  <c r="AL1373" i="1"/>
  <c r="AJ1373" i="1"/>
  <c r="AI1373" i="1"/>
  <c r="AH1373" i="1"/>
  <c r="AG1373" i="1"/>
  <c r="AF1373" i="1"/>
  <c r="AE1373" i="1"/>
  <c r="AD1373" i="1"/>
  <c r="AC1373" i="1"/>
  <c r="AL1372" i="1"/>
  <c r="AJ1372" i="1"/>
  <c r="AI1372" i="1"/>
  <c r="AH1372" i="1"/>
  <c r="AG1372" i="1"/>
  <c r="AF1372" i="1"/>
  <c r="AE1372" i="1"/>
  <c r="AD1372" i="1"/>
  <c r="AC1372" i="1"/>
  <c r="AL1371" i="1"/>
  <c r="AJ1371" i="1"/>
  <c r="AI1371" i="1"/>
  <c r="AH1371" i="1"/>
  <c r="AG1371" i="1"/>
  <c r="AF1371" i="1"/>
  <c r="AE1371" i="1"/>
  <c r="AD1371" i="1"/>
  <c r="AC1371" i="1"/>
  <c r="AL1370" i="1"/>
  <c r="AJ1370" i="1"/>
  <c r="AI1370" i="1"/>
  <c r="AH1370" i="1"/>
  <c r="AG1370" i="1"/>
  <c r="AF1370" i="1"/>
  <c r="AE1370" i="1"/>
  <c r="AD1370" i="1"/>
  <c r="AC1370" i="1"/>
  <c r="AL1369" i="1"/>
  <c r="AJ1369" i="1"/>
  <c r="AI1369" i="1"/>
  <c r="AH1369" i="1"/>
  <c r="AG1369" i="1"/>
  <c r="AF1369" i="1"/>
  <c r="AE1369" i="1"/>
  <c r="AD1369" i="1"/>
  <c r="AC1369" i="1"/>
  <c r="AL1368" i="1"/>
  <c r="AJ1368" i="1"/>
  <c r="AI1368" i="1"/>
  <c r="AH1368" i="1"/>
  <c r="AG1368" i="1"/>
  <c r="AF1368" i="1"/>
  <c r="AE1368" i="1"/>
  <c r="AD1368" i="1"/>
  <c r="AC1368" i="1"/>
  <c r="AL1367" i="1"/>
  <c r="AJ1367" i="1"/>
  <c r="AI1367" i="1"/>
  <c r="AH1367" i="1"/>
  <c r="AG1367" i="1"/>
  <c r="AF1367" i="1"/>
  <c r="AE1367" i="1"/>
  <c r="AD1367" i="1"/>
  <c r="AC1367" i="1"/>
  <c r="AL1366" i="1"/>
  <c r="AJ1366" i="1"/>
  <c r="AI1366" i="1"/>
  <c r="AH1366" i="1"/>
  <c r="AG1366" i="1"/>
  <c r="AF1366" i="1"/>
  <c r="AE1366" i="1"/>
  <c r="AD1366" i="1"/>
  <c r="AC1366" i="1"/>
  <c r="AL1365" i="1"/>
  <c r="AJ1365" i="1"/>
  <c r="AI1365" i="1"/>
  <c r="AH1365" i="1"/>
  <c r="AG1365" i="1"/>
  <c r="AF1365" i="1"/>
  <c r="AE1365" i="1"/>
  <c r="AD1365" i="1"/>
  <c r="AC1365" i="1"/>
  <c r="AL1364" i="1"/>
  <c r="AJ1364" i="1"/>
  <c r="AI1364" i="1"/>
  <c r="AH1364" i="1"/>
  <c r="AG1364" i="1"/>
  <c r="AF1364" i="1"/>
  <c r="AE1364" i="1"/>
  <c r="AD1364" i="1"/>
  <c r="AC1364" i="1"/>
  <c r="AL1363" i="1"/>
  <c r="AJ1363" i="1"/>
  <c r="AI1363" i="1"/>
  <c r="AH1363" i="1"/>
  <c r="AG1363" i="1"/>
  <c r="AF1363" i="1"/>
  <c r="AE1363" i="1"/>
  <c r="AD1363" i="1"/>
  <c r="AC1363" i="1"/>
  <c r="AL1362" i="1"/>
  <c r="AJ1362" i="1"/>
  <c r="AI1362" i="1"/>
  <c r="AH1362" i="1"/>
  <c r="AG1362" i="1"/>
  <c r="AF1362" i="1"/>
  <c r="AE1362" i="1"/>
  <c r="AD1362" i="1"/>
  <c r="AC1362" i="1"/>
  <c r="AL1361" i="1"/>
  <c r="AJ1361" i="1"/>
  <c r="AI1361" i="1"/>
  <c r="AH1361" i="1"/>
  <c r="AG1361" i="1"/>
  <c r="AF1361" i="1"/>
  <c r="AE1361" i="1"/>
  <c r="AD1361" i="1"/>
  <c r="AC1361" i="1"/>
  <c r="AL1360" i="1"/>
  <c r="AJ1360" i="1"/>
  <c r="AI1360" i="1"/>
  <c r="AH1360" i="1"/>
  <c r="AG1360" i="1"/>
  <c r="AF1360" i="1"/>
  <c r="AE1360" i="1"/>
  <c r="AD1360" i="1"/>
  <c r="AC1360" i="1"/>
  <c r="AL1359" i="1"/>
  <c r="AJ1359" i="1"/>
  <c r="AI1359" i="1"/>
  <c r="AH1359" i="1"/>
  <c r="AG1359" i="1"/>
  <c r="AF1359" i="1"/>
  <c r="AE1359" i="1"/>
  <c r="AD1359" i="1"/>
  <c r="AC1359" i="1"/>
  <c r="AL1358" i="1"/>
  <c r="AJ1358" i="1"/>
  <c r="AI1358" i="1"/>
  <c r="AH1358" i="1"/>
  <c r="AG1358" i="1"/>
  <c r="AF1358" i="1"/>
  <c r="AE1358" i="1"/>
  <c r="AD1358" i="1"/>
  <c r="AC1358" i="1"/>
  <c r="AL1357" i="1"/>
  <c r="AJ1357" i="1"/>
  <c r="AI1357" i="1"/>
  <c r="AH1357" i="1"/>
  <c r="AG1357" i="1"/>
  <c r="AF1357" i="1"/>
  <c r="AE1357" i="1"/>
  <c r="AD1357" i="1"/>
  <c r="AC1357" i="1"/>
  <c r="AL1356" i="1"/>
  <c r="AJ1356" i="1"/>
  <c r="AI1356" i="1"/>
  <c r="AH1356" i="1"/>
  <c r="AG1356" i="1"/>
  <c r="AF1356" i="1"/>
  <c r="AE1356" i="1"/>
  <c r="AD1356" i="1"/>
  <c r="AC1356" i="1"/>
  <c r="AL1355" i="1"/>
  <c r="AJ1355" i="1"/>
  <c r="AI1355" i="1"/>
  <c r="AH1355" i="1"/>
  <c r="AG1355" i="1"/>
  <c r="AF1355" i="1"/>
  <c r="AE1355" i="1"/>
  <c r="AD1355" i="1"/>
  <c r="AC1355" i="1"/>
  <c r="AL1354" i="1"/>
  <c r="AJ1354" i="1"/>
  <c r="AI1354" i="1"/>
  <c r="AH1354" i="1"/>
  <c r="AG1354" i="1"/>
  <c r="AF1354" i="1"/>
  <c r="AE1354" i="1"/>
  <c r="AD1354" i="1"/>
  <c r="AC1354" i="1"/>
  <c r="AL1353" i="1"/>
  <c r="AJ1353" i="1"/>
  <c r="AI1353" i="1"/>
  <c r="AH1353" i="1"/>
  <c r="AG1353" i="1"/>
  <c r="AF1353" i="1"/>
  <c r="AE1353" i="1"/>
  <c r="AD1353" i="1"/>
  <c r="AC1353" i="1"/>
  <c r="AL1352" i="1"/>
  <c r="AJ1352" i="1"/>
  <c r="AI1352" i="1"/>
  <c r="AH1352" i="1"/>
  <c r="AG1352" i="1"/>
  <c r="AF1352" i="1"/>
  <c r="AE1352" i="1"/>
  <c r="AD1352" i="1"/>
  <c r="AC1352" i="1"/>
  <c r="AL1351" i="1"/>
  <c r="AJ1351" i="1"/>
  <c r="AI1351" i="1"/>
  <c r="AH1351" i="1"/>
  <c r="AG1351" i="1"/>
  <c r="AF1351" i="1"/>
  <c r="AE1351" i="1"/>
  <c r="AD1351" i="1"/>
  <c r="AC1351" i="1"/>
  <c r="AL1350" i="1"/>
  <c r="AJ1350" i="1"/>
  <c r="AI1350" i="1"/>
  <c r="AH1350" i="1"/>
  <c r="AG1350" i="1"/>
  <c r="AF1350" i="1"/>
  <c r="AE1350" i="1"/>
  <c r="AD1350" i="1"/>
  <c r="AC1350" i="1"/>
  <c r="AL1349" i="1"/>
  <c r="AJ1349" i="1"/>
  <c r="AI1349" i="1"/>
  <c r="AH1349" i="1"/>
  <c r="AG1349" i="1"/>
  <c r="AF1349" i="1"/>
  <c r="AE1349" i="1"/>
  <c r="AD1349" i="1"/>
  <c r="AC1349" i="1"/>
  <c r="AL1348" i="1"/>
  <c r="AJ1348" i="1"/>
  <c r="AI1348" i="1"/>
  <c r="AH1348" i="1"/>
  <c r="AG1348" i="1"/>
  <c r="AF1348" i="1"/>
  <c r="AE1348" i="1"/>
  <c r="AD1348" i="1"/>
  <c r="AC1348" i="1"/>
  <c r="AL1347" i="1"/>
  <c r="AJ1347" i="1"/>
  <c r="AI1347" i="1"/>
  <c r="AH1347" i="1"/>
  <c r="AG1347" i="1"/>
  <c r="AF1347" i="1"/>
  <c r="AE1347" i="1"/>
  <c r="AD1347" i="1"/>
  <c r="AC1347" i="1"/>
  <c r="AL1346" i="1"/>
  <c r="AJ1346" i="1"/>
  <c r="AI1346" i="1"/>
  <c r="AH1346" i="1"/>
  <c r="AG1346" i="1"/>
  <c r="AF1346" i="1"/>
  <c r="AE1346" i="1"/>
  <c r="AD1346" i="1"/>
  <c r="AC1346" i="1"/>
  <c r="AL1345" i="1"/>
  <c r="AJ1345" i="1"/>
  <c r="AI1345" i="1"/>
  <c r="AH1345" i="1"/>
  <c r="AG1345" i="1"/>
  <c r="AF1345" i="1"/>
  <c r="AE1345" i="1"/>
  <c r="AD1345" i="1"/>
  <c r="AC1345" i="1"/>
  <c r="AL1344" i="1"/>
  <c r="AJ1344" i="1"/>
  <c r="AI1344" i="1"/>
  <c r="AH1344" i="1"/>
  <c r="AG1344" i="1"/>
  <c r="AF1344" i="1"/>
  <c r="AE1344" i="1"/>
  <c r="AD1344" i="1"/>
  <c r="AC1344" i="1"/>
  <c r="AL1343" i="1"/>
  <c r="AJ1343" i="1"/>
  <c r="AI1343" i="1"/>
  <c r="AH1343" i="1"/>
  <c r="AG1343" i="1"/>
  <c r="AF1343" i="1"/>
  <c r="AE1343" i="1"/>
  <c r="AD1343" i="1"/>
  <c r="AC1343" i="1"/>
  <c r="AL1342" i="1"/>
  <c r="AJ1342" i="1"/>
  <c r="AI1342" i="1"/>
  <c r="AH1342" i="1"/>
  <c r="AG1342" i="1"/>
  <c r="AF1342" i="1"/>
  <c r="AE1342" i="1"/>
  <c r="AD1342" i="1"/>
  <c r="AC1342" i="1"/>
  <c r="AL1341" i="1"/>
  <c r="AJ1341" i="1"/>
  <c r="AI1341" i="1"/>
  <c r="AH1341" i="1"/>
  <c r="AG1341" i="1"/>
  <c r="AF1341" i="1"/>
  <c r="AE1341" i="1"/>
  <c r="AD1341" i="1"/>
  <c r="AC1341" i="1"/>
  <c r="AL1340" i="1"/>
  <c r="AJ1340" i="1"/>
  <c r="AI1340" i="1"/>
  <c r="AH1340" i="1"/>
  <c r="AG1340" i="1"/>
  <c r="AF1340" i="1"/>
  <c r="AE1340" i="1"/>
  <c r="AD1340" i="1"/>
  <c r="AC1340" i="1"/>
  <c r="AL1339" i="1"/>
  <c r="AJ1339" i="1"/>
  <c r="AI1339" i="1"/>
  <c r="AH1339" i="1"/>
  <c r="AG1339" i="1"/>
  <c r="AF1339" i="1"/>
  <c r="AE1339" i="1"/>
  <c r="AD1339" i="1"/>
  <c r="AC1339" i="1"/>
  <c r="AL1338" i="1"/>
  <c r="AJ1338" i="1"/>
  <c r="AI1338" i="1"/>
  <c r="AH1338" i="1"/>
  <c r="AG1338" i="1"/>
  <c r="AF1338" i="1"/>
  <c r="AE1338" i="1"/>
  <c r="AD1338" i="1"/>
  <c r="AC1338" i="1"/>
  <c r="AL1337" i="1"/>
  <c r="AJ1337" i="1"/>
  <c r="AI1337" i="1"/>
  <c r="AH1337" i="1"/>
  <c r="AG1337" i="1"/>
  <c r="AF1337" i="1"/>
  <c r="AE1337" i="1"/>
  <c r="AD1337" i="1"/>
  <c r="AC1337" i="1"/>
  <c r="AL1336" i="1"/>
  <c r="AJ1336" i="1"/>
  <c r="AI1336" i="1"/>
  <c r="AH1336" i="1"/>
  <c r="AG1336" i="1"/>
  <c r="AF1336" i="1"/>
  <c r="AE1336" i="1"/>
  <c r="AD1336" i="1"/>
  <c r="AC1336" i="1"/>
  <c r="AL1335" i="1"/>
  <c r="AJ1335" i="1"/>
  <c r="AI1335" i="1"/>
  <c r="AH1335" i="1"/>
  <c r="AG1335" i="1"/>
  <c r="AF1335" i="1"/>
  <c r="AE1335" i="1"/>
  <c r="AD1335" i="1"/>
  <c r="AC1335" i="1"/>
  <c r="AL1334" i="1"/>
  <c r="AJ1334" i="1"/>
  <c r="AI1334" i="1"/>
  <c r="AH1334" i="1"/>
  <c r="AG1334" i="1"/>
  <c r="AF1334" i="1"/>
  <c r="AE1334" i="1"/>
  <c r="AD1334" i="1"/>
  <c r="AC1334" i="1"/>
  <c r="AL1333" i="1"/>
  <c r="AJ1333" i="1"/>
  <c r="AI1333" i="1"/>
  <c r="AH1333" i="1"/>
  <c r="AG1333" i="1"/>
  <c r="AF1333" i="1"/>
  <c r="AE1333" i="1"/>
  <c r="AD1333" i="1"/>
  <c r="AC1333" i="1"/>
  <c r="AL1332" i="1"/>
  <c r="AJ1332" i="1"/>
  <c r="AI1332" i="1"/>
  <c r="AH1332" i="1"/>
  <c r="AG1332" i="1"/>
  <c r="AF1332" i="1"/>
  <c r="AE1332" i="1"/>
  <c r="AD1332" i="1"/>
  <c r="AC1332" i="1"/>
  <c r="AL1331" i="1"/>
  <c r="AJ1331" i="1"/>
  <c r="AI1331" i="1"/>
  <c r="AH1331" i="1"/>
  <c r="AG1331" i="1"/>
  <c r="AF1331" i="1"/>
  <c r="AE1331" i="1"/>
  <c r="AD1331" i="1"/>
  <c r="AC1331" i="1"/>
  <c r="AL1330" i="1"/>
  <c r="AJ1330" i="1"/>
  <c r="AI1330" i="1"/>
  <c r="AH1330" i="1"/>
  <c r="AG1330" i="1"/>
  <c r="AF1330" i="1"/>
  <c r="AE1330" i="1"/>
  <c r="AD1330" i="1"/>
  <c r="AC1330" i="1"/>
  <c r="AL1329" i="1"/>
  <c r="AJ1329" i="1"/>
  <c r="AI1329" i="1"/>
  <c r="AH1329" i="1"/>
  <c r="AG1329" i="1"/>
  <c r="AF1329" i="1"/>
  <c r="AE1329" i="1"/>
  <c r="AD1329" i="1"/>
  <c r="AC1329" i="1"/>
  <c r="AL1328" i="1"/>
  <c r="AJ1328" i="1"/>
  <c r="AI1328" i="1"/>
  <c r="AH1328" i="1"/>
  <c r="AG1328" i="1"/>
  <c r="AF1328" i="1"/>
  <c r="AE1328" i="1"/>
  <c r="AD1328" i="1"/>
  <c r="AC1328" i="1"/>
  <c r="AL1327" i="1"/>
  <c r="AJ1327" i="1"/>
  <c r="AI1327" i="1"/>
  <c r="AH1327" i="1"/>
  <c r="AG1327" i="1"/>
  <c r="AF1327" i="1"/>
  <c r="AE1327" i="1"/>
  <c r="AD1327" i="1"/>
  <c r="AC1327" i="1"/>
  <c r="AL1326" i="1"/>
  <c r="AJ1326" i="1"/>
  <c r="AI1326" i="1"/>
  <c r="AH1326" i="1"/>
  <c r="AG1326" i="1"/>
  <c r="AF1326" i="1"/>
  <c r="AE1326" i="1"/>
  <c r="AD1326" i="1"/>
  <c r="AC1326" i="1"/>
  <c r="AL1325" i="1"/>
  <c r="AJ1325" i="1"/>
  <c r="AI1325" i="1"/>
  <c r="AH1325" i="1"/>
  <c r="AG1325" i="1"/>
  <c r="AF1325" i="1"/>
  <c r="AE1325" i="1"/>
  <c r="AD1325" i="1"/>
  <c r="AC1325" i="1"/>
  <c r="AL1324" i="1"/>
  <c r="AJ1324" i="1"/>
  <c r="AI1324" i="1"/>
  <c r="AH1324" i="1"/>
  <c r="AG1324" i="1"/>
  <c r="AF1324" i="1"/>
  <c r="AE1324" i="1"/>
  <c r="AD1324" i="1"/>
  <c r="AC1324" i="1"/>
  <c r="AL1323" i="1"/>
  <c r="AJ1323" i="1"/>
  <c r="AI1323" i="1"/>
  <c r="AH1323" i="1"/>
  <c r="AG1323" i="1"/>
  <c r="AF1323" i="1"/>
  <c r="AE1323" i="1"/>
  <c r="AD1323" i="1"/>
  <c r="AC1323" i="1"/>
  <c r="AL1322" i="1"/>
  <c r="AJ1322" i="1"/>
  <c r="AI1322" i="1"/>
  <c r="AH1322" i="1"/>
  <c r="AG1322" i="1"/>
  <c r="AF1322" i="1"/>
  <c r="AE1322" i="1"/>
  <c r="AD1322" i="1"/>
  <c r="AC1322" i="1"/>
  <c r="AL1321" i="1"/>
  <c r="AJ1321" i="1"/>
  <c r="AI1321" i="1"/>
  <c r="AH1321" i="1"/>
  <c r="AG1321" i="1"/>
  <c r="AF1321" i="1"/>
  <c r="AE1321" i="1"/>
  <c r="AD1321" i="1"/>
  <c r="AC1321" i="1"/>
  <c r="AL1320" i="1"/>
  <c r="AJ1320" i="1"/>
  <c r="AI1320" i="1"/>
  <c r="AH1320" i="1"/>
  <c r="AG1320" i="1"/>
  <c r="AF1320" i="1"/>
  <c r="AE1320" i="1"/>
  <c r="AD1320" i="1"/>
  <c r="AC1320" i="1"/>
  <c r="AL1319" i="1"/>
  <c r="AJ1319" i="1"/>
  <c r="AI1319" i="1"/>
  <c r="AH1319" i="1"/>
  <c r="AG1319" i="1"/>
  <c r="AF1319" i="1"/>
  <c r="AE1319" i="1"/>
  <c r="AD1319" i="1"/>
  <c r="AC1319" i="1"/>
  <c r="AL1318" i="1"/>
  <c r="AJ1318" i="1"/>
  <c r="AI1318" i="1"/>
  <c r="AH1318" i="1"/>
  <c r="AG1318" i="1"/>
  <c r="AF1318" i="1"/>
  <c r="AE1318" i="1"/>
  <c r="AD1318" i="1"/>
  <c r="AC1318" i="1"/>
  <c r="AL1317" i="1"/>
  <c r="AJ1317" i="1"/>
  <c r="AI1317" i="1"/>
  <c r="AH1317" i="1"/>
  <c r="AG1317" i="1"/>
  <c r="AF1317" i="1"/>
  <c r="AE1317" i="1"/>
  <c r="AD1317" i="1"/>
  <c r="AC1317" i="1"/>
  <c r="AL1316" i="1"/>
  <c r="AJ1316" i="1"/>
  <c r="AI1316" i="1"/>
  <c r="AH1316" i="1"/>
  <c r="AG1316" i="1"/>
  <c r="AF1316" i="1"/>
  <c r="AE1316" i="1"/>
  <c r="AD1316" i="1"/>
  <c r="AC1316" i="1"/>
  <c r="AL1315" i="1"/>
  <c r="AJ1315" i="1"/>
  <c r="AI1315" i="1"/>
  <c r="AH1315" i="1"/>
  <c r="AG1315" i="1"/>
  <c r="AF1315" i="1"/>
  <c r="AE1315" i="1"/>
  <c r="AD1315" i="1"/>
  <c r="AC1315" i="1"/>
  <c r="AL1314" i="1"/>
  <c r="AJ1314" i="1"/>
  <c r="AI1314" i="1"/>
  <c r="AH1314" i="1"/>
  <c r="AG1314" i="1"/>
  <c r="AF1314" i="1"/>
  <c r="AE1314" i="1"/>
  <c r="AD1314" i="1"/>
  <c r="AC1314" i="1"/>
  <c r="AL1313" i="1"/>
  <c r="AJ1313" i="1"/>
  <c r="AI1313" i="1"/>
  <c r="AH1313" i="1"/>
  <c r="AG1313" i="1"/>
  <c r="AF1313" i="1"/>
  <c r="AE1313" i="1"/>
  <c r="AD1313" i="1"/>
  <c r="AC1313" i="1"/>
  <c r="AL1312" i="1"/>
  <c r="AJ1312" i="1"/>
  <c r="AI1312" i="1"/>
  <c r="AH1312" i="1"/>
  <c r="AG1312" i="1"/>
  <c r="AF1312" i="1"/>
  <c r="AE1312" i="1"/>
  <c r="AD1312" i="1"/>
  <c r="AC1312" i="1"/>
  <c r="AL1311" i="1"/>
  <c r="AJ1311" i="1"/>
  <c r="AI1311" i="1"/>
  <c r="AH1311" i="1"/>
  <c r="AG1311" i="1"/>
  <c r="AF1311" i="1"/>
  <c r="AE1311" i="1"/>
  <c r="AD1311" i="1"/>
  <c r="AC1311" i="1"/>
  <c r="AL1310" i="1"/>
  <c r="AJ1310" i="1"/>
  <c r="AI1310" i="1"/>
  <c r="AH1310" i="1"/>
  <c r="AG1310" i="1"/>
  <c r="AF1310" i="1"/>
  <c r="AE1310" i="1"/>
  <c r="AD1310" i="1"/>
  <c r="AC1310" i="1"/>
  <c r="AL1309" i="1"/>
  <c r="AJ1309" i="1"/>
  <c r="AI1309" i="1"/>
  <c r="AH1309" i="1"/>
  <c r="AG1309" i="1"/>
  <c r="AF1309" i="1"/>
  <c r="AE1309" i="1"/>
  <c r="AD1309" i="1"/>
  <c r="AC1309" i="1"/>
  <c r="AL1308" i="1"/>
  <c r="AJ1308" i="1"/>
  <c r="AI1308" i="1"/>
  <c r="AH1308" i="1"/>
  <c r="AG1308" i="1"/>
  <c r="AF1308" i="1"/>
  <c r="AE1308" i="1"/>
  <c r="AD1308" i="1"/>
  <c r="AC1308" i="1"/>
  <c r="AL1307" i="1"/>
  <c r="AJ1307" i="1"/>
  <c r="AI1307" i="1"/>
  <c r="AH1307" i="1"/>
  <c r="AG1307" i="1"/>
  <c r="AF1307" i="1"/>
  <c r="AE1307" i="1"/>
  <c r="AD1307" i="1"/>
  <c r="AC1307" i="1"/>
  <c r="AL1306" i="1"/>
  <c r="AJ1306" i="1"/>
  <c r="AI1306" i="1"/>
  <c r="AH1306" i="1"/>
  <c r="AG1306" i="1"/>
  <c r="AF1306" i="1"/>
  <c r="AE1306" i="1"/>
  <c r="AD1306" i="1"/>
  <c r="AC1306" i="1"/>
  <c r="AL1305" i="1"/>
  <c r="AJ1305" i="1"/>
  <c r="AI1305" i="1"/>
  <c r="AH1305" i="1"/>
  <c r="AG1305" i="1"/>
  <c r="AF1305" i="1"/>
  <c r="AE1305" i="1"/>
  <c r="AD1305" i="1"/>
  <c r="AC1305" i="1"/>
  <c r="AI1304" i="1"/>
  <c r="AH1304" i="1"/>
  <c r="AG1304" i="1"/>
  <c r="AL37" i="1"/>
  <c r="AJ37" i="1"/>
  <c r="AI37" i="1"/>
  <c r="AH37" i="1"/>
  <c r="AG37" i="1"/>
  <c r="AF37" i="1"/>
  <c r="AE37" i="1"/>
  <c r="AD37" i="1"/>
  <c r="AC37" i="1"/>
  <c r="AL34" i="1"/>
  <c r="AJ34" i="1"/>
  <c r="AI34" i="1"/>
  <c r="AH34" i="1"/>
  <c r="AG34" i="1"/>
  <c r="AF34" i="1"/>
  <c r="AE34" i="1"/>
  <c r="AD34" i="1"/>
  <c r="AC34" i="1"/>
  <c r="AL33" i="1"/>
  <c r="AJ33" i="1"/>
  <c r="AI33" i="1"/>
  <c r="AH33" i="1"/>
  <c r="AG33" i="1"/>
  <c r="AF33" i="1"/>
  <c r="AE33" i="1"/>
  <c r="AD33" i="1"/>
  <c r="AC33" i="1"/>
  <c r="AJ31" i="1"/>
  <c r="AH31" i="1"/>
  <c r="AF31" i="1"/>
  <c r="AD31" i="1"/>
  <c r="AL30" i="1"/>
  <c r="AJ30" i="1"/>
  <c r="AI30" i="1"/>
  <c r="AH30" i="1"/>
  <c r="AF30" i="1"/>
  <c r="AE30" i="1"/>
  <c r="AD30" i="1"/>
  <c r="AL29" i="1"/>
  <c r="AJ29" i="1"/>
  <c r="AI29" i="1"/>
  <c r="AH29" i="1"/>
  <c r="AG29" i="1"/>
  <c r="AE29" i="1"/>
  <c r="AD29" i="1"/>
  <c r="AL28" i="1"/>
  <c r="AJ28" i="1"/>
  <c r="AI28" i="1"/>
  <c r="AH28" i="1"/>
  <c r="AF28" i="1"/>
  <c r="AD28" i="1"/>
  <c r="AC28" i="1"/>
  <c r="AJ27" i="1"/>
  <c r="AI27" i="1"/>
  <c r="AH27" i="1"/>
  <c r="AF27" i="1"/>
  <c r="AD27" i="1"/>
  <c r="AC27" i="1"/>
  <c r="AL26" i="1"/>
  <c r="AJ26" i="1"/>
  <c r="AI26" i="1"/>
  <c r="AH26" i="1"/>
  <c r="AG26" i="1"/>
  <c r="AF26" i="1"/>
  <c r="AE26" i="1"/>
  <c r="AD26" i="1"/>
  <c r="AL25" i="1"/>
  <c r="AJ25" i="1"/>
  <c r="AI25" i="1"/>
  <c r="AH25" i="1"/>
  <c r="AG25" i="1"/>
  <c r="AF25" i="1"/>
  <c r="AE25" i="1"/>
  <c r="AC25" i="1"/>
  <c r="AL24" i="1"/>
  <c r="AJ24" i="1"/>
  <c r="AI24" i="1"/>
  <c r="AH24" i="1"/>
  <c r="AG24" i="1"/>
  <c r="AF24" i="1"/>
  <c r="AE24" i="1"/>
  <c r="AD24" i="1"/>
  <c r="AC24" i="1"/>
  <c r="AJ22" i="1"/>
  <c r="AH22" i="1"/>
  <c r="AF22" i="1"/>
  <c r="AE22" i="1"/>
  <c r="AC22" i="1"/>
  <c r="AJ21" i="1"/>
  <c r="AI21" i="1"/>
  <c r="AG21" i="1"/>
  <c r="AE21" i="1"/>
  <c r="AC21" i="1"/>
  <c r="AL20" i="1"/>
  <c r="AJ20" i="1"/>
  <c r="AI20" i="1"/>
  <c r="AF20" i="1"/>
  <c r="AE20" i="1"/>
  <c r="AC20" i="1"/>
  <c r="AL19" i="1"/>
  <c r="AJ19" i="1"/>
  <c r="AI19" i="1"/>
  <c r="AH19" i="1"/>
  <c r="AG19" i="1"/>
  <c r="AF19" i="1"/>
  <c r="AD19" i="1"/>
  <c r="AC19" i="1"/>
  <c r="AL18" i="1"/>
  <c r="AJ18" i="1"/>
  <c r="AI18" i="1"/>
  <c r="AH18" i="1"/>
  <c r="AF18" i="1"/>
  <c r="AE18" i="1"/>
  <c r="AC18" i="1"/>
  <c r="AJ17" i="1"/>
  <c r="AI17" i="1"/>
  <c r="AG17" i="1"/>
  <c r="AF17" i="1"/>
  <c r="AD17" i="1"/>
  <c r="AL16" i="1"/>
  <c r="AI16" i="1"/>
  <c r="AH16" i="1"/>
  <c r="AF16" i="1"/>
  <c r="AD16" i="1"/>
  <c r="AC16" i="1"/>
  <c r="AL15" i="1"/>
  <c r="AJ15" i="1"/>
  <c r="AI15" i="1"/>
  <c r="AH15" i="1"/>
  <c r="AG15" i="1"/>
  <c r="AF15" i="1"/>
  <c r="AD15" i="1"/>
  <c r="AC15" i="1"/>
  <c r="AL14" i="1"/>
  <c r="AJ14" i="1"/>
  <c r="AH14" i="1"/>
  <c r="AF14" i="1"/>
  <c r="AD14" i="1"/>
  <c r="AC14" i="1"/>
  <c r="AJ13" i="1"/>
  <c r="AI13" i="1"/>
  <c r="AG13" i="1"/>
  <c r="AE13" i="1"/>
  <c r="AC13" i="1"/>
  <c r="AJ12" i="1"/>
  <c r="AH12" i="1"/>
  <c r="AF12" i="1"/>
  <c r="AD12" i="1"/>
  <c r="AL11" i="1"/>
  <c r="AJ11" i="1"/>
  <c r="AI11" i="1"/>
  <c r="AH11" i="1"/>
  <c r="AG11" i="1"/>
  <c r="AF11" i="1"/>
  <c r="AE11" i="1"/>
  <c r="AD11" i="1"/>
  <c r="AC11" i="1"/>
  <c r="AL10" i="1"/>
  <c r="AI10" i="1"/>
  <c r="AH10" i="1"/>
  <c r="AF10" i="1"/>
  <c r="AE10" i="1"/>
  <c r="AC10" i="1"/>
  <c r="AJ9" i="1"/>
  <c r="AI9" i="1"/>
  <c r="AH9" i="1"/>
  <c r="AG9" i="1"/>
  <c r="AF9" i="1"/>
  <c r="AE9" i="1"/>
  <c r="AD9" i="1"/>
  <c r="AL8" i="1"/>
  <c r="AJ8" i="1"/>
  <c r="AI8" i="1"/>
  <c r="AH8" i="1"/>
  <c r="AG8" i="1"/>
  <c r="AF8" i="1"/>
  <c r="AE8" i="1"/>
  <c r="AC8" i="1"/>
  <c r="AL7" i="1"/>
  <c r="AJ7" i="1"/>
  <c r="AI7" i="1"/>
  <c r="AH7" i="1"/>
  <c r="AG7" i="1"/>
  <c r="AE7" i="1"/>
  <c r="AC7" i="1"/>
  <c r="AG4" i="1"/>
  <c r="AF4" i="1"/>
  <c r="AD4" i="1"/>
  <c r="AL3" i="1"/>
  <c r="AJ3" i="1"/>
  <c r="AI3" i="1"/>
  <c r="AH3" i="1"/>
  <c r="AG3" i="1"/>
  <c r="AF3" i="1"/>
  <c r="AD3" i="1"/>
  <c r="AC3" i="1"/>
  <c r="AI1794" i="1"/>
  <c r="AC1794" i="1"/>
  <c r="AL1793" i="1"/>
  <c r="AI1793" i="1"/>
  <c r="AG1793" i="1"/>
  <c r="AD1793" i="1"/>
  <c r="AF1792" i="1"/>
  <c r="AC1792" i="1"/>
  <c r="AJ1791" i="1"/>
  <c r="AG1791" i="1"/>
  <c r="AE1791" i="1"/>
  <c r="AJ1790" i="1"/>
  <c r="AI1790" i="1"/>
  <c r="AG1790" i="1"/>
  <c r="AF1790" i="1"/>
  <c r="AD1790" i="1"/>
  <c r="AC1790" i="1"/>
  <c r="AD1789" i="1"/>
  <c r="AJ1788" i="1"/>
  <c r="AI1788" i="1"/>
  <c r="AH1788" i="1"/>
  <c r="AF1788" i="1"/>
  <c r="AE1788" i="1"/>
  <c r="AJ1787" i="1"/>
  <c r="AI1787" i="1"/>
  <c r="AH1787" i="1"/>
  <c r="AF1787" i="1"/>
  <c r="AE1787" i="1"/>
  <c r="AC1787" i="1"/>
  <c r="AJ1786" i="1"/>
  <c r="AI1786" i="1"/>
  <c r="AG1786" i="1"/>
  <c r="AE1786" i="1"/>
  <c r="AI1785" i="1"/>
  <c r="AE1785" i="1"/>
  <c r="AJ1784" i="1"/>
  <c r="AI1784" i="1"/>
  <c r="AG1784" i="1"/>
  <c r="AE1784" i="1"/>
  <c r="AC1784" i="1"/>
  <c r="AJ1783" i="1"/>
  <c r="AI1783" i="1"/>
  <c r="AF1783" i="1"/>
  <c r="AL1782" i="1"/>
  <c r="AI1782" i="1"/>
  <c r="AH1782" i="1"/>
  <c r="AF1782" i="1"/>
  <c r="AD1782" i="1"/>
  <c r="AL1781" i="1"/>
  <c r="AI1781" i="1"/>
  <c r="AG1781" i="1"/>
  <c r="AE1781" i="1"/>
  <c r="AH1780" i="1"/>
  <c r="AD1780" i="1"/>
  <c r="AJ1779" i="1"/>
  <c r="AH1779" i="1"/>
  <c r="AF1778" i="1"/>
  <c r="AE1778" i="1"/>
  <c r="AG1777" i="1"/>
  <c r="AD1777" i="1"/>
  <c r="AJ1776" i="1"/>
  <c r="AH1776" i="1"/>
  <c r="AF1776" i="1"/>
  <c r="AD1776" i="1"/>
  <c r="AJ1775" i="1"/>
  <c r="AI1775" i="1"/>
  <c r="AD1775" i="1"/>
  <c r="AH1774" i="1"/>
  <c r="AF1774" i="1"/>
  <c r="AJ1773" i="1"/>
  <c r="AH1773" i="1"/>
  <c r="AG1773" i="1"/>
  <c r="AE1773" i="1"/>
  <c r="AC1773" i="1"/>
  <c r="AJ1772" i="1"/>
  <c r="AI1772" i="1"/>
  <c r="AG1772" i="1"/>
  <c r="AD1772" i="1"/>
  <c r="AI1771" i="1"/>
  <c r="AG1771" i="1"/>
  <c r="AD1771" i="1"/>
  <c r="AH1770" i="1"/>
  <c r="AF1770" i="1"/>
  <c r="AC1770" i="1"/>
  <c r="AH1769" i="1"/>
  <c r="AD1769" i="1"/>
  <c r="AH1768" i="1"/>
  <c r="AF1768" i="1"/>
  <c r="AD1768" i="1"/>
  <c r="AH1767" i="1"/>
  <c r="AF1767" i="1"/>
  <c r="AI1766" i="1"/>
  <c r="AG1766" i="1"/>
  <c r="AF1766" i="1"/>
  <c r="AE1766" i="1"/>
  <c r="AC1766" i="1"/>
  <c r="AG1765" i="1"/>
  <c r="AD1765" i="1"/>
  <c r="AJ1764" i="1"/>
  <c r="AH1764" i="1"/>
  <c r="AF1764" i="1"/>
  <c r="AC1764" i="1"/>
  <c r="AL1763" i="1"/>
  <c r="AI1763" i="1"/>
  <c r="AE1763" i="1"/>
  <c r="AJ1762" i="1"/>
  <c r="AF1762" i="1"/>
  <c r="AD1762" i="1"/>
  <c r="AF1761" i="1"/>
  <c r="AD1761" i="1"/>
  <c r="AG1760" i="1"/>
  <c r="AD1760" i="1"/>
  <c r="AG1759" i="1"/>
  <c r="AE1759" i="1"/>
  <c r="AC1759" i="1"/>
  <c r="AD1758" i="1"/>
  <c r="AG1757" i="1"/>
  <c r="AE1757" i="1"/>
  <c r="AH1756" i="1"/>
  <c r="AF1756" i="1"/>
  <c r="AD1756" i="1"/>
  <c r="AH1755" i="1"/>
  <c r="AF1755" i="1"/>
  <c r="AH1754" i="1"/>
  <c r="AE1754" i="1"/>
  <c r="AI1753" i="1"/>
  <c r="AG1753" i="1"/>
  <c r="AE1753" i="1"/>
  <c r="AD1753" i="1"/>
  <c r="AJ1752" i="1"/>
  <c r="AH1752" i="1"/>
  <c r="AF1752" i="1"/>
  <c r="AD1752" i="1"/>
  <c r="AJ1751" i="1"/>
  <c r="AE1751" i="1"/>
  <c r="AI1750" i="1"/>
  <c r="AG1750" i="1"/>
  <c r="AD1750" i="1"/>
  <c r="AJ1749" i="1"/>
  <c r="AH1749" i="1"/>
  <c r="AF1749" i="1"/>
  <c r="AD1749" i="1"/>
  <c r="AI1748" i="1"/>
  <c r="AE1748" i="1"/>
  <c r="AH1747" i="1"/>
  <c r="AF1747" i="1"/>
  <c r="AD1747" i="1"/>
  <c r="AC1747" i="1"/>
  <c r="AH1746" i="1"/>
  <c r="AF1746" i="1"/>
  <c r="AC1746" i="1"/>
  <c r="AG1745" i="1"/>
  <c r="AE1745" i="1"/>
  <c r="AL1744" i="1"/>
  <c r="AH1744" i="1"/>
  <c r="AG1744" i="1"/>
  <c r="AE1744" i="1"/>
  <c r="AC1744" i="1"/>
  <c r="AL1303" i="1"/>
  <c r="AJ1303" i="1"/>
  <c r="AI1303" i="1"/>
  <c r="AH1303" i="1"/>
  <c r="AG1303" i="1"/>
  <c r="AF1303" i="1"/>
  <c r="AE1303" i="1"/>
  <c r="AD1303" i="1"/>
  <c r="AC1303" i="1"/>
  <c r="AL1302" i="1"/>
  <c r="AJ1302" i="1"/>
  <c r="AI1302" i="1"/>
  <c r="AH1302" i="1"/>
  <c r="AG1302" i="1"/>
  <c r="AF1302" i="1"/>
  <c r="AE1302" i="1"/>
  <c r="AD1302" i="1"/>
  <c r="AC1302" i="1"/>
  <c r="AL1301" i="1"/>
  <c r="AJ1301" i="1"/>
  <c r="AI1301" i="1"/>
  <c r="AH1301" i="1"/>
  <c r="AG1301" i="1"/>
  <c r="AF1301" i="1"/>
  <c r="AE1301" i="1"/>
  <c r="AD1301" i="1"/>
  <c r="AC1301" i="1"/>
  <c r="AL1300" i="1"/>
  <c r="AJ1300" i="1"/>
  <c r="AI1300" i="1"/>
  <c r="AH1300" i="1"/>
  <c r="AG1300" i="1"/>
  <c r="AF1300" i="1"/>
  <c r="AE1300" i="1"/>
  <c r="AD1300" i="1"/>
  <c r="AC1300" i="1"/>
  <c r="AL1299" i="1"/>
  <c r="AJ1299" i="1"/>
  <c r="AI1299" i="1"/>
  <c r="AH1299" i="1"/>
  <c r="AG1299" i="1"/>
  <c r="AF1299" i="1"/>
  <c r="AE1299" i="1"/>
  <c r="AD1299" i="1"/>
  <c r="AC1299" i="1"/>
  <c r="AL1298" i="1"/>
  <c r="AJ1298" i="1"/>
  <c r="AI1298" i="1"/>
  <c r="AH1298" i="1"/>
  <c r="AG1298" i="1"/>
  <c r="AF1298" i="1"/>
  <c r="AE1298" i="1"/>
  <c r="AD1298" i="1"/>
  <c r="AC1298" i="1"/>
  <c r="AL1297" i="1"/>
  <c r="AJ1297" i="1"/>
  <c r="AI1297" i="1"/>
  <c r="AH1297" i="1"/>
  <c r="AG1297" i="1"/>
  <c r="AF1297" i="1"/>
  <c r="AE1297" i="1"/>
  <c r="AD1297" i="1"/>
  <c r="AC1297" i="1"/>
  <c r="AL1296" i="1"/>
  <c r="AJ1296" i="1"/>
  <c r="AI1296" i="1"/>
  <c r="AH1296" i="1"/>
  <c r="AG1296" i="1"/>
  <c r="AF1296" i="1"/>
  <c r="AE1296" i="1"/>
  <c r="AD1296" i="1"/>
  <c r="AC1296" i="1"/>
  <c r="AL1295" i="1"/>
  <c r="AJ1295" i="1"/>
  <c r="AI1295" i="1"/>
  <c r="AH1295" i="1"/>
  <c r="AG1295" i="1"/>
  <c r="AF1295" i="1"/>
  <c r="AE1295" i="1"/>
  <c r="AD1295" i="1"/>
  <c r="AC1295" i="1"/>
  <c r="AL1294" i="1"/>
  <c r="AJ1294" i="1"/>
  <c r="AI1294" i="1"/>
  <c r="AH1294" i="1"/>
  <c r="AG1294" i="1"/>
  <c r="AF1294" i="1"/>
  <c r="AE1294" i="1"/>
  <c r="AD1294" i="1"/>
  <c r="AC1294" i="1"/>
  <c r="AL1293" i="1"/>
  <c r="AJ1293" i="1"/>
  <c r="AI1293" i="1"/>
  <c r="AH1293" i="1"/>
  <c r="AG1293" i="1"/>
  <c r="AF1293" i="1"/>
  <c r="AE1293" i="1"/>
  <c r="AD1293" i="1"/>
  <c r="AC1293" i="1"/>
  <c r="AL1292" i="1"/>
  <c r="AJ1292" i="1"/>
  <c r="AI1292" i="1"/>
  <c r="AH1292" i="1"/>
  <c r="AG1292" i="1"/>
  <c r="AF1292" i="1"/>
  <c r="AE1292" i="1"/>
  <c r="AD1292" i="1"/>
  <c r="AC1292" i="1"/>
  <c r="AL1291" i="1"/>
  <c r="AJ1291" i="1"/>
  <c r="AI1291" i="1"/>
  <c r="AH1291" i="1"/>
  <c r="AG1291" i="1"/>
  <c r="AF1291" i="1"/>
  <c r="AE1291" i="1"/>
  <c r="AD1291" i="1"/>
  <c r="AC1291" i="1"/>
  <c r="AL1290" i="1"/>
  <c r="AJ1290" i="1"/>
  <c r="AI1290" i="1"/>
  <c r="AH1290" i="1"/>
  <c r="AG1290" i="1"/>
  <c r="AF1290" i="1"/>
  <c r="AE1290" i="1"/>
  <c r="AD1290" i="1"/>
  <c r="AC1290" i="1"/>
  <c r="AL1289" i="1"/>
  <c r="AJ1289" i="1"/>
  <c r="AI1289" i="1"/>
  <c r="AH1289" i="1"/>
  <c r="AG1289" i="1"/>
  <c r="AF1289" i="1"/>
  <c r="AE1289" i="1"/>
  <c r="AD1289" i="1"/>
  <c r="AC1289" i="1"/>
  <c r="AL1288" i="1"/>
  <c r="AJ1288" i="1"/>
  <c r="AI1288" i="1"/>
  <c r="AH1288" i="1"/>
  <c r="AG1288" i="1"/>
  <c r="AF1288" i="1"/>
  <c r="AE1288" i="1"/>
  <c r="AD1288" i="1"/>
  <c r="AC1288" i="1"/>
  <c r="AL1287" i="1"/>
  <c r="AJ1287" i="1"/>
  <c r="AI1287" i="1"/>
  <c r="AH1287" i="1"/>
  <c r="AG1287" i="1"/>
  <c r="AF1287" i="1"/>
  <c r="AE1287" i="1"/>
  <c r="AD1287" i="1"/>
  <c r="AC1287" i="1"/>
  <c r="AL1286" i="1"/>
  <c r="AJ1286" i="1"/>
  <c r="AI1286" i="1"/>
  <c r="AH1286" i="1"/>
  <c r="AG1286" i="1"/>
  <c r="AF1286" i="1"/>
  <c r="AE1286" i="1"/>
  <c r="AD1286" i="1"/>
  <c r="AC1286" i="1"/>
  <c r="AL1285" i="1"/>
  <c r="AJ1285" i="1"/>
  <c r="AI1285" i="1"/>
  <c r="AH1285" i="1"/>
  <c r="AG1285" i="1"/>
  <c r="AF1285" i="1"/>
  <c r="AE1285" i="1"/>
  <c r="AD1285" i="1"/>
  <c r="AC1285" i="1"/>
  <c r="AL1284" i="1"/>
  <c r="AJ1284" i="1"/>
  <c r="AI1284" i="1"/>
  <c r="AH1284" i="1"/>
  <c r="AG1284" i="1"/>
  <c r="AF1284" i="1"/>
  <c r="AE1284" i="1"/>
  <c r="AD1284" i="1"/>
  <c r="AC1284" i="1"/>
  <c r="AL1283" i="1"/>
  <c r="AJ1283" i="1"/>
  <c r="AI1283" i="1"/>
  <c r="AH1283" i="1"/>
  <c r="AG1283" i="1"/>
  <c r="AF1283" i="1"/>
  <c r="AE1283" i="1"/>
  <c r="AD1283" i="1"/>
  <c r="AC1283" i="1"/>
  <c r="AL1282" i="1"/>
  <c r="AJ1282" i="1"/>
  <c r="AI1282" i="1"/>
  <c r="AH1282" i="1"/>
  <c r="AG1282" i="1"/>
  <c r="AF1282" i="1"/>
  <c r="AE1282" i="1"/>
  <c r="AD1282" i="1"/>
  <c r="AC1282" i="1"/>
  <c r="AL1281" i="1"/>
  <c r="AJ1281" i="1"/>
  <c r="AI1281" i="1"/>
  <c r="AH1281" i="1"/>
  <c r="AG1281" i="1"/>
  <c r="AF1281" i="1"/>
  <c r="AE1281" i="1"/>
  <c r="AD1281" i="1"/>
  <c r="AC1281" i="1"/>
  <c r="AL1280" i="1"/>
  <c r="AJ1280" i="1"/>
  <c r="AI1280" i="1"/>
  <c r="AH1280" i="1"/>
  <c r="AG1280" i="1"/>
  <c r="AF1280" i="1"/>
  <c r="AE1280" i="1"/>
  <c r="AD1280" i="1"/>
  <c r="AC1280" i="1"/>
  <c r="AL1279" i="1"/>
  <c r="AJ1279" i="1"/>
  <c r="AI1279" i="1"/>
  <c r="AH1279" i="1"/>
  <c r="AG1279" i="1"/>
  <c r="AF1279" i="1"/>
  <c r="AE1279" i="1"/>
  <c r="AD1279" i="1"/>
  <c r="AC1279" i="1"/>
  <c r="AL1278" i="1"/>
  <c r="AJ1278" i="1"/>
  <c r="AI1278" i="1"/>
  <c r="AH1278" i="1"/>
  <c r="AG1278" i="1"/>
  <c r="AF1278" i="1"/>
  <c r="AE1278" i="1"/>
  <c r="AD1278" i="1"/>
  <c r="AC1278" i="1"/>
  <c r="AL1277" i="1"/>
  <c r="AJ1277" i="1"/>
  <c r="AI1277" i="1"/>
  <c r="AH1277" i="1"/>
  <c r="AG1277" i="1"/>
  <c r="AF1277" i="1"/>
  <c r="AE1277" i="1"/>
  <c r="AD1277" i="1"/>
  <c r="AC1277" i="1"/>
  <c r="AL1276" i="1"/>
  <c r="AJ1276" i="1"/>
  <c r="AI1276" i="1"/>
  <c r="AH1276" i="1"/>
  <c r="AG1276" i="1"/>
  <c r="AF1276" i="1"/>
  <c r="AE1276" i="1"/>
  <c r="AD1276" i="1"/>
  <c r="AC1276" i="1"/>
  <c r="AL1275" i="1"/>
  <c r="AJ1275" i="1"/>
  <c r="AI1275" i="1"/>
  <c r="AH1275" i="1"/>
  <c r="AG1275" i="1"/>
  <c r="AF1275" i="1"/>
  <c r="AE1275" i="1"/>
  <c r="AD1275" i="1"/>
  <c r="AC1275" i="1"/>
  <c r="AL1274" i="1"/>
  <c r="AJ1274" i="1"/>
  <c r="AI1274" i="1"/>
  <c r="AH1274" i="1"/>
  <c r="AG1274" i="1"/>
  <c r="AF1274" i="1"/>
  <c r="AE1274" i="1"/>
  <c r="AD1274" i="1"/>
  <c r="AC1274" i="1"/>
  <c r="AL1273" i="1"/>
  <c r="AJ1273" i="1"/>
  <c r="AI1273" i="1"/>
  <c r="AH1273" i="1"/>
  <c r="AG1273" i="1"/>
  <c r="AF1273" i="1"/>
  <c r="AE1273" i="1"/>
  <c r="AD1273" i="1"/>
  <c r="AC1273" i="1"/>
  <c r="AL1272" i="1"/>
  <c r="AJ1272" i="1"/>
  <c r="AI1272" i="1"/>
  <c r="AH1272" i="1"/>
  <c r="AG1272" i="1"/>
  <c r="AF1272" i="1"/>
  <c r="AE1272" i="1"/>
  <c r="AD1272" i="1"/>
  <c r="AC1272" i="1"/>
  <c r="AL1271" i="1"/>
  <c r="AJ1271" i="1"/>
  <c r="AI1271" i="1"/>
  <c r="AH1271" i="1"/>
  <c r="AG1271" i="1"/>
  <c r="AF1271" i="1"/>
  <c r="AE1271" i="1"/>
  <c r="AD1271" i="1"/>
  <c r="AC1271" i="1"/>
  <c r="AL1270" i="1"/>
  <c r="AJ1270" i="1"/>
  <c r="AI1270" i="1"/>
  <c r="AH1270" i="1"/>
  <c r="AG1270" i="1"/>
  <c r="AF1270" i="1"/>
  <c r="AE1270" i="1"/>
  <c r="AD1270" i="1"/>
  <c r="AC1270" i="1"/>
  <c r="AL1269" i="1"/>
  <c r="AJ1269" i="1"/>
  <c r="AI1269" i="1"/>
  <c r="AH1269" i="1"/>
  <c r="AG1269" i="1"/>
  <c r="AF1269" i="1"/>
  <c r="AE1269" i="1"/>
  <c r="AD1269" i="1"/>
  <c r="AC1269" i="1"/>
  <c r="AL1268" i="1"/>
  <c r="AJ1268" i="1"/>
  <c r="AI1268" i="1"/>
  <c r="AH1268" i="1"/>
  <c r="AG1268" i="1"/>
  <c r="AF1268" i="1"/>
  <c r="AE1268" i="1"/>
  <c r="AD1268" i="1"/>
  <c r="AC1268" i="1"/>
  <c r="AL1267" i="1"/>
  <c r="AJ1267" i="1"/>
  <c r="AI1267" i="1"/>
  <c r="AH1267" i="1"/>
  <c r="AG1267" i="1"/>
  <c r="AF1267" i="1"/>
  <c r="AE1267" i="1"/>
  <c r="AD1267" i="1"/>
  <c r="AC1267" i="1"/>
  <c r="AL1266" i="1"/>
  <c r="AJ1266" i="1"/>
  <c r="AI1266" i="1"/>
  <c r="AH1266" i="1"/>
  <c r="AG1266" i="1"/>
  <c r="AF1266" i="1"/>
  <c r="AE1266" i="1"/>
  <c r="AD1266" i="1"/>
  <c r="AC1266" i="1"/>
  <c r="AL1265" i="1"/>
  <c r="AJ1265" i="1"/>
  <c r="AI1265" i="1"/>
  <c r="AH1265" i="1"/>
  <c r="AG1265" i="1"/>
  <c r="AF1265" i="1"/>
  <c r="AE1265" i="1"/>
  <c r="AD1265" i="1"/>
  <c r="AC1265" i="1"/>
  <c r="AL1264" i="1"/>
  <c r="AJ1264" i="1"/>
  <c r="AI1264" i="1"/>
  <c r="AH1264" i="1"/>
  <c r="AG1264" i="1"/>
  <c r="AF1264" i="1"/>
  <c r="AE1264" i="1"/>
  <c r="AD1264" i="1"/>
  <c r="AC1264" i="1"/>
  <c r="AL1263" i="1"/>
  <c r="AJ1263" i="1"/>
  <c r="AI1263" i="1"/>
  <c r="AH1263" i="1"/>
  <c r="AG1263" i="1"/>
  <c r="AF1263" i="1"/>
  <c r="AE1263" i="1"/>
  <c r="AD1263" i="1"/>
  <c r="AC1263" i="1"/>
  <c r="AL1262" i="1"/>
  <c r="AJ1262" i="1"/>
  <c r="AI1262" i="1"/>
  <c r="AH1262" i="1"/>
  <c r="AG1262" i="1"/>
  <c r="AF1262" i="1"/>
  <c r="AE1262" i="1"/>
  <c r="AD1262" i="1"/>
  <c r="AC1262" i="1"/>
  <c r="AL1261" i="1"/>
  <c r="AJ1261" i="1"/>
  <c r="AI1261" i="1"/>
  <c r="AH1261" i="1"/>
  <c r="AG1261" i="1"/>
  <c r="AF1261" i="1"/>
  <c r="AE1261" i="1"/>
  <c r="AD1261" i="1"/>
  <c r="AC1261" i="1"/>
  <c r="AL1260" i="1"/>
  <c r="AJ1260" i="1"/>
  <c r="AI1260" i="1"/>
  <c r="AH1260" i="1"/>
  <c r="AG1260" i="1"/>
  <c r="AF1260" i="1"/>
  <c r="AE1260" i="1"/>
  <c r="AD1260" i="1"/>
  <c r="AC1260" i="1"/>
  <c r="AL1259" i="1"/>
  <c r="AJ1259" i="1"/>
  <c r="AI1259" i="1"/>
  <c r="AH1259" i="1"/>
  <c r="AG1259" i="1"/>
  <c r="AF1259" i="1"/>
  <c r="AE1259" i="1"/>
  <c r="AD1259" i="1"/>
  <c r="AC1259" i="1"/>
  <c r="AL1258" i="1"/>
  <c r="AJ1258" i="1"/>
  <c r="AI1258" i="1"/>
  <c r="AH1258" i="1"/>
  <c r="AG1258" i="1"/>
  <c r="AF1258" i="1"/>
  <c r="AE1258" i="1"/>
  <c r="AD1258" i="1"/>
  <c r="AC1258" i="1"/>
  <c r="AL1257" i="1"/>
  <c r="AJ1257" i="1"/>
  <c r="AI1257" i="1"/>
  <c r="AH1257" i="1"/>
  <c r="AG1257" i="1"/>
  <c r="AF1257" i="1"/>
  <c r="AE1257" i="1"/>
  <c r="AD1257" i="1"/>
  <c r="AC1257" i="1"/>
  <c r="AL1256" i="1"/>
  <c r="AJ1256" i="1"/>
  <c r="AI1256" i="1"/>
  <c r="AH1256" i="1"/>
  <c r="AG1256" i="1"/>
  <c r="AF1256" i="1"/>
  <c r="AE1256" i="1"/>
  <c r="AD1256" i="1"/>
  <c r="AC1256" i="1"/>
  <c r="AL1255" i="1"/>
  <c r="AJ1255" i="1"/>
  <c r="AI1255" i="1"/>
  <c r="AH1255" i="1"/>
  <c r="AG1255" i="1"/>
  <c r="AF1255" i="1"/>
  <c r="AE1255" i="1"/>
  <c r="AD1255" i="1"/>
  <c r="AC1255" i="1"/>
  <c r="AL1254" i="1"/>
  <c r="AJ1254" i="1"/>
  <c r="AI1254" i="1"/>
  <c r="AH1254" i="1"/>
  <c r="AG1254" i="1"/>
  <c r="AF1254" i="1"/>
  <c r="AE1254" i="1"/>
  <c r="AD1254" i="1"/>
  <c r="AC1254" i="1"/>
  <c r="AL1253" i="1"/>
  <c r="AJ1253" i="1"/>
  <c r="AI1253" i="1"/>
  <c r="AH1253" i="1"/>
  <c r="AG1253" i="1"/>
  <c r="AF1253" i="1"/>
  <c r="AE1253" i="1"/>
  <c r="AD1253" i="1"/>
  <c r="AC1253" i="1"/>
  <c r="AL1252" i="1"/>
  <c r="AJ1252" i="1"/>
  <c r="AI1252" i="1"/>
  <c r="AH1252" i="1"/>
  <c r="AG1252" i="1"/>
  <c r="AF1252" i="1"/>
  <c r="AE1252" i="1"/>
  <c r="AD1252" i="1"/>
  <c r="AC1252" i="1"/>
  <c r="AL1251" i="1"/>
  <c r="AJ1251" i="1"/>
  <c r="AI1251" i="1"/>
  <c r="AH1251" i="1"/>
  <c r="AG1251" i="1"/>
  <c r="AF1251" i="1"/>
  <c r="AE1251" i="1"/>
  <c r="AD1251" i="1"/>
  <c r="AC1251" i="1"/>
  <c r="AL1250" i="1"/>
  <c r="AJ1250" i="1"/>
  <c r="AI1250" i="1"/>
  <c r="AH1250" i="1"/>
  <c r="AG1250" i="1"/>
  <c r="AF1250" i="1"/>
  <c r="AE1250" i="1"/>
  <c r="AD1250" i="1"/>
  <c r="AC1250" i="1"/>
  <c r="AL1249" i="1"/>
  <c r="AJ1249" i="1"/>
  <c r="AI1249" i="1"/>
  <c r="AH1249" i="1"/>
  <c r="AG1249" i="1"/>
  <c r="AF1249" i="1"/>
  <c r="AE1249" i="1"/>
  <c r="AD1249" i="1"/>
  <c r="AC1249" i="1"/>
  <c r="AL1248" i="1"/>
  <c r="AJ1248" i="1"/>
  <c r="AI1248" i="1"/>
  <c r="AH1248" i="1"/>
  <c r="AG1248" i="1"/>
  <c r="AF1248" i="1"/>
  <c r="AE1248" i="1"/>
  <c r="AD1248" i="1"/>
  <c r="AC1248" i="1"/>
  <c r="AL1247" i="1"/>
  <c r="AJ1247" i="1"/>
  <c r="AI1247" i="1"/>
  <c r="AH1247" i="1"/>
  <c r="AG1247" i="1"/>
  <c r="AF1247" i="1"/>
  <c r="AE1247" i="1"/>
  <c r="AD1247" i="1"/>
  <c r="AC1247" i="1"/>
  <c r="AL1246" i="1"/>
  <c r="AJ1246" i="1"/>
  <c r="AI1246" i="1"/>
  <c r="AH1246" i="1"/>
  <c r="AG1246" i="1"/>
  <c r="AF1246" i="1"/>
  <c r="AE1246" i="1"/>
  <c r="AD1246" i="1"/>
  <c r="AC1246" i="1"/>
  <c r="AL1245" i="1"/>
  <c r="AJ1245" i="1"/>
  <c r="AI1245" i="1"/>
  <c r="AH1245" i="1"/>
  <c r="AG1245" i="1"/>
  <c r="AF1245" i="1"/>
  <c r="AE1245" i="1"/>
  <c r="AD1245" i="1"/>
  <c r="AC1245" i="1"/>
  <c r="AL1244" i="1"/>
  <c r="AJ1244" i="1"/>
  <c r="AI1244" i="1"/>
  <c r="AH1244" i="1"/>
  <c r="AG1244" i="1"/>
  <c r="AF1244" i="1"/>
  <c r="AE1244" i="1"/>
  <c r="AD1244" i="1"/>
  <c r="AC1244" i="1"/>
  <c r="AL1243" i="1"/>
  <c r="AJ1243" i="1"/>
  <c r="AI1243" i="1"/>
  <c r="AH1243" i="1"/>
  <c r="AG1243" i="1"/>
  <c r="AF1243" i="1"/>
  <c r="AE1243" i="1"/>
  <c r="AD1243" i="1"/>
  <c r="AC1243" i="1"/>
  <c r="AL1242" i="1"/>
  <c r="AJ1242" i="1"/>
  <c r="AI1242" i="1"/>
  <c r="AH1242" i="1"/>
  <c r="AG1242" i="1"/>
  <c r="AF1242" i="1"/>
  <c r="AE1242" i="1"/>
  <c r="AD1242" i="1"/>
  <c r="AC1242" i="1"/>
  <c r="AL1241" i="1"/>
  <c r="AJ1241" i="1"/>
  <c r="AI1241" i="1"/>
  <c r="AH1241" i="1"/>
  <c r="AG1241" i="1"/>
  <c r="AF1241" i="1"/>
  <c r="AE1241" i="1"/>
  <c r="AD1241" i="1"/>
  <c r="AC1241" i="1"/>
  <c r="AL1240" i="1"/>
  <c r="AJ1240" i="1"/>
  <c r="AI1240" i="1"/>
  <c r="AH1240" i="1"/>
  <c r="AG1240" i="1"/>
  <c r="AF1240" i="1"/>
  <c r="AE1240" i="1"/>
  <c r="AD1240" i="1"/>
  <c r="AC1240" i="1"/>
  <c r="AL1239" i="1"/>
  <c r="AJ1239" i="1"/>
  <c r="AI1239" i="1"/>
  <c r="AH1239" i="1"/>
  <c r="AG1239" i="1"/>
  <c r="AF1239" i="1"/>
  <c r="AE1239" i="1"/>
  <c r="AD1239" i="1"/>
  <c r="AC1239" i="1"/>
  <c r="AL1238" i="1"/>
  <c r="AJ1238" i="1"/>
  <c r="AI1238" i="1"/>
  <c r="AH1238" i="1"/>
  <c r="AG1238" i="1"/>
  <c r="AF1238" i="1"/>
  <c r="AE1238" i="1"/>
  <c r="AD1238" i="1"/>
  <c r="AC1238" i="1"/>
  <c r="AL1237" i="1"/>
  <c r="AJ1237" i="1"/>
  <c r="AI1237" i="1"/>
  <c r="AH1237" i="1"/>
  <c r="AG1237" i="1"/>
  <c r="AF1237" i="1"/>
  <c r="AE1237" i="1"/>
  <c r="AD1237" i="1"/>
  <c r="AC1237" i="1"/>
  <c r="AL1236" i="1"/>
  <c r="AJ1236" i="1"/>
  <c r="AI1236" i="1"/>
  <c r="AH1236" i="1"/>
  <c r="AG1236" i="1"/>
  <c r="AF1236" i="1"/>
  <c r="AE1236" i="1"/>
  <c r="AD1236" i="1"/>
  <c r="AC1236" i="1"/>
  <c r="AL1235" i="1"/>
  <c r="AJ1235" i="1"/>
  <c r="AI1235" i="1"/>
  <c r="AH1235" i="1"/>
  <c r="AG1235" i="1"/>
  <c r="AF1235" i="1"/>
  <c r="AE1235" i="1"/>
  <c r="AD1235" i="1"/>
  <c r="AC1235" i="1"/>
  <c r="AL1234" i="1"/>
  <c r="AJ1234" i="1"/>
  <c r="AI1234" i="1"/>
  <c r="AH1234" i="1"/>
  <c r="AG1234" i="1"/>
  <c r="AF1234" i="1"/>
  <c r="AE1234" i="1"/>
  <c r="AD1234" i="1"/>
  <c r="AC1234" i="1"/>
  <c r="AL1233" i="1"/>
  <c r="AJ1233" i="1"/>
  <c r="AI1233" i="1"/>
  <c r="AH1233" i="1"/>
  <c r="AG1233" i="1"/>
  <c r="AF1233" i="1"/>
  <c r="AE1233" i="1"/>
  <c r="AD1233" i="1"/>
  <c r="AC1233" i="1"/>
  <c r="AL1232" i="1"/>
  <c r="AJ1232" i="1"/>
  <c r="AI1232" i="1"/>
  <c r="AH1232" i="1"/>
  <c r="AG1232" i="1"/>
  <c r="AF1232" i="1"/>
  <c r="AE1232" i="1"/>
  <c r="AD1232" i="1"/>
  <c r="AC1232" i="1"/>
  <c r="AL1231" i="1"/>
  <c r="AJ1231" i="1"/>
  <c r="AI1231" i="1"/>
  <c r="AH1231" i="1"/>
  <c r="AG1231" i="1"/>
  <c r="AF1231" i="1"/>
  <c r="AE1231" i="1"/>
  <c r="AD1231" i="1"/>
  <c r="AC1231" i="1"/>
  <c r="AL1230" i="1"/>
  <c r="AJ1230" i="1"/>
  <c r="AI1230" i="1"/>
  <c r="AH1230" i="1"/>
  <c r="AG1230" i="1"/>
  <c r="AF1230" i="1"/>
  <c r="AE1230" i="1"/>
  <c r="AD1230" i="1"/>
  <c r="AC1230" i="1"/>
  <c r="AL1229" i="1"/>
  <c r="AJ1229" i="1"/>
  <c r="AI1229" i="1"/>
  <c r="AH1229" i="1"/>
  <c r="AG1229" i="1"/>
  <c r="AF1229" i="1"/>
  <c r="AE1229" i="1"/>
  <c r="AD1229" i="1"/>
  <c r="AC1229" i="1"/>
  <c r="AL1228" i="1"/>
  <c r="AJ1228" i="1"/>
  <c r="AI1228" i="1"/>
  <c r="AH1228" i="1"/>
  <c r="AG1228" i="1"/>
  <c r="AF1228" i="1"/>
  <c r="AE1228" i="1"/>
  <c r="AD1228" i="1"/>
  <c r="AC1228" i="1"/>
  <c r="AL1227" i="1"/>
  <c r="AJ1227" i="1"/>
  <c r="AI1227" i="1"/>
  <c r="AH1227" i="1"/>
  <c r="AG1227" i="1"/>
  <c r="AF1227" i="1"/>
  <c r="AE1227" i="1"/>
  <c r="AD1227" i="1"/>
  <c r="AC1227" i="1"/>
  <c r="AL1226" i="1"/>
  <c r="AJ1226" i="1"/>
  <c r="AI1226" i="1"/>
  <c r="AH1226" i="1"/>
  <c r="AG1226" i="1"/>
  <c r="AF1226" i="1"/>
  <c r="AE1226" i="1"/>
  <c r="AD1226" i="1"/>
  <c r="AC1226" i="1"/>
  <c r="AL1225" i="1"/>
  <c r="AJ1225" i="1"/>
  <c r="AI1225" i="1"/>
  <c r="AH1225" i="1"/>
  <c r="AG1225" i="1"/>
  <c r="AF1225" i="1"/>
  <c r="AE1225" i="1"/>
  <c r="AD1225" i="1"/>
  <c r="AC1225" i="1"/>
  <c r="AL1224" i="1"/>
  <c r="AJ1224" i="1"/>
  <c r="AI1224" i="1"/>
  <c r="AH1224" i="1"/>
  <c r="AG1224" i="1"/>
  <c r="AF1224" i="1"/>
  <c r="AE1224" i="1"/>
  <c r="AD1224" i="1"/>
  <c r="AC1224" i="1"/>
  <c r="AL1223" i="1"/>
  <c r="AJ1223" i="1"/>
  <c r="AI1223" i="1"/>
  <c r="AH1223" i="1"/>
  <c r="AG1223" i="1"/>
  <c r="AF1223" i="1"/>
  <c r="AE1223" i="1"/>
  <c r="AD1223" i="1"/>
  <c r="AC1223" i="1"/>
  <c r="AL1222" i="1"/>
  <c r="AJ1222" i="1"/>
  <c r="AI1222" i="1"/>
  <c r="AH1222" i="1"/>
  <c r="AG1222" i="1"/>
  <c r="AF1222" i="1"/>
  <c r="AE1222" i="1"/>
  <c r="AD1222" i="1"/>
  <c r="AC1222" i="1"/>
  <c r="AL1221" i="1"/>
  <c r="AJ1221" i="1"/>
  <c r="AI1221" i="1"/>
  <c r="AH1221" i="1"/>
  <c r="AG1221" i="1"/>
  <c r="AF1221" i="1"/>
  <c r="AE1221" i="1"/>
  <c r="AD1221" i="1"/>
  <c r="AC1221" i="1"/>
  <c r="AL1220" i="1"/>
  <c r="AJ1220" i="1"/>
  <c r="AI1220" i="1"/>
  <c r="AH1220" i="1"/>
  <c r="AG1220" i="1"/>
  <c r="AF1220" i="1"/>
  <c r="AE1220" i="1"/>
  <c r="AD1220" i="1"/>
  <c r="AC1220" i="1"/>
  <c r="AL1219" i="1"/>
  <c r="AJ1219" i="1"/>
  <c r="AI1219" i="1"/>
  <c r="AH1219" i="1"/>
  <c r="AG1219" i="1"/>
  <c r="AF1219" i="1"/>
  <c r="AE1219" i="1"/>
  <c r="AD1219" i="1"/>
  <c r="AC1219" i="1"/>
  <c r="AL1218" i="1"/>
  <c r="AJ1218" i="1"/>
  <c r="AI1218" i="1"/>
  <c r="AH1218" i="1"/>
  <c r="AG1218" i="1"/>
  <c r="AF1218" i="1"/>
  <c r="AE1218" i="1"/>
  <c r="AD1218" i="1"/>
  <c r="AC1218" i="1"/>
  <c r="AL1217" i="1"/>
  <c r="AJ1217" i="1"/>
  <c r="AI1217" i="1"/>
  <c r="AH1217" i="1"/>
  <c r="AG1217" i="1"/>
  <c r="AF1217" i="1"/>
  <c r="AE1217" i="1"/>
  <c r="AD1217" i="1"/>
  <c r="AC1217" i="1"/>
  <c r="AL1216" i="1"/>
  <c r="AJ1216" i="1"/>
  <c r="AI1216" i="1"/>
  <c r="AH1216" i="1"/>
  <c r="AG1216" i="1"/>
  <c r="AF1216" i="1"/>
  <c r="AE1216" i="1"/>
  <c r="AD1216" i="1"/>
  <c r="AC1216" i="1"/>
  <c r="AL1215" i="1"/>
  <c r="AJ1215" i="1"/>
  <c r="AI1215" i="1"/>
  <c r="AH1215" i="1"/>
  <c r="AG1215" i="1"/>
  <c r="AF1215" i="1"/>
  <c r="AE1215" i="1"/>
  <c r="AD1215" i="1"/>
  <c r="AC1215" i="1"/>
  <c r="AL1214" i="1"/>
  <c r="AJ1214" i="1"/>
  <c r="AI1214" i="1"/>
  <c r="AH1214" i="1"/>
  <c r="AG1214" i="1"/>
  <c r="AF1214" i="1"/>
  <c r="AE1214" i="1"/>
  <c r="AD1214" i="1"/>
  <c r="AC1214" i="1"/>
  <c r="AL1213" i="1"/>
  <c r="AJ1213" i="1"/>
  <c r="AI1213" i="1"/>
  <c r="AH1213" i="1"/>
  <c r="AG1213" i="1"/>
  <c r="AF1213" i="1"/>
  <c r="AE1213" i="1"/>
  <c r="AD1213" i="1"/>
  <c r="AC1213" i="1"/>
  <c r="AL1212" i="1"/>
  <c r="AJ1212" i="1"/>
  <c r="AI1212" i="1"/>
  <c r="AH1212" i="1"/>
  <c r="AG1212" i="1"/>
  <c r="AF1212" i="1"/>
  <c r="AE1212" i="1"/>
  <c r="AD1212" i="1"/>
  <c r="AC1212" i="1"/>
  <c r="AL1211" i="1"/>
  <c r="AJ1211" i="1"/>
  <c r="AI1211" i="1"/>
  <c r="AH1211" i="1"/>
  <c r="AG1211" i="1"/>
  <c r="AF1211" i="1"/>
  <c r="AE1211" i="1"/>
  <c r="AD1211" i="1"/>
  <c r="AC1211" i="1"/>
  <c r="AL1210" i="1"/>
  <c r="AJ1210" i="1"/>
  <c r="AI1210" i="1"/>
  <c r="AH1210" i="1"/>
  <c r="AG1210" i="1"/>
  <c r="AF1210" i="1"/>
  <c r="AE1210" i="1"/>
  <c r="AD1210" i="1"/>
  <c r="AC1210" i="1"/>
  <c r="AL1209" i="1"/>
  <c r="AJ1209" i="1"/>
  <c r="AI1209" i="1"/>
  <c r="AH1209" i="1"/>
  <c r="AG1209" i="1"/>
  <c r="AF1209" i="1"/>
  <c r="AE1209" i="1"/>
  <c r="AD1209" i="1"/>
  <c r="AC1209" i="1"/>
  <c r="AL1208" i="1"/>
  <c r="AJ1208" i="1"/>
  <c r="AI1208" i="1"/>
  <c r="AH1208" i="1"/>
  <c r="AG1208" i="1"/>
  <c r="AF1208" i="1"/>
  <c r="AE1208" i="1"/>
  <c r="AD1208" i="1"/>
  <c r="AC1208" i="1"/>
  <c r="AL1207" i="1"/>
  <c r="AJ1207" i="1"/>
  <c r="AI1207" i="1"/>
  <c r="AH1207" i="1"/>
  <c r="AG1207" i="1"/>
  <c r="AF1207" i="1"/>
  <c r="AE1207" i="1"/>
  <c r="AD1207" i="1"/>
  <c r="AC1207" i="1"/>
  <c r="AL1206" i="1"/>
  <c r="AJ1206" i="1"/>
  <c r="AI1206" i="1"/>
  <c r="AH1206" i="1"/>
  <c r="AG1206" i="1"/>
  <c r="AF1206" i="1"/>
  <c r="AE1206" i="1"/>
  <c r="AD1206" i="1"/>
  <c r="AC1206" i="1"/>
  <c r="AL1205" i="1"/>
  <c r="AJ1205" i="1"/>
  <c r="AI1205" i="1"/>
  <c r="AH1205" i="1"/>
  <c r="AG1205" i="1"/>
  <c r="AF1205" i="1"/>
  <c r="AE1205" i="1"/>
  <c r="AD1205" i="1"/>
  <c r="AC1205" i="1"/>
  <c r="AL1204" i="1"/>
  <c r="AJ1204" i="1"/>
  <c r="AI1204" i="1"/>
  <c r="AH1204" i="1"/>
  <c r="AG1204" i="1"/>
  <c r="AF1204" i="1"/>
  <c r="AE1204" i="1"/>
  <c r="AD1204" i="1"/>
  <c r="AC1204" i="1"/>
  <c r="AL1203" i="1"/>
  <c r="AJ1203" i="1"/>
  <c r="AI1203" i="1"/>
  <c r="AH1203" i="1"/>
  <c r="AG1203" i="1"/>
  <c r="AF1203" i="1"/>
  <c r="AE1203" i="1"/>
  <c r="AD1203" i="1"/>
  <c r="AC1203" i="1"/>
  <c r="AL1202" i="1"/>
  <c r="AJ1202" i="1"/>
  <c r="AI1202" i="1"/>
  <c r="AH1202" i="1"/>
  <c r="AG1202" i="1"/>
  <c r="AF1202" i="1"/>
  <c r="AE1202" i="1"/>
  <c r="AD1202" i="1"/>
  <c r="AC1202" i="1"/>
  <c r="AL1201" i="1"/>
  <c r="AJ1201" i="1"/>
  <c r="AI1201" i="1"/>
  <c r="AH1201" i="1"/>
  <c r="AG1201" i="1"/>
  <c r="AF1201" i="1"/>
  <c r="AE1201" i="1"/>
  <c r="AD1201" i="1"/>
  <c r="AC1201" i="1"/>
  <c r="AL1200" i="1"/>
  <c r="AJ1200" i="1"/>
  <c r="AI1200" i="1"/>
  <c r="AH1200" i="1"/>
  <c r="AG1200" i="1"/>
  <c r="AF1200" i="1"/>
  <c r="AE1200" i="1"/>
  <c r="AD1200" i="1"/>
  <c r="AC1200" i="1"/>
  <c r="AL1199" i="1"/>
  <c r="AJ1199" i="1"/>
  <c r="AI1199" i="1"/>
  <c r="AH1199" i="1"/>
  <c r="AG1199" i="1"/>
  <c r="AF1199" i="1"/>
  <c r="AE1199" i="1"/>
  <c r="AD1199" i="1"/>
  <c r="AC1199" i="1"/>
  <c r="AL1198" i="1"/>
  <c r="AJ1198" i="1"/>
  <c r="AI1198" i="1"/>
  <c r="AH1198" i="1"/>
  <c r="AG1198" i="1"/>
  <c r="AF1198" i="1"/>
  <c r="AE1198" i="1"/>
  <c r="AD1198" i="1"/>
  <c r="AC1198" i="1"/>
  <c r="AL1197" i="1"/>
  <c r="AJ1197" i="1"/>
  <c r="AI1197" i="1"/>
  <c r="AH1197" i="1"/>
  <c r="AG1197" i="1"/>
  <c r="AF1197" i="1"/>
  <c r="AE1197" i="1"/>
  <c r="AD1197" i="1"/>
  <c r="AC1197" i="1"/>
  <c r="AL1196" i="1"/>
  <c r="AJ1196" i="1"/>
  <c r="AI1196" i="1"/>
  <c r="AH1196" i="1"/>
  <c r="AG1196" i="1"/>
  <c r="AF1196" i="1"/>
  <c r="AE1196" i="1"/>
  <c r="AD1196" i="1"/>
  <c r="AC1196" i="1"/>
  <c r="AL1195" i="1"/>
  <c r="AJ1195" i="1"/>
  <c r="AI1195" i="1"/>
  <c r="AH1195" i="1"/>
  <c r="AG1195" i="1"/>
  <c r="AF1195" i="1"/>
  <c r="AE1195" i="1"/>
  <c r="AD1195" i="1"/>
  <c r="AC1195" i="1"/>
  <c r="AL1194" i="1"/>
  <c r="AJ1194" i="1"/>
  <c r="AI1194" i="1"/>
  <c r="AH1194" i="1"/>
  <c r="AG1194" i="1"/>
  <c r="AF1194" i="1"/>
  <c r="AE1194" i="1"/>
  <c r="AD1194" i="1"/>
  <c r="AC1194" i="1"/>
  <c r="AL1193" i="1"/>
  <c r="AJ1193" i="1"/>
  <c r="AI1193" i="1"/>
  <c r="AH1193" i="1"/>
  <c r="AG1193" i="1"/>
  <c r="AF1193" i="1"/>
  <c r="AE1193" i="1"/>
  <c r="AD1193" i="1"/>
  <c r="AC1193" i="1"/>
  <c r="AL1192" i="1"/>
  <c r="AJ1192" i="1"/>
  <c r="AI1192" i="1"/>
  <c r="AH1192" i="1"/>
  <c r="AG1192" i="1"/>
  <c r="AF1192" i="1"/>
  <c r="AE1192" i="1"/>
  <c r="AD1192" i="1"/>
  <c r="AC1192" i="1"/>
  <c r="AL1191" i="1"/>
  <c r="AJ1191" i="1"/>
  <c r="AI1191" i="1"/>
  <c r="AH1191" i="1"/>
  <c r="AG1191" i="1"/>
  <c r="AF1191" i="1"/>
  <c r="AE1191" i="1"/>
  <c r="AD1191" i="1"/>
  <c r="AC1191" i="1"/>
  <c r="AL1190" i="1"/>
  <c r="AJ1190" i="1"/>
  <c r="AI1190" i="1"/>
  <c r="AH1190" i="1"/>
  <c r="AG1190" i="1"/>
  <c r="AF1190" i="1"/>
  <c r="AE1190" i="1"/>
  <c r="AD1190" i="1"/>
  <c r="AC1190" i="1"/>
  <c r="AL1189" i="1"/>
  <c r="AJ1189" i="1"/>
  <c r="AI1189" i="1"/>
  <c r="AH1189" i="1"/>
  <c r="AG1189" i="1"/>
  <c r="AF1189" i="1"/>
  <c r="AE1189" i="1"/>
  <c r="AD1189" i="1"/>
  <c r="AC1189" i="1"/>
  <c r="AL1188" i="1"/>
  <c r="AJ1188" i="1"/>
  <c r="AI1188" i="1"/>
  <c r="AH1188" i="1"/>
  <c r="AG1188" i="1"/>
  <c r="AF1188" i="1"/>
  <c r="AE1188" i="1"/>
  <c r="AD1188" i="1"/>
  <c r="AC1188" i="1"/>
  <c r="AL1187" i="1"/>
  <c r="AJ1187" i="1"/>
  <c r="AI1187" i="1"/>
  <c r="AH1187" i="1"/>
  <c r="AG1187" i="1"/>
  <c r="AF1187" i="1"/>
  <c r="AE1187" i="1"/>
  <c r="AD1187" i="1"/>
  <c r="AC1187" i="1"/>
  <c r="AL1186" i="1"/>
  <c r="AJ1186" i="1"/>
  <c r="AI1186" i="1"/>
  <c r="AH1186" i="1"/>
  <c r="AG1186" i="1"/>
  <c r="AF1186" i="1"/>
  <c r="AE1186" i="1"/>
  <c r="AD1186" i="1"/>
  <c r="AC1186" i="1"/>
  <c r="AL1185" i="1"/>
  <c r="AJ1185" i="1"/>
  <c r="AI1185" i="1"/>
  <c r="AH1185" i="1"/>
  <c r="AG1185" i="1"/>
  <c r="AF1185" i="1"/>
  <c r="AE1185" i="1"/>
  <c r="AD1185" i="1"/>
  <c r="AC1185" i="1"/>
  <c r="AL1184" i="1"/>
  <c r="AJ1184" i="1"/>
  <c r="AI1184" i="1"/>
  <c r="AH1184" i="1"/>
  <c r="AG1184" i="1"/>
  <c r="AF1184" i="1"/>
  <c r="AE1184" i="1"/>
  <c r="AD1184" i="1"/>
  <c r="AC1184" i="1"/>
  <c r="AL1183" i="1"/>
  <c r="AJ1183" i="1"/>
  <c r="AI1183" i="1"/>
  <c r="AH1183" i="1"/>
  <c r="AG1183" i="1"/>
  <c r="AF1183" i="1"/>
  <c r="AE1183" i="1"/>
  <c r="AD1183" i="1"/>
  <c r="AC1183" i="1"/>
  <c r="AL1182" i="1"/>
  <c r="AJ1182" i="1"/>
  <c r="AI1182" i="1"/>
  <c r="AH1182" i="1"/>
  <c r="AG1182" i="1"/>
  <c r="AF1182" i="1"/>
  <c r="AE1182" i="1"/>
  <c r="AD1182" i="1"/>
  <c r="AC1182" i="1"/>
  <c r="AL1181" i="1"/>
  <c r="AJ1181" i="1"/>
  <c r="AI1181" i="1"/>
  <c r="AH1181" i="1"/>
  <c r="AG1181" i="1"/>
  <c r="AF1181" i="1"/>
  <c r="AE1181" i="1"/>
  <c r="AD1181" i="1"/>
  <c r="AC1181" i="1"/>
  <c r="AL1180" i="1"/>
  <c r="AJ1180" i="1"/>
  <c r="AI1180" i="1"/>
  <c r="AH1180" i="1"/>
  <c r="AG1180" i="1"/>
  <c r="AF1180" i="1"/>
  <c r="AE1180" i="1"/>
  <c r="AD1180" i="1"/>
  <c r="AC1180" i="1"/>
  <c r="AL1179" i="1"/>
  <c r="AJ1179" i="1"/>
  <c r="AI1179" i="1"/>
  <c r="AH1179" i="1"/>
  <c r="AG1179" i="1"/>
  <c r="AF1179" i="1"/>
  <c r="AE1179" i="1"/>
  <c r="AD1179" i="1"/>
  <c r="AC1179" i="1"/>
  <c r="AL1178" i="1"/>
  <c r="AJ1178" i="1"/>
  <c r="AI1178" i="1"/>
  <c r="AH1178" i="1"/>
  <c r="AG1178" i="1"/>
  <c r="AF1178" i="1"/>
  <c r="AE1178" i="1"/>
  <c r="AD1178" i="1"/>
  <c r="AC1178" i="1"/>
  <c r="AL1177" i="1"/>
  <c r="AJ1177" i="1"/>
  <c r="AI1177" i="1"/>
  <c r="AH1177" i="1"/>
  <c r="AG1177" i="1"/>
  <c r="AF1177" i="1"/>
  <c r="AE1177" i="1"/>
  <c r="AD1177" i="1"/>
  <c r="AC1177" i="1"/>
  <c r="AL1176" i="1"/>
  <c r="AJ1176" i="1"/>
  <c r="AI1176" i="1"/>
  <c r="AH1176" i="1"/>
  <c r="AG1176" i="1"/>
  <c r="AF1176" i="1"/>
  <c r="AE1176" i="1"/>
  <c r="AD1176" i="1"/>
  <c r="AC1176" i="1"/>
  <c r="AL1175" i="1"/>
  <c r="AJ1175" i="1"/>
  <c r="AI1175" i="1"/>
  <c r="AH1175" i="1"/>
  <c r="AG1175" i="1"/>
  <c r="AF1175" i="1"/>
  <c r="AE1175" i="1"/>
  <c r="AD1175" i="1"/>
  <c r="AC1175" i="1"/>
  <c r="AL1174" i="1"/>
  <c r="AJ1174" i="1"/>
  <c r="AI1174" i="1"/>
  <c r="AH1174" i="1"/>
  <c r="AG1174" i="1"/>
  <c r="AF1174" i="1"/>
  <c r="AE1174" i="1"/>
  <c r="AD1174" i="1"/>
  <c r="AC1174" i="1"/>
  <c r="AL1173" i="1"/>
  <c r="AJ1173" i="1"/>
  <c r="AI1173" i="1"/>
  <c r="AH1173" i="1"/>
  <c r="AG1173" i="1"/>
  <c r="AF1173" i="1"/>
  <c r="AE1173" i="1"/>
  <c r="AD1173" i="1"/>
  <c r="AC1173" i="1"/>
  <c r="AL1172" i="1"/>
  <c r="AJ1172" i="1"/>
  <c r="AI1172" i="1"/>
  <c r="AH1172" i="1"/>
  <c r="AG1172" i="1"/>
  <c r="AF1172" i="1"/>
  <c r="AE1172" i="1"/>
  <c r="AD1172" i="1"/>
  <c r="AC1172" i="1"/>
  <c r="AL1171" i="1"/>
  <c r="AJ1171" i="1"/>
  <c r="AI1171" i="1"/>
  <c r="AH1171" i="1"/>
  <c r="AG1171" i="1"/>
  <c r="AF1171" i="1"/>
  <c r="AE1171" i="1"/>
  <c r="AD1171" i="1"/>
  <c r="AC1171" i="1"/>
  <c r="AL1170" i="1"/>
  <c r="AJ1170" i="1"/>
  <c r="AI1170" i="1"/>
  <c r="AH1170" i="1"/>
  <c r="AG1170" i="1"/>
  <c r="AF1170" i="1"/>
  <c r="AE1170" i="1"/>
  <c r="AD1170" i="1"/>
  <c r="AC1170" i="1"/>
  <c r="AL1169" i="1"/>
  <c r="AJ1169" i="1"/>
  <c r="AI1169" i="1"/>
  <c r="AH1169" i="1"/>
  <c r="AG1169" i="1"/>
  <c r="AF1169" i="1"/>
  <c r="AE1169" i="1"/>
  <c r="AD1169" i="1"/>
  <c r="AC1169" i="1"/>
  <c r="AL1168" i="1"/>
  <c r="AJ1168" i="1"/>
  <c r="AI1168" i="1"/>
  <c r="AH1168" i="1"/>
  <c r="AG1168" i="1"/>
  <c r="AF1168" i="1"/>
  <c r="AE1168" i="1"/>
  <c r="AD1168" i="1"/>
  <c r="AC1168" i="1"/>
  <c r="AL1167" i="1"/>
  <c r="AJ1167" i="1"/>
  <c r="AI1167" i="1"/>
  <c r="AH1167" i="1"/>
  <c r="AG1167" i="1"/>
  <c r="AF1167" i="1"/>
  <c r="AE1167" i="1"/>
  <c r="AD1167" i="1"/>
  <c r="AC1167" i="1"/>
  <c r="AL1166" i="1"/>
  <c r="AJ1166" i="1"/>
  <c r="AI1166" i="1"/>
  <c r="AH1166" i="1"/>
  <c r="AG1166" i="1"/>
  <c r="AF1166" i="1"/>
  <c r="AE1166" i="1"/>
  <c r="AD1166" i="1"/>
  <c r="AC1166" i="1"/>
  <c r="AL1165" i="1"/>
  <c r="AJ1165" i="1"/>
  <c r="AI1165" i="1"/>
  <c r="AH1165" i="1"/>
  <c r="AG1165" i="1"/>
  <c r="AF1165" i="1"/>
  <c r="AE1165" i="1"/>
  <c r="AD1165" i="1"/>
  <c r="AC1165" i="1"/>
  <c r="AL1164" i="1"/>
  <c r="AJ1164" i="1"/>
  <c r="AI1164" i="1"/>
  <c r="AH1164" i="1"/>
  <c r="AG1164" i="1"/>
  <c r="AF1164" i="1"/>
  <c r="AE1164" i="1"/>
  <c r="AD1164" i="1"/>
  <c r="AC1164" i="1"/>
  <c r="AL1163" i="1"/>
  <c r="AJ1163" i="1"/>
  <c r="AI1163" i="1"/>
  <c r="AH1163" i="1"/>
  <c r="AG1163" i="1"/>
  <c r="AF1163" i="1"/>
  <c r="AE1163" i="1"/>
  <c r="AD1163" i="1"/>
  <c r="AC1163" i="1"/>
  <c r="AL1162" i="1"/>
  <c r="AJ1162" i="1"/>
  <c r="AI1162" i="1"/>
  <c r="AH1162" i="1"/>
  <c r="AG1162" i="1"/>
  <c r="AF1162" i="1"/>
  <c r="AE1162" i="1"/>
  <c r="AD1162" i="1"/>
  <c r="AC1162" i="1"/>
  <c r="AL1161" i="1"/>
  <c r="AJ1161" i="1"/>
  <c r="AI1161" i="1"/>
  <c r="AH1161" i="1"/>
  <c r="AG1161" i="1"/>
  <c r="AF1161" i="1"/>
  <c r="AE1161" i="1"/>
  <c r="AD1161" i="1"/>
  <c r="AC1161" i="1"/>
  <c r="AL1160" i="1"/>
  <c r="AJ1160" i="1"/>
  <c r="AI1160" i="1"/>
  <c r="AH1160" i="1"/>
  <c r="AG1160" i="1"/>
  <c r="AF1160" i="1"/>
  <c r="AE1160" i="1"/>
  <c r="AD1160" i="1"/>
  <c r="AC1160" i="1"/>
  <c r="AL1159" i="1"/>
  <c r="AJ1159" i="1"/>
  <c r="AI1159" i="1"/>
  <c r="AH1159" i="1"/>
  <c r="AG1159" i="1"/>
  <c r="AF1159" i="1"/>
  <c r="AE1159" i="1"/>
  <c r="AD1159" i="1"/>
  <c r="AC1159" i="1"/>
  <c r="AL1158" i="1"/>
  <c r="AJ1158" i="1"/>
  <c r="AI1158" i="1"/>
  <c r="AH1158" i="1"/>
  <c r="AG1158" i="1"/>
  <c r="AF1158" i="1"/>
  <c r="AE1158" i="1"/>
  <c r="AD1158" i="1"/>
  <c r="AC1158" i="1"/>
  <c r="AL1157" i="1"/>
  <c r="AJ1157" i="1"/>
  <c r="AI1157" i="1"/>
  <c r="AH1157" i="1"/>
  <c r="AG1157" i="1"/>
  <c r="AF1157" i="1"/>
  <c r="AE1157" i="1"/>
  <c r="AD1157" i="1"/>
  <c r="AC1157" i="1"/>
  <c r="AL1156" i="1"/>
  <c r="AJ1156" i="1"/>
  <c r="AI1156" i="1"/>
  <c r="AH1156" i="1"/>
  <c r="AG1156" i="1"/>
  <c r="AF1156" i="1"/>
  <c r="AE1156" i="1"/>
  <c r="AD1156" i="1"/>
  <c r="AC1156" i="1"/>
  <c r="AL1155" i="1"/>
  <c r="AJ1155" i="1"/>
  <c r="AI1155" i="1"/>
  <c r="AH1155" i="1"/>
  <c r="AG1155" i="1"/>
  <c r="AF1155" i="1"/>
  <c r="AE1155" i="1"/>
  <c r="AD1155" i="1"/>
  <c r="AC1155" i="1"/>
  <c r="AL1154" i="1"/>
  <c r="AJ1154" i="1"/>
  <c r="AI1154" i="1"/>
  <c r="AH1154" i="1"/>
  <c r="AG1154" i="1"/>
  <c r="AF1154" i="1"/>
  <c r="AE1154" i="1"/>
  <c r="AD1154" i="1"/>
  <c r="AC1154" i="1"/>
  <c r="AL1153" i="1"/>
  <c r="AJ1153" i="1"/>
  <c r="AI1153" i="1"/>
  <c r="AH1153" i="1"/>
  <c r="AG1153" i="1"/>
  <c r="AF1153" i="1"/>
  <c r="AE1153" i="1"/>
  <c r="AD1153" i="1"/>
  <c r="AC1153" i="1"/>
  <c r="AL1152" i="1"/>
  <c r="AJ1152" i="1"/>
  <c r="AI1152" i="1"/>
  <c r="AH1152" i="1"/>
  <c r="AG1152" i="1"/>
  <c r="AF1152" i="1"/>
  <c r="AE1152" i="1"/>
  <c r="AD1152" i="1"/>
  <c r="AC1152" i="1"/>
  <c r="AL1151" i="1"/>
  <c r="AJ1151" i="1"/>
  <c r="AI1151" i="1"/>
  <c r="AH1151" i="1"/>
  <c r="AG1151" i="1"/>
  <c r="AF1151" i="1"/>
  <c r="AE1151" i="1"/>
  <c r="AD1151" i="1"/>
  <c r="AC1151" i="1"/>
  <c r="AL1150" i="1"/>
  <c r="AJ1150" i="1"/>
  <c r="AI1150" i="1"/>
  <c r="AH1150" i="1"/>
  <c r="AG1150" i="1"/>
  <c r="AF1150" i="1"/>
  <c r="AE1150" i="1"/>
  <c r="AD1150" i="1"/>
  <c r="AC1150" i="1"/>
  <c r="AL1149" i="1"/>
  <c r="AJ1149" i="1"/>
  <c r="AI1149" i="1"/>
  <c r="AH1149" i="1"/>
  <c r="AG1149" i="1"/>
  <c r="AF1149" i="1"/>
  <c r="AE1149" i="1"/>
  <c r="AD1149" i="1"/>
  <c r="AC1149" i="1"/>
  <c r="AL1148" i="1"/>
  <c r="AJ1148" i="1"/>
  <c r="AI1148" i="1"/>
  <c r="AH1148" i="1"/>
  <c r="AG1148" i="1"/>
  <c r="AF1148" i="1"/>
  <c r="AE1148" i="1"/>
  <c r="AD1148" i="1"/>
  <c r="AC1148" i="1"/>
  <c r="AL1147" i="1"/>
  <c r="AJ1147" i="1"/>
  <c r="AI1147" i="1"/>
  <c r="AH1147" i="1"/>
  <c r="AG1147" i="1"/>
  <c r="AF1147" i="1"/>
  <c r="AE1147" i="1"/>
  <c r="AD1147" i="1"/>
  <c r="AC1147" i="1"/>
  <c r="AL1146" i="1"/>
  <c r="AJ1146" i="1"/>
  <c r="AI1146" i="1"/>
  <c r="AH1146" i="1"/>
  <c r="AG1146" i="1"/>
  <c r="AF1146" i="1"/>
  <c r="AE1146" i="1"/>
  <c r="AD1146" i="1"/>
  <c r="AC1146" i="1"/>
  <c r="AL1145" i="1"/>
  <c r="AJ1145" i="1"/>
  <c r="AI1145" i="1"/>
  <c r="AH1145" i="1"/>
  <c r="AG1145" i="1"/>
  <c r="AF1145" i="1"/>
  <c r="AE1145" i="1"/>
  <c r="AD1145" i="1"/>
  <c r="AC1145" i="1"/>
  <c r="AL1144" i="1"/>
  <c r="AJ1144" i="1"/>
  <c r="AI1144" i="1"/>
  <c r="AH1144" i="1"/>
  <c r="AG1144" i="1"/>
  <c r="AF1144" i="1"/>
  <c r="AE1144" i="1"/>
  <c r="AD1144" i="1"/>
  <c r="AC1144" i="1"/>
  <c r="AL1143" i="1"/>
  <c r="AJ1143" i="1"/>
  <c r="AI1143" i="1"/>
  <c r="AH1143" i="1"/>
  <c r="AG1143" i="1"/>
  <c r="AF1143" i="1"/>
  <c r="AE1143" i="1"/>
  <c r="AD1143" i="1"/>
  <c r="AC1143" i="1"/>
  <c r="AL1142" i="1"/>
  <c r="AJ1142" i="1"/>
  <c r="AI1142" i="1"/>
  <c r="AH1142" i="1"/>
  <c r="AG1142" i="1"/>
  <c r="AF1142" i="1"/>
  <c r="AE1142" i="1"/>
  <c r="AD1142" i="1"/>
  <c r="AC1142" i="1"/>
  <c r="AL1141" i="1"/>
  <c r="AJ1141" i="1"/>
  <c r="AI1141" i="1"/>
  <c r="AH1141" i="1"/>
  <c r="AG1141" i="1"/>
  <c r="AF1141" i="1"/>
  <c r="AE1141" i="1"/>
  <c r="AD1141" i="1"/>
  <c r="AC1141" i="1"/>
  <c r="AL1140" i="1"/>
  <c r="AJ1140" i="1"/>
  <c r="AI1140" i="1"/>
  <c r="AH1140" i="1"/>
  <c r="AG1140" i="1"/>
  <c r="AF1140" i="1"/>
  <c r="AE1140" i="1"/>
  <c r="AD1140" i="1"/>
  <c r="AC1140" i="1"/>
  <c r="AL1139" i="1"/>
  <c r="AJ1139" i="1"/>
  <c r="AI1139" i="1"/>
  <c r="AH1139" i="1"/>
  <c r="AG1139" i="1"/>
  <c r="AF1139" i="1"/>
  <c r="AE1139" i="1"/>
  <c r="AD1139" i="1"/>
  <c r="AC1139" i="1"/>
  <c r="AL1138" i="1"/>
  <c r="AJ1138" i="1"/>
  <c r="AI1138" i="1"/>
  <c r="AH1138" i="1"/>
  <c r="AG1138" i="1"/>
  <c r="AF1138" i="1"/>
  <c r="AE1138" i="1"/>
  <c r="AD1138" i="1"/>
  <c r="AC1138" i="1"/>
  <c r="AL1137" i="1"/>
  <c r="AJ1137" i="1"/>
  <c r="AI1137" i="1"/>
  <c r="AH1137" i="1"/>
  <c r="AG1137" i="1"/>
  <c r="AF1137" i="1"/>
  <c r="AE1137" i="1"/>
  <c r="AD1137" i="1"/>
  <c r="AC1137" i="1"/>
  <c r="AL1136" i="1"/>
  <c r="AJ1136" i="1"/>
  <c r="AI1136" i="1"/>
  <c r="AH1136" i="1"/>
  <c r="AG1136" i="1"/>
  <c r="AF1136" i="1"/>
  <c r="AE1136" i="1"/>
  <c r="AD1136" i="1"/>
  <c r="AC1136" i="1"/>
  <c r="AL1135" i="1"/>
  <c r="AJ1135" i="1"/>
  <c r="AI1135" i="1"/>
  <c r="AH1135" i="1"/>
  <c r="AG1135" i="1"/>
  <c r="AF1135" i="1"/>
  <c r="AE1135" i="1"/>
  <c r="AD1135" i="1"/>
  <c r="AC1135" i="1"/>
  <c r="AL1134" i="1"/>
  <c r="AJ1134" i="1"/>
  <c r="AI1134" i="1"/>
  <c r="AH1134" i="1"/>
  <c r="AG1134" i="1"/>
  <c r="AF1134" i="1"/>
  <c r="AE1134" i="1"/>
  <c r="AD1134" i="1"/>
  <c r="AC1134" i="1"/>
  <c r="AL1133" i="1"/>
  <c r="AJ1133" i="1"/>
  <c r="AI1133" i="1"/>
  <c r="AH1133" i="1"/>
  <c r="AG1133" i="1"/>
  <c r="AF1133" i="1"/>
  <c r="AE1133" i="1"/>
  <c r="AD1133" i="1"/>
  <c r="AC1133" i="1"/>
  <c r="AL1132" i="1"/>
  <c r="AJ1132" i="1"/>
  <c r="AI1132" i="1"/>
  <c r="AH1132" i="1"/>
  <c r="AG1132" i="1"/>
  <c r="AF1132" i="1"/>
  <c r="AE1132" i="1"/>
  <c r="AD1132" i="1"/>
  <c r="AC1132" i="1"/>
  <c r="AL1131" i="1"/>
  <c r="AJ1131" i="1"/>
  <c r="AI1131" i="1"/>
  <c r="AH1131" i="1"/>
  <c r="AG1131" i="1"/>
  <c r="AF1131" i="1"/>
  <c r="AE1131" i="1"/>
  <c r="AD1131" i="1"/>
  <c r="AC1131" i="1"/>
  <c r="AL1130" i="1"/>
  <c r="AJ1130" i="1"/>
  <c r="AI1130" i="1"/>
  <c r="AH1130" i="1"/>
  <c r="AG1130" i="1"/>
  <c r="AF1130" i="1"/>
  <c r="AE1130" i="1"/>
  <c r="AD1130" i="1"/>
  <c r="AC1130" i="1"/>
  <c r="AL1129" i="1"/>
  <c r="AJ1129" i="1"/>
  <c r="AI1129" i="1"/>
  <c r="AH1129" i="1"/>
  <c r="AG1129" i="1"/>
  <c r="AF1129" i="1"/>
  <c r="AE1129" i="1"/>
  <c r="AD1129" i="1"/>
  <c r="AC1129" i="1"/>
  <c r="AL1128" i="1"/>
  <c r="AJ1128" i="1"/>
  <c r="AI1128" i="1"/>
  <c r="AH1128" i="1"/>
  <c r="AG1128" i="1"/>
  <c r="AF1128" i="1"/>
  <c r="AE1128" i="1"/>
  <c r="AD1128" i="1"/>
  <c r="AC1128" i="1"/>
  <c r="AL1127" i="1"/>
  <c r="AJ1127" i="1"/>
  <c r="AI1127" i="1"/>
  <c r="AH1127" i="1"/>
  <c r="AG1127" i="1"/>
  <c r="AF1127" i="1"/>
  <c r="AE1127" i="1"/>
  <c r="AD1127" i="1"/>
  <c r="AC1127" i="1"/>
  <c r="AL1126" i="1"/>
  <c r="AJ1126" i="1"/>
  <c r="AI1126" i="1"/>
  <c r="AH1126" i="1"/>
  <c r="AG1126" i="1"/>
  <c r="AF1126" i="1"/>
  <c r="AE1126" i="1"/>
  <c r="AD1126" i="1"/>
  <c r="AC1126" i="1"/>
  <c r="AL1125" i="1"/>
  <c r="AJ1125" i="1"/>
  <c r="AI1125" i="1"/>
  <c r="AH1125" i="1"/>
  <c r="AG1125" i="1"/>
  <c r="AF1125" i="1"/>
  <c r="AE1125" i="1"/>
  <c r="AD1125" i="1"/>
  <c r="AC1125" i="1"/>
  <c r="AL1124" i="1"/>
  <c r="AJ1124" i="1"/>
  <c r="AI1124" i="1"/>
  <c r="AH1124" i="1"/>
  <c r="AG1124" i="1"/>
  <c r="AF1124" i="1"/>
  <c r="AE1124" i="1"/>
  <c r="AD1124" i="1"/>
  <c r="AC1124" i="1"/>
  <c r="AL1123" i="1"/>
  <c r="AJ1123" i="1"/>
  <c r="AI1123" i="1"/>
  <c r="AH1123" i="1"/>
  <c r="AG1123" i="1"/>
  <c r="AF1123" i="1"/>
  <c r="AE1123" i="1"/>
  <c r="AD1123" i="1"/>
  <c r="AC1123" i="1"/>
  <c r="AL1122" i="1"/>
  <c r="AJ1122" i="1"/>
  <c r="AI1122" i="1"/>
  <c r="AH1122" i="1"/>
  <c r="AG1122" i="1"/>
  <c r="AF1122" i="1"/>
  <c r="AE1122" i="1"/>
  <c r="AD1122" i="1"/>
  <c r="AC1122" i="1"/>
  <c r="AL1121" i="1"/>
  <c r="AJ1121" i="1"/>
  <c r="AI1121" i="1"/>
  <c r="AH1121" i="1"/>
  <c r="AG1121" i="1"/>
  <c r="AF1121" i="1"/>
  <c r="AE1121" i="1"/>
  <c r="AD1121" i="1"/>
  <c r="AC1121" i="1"/>
  <c r="AL1120" i="1"/>
  <c r="AJ1120" i="1"/>
  <c r="AI1120" i="1"/>
  <c r="AH1120" i="1"/>
  <c r="AG1120" i="1"/>
  <c r="AF1120" i="1"/>
  <c r="AE1120" i="1"/>
  <c r="AD1120" i="1"/>
  <c r="AC1120" i="1"/>
  <c r="AL1119" i="1"/>
  <c r="AJ1119" i="1"/>
  <c r="AI1119" i="1"/>
  <c r="AH1119" i="1"/>
  <c r="AG1119" i="1"/>
  <c r="AF1119" i="1"/>
  <c r="AE1119" i="1"/>
  <c r="AD1119" i="1"/>
  <c r="AC1119" i="1"/>
  <c r="AL1118" i="1"/>
  <c r="AJ1118" i="1"/>
  <c r="AI1118" i="1"/>
  <c r="AH1118" i="1"/>
  <c r="AG1118" i="1"/>
  <c r="AF1118" i="1"/>
  <c r="AE1118" i="1"/>
  <c r="AD1118" i="1"/>
  <c r="AC1118" i="1"/>
  <c r="AL1117" i="1"/>
  <c r="AJ1117" i="1"/>
  <c r="AI1117" i="1"/>
  <c r="AH1117" i="1"/>
  <c r="AG1117" i="1"/>
  <c r="AF1117" i="1"/>
  <c r="AE1117" i="1"/>
  <c r="AD1117" i="1"/>
  <c r="AC1117" i="1"/>
  <c r="AL1116" i="1"/>
  <c r="AJ1116" i="1"/>
  <c r="AI1116" i="1"/>
  <c r="AH1116" i="1"/>
  <c r="AG1116" i="1"/>
  <c r="AF1116" i="1"/>
  <c r="AE1116" i="1"/>
  <c r="AD1116" i="1"/>
  <c r="AC1116" i="1"/>
  <c r="AL1115" i="1"/>
  <c r="AJ1115" i="1"/>
  <c r="AI1115" i="1"/>
  <c r="AH1115" i="1"/>
  <c r="AG1115" i="1"/>
  <c r="AF1115" i="1"/>
  <c r="AE1115" i="1"/>
  <c r="AD1115" i="1"/>
  <c r="AC1115" i="1"/>
  <c r="AL1114" i="1"/>
  <c r="AJ1114" i="1"/>
  <c r="AI1114" i="1"/>
  <c r="AH1114" i="1"/>
  <c r="AG1114" i="1"/>
  <c r="AF1114" i="1"/>
  <c r="AE1114" i="1"/>
  <c r="AD1114" i="1"/>
  <c r="AC1114" i="1"/>
  <c r="AL1113" i="1"/>
  <c r="AJ1113" i="1"/>
  <c r="AI1113" i="1"/>
  <c r="AH1113" i="1"/>
  <c r="AG1113" i="1"/>
  <c r="AF1113" i="1"/>
  <c r="AE1113" i="1"/>
  <c r="AD1113" i="1"/>
  <c r="AC1113" i="1"/>
  <c r="AL1112" i="1"/>
  <c r="AJ1112" i="1"/>
  <c r="AI1112" i="1"/>
  <c r="AH1112" i="1"/>
  <c r="AG1112" i="1"/>
  <c r="AF1112" i="1"/>
  <c r="AE1112" i="1"/>
  <c r="AD1112" i="1"/>
  <c r="AC1112" i="1"/>
  <c r="AL1111" i="1"/>
  <c r="AJ1111" i="1"/>
  <c r="AI1111" i="1"/>
  <c r="AH1111" i="1"/>
  <c r="AG1111" i="1"/>
  <c r="AF1111" i="1"/>
  <c r="AE1111" i="1"/>
  <c r="AD1111" i="1"/>
  <c r="AC1111" i="1"/>
  <c r="AL1110" i="1"/>
  <c r="AJ1110" i="1"/>
  <c r="AI1110" i="1"/>
  <c r="AH1110" i="1"/>
  <c r="AG1110" i="1"/>
  <c r="AF1110" i="1"/>
  <c r="AE1110" i="1"/>
  <c r="AD1110" i="1"/>
  <c r="AC1110" i="1"/>
  <c r="AL1109" i="1"/>
  <c r="AJ1109" i="1"/>
  <c r="AI1109" i="1"/>
  <c r="AH1109" i="1"/>
  <c r="AG1109" i="1"/>
  <c r="AF1109" i="1"/>
  <c r="AE1109" i="1"/>
  <c r="AD1109" i="1"/>
  <c r="AC1109" i="1"/>
  <c r="AL1108" i="1"/>
  <c r="AJ1108" i="1"/>
  <c r="AI1108" i="1"/>
  <c r="AH1108" i="1"/>
  <c r="AG1108" i="1"/>
  <c r="AF1108" i="1"/>
  <c r="AE1108" i="1"/>
  <c r="AD1108" i="1"/>
  <c r="AC1108" i="1"/>
  <c r="AL1107" i="1"/>
  <c r="AJ1107" i="1"/>
  <c r="AI1107" i="1"/>
  <c r="AH1107" i="1"/>
  <c r="AG1107" i="1"/>
  <c r="AF1107" i="1"/>
  <c r="AE1107" i="1"/>
  <c r="AD1107" i="1"/>
  <c r="AC1107" i="1"/>
  <c r="AL1106" i="1"/>
  <c r="AJ1106" i="1"/>
  <c r="AI1106" i="1"/>
  <c r="AH1106" i="1"/>
  <c r="AG1106" i="1"/>
  <c r="AF1106" i="1"/>
  <c r="AE1106" i="1"/>
  <c r="AD1106" i="1"/>
  <c r="AC1106" i="1"/>
  <c r="AL1105" i="1"/>
  <c r="AJ1105" i="1"/>
  <c r="AI1105" i="1"/>
  <c r="AH1105" i="1"/>
  <c r="AG1105" i="1"/>
  <c r="AF1105" i="1"/>
  <c r="AE1105" i="1"/>
  <c r="AD1105" i="1"/>
  <c r="AC1105" i="1"/>
  <c r="AL1104" i="1"/>
  <c r="AJ1104" i="1"/>
  <c r="AI1104" i="1"/>
  <c r="AH1104" i="1"/>
  <c r="AG1104" i="1"/>
  <c r="AF1104" i="1"/>
  <c r="AE1104" i="1"/>
  <c r="AD1104" i="1"/>
  <c r="AC1104" i="1"/>
  <c r="AL1103" i="1"/>
  <c r="AJ1103" i="1"/>
  <c r="AI1103" i="1"/>
  <c r="AH1103" i="1"/>
  <c r="AG1103" i="1"/>
  <c r="AF1103" i="1"/>
  <c r="AE1103" i="1"/>
  <c r="AD1103" i="1"/>
  <c r="AC1103" i="1"/>
  <c r="AL1102" i="1"/>
  <c r="AJ1102" i="1"/>
  <c r="AI1102" i="1"/>
  <c r="AH1102" i="1"/>
  <c r="AG1102" i="1"/>
  <c r="AF1102" i="1"/>
  <c r="AE1102" i="1"/>
  <c r="AD1102" i="1"/>
  <c r="AC1102" i="1"/>
  <c r="AL1101" i="1"/>
  <c r="AJ1101" i="1"/>
  <c r="AI1101" i="1"/>
  <c r="AH1101" i="1"/>
  <c r="AG1101" i="1"/>
  <c r="AF1101" i="1"/>
  <c r="AE1101" i="1"/>
  <c r="AD1101" i="1"/>
  <c r="AC1101" i="1"/>
  <c r="AL1100" i="1"/>
  <c r="AJ1100" i="1"/>
  <c r="AI1100" i="1"/>
  <c r="AH1100" i="1"/>
  <c r="AG1100" i="1"/>
  <c r="AF1100" i="1"/>
  <c r="AE1100" i="1"/>
  <c r="AD1100" i="1"/>
  <c r="AC1100" i="1"/>
  <c r="AL1099" i="1"/>
  <c r="AJ1099" i="1"/>
  <c r="AI1099" i="1"/>
  <c r="AH1099" i="1"/>
  <c r="AG1099" i="1"/>
  <c r="AF1099" i="1"/>
  <c r="AE1099" i="1"/>
  <c r="AD1099" i="1"/>
  <c r="AC1099" i="1"/>
  <c r="AL1098" i="1"/>
  <c r="AJ1098" i="1"/>
  <c r="AI1098" i="1"/>
  <c r="AH1098" i="1"/>
  <c r="AG1098" i="1"/>
  <c r="AF1098" i="1"/>
  <c r="AE1098" i="1"/>
  <c r="AD1098" i="1"/>
  <c r="AC1098" i="1"/>
  <c r="AL1097" i="1"/>
  <c r="AJ1097" i="1"/>
  <c r="AI1097" i="1"/>
  <c r="AH1097" i="1"/>
  <c r="AG1097" i="1"/>
  <c r="AF1097" i="1"/>
  <c r="AE1097" i="1"/>
  <c r="AD1097" i="1"/>
  <c r="AC1097" i="1"/>
  <c r="AL1096" i="1"/>
  <c r="AJ1096" i="1"/>
  <c r="AI1096" i="1"/>
  <c r="AH1096" i="1"/>
  <c r="AG1096" i="1"/>
  <c r="AF1096" i="1"/>
  <c r="AE1096" i="1"/>
  <c r="AD1096" i="1"/>
  <c r="AC1096" i="1"/>
  <c r="AL1095" i="1"/>
  <c r="AJ1095" i="1"/>
  <c r="AI1095" i="1"/>
  <c r="AH1095" i="1"/>
  <c r="AG1095" i="1"/>
  <c r="AF1095" i="1"/>
  <c r="AE1095" i="1"/>
  <c r="AD1095" i="1"/>
  <c r="AC1095" i="1"/>
  <c r="AL1094" i="1"/>
  <c r="AJ1094" i="1"/>
  <c r="AI1094" i="1"/>
  <c r="AH1094" i="1"/>
  <c r="AG1094" i="1"/>
  <c r="AF1094" i="1"/>
  <c r="AE1094" i="1"/>
  <c r="AD1094" i="1"/>
  <c r="AC1094" i="1"/>
  <c r="AL1093" i="1"/>
  <c r="AJ1093" i="1"/>
  <c r="AI1093" i="1"/>
  <c r="AH1093" i="1"/>
  <c r="AG1093" i="1"/>
  <c r="AF1093" i="1"/>
  <c r="AE1093" i="1"/>
  <c r="AD1093" i="1"/>
  <c r="AC1093" i="1"/>
  <c r="AL1092" i="1"/>
  <c r="AJ1092" i="1"/>
  <c r="AI1092" i="1"/>
  <c r="AH1092" i="1"/>
  <c r="AG1092" i="1"/>
  <c r="AF1092" i="1"/>
  <c r="AE1092" i="1"/>
  <c r="AD1092" i="1"/>
  <c r="AC1092" i="1"/>
  <c r="AL1091" i="1"/>
  <c r="AJ1091" i="1"/>
  <c r="AI1091" i="1"/>
  <c r="AH1091" i="1"/>
  <c r="AG1091" i="1"/>
  <c r="AF1091" i="1"/>
  <c r="AE1091" i="1"/>
  <c r="AD1091" i="1"/>
  <c r="AC1091" i="1"/>
  <c r="AL1090" i="1"/>
  <c r="AJ1090" i="1"/>
  <c r="AI1090" i="1"/>
  <c r="AH1090" i="1"/>
  <c r="AG1090" i="1"/>
  <c r="AF1090" i="1"/>
  <c r="AE1090" i="1"/>
  <c r="AD1090" i="1"/>
  <c r="AC1090" i="1"/>
  <c r="AL1089" i="1"/>
  <c r="AJ1089" i="1"/>
  <c r="AI1089" i="1"/>
  <c r="AH1089" i="1"/>
  <c r="AG1089" i="1"/>
  <c r="AF1089" i="1"/>
  <c r="AE1089" i="1"/>
  <c r="AD1089" i="1"/>
  <c r="AC1089" i="1"/>
  <c r="AL1088" i="1"/>
  <c r="AJ1088" i="1"/>
  <c r="AI1088" i="1"/>
  <c r="AH1088" i="1"/>
  <c r="AG1088" i="1"/>
  <c r="AF1088" i="1"/>
  <c r="AE1088" i="1"/>
  <c r="AD1088" i="1"/>
  <c r="AC1088" i="1"/>
  <c r="AL1087" i="1"/>
  <c r="AJ1087" i="1"/>
  <c r="AI1087" i="1"/>
  <c r="AH1087" i="1"/>
  <c r="AG1087" i="1"/>
  <c r="AF1087" i="1"/>
  <c r="AE1087" i="1"/>
  <c r="AD1087" i="1"/>
  <c r="AC1087" i="1"/>
  <c r="AL1086" i="1"/>
  <c r="AJ1086" i="1"/>
  <c r="AI1086" i="1"/>
  <c r="AH1086" i="1"/>
  <c r="AG1086" i="1"/>
  <c r="AF1086" i="1"/>
  <c r="AE1086" i="1"/>
  <c r="AD1086" i="1"/>
  <c r="AC1086" i="1"/>
  <c r="AL1085" i="1"/>
  <c r="AJ1085" i="1"/>
  <c r="AI1085" i="1"/>
  <c r="AH1085" i="1"/>
  <c r="AG1085" i="1"/>
  <c r="AF1085" i="1"/>
  <c r="AE1085" i="1"/>
  <c r="AD1085" i="1"/>
  <c r="AC1085" i="1"/>
  <c r="AL1084" i="1"/>
  <c r="AJ1084" i="1"/>
  <c r="AI1084" i="1"/>
  <c r="AH1084" i="1"/>
  <c r="AG1084" i="1"/>
  <c r="AF1084" i="1"/>
  <c r="AE1084" i="1"/>
  <c r="AD1084" i="1"/>
  <c r="AC1084" i="1"/>
  <c r="AL1083" i="1"/>
  <c r="AJ1083" i="1"/>
  <c r="AI1083" i="1"/>
  <c r="AH1083" i="1"/>
  <c r="AG1083" i="1"/>
  <c r="AF1083" i="1"/>
  <c r="AE1083" i="1"/>
  <c r="AD1083" i="1"/>
  <c r="AC1083" i="1"/>
  <c r="AL1082" i="1"/>
  <c r="AJ1082" i="1"/>
  <c r="AI1082" i="1"/>
  <c r="AH1082" i="1"/>
  <c r="AG1082" i="1"/>
  <c r="AF1082" i="1"/>
  <c r="AE1082" i="1"/>
  <c r="AD1082" i="1"/>
  <c r="AC1082" i="1"/>
  <c r="AL1081" i="1"/>
  <c r="AJ1081" i="1"/>
  <c r="AI1081" i="1"/>
  <c r="AH1081" i="1"/>
  <c r="AG1081" i="1"/>
  <c r="AF1081" i="1"/>
  <c r="AE1081" i="1"/>
  <c r="AD1081" i="1"/>
  <c r="AC1081" i="1"/>
  <c r="AL1080" i="1"/>
  <c r="AJ1080" i="1"/>
  <c r="AI1080" i="1"/>
  <c r="AH1080" i="1"/>
  <c r="AG1080" i="1"/>
  <c r="AF1080" i="1"/>
  <c r="AE1080" i="1"/>
  <c r="AD1080" i="1"/>
  <c r="AC1080" i="1"/>
  <c r="AL1079" i="1"/>
  <c r="AJ1079" i="1"/>
  <c r="AI1079" i="1"/>
  <c r="AH1079" i="1"/>
  <c r="AG1079" i="1"/>
  <c r="AF1079" i="1"/>
  <c r="AE1079" i="1"/>
  <c r="AD1079" i="1"/>
  <c r="AC1079" i="1"/>
  <c r="AL1078" i="1"/>
  <c r="AJ1078" i="1"/>
  <c r="AI1078" i="1"/>
  <c r="AH1078" i="1"/>
  <c r="AG1078" i="1"/>
  <c r="AF1078" i="1"/>
  <c r="AE1078" i="1"/>
  <c r="AD1078" i="1"/>
  <c r="AC1078" i="1"/>
  <c r="AL1077" i="1"/>
  <c r="AJ1077" i="1"/>
  <c r="AI1077" i="1"/>
  <c r="AH1077" i="1"/>
  <c r="AG1077" i="1"/>
  <c r="AF1077" i="1"/>
  <c r="AE1077" i="1"/>
  <c r="AD1077" i="1"/>
  <c r="AC1077" i="1"/>
  <c r="AL1076" i="1"/>
  <c r="AJ1076" i="1"/>
  <c r="AI1076" i="1"/>
  <c r="AH1076" i="1"/>
  <c r="AG1076" i="1"/>
  <c r="AF1076" i="1"/>
  <c r="AE1076" i="1"/>
  <c r="AD1076" i="1"/>
  <c r="AC1076" i="1"/>
  <c r="AL1075" i="1"/>
  <c r="AJ1075" i="1"/>
  <c r="AI1075" i="1"/>
  <c r="AH1075" i="1"/>
  <c r="AG1075" i="1"/>
  <c r="AF1075" i="1"/>
  <c r="AE1075" i="1"/>
  <c r="AD1075" i="1"/>
  <c r="AC1075" i="1"/>
  <c r="AL1074" i="1"/>
  <c r="AJ1074" i="1"/>
  <c r="AI1074" i="1"/>
  <c r="AH1074" i="1"/>
  <c r="AG1074" i="1"/>
  <c r="AF1074" i="1"/>
  <c r="AE1074" i="1"/>
  <c r="AD1074" i="1"/>
  <c r="AC1074" i="1"/>
  <c r="AL1073" i="1"/>
  <c r="AJ1073" i="1"/>
  <c r="AI1073" i="1"/>
  <c r="AH1073" i="1"/>
  <c r="AG1073" i="1"/>
  <c r="AF1073" i="1"/>
  <c r="AE1073" i="1"/>
  <c r="AD1073" i="1"/>
  <c r="AC1073" i="1"/>
  <c r="AL1072" i="1"/>
  <c r="AJ1072" i="1"/>
  <c r="AI1072" i="1"/>
  <c r="AH1072" i="1"/>
  <c r="AG1072" i="1"/>
  <c r="AF1072" i="1"/>
  <c r="AE1072" i="1"/>
  <c r="AD1072" i="1"/>
  <c r="AC1072" i="1"/>
  <c r="AL1071" i="1"/>
  <c r="AJ1071" i="1"/>
  <c r="AI1071" i="1"/>
  <c r="AH1071" i="1"/>
  <c r="AG1071" i="1"/>
  <c r="AF1071" i="1"/>
  <c r="AE1071" i="1"/>
  <c r="AD1071" i="1"/>
  <c r="AC1071" i="1"/>
  <c r="AL1070" i="1"/>
  <c r="AJ1070" i="1"/>
  <c r="AI1070" i="1"/>
  <c r="AH1070" i="1"/>
  <c r="AG1070" i="1"/>
  <c r="AF1070" i="1"/>
  <c r="AE1070" i="1"/>
  <c r="AD1070" i="1"/>
  <c r="AC1070" i="1"/>
  <c r="AL1069" i="1"/>
  <c r="AJ1069" i="1"/>
  <c r="AI1069" i="1"/>
  <c r="AH1069" i="1"/>
  <c r="AG1069" i="1"/>
  <c r="AF1069" i="1"/>
  <c r="AE1069" i="1"/>
  <c r="AD1069" i="1"/>
  <c r="AC1069" i="1"/>
  <c r="AL1068" i="1"/>
  <c r="AJ1068" i="1"/>
  <c r="AI1068" i="1"/>
  <c r="AH1068" i="1"/>
  <c r="AG1068" i="1"/>
  <c r="AF1068" i="1"/>
  <c r="AE1068" i="1"/>
  <c r="AD1068" i="1"/>
  <c r="AC1068" i="1"/>
  <c r="AL1067" i="1"/>
  <c r="AJ1067" i="1"/>
  <c r="AI1067" i="1"/>
  <c r="AH1067" i="1"/>
  <c r="AG1067" i="1"/>
  <c r="AF1067" i="1"/>
  <c r="AE1067" i="1"/>
  <c r="AD1067" i="1"/>
  <c r="AC1067" i="1"/>
  <c r="AL1066" i="1"/>
  <c r="AJ1066" i="1"/>
  <c r="AI1066" i="1"/>
  <c r="AH1066" i="1"/>
  <c r="AG1066" i="1"/>
  <c r="AF1066" i="1"/>
  <c r="AE1066" i="1"/>
  <c r="AD1066" i="1"/>
  <c r="AC1066" i="1"/>
  <c r="AL1065" i="1"/>
  <c r="AJ1065" i="1"/>
  <c r="AI1065" i="1"/>
  <c r="AH1065" i="1"/>
  <c r="AG1065" i="1"/>
  <c r="AF1065" i="1"/>
  <c r="AE1065" i="1"/>
  <c r="AD1065" i="1"/>
  <c r="AC1065" i="1"/>
  <c r="AL1064" i="1"/>
  <c r="AJ1064" i="1"/>
  <c r="AI1064" i="1"/>
  <c r="AH1064" i="1"/>
  <c r="AG1064" i="1"/>
  <c r="AF1064" i="1"/>
  <c r="AE1064" i="1"/>
  <c r="AD1064" i="1"/>
  <c r="AC1064" i="1"/>
  <c r="AL1063" i="1"/>
  <c r="AJ1063" i="1"/>
  <c r="AI1063" i="1"/>
  <c r="AH1063" i="1"/>
  <c r="AG1063" i="1"/>
  <c r="AF1063" i="1"/>
  <c r="AE1063" i="1"/>
  <c r="AD1063" i="1"/>
  <c r="AC1063" i="1"/>
  <c r="AL1062" i="1"/>
  <c r="AJ1062" i="1"/>
  <c r="AI1062" i="1"/>
  <c r="AH1062" i="1"/>
  <c r="AG1062" i="1"/>
  <c r="AF1062" i="1"/>
  <c r="AE1062" i="1"/>
  <c r="AD1062" i="1"/>
  <c r="AC1062" i="1"/>
  <c r="AL1061" i="1"/>
  <c r="AJ1061" i="1"/>
  <c r="AI1061" i="1"/>
  <c r="AH1061" i="1"/>
  <c r="AG1061" i="1"/>
  <c r="AF1061" i="1"/>
  <c r="AE1061" i="1"/>
  <c r="AD1061" i="1"/>
  <c r="AC1061" i="1"/>
  <c r="AL1060" i="1"/>
  <c r="AJ1060" i="1"/>
  <c r="AI1060" i="1"/>
  <c r="AH1060" i="1"/>
  <c r="AG1060" i="1"/>
  <c r="AF1060" i="1"/>
  <c r="AE1060" i="1"/>
  <c r="AD1060" i="1"/>
  <c r="AC1060" i="1"/>
  <c r="AL1059" i="1"/>
  <c r="AJ1059" i="1"/>
  <c r="AI1059" i="1"/>
  <c r="AH1059" i="1"/>
  <c r="AG1059" i="1"/>
  <c r="AF1059" i="1"/>
  <c r="AE1059" i="1"/>
  <c r="AD1059" i="1"/>
  <c r="AC1059" i="1"/>
  <c r="AL1058" i="1"/>
  <c r="AJ1058" i="1"/>
  <c r="AI1058" i="1"/>
  <c r="AH1058" i="1"/>
  <c r="AG1058" i="1"/>
  <c r="AF1058" i="1"/>
  <c r="AE1058" i="1"/>
  <c r="AD1058" i="1"/>
  <c r="AC1058" i="1"/>
  <c r="AL1057" i="1"/>
  <c r="AJ1057" i="1"/>
  <c r="AI1057" i="1"/>
  <c r="AH1057" i="1"/>
  <c r="AG1057" i="1"/>
  <c r="AF1057" i="1"/>
  <c r="AE1057" i="1"/>
  <c r="AD1057" i="1"/>
  <c r="AC1057" i="1"/>
  <c r="AL1056" i="1"/>
  <c r="AJ1056" i="1"/>
  <c r="AI1056" i="1"/>
  <c r="AH1056" i="1"/>
  <c r="AG1056" i="1"/>
  <c r="AF1056" i="1"/>
  <c r="AE1056" i="1"/>
  <c r="AD1056" i="1"/>
  <c r="AC1056" i="1"/>
  <c r="AL1055" i="1"/>
  <c r="AJ1055" i="1"/>
  <c r="AI1055" i="1"/>
  <c r="AH1055" i="1"/>
  <c r="AG1055" i="1"/>
  <c r="AF1055" i="1"/>
  <c r="AE1055" i="1"/>
  <c r="AD1055" i="1"/>
  <c r="AC1055" i="1"/>
  <c r="AL1054" i="1"/>
  <c r="AJ1054" i="1"/>
  <c r="AI1054" i="1"/>
  <c r="AH1054" i="1"/>
  <c r="AG1054" i="1"/>
  <c r="AF1054" i="1"/>
  <c r="AE1054" i="1"/>
  <c r="AD1054" i="1"/>
  <c r="AC1054" i="1"/>
  <c r="AL1053" i="1"/>
  <c r="AJ1053" i="1"/>
  <c r="AI1053" i="1"/>
  <c r="AH1053" i="1"/>
  <c r="AG1053" i="1"/>
  <c r="AF1053" i="1"/>
  <c r="AE1053" i="1"/>
  <c r="AD1053" i="1"/>
  <c r="AC1053" i="1"/>
  <c r="AL1052" i="1"/>
  <c r="AJ1052" i="1"/>
  <c r="AI1052" i="1"/>
  <c r="AH1052" i="1"/>
  <c r="AG1052" i="1"/>
  <c r="AF1052" i="1"/>
  <c r="AE1052" i="1"/>
  <c r="AD1052" i="1"/>
  <c r="AC1052" i="1"/>
  <c r="AL1051" i="1"/>
  <c r="AJ1051" i="1"/>
  <c r="AI1051" i="1"/>
  <c r="AH1051" i="1"/>
  <c r="AG1051" i="1"/>
  <c r="AF1051" i="1"/>
  <c r="AE1051" i="1"/>
  <c r="AD1051" i="1"/>
  <c r="AC1051" i="1"/>
  <c r="AL1050" i="1"/>
  <c r="AJ1050" i="1"/>
  <c r="AI1050" i="1"/>
  <c r="AH1050" i="1"/>
  <c r="AG1050" i="1"/>
  <c r="AF1050" i="1"/>
  <c r="AE1050" i="1"/>
  <c r="AD1050" i="1"/>
  <c r="AC1050" i="1"/>
  <c r="AL1049" i="1"/>
  <c r="AJ1049" i="1"/>
  <c r="AI1049" i="1"/>
  <c r="AH1049" i="1"/>
  <c r="AG1049" i="1"/>
  <c r="AF1049" i="1"/>
  <c r="AE1049" i="1"/>
  <c r="AD1049" i="1"/>
  <c r="AC1049" i="1"/>
  <c r="AL1048" i="1"/>
  <c r="AJ1048" i="1"/>
  <c r="AI1048" i="1"/>
  <c r="AH1048" i="1"/>
  <c r="AG1048" i="1"/>
  <c r="AF1048" i="1"/>
  <c r="AE1048" i="1"/>
  <c r="AD1048" i="1"/>
  <c r="AC1048" i="1"/>
  <c r="AL1047" i="1"/>
  <c r="AJ1047" i="1"/>
  <c r="AI1047" i="1"/>
  <c r="AH1047" i="1"/>
  <c r="AG1047" i="1"/>
  <c r="AF1047" i="1"/>
  <c r="AE1047" i="1"/>
  <c r="AD1047" i="1"/>
  <c r="AC1047" i="1"/>
  <c r="AL1046" i="1"/>
  <c r="AJ1046" i="1"/>
  <c r="AI1046" i="1"/>
  <c r="AH1046" i="1"/>
  <c r="AG1046" i="1"/>
  <c r="AF1046" i="1"/>
  <c r="AE1046" i="1"/>
  <c r="AD1046" i="1"/>
  <c r="AC1046" i="1"/>
  <c r="AL1045" i="1"/>
  <c r="AJ1045" i="1"/>
  <c r="AI1045" i="1"/>
  <c r="AH1045" i="1"/>
  <c r="AG1045" i="1"/>
  <c r="AF1045" i="1"/>
  <c r="AE1045" i="1"/>
  <c r="AD1045" i="1"/>
  <c r="AC1045" i="1"/>
  <c r="AL1044" i="1"/>
  <c r="AJ1044" i="1"/>
  <c r="AI1044" i="1"/>
  <c r="AH1044" i="1"/>
  <c r="AG1044" i="1"/>
  <c r="AF1044" i="1"/>
  <c r="AE1044" i="1"/>
  <c r="AD1044" i="1"/>
  <c r="AC1044" i="1"/>
  <c r="AL1043" i="1"/>
  <c r="AJ1043" i="1"/>
  <c r="AI1043" i="1"/>
  <c r="AH1043" i="1"/>
  <c r="AG1043" i="1"/>
  <c r="AF1043" i="1"/>
  <c r="AE1043" i="1"/>
  <c r="AD1043" i="1"/>
  <c r="AC1043" i="1"/>
  <c r="AL1042" i="1"/>
  <c r="AJ1042" i="1"/>
  <c r="AI1042" i="1"/>
  <c r="AH1042" i="1"/>
  <c r="AG1042" i="1"/>
  <c r="AF1042" i="1"/>
  <c r="AE1042" i="1"/>
  <c r="AD1042" i="1"/>
  <c r="AC1042" i="1"/>
  <c r="AL1041" i="1"/>
  <c r="AJ1041" i="1"/>
  <c r="AI1041" i="1"/>
  <c r="AH1041" i="1"/>
  <c r="AG1041" i="1"/>
  <c r="AF1041" i="1"/>
  <c r="AE1041" i="1"/>
  <c r="AD1041" i="1"/>
  <c r="AC1041" i="1"/>
  <c r="AL1040" i="1"/>
  <c r="AJ1040" i="1"/>
  <c r="AI1040" i="1"/>
  <c r="AH1040" i="1"/>
  <c r="AG1040" i="1"/>
  <c r="AF1040" i="1"/>
  <c r="AE1040" i="1"/>
  <c r="AD1040" i="1"/>
  <c r="AC1040" i="1"/>
  <c r="AL1039" i="1"/>
  <c r="AJ1039" i="1"/>
  <c r="AI1039" i="1"/>
  <c r="AH1039" i="1"/>
  <c r="AG1039" i="1"/>
  <c r="AF1039" i="1"/>
  <c r="AE1039" i="1"/>
  <c r="AD1039" i="1"/>
  <c r="AC1039" i="1"/>
  <c r="AL1038" i="1"/>
  <c r="AJ1038" i="1"/>
  <c r="AI1038" i="1"/>
  <c r="AH1038" i="1"/>
  <c r="AG1038" i="1"/>
  <c r="AF1038" i="1"/>
  <c r="AE1038" i="1"/>
  <c r="AD1038" i="1"/>
  <c r="AC1038" i="1"/>
  <c r="AL1037" i="1"/>
  <c r="AJ1037" i="1"/>
  <c r="AI1037" i="1"/>
  <c r="AH1037" i="1"/>
  <c r="AG1037" i="1"/>
  <c r="AF1037" i="1"/>
  <c r="AE1037" i="1"/>
  <c r="AD1037" i="1"/>
  <c r="AC1037" i="1"/>
  <c r="AL1036" i="1"/>
  <c r="AJ1036" i="1"/>
  <c r="AI1036" i="1"/>
  <c r="AH1036" i="1"/>
  <c r="AG1036" i="1"/>
  <c r="AF1036" i="1"/>
  <c r="AE1036" i="1"/>
  <c r="AD1036" i="1"/>
  <c r="AC1036" i="1"/>
  <c r="AL1035" i="1"/>
  <c r="AJ1035" i="1"/>
  <c r="AI1035" i="1"/>
  <c r="AH1035" i="1"/>
  <c r="AG1035" i="1"/>
  <c r="AF1035" i="1"/>
  <c r="AE1035" i="1"/>
  <c r="AD1035" i="1"/>
  <c r="AC1035" i="1"/>
  <c r="AL1034" i="1"/>
  <c r="AJ1034" i="1"/>
  <c r="AI1034" i="1"/>
  <c r="AH1034" i="1"/>
  <c r="AG1034" i="1"/>
  <c r="AF1034" i="1"/>
  <c r="AE1034" i="1"/>
  <c r="AD1034" i="1"/>
  <c r="AC1034" i="1"/>
  <c r="AL1033" i="1"/>
  <c r="AJ1033" i="1"/>
  <c r="AI1033" i="1"/>
  <c r="AH1033" i="1"/>
  <c r="AG1033" i="1"/>
  <c r="AF1033" i="1"/>
  <c r="AE1033" i="1"/>
  <c r="AD1033" i="1"/>
  <c r="AC1033" i="1"/>
  <c r="AL1032" i="1"/>
  <c r="AJ1032" i="1"/>
  <c r="AI1032" i="1"/>
  <c r="AH1032" i="1"/>
  <c r="AG1032" i="1"/>
  <c r="AF1032" i="1"/>
  <c r="AE1032" i="1"/>
  <c r="AD1032" i="1"/>
  <c r="AC1032" i="1"/>
  <c r="AL1031" i="1"/>
  <c r="AJ1031" i="1"/>
  <c r="AI1031" i="1"/>
  <c r="AH1031" i="1"/>
  <c r="AG1031" i="1"/>
  <c r="AF1031" i="1"/>
  <c r="AE1031" i="1"/>
  <c r="AD1031" i="1"/>
  <c r="AC1031" i="1"/>
  <c r="AL1030" i="1"/>
  <c r="AJ1030" i="1"/>
  <c r="AI1030" i="1"/>
  <c r="AH1030" i="1"/>
  <c r="AG1030" i="1"/>
  <c r="AF1030" i="1"/>
  <c r="AE1030" i="1"/>
  <c r="AD1030" i="1"/>
  <c r="AC1030" i="1"/>
  <c r="AL1029" i="1"/>
  <c r="AJ1029" i="1"/>
  <c r="AI1029" i="1"/>
  <c r="AH1029" i="1"/>
  <c r="AG1029" i="1"/>
  <c r="AF1029" i="1"/>
  <c r="AE1029" i="1"/>
  <c r="AD1029" i="1"/>
  <c r="AC1029" i="1"/>
  <c r="AL1028" i="1"/>
  <c r="AJ1028" i="1"/>
  <c r="AI1028" i="1"/>
  <c r="AH1028" i="1"/>
  <c r="AG1028" i="1"/>
  <c r="AF1028" i="1"/>
  <c r="AE1028" i="1"/>
  <c r="AD1028" i="1"/>
  <c r="AC1028" i="1"/>
  <c r="AL1027" i="1"/>
  <c r="AJ1027" i="1"/>
  <c r="AI1027" i="1"/>
  <c r="AH1027" i="1"/>
  <c r="AG1027" i="1"/>
  <c r="AF1027" i="1"/>
  <c r="AE1027" i="1"/>
  <c r="AD1027" i="1"/>
  <c r="AC1027" i="1"/>
  <c r="AL1026" i="1"/>
  <c r="AJ1026" i="1"/>
  <c r="AI1026" i="1"/>
  <c r="AH1026" i="1"/>
  <c r="AG1026" i="1"/>
  <c r="AF1026" i="1"/>
  <c r="AE1026" i="1"/>
  <c r="AD1026" i="1"/>
  <c r="AC1026" i="1"/>
  <c r="AL1025" i="1"/>
  <c r="AJ1025" i="1"/>
  <c r="AI1025" i="1"/>
  <c r="AH1025" i="1"/>
  <c r="AG1025" i="1"/>
  <c r="AF1025" i="1"/>
  <c r="AE1025" i="1"/>
  <c r="AD1025" i="1"/>
  <c r="AC1025" i="1"/>
  <c r="AL1024" i="1"/>
  <c r="AJ1024" i="1"/>
  <c r="AI1024" i="1"/>
  <c r="AH1024" i="1"/>
  <c r="AG1024" i="1"/>
  <c r="AF1024" i="1"/>
  <c r="AE1024" i="1"/>
  <c r="AD1024" i="1"/>
  <c r="AC1024" i="1"/>
  <c r="AL1023" i="1"/>
  <c r="AJ1023" i="1"/>
  <c r="AI1023" i="1"/>
  <c r="AH1023" i="1"/>
  <c r="AG1023" i="1"/>
  <c r="AF1023" i="1"/>
  <c r="AE1023" i="1"/>
  <c r="AD1023" i="1"/>
  <c r="AC1023" i="1"/>
  <c r="AL1022" i="1"/>
  <c r="AJ1022" i="1"/>
  <c r="AI1022" i="1"/>
  <c r="AH1022" i="1"/>
  <c r="AG1022" i="1"/>
  <c r="AF1022" i="1"/>
  <c r="AE1022" i="1"/>
  <c r="AD1022" i="1"/>
  <c r="AC1022" i="1"/>
  <c r="AL1021" i="1"/>
  <c r="AJ1021" i="1"/>
  <c r="AI1021" i="1"/>
  <c r="AH1021" i="1"/>
  <c r="AG1021" i="1"/>
  <c r="AF1021" i="1"/>
  <c r="AE1021" i="1"/>
  <c r="AD1021" i="1"/>
  <c r="AC1021" i="1"/>
  <c r="AL1020" i="1"/>
  <c r="AJ1020" i="1"/>
  <c r="AI1020" i="1"/>
  <c r="AH1020" i="1"/>
  <c r="AG1020" i="1"/>
  <c r="AF1020" i="1"/>
  <c r="AE1020" i="1"/>
  <c r="AD1020" i="1"/>
  <c r="AC1020" i="1"/>
  <c r="AL1019" i="1"/>
  <c r="AJ1019" i="1"/>
  <c r="AI1019" i="1"/>
  <c r="AH1019" i="1"/>
  <c r="AG1019" i="1"/>
  <c r="AF1019" i="1"/>
  <c r="AE1019" i="1"/>
  <c r="AD1019" i="1"/>
  <c r="AC1019" i="1"/>
  <c r="AL1018" i="1"/>
  <c r="AJ1018" i="1"/>
  <c r="AI1018" i="1"/>
  <c r="AH1018" i="1"/>
  <c r="AG1018" i="1"/>
  <c r="AF1018" i="1"/>
  <c r="AE1018" i="1"/>
  <c r="AD1018" i="1"/>
  <c r="AC1018" i="1"/>
  <c r="AL1017" i="1"/>
  <c r="AJ1017" i="1"/>
  <c r="AI1017" i="1"/>
  <c r="AH1017" i="1"/>
  <c r="AG1017" i="1"/>
  <c r="AF1017" i="1"/>
  <c r="AE1017" i="1"/>
  <c r="AD1017" i="1"/>
  <c r="AC1017" i="1"/>
  <c r="AL1016" i="1"/>
  <c r="AJ1016" i="1"/>
  <c r="AI1016" i="1"/>
  <c r="AH1016" i="1"/>
  <c r="AG1016" i="1"/>
  <c r="AF1016" i="1"/>
  <c r="AE1016" i="1"/>
  <c r="AD1016" i="1"/>
  <c r="AC1016" i="1"/>
  <c r="AL1015" i="1"/>
  <c r="AJ1015" i="1"/>
  <c r="AI1015" i="1"/>
  <c r="AH1015" i="1"/>
  <c r="AG1015" i="1"/>
  <c r="AF1015" i="1"/>
  <c r="AE1015" i="1"/>
  <c r="AD1015" i="1"/>
  <c r="AC1015" i="1"/>
  <c r="AL1014" i="1"/>
  <c r="AJ1014" i="1"/>
  <c r="AI1014" i="1"/>
  <c r="AH1014" i="1"/>
  <c r="AG1014" i="1"/>
  <c r="AF1014" i="1"/>
  <c r="AE1014" i="1"/>
  <c r="AD1014" i="1"/>
  <c r="AC1014" i="1"/>
  <c r="AL1013" i="1"/>
  <c r="AJ1013" i="1"/>
  <c r="AI1013" i="1"/>
  <c r="AH1013" i="1"/>
  <c r="AG1013" i="1"/>
  <c r="AF1013" i="1"/>
  <c r="AE1013" i="1"/>
  <c r="AD1013" i="1"/>
  <c r="AC1013" i="1"/>
  <c r="AL1012" i="1"/>
  <c r="AJ1012" i="1"/>
  <c r="AI1012" i="1"/>
  <c r="AH1012" i="1"/>
  <c r="AG1012" i="1"/>
  <c r="AF1012" i="1"/>
  <c r="AE1012" i="1"/>
  <c r="AD1012" i="1"/>
  <c r="AC1012" i="1"/>
  <c r="AL1011" i="1"/>
  <c r="AJ1011" i="1"/>
  <c r="AI1011" i="1"/>
  <c r="AH1011" i="1"/>
  <c r="AG1011" i="1"/>
  <c r="AF1011" i="1"/>
  <c r="AE1011" i="1"/>
  <c r="AD1011" i="1"/>
  <c r="AC1011" i="1"/>
  <c r="AL1010" i="1"/>
  <c r="AJ1010" i="1"/>
  <c r="AI1010" i="1"/>
  <c r="AH1010" i="1"/>
  <c r="AG1010" i="1"/>
  <c r="AF1010" i="1"/>
  <c r="AE1010" i="1"/>
  <c r="AD1010" i="1"/>
  <c r="AC1010" i="1"/>
  <c r="AL1009" i="1"/>
  <c r="AJ1009" i="1"/>
  <c r="AI1009" i="1"/>
  <c r="AH1009" i="1"/>
  <c r="AG1009" i="1"/>
  <c r="AF1009" i="1"/>
  <c r="AE1009" i="1"/>
  <c r="AD1009" i="1"/>
  <c r="AC1009" i="1"/>
  <c r="AL1008" i="1"/>
  <c r="AJ1008" i="1"/>
  <c r="AI1008" i="1"/>
  <c r="AH1008" i="1"/>
  <c r="AG1008" i="1"/>
  <c r="AF1008" i="1"/>
  <c r="AE1008" i="1"/>
  <c r="AD1008" i="1"/>
  <c r="AC1008" i="1"/>
  <c r="AL1007" i="1"/>
  <c r="AJ1007" i="1"/>
  <c r="AI1007" i="1"/>
  <c r="AH1007" i="1"/>
  <c r="AG1007" i="1"/>
  <c r="AF1007" i="1"/>
  <c r="AE1007" i="1"/>
  <c r="AD1007" i="1"/>
  <c r="AC1007" i="1"/>
  <c r="AL1006" i="1"/>
  <c r="AJ1006" i="1"/>
  <c r="AI1006" i="1"/>
  <c r="AH1006" i="1"/>
  <c r="AG1006" i="1"/>
  <c r="AF1006" i="1"/>
  <c r="AE1006" i="1"/>
  <c r="AD1006" i="1"/>
  <c r="AC1006" i="1"/>
  <c r="AL1005" i="1"/>
  <c r="AJ1005" i="1"/>
  <c r="AI1005" i="1"/>
  <c r="AH1005" i="1"/>
  <c r="AG1005" i="1"/>
  <c r="AF1005" i="1"/>
  <c r="AE1005" i="1"/>
  <c r="AD1005" i="1"/>
  <c r="AC1005" i="1"/>
  <c r="AL1004" i="1"/>
  <c r="AJ1004" i="1"/>
  <c r="AI1004" i="1"/>
  <c r="AH1004" i="1"/>
  <c r="AG1004" i="1"/>
  <c r="AF1004" i="1"/>
  <c r="AE1004" i="1"/>
  <c r="AD1004" i="1"/>
  <c r="AC1004" i="1"/>
  <c r="AL1003" i="1"/>
  <c r="AJ1003" i="1"/>
  <c r="AI1003" i="1"/>
  <c r="AH1003" i="1"/>
  <c r="AG1003" i="1"/>
  <c r="AF1003" i="1"/>
  <c r="AE1003" i="1"/>
  <c r="AD1003" i="1"/>
  <c r="AC1003" i="1"/>
  <c r="AL1002" i="1"/>
  <c r="AJ1002" i="1"/>
  <c r="AI1002" i="1"/>
  <c r="AH1002" i="1"/>
  <c r="AG1002" i="1"/>
  <c r="AE1002" i="1"/>
  <c r="AD1002" i="1"/>
  <c r="AC1002" i="1"/>
  <c r="AL1001" i="1"/>
  <c r="AJ1001" i="1"/>
  <c r="AI1001" i="1"/>
  <c r="AH1001" i="1"/>
  <c r="AG1001" i="1"/>
  <c r="AF1001" i="1"/>
  <c r="AE1001" i="1"/>
  <c r="AD1001" i="1"/>
  <c r="AC1001" i="1"/>
  <c r="AL1000" i="1"/>
  <c r="AJ1000" i="1"/>
  <c r="AI1000" i="1"/>
  <c r="AH1000" i="1"/>
  <c r="AG1000" i="1"/>
  <c r="AF1000" i="1"/>
  <c r="AE1000" i="1"/>
  <c r="AD1000" i="1"/>
  <c r="AC1000" i="1"/>
  <c r="AL999" i="1"/>
  <c r="AJ999" i="1"/>
  <c r="AI999" i="1"/>
  <c r="AH999" i="1"/>
  <c r="AG999" i="1"/>
  <c r="AF999" i="1"/>
  <c r="AE999" i="1"/>
  <c r="AD999" i="1"/>
  <c r="AC999" i="1"/>
  <c r="AL998" i="1"/>
  <c r="AJ998" i="1"/>
  <c r="AI998" i="1"/>
  <c r="AH998" i="1"/>
  <c r="AG998" i="1"/>
  <c r="AF998" i="1"/>
  <c r="AE998" i="1"/>
  <c r="AD998" i="1"/>
  <c r="AC998" i="1"/>
  <c r="AL997" i="1"/>
  <c r="AJ997" i="1"/>
  <c r="AI997" i="1"/>
  <c r="AH997" i="1"/>
  <c r="AG997" i="1"/>
  <c r="AF997" i="1"/>
  <c r="AE997" i="1"/>
  <c r="AD997" i="1"/>
  <c r="AC997" i="1"/>
  <c r="AL996" i="1"/>
  <c r="AJ996" i="1"/>
  <c r="AI996" i="1"/>
  <c r="AH996" i="1"/>
  <c r="AG996" i="1"/>
  <c r="AF996" i="1"/>
  <c r="AE996" i="1"/>
  <c r="AD996" i="1"/>
  <c r="AC996" i="1"/>
  <c r="AL995" i="1"/>
  <c r="AJ995" i="1"/>
  <c r="AI995" i="1"/>
  <c r="AH995" i="1"/>
  <c r="AG995" i="1"/>
  <c r="AF995" i="1"/>
  <c r="AE995" i="1"/>
  <c r="AD995" i="1"/>
  <c r="AC995" i="1"/>
  <c r="AL994" i="1"/>
  <c r="AJ994" i="1"/>
  <c r="AI994" i="1"/>
  <c r="AH994" i="1"/>
  <c r="AG994" i="1"/>
  <c r="AF994" i="1"/>
  <c r="AE994" i="1"/>
  <c r="AD994" i="1"/>
  <c r="AC994" i="1"/>
  <c r="AL993" i="1"/>
  <c r="AJ993" i="1"/>
  <c r="AI993" i="1"/>
  <c r="AH993" i="1"/>
  <c r="AG993" i="1"/>
  <c r="AF993" i="1"/>
  <c r="AE993" i="1"/>
  <c r="AD993" i="1"/>
  <c r="AC993" i="1"/>
  <c r="AL992" i="1"/>
  <c r="AJ992" i="1"/>
  <c r="AI992" i="1"/>
  <c r="AH992" i="1"/>
  <c r="AG992" i="1"/>
  <c r="AF992" i="1"/>
  <c r="AE992" i="1"/>
  <c r="AD992" i="1"/>
  <c r="AC992" i="1"/>
  <c r="AL991" i="1"/>
  <c r="AJ991" i="1"/>
  <c r="AI991" i="1"/>
  <c r="AH991" i="1"/>
  <c r="AG991" i="1"/>
  <c r="AF991" i="1"/>
  <c r="AE991" i="1"/>
  <c r="AD991" i="1"/>
  <c r="AC991" i="1"/>
  <c r="AL990" i="1"/>
  <c r="AJ990" i="1"/>
  <c r="AI990" i="1"/>
  <c r="AH990" i="1"/>
  <c r="AG990" i="1"/>
  <c r="AF990" i="1"/>
  <c r="AE990" i="1"/>
  <c r="AD990" i="1"/>
  <c r="AC990" i="1"/>
  <c r="AL989" i="1"/>
  <c r="AJ989" i="1"/>
  <c r="AI989" i="1"/>
  <c r="AH989" i="1"/>
  <c r="AG989" i="1"/>
  <c r="AF989" i="1"/>
  <c r="AE989" i="1"/>
  <c r="AD989" i="1"/>
  <c r="AC989" i="1"/>
  <c r="AL988" i="1"/>
  <c r="AJ988" i="1"/>
  <c r="AI988" i="1"/>
  <c r="AH988" i="1"/>
  <c r="AG988" i="1"/>
  <c r="AF988" i="1"/>
  <c r="AE988" i="1"/>
  <c r="AD988" i="1"/>
  <c r="AC988" i="1"/>
  <c r="AL987" i="1"/>
  <c r="AJ987" i="1"/>
  <c r="AI987" i="1"/>
  <c r="AH987" i="1"/>
  <c r="AG987" i="1"/>
  <c r="AF987" i="1"/>
  <c r="AE987" i="1"/>
  <c r="AD987" i="1"/>
  <c r="AC987" i="1"/>
  <c r="AL986" i="1"/>
  <c r="AJ986" i="1"/>
  <c r="AI986" i="1"/>
  <c r="AH986" i="1"/>
  <c r="AG986" i="1"/>
  <c r="AF986" i="1"/>
  <c r="AE986" i="1"/>
  <c r="AD986" i="1"/>
  <c r="AC986" i="1"/>
  <c r="AL985" i="1"/>
  <c r="AJ985" i="1"/>
  <c r="AI985" i="1"/>
  <c r="AH985" i="1"/>
  <c r="AG985" i="1"/>
  <c r="AF985" i="1"/>
  <c r="AE985" i="1"/>
  <c r="AD985" i="1"/>
  <c r="AC985" i="1"/>
  <c r="AL984" i="1"/>
  <c r="AJ984" i="1"/>
  <c r="AI984" i="1"/>
  <c r="AH984" i="1"/>
  <c r="AG984" i="1"/>
  <c r="AF984" i="1"/>
  <c r="AE984" i="1"/>
  <c r="AD984" i="1"/>
  <c r="AC984" i="1"/>
  <c r="AL983" i="1"/>
  <c r="AJ983" i="1"/>
  <c r="AI983" i="1"/>
  <c r="AH983" i="1"/>
  <c r="AG983" i="1"/>
  <c r="AF983" i="1"/>
  <c r="AE983" i="1"/>
  <c r="AD983" i="1"/>
  <c r="AC983" i="1"/>
  <c r="AL982" i="1"/>
  <c r="AJ982" i="1"/>
  <c r="AI982" i="1"/>
  <c r="AH982" i="1"/>
  <c r="AG982" i="1"/>
  <c r="AF982" i="1"/>
  <c r="AE982" i="1"/>
  <c r="AD982" i="1"/>
  <c r="AC982" i="1"/>
  <c r="AL981" i="1"/>
  <c r="AJ981" i="1"/>
  <c r="AI981" i="1"/>
  <c r="AH981" i="1"/>
  <c r="AG981" i="1"/>
  <c r="AF981" i="1"/>
  <c r="AE981" i="1"/>
  <c r="AD981" i="1"/>
  <c r="AC981" i="1"/>
  <c r="AL980" i="1"/>
  <c r="AJ980" i="1"/>
  <c r="AI980" i="1"/>
  <c r="AH980" i="1"/>
  <c r="AG980" i="1"/>
  <c r="AF980" i="1"/>
  <c r="AE980" i="1"/>
  <c r="AD980" i="1"/>
  <c r="AC980" i="1"/>
  <c r="AL979" i="1"/>
  <c r="AJ979" i="1"/>
  <c r="AI979" i="1"/>
  <c r="AH979" i="1"/>
  <c r="AG979" i="1"/>
  <c r="AF979" i="1"/>
  <c r="AE979" i="1"/>
  <c r="AD979" i="1"/>
  <c r="AC979" i="1"/>
  <c r="AL978" i="1"/>
  <c r="AJ978" i="1"/>
  <c r="AI978" i="1"/>
  <c r="AH978" i="1"/>
  <c r="AG978" i="1"/>
  <c r="AF978" i="1"/>
  <c r="AE978" i="1"/>
  <c r="AD978" i="1"/>
  <c r="AC978" i="1"/>
  <c r="AL977" i="1"/>
  <c r="AJ977" i="1"/>
  <c r="AI977" i="1"/>
  <c r="AH977" i="1"/>
  <c r="AG977" i="1"/>
  <c r="AF977" i="1"/>
  <c r="AE977" i="1"/>
  <c r="AD977" i="1"/>
  <c r="AC977" i="1"/>
  <c r="AL976" i="1"/>
  <c r="AJ976" i="1"/>
  <c r="AI976" i="1"/>
  <c r="AH976" i="1"/>
  <c r="AG976" i="1"/>
  <c r="AF976" i="1"/>
  <c r="AE976" i="1"/>
  <c r="AD976" i="1"/>
  <c r="AC976" i="1"/>
  <c r="AL975" i="1"/>
  <c r="AJ975" i="1"/>
  <c r="AI975" i="1"/>
  <c r="AH975" i="1"/>
  <c r="AG975" i="1"/>
  <c r="AF975" i="1"/>
  <c r="AE975" i="1"/>
  <c r="AD975" i="1"/>
  <c r="AC975" i="1"/>
  <c r="AL974" i="1"/>
  <c r="AJ974" i="1"/>
  <c r="AI974" i="1"/>
  <c r="AH974" i="1"/>
  <c r="AG974" i="1"/>
  <c r="AF974" i="1"/>
  <c r="AE974" i="1"/>
  <c r="AD974" i="1"/>
  <c r="AC974" i="1"/>
  <c r="AL973" i="1"/>
  <c r="AJ973" i="1"/>
  <c r="AI973" i="1"/>
  <c r="AH973" i="1"/>
  <c r="AG973" i="1"/>
  <c r="AF973" i="1"/>
  <c r="AE973" i="1"/>
  <c r="AD973" i="1"/>
  <c r="AC973" i="1"/>
  <c r="AL972" i="1"/>
  <c r="AJ972" i="1"/>
  <c r="AI972" i="1"/>
  <c r="AH972" i="1"/>
  <c r="AG972" i="1"/>
  <c r="AF972" i="1"/>
  <c r="AE972" i="1"/>
  <c r="AD972" i="1"/>
  <c r="AC972" i="1"/>
  <c r="AL971" i="1"/>
  <c r="AJ971" i="1"/>
  <c r="AI971" i="1"/>
  <c r="AH971" i="1"/>
  <c r="AG971" i="1"/>
  <c r="AF971" i="1"/>
  <c r="AE971" i="1"/>
  <c r="AD971" i="1"/>
  <c r="AC971" i="1"/>
  <c r="AL970" i="1"/>
  <c r="AJ970" i="1"/>
  <c r="AI970" i="1"/>
  <c r="AH970" i="1"/>
  <c r="AG970" i="1"/>
  <c r="AF970" i="1"/>
  <c r="AE970" i="1"/>
  <c r="AD970" i="1"/>
  <c r="AC970" i="1"/>
  <c r="AL969" i="1"/>
  <c r="AJ969" i="1"/>
  <c r="AI969" i="1"/>
  <c r="AH969" i="1"/>
  <c r="AG969" i="1"/>
  <c r="AF969" i="1"/>
  <c r="AE969" i="1"/>
  <c r="AD969" i="1"/>
  <c r="AC969" i="1"/>
  <c r="AL968" i="1"/>
  <c r="AJ968" i="1"/>
  <c r="AI968" i="1"/>
  <c r="AH968" i="1"/>
  <c r="AG968" i="1"/>
  <c r="AF968" i="1"/>
  <c r="AE968" i="1"/>
  <c r="AD968" i="1"/>
  <c r="AC968" i="1"/>
  <c r="AL967" i="1"/>
  <c r="AJ967" i="1"/>
  <c r="AI967" i="1"/>
  <c r="AH967" i="1"/>
  <c r="AG967" i="1"/>
  <c r="AF967" i="1"/>
  <c r="AE967" i="1"/>
  <c r="AD967" i="1"/>
  <c r="AC967" i="1"/>
  <c r="AL966" i="1"/>
  <c r="AJ966" i="1"/>
  <c r="AI966" i="1"/>
  <c r="AH966" i="1"/>
  <c r="AG966" i="1"/>
  <c r="AF966" i="1"/>
  <c r="AE966" i="1"/>
  <c r="AD966" i="1"/>
  <c r="AC966" i="1"/>
  <c r="AL965" i="1"/>
  <c r="AJ965" i="1"/>
  <c r="AI965" i="1"/>
  <c r="AH965" i="1"/>
  <c r="AG965" i="1"/>
  <c r="AF965" i="1"/>
  <c r="AE965" i="1"/>
  <c r="AD965" i="1"/>
  <c r="AC965" i="1"/>
  <c r="AL964" i="1"/>
  <c r="AJ964" i="1"/>
  <c r="AI964" i="1"/>
  <c r="AH964" i="1"/>
  <c r="AG964" i="1"/>
  <c r="AF964" i="1"/>
  <c r="AE964" i="1"/>
  <c r="AD964" i="1"/>
  <c r="AC964" i="1"/>
  <c r="AL963" i="1"/>
  <c r="AJ963" i="1"/>
  <c r="AI963" i="1"/>
  <c r="AH963" i="1"/>
  <c r="AG963" i="1"/>
  <c r="AF963" i="1"/>
  <c r="AE963" i="1"/>
  <c r="AD963" i="1"/>
  <c r="AC963" i="1"/>
  <c r="AL962" i="1"/>
  <c r="AJ962" i="1"/>
  <c r="AI962" i="1"/>
  <c r="AH962" i="1"/>
  <c r="AG962" i="1"/>
  <c r="AF962" i="1"/>
  <c r="AE962" i="1"/>
  <c r="AD962" i="1"/>
  <c r="AC962" i="1"/>
  <c r="AL961" i="1"/>
  <c r="AJ961" i="1"/>
  <c r="AI961" i="1"/>
  <c r="AH961" i="1"/>
  <c r="AG961" i="1"/>
  <c r="AF961" i="1"/>
  <c r="AE961" i="1"/>
  <c r="AD961" i="1"/>
  <c r="AC961" i="1"/>
  <c r="AL960" i="1"/>
  <c r="AJ960" i="1"/>
  <c r="AI960" i="1"/>
  <c r="AH960" i="1"/>
  <c r="AG960" i="1"/>
  <c r="AF960" i="1"/>
  <c r="AE960" i="1"/>
  <c r="AD960" i="1"/>
  <c r="AC960" i="1"/>
  <c r="AL959" i="1"/>
  <c r="AJ959" i="1"/>
  <c r="AI959" i="1"/>
  <c r="AH959" i="1"/>
  <c r="AG959" i="1"/>
  <c r="AF959" i="1"/>
  <c r="AE959" i="1"/>
  <c r="AD959" i="1"/>
  <c r="AC959" i="1"/>
  <c r="AL958" i="1"/>
  <c r="AJ958" i="1"/>
  <c r="AI958" i="1"/>
  <c r="AH958" i="1"/>
  <c r="AG958" i="1"/>
  <c r="AF958" i="1"/>
  <c r="AE958" i="1"/>
  <c r="AD958" i="1"/>
  <c r="AC958" i="1"/>
  <c r="AL957" i="1"/>
  <c r="AJ957" i="1"/>
  <c r="AI957" i="1"/>
  <c r="AH957" i="1"/>
  <c r="AG957" i="1"/>
  <c r="AF957" i="1"/>
  <c r="AE957" i="1"/>
  <c r="AD957" i="1"/>
  <c r="AC957" i="1"/>
  <c r="AL956" i="1"/>
  <c r="AJ956" i="1"/>
  <c r="AI956" i="1"/>
  <c r="AH956" i="1"/>
  <c r="AG956" i="1"/>
  <c r="AF956" i="1"/>
  <c r="AE956" i="1"/>
  <c r="AD956" i="1"/>
  <c r="AC956" i="1"/>
  <c r="AL955" i="1"/>
  <c r="AJ955" i="1"/>
  <c r="AI955" i="1"/>
  <c r="AH955" i="1"/>
  <c r="AG955" i="1"/>
  <c r="AF955" i="1"/>
  <c r="AE955" i="1"/>
  <c r="AD955" i="1"/>
  <c r="AC955" i="1"/>
  <c r="AL954" i="1"/>
  <c r="AJ954" i="1"/>
  <c r="AI954" i="1"/>
  <c r="AH954" i="1"/>
  <c r="AG954" i="1"/>
  <c r="AF954" i="1"/>
  <c r="AE954" i="1"/>
  <c r="AD954" i="1"/>
  <c r="AC954" i="1"/>
  <c r="AL953" i="1"/>
  <c r="AJ953" i="1"/>
  <c r="AI953" i="1"/>
  <c r="AH953" i="1"/>
  <c r="AG953" i="1"/>
  <c r="AF953" i="1"/>
  <c r="AE953" i="1"/>
  <c r="AD953" i="1"/>
  <c r="AC953" i="1"/>
  <c r="AL952" i="1"/>
  <c r="AJ952" i="1"/>
  <c r="AI952" i="1"/>
  <c r="AH952" i="1"/>
  <c r="AG952" i="1"/>
  <c r="AF952" i="1"/>
  <c r="AE952" i="1"/>
  <c r="AD952" i="1"/>
  <c r="AC952" i="1"/>
  <c r="AL951" i="1"/>
  <c r="AJ951" i="1"/>
  <c r="AI951" i="1"/>
  <c r="AH951" i="1"/>
  <c r="AG951" i="1"/>
  <c r="AF951" i="1"/>
  <c r="AE951" i="1"/>
  <c r="AD951" i="1"/>
  <c r="AC951" i="1"/>
  <c r="AL950" i="1"/>
  <c r="AJ950" i="1"/>
  <c r="AI950" i="1"/>
  <c r="AH950" i="1"/>
  <c r="AG950" i="1"/>
  <c r="AF950" i="1"/>
  <c r="AE950" i="1"/>
  <c r="AD950" i="1"/>
  <c r="AC950" i="1"/>
  <c r="AL949" i="1"/>
  <c r="AJ949" i="1"/>
  <c r="AI949" i="1"/>
  <c r="AH949" i="1"/>
  <c r="AG949" i="1"/>
  <c r="AF949" i="1"/>
  <c r="AE949" i="1"/>
  <c r="AD949" i="1"/>
  <c r="AC949" i="1"/>
  <c r="AL948" i="1"/>
  <c r="AJ948" i="1"/>
  <c r="AI948" i="1"/>
  <c r="AH948" i="1"/>
  <c r="AG948" i="1"/>
  <c r="AF948" i="1"/>
  <c r="AE948" i="1"/>
  <c r="AD948" i="1"/>
  <c r="AC948" i="1"/>
  <c r="AL947" i="1"/>
  <c r="AJ947" i="1"/>
  <c r="AI947" i="1"/>
  <c r="AH947" i="1"/>
  <c r="AG947" i="1"/>
  <c r="AF947" i="1"/>
  <c r="AE947" i="1"/>
  <c r="AD947" i="1"/>
  <c r="AC947" i="1"/>
  <c r="AL946" i="1"/>
  <c r="AJ946" i="1"/>
  <c r="AI946" i="1"/>
  <c r="AH946" i="1"/>
  <c r="AG946" i="1"/>
  <c r="AF946" i="1"/>
  <c r="AE946" i="1"/>
  <c r="AD946" i="1"/>
  <c r="AC946" i="1"/>
  <c r="AL945" i="1"/>
  <c r="AJ945" i="1"/>
  <c r="AI945" i="1"/>
  <c r="AH945" i="1"/>
  <c r="AG945" i="1"/>
  <c r="AF945" i="1"/>
  <c r="AE945" i="1"/>
  <c r="AD945" i="1"/>
  <c r="AC945" i="1"/>
  <c r="AL944" i="1"/>
  <c r="AJ944" i="1"/>
  <c r="AI944" i="1"/>
  <c r="AH944" i="1"/>
  <c r="AG944" i="1"/>
  <c r="AF944" i="1"/>
  <c r="AE944" i="1"/>
  <c r="AD944" i="1"/>
  <c r="AC944" i="1"/>
  <c r="AL943" i="1"/>
  <c r="AJ943" i="1"/>
  <c r="AI943" i="1"/>
  <c r="AH943" i="1"/>
  <c r="AG943" i="1"/>
  <c r="AF943" i="1"/>
  <c r="AE943" i="1"/>
  <c r="AD943" i="1"/>
  <c r="AC943" i="1"/>
  <c r="AL942" i="1"/>
  <c r="AJ942" i="1"/>
  <c r="AI942" i="1"/>
  <c r="AH942" i="1"/>
  <c r="AG942" i="1"/>
  <c r="AF942" i="1"/>
  <c r="AE942" i="1"/>
  <c r="AD942" i="1"/>
  <c r="AC942" i="1"/>
  <c r="AL941" i="1"/>
  <c r="AJ941" i="1"/>
  <c r="AI941" i="1"/>
  <c r="AH941" i="1"/>
  <c r="AG941" i="1"/>
  <c r="AF941" i="1"/>
  <c r="AE941" i="1"/>
  <c r="AD941" i="1"/>
  <c r="AC941" i="1"/>
  <c r="AL940" i="1"/>
  <c r="AJ940" i="1"/>
  <c r="AI940" i="1"/>
  <c r="AH940" i="1"/>
  <c r="AG940" i="1"/>
  <c r="AF940" i="1"/>
  <c r="AE940" i="1"/>
  <c r="AD940" i="1"/>
  <c r="AC940" i="1"/>
  <c r="AL939" i="1"/>
  <c r="AJ939" i="1"/>
  <c r="AI939" i="1"/>
  <c r="AH939" i="1"/>
  <c r="AG939" i="1"/>
  <c r="AF939" i="1"/>
  <c r="AE939" i="1"/>
  <c r="AD939" i="1"/>
  <c r="AC939" i="1"/>
  <c r="AL938" i="1"/>
  <c r="AJ938" i="1"/>
  <c r="AI938" i="1"/>
  <c r="AH938" i="1"/>
  <c r="AG938" i="1"/>
  <c r="AF938" i="1"/>
  <c r="AE938" i="1"/>
  <c r="AD938" i="1"/>
  <c r="AC938" i="1"/>
  <c r="AL937" i="1"/>
  <c r="AJ937" i="1"/>
  <c r="AI937" i="1"/>
  <c r="AH937" i="1"/>
  <c r="AG937" i="1"/>
  <c r="AF937" i="1"/>
  <c r="AE937" i="1"/>
  <c r="AD937" i="1"/>
  <c r="AC937" i="1"/>
  <c r="AL936" i="1"/>
  <c r="AJ936" i="1"/>
  <c r="AI936" i="1"/>
  <c r="AH936" i="1"/>
  <c r="AG936" i="1"/>
  <c r="AF936" i="1"/>
  <c r="AE936" i="1"/>
  <c r="AD936" i="1"/>
  <c r="AC936" i="1"/>
  <c r="AL935" i="1"/>
  <c r="AJ935" i="1"/>
  <c r="AI935" i="1"/>
  <c r="AH935" i="1"/>
  <c r="AG935" i="1"/>
  <c r="AF935" i="1"/>
  <c r="AE935" i="1"/>
  <c r="AD935" i="1"/>
  <c r="AC935" i="1"/>
  <c r="AL934" i="1"/>
  <c r="AJ934" i="1"/>
  <c r="AI934" i="1"/>
  <c r="AH934" i="1"/>
  <c r="AG934" i="1"/>
  <c r="AF934" i="1"/>
  <c r="AE934" i="1"/>
  <c r="AD934" i="1"/>
  <c r="AC934" i="1"/>
  <c r="AL933" i="1"/>
  <c r="AJ933" i="1"/>
  <c r="AI933" i="1"/>
  <c r="AH933" i="1"/>
  <c r="AG933" i="1"/>
  <c r="AF933" i="1"/>
  <c r="AE933" i="1"/>
  <c r="AD933" i="1"/>
  <c r="AC933" i="1"/>
  <c r="AL932" i="1"/>
  <c r="AJ932" i="1"/>
  <c r="AI932" i="1"/>
  <c r="AH932" i="1"/>
  <c r="AG932" i="1"/>
  <c r="AF932" i="1"/>
  <c r="AE932" i="1"/>
  <c r="AD932" i="1"/>
  <c r="AC932" i="1"/>
  <c r="AL931" i="1"/>
  <c r="AJ931" i="1"/>
  <c r="AI931" i="1"/>
  <c r="AH931" i="1"/>
  <c r="AG931" i="1"/>
  <c r="AF931" i="1"/>
  <c r="AE931" i="1"/>
  <c r="AD931" i="1"/>
  <c r="AC931" i="1"/>
  <c r="AL930" i="1"/>
  <c r="AJ930" i="1"/>
  <c r="AI930" i="1"/>
  <c r="AH930" i="1"/>
  <c r="AG930" i="1"/>
  <c r="AF930" i="1"/>
  <c r="AE930" i="1"/>
  <c r="AD930" i="1"/>
  <c r="AC930" i="1"/>
  <c r="AL929" i="1"/>
  <c r="AJ929" i="1"/>
  <c r="AI929" i="1"/>
  <c r="AH929" i="1"/>
  <c r="AG929" i="1"/>
  <c r="AF929" i="1"/>
  <c r="AE929" i="1"/>
  <c r="AD929" i="1"/>
  <c r="AC929" i="1"/>
  <c r="AL928" i="1"/>
  <c r="AJ928" i="1"/>
  <c r="AI928" i="1"/>
  <c r="AH928" i="1"/>
  <c r="AG928" i="1"/>
  <c r="AF928" i="1"/>
  <c r="AE928" i="1"/>
  <c r="AD928" i="1"/>
  <c r="AC928" i="1"/>
  <c r="AL927" i="1"/>
  <c r="AJ927" i="1"/>
  <c r="AI927" i="1"/>
  <c r="AH927" i="1"/>
  <c r="AG927" i="1"/>
  <c r="AF927" i="1"/>
  <c r="AE927" i="1"/>
  <c r="AD927" i="1"/>
  <c r="AC927" i="1"/>
  <c r="AL926" i="1"/>
  <c r="AJ926" i="1"/>
  <c r="AI926" i="1"/>
  <c r="AH926" i="1"/>
  <c r="AG926" i="1"/>
  <c r="AF926" i="1"/>
  <c r="AE926" i="1"/>
  <c r="AD926" i="1"/>
  <c r="AC926" i="1"/>
  <c r="AL925" i="1"/>
  <c r="AJ925" i="1"/>
  <c r="AI925" i="1"/>
  <c r="AH925" i="1"/>
  <c r="AG925" i="1"/>
  <c r="AF925" i="1"/>
  <c r="AE925" i="1"/>
  <c r="AD925" i="1"/>
  <c r="AC925" i="1"/>
  <c r="AL924" i="1"/>
  <c r="AJ924" i="1"/>
  <c r="AI924" i="1"/>
  <c r="AH924" i="1"/>
  <c r="AG924" i="1"/>
  <c r="AF924" i="1"/>
  <c r="AE924" i="1"/>
  <c r="AD924" i="1"/>
  <c r="AC924" i="1"/>
  <c r="AL923" i="1"/>
  <c r="AJ923" i="1"/>
  <c r="AI923" i="1"/>
  <c r="AH923" i="1"/>
  <c r="AG923" i="1"/>
  <c r="AF923" i="1"/>
  <c r="AE923" i="1"/>
  <c r="AD923" i="1"/>
  <c r="AC923" i="1"/>
  <c r="AL922" i="1"/>
  <c r="AJ922" i="1"/>
  <c r="AI922" i="1"/>
  <c r="AH922" i="1"/>
  <c r="AG922" i="1"/>
  <c r="AF922" i="1"/>
  <c r="AE922" i="1"/>
  <c r="AD922" i="1"/>
  <c r="AC922" i="1"/>
  <c r="AL921" i="1"/>
  <c r="AJ921" i="1"/>
  <c r="AI921" i="1"/>
  <c r="AH921" i="1"/>
  <c r="AG921" i="1"/>
  <c r="AF921" i="1"/>
  <c r="AE921" i="1"/>
  <c r="AD921" i="1"/>
  <c r="AC921" i="1"/>
  <c r="AL920" i="1"/>
  <c r="AJ920" i="1"/>
  <c r="AI920" i="1"/>
  <c r="AH920" i="1"/>
  <c r="AG920" i="1"/>
  <c r="AF920" i="1"/>
  <c r="AE920" i="1"/>
  <c r="AD920" i="1"/>
  <c r="AC920" i="1"/>
  <c r="AL919" i="1"/>
  <c r="AJ919" i="1"/>
  <c r="AI919" i="1"/>
  <c r="AH919" i="1"/>
  <c r="AG919" i="1"/>
  <c r="AF919" i="1"/>
  <c r="AE919" i="1"/>
  <c r="AD919" i="1"/>
  <c r="AC919" i="1"/>
  <c r="AL918" i="1"/>
  <c r="AJ918" i="1"/>
  <c r="AI918" i="1"/>
  <c r="AH918" i="1"/>
  <c r="AG918" i="1"/>
  <c r="AF918" i="1"/>
  <c r="AE918" i="1"/>
  <c r="AD918" i="1"/>
  <c r="AC918" i="1"/>
  <c r="AL917" i="1"/>
  <c r="AJ917" i="1"/>
  <c r="AI917" i="1"/>
  <c r="AH917" i="1"/>
  <c r="AG917" i="1"/>
  <c r="AF917" i="1"/>
  <c r="AE917" i="1"/>
  <c r="AD917" i="1"/>
  <c r="AC917" i="1"/>
  <c r="AL916" i="1"/>
  <c r="AJ916" i="1"/>
  <c r="AI916" i="1"/>
  <c r="AH916" i="1"/>
  <c r="AG916" i="1"/>
  <c r="AF916" i="1"/>
  <c r="AE916" i="1"/>
  <c r="AD916" i="1"/>
  <c r="AC916" i="1"/>
  <c r="AL915" i="1"/>
  <c r="AJ915" i="1"/>
  <c r="AI915" i="1"/>
  <c r="AH915" i="1"/>
  <c r="AG915" i="1"/>
  <c r="AF915" i="1"/>
  <c r="AE915" i="1"/>
  <c r="AD915" i="1"/>
  <c r="AC915" i="1"/>
  <c r="AL914" i="1"/>
  <c r="AJ914" i="1"/>
  <c r="AI914" i="1"/>
  <c r="AH914" i="1"/>
  <c r="AG914" i="1"/>
  <c r="AF914" i="1"/>
  <c r="AE914" i="1"/>
  <c r="AD914" i="1"/>
  <c r="AC914" i="1"/>
  <c r="AL913" i="1"/>
  <c r="AJ913" i="1"/>
  <c r="AI913" i="1"/>
  <c r="AH913" i="1"/>
  <c r="AG913" i="1"/>
  <c r="AF913" i="1"/>
  <c r="AE913" i="1"/>
  <c r="AD913" i="1"/>
  <c r="AC913" i="1"/>
  <c r="AL912" i="1"/>
  <c r="AJ912" i="1"/>
  <c r="AI912" i="1"/>
  <c r="AH912" i="1"/>
  <c r="AG912" i="1"/>
  <c r="AF912" i="1"/>
  <c r="AE912" i="1"/>
  <c r="AD912" i="1"/>
  <c r="AC912" i="1"/>
  <c r="AL911" i="1"/>
  <c r="AJ911" i="1"/>
  <c r="AI911" i="1"/>
  <c r="AH911" i="1"/>
  <c r="AG911" i="1"/>
  <c r="AF911" i="1"/>
  <c r="AE911" i="1"/>
  <c r="AD911" i="1"/>
  <c r="AC911" i="1"/>
  <c r="AL910" i="1"/>
  <c r="AJ910" i="1"/>
  <c r="AI910" i="1"/>
  <c r="AH910" i="1"/>
  <c r="AG910" i="1"/>
  <c r="AF910" i="1"/>
  <c r="AE910" i="1"/>
  <c r="AD910" i="1"/>
  <c r="AC910" i="1"/>
  <c r="AL909" i="1"/>
  <c r="AJ909" i="1"/>
  <c r="AI909" i="1"/>
  <c r="AH909" i="1"/>
  <c r="AG909" i="1"/>
  <c r="AF909" i="1"/>
  <c r="AE909" i="1"/>
  <c r="AD909" i="1"/>
  <c r="AC909" i="1"/>
  <c r="AL908" i="1"/>
  <c r="AJ908" i="1"/>
  <c r="AI908" i="1"/>
  <c r="AH908" i="1"/>
  <c r="AG908" i="1"/>
  <c r="AF908" i="1"/>
  <c r="AE908" i="1"/>
  <c r="AD908" i="1"/>
  <c r="AC908" i="1"/>
  <c r="AL907" i="1"/>
  <c r="AJ907" i="1"/>
  <c r="AI907" i="1"/>
  <c r="AH907" i="1"/>
  <c r="AG907" i="1"/>
  <c r="AF907" i="1"/>
  <c r="AE907" i="1"/>
  <c r="AD907" i="1"/>
  <c r="AC907" i="1"/>
  <c r="AL906" i="1"/>
  <c r="AJ906" i="1"/>
  <c r="AI906" i="1"/>
  <c r="AH906" i="1"/>
  <c r="AG906" i="1"/>
  <c r="AF906" i="1"/>
  <c r="AE906" i="1"/>
  <c r="AD906" i="1"/>
  <c r="AC906" i="1"/>
  <c r="AL905" i="1"/>
  <c r="AJ905" i="1"/>
  <c r="AI905" i="1"/>
  <c r="AH905" i="1"/>
  <c r="AG905" i="1"/>
  <c r="AF905" i="1"/>
  <c r="AE905" i="1"/>
  <c r="AD905" i="1"/>
  <c r="AC905" i="1"/>
  <c r="AL904" i="1"/>
  <c r="AJ904" i="1"/>
  <c r="AI904" i="1"/>
  <c r="AH904" i="1"/>
  <c r="AG904" i="1"/>
  <c r="AF904" i="1"/>
  <c r="AE904" i="1"/>
  <c r="AD904" i="1"/>
  <c r="AC904" i="1"/>
  <c r="AL903" i="1"/>
  <c r="AJ903" i="1"/>
  <c r="AI903" i="1"/>
  <c r="AH903" i="1"/>
  <c r="AG903" i="1"/>
  <c r="AF903" i="1"/>
  <c r="AE903" i="1"/>
  <c r="AD903" i="1"/>
  <c r="AC903" i="1"/>
  <c r="AL902" i="1"/>
  <c r="AJ902" i="1"/>
  <c r="AI902" i="1"/>
  <c r="AH902" i="1"/>
  <c r="AG902" i="1"/>
  <c r="AF902" i="1"/>
  <c r="AE902" i="1"/>
  <c r="AD902" i="1"/>
  <c r="AC902" i="1"/>
  <c r="AL901" i="1"/>
  <c r="AJ901" i="1"/>
  <c r="AI901" i="1"/>
  <c r="AH901" i="1"/>
  <c r="AG901" i="1"/>
  <c r="AF901" i="1"/>
  <c r="AE901" i="1"/>
  <c r="AD901" i="1"/>
  <c r="AC901" i="1"/>
  <c r="AL900" i="1"/>
  <c r="AJ900" i="1"/>
  <c r="AI900" i="1"/>
  <c r="AH900" i="1"/>
  <c r="AG900" i="1"/>
  <c r="AF900" i="1"/>
  <c r="AE900" i="1"/>
  <c r="AD900" i="1"/>
  <c r="AC900" i="1"/>
  <c r="AL899" i="1"/>
  <c r="AJ899" i="1"/>
  <c r="AI899" i="1"/>
  <c r="AH899" i="1"/>
  <c r="AG899" i="1"/>
  <c r="AF899" i="1"/>
  <c r="AE899" i="1"/>
  <c r="AD899" i="1"/>
  <c r="AC899" i="1"/>
  <c r="AL898" i="1"/>
  <c r="AJ898" i="1"/>
  <c r="AI898" i="1"/>
  <c r="AH898" i="1"/>
  <c r="AG898" i="1"/>
  <c r="AF898" i="1"/>
  <c r="AE898" i="1"/>
  <c r="AD898" i="1"/>
  <c r="AC898" i="1"/>
  <c r="AL897" i="1"/>
  <c r="AJ897" i="1"/>
  <c r="AI897" i="1"/>
  <c r="AH897" i="1"/>
  <c r="AG897" i="1"/>
  <c r="AF897" i="1"/>
  <c r="AE897" i="1"/>
  <c r="AD897" i="1"/>
  <c r="AC897" i="1"/>
  <c r="AL896" i="1"/>
  <c r="AJ896" i="1"/>
  <c r="AI896" i="1"/>
  <c r="AH896" i="1"/>
  <c r="AG896" i="1"/>
  <c r="AF896" i="1"/>
  <c r="AE896" i="1"/>
  <c r="AD896" i="1"/>
  <c r="AC896" i="1"/>
  <c r="AL895" i="1"/>
  <c r="AJ895" i="1"/>
  <c r="AI895" i="1"/>
  <c r="AH895" i="1"/>
  <c r="AG895" i="1"/>
  <c r="AF895" i="1"/>
  <c r="AE895" i="1"/>
  <c r="AD895" i="1"/>
  <c r="AC895" i="1"/>
  <c r="AL894" i="1"/>
  <c r="AJ894" i="1"/>
  <c r="AI894" i="1"/>
  <c r="AH894" i="1"/>
  <c r="AG894" i="1"/>
  <c r="AF894" i="1"/>
  <c r="AE894" i="1"/>
  <c r="AD894" i="1"/>
  <c r="AC894" i="1"/>
  <c r="AL893" i="1"/>
  <c r="AJ893" i="1"/>
  <c r="AI893" i="1"/>
  <c r="AH893" i="1"/>
  <c r="AG893" i="1"/>
  <c r="AF893" i="1"/>
  <c r="AE893" i="1"/>
  <c r="AD893" i="1"/>
  <c r="AC893" i="1"/>
  <c r="AL892" i="1"/>
  <c r="AJ892" i="1"/>
  <c r="AI892" i="1"/>
  <c r="AH892" i="1"/>
  <c r="AG892" i="1"/>
  <c r="AF892" i="1"/>
  <c r="AE892" i="1"/>
  <c r="AD892" i="1"/>
  <c r="AC892" i="1"/>
  <c r="AL891" i="1"/>
  <c r="AJ891" i="1"/>
  <c r="AI891" i="1"/>
  <c r="AH891" i="1"/>
  <c r="AG891" i="1"/>
  <c r="AF891" i="1"/>
  <c r="AE891" i="1"/>
  <c r="AD891" i="1"/>
  <c r="AC891" i="1"/>
  <c r="AL890" i="1"/>
  <c r="AJ890" i="1"/>
  <c r="AI890" i="1"/>
  <c r="AH890" i="1"/>
  <c r="AG890" i="1"/>
  <c r="AF890" i="1"/>
  <c r="AE890" i="1"/>
  <c r="AD890" i="1"/>
  <c r="AC890" i="1"/>
  <c r="AL889" i="1"/>
  <c r="AJ889" i="1"/>
  <c r="AI889" i="1"/>
  <c r="AH889" i="1"/>
  <c r="AG889" i="1"/>
  <c r="AF889" i="1"/>
  <c r="AE889" i="1"/>
  <c r="AD889" i="1"/>
  <c r="AC889" i="1"/>
  <c r="AL888" i="1"/>
  <c r="AJ888" i="1"/>
  <c r="AI888" i="1"/>
  <c r="AH888" i="1"/>
  <c r="AG888" i="1"/>
  <c r="AF888" i="1"/>
  <c r="AE888" i="1"/>
  <c r="AD888" i="1"/>
  <c r="AC888" i="1"/>
  <c r="AL887" i="1"/>
  <c r="AJ887" i="1"/>
  <c r="AI887" i="1"/>
  <c r="AH887" i="1"/>
  <c r="AG887" i="1"/>
  <c r="AF887" i="1"/>
  <c r="AE887" i="1"/>
  <c r="AD887" i="1"/>
  <c r="AC887" i="1"/>
  <c r="AL886" i="1"/>
  <c r="AJ886" i="1"/>
  <c r="AI886" i="1"/>
  <c r="AH886" i="1"/>
  <c r="AG886" i="1"/>
  <c r="AF886" i="1"/>
  <c r="AE886" i="1"/>
  <c r="AD886" i="1"/>
  <c r="AC886" i="1"/>
  <c r="AL885" i="1"/>
  <c r="AJ885" i="1"/>
  <c r="AI885" i="1"/>
  <c r="AH885" i="1"/>
  <c r="AG885" i="1"/>
  <c r="AF885" i="1"/>
  <c r="AE885" i="1"/>
  <c r="AD885" i="1"/>
  <c r="AC885" i="1"/>
  <c r="AL884" i="1"/>
  <c r="AJ884" i="1"/>
  <c r="AI884" i="1"/>
  <c r="AH884" i="1"/>
  <c r="AG884" i="1"/>
  <c r="AF884" i="1"/>
  <c r="AE884" i="1"/>
  <c r="AD884" i="1"/>
  <c r="AC884" i="1"/>
  <c r="AL883" i="1"/>
  <c r="AJ883" i="1"/>
  <c r="AI883" i="1"/>
  <c r="AH883" i="1"/>
  <c r="AG883" i="1"/>
  <c r="AF883" i="1"/>
  <c r="AE883" i="1"/>
  <c r="AD883" i="1"/>
  <c r="AC883" i="1"/>
  <c r="AL882" i="1"/>
  <c r="AJ882" i="1"/>
  <c r="AI882" i="1"/>
  <c r="AH882" i="1"/>
  <c r="AG882" i="1"/>
  <c r="AF882" i="1"/>
  <c r="AE882" i="1"/>
  <c r="AD882" i="1"/>
  <c r="AC882" i="1"/>
  <c r="AL881" i="1"/>
  <c r="AJ881" i="1"/>
  <c r="AI881" i="1"/>
  <c r="AH881" i="1"/>
  <c r="AG881" i="1"/>
  <c r="AF881" i="1"/>
  <c r="AE881" i="1"/>
  <c r="AD881" i="1"/>
  <c r="AC881" i="1"/>
  <c r="AL880" i="1"/>
  <c r="AJ880" i="1"/>
  <c r="AI880" i="1"/>
  <c r="AH880" i="1"/>
  <c r="AG880" i="1"/>
  <c r="AF880" i="1"/>
  <c r="AE880" i="1"/>
  <c r="AD880" i="1"/>
  <c r="AC880" i="1"/>
  <c r="AL879" i="1"/>
  <c r="AJ879" i="1"/>
  <c r="AI879" i="1"/>
  <c r="AH879" i="1"/>
  <c r="AG879" i="1"/>
  <c r="AF879" i="1"/>
  <c r="AE879" i="1"/>
  <c r="AD879" i="1"/>
  <c r="AC879" i="1"/>
  <c r="AL878" i="1"/>
  <c r="AJ878" i="1"/>
  <c r="AI878" i="1"/>
  <c r="AH878" i="1"/>
  <c r="AG878" i="1"/>
  <c r="AF878" i="1"/>
  <c r="AE878" i="1"/>
  <c r="AD878" i="1"/>
  <c r="AC878" i="1"/>
  <c r="AL877" i="1"/>
  <c r="AJ877" i="1"/>
  <c r="AI877" i="1"/>
  <c r="AH877" i="1"/>
  <c r="AG877" i="1"/>
  <c r="AF877" i="1"/>
  <c r="AE877" i="1"/>
  <c r="AD877" i="1"/>
  <c r="AC877" i="1"/>
  <c r="AL876" i="1"/>
  <c r="AJ876" i="1"/>
  <c r="AI876" i="1"/>
  <c r="AH876" i="1"/>
  <c r="AG876" i="1"/>
  <c r="AF876" i="1"/>
  <c r="AE876" i="1"/>
  <c r="AD876" i="1"/>
  <c r="AC876" i="1"/>
  <c r="AL875" i="1"/>
  <c r="AJ875" i="1"/>
  <c r="AI875" i="1"/>
  <c r="AH875" i="1"/>
  <c r="AG875" i="1"/>
  <c r="AF875" i="1"/>
  <c r="AE875" i="1"/>
  <c r="AD875" i="1"/>
  <c r="AC875" i="1"/>
  <c r="AL874" i="1"/>
  <c r="AJ874" i="1"/>
  <c r="AI874" i="1"/>
  <c r="AH874" i="1"/>
  <c r="AG874" i="1"/>
  <c r="AF874" i="1"/>
  <c r="AE874" i="1"/>
  <c r="AD874" i="1"/>
  <c r="AC874" i="1"/>
  <c r="AL873" i="1"/>
  <c r="AJ873" i="1"/>
  <c r="AI873" i="1"/>
  <c r="AH873" i="1"/>
  <c r="AG873" i="1"/>
  <c r="AF873" i="1"/>
  <c r="AE873" i="1"/>
  <c r="AD873" i="1"/>
  <c r="AC873" i="1"/>
  <c r="AL872" i="1"/>
  <c r="AJ872" i="1"/>
  <c r="AI872" i="1"/>
  <c r="AH872" i="1"/>
  <c r="AG872" i="1"/>
  <c r="AF872" i="1"/>
  <c r="AE872" i="1"/>
  <c r="AD872" i="1"/>
  <c r="AC872" i="1"/>
  <c r="AL871" i="1"/>
  <c r="AJ871" i="1"/>
  <c r="AI871" i="1"/>
  <c r="AH871" i="1"/>
  <c r="AG871" i="1"/>
  <c r="AF871" i="1"/>
  <c r="AE871" i="1"/>
  <c r="AD871" i="1"/>
  <c r="AC871" i="1"/>
  <c r="AL870" i="1"/>
  <c r="AJ870" i="1"/>
  <c r="AI870" i="1"/>
  <c r="AH870" i="1"/>
  <c r="AG870" i="1"/>
  <c r="AF870" i="1"/>
  <c r="AE870" i="1"/>
  <c r="AD870" i="1"/>
  <c r="AC870" i="1"/>
  <c r="AL869" i="1"/>
  <c r="AJ869" i="1"/>
  <c r="AI869" i="1"/>
  <c r="AH869" i="1"/>
  <c r="AG869" i="1"/>
  <c r="AF869" i="1"/>
  <c r="AE869" i="1"/>
  <c r="AD869" i="1"/>
  <c r="AC869" i="1"/>
  <c r="AL868" i="1"/>
  <c r="AJ868" i="1"/>
  <c r="AI868" i="1"/>
  <c r="AH868" i="1"/>
  <c r="AG868" i="1"/>
  <c r="AF868" i="1"/>
  <c r="AE868" i="1"/>
  <c r="AD868" i="1"/>
  <c r="AC868" i="1"/>
  <c r="AL867" i="1"/>
  <c r="AJ867" i="1"/>
  <c r="AI867" i="1"/>
  <c r="AH867" i="1"/>
  <c r="AG867" i="1"/>
  <c r="AF867" i="1"/>
  <c r="AE867" i="1"/>
  <c r="AD867" i="1"/>
  <c r="AC867" i="1"/>
  <c r="AL866" i="1"/>
  <c r="AJ866" i="1"/>
  <c r="AI866" i="1"/>
  <c r="AH866" i="1"/>
  <c r="AG866" i="1"/>
  <c r="AF866" i="1"/>
  <c r="AE866" i="1"/>
  <c r="AD866" i="1"/>
  <c r="AC866" i="1"/>
  <c r="AL865" i="1"/>
  <c r="AJ865" i="1"/>
  <c r="AI865" i="1"/>
  <c r="AH865" i="1"/>
  <c r="AG865" i="1"/>
  <c r="AF865" i="1"/>
  <c r="AE865" i="1"/>
  <c r="AD865" i="1"/>
  <c r="AC865" i="1"/>
  <c r="AJ544" i="1"/>
  <c r="AD544" i="1"/>
  <c r="AI543" i="1"/>
  <c r="AG543" i="1"/>
  <c r="AE543" i="1"/>
  <c r="AC543" i="1"/>
  <c r="AJ542" i="1"/>
  <c r="AI542" i="1"/>
  <c r="AG542" i="1"/>
  <c r="AE542" i="1"/>
  <c r="AD542" i="1"/>
  <c r="AL541" i="1"/>
  <c r="AJ541" i="1"/>
  <c r="AI541" i="1"/>
  <c r="AG541" i="1"/>
  <c r="AF541" i="1"/>
  <c r="AD541" i="1"/>
  <c r="AL540" i="1"/>
  <c r="AH540" i="1"/>
  <c r="AF540" i="1"/>
  <c r="AD540" i="1"/>
  <c r="AL539" i="1"/>
  <c r="AJ539" i="1"/>
  <c r="AI539" i="1"/>
  <c r="AG539" i="1"/>
  <c r="AE539" i="1"/>
  <c r="AD539" i="1"/>
  <c r="AC539" i="1"/>
  <c r="AJ538" i="1"/>
  <c r="AH538" i="1"/>
  <c r="AF538" i="1"/>
  <c r="AD538" i="1"/>
  <c r="AL537" i="1"/>
  <c r="AI537" i="1"/>
  <c r="AL536" i="1"/>
  <c r="AJ536" i="1"/>
  <c r="AI536" i="1"/>
  <c r="AH536" i="1"/>
  <c r="AF536" i="1"/>
  <c r="AD536" i="1"/>
  <c r="AL535" i="1"/>
  <c r="AI535" i="1"/>
  <c r="AG535" i="1"/>
  <c r="AE535" i="1"/>
  <c r="AC535" i="1"/>
  <c r="AH534" i="1"/>
  <c r="AF534" i="1"/>
  <c r="AD534" i="1"/>
  <c r="AL533" i="1"/>
  <c r="AI533" i="1"/>
  <c r="AH533" i="1"/>
  <c r="AF533" i="1"/>
  <c r="AC533" i="1"/>
  <c r="AL532" i="1"/>
  <c r="AI532" i="1"/>
  <c r="AG532" i="1"/>
  <c r="AE532" i="1"/>
  <c r="AD532" i="1"/>
  <c r="AC532" i="1"/>
  <c r="AJ531" i="1"/>
  <c r="AI531" i="1"/>
  <c r="AG531" i="1"/>
  <c r="AC531" i="1"/>
  <c r="AH530" i="1"/>
  <c r="AF530" i="1"/>
  <c r="AD530" i="1"/>
  <c r="AL529" i="1"/>
  <c r="AI529" i="1"/>
  <c r="AH529" i="1"/>
  <c r="AF529" i="1"/>
  <c r="AD529" i="1"/>
  <c r="AL528" i="1"/>
  <c r="AH528" i="1"/>
  <c r="AF528" i="1"/>
  <c r="AC528" i="1"/>
  <c r="AI527" i="1"/>
  <c r="AG527" i="1"/>
  <c r="AF527" i="1"/>
  <c r="AD527" i="1"/>
  <c r="AL526" i="1"/>
  <c r="AJ526" i="1"/>
  <c r="AI526" i="1"/>
  <c r="AH526" i="1"/>
  <c r="AF526" i="1"/>
  <c r="AD526" i="1"/>
  <c r="AL525" i="1"/>
  <c r="AI525" i="1"/>
  <c r="AF525" i="1"/>
  <c r="AD525" i="1"/>
  <c r="AL524" i="1"/>
  <c r="AI524" i="1"/>
  <c r="AG524" i="1"/>
  <c r="AD524" i="1"/>
  <c r="AJ523" i="1"/>
  <c r="AH523" i="1"/>
  <c r="AF523" i="1"/>
  <c r="AD523" i="1"/>
  <c r="AL522" i="1"/>
  <c r="AJ522" i="1"/>
  <c r="AI522" i="1"/>
  <c r="AG522" i="1"/>
  <c r="AD522" i="1"/>
  <c r="AL521" i="1"/>
  <c r="AI521" i="1"/>
  <c r="AG521" i="1"/>
  <c r="AF521" i="1"/>
  <c r="AD521" i="1"/>
  <c r="AL520" i="1"/>
  <c r="AJ520" i="1"/>
  <c r="AI520" i="1"/>
  <c r="AG520" i="1"/>
  <c r="AE520" i="1"/>
  <c r="AC520" i="1"/>
  <c r="AL519" i="1"/>
  <c r="AI519" i="1"/>
  <c r="AG519" i="1"/>
  <c r="AF519" i="1"/>
  <c r="AE519" i="1"/>
  <c r="AC519" i="1"/>
  <c r="AL518" i="1"/>
  <c r="AH518" i="1"/>
  <c r="AF518" i="1"/>
  <c r="AD518" i="1"/>
  <c r="AH517" i="1"/>
  <c r="AE517" i="1"/>
  <c r="AC517" i="1"/>
  <c r="AI516" i="1"/>
  <c r="AG516" i="1"/>
  <c r="AF516" i="1"/>
  <c r="AD516" i="1"/>
  <c r="AL515" i="1"/>
  <c r="AI515" i="1"/>
  <c r="AG515" i="1"/>
  <c r="AE515" i="1"/>
  <c r="AC515" i="1"/>
  <c r="AJ514" i="1"/>
  <c r="AH514" i="1"/>
  <c r="AG514" i="1"/>
  <c r="AE514" i="1"/>
  <c r="AC514" i="1"/>
  <c r="AJ513" i="1"/>
  <c r="AH513" i="1"/>
  <c r="AG513" i="1"/>
  <c r="AD513" i="1"/>
  <c r="AL512" i="1"/>
  <c r="AI512" i="1"/>
  <c r="AG512" i="1"/>
  <c r="AD512" i="1"/>
  <c r="AL511" i="1"/>
  <c r="AJ511" i="1"/>
  <c r="AH511" i="1"/>
  <c r="AG511" i="1"/>
  <c r="AE511" i="1"/>
  <c r="AC511" i="1"/>
  <c r="AL510" i="1"/>
  <c r="AJ510" i="1"/>
  <c r="AI510" i="1"/>
  <c r="AH510" i="1"/>
  <c r="AG510" i="1"/>
  <c r="AF510" i="1"/>
  <c r="AE510" i="1"/>
  <c r="AD510" i="1"/>
  <c r="AC510" i="1"/>
  <c r="AL509" i="1"/>
  <c r="AJ509" i="1"/>
  <c r="AI509" i="1"/>
  <c r="AH509" i="1"/>
  <c r="AG509" i="1"/>
  <c r="AF509" i="1"/>
  <c r="AE509" i="1"/>
  <c r="AD509" i="1"/>
  <c r="AC509" i="1"/>
  <c r="AL508" i="1"/>
  <c r="AJ508" i="1"/>
  <c r="AI508" i="1"/>
  <c r="AG508" i="1"/>
  <c r="AE508" i="1"/>
  <c r="AD508" i="1"/>
  <c r="AL507" i="1"/>
  <c r="AJ507" i="1"/>
  <c r="AH507" i="1"/>
  <c r="AG507" i="1"/>
  <c r="AE507" i="1"/>
  <c r="AJ506" i="1"/>
  <c r="AH506" i="1"/>
  <c r="AE506" i="1"/>
  <c r="AC506" i="1"/>
  <c r="AH505" i="1"/>
  <c r="AF505" i="1"/>
  <c r="AD505" i="1"/>
  <c r="AL504" i="1"/>
  <c r="AJ504" i="1"/>
  <c r="AH504" i="1"/>
  <c r="AF504" i="1"/>
  <c r="AE504" i="1"/>
  <c r="AC504" i="1"/>
  <c r="AJ503" i="1"/>
  <c r="AH503" i="1"/>
  <c r="AE503" i="1"/>
  <c r="AC503" i="1"/>
  <c r="AL502" i="1"/>
  <c r="AJ502" i="1"/>
  <c r="AI502" i="1"/>
  <c r="AG502" i="1"/>
  <c r="AE502" i="1"/>
  <c r="AD502" i="1"/>
  <c r="AL501" i="1"/>
  <c r="AJ501" i="1"/>
  <c r="AI501" i="1"/>
  <c r="AH501" i="1"/>
  <c r="AG501" i="1"/>
  <c r="AE501" i="1"/>
  <c r="AC501" i="1"/>
  <c r="AJ500" i="1"/>
  <c r="AH500" i="1"/>
  <c r="AF500" i="1"/>
  <c r="AD500" i="1"/>
  <c r="AL499" i="1"/>
  <c r="AI499" i="1"/>
  <c r="AH499" i="1"/>
  <c r="AF499" i="1"/>
  <c r="AD499" i="1"/>
  <c r="AL498" i="1"/>
  <c r="AI498" i="1"/>
  <c r="AH498" i="1"/>
  <c r="AF498" i="1"/>
  <c r="AC498" i="1"/>
  <c r="AJ497" i="1"/>
  <c r="AG497" i="1"/>
  <c r="AF497" i="1"/>
  <c r="AD497" i="1"/>
  <c r="AJ496" i="1"/>
  <c r="AG496" i="1"/>
  <c r="AE496" i="1"/>
  <c r="AC496" i="1"/>
  <c r="AJ495" i="1"/>
  <c r="AH495" i="1"/>
  <c r="AF495" i="1"/>
  <c r="AD495" i="1"/>
  <c r="AL494" i="1"/>
  <c r="AJ494" i="1"/>
  <c r="AI494" i="1"/>
  <c r="AG494" i="1"/>
  <c r="AF494" i="1"/>
  <c r="AD494" i="1"/>
  <c r="AL493" i="1"/>
  <c r="AJ493" i="1"/>
  <c r="AH493" i="1"/>
  <c r="AG493" i="1"/>
  <c r="AE493" i="1"/>
  <c r="AC493" i="1"/>
  <c r="AJ492" i="1"/>
  <c r="AH492" i="1"/>
  <c r="AF492" i="1"/>
  <c r="AE492" i="1"/>
  <c r="AC492" i="1"/>
  <c r="AJ491" i="1"/>
  <c r="AH491" i="1"/>
  <c r="AF491" i="1"/>
  <c r="AE491" i="1"/>
  <c r="AC491" i="1"/>
  <c r="AJ490" i="1"/>
  <c r="AI490" i="1"/>
  <c r="AG490" i="1"/>
  <c r="AE490" i="1"/>
  <c r="AC490" i="1"/>
  <c r="AL489" i="1"/>
  <c r="AI489" i="1"/>
  <c r="AH489" i="1"/>
  <c r="AD489" i="1"/>
  <c r="AJ488" i="1"/>
  <c r="AH488" i="1"/>
  <c r="AF488" i="1"/>
  <c r="AD488" i="1"/>
  <c r="AJ487" i="1"/>
  <c r="AH487" i="1"/>
  <c r="AF487" i="1"/>
  <c r="AC487" i="1"/>
  <c r="AH486" i="1"/>
  <c r="AF486" i="1"/>
  <c r="AD486" i="1"/>
  <c r="AC486" i="1"/>
  <c r="AJ485" i="1"/>
  <c r="AI485" i="1"/>
  <c r="AH485" i="1"/>
  <c r="AF485" i="1"/>
  <c r="AD485" i="1"/>
  <c r="AL484" i="1"/>
  <c r="AI484" i="1"/>
  <c r="AH484" i="1"/>
  <c r="AF484" i="1"/>
  <c r="AD484" i="1"/>
  <c r="AC484" i="1"/>
  <c r="AJ483" i="1"/>
  <c r="AH483" i="1"/>
  <c r="AF483" i="1"/>
  <c r="AD483" i="1"/>
  <c r="AJ482" i="1"/>
  <c r="AH482" i="1"/>
  <c r="AF482" i="1"/>
  <c r="AD482" i="1"/>
  <c r="AL481" i="1"/>
  <c r="AJ481" i="1"/>
  <c r="AH481" i="1"/>
  <c r="AF481" i="1"/>
  <c r="AD481" i="1"/>
  <c r="AJ480" i="1"/>
  <c r="AH480" i="1"/>
  <c r="AF480" i="1"/>
  <c r="AD480" i="1"/>
  <c r="AC480" i="1"/>
  <c r="AI479" i="1"/>
  <c r="AF479" i="1"/>
  <c r="AE479" i="1"/>
  <c r="AC479" i="1"/>
  <c r="AJ478" i="1"/>
  <c r="AH478" i="1"/>
  <c r="AF478" i="1"/>
  <c r="AD478" i="1"/>
  <c r="AL477" i="1"/>
  <c r="AI477" i="1"/>
  <c r="AG477" i="1"/>
  <c r="AE477" i="1"/>
  <c r="AC477" i="1"/>
  <c r="AI476" i="1"/>
  <c r="AG476" i="1"/>
  <c r="AE476" i="1"/>
  <c r="AL475" i="1"/>
  <c r="AI475" i="1"/>
  <c r="AG475" i="1"/>
  <c r="AE475" i="1"/>
  <c r="AC475" i="1"/>
  <c r="AJ474" i="1"/>
  <c r="AI474" i="1"/>
  <c r="AG474" i="1"/>
  <c r="AD474" i="1"/>
  <c r="AG472" i="1"/>
  <c r="AD472" i="1"/>
  <c r="AC472" i="1"/>
  <c r="AL471" i="1"/>
  <c r="AJ471" i="1"/>
  <c r="AI471" i="1"/>
  <c r="AG471" i="1"/>
  <c r="AE471" i="1"/>
  <c r="AC471" i="1"/>
  <c r="AJ470" i="1"/>
  <c r="AH470" i="1"/>
  <c r="AF470" i="1"/>
  <c r="AD470" i="1"/>
  <c r="AJ469" i="1"/>
  <c r="AH469" i="1"/>
  <c r="AF469" i="1"/>
  <c r="AD469" i="1"/>
  <c r="AC469" i="1"/>
  <c r="AJ468" i="1"/>
  <c r="AG468" i="1"/>
  <c r="AE468" i="1"/>
  <c r="AC468" i="1"/>
  <c r="AL467" i="1"/>
  <c r="AI467" i="1"/>
  <c r="AG467" i="1"/>
  <c r="AE467" i="1"/>
  <c r="AC467" i="1"/>
  <c r="AL466" i="1"/>
  <c r="AI466" i="1"/>
  <c r="AH466" i="1"/>
  <c r="AF466" i="1"/>
  <c r="AD466" i="1"/>
  <c r="AL465" i="1"/>
  <c r="AI465" i="1"/>
  <c r="AG465" i="1"/>
  <c r="AF465" i="1"/>
  <c r="AD465" i="1"/>
  <c r="AL464" i="1"/>
  <c r="AI464" i="1"/>
  <c r="AG464" i="1"/>
  <c r="AE464" i="1"/>
  <c r="AC464" i="1"/>
  <c r="AJ463" i="1"/>
  <c r="AH463" i="1"/>
  <c r="AF463" i="1"/>
  <c r="AE463" i="1"/>
  <c r="AC463" i="1"/>
  <c r="AJ462" i="1"/>
  <c r="AH462" i="1"/>
  <c r="AF462" i="1"/>
  <c r="AD462" i="1"/>
  <c r="AL461" i="1"/>
  <c r="AJ461" i="1"/>
  <c r="AI461" i="1"/>
  <c r="AG461" i="1"/>
  <c r="AE461" i="1"/>
  <c r="AC461" i="1"/>
  <c r="AI460" i="1"/>
  <c r="AF460" i="1"/>
  <c r="AE460" i="1"/>
  <c r="AC460" i="1"/>
  <c r="AJ459" i="1"/>
  <c r="AF459" i="1"/>
  <c r="AD459" i="1"/>
  <c r="AL458" i="1"/>
  <c r="AI458" i="1"/>
  <c r="AG458" i="1"/>
  <c r="AE458" i="1"/>
  <c r="AC458" i="1"/>
  <c r="AH457" i="1"/>
  <c r="AF457" i="1"/>
  <c r="AC457" i="1"/>
  <c r="AJ456" i="1"/>
  <c r="AH456" i="1"/>
  <c r="AF456" i="1"/>
  <c r="AD456" i="1"/>
  <c r="AL455" i="1"/>
  <c r="AI455" i="1"/>
  <c r="AG455" i="1"/>
  <c r="AD455" i="1"/>
  <c r="AL454" i="1"/>
  <c r="AI454" i="1"/>
  <c r="AF454" i="1"/>
  <c r="AD454" i="1"/>
  <c r="AL453" i="1"/>
  <c r="AI453" i="1"/>
  <c r="AF453" i="1"/>
  <c r="AD453" i="1"/>
  <c r="AL452" i="1"/>
  <c r="AI452" i="1"/>
  <c r="AH452" i="1"/>
  <c r="AF452" i="1"/>
  <c r="AD452" i="1"/>
  <c r="AL451" i="1"/>
  <c r="AI451" i="1"/>
  <c r="AH451" i="1"/>
  <c r="AF451" i="1"/>
  <c r="AE451" i="1"/>
  <c r="AC451" i="1"/>
  <c r="AL450" i="1"/>
  <c r="AI450" i="1"/>
  <c r="AG450" i="1"/>
  <c r="AE450" i="1"/>
  <c r="AC450" i="1"/>
  <c r="AH449" i="1"/>
  <c r="AF449" i="1"/>
  <c r="AD449" i="1"/>
  <c r="AJ448" i="1"/>
  <c r="AI448" i="1"/>
  <c r="AG448" i="1"/>
  <c r="AE448" i="1"/>
  <c r="AC448" i="1"/>
  <c r="AH447" i="1"/>
  <c r="AF447" i="1"/>
  <c r="AD447" i="1"/>
  <c r="AI446" i="1"/>
  <c r="AG446" i="1"/>
  <c r="AE446" i="1"/>
  <c r="AD446" i="1"/>
  <c r="AL445" i="1"/>
  <c r="AJ445" i="1"/>
  <c r="AI445" i="1"/>
  <c r="AG445" i="1"/>
  <c r="AE445" i="1"/>
  <c r="AC445" i="1"/>
  <c r="AH444" i="1"/>
  <c r="AF444" i="1"/>
  <c r="AD444" i="1"/>
  <c r="AH443" i="1"/>
  <c r="AE443" i="1"/>
  <c r="AD443" i="1"/>
  <c r="AI442" i="1"/>
  <c r="AH442" i="1"/>
  <c r="AF442" i="1"/>
  <c r="AD442" i="1"/>
  <c r="AL441" i="1"/>
  <c r="AJ441" i="1"/>
  <c r="AI441" i="1"/>
  <c r="AG441" i="1"/>
  <c r="AE441" i="1"/>
  <c r="AC441" i="1"/>
  <c r="AJ440" i="1"/>
  <c r="AH440" i="1"/>
  <c r="AF440" i="1"/>
  <c r="AD440" i="1"/>
  <c r="AL439" i="1"/>
  <c r="AJ439" i="1"/>
  <c r="AI439" i="1"/>
  <c r="AG439" i="1"/>
  <c r="AE439" i="1"/>
  <c r="AC439" i="1"/>
  <c r="AI438" i="1"/>
  <c r="AG438" i="1"/>
  <c r="AE438" i="1"/>
  <c r="AC438" i="1"/>
  <c r="AJ437" i="1"/>
  <c r="AL436" i="1"/>
  <c r="AJ436" i="1"/>
  <c r="AI436" i="1"/>
  <c r="AG436" i="1"/>
  <c r="AE436" i="1"/>
  <c r="AC436" i="1"/>
  <c r="AH435" i="1"/>
  <c r="AF435" i="1"/>
  <c r="AD435" i="1"/>
  <c r="AL434" i="1"/>
  <c r="AH434" i="1"/>
  <c r="AG434" i="1"/>
  <c r="AE434" i="1"/>
  <c r="AC434" i="1"/>
  <c r="AJ433" i="1"/>
  <c r="AH433" i="1"/>
  <c r="AF433" i="1"/>
  <c r="AD433" i="1"/>
  <c r="AL432" i="1"/>
  <c r="AI432" i="1"/>
  <c r="AG432" i="1"/>
  <c r="AE432" i="1"/>
  <c r="AC432" i="1"/>
  <c r="AJ431" i="1"/>
  <c r="AG431" i="1"/>
  <c r="AE431" i="1"/>
  <c r="AC431" i="1"/>
  <c r="AJ430" i="1"/>
  <c r="AG430" i="1"/>
  <c r="AE430" i="1"/>
  <c r="AC430" i="1"/>
  <c r="AL429" i="1"/>
  <c r="AJ429" i="1"/>
  <c r="AI429" i="1"/>
  <c r="AH429" i="1"/>
  <c r="AG429" i="1"/>
  <c r="AF429" i="1"/>
  <c r="AE429" i="1"/>
  <c r="AD429" i="1"/>
  <c r="AC429" i="1"/>
  <c r="AL428" i="1"/>
  <c r="AJ428" i="1"/>
  <c r="AI428" i="1"/>
  <c r="AH428" i="1"/>
  <c r="AG428" i="1"/>
  <c r="AF428" i="1"/>
  <c r="AE428" i="1"/>
  <c r="AD428" i="1"/>
  <c r="AC428" i="1"/>
  <c r="AL427" i="1"/>
  <c r="AJ427" i="1"/>
  <c r="AI427" i="1"/>
  <c r="AH427" i="1"/>
  <c r="AG427" i="1"/>
  <c r="AF427" i="1"/>
  <c r="AE427" i="1"/>
  <c r="AD427" i="1"/>
  <c r="AC427" i="1"/>
  <c r="AL426" i="1"/>
  <c r="AJ426" i="1"/>
  <c r="AI426" i="1"/>
  <c r="AH426" i="1"/>
  <c r="AG426" i="1"/>
  <c r="AF426" i="1"/>
  <c r="AE426" i="1"/>
  <c r="AD426" i="1"/>
  <c r="AC426" i="1"/>
  <c r="AL425" i="1"/>
  <c r="AJ425" i="1"/>
  <c r="AI425" i="1"/>
  <c r="AH425" i="1"/>
  <c r="AG425" i="1"/>
  <c r="AF425" i="1"/>
  <c r="AE425" i="1"/>
  <c r="AD425" i="1"/>
  <c r="AC425" i="1"/>
  <c r="AL424" i="1"/>
  <c r="AJ424" i="1"/>
  <c r="AH424" i="1"/>
  <c r="AF424" i="1"/>
  <c r="AD424" i="1"/>
  <c r="AL423" i="1"/>
  <c r="AJ423" i="1"/>
  <c r="AI423" i="1"/>
  <c r="AG423" i="1"/>
  <c r="AE423" i="1"/>
  <c r="AC423" i="1"/>
  <c r="AI422" i="1"/>
  <c r="AG422" i="1"/>
  <c r="AE422" i="1"/>
  <c r="AL421" i="1"/>
  <c r="AI421" i="1"/>
  <c r="AG421" i="1"/>
  <c r="AE421" i="1"/>
  <c r="AC421" i="1"/>
  <c r="AJ420" i="1"/>
  <c r="AH420" i="1"/>
  <c r="AF420" i="1"/>
  <c r="AD420" i="1"/>
  <c r="AL419" i="1"/>
  <c r="AI419" i="1"/>
  <c r="AH419" i="1"/>
  <c r="AF419" i="1"/>
  <c r="AD419" i="1"/>
  <c r="AJ418" i="1"/>
  <c r="AH418" i="1"/>
  <c r="AF418" i="1"/>
  <c r="AE418" i="1"/>
  <c r="AC418" i="1"/>
  <c r="AL417" i="1"/>
  <c r="AI417" i="1"/>
  <c r="AG417" i="1"/>
  <c r="AE417" i="1"/>
  <c r="AC417" i="1"/>
  <c r="AI416" i="1"/>
  <c r="AG416" i="1"/>
  <c r="AE416" i="1"/>
  <c r="AC416" i="1"/>
  <c r="AJ415" i="1"/>
  <c r="AH415" i="1"/>
  <c r="AF415" i="1"/>
  <c r="AE415" i="1"/>
  <c r="AC415" i="1"/>
  <c r="AH414" i="1"/>
  <c r="AF414" i="1"/>
  <c r="AD414" i="1"/>
  <c r="AL413" i="1"/>
  <c r="AI413" i="1"/>
  <c r="AH413" i="1"/>
  <c r="AF413" i="1"/>
  <c r="AD413" i="1"/>
  <c r="AL412" i="1"/>
  <c r="AI412" i="1"/>
  <c r="AH412" i="1"/>
  <c r="AF412" i="1"/>
  <c r="AE412" i="1"/>
  <c r="AC412" i="1"/>
  <c r="AJ411" i="1"/>
  <c r="AH411" i="1"/>
  <c r="AG411" i="1"/>
  <c r="AE411" i="1"/>
  <c r="AC411" i="1"/>
  <c r="AJ410" i="1"/>
  <c r="AH410" i="1"/>
  <c r="AG410" i="1"/>
  <c r="AE410" i="1"/>
  <c r="AC410" i="1"/>
  <c r="AJ409" i="1"/>
  <c r="AH409" i="1"/>
  <c r="AG409" i="1"/>
  <c r="AE409" i="1"/>
  <c r="AC409" i="1"/>
  <c r="AF408" i="1"/>
  <c r="AC408" i="1"/>
  <c r="AJ407" i="1"/>
  <c r="AL406" i="1"/>
  <c r="AJ406" i="1"/>
  <c r="AI406" i="1"/>
  <c r="AG406" i="1"/>
  <c r="AF406" i="1"/>
  <c r="AD406" i="1"/>
  <c r="AL405" i="1"/>
  <c r="AI405" i="1"/>
  <c r="AG405" i="1"/>
  <c r="AD405" i="1"/>
  <c r="AC405" i="1"/>
  <c r="AH404" i="1"/>
  <c r="AE404" i="1"/>
  <c r="AL403" i="1"/>
  <c r="AJ403" i="1"/>
  <c r="AH403" i="1"/>
  <c r="AF403" i="1"/>
  <c r="AD403" i="1"/>
  <c r="AC403" i="1"/>
  <c r="AH402" i="1"/>
  <c r="AF402" i="1"/>
  <c r="AD402" i="1"/>
  <c r="AI401" i="1"/>
  <c r="AF401" i="1"/>
  <c r="AE401" i="1"/>
  <c r="AC401" i="1"/>
  <c r="AJ400" i="1"/>
  <c r="AH400" i="1"/>
  <c r="AF400" i="1"/>
  <c r="AD400" i="1"/>
  <c r="AC400" i="1"/>
  <c r="AJ399" i="1"/>
  <c r="AI399" i="1"/>
  <c r="AG399" i="1"/>
  <c r="AE399" i="1"/>
  <c r="AC399" i="1"/>
  <c r="AH398" i="1"/>
  <c r="AE398" i="1"/>
  <c r="AC398" i="1"/>
  <c r="AI397" i="1"/>
  <c r="AG397" i="1"/>
  <c r="AD397" i="1"/>
  <c r="AL396" i="1"/>
  <c r="AJ396" i="1"/>
  <c r="AH396" i="1"/>
  <c r="AF396" i="1"/>
  <c r="AD396" i="1"/>
  <c r="AL395" i="1"/>
  <c r="AJ395" i="1"/>
  <c r="AH395" i="1"/>
  <c r="AG395" i="1"/>
  <c r="AE395" i="1"/>
  <c r="AD395" i="1"/>
  <c r="AL394" i="1"/>
  <c r="AJ394" i="1"/>
  <c r="AI394" i="1"/>
  <c r="AG394" i="1"/>
  <c r="AE394" i="1"/>
  <c r="AC394" i="1"/>
  <c r="AJ393" i="1"/>
  <c r="AG393" i="1"/>
  <c r="AF393" i="1"/>
  <c r="AD393" i="1"/>
  <c r="AL392" i="1"/>
  <c r="AJ392" i="1"/>
  <c r="AI392" i="1"/>
  <c r="AG392" i="1"/>
  <c r="AE392" i="1"/>
  <c r="AD392" i="1"/>
  <c r="AC392" i="1"/>
  <c r="AJ391" i="1"/>
  <c r="AG391" i="1"/>
  <c r="AE391" i="1"/>
  <c r="AC391" i="1"/>
  <c r="AI390" i="1"/>
  <c r="AG390" i="1"/>
  <c r="AE390" i="1"/>
  <c r="AC390" i="1"/>
  <c r="AH389" i="1"/>
  <c r="AF389" i="1"/>
  <c r="AD389" i="1"/>
  <c r="AL388" i="1"/>
  <c r="AI388" i="1"/>
  <c r="AG388" i="1"/>
  <c r="AE388" i="1"/>
  <c r="AC388" i="1"/>
  <c r="AL387" i="1"/>
  <c r="AI387" i="1"/>
  <c r="AG387" i="1"/>
  <c r="AF387" i="1"/>
  <c r="AD387" i="1"/>
  <c r="AL386" i="1"/>
  <c r="AI386" i="1"/>
  <c r="AG386" i="1"/>
  <c r="AE386" i="1"/>
  <c r="AC386" i="1"/>
  <c r="AJ385" i="1"/>
  <c r="AG385" i="1"/>
  <c r="AE385" i="1"/>
  <c r="AC385" i="1"/>
  <c r="AJ384" i="1"/>
  <c r="AG384" i="1"/>
  <c r="AE384" i="1"/>
  <c r="AL383" i="1"/>
  <c r="AI383" i="1"/>
  <c r="AG383" i="1"/>
  <c r="AE383" i="1"/>
  <c r="AL382" i="1"/>
  <c r="AI382" i="1"/>
  <c r="AG382" i="1"/>
  <c r="AE382" i="1"/>
  <c r="AC382" i="1"/>
  <c r="AH381" i="1"/>
  <c r="AF381" i="1"/>
  <c r="AD381" i="1"/>
  <c r="AL380" i="1"/>
  <c r="AI380" i="1"/>
  <c r="AG380" i="1"/>
  <c r="AE380" i="1"/>
  <c r="AC380" i="1"/>
  <c r="AH379" i="1"/>
  <c r="AF379" i="1"/>
  <c r="AD379" i="1"/>
  <c r="AL378" i="1"/>
  <c r="AI378" i="1"/>
  <c r="AG378" i="1"/>
  <c r="AE378" i="1"/>
  <c r="AD378" i="1"/>
  <c r="AC378" i="1"/>
  <c r="AL377" i="1"/>
  <c r="AI377" i="1"/>
  <c r="AG377" i="1"/>
  <c r="AE377" i="1"/>
  <c r="AD377" i="1"/>
  <c r="AL376" i="1"/>
  <c r="AI376" i="1"/>
  <c r="AH376" i="1"/>
  <c r="AF376" i="1"/>
  <c r="AD376" i="1"/>
  <c r="AL375" i="1"/>
  <c r="AI375" i="1"/>
  <c r="AF375" i="1"/>
  <c r="AD375" i="1"/>
  <c r="AL374" i="1"/>
  <c r="AI374" i="1"/>
  <c r="AG374" i="1"/>
  <c r="AE374" i="1"/>
  <c r="AC374" i="1"/>
  <c r="AJ373" i="1"/>
  <c r="AI373" i="1"/>
  <c r="AG373" i="1"/>
  <c r="AF373" i="1"/>
  <c r="AD373" i="1"/>
  <c r="AC373" i="1"/>
  <c r="AJ372" i="1"/>
  <c r="AG372" i="1"/>
  <c r="AE372" i="1"/>
  <c r="AC372" i="1"/>
  <c r="AJ371" i="1"/>
  <c r="AI371" i="1"/>
  <c r="AG371" i="1"/>
  <c r="AE371" i="1"/>
  <c r="AC371" i="1"/>
  <c r="AJ370" i="1"/>
  <c r="AG370" i="1"/>
  <c r="AE370" i="1"/>
  <c r="AC370" i="1"/>
  <c r="AL368" i="1"/>
  <c r="AH368" i="1"/>
  <c r="AF368" i="1"/>
  <c r="AD368" i="1"/>
  <c r="AL367" i="1"/>
  <c r="AI367" i="1"/>
  <c r="AF367" i="1"/>
  <c r="AD367" i="1"/>
  <c r="AL366" i="1"/>
  <c r="AI366" i="1"/>
  <c r="AG366" i="1"/>
  <c r="AE366" i="1"/>
  <c r="AC366" i="1"/>
  <c r="AH365" i="1"/>
  <c r="AF365" i="1"/>
  <c r="AD365" i="1"/>
  <c r="AL364" i="1"/>
  <c r="AI364" i="1"/>
  <c r="AG364" i="1"/>
  <c r="AE364" i="1"/>
  <c r="AC364" i="1"/>
  <c r="AJ363" i="1"/>
  <c r="AH363" i="1"/>
  <c r="AF363" i="1"/>
  <c r="AD363" i="1"/>
  <c r="AL362" i="1"/>
  <c r="AI362" i="1"/>
  <c r="AG362" i="1"/>
  <c r="AE362" i="1"/>
  <c r="AC362" i="1"/>
  <c r="AJ361" i="1"/>
  <c r="AH361" i="1"/>
  <c r="AF361" i="1"/>
  <c r="AC361" i="1"/>
  <c r="AI360" i="1"/>
  <c r="AG360" i="1"/>
  <c r="AF360" i="1"/>
  <c r="AD360" i="1"/>
  <c r="AL359" i="1"/>
  <c r="AJ358" i="1"/>
  <c r="AH358" i="1"/>
  <c r="AF358" i="1"/>
  <c r="AD358" i="1"/>
  <c r="AL357" i="1"/>
  <c r="AJ357" i="1"/>
  <c r="AH357" i="1"/>
  <c r="AF357" i="1"/>
  <c r="AD357" i="1"/>
  <c r="AL356" i="1"/>
  <c r="AI356" i="1"/>
  <c r="AH356" i="1"/>
  <c r="AE356" i="1"/>
  <c r="AC356" i="1"/>
  <c r="AJ355" i="1"/>
  <c r="AH355" i="1"/>
  <c r="AG355" i="1"/>
  <c r="AE355" i="1"/>
  <c r="AC355" i="1"/>
  <c r="AJ354" i="1"/>
  <c r="AH354" i="1"/>
  <c r="AF354" i="1"/>
  <c r="AD354" i="1"/>
  <c r="AL353" i="1"/>
  <c r="AJ353" i="1"/>
  <c r="AI353" i="1"/>
  <c r="AG353" i="1"/>
  <c r="AE353" i="1"/>
  <c r="AC353" i="1"/>
  <c r="AL352" i="1"/>
  <c r="AH352" i="1"/>
  <c r="AE352" i="1"/>
  <c r="AC352" i="1"/>
  <c r="AH351" i="1"/>
  <c r="AF351" i="1"/>
  <c r="AD351" i="1"/>
  <c r="AL350" i="1"/>
  <c r="AH350" i="1"/>
  <c r="AF350" i="1"/>
  <c r="AE350" i="1"/>
  <c r="AD350" i="1"/>
  <c r="AL349" i="1"/>
  <c r="AJ349" i="1"/>
  <c r="AI349" i="1"/>
  <c r="AH349" i="1"/>
  <c r="AG349" i="1"/>
  <c r="AF349" i="1"/>
  <c r="AE349" i="1"/>
  <c r="AC349" i="1"/>
  <c r="AJ348" i="1"/>
  <c r="AH348" i="1"/>
  <c r="AF348" i="1"/>
  <c r="AD348" i="1"/>
  <c r="AL347" i="1"/>
  <c r="AJ347" i="1"/>
  <c r="AH347" i="1"/>
  <c r="AG347" i="1"/>
  <c r="AE347" i="1"/>
  <c r="AC347" i="1"/>
  <c r="AJ346" i="1"/>
  <c r="AH346" i="1"/>
  <c r="AF346" i="1"/>
  <c r="AD346" i="1"/>
  <c r="AL345" i="1"/>
  <c r="AJ345" i="1"/>
  <c r="AH345" i="1"/>
  <c r="AF345" i="1"/>
  <c r="AD345" i="1"/>
  <c r="AL344" i="1"/>
  <c r="AI344" i="1"/>
  <c r="AH344" i="1"/>
  <c r="AF344" i="1"/>
  <c r="AD344" i="1"/>
  <c r="AL343" i="1"/>
  <c r="AI343" i="1"/>
  <c r="AG343" i="1"/>
  <c r="AE343" i="1"/>
  <c r="AC343" i="1"/>
  <c r="AH342" i="1"/>
  <c r="AF342" i="1"/>
  <c r="AD342" i="1"/>
  <c r="AC342" i="1"/>
  <c r="AJ341" i="1"/>
  <c r="AG341" i="1"/>
  <c r="AF341" i="1"/>
  <c r="AD341" i="1"/>
  <c r="AH340" i="1"/>
  <c r="AF340" i="1"/>
  <c r="AD340" i="1"/>
  <c r="AL339" i="1"/>
  <c r="AI339" i="1"/>
  <c r="AH339" i="1"/>
  <c r="AE339" i="1"/>
  <c r="AD339" i="1"/>
  <c r="AL338" i="1"/>
  <c r="AJ338" i="1"/>
  <c r="AI338" i="1"/>
  <c r="AH338" i="1"/>
  <c r="AF338" i="1"/>
  <c r="AD338" i="1"/>
  <c r="AL337" i="1"/>
  <c r="AI337" i="1"/>
  <c r="AH337" i="1"/>
  <c r="AF337" i="1"/>
  <c r="AD337" i="1"/>
  <c r="AL336" i="1"/>
  <c r="AJ336" i="1"/>
  <c r="AH336" i="1"/>
  <c r="AF336" i="1"/>
  <c r="AD317" i="1"/>
  <c r="AH316" i="1"/>
  <c r="AF316" i="1"/>
  <c r="AC316" i="1"/>
  <c r="AH315" i="1"/>
  <c r="AE315" i="1"/>
  <c r="AL314" i="1"/>
  <c r="AJ314" i="1"/>
  <c r="AI314" i="1"/>
  <c r="AG314" i="1"/>
  <c r="AF314" i="1"/>
  <c r="AD314" i="1"/>
  <c r="AL313" i="1"/>
  <c r="AJ313" i="1"/>
  <c r="AI313" i="1"/>
  <c r="AH313" i="1"/>
  <c r="AG313" i="1"/>
  <c r="AE313" i="1"/>
  <c r="AC313" i="1"/>
  <c r="AL312" i="1"/>
  <c r="AH312" i="1"/>
  <c r="AF312" i="1"/>
  <c r="AE312" i="1"/>
  <c r="AC312" i="1"/>
  <c r="AH311" i="1"/>
  <c r="AF311" i="1"/>
  <c r="AD311" i="1"/>
  <c r="AC311" i="1"/>
  <c r="AJ310" i="1"/>
  <c r="AH310" i="1"/>
  <c r="AF310" i="1"/>
  <c r="AD310" i="1"/>
  <c r="AJ309" i="1"/>
  <c r="AH309" i="1"/>
  <c r="AF309" i="1"/>
  <c r="AD309" i="1"/>
  <c r="AC309" i="1"/>
  <c r="AL308" i="1"/>
  <c r="AI308" i="1"/>
  <c r="AG308" i="1"/>
  <c r="AE308" i="1"/>
  <c r="AC308" i="1"/>
  <c r="AH307" i="1"/>
  <c r="AF307" i="1"/>
  <c r="AD307" i="1"/>
  <c r="AL306" i="1"/>
  <c r="AI306" i="1"/>
  <c r="AG306" i="1"/>
  <c r="AE306" i="1"/>
  <c r="AC306" i="1"/>
  <c r="AI305" i="1"/>
  <c r="AG305" i="1"/>
  <c r="AF305" i="1"/>
  <c r="AD305" i="1"/>
  <c r="AL304" i="1"/>
  <c r="AH304" i="1"/>
  <c r="AE304" i="1"/>
  <c r="AC304" i="1"/>
  <c r="AI303" i="1"/>
  <c r="AG303" i="1"/>
  <c r="AD303" i="1"/>
  <c r="AL302" i="1"/>
  <c r="AI302" i="1"/>
  <c r="AF302" i="1"/>
  <c r="AD302" i="1"/>
  <c r="AL301" i="1"/>
  <c r="AI301" i="1"/>
  <c r="AG301" i="1"/>
  <c r="AD301" i="1"/>
  <c r="AL300" i="1"/>
  <c r="AI300" i="1"/>
  <c r="AG300" i="1"/>
  <c r="AE300" i="1"/>
  <c r="AD300" i="1"/>
  <c r="AL299" i="1"/>
  <c r="AH299" i="1"/>
  <c r="AC299" i="1"/>
  <c r="AH298" i="1"/>
  <c r="AF298" i="1"/>
  <c r="AD298" i="1"/>
  <c r="AL297" i="1"/>
  <c r="AI297" i="1"/>
  <c r="AF297" i="1"/>
  <c r="AD297" i="1"/>
  <c r="AL296" i="1"/>
  <c r="AI296" i="1"/>
  <c r="AG296" i="1"/>
  <c r="AE296" i="1"/>
  <c r="AC296" i="1"/>
  <c r="AI295" i="1"/>
  <c r="AG295" i="1"/>
  <c r="AF295" i="1"/>
  <c r="AD295" i="1"/>
  <c r="AL294" i="1"/>
  <c r="AJ294" i="1"/>
  <c r="AH294" i="1"/>
  <c r="AF294" i="1"/>
  <c r="AD294" i="1"/>
  <c r="AL293" i="1"/>
  <c r="AI293" i="1"/>
  <c r="AG293" i="1"/>
  <c r="AF293" i="1"/>
  <c r="AC293" i="1"/>
  <c r="AH292" i="1"/>
  <c r="AF292" i="1"/>
  <c r="AC292" i="1"/>
  <c r="AH291" i="1"/>
  <c r="AG291" i="1"/>
  <c r="AE291" i="1"/>
  <c r="AC291" i="1"/>
  <c r="AL290" i="1"/>
  <c r="AI290" i="1"/>
  <c r="AG290" i="1"/>
  <c r="AE290" i="1"/>
  <c r="AC290" i="1"/>
  <c r="AI289" i="1"/>
  <c r="AG289" i="1"/>
  <c r="AE289" i="1"/>
  <c r="AJ288" i="1"/>
  <c r="AG288" i="1"/>
  <c r="AE288" i="1"/>
  <c r="AL287" i="1"/>
  <c r="AI287" i="1"/>
  <c r="AG287" i="1"/>
  <c r="AE287" i="1"/>
  <c r="AC287" i="1"/>
  <c r="AH286" i="1"/>
  <c r="AF286" i="1"/>
  <c r="AD286" i="1"/>
  <c r="AL285" i="1"/>
  <c r="AJ285" i="1"/>
  <c r="AI285" i="1"/>
  <c r="AG285" i="1"/>
  <c r="AE285" i="1"/>
  <c r="AC285" i="1"/>
  <c r="AL284" i="1"/>
  <c r="AI284" i="1"/>
  <c r="AF284" i="1"/>
  <c r="AC284" i="1"/>
  <c r="AL283" i="1"/>
  <c r="AI283" i="1"/>
  <c r="AG283" i="1"/>
  <c r="AE283" i="1"/>
  <c r="AC283" i="1"/>
  <c r="AJ282" i="1"/>
  <c r="AH282" i="1"/>
  <c r="AF282" i="1"/>
  <c r="AD282" i="1"/>
  <c r="AL281" i="1"/>
  <c r="AI281" i="1"/>
  <c r="AG281" i="1"/>
  <c r="AE281" i="1"/>
  <c r="AC281" i="1"/>
  <c r="AI280" i="1"/>
  <c r="AG280" i="1"/>
  <c r="AE280" i="1"/>
  <c r="AL279" i="1"/>
  <c r="AI279" i="1"/>
  <c r="AG279" i="1"/>
  <c r="AE279" i="1"/>
  <c r="AC279" i="1"/>
  <c r="AH278" i="1"/>
  <c r="AF278" i="1"/>
  <c r="AE278" i="1"/>
  <c r="AC278" i="1"/>
  <c r="AJ277" i="1"/>
  <c r="AH277" i="1"/>
  <c r="AG277" i="1"/>
  <c r="AE277" i="1"/>
  <c r="AC277" i="1"/>
  <c r="AG276" i="1"/>
  <c r="AE276" i="1"/>
  <c r="AC276" i="1"/>
  <c r="AI275" i="1"/>
  <c r="AG275" i="1"/>
  <c r="AE275" i="1"/>
  <c r="AL274" i="1"/>
  <c r="AJ274" i="1"/>
  <c r="AI274" i="1"/>
  <c r="AG274" i="1"/>
  <c r="AE274" i="1"/>
  <c r="AL273" i="1"/>
  <c r="AI273" i="1"/>
  <c r="AG273" i="1"/>
  <c r="AE273" i="1"/>
  <c r="AD273" i="1"/>
  <c r="AL272" i="1"/>
  <c r="AI272" i="1"/>
  <c r="AG272" i="1"/>
  <c r="AE272" i="1"/>
  <c r="AC272" i="1"/>
  <c r="AI271" i="1"/>
  <c r="AH271" i="1"/>
  <c r="AF271" i="1"/>
  <c r="AD271" i="1"/>
  <c r="AL270" i="1"/>
  <c r="AJ270" i="1"/>
  <c r="AI270" i="1"/>
  <c r="AG270" i="1"/>
  <c r="AD270" i="1"/>
  <c r="AL269" i="1"/>
  <c r="AI269" i="1"/>
  <c r="AG269" i="1"/>
  <c r="AE269" i="1"/>
  <c r="AC269" i="1"/>
  <c r="AI268" i="1"/>
  <c r="AG268" i="1"/>
  <c r="AE268" i="1"/>
  <c r="AL267" i="1"/>
  <c r="AI267" i="1"/>
  <c r="AG267" i="1"/>
  <c r="AE267" i="1"/>
  <c r="AL266" i="1"/>
  <c r="AH266" i="1"/>
  <c r="AE266" i="1"/>
  <c r="AC266" i="1"/>
  <c r="AH265" i="1"/>
  <c r="AF265" i="1"/>
  <c r="AD265" i="1"/>
  <c r="AJ264" i="1"/>
  <c r="AH264" i="1"/>
  <c r="AF264" i="1"/>
  <c r="AD264" i="1"/>
  <c r="AC264" i="1"/>
  <c r="AL263" i="1"/>
  <c r="AI263" i="1"/>
  <c r="AG263" i="1"/>
  <c r="AD263" i="1"/>
  <c r="AH262" i="1"/>
  <c r="AF262" i="1"/>
  <c r="AD262" i="1"/>
  <c r="AL261" i="1"/>
  <c r="AJ261" i="1"/>
  <c r="AI261" i="1"/>
  <c r="AG261" i="1"/>
  <c r="AE261" i="1"/>
  <c r="AC261" i="1"/>
  <c r="AH260" i="1"/>
  <c r="AF260" i="1"/>
  <c r="AE260" i="1"/>
  <c r="AC260" i="1"/>
  <c r="AJ259" i="1"/>
  <c r="AH259" i="1"/>
  <c r="AF259" i="1"/>
  <c r="AD259" i="1"/>
  <c r="AL258" i="1"/>
  <c r="AI258" i="1"/>
  <c r="AH258" i="1"/>
  <c r="AF258" i="1"/>
  <c r="AD258" i="1"/>
  <c r="AL257" i="1"/>
  <c r="AI257" i="1"/>
  <c r="AH257" i="1"/>
  <c r="AF257" i="1"/>
  <c r="AC257" i="1"/>
  <c r="AJ256" i="1"/>
  <c r="AH256" i="1"/>
  <c r="AG256" i="1"/>
  <c r="AE256" i="1"/>
  <c r="AD256" i="1"/>
  <c r="AJ255" i="1"/>
  <c r="AG255" i="1"/>
  <c r="AE255" i="1"/>
  <c r="AC255" i="1"/>
  <c r="AL254" i="1"/>
  <c r="AJ254" i="1"/>
  <c r="AI254" i="1"/>
  <c r="AG254" i="1"/>
  <c r="AE254" i="1"/>
  <c r="AC254" i="1"/>
  <c r="AI253" i="1"/>
  <c r="AH253" i="1"/>
  <c r="AE253" i="1"/>
  <c r="AJ252" i="1"/>
  <c r="AI252" i="1"/>
  <c r="AG252" i="1"/>
  <c r="AE252" i="1"/>
  <c r="AC252" i="1"/>
  <c r="AJ251" i="1"/>
  <c r="AG251" i="1"/>
  <c r="AF251" i="1"/>
  <c r="AD251" i="1"/>
  <c r="AL250" i="1"/>
  <c r="AI250" i="1"/>
  <c r="AG250" i="1"/>
  <c r="AE250" i="1"/>
  <c r="AC250" i="1"/>
  <c r="AJ249" i="1"/>
  <c r="AH249" i="1"/>
  <c r="AG249" i="1"/>
  <c r="AE249" i="1"/>
  <c r="AD249" i="1"/>
  <c r="AL248" i="1"/>
  <c r="AI248" i="1"/>
  <c r="AG248" i="1"/>
  <c r="AF248" i="1"/>
  <c r="AE248" i="1"/>
  <c r="AC248" i="1"/>
  <c r="AI247" i="1"/>
  <c r="AH247" i="1"/>
  <c r="AF247" i="1"/>
  <c r="AD247" i="1"/>
  <c r="AL246" i="1"/>
  <c r="AI246" i="1"/>
  <c r="AG246" i="1"/>
  <c r="AE246" i="1"/>
  <c r="AC246" i="1"/>
  <c r="AI245" i="1"/>
  <c r="AG245" i="1"/>
  <c r="AE245" i="1"/>
  <c r="AC245" i="1"/>
  <c r="AI244" i="1"/>
  <c r="AG244" i="1"/>
  <c r="AE244" i="1"/>
  <c r="AC244" i="1"/>
  <c r="AI243" i="1"/>
  <c r="AH243" i="1"/>
  <c r="AF243" i="1"/>
  <c r="AE243" i="1"/>
  <c r="AC243" i="1"/>
  <c r="AI242" i="1"/>
  <c r="AG242" i="1"/>
  <c r="AE242" i="1"/>
  <c r="AC242" i="1"/>
  <c r="AJ241" i="1"/>
  <c r="AH241" i="1"/>
  <c r="AF241" i="1"/>
  <c r="AD241" i="1"/>
  <c r="AL240" i="1"/>
  <c r="AI240" i="1"/>
  <c r="AG240" i="1"/>
  <c r="AE240" i="1"/>
  <c r="AC240" i="1"/>
  <c r="AJ239" i="1"/>
  <c r="AH239" i="1"/>
  <c r="AF239" i="1"/>
  <c r="AD239" i="1"/>
  <c r="AH238" i="1"/>
  <c r="AF238" i="1"/>
  <c r="AC238" i="1"/>
  <c r="AJ237" i="1"/>
  <c r="AH237" i="1"/>
  <c r="AF237" i="1"/>
  <c r="AD237" i="1"/>
  <c r="AH236" i="1"/>
  <c r="AF236" i="1"/>
  <c r="AD236" i="1"/>
  <c r="AL235" i="1"/>
  <c r="AD235" i="1"/>
  <c r="AL234" i="1"/>
  <c r="AJ234" i="1"/>
  <c r="AH234" i="1"/>
  <c r="AF234" i="1"/>
  <c r="AE234" i="1"/>
  <c r="AC234" i="1"/>
  <c r="AJ233" i="1"/>
  <c r="AH233" i="1"/>
  <c r="AE233" i="1"/>
  <c r="AC233" i="1"/>
  <c r="AI232" i="1"/>
  <c r="AG232" i="1"/>
  <c r="AE232" i="1"/>
  <c r="AC232" i="1"/>
  <c r="AL231" i="1"/>
  <c r="AI231" i="1"/>
  <c r="AG231" i="1"/>
  <c r="AE231" i="1"/>
  <c r="AC231" i="1"/>
  <c r="AJ230" i="1"/>
  <c r="AG230" i="1"/>
  <c r="AE230" i="1"/>
  <c r="AC230" i="1"/>
  <c r="AH229" i="1"/>
  <c r="AF229" i="1"/>
  <c r="AD229" i="1"/>
  <c r="AL228" i="1"/>
  <c r="AI228" i="1"/>
  <c r="AF228" i="1"/>
  <c r="AE228" i="1"/>
  <c r="AD228" i="1"/>
  <c r="AJ227" i="1"/>
  <c r="AH227" i="1"/>
  <c r="AF227" i="1"/>
  <c r="AD227" i="1"/>
  <c r="AG226" i="1"/>
  <c r="AE226" i="1"/>
  <c r="AD226" i="1"/>
  <c r="AL225" i="1"/>
  <c r="AI225" i="1"/>
  <c r="AG225" i="1"/>
  <c r="AE225" i="1"/>
  <c r="AD225" i="1"/>
  <c r="AJ224" i="1"/>
  <c r="AI224" i="1"/>
  <c r="AG224" i="1"/>
  <c r="AE224" i="1"/>
  <c r="AD224" i="1"/>
  <c r="AJ223" i="1"/>
  <c r="AI223" i="1"/>
  <c r="AG223" i="1"/>
  <c r="AE223" i="1"/>
  <c r="AC223" i="1"/>
  <c r="AH222" i="1"/>
  <c r="AF222" i="1"/>
  <c r="AE222" i="1"/>
  <c r="AC222" i="1"/>
  <c r="AJ221" i="1"/>
  <c r="AH221" i="1"/>
  <c r="AF221" i="1"/>
  <c r="AD221" i="1"/>
  <c r="AL220" i="1"/>
  <c r="AJ220" i="1"/>
  <c r="AH220" i="1"/>
  <c r="AF220" i="1"/>
  <c r="AE220" i="1"/>
  <c r="AC220" i="1"/>
  <c r="AJ219" i="1"/>
  <c r="AI219" i="1"/>
  <c r="AF219" i="1"/>
  <c r="AD219" i="1"/>
  <c r="AL218" i="1"/>
  <c r="AI218" i="1"/>
  <c r="AG218" i="1"/>
  <c r="AF218" i="1"/>
  <c r="AD218" i="1"/>
  <c r="AL217" i="1"/>
  <c r="AJ217" i="1"/>
  <c r="AI217" i="1"/>
  <c r="AG217" i="1"/>
  <c r="AE217" i="1"/>
  <c r="AL216" i="1"/>
  <c r="AI216" i="1"/>
  <c r="AH216" i="1"/>
  <c r="AF216" i="1"/>
  <c r="AD216" i="1"/>
  <c r="AL215" i="1"/>
  <c r="AJ215" i="1"/>
  <c r="AH215" i="1"/>
  <c r="AF215" i="1"/>
  <c r="AD215" i="1"/>
  <c r="AL214" i="1"/>
  <c r="AI214" i="1"/>
  <c r="AG214" i="1"/>
  <c r="AE214" i="1"/>
  <c r="AC214" i="1"/>
  <c r="AH213" i="1"/>
  <c r="AF213" i="1"/>
  <c r="AD213" i="1"/>
  <c r="AL212" i="1"/>
  <c r="AI212" i="1"/>
  <c r="AG212" i="1"/>
  <c r="AE212" i="1"/>
  <c r="AC212" i="1"/>
  <c r="AI211" i="1"/>
  <c r="AG211" i="1"/>
  <c r="AE211" i="1"/>
  <c r="AC211" i="1"/>
  <c r="AI210" i="1"/>
  <c r="AG210" i="1"/>
  <c r="AE210" i="1"/>
  <c r="AC210" i="1"/>
  <c r="AI209" i="1"/>
  <c r="AG209" i="1"/>
  <c r="AE209" i="1"/>
  <c r="AC209" i="1"/>
  <c r="AL208" i="1"/>
  <c r="AI208" i="1"/>
  <c r="AG208" i="1"/>
  <c r="AE208" i="1"/>
  <c r="AC208" i="1"/>
  <c r="AJ207" i="1"/>
  <c r="AG207" i="1"/>
  <c r="AE207" i="1"/>
  <c r="AC207" i="1"/>
  <c r="AI206" i="1"/>
  <c r="AG206" i="1"/>
  <c r="AF206" i="1"/>
  <c r="AD206" i="1"/>
  <c r="AC206" i="1"/>
  <c r="AJ205" i="1"/>
  <c r="AG205" i="1"/>
  <c r="AE205" i="1"/>
  <c r="AC205" i="1"/>
  <c r="AH204" i="1"/>
  <c r="AF204" i="1"/>
  <c r="AD204" i="1"/>
  <c r="AL203" i="1"/>
  <c r="AI203" i="1"/>
  <c r="AH203" i="1"/>
  <c r="AF203" i="1"/>
  <c r="AD203" i="1"/>
  <c r="AC203" i="1"/>
  <c r="AL202" i="1"/>
  <c r="AJ202" i="1"/>
  <c r="AI202" i="1"/>
  <c r="AG202" i="1"/>
  <c r="AE202" i="1"/>
  <c r="AC202" i="1"/>
  <c r="AJ201" i="1"/>
  <c r="AH201" i="1"/>
  <c r="AF201" i="1"/>
  <c r="AD201" i="1"/>
  <c r="AL200" i="1"/>
  <c r="AI200" i="1"/>
  <c r="AG200" i="1"/>
  <c r="AF200" i="1"/>
  <c r="AC200" i="1"/>
  <c r="AL199" i="1"/>
  <c r="AI199" i="1"/>
  <c r="AG199" i="1"/>
  <c r="AE199" i="1"/>
  <c r="AC199" i="1"/>
  <c r="AL198" i="1"/>
  <c r="AI198" i="1"/>
  <c r="AH198" i="1"/>
  <c r="AF198" i="1"/>
  <c r="AD198" i="1"/>
  <c r="AL197" i="1"/>
  <c r="AI197" i="1"/>
  <c r="AG197" i="1"/>
  <c r="AE197" i="1"/>
  <c r="AC197" i="1"/>
  <c r="AL196" i="1"/>
  <c r="AI196" i="1"/>
  <c r="AG196" i="1"/>
  <c r="AE196" i="1"/>
  <c r="AD196" i="1"/>
  <c r="AC196" i="1"/>
  <c r="AJ195" i="1"/>
  <c r="AH195" i="1"/>
  <c r="AF195" i="1"/>
  <c r="AD195" i="1"/>
  <c r="AL194" i="1"/>
  <c r="AJ194" i="1"/>
  <c r="AD194" i="1"/>
  <c r="AL193" i="1"/>
  <c r="AI193" i="1"/>
  <c r="AH193" i="1"/>
  <c r="AF193" i="1"/>
  <c r="AC193" i="1"/>
  <c r="AJ192" i="1"/>
  <c r="AH192" i="1"/>
  <c r="AG192" i="1"/>
  <c r="AF192" i="1"/>
  <c r="AE192" i="1"/>
  <c r="AD192" i="1"/>
  <c r="AC192" i="1"/>
  <c r="AL191" i="1"/>
  <c r="AJ191" i="1"/>
  <c r="AI191" i="1"/>
  <c r="AH191" i="1"/>
  <c r="AG191" i="1"/>
  <c r="AF191" i="1"/>
  <c r="AE191" i="1"/>
  <c r="AD191" i="1"/>
  <c r="AC191" i="1"/>
  <c r="AL190" i="1"/>
  <c r="AJ190" i="1"/>
  <c r="AI190" i="1"/>
  <c r="AH190" i="1"/>
  <c r="AG190" i="1"/>
  <c r="AF190" i="1"/>
  <c r="AE190" i="1"/>
  <c r="AD190" i="1"/>
  <c r="AC190" i="1"/>
  <c r="AL189" i="1"/>
  <c r="AJ189" i="1"/>
  <c r="AI189" i="1"/>
  <c r="AH189" i="1"/>
  <c r="AG189" i="1"/>
  <c r="AF189" i="1"/>
  <c r="AE189" i="1"/>
  <c r="AD189" i="1"/>
  <c r="AC189" i="1"/>
  <c r="AL188" i="1"/>
  <c r="AJ188" i="1"/>
  <c r="AI188" i="1"/>
  <c r="AH188" i="1"/>
  <c r="AG188" i="1"/>
  <c r="AF188" i="1"/>
  <c r="AE188" i="1"/>
  <c r="AD188" i="1"/>
  <c r="AC188" i="1"/>
  <c r="AL187" i="1"/>
  <c r="AJ187" i="1"/>
  <c r="AI187" i="1"/>
  <c r="AH187" i="1"/>
  <c r="AG187" i="1"/>
  <c r="AF187" i="1"/>
  <c r="AE187" i="1"/>
  <c r="AD187" i="1"/>
  <c r="AC187" i="1"/>
  <c r="AL186" i="1"/>
  <c r="AJ186" i="1"/>
  <c r="AI186" i="1"/>
  <c r="AH186" i="1"/>
  <c r="AG186" i="1"/>
  <c r="AF186" i="1"/>
  <c r="AE186" i="1"/>
  <c r="AD186" i="1"/>
  <c r="AC186" i="1"/>
  <c r="AL185" i="1"/>
  <c r="AJ185" i="1"/>
  <c r="AI185" i="1"/>
  <c r="AH185" i="1"/>
  <c r="AG185" i="1"/>
  <c r="AF185" i="1"/>
  <c r="AE185" i="1"/>
  <c r="AD185" i="1"/>
  <c r="AC185" i="1"/>
  <c r="AL184" i="1"/>
  <c r="AJ184" i="1"/>
  <c r="AI184" i="1"/>
  <c r="AH184" i="1"/>
  <c r="AG184" i="1"/>
  <c r="AF184" i="1"/>
  <c r="AE184" i="1"/>
  <c r="AD184" i="1"/>
  <c r="AC184" i="1"/>
  <c r="AL183" i="1"/>
  <c r="AJ183" i="1"/>
  <c r="AI183" i="1"/>
  <c r="AH183" i="1"/>
  <c r="AG183" i="1"/>
  <c r="AF183" i="1"/>
  <c r="AE183" i="1"/>
  <c r="AD183" i="1"/>
  <c r="AC183" i="1"/>
  <c r="AL182" i="1"/>
  <c r="AJ182" i="1"/>
  <c r="AI182" i="1"/>
  <c r="AH182" i="1"/>
  <c r="AG182" i="1"/>
  <c r="AF182" i="1"/>
  <c r="AE182" i="1"/>
  <c r="AD182" i="1"/>
  <c r="AC182" i="1"/>
  <c r="AL181" i="1"/>
  <c r="AJ181" i="1"/>
  <c r="AI181" i="1"/>
  <c r="AH181" i="1"/>
  <c r="AG181" i="1"/>
  <c r="AF181" i="1"/>
  <c r="AE181" i="1"/>
  <c r="AD181" i="1"/>
  <c r="AC181" i="1"/>
  <c r="AL180" i="1"/>
  <c r="AJ180" i="1"/>
  <c r="AI180" i="1"/>
  <c r="AH180" i="1"/>
  <c r="AG180" i="1"/>
  <c r="AF180" i="1"/>
  <c r="AE180" i="1"/>
  <c r="AD180" i="1"/>
  <c r="AC180" i="1"/>
  <c r="AL179" i="1"/>
  <c r="AJ179" i="1"/>
  <c r="AI179" i="1"/>
  <c r="AH179" i="1"/>
  <c r="AG179" i="1"/>
  <c r="AF179" i="1"/>
  <c r="AE179" i="1"/>
  <c r="AD179" i="1"/>
  <c r="AC179" i="1"/>
  <c r="AL178" i="1"/>
  <c r="AJ178" i="1"/>
  <c r="AI178" i="1"/>
  <c r="AH178" i="1"/>
  <c r="AG178" i="1"/>
  <c r="AF178" i="1"/>
  <c r="AE178" i="1"/>
  <c r="AD178" i="1"/>
  <c r="AC178" i="1"/>
  <c r="AL177" i="1"/>
  <c r="AJ177" i="1"/>
  <c r="AI177" i="1"/>
  <c r="AH177" i="1"/>
  <c r="AG177" i="1"/>
  <c r="AF177" i="1"/>
  <c r="AE177" i="1"/>
  <c r="AD177" i="1"/>
  <c r="AC177" i="1"/>
  <c r="AL176" i="1"/>
  <c r="AJ176" i="1"/>
  <c r="AI176" i="1"/>
  <c r="AH176" i="1"/>
  <c r="AG176" i="1"/>
  <c r="AF176" i="1"/>
  <c r="AE176" i="1"/>
  <c r="AD176" i="1"/>
  <c r="AC176" i="1"/>
  <c r="AL175" i="1"/>
  <c r="AJ175" i="1"/>
  <c r="AI175" i="1"/>
  <c r="AH175" i="1"/>
  <c r="AG175" i="1"/>
  <c r="AF175" i="1"/>
  <c r="AE175" i="1"/>
  <c r="AD175" i="1"/>
  <c r="AC175" i="1"/>
  <c r="AL174" i="1"/>
  <c r="AJ174" i="1"/>
  <c r="AI174" i="1"/>
  <c r="AH174" i="1"/>
  <c r="AG174" i="1"/>
  <c r="AF174" i="1"/>
  <c r="AE174" i="1"/>
  <c r="AD174" i="1"/>
  <c r="AL173" i="1"/>
  <c r="AI173" i="1"/>
  <c r="AG173" i="1"/>
  <c r="AE173" i="1"/>
  <c r="AC173" i="1"/>
  <c r="AH172" i="1"/>
  <c r="AG172" i="1"/>
  <c r="AE172" i="1"/>
  <c r="AD172" i="1"/>
  <c r="AI171" i="1"/>
  <c r="AG171" i="1"/>
  <c r="AE171" i="1"/>
  <c r="AC171" i="1"/>
  <c r="AI170" i="1"/>
  <c r="AG170" i="1"/>
  <c r="AE170" i="1"/>
  <c r="AC170" i="1"/>
  <c r="AL169" i="1"/>
  <c r="AH169" i="1"/>
  <c r="AF169" i="1"/>
  <c r="AC169" i="1"/>
  <c r="AJ168" i="1"/>
  <c r="AI168" i="1"/>
  <c r="AG168" i="1"/>
  <c r="AE168" i="1"/>
  <c r="AC168" i="1"/>
  <c r="AI167" i="1"/>
  <c r="AF167" i="1"/>
  <c r="AD167" i="1"/>
  <c r="AL166" i="1"/>
  <c r="AJ166" i="1"/>
  <c r="AH166" i="1"/>
  <c r="AF166" i="1"/>
  <c r="AD166" i="1"/>
  <c r="AL165" i="1"/>
  <c r="AJ165" i="1"/>
  <c r="AH165" i="1"/>
  <c r="AF165" i="1"/>
  <c r="AE165" i="1"/>
  <c r="AD165" i="1"/>
  <c r="AL164" i="1"/>
  <c r="AI164" i="1"/>
  <c r="AG164" i="1"/>
  <c r="AD164" i="1"/>
  <c r="AL163" i="1"/>
  <c r="AI163" i="1"/>
  <c r="AG163" i="1"/>
  <c r="AE163" i="1"/>
  <c r="AC163" i="1"/>
  <c r="AI162" i="1"/>
  <c r="AF162" i="1"/>
  <c r="AC162" i="1"/>
  <c r="AI161" i="1"/>
  <c r="AG161" i="1"/>
  <c r="AE161" i="1"/>
  <c r="AC161" i="1"/>
  <c r="AL160" i="1"/>
  <c r="AI160" i="1"/>
  <c r="AF160" i="1"/>
  <c r="AC160" i="1"/>
  <c r="AL159" i="1"/>
  <c r="AI159" i="1"/>
  <c r="AG159" i="1"/>
  <c r="AE159" i="1"/>
  <c r="AC159" i="1"/>
  <c r="AI158" i="1"/>
  <c r="AG158" i="1"/>
  <c r="AE158" i="1"/>
  <c r="AD158" i="1"/>
  <c r="AL157" i="1"/>
  <c r="AI157" i="1"/>
  <c r="AF157" i="1"/>
  <c r="AC157" i="1"/>
  <c r="AG156" i="1"/>
  <c r="AE156" i="1"/>
  <c r="AC156" i="1"/>
  <c r="AI155" i="1"/>
  <c r="AG155" i="1"/>
  <c r="AE155" i="1"/>
  <c r="AC155" i="1"/>
  <c r="AI154" i="1"/>
  <c r="AF154" i="1"/>
  <c r="AD154" i="1"/>
  <c r="AL153" i="1"/>
  <c r="AJ153" i="1"/>
  <c r="AI153" i="1"/>
  <c r="AH153" i="1"/>
  <c r="AG153" i="1"/>
  <c r="AF153" i="1"/>
  <c r="AD153" i="1"/>
  <c r="AC153" i="1"/>
  <c r="AH152" i="1"/>
  <c r="AF152" i="1"/>
  <c r="AD152" i="1"/>
  <c r="AL151" i="1"/>
  <c r="AI151" i="1"/>
  <c r="AF151" i="1"/>
  <c r="AD151" i="1"/>
  <c r="AL150" i="1"/>
  <c r="AI150" i="1"/>
  <c r="AH150" i="1"/>
  <c r="AF150" i="1"/>
  <c r="AD150" i="1"/>
  <c r="AJ149" i="1"/>
  <c r="AH149" i="1"/>
  <c r="AF149" i="1"/>
  <c r="AD149" i="1"/>
  <c r="AL148" i="1"/>
  <c r="AI148" i="1"/>
  <c r="AG148" i="1"/>
  <c r="AE148" i="1"/>
  <c r="AC148" i="1"/>
  <c r="AI147" i="1"/>
  <c r="AF147" i="1"/>
  <c r="AE147" i="1"/>
  <c r="AC147" i="1"/>
  <c r="AL146" i="1"/>
  <c r="AJ146" i="1"/>
  <c r="AH146" i="1"/>
  <c r="AE146" i="1"/>
  <c r="AC146" i="1"/>
  <c r="AH145" i="1"/>
  <c r="AE145" i="1"/>
  <c r="AC145" i="1"/>
  <c r="AL144" i="1"/>
  <c r="AH144" i="1"/>
  <c r="AF144" i="1"/>
  <c r="AE144" i="1"/>
  <c r="AC144" i="1"/>
  <c r="AL143" i="1"/>
  <c r="AI143" i="1"/>
  <c r="AG143" i="1"/>
  <c r="AE143" i="1"/>
  <c r="AC143" i="1"/>
  <c r="AL142" i="1"/>
  <c r="AJ142" i="1"/>
  <c r="AH142" i="1"/>
  <c r="AG142" i="1"/>
  <c r="AE142" i="1"/>
  <c r="AC142" i="1"/>
  <c r="AH141" i="1"/>
  <c r="AE141" i="1"/>
  <c r="AC141" i="1"/>
  <c r="AI140" i="1"/>
  <c r="AG140" i="1"/>
  <c r="AE140" i="1"/>
  <c r="AC140" i="1"/>
  <c r="AI139" i="1"/>
  <c r="AG139" i="1"/>
  <c r="AE139" i="1"/>
  <c r="AC139" i="1"/>
  <c r="AI138" i="1"/>
  <c r="AG138" i="1"/>
  <c r="AF138" i="1"/>
  <c r="AD138" i="1"/>
  <c r="AJ137" i="1"/>
  <c r="AI137" i="1"/>
  <c r="AH137" i="1"/>
  <c r="AF137" i="1"/>
  <c r="AD137" i="1"/>
  <c r="AL136" i="1"/>
  <c r="AI136" i="1"/>
  <c r="AF136" i="1"/>
  <c r="AC136" i="1"/>
  <c r="AI135" i="1"/>
  <c r="AG135" i="1"/>
  <c r="AF135" i="1"/>
  <c r="AD135" i="1"/>
  <c r="AH134" i="1"/>
  <c r="AF134" i="1"/>
  <c r="AD134" i="1"/>
  <c r="AL133" i="1"/>
  <c r="AI133" i="1"/>
  <c r="AH133" i="1"/>
  <c r="AF133" i="1"/>
  <c r="AD133" i="1"/>
  <c r="AJ132" i="1"/>
  <c r="AI132" i="1"/>
  <c r="AG132" i="1"/>
  <c r="AE132" i="1"/>
  <c r="AC132" i="1"/>
  <c r="AH131" i="1"/>
  <c r="AF131" i="1"/>
  <c r="AD131" i="1"/>
  <c r="AL130" i="1"/>
  <c r="AI130" i="1"/>
  <c r="AG130" i="1"/>
  <c r="AE130" i="1"/>
  <c r="AC130" i="1"/>
  <c r="AL129" i="1"/>
  <c r="AH129" i="1"/>
  <c r="AG129" i="1"/>
  <c r="AE129" i="1"/>
  <c r="AD129" i="1"/>
  <c r="AJ128" i="1"/>
  <c r="AH128" i="1"/>
  <c r="AG128" i="1"/>
  <c r="AE128" i="1"/>
  <c r="AC128" i="1"/>
  <c r="AJ127" i="1"/>
  <c r="AH127" i="1"/>
  <c r="AF127" i="1"/>
  <c r="AD127" i="1"/>
  <c r="AL126" i="1"/>
  <c r="AG126" i="1"/>
  <c r="AD126" i="1"/>
  <c r="AL125" i="1"/>
  <c r="AI125" i="1"/>
  <c r="AG125" i="1"/>
  <c r="AE125" i="1"/>
  <c r="AC125" i="1"/>
  <c r="AL124" i="1"/>
  <c r="AJ124" i="1"/>
  <c r="AI124" i="1"/>
  <c r="AH124" i="1"/>
  <c r="AG124" i="1"/>
  <c r="AF124" i="1"/>
  <c r="AE124" i="1"/>
  <c r="AD124" i="1"/>
  <c r="AC124" i="1"/>
  <c r="AL123" i="1"/>
  <c r="AJ123" i="1"/>
  <c r="AI123" i="1"/>
  <c r="AH123" i="1"/>
  <c r="AG123" i="1"/>
  <c r="AF123" i="1"/>
  <c r="AE123" i="1"/>
  <c r="AC123" i="1"/>
  <c r="AJ122" i="1"/>
  <c r="AH122" i="1"/>
  <c r="AF122" i="1"/>
  <c r="AD122" i="1"/>
  <c r="AL121" i="1"/>
  <c r="AI121" i="1"/>
  <c r="AG121" i="1"/>
  <c r="AF121" i="1"/>
  <c r="AD121" i="1"/>
  <c r="AC121" i="1"/>
  <c r="AG120" i="1"/>
  <c r="AD120" i="1"/>
  <c r="AJ119" i="1"/>
  <c r="AH119" i="1"/>
  <c r="AF119" i="1"/>
  <c r="AD119" i="1"/>
  <c r="AL118" i="1"/>
  <c r="AI118" i="1"/>
  <c r="AG118" i="1"/>
  <c r="AE118" i="1"/>
  <c r="AC118" i="1"/>
  <c r="AI117" i="1"/>
  <c r="AG117" i="1"/>
  <c r="AE117" i="1"/>
  <c r="AC117" i="1"/>
  <c r="AL116" i="1"/>
  <c r="AI116" i="1"/>
  <c r="AG116" i="1"/>
  <c r="AF116" i="1"/>
  <c r="AD116" i="1"/>
  <c r="AJ115" i="1"/>
  <c r="AH115" i="1"/>
  <c r="AF115" i="1"/>
  <c r="AD115" i="1"/>
  <c r="AL114" i="1"/>
  <c r="AI114" i="1"/>
  <c r="AG114" i="1"/>
  <c r="AE114" i="1"/>
  <c r="AC114" i="1"/>
  <c r="AI113" i="1"/>
  <c r="AG113" i="1"/>
  <c r="AD113" i="1"/>
  <c r="AL112" i="1"/>
  <c r="AI112" i="1"/>
  <c r="AH112" i="1"/>
  <c r="AF112" i="1"/>
  <c r="AD112" i="1"/>
  <c r="AC112" i="1"/>
  <c r="AI111" i="1"/>
  <c r="AH111" i="1"/>
  <c r="AF111" i="1"/>
  <c r="AD111" i="1"/>
  <c r="AJ110" i="1"/>
  <c r="AI110" i="1"/>
  <c r="AG110" i="1"/>
  <c r="AE110" i="1"/>
  <c r="AE109" i="1"/>
  <c r="AC109" i="1"/>
  <c r="AL108" i="1"/>
  <c r="AE108" i="1"/>
  <c r="AL107" i="1"/>
  <c r="AI107" i="1"/>
  <c r="AG107" i="1"/>
  <c r="AE107" i="1"/>
  <c r="AC107" i="1"/>
  <c r="AL106" i="1"/>
  <c r="AI106" i="1"/>
  <c r="AG106" i="1"/>
  <c r="AE106" i="1"/>
  <c r="AC106" i="1"/>
  <c r="AI105" i="1"/>
  <c r="AH105" i="1"/>
  <c r="AF105" i="1"/>
  <c r="AD105" i="1"/>
  <c r="AC105" i="1"/>
  <c r="AJ104" i="1"/>
  <c r="AH104" i="1"/>
  <c r="AF104" i="1"/>
  <c r="AD104" i="1"/>
  <c r="AL103" i="1"/>
  <c r="AJ103" i="1"/>
  <c r="AH103" i="1"/>
  <c r="AF103" i="1"/>
  <c r="AD103" i="1"/>
  <c r="AL102" i="1"/>
  <c r="AI102" i="1"/>
  <c r="AG102" i="1"/>
  <c r="AE102" i="1"/>
  <c r="AC102" i="1"/>
  <c r="AL101" i="1"/>
  <c r="AI101" i="1"/>
  <c r="AG101" i="1"/>
  <c r="AE101" i="1"/>
  <c r="AC101" i="1"/>
  <c r="AH100" i="1"/>
  <c r="AF100" i="1"/>
  <c r="AD100" i="1"/>
  <c r="AL99" i="1"/>
  <c r="AI99" i="1"/>
  <c r="AG99" i="1"/>
  <c r="AE99" i="1"/>
  <c r="AC99" i="1"/>
  <c r="AL98" i="1"/>
  <c r="AI98" i="1"/>
  <c r="AG98" i="1"/>
  <c r="AD98" i="1"/>
  <c r="AL97" i="1"/>
  <c r="AJ97" i="1"/>
  <c r="AH97" i="1"/>
  <c r="AF97" i="1"/>
  <c r="AD97" i="1"/>
  <c r="AL96" i="1"/>
  <c r="AI96" i="1"/>
  <c r="AG96" i="1"/>
  <c r="AE96" i="1"/>
  <c r="AD96" i="1"/>
  <c r="AH95" i="1"/>
  <c r="AF95" i="1"/>
  <c r="AD95" i="1"/>
  <c r="AH93" i="1"/>
  <c r="AG93" i="1"/>
  <c r="AF93" i="1"/>
  <c r="AE93" i="1"/>
  <c r="AD93" i="1"/>
  <c r="AC93" i="1"/>
  <c r="AL92" i="1"/>
  <c r="AJ92" i="1"/>
  <c r="AI92" i="1"/>
  <c r="AH92" i="1"/>
  <c r="AG92" i="1"/>
  <c r="AF92" i="1"/>
  <c r="AE92" i="1"/>
  <c r="AD92" i="1"/>
  <c r="AC92" i="1"/>
  <c r="AL91" i="1"/>
  <c r="AJ91" i="1"/>
  <c r="AI91" i="1"/>
  <c r="AH91" i="1"/>
  <c r="AG91" i="1"/>
  <c r="AF91" i="1"/>
  <c r="AE91" i="1"/>
  <c r="AD91" i="1"/>
  <c r="AC91" i="1"/>
  <c r="AL90" i="1"/>
  <c r="AJ90" i="1"/>
  <c r="AI90" i="1"/>
  <c r="AH90" i="1"/>
  <c r="AG90" i="1"/>
  <c r="AF90" i="1"/>
  <c r="AE90" i="1"/>
  <c r="AD90" i="1"/>
  <c r="AC90" i="1"/>
  <c r="AL89" i="1"/>
  <c r="AJ89" i="1"/>
  <c r="AI89" i="1"/>
  <c r="AH89" i="1"/>
  <c r="AG89" i="1"/>
  <c r="AF89" i="1"/>
  <c r="AE89" i="1"/>
  <c r="AD89" i="1"/>
  <c r="AC89" i="1"/>
  <c r="AL88" i="1"/>
  <c r="AJ88" i="1"/>
  <c r="AI88" i="1"/>
  <c r="AH88" i="1"/>
  <c r="AG88" i="1"/>
  <c r="AF88" i="1"/>
  <c r="AE88" i="1"/>
  <c r="AD88" i="1"/>
  <c r="AC88" i="1"/>
  <c r="AL87" i="1"/>
  <c r="AJ87" i="1"/>
  <c r="AI87" i="1"/>
  <c r="AH87" i="1"/>
  <c r="AG87" i="1"/>
  <c r="AF87" i="1"/>
  <c r="AE87" i="1"/>
  <c r="AD87" i="1"/>
  <c r="AC87" i="1"/>
  <c r="AL86" i="1"/>
  <c r="AJ86" i="1"/>
  <c r="AI86" i="1"/>
  <c r="AH86" i="1"/>
  <c r="AG86" i="1"/>
  <c r="AF86" i="1"/>
  <c r="AE86" i="1"/>
  <c r="AD86" i="1"/>
  <c r="AC86" i="1"/>
  <c r="AL85" i="1"/>
  <c r="AJ85" i="1"/>
  <c r="AI85" i="1"/>
  <c r="AH85" i="1"/>
  <c r="AG85" i="1"/>
  <c r="AF85" i="1"/>
  <c r="AE85" i="1"/>
  <c r="AD85" i="1"/>
  <c r="AC85" i="1"/>
  <c r="AL84" i="1"/>
  <c r="AJ84" i="1"/>
  <c r="AI84" i="1"/>
  <c r="AH84" i="1"/>
  <c r="AG84" i="1"/>
  <c r="AF84" i="1"/>
  <c r="AE84" i="1"/>
  <c r="AD84" i="1"/>
  <c r="AC84" i="1"/>
  <c r="AL83" i="1"/>
  <c r="AJ83" i="1"/>
  <c r="AI83" i="1"/>
  <c r="AH83" i="1"/>
  <c r="AG83" i="1"/>
  <c r="AF83" i="1"/>
  <c r="AE83" i="1"/>
  <c r="AD83" i="1"/>
  <c r="AC83" i="1"/>
  <c r="AL82" i="1"/>
  <c r="AJ82" i="1"/>
  <c r="AI82" i="1"/>
  <c r="AH82" i="1"/>
  <c r="AG82" i="1"/>
  <c r="AF82" i="1"/>
  <c r="AE82" i="1"/>
  <c r="AD82" i="1"/>
  <c r="AC82" i="1"/>
  <c r="AL81" i="1"/>
  <c r="AJ81" i="1"/>
  <c r="AI81" i="1"/>
  <c r="AH81" i="1"/>
  <c r="AG81" i="1"/>
  <c r="AF81" i="1"/>
  <c r="AE81" i="1"/>
  <c r="AD81" i="1"/>
  <c r="AC81" i="1"/>
  <c r="AL80" i="1"/>
  <c r="AJ80" i="1"/>
  <c r="AI80" i="1"/>
  <c r="AH80" i="1"/>
  <c r="AG80" i="1"/>
  <c r="AF80" i="1"/>
  <c r="AE80" i="1"/>
  <c r="AD80" i="1"/>
  <c r="AC80" i="1"/>
  <c r="AL79" i="1"/>
  <c r="AJ79" i="1"/>
  <c r="AI79" i="1"/>
  <c r="AH79" i="1"/>
  <c r="AG79" i="1"/>
  <c r="AF79" i="1"/>
  <c r="AE79" i="1"/>
  <c r="AD79" i="1"/>
  <c r="AC79" i="1"/>
  <c r="AL78" i="1"/>
  <c r="AJ78" i="1"/>
  <c r="AI78" i="1"/>
  <c r="AH78" i="1"/>
  <c r="AG78" i="1"/>
  <c r="AF78" i="1"/>
  <c r="AE78" i="1"/>
  <c r="AD78" i="1"/>
  <c r="AC78" i="1"/>
  <c r="AL77" i="1"/>
  <c r="AJ77" i="1"/>
  <c r="AI77" i="1"/>
  <c r="AH77" i="1"/>
  <c r="AG77" i="1"/>
  <c r="AF77" i="1"/>
  <c r="AE77" i="1"/>
  <c r="AD77" i="1"/>
  <c r="AC77" i="1"/>
  <c r="AL76" i="1"/>
  <c r="AJ76" i="1"/>
  <c r="AI76" i="1"/>
  <c r="AH76" i="1"/>
  <c r="AG76" i="1"/>
  <c r="AF76" i="1"/>
  <c r="AE76" i="1"/>
  <c r="AD76" i="1"/>
  <c r="AC76" i="1"/>
  <c r="AL75" i="1"/>
  <c r="AJ75" i="1"/>
  <c r="AI75" i="1"/>
  <c r="AH75" i="1"/>
  <c r="AG75" i="1"/>
  <c r="AF75" i="1"/>
  <c r="AE75" i="1"/>
  <c r="AD75" i="1"/>
  <c r="AC75" i="1"/>
  <c r="AL74" i="1"/>
  <c r="AJ74" i="1"/>
  <c r="AI74" i="1"/>
  <c r="AH74" i="1"/>
  <c r="AG74" i="1"/>
  <c r="AF74" i="1"/>
  <c r="AE74" i="1"/>
  <c r="AD74" i="1"/>
  <c r="AC74" i="1"/>
  <c r="AL73" i="1"/>
  <c r="AJ73" i="1"/>
  <c r="AI73" i="1"/>
  <c r="AH73" i="1"/>
  <c r="AG73" i="1"/>
  <c r="AF73" i="1"/>
  <c r="AE73" i="1"/>
  <c r="AD73" i="1"/>
  <c r="AC73" i="1"/>
  <c r="AF864" i="1"/>
  <c r="AE864" i="1"/>
  <c r="AD864" i="1"/>
  <c r="AC864" i="1"/>
  <c r="AL863" i="1"/>
  <c r="AJ863" i="1"/>
  <c r="AI863" i="1"/>
  <c r="AH863" i="1"/>
  <c r="AG863" i="1"/>
  <c r="AF863" i="1"/>
  <c r="AE863" i="1"/>
  <c r="AD863" i="1"/>
  <c r="AC863" i="1"/>
  <c r="AL862" i="1"/>
  <c r="AJ862" i="1"/>
  <c r="AI862" i="1"/>
  <c r="AH862" i="1"/>
  <c r="AG862" i="1"/>
  <c r="AF862" i="1"/>
  <c r="AE862" i="1"/>
  <c r="AD862" i="1"/>
  <c r="AC862" i="1"/>
  <c r="AL861" i="1"/>
  <c r="AJ861" i="1"/>
  <c r="AI861" i="1"/>
  <c r="AH861" i="1"/>
  <c r="AG861" i="1"/>
  <c r="AF861" i="1"/>
  <c r="AE861" i="1"/>
  <c r="AD861" i="1"/>
  <c r="AC861" i="1"/>
  <c r="AL860" i="1"/>
  <c r="AJ860" i="1"/>
  <c r="AI860" i="1"/>
  <c r="AH860" i="1"/>
  <c r="AG860" i="1"/>
  <c r="AF860" i="1"/>
  <c r="AE860" i="1"/>
  <c r="AD860" i="1"/>
  <c r="AC860" i="1"/>
  <c r="AL859" i="1"/>
  <c r="AJ859" i="1"/>
  <c r="AI859" i="1"/>
  <c r="AH859" i="1"/>
  <c r="AG859" i="1"/>
  <c r="AF859" i="1"/>
  <c r="AE859" i="1"/>
  <c r="AD859" i="1"/>
  <c r="AC859" i="1"/>
  <c r="AL858" i="1"/>
  <c r="AJ858" i="1"/>
  <c r="AI858" i="1"/>
  <c r="AH858" i="1"/>
  <c r="AG858" i="1"/>
  <c r="AF858" i="1"/>
  <c r="AE858" i="1"/>
  <c r="AD858" i="1"/>
  <c r="AC858" i="1"/>
  <c r="AL857" i="1"/>
  <c r="AJ857" i="1"/>
  <c r="AI857" i="1"/>
  <c r="AH857" i="1"/>
  <c r="AG857" i="1"/>
  <c r="AF857" i="1"/>
  <c r="AE857" i="1"/>
  <c r="AD857" i="1"/>
  <c r="AC857" i="1"/>
  <c r="AL856" i="1"/>
  <c r="AJ856" i="1"/>
  <c r="AI856" i="1"/>
  <c r="AH856" i="1"/>
  <c r="AG856" i="1"/>
  <c r="AF856" i="1"/>
  <c r="AE856" i="1"/>
  <c r="AD856" i="1"/>
  <c r="AC856" i="1"/>
  <c r="AL855" i="1"/>
  <c r="AJ855" i="1"/>
  <c r="AI855" i="1"/>
  <c r="AH855" i="1"/>
  <c r="AG855" i="1"/>
  <c r="AF855" i="1"/>
  <c r="AE855" i="1"/>
  <c r="AD855" i="1"/>
  <c r="AC855" i="1"/>
  <c r="AL854" i="1"/>
  <c r="AJ854" i="1"/>
  <c r="AI854" i="1"/>
  <c r="AH854" i="1"/>
  <c r="AG854" i="1"/>
  <c r="AF854" i="1"/>
  <c r="AE854" i="1"/>
  <c r="AD854" i="1"/>
  <c r="AC854" i="1"/>
  <c r="AL853" i="1"/>
  <c r="AJ853" i="1"/>
  <c r="AI853" i="1"/>
  <c r="AH853" i="1"/>
  <c r="AG853" i="1"/>
  <c r="AF853" i="1"/>
  <c r="AE853" i="1"/>
  <c r="AD853" i="1"/>
  <c r="AC853" i="1"/>
  <c r="AL852" i="1"/>
  <c r="AJ852" i="1"/>
  <c r="AI852" i="1"/>
  <c r="AH852" i="1"/>
  <c r="AG852" i="1"/>
  <c r="AF852" i="1"/>
  <c r="AE852" i="1"/>
  <c r="AD852" i="1"/>
  <c r="AC852" i="1"/>
  <c r="AL851" i="1"/>
  <c r="AJ851" i="1"/>
  <c r="AI851" i="1"/>
  <c r="AH851" i="1"/>
  <c r="AG851" i="1"/>
  <c r="AF851" i="1"/>
  <c r="AE851" i="1"/>
  <c r="AD851" i="1"/>
  <c r="AC851" i="1"/>
  <c r="AL850" i="1"/>
  <c r="AJ850" i="1"/>
  <c r="AI850" i="1"/>
  <c r="AH850" i="1"/>
  <c r="AG850" i="1"/>
  <c r="AF850" i="1"/>
  <c r="AE850" i="1"/>
  <c r="AD850" i="1"/>
  <c r="AC850" i="1"/>
  <c r="AL849" i="1"/>
  <c r="AJ849" i="1"/>
  <c r="AI849" i="1"/>
  <c r="AH849" i="1"/>
  <c r="AG849" i="1"/>
  <c r="AF849" i="1"/>
  <c r="AE849" i="1"/>
  <c r="AD849" i="1"/>
  <c r="AC849" i="1"/>
  <c r="AL848" i="1"/>
  <c r="AJ848" i="1"/>
  <c r="AI848" i="1"/>
  <c r="AH848" i="1"/>
  <c r="AG848" i="1"/>
  <c r="AF848" i="1"/>
  <c r="AE848" i="1"/>
  <c r="AD848" i="1"/>
  <c r="AC848" i="1"/>
  <c r="AL847" i="1"/>
  <c r="AJ847" i="1"/>
  <c r="AI847" i="1"/>
  <c r="AH847" i="1"/>
  <c r="AG847" i="1"/>
  <c r="AF847" i="1"/>
  <c r="AE847" i="1"/>
  <c r="AD847" i="1"/>
  <c r="AC847" i="1"/>
  <c r="AL846" i="1"/>
  <c r="AJ846" i="1"/>
  <c r="AI846" i="1"/>
  <c r="AH846" i="1"/>
  <c r="AG846" i="1"/>
  <c r="AF846" i="1"/>
  <c r="AE846" i="1"/>
  <c r="AD846" i="1"/>
  <c r="AC846" i="1"/>
  <c r="AL845" i="1"/>
  <c r="AJ845" i="1"/>
  <c r="AI845" i="1"/>
  <c r="AH845" i="1"/>
  <c r="AG845" i="1"/>
  <c r="AF845" i="1"/>
  <c r="AE845" i="1"/>
  <c r="AD845" i="1"/>
  <c r="AC845" i="1"/>
  <c r="AL844" i="1"/>
  <c r="AJ844" i="1"/>
  <c r="AI844" i="1"/>
  <c r="AH844" i="1"/>
  <c r="AG844" i="1"/>
  <c r="AF844" i="1"/>
  <c r="AE844" i="1"/>
  <c r="AD844" i="1"/>
  <c r="AC844" i="1"/>
  <c r="AL843" i="1"/>
  <c r="AJ843" i="1"/>
  <c r="AI843" i="1"/>
  <c r="AH843" i="1"/>
  <c r="AG843" i="1"/>
  <c r="AF843" i="1"/>
  <c r="AE843" i="1"/>
  <c r="AD843" i="1"/>
  <c r="AC843" i="1"/>
  <c r="AL842" i="1"/>
  <c r="AJ842" i="1"/>
  <c r="AI842" i="1"/>
  <c r="AH842" i="1"/>
  <c r="AG842" i="1"/>
  <c r="AF842" i="1"/>
  <c r="AE842" i="1"/>
  <c r="AD842" i="1"/>
  <c r="AC842" i="1"/>
  <c r="AL841" i="1"/>
  <c r="AJ841" i="1"/>
  <c r="AI841" i="1"/>
  <c r="AH841" i="1"/>
  <c r="AG841" i="1"/>
  <c r="AF841" i="1"/>
  <c r="AE841" i="1"/>
  <c r="AD841" i="1"/>
  <c r="AC841" i="1"/>
  <c r="AL840" i="1"/>
  <c r="AJ840" i="1"/>
  <c r="AI840" i="1"/>
  <c r="AH840" i="1"/>
  <c r="AG840" i="1"/>
  <c r="AF840" i="1"/>
  <c r="AE840" i="1"/>
  <c r="AD840" i="1"/>
  <c r="AC840" i="1"/>
  <c r="AL839" i="1"/>
  <c r="AJ839" i="1"/>
  <c r="AI839" i="1"/>
  <c r="AH839" i="1"/>
  <c r="AG839" i="1"/>
  <c r="AF839" i="1"/>
  <c r="AE839" i="1"/>
  <c r="AD839" i="1"/>
  <c r="AC839" i="1"/>
  <c r="AL838" i="1"/>
  <c r="AJ838" i="1"/>
  <c r="AI838" i="1"/>
  <c r="AH838" i="1"/>
  <c r="AG838" i="1"/>
  <c r="AF838" i="1"/>
  <c r="AE838" i="1"/>
  <c r="AD838" i="1"/>
  <c r="AC838" i="1"/>
  <c r="AL837" i="1"/>
  <c r="AJ837" i="1"/>
  <c r="AI837" i="1"/>
  <c r="AH837" i="1"/>
  <c r="AG837" i="1"/>
  <c r="AF837" i="1"/>
  <c r="AE837" i="1"/>
  <c r="AD837" i="1"/>
  <c r="AC837" i="1"/>
  <c r="AL836" i="1"/>
  <c r="AJ836" i="1"/>
  <c r="AI836" i="1"/>
  <c r="AH836" i="1"/>
  <c r="AG836" i="1"/>
  <c r="AF836" i="1"/>
  <c r="AE836" i="1"/>
  <c r="AD836" i="1"/>
  <c r="AC836" i="1"/>
  <c r="AL835" i="1"/>
  <c r="AJ835" i="1"/>
  <c r="AI835" i="1"/>
  <c r="AH835" i="1"/>
  <c r="AG835" i="1"/>
  <c r="AF835" i="1"/>
  <c r="AE835" i="1"/>
  <c r="AD835" i="1"/>
  <c r="AC835" i="1"/>
  <c r="AL834" i="1"/>
  <c r="AJ834" i="1"/>
  <c r="AI834" i="1"/>
  <c r="AH834" i="1"/>
  <c r="AG834" i="1"/>
  <c r="AF834" i="1"/>
  <c r="AE834" i="1"/>
  <c r="AD834" i="1"/>
  <c r="AC834" i="1"/>
  <c r="AL833" i="1"/>
  <c r="AJ833" i="1"/>
  <c r="AI833" i="1"/>
  <c r="AH833" i="1"/>
  <c r="AG833" i="1"/>
  <c r="AF833" i="1"/>
  <c r="AE833" i="1"/>
  <c r="AD833" i="1"/>
  <c r="AC833" i="1"/>
  <c r="AL832" i="1"/>
  <c r="AJ832" i="1"/>
  <c r="AI832" i="1"/>
  <c r="AH832" i="1"/>
  <c r="AG832" i="1"/>
  <c r="AF832" i="1"/>
  <c r="AE832" i="1"/>
  <c r="AD832" i="1"/>
  <c r="AC832" i="1"/>
  <c r="AL831" i="1"/>
  <c r="AJ831" i="1"/>
  <c r="AI831" i="1"/>
  <c r="AH831" i="1"/>
  <c r="AG831" i="1"/>
  <c r="AF831" i="1"/>
  <c r="AE831" i="1"/>
  <c r="AD831" i="1"/>
  <c r="AC831" i="1"/>
  <c r="AL830" i="1"/>
  <c r="AJ830" i="1"/>
  <c r="AI830" i="1"/>
  <c r="AH830" i="1"/>
  <c r="AG830" i="1"/>
  <c r="AF830" i="1"/>
  <c r="AE830" i="1"/>
  <c r="AD830" i="1"/>
  <c r="AC830" i="1"/>
  <c r="AL829" i="1"/>
  <c r="AJ829" i="1"/>
  <c r="AI829" i="1"/>
  <c r="AH829" i="1"/>
  <c r="AG829" i="1"/>
  <c r="AF829" i="1"/>
  <c r="AE829" i="1"/>
  <c r="AD829" i="1"/>
  <c r="AC829" i="1"/>
  <c r="AL828" i="1"/>
  <c r="AJ828" i="1"/>
  <c r="AI828" i="1"/>
  <c r="AH828" i="1"/>
  <c r="AG828" i="1"/>
  <c r="AF828" i="1"/>
  <c r="AE828" i="1"/>
  <c r="AD828" i="1"/>
  <c r="AC828" i="1"/>
  <c r="AL827" i="1"/>
  <c r="AJ827" i="1"/>
  <c r="AI827" i="1"/>
  <c r="AH827" i="1"/>
  <c r="AG827" i="1"/>
  <c r="AF827" i="1"/>
  <c r="AE827" i="1"/>
  <c r="AD827" i="1"/>
  <c r="AC827" i="1"/>
  <c r="AL826" i="1"/>
  <c r="AJ826" i="1"/>
  <c r="AI826" i="1"/>
  <c r="AH826" i="1"/>
  <c r="AG826" i="1"/>
  <c r="AF826" i="1"/>
  <c r="AE826" i="1"/>
  <c r="AD826" i="1"/>
  <c r="AC826" i="1"/>
  <c r="AL825" i="1"/>
  <c r="AJ825" i="1"/>
  <c r="AI825" i="1"/>
  <c r="AH825" i="1"/>
  <c r="AG825" i="1"/>
  <c r="AF825" i="1"/>
  <c r="AE825" i="1"/>
  <c r="AD825" i="1"/>
  <c r="AC825" i="1"/>
  <c r="AL824" i="1"/>
  <c r="AJ824" i="1"/>
  <c r="AI824" i="1"/>
  <c r="AH824" i="1"/>
  <c r="AG824" i="1"/>
  <c r="AF824" i="1"/>
  <c r="AE824" i="1"/>
  <c r="AD824" i="1"/>
  <c r="AC824" i="1"/>
  <c r="AL823" i="1"/>
  <c r="AJ823" i="1"/>
  <c r="AI823" i="1"/>
  <c r="AH823" i="1"/>
  <c r="AG823" i="1"/>
  <c r="AF823" i="1"/>
  <c r="AE823" i="1"/>
  <c r="AD823" i="1"/>
  <c r="AC823" i="1"/>
  <c r="AL822" i="1"/>
  <c r="AJ822" i="1"/>
  <c r="AI822" i="1"/>
  <c r="AH822" i="1"/>
  <c r="AG822" i="1"/>
  <c r="AF822" i="1"/>
  <c r="AE822" i="1"/>
  <c r="AD822" i="1"/>
  <c r="AC822" i="1"/>
  <c r="AL821" i="1"/>
  <c r="AJ821" i="1"/>
  <c r="AI821" i="1"/>
  <c r="AH821" i="1"/>
  <c r="AG821" i="1"/>
  <c r="AF821" i="1"/>
  <c r="AE821" i="1"/>
  <c r="AD821" i="1"/>
  <c r="AC821" i="1"/>
  <c r="AL820" i="1"/>
  <c r="AJ820" i="1"/>
  <c r="AI820" i="1"/>
  <c r="AH820" i="1"/>
  <c r="AG820" i="1"/>
  <c r="AF820" i="1"/>
  <c r="AE820" i="1"/>
  <c r="AD820" i="1"/>
  <c r="AC820" i="1"/>
  <c r="AL819" i="1"/>
  <c r="AJ819" i="1"/>
  <c r="AI819" i="1"/>
  <c r="AH819" i="1"/>
  <c r="AG819" i="1"/>
  <c r="AF819" i="1"/>
  <c r="AE819" i="1"/>
  <c r="AD819" i="1"/>
  <c r="AC819" i="1"/>
  <c r="AL818" i="1"/>
  <c r="AJ818" i="1"/>
  <c r="AI818" i="1"/>
  <c r="AH818" i="1"/>
  <c r="AG818" i="1"/>
  <c r="AF818" i="1"/>
  <c r="AE818" i="1"/>
  <c r="AD818" i="1"/>
  <c r="AC818" i="1"/>
  <c r="AL817" i="1"/>
  <c r="AJ817" i="1"/>
  <c r="AI817" i="1"/>
  <c r="AH817" i="1"/>
  <c r="AG817" i="1"/>
  <c r="AF817" i="1"/>
  <c r="AE817" i="1"/>
  <c r="AD817" i="1"/>
  <c r="AC817" i="1"/>
  <c r="AL816" i="1"/>
  <c r="AJ816" i="1"/>
  <c r="AI816" i="1"/>
  <c r="AH816" i="1"/>
  <c r="AG816" i="1"/>
  <c r="AF816" i="1"/>
  <c r="AE816" i="1"/>
  <c r="AD816" i="1"/>
  <c r="AC816" i="1"/>
  <c r="AL815" i="1"/>
  <c r="AJ815" i="1"/>
  <c r="AI815" i="1"/>
  <c r="AH815" i="1"/>
  <c r="AG815" i="1"/>
  <c r="AF815" i="1"/>
  <c r="AE815" i="1"/>
  <c r="AD815" i="1"/>
  <c r="AC815" i="1"/>
  <c r="AL814" i="1"/>
  <c r="AJ814" i="1"/>
  <c r="AI814" i="1"/>
  <c r="AH814" i="1"/>
  <c r="AG814" i="1"/>
  <c r="AF814" i="1"/>
  <c r="AE814" i="1"/>
  <c r="AD814" i="1"/>
  <c r="AC814" i="1"/>
  <c r="AL813" i="1"/>
  <c r="AJ813" i="1"/>
  <c r="AI813" i="1"/>
  <c r="AH813" i="1"/>
  <c r="AG813" i="1"/>
  <c r="AF813" i="1"/>
  <c r="AE813" i="1"/>
  <c r="AD813" i="1"/>
  <c r="AC813" i="1"/>
  <c r="AL812" i="1"/>
  <c r="AJ812" i="1"/>
  <c r="AI812" i="1"/>
  <c r="AH812" i="1"/>
  <c r="AG812" i="1"/>
  <c r="AF812" i="1"/>
  <c r="AE812" i="1"/>
  <c r="AD812" i="1"/>
  <c r="AC812" i="1"/>
  <c r="AL811" i="1"/>
  <c r="AJ811" i="1"/>
  <c r="AI811" i="1"/>
  <c r="AH811" i="1"/>
  <c r="AG811" i="1"/>
  <c r="AF811" i="1"/>
  <c r="AE811" i="1"/>
  <c r="AD811" i="1"/>
  <c r="AC811" i="1"/>
  <c r="AL810" i="1"/>
  <c r="AJ810" i="1"/>
  <c r="AI810" i="1"/>
  <c r="AH810" i="1"/>
  <c r="AG810" i="1"/>
  <c r="AF810" i="1"/>
  <c r="AE810" i="1"/>
  <c r="AD810" i="1"/>
  <c r="AC810" i="1"/>
  <c r="AL809" i="1"/>
  <c r="AJ809" i="1"/>
  <c r="AI809" i="1"/>
  <c r="AH809" i="1"/>
  <c r="AG809" i="1"/>
  <c r="AF809" i="1"/>
  <c r="AE809" i="1"/>
  <c r="AD809" i="1"/>
  <c r="AC809" i="1"/>
  <c r="AL808" i="1"/>
  <c r="AJ808" i="1"/>
  <c r="AI808" i="1"/>
  <c r="AH808" i="1"/>
  <c r="AG808" i="1"/>
  <c r="AF808" i="1"/>
  <c r="AE808" i="1"/>
  <c r="AD808" i="1"/>
  <c r="AC808" i="1"/>
  <c r="AL807" i="1"/>
  <c r="AJ807" i="1"/>
  <c r="AI807" i="1"/>
  <c r="AH807" i="1"/>
  <c r="AG807" i="1"/>
  <c r="AF807" i="1"/>
  <c r="AE807" i="1"/>
  <c r="AD807" i="1"/>
  <c r="AC807" i="1"/>
  <c r="AL806" i="1"/>
  <c r="AJ806" i="1"/>
  <c r="AI806" i="1"/>
  <c r="AH806" i="1"/>
  <c r="AG806" i="1"/>
  <c r="AF806" i="1"/>
  <c r="AE806" i="1"/>
  <c r="AD806" i="1"/>
  <c r="AC806" i="1"/>
  <c r="AL805" i="1"/>
  <c r="AJ805" i="1"/>
  <c r="AI805" i="1"/>
  <c r="AH805" i="1"/>
  <c r="AG805" i="1"/>
  <c r="AF805" i="1"/>
  <c r="AE805" i="1"/>
  <c r="AD805" i="1"/>
  <c r="AC805" i="1"/>
  <c r="AL804" i="1"/>
  <c r="AJ804" i="1"/>
  <c r="AI804" i="1"/>
  <c r="AH804" i="1"/>
  <c r="AG804" i="1"/>
  <c r="AF804" i="1"/>
  <c r="AE804" i="1"/>
  <c r="AD804" i="1"/>
  <c r="AC804" i="1"/>
  <c r="AL803" i="1"/>
  <c r="AJ803" i="1"/>
  <c r="AI803" i="1"/>
  <c r="AH803" i="1"/>
  <c r="AG803" i="1"/>
  <c r="AF803" i="1"/>
  <c r="AE803" i="1"/>
  <c r="AD803" i="1"/>
  <c r="AC803" i="1"/>
  <c r="AL802" i="1"/>
  <c r="AJ802" i="1"/>
  <c r="AI802" i="1"/>
  <c r="AH802" i="1"/>
  <c r="AG802" i="1"/>
  <c r="AF802" i="1"/>
  <c r="AE802" i="1"/>
  <c r="AD802" i="1"/>
  <c r="AC802" i="1"/>
  <c r="AL801" i="1"/>
  <c r="AJ801" i="1"/>
  <c r="AI801" i="1"/>
  <c r="AH801" i="1"/>
  <c r="AG801" i="1"/>
  <c r="AF801" i="1"/>
  <c r="AE801" i="1"/>
  <c r="AD801" i="1"/>
  <c r="AC801" i="1"/>
  <c r="AL800" i="1"/>
  <c r="AJ800" i="1"/>
  <c r="AI800" i="1"/>
  <c r="AH800" i="1"/>
  <c r="AG800" i="1"/>
  <c r="AF800" i="1"/>
  <c r="AE800" i="1"/>
  <c r="AD800" i="1"/>
  <c r="AC800" i="1"/>
  <c r="AL799" i="1"/>
  <c r="AJ799" i="1"/>
  <c r="AI799" i="1"/>
  <c r="AH799" i="1"/>
  <c r="AG799" i="1"/>
  <c r="AF799" i="1"/>
  <c r="AE799" i="1"/>
  <c r="AD799" i="1"/>
  <c r="AC799" i="1"/>
  <c r="AL798" i="1"/>
  <c r="AJ798" i="1"/>
  <c r="AI798" i="1"/>
  <c r="AH798" i="1"/>
  <c r="AG798" i="1"/>
  <c r="AF798" i="1"/>
  <c r="AE798" i="1"/>
  <c r="AD798" i="1"/>
  <c r="AC798" i="1"/>
  <c r="AL797" i="1"/>
  <c r="AJ797" i="1"/>
  <c r="AI797" i="1"/>
  <c r="AH797" i="1"/>
  <c r="AG797" i="1"/>
  <c r="AF797" i="1"/>
  <c r="AE797" i="1"/>
  <c r="AD797" i="1"/>
  <c r="AC797" i="1"/>
  <c r="AL796" i="1"/>
  <c r="AJ796" i="1"/>
  <c r="AI796" i="1"/>
  <c r="AH796" i="1"/>
  <c r="AG796" i="1"/>
  <c r="AF796" i="1"/>
  <c r="AE796" i="1"/>
  <c r="AD796" i="1"/>
  <c r="AC796" i="1"/>
  <c r="AL795" i="1"/>
  <c r="AJ795" i="1"/>
  <c r="AI795" i="1"/>
  <c r="AH795" i="1"/>
  <c r="AG795" i="1"/>
  <c r="AF795" i="1"/>
  <c r="AE795" i="1"/>
  <c r="AD795" i="1"/>
  <c r="AC795" i="1"/>
  <c r="AL794" i="1"/>
  <c r="AJ794" i="1"/>
  <c r="AI794" i="1"/>
  <c r="AH794" i="1"/>
  <c r="AG794" i="1"/>
  <c r="AF794" i="1"/>
  <c r="AE794" i="1"/>
  <c r="AD794" i="1"/>
  <c r="AC794" i="1"/>
  <c r="AL793" i="1"/>
  <c r="AJ793" i="1"/>
  <c r="AI793" i="1"/>
  <c r="AH793" i="1"/>
  <c r="AG793" i="1"/>
  <c r="AF793" i="1"/>
  <c r="AE793" i="1"/>
  <c r="AD793" i="1"/>
  <c r="AC793" i="1"/>
  <c r="AL792" i="1"/>
  <c r="AJ792" i="1"/>
  <c r="AI792" i="1"/>
  <c r="AH792" i="1"/>
  <c r="AG792" i="1"/>
  <c r="AF792" i="1"/>
  <c r="AE792" i="1"/>
  <c r="AD792" i="1"/>
  <c r="AC792" i="1"/>
  <c r="AL791" i="1"/>
  <c r="AJ791" i="1"/>
  <c r="AI791" i="1"/>
  <c r="AH791" i="1"/>
  <c r="AG791" i="1"/>
  <c r="AF791" i="1"/>
  <c r="AE791" i="1"/>
  <c r="AD791" i="1"/>
  <c r="AC791" i="1"/>
  <c r="AL790" i="1"/>
  <c r="AJ790" i="1"/>
  <c r="AI790" i="1"/>
  <c r="AH790" i="1"/>
  <c r="AG790" i="1"/>
  <c r="AF790" i="1"/>
  <c r="AE790" i="1"/>
  <c r="AD790" i="1"/>
  <c r="AC790" i="1"/>
  <c r="AL789" i="1"/>
  <c r="AJ789" i="1"/>
  <c r="AI789" i="1"/>
  <c r="AH789" i="1"/>
  <c r="AG789" i="1"/>
  <c r="AF789" i="1"/>
  <c r="AE789" i="1"/>
  <c r="AD789" i="1"/>
  <c r="AC789" i="1"/>
  <c r="AL788" i="1"/>
  <c r="AJ788" i="1"/>
  <c r="AI788" i="1"/>
  <c r="AH788" i="1"/>
  <c r="AG788" i="1"/>
  <c r="AF788" i="1"/>
  <c r="AE788" i="1"/>
  <c r="AD788" i="1"/>
  <c r="AC788" i="1"/>
  <c r="AL787" i="1"/>
  <c r="AJ787" i="1"/>
  <c r="AI787" i="1"/>
  <c r="AH787" i="1"/>
  <c r="AG787" i="1"/>
  <c r="AF787" i="1"/>
  <c r="AE787" i="1"/>
  <c r="AD787" i="1"/>
  <c r="AC787" i="1"/>
  <c r="AL786" i="1"/>
  <c r="AJ786" i="1"/>
  <c r="AI786" i="1"/>
  <c r="AH786" i="1"/>
  <c r="AG786" i="1"/>
  <c r="AF786" i="1"/>
  <c r="AE786" i="1"/>
  <c r="AD786" i="1"/>
  <c r="AC786" i="1"/>
  <c r="AL785" i="1"/>
  <c r="AJ785" i="1"/>
  <c r="AI785" i="1"/>
  <c r="AH785" i="1"/>
  <c r="AG785" i="1"/>
  <c r="AF785" i="1"/>
  <c r="AE785" i="1"/>
  <c r="AD785" i="1"/>
  <c r="AC785" i="1"/>
  <c r="AL784" i="1"/>
  <c r="AJ784" i="1"/>
  <c r="AI784" i="1"/>
  <c r="AH784" i="1"/>
  <c r="AG784" i="1"/>
  <c r="AF784" i="1"/>
  <c r="AE784" i="1"/>
  <c r="AD784" i="1"/>
  <c r="AC784" i="1"/>
  <c r="AL783" i="1"/>
  <c r="AJ783" i="1"/>
  <c r="AI783" i="1"/>
  <c r="AH783" i="1"/>
  <c r="AG783" i="1"/>
  <c r="AF783" i="1"/>
  <c r="AE783" i="1"/>
  <c r="AD783" i="1"/>
  <c r="AC783" i="1"/>
  <c r="AL782" i="1"/>
  <c r="AJ782" i="1"/>
  <c r="AI782" i="1"/>
  <c r="AH782" i="1"/>
  <c r="AG782" i="1"/>
  <c r="AF782" i="1"/>
  <c r="AE782" i="1"/>
  <c r="AD782" i="1"/>
  <c r="AC782" i="1"/>
  <c r="AL781" i="1"/>
  <c r="AJ781" i="1"/>
  <c r="AI781" i="1"/>
  <c r="AH781" i="1"/>
  <c r="AG781" i="1"/>
  <c r="AF781" i="1"/>
  <c r="AE781" i="1"/>
  <c r="AD781" i="1"/>
  <c r="AC781" i="1"/>
  <c r="AL780" i="1"/>
  <c r="AJ780" i="1"/>
  <c r="AI780" i="1"/>
  <c r="AH780" i="1"/>
  <c r="AG780" i="1"/>
  <c r="AF780" i="1"/>
  <c r="AE780" i="1"/>
  <c r="AD780" i="1"/>
  <c r="AC780" i="1"/>
  <c r="AL779" i="1"/>
  <c r="AJ779" i="1"/>
  <c r="AI779" i="1"/>
  <c r="AH779" i="1"/>
  <c r="AG779" i="1"/>
  <c r="AF779" i="1"/>
  <c r="AE779" i="1"/>
  <c r="AD779" i="1"/>
  <c r="AC779" i="1"/>
  <c r="AL778" i="1"/>
  <c r="AJ778" i="1"/>
  <c r="AI778" i="1"/>
  <c r="AH778" i="1"/>
  <c r="AG778" i="1"/>
  <c r="AF778" i="1"/>
  <c r="AE778" i="1"/>
  <c r="AD778" i="1"/>
  <c r="AC778" i="1"/>
  <c r="AL777" i="1"/>
  <c r="AJ777" i="1"/>
  <c r="AI777" i="1"/>
  <c r="AH777" i="1"/>
  <c r="AG777" i="1"/>
  <c r="AF777" i="1"/>
  <c r="AE777" i="1"/>
  <c r="AD777" i="1"/>
  <c r="AC777" i="1"/>
  <c r="AL776" i="1"/>
  <c r="AJ776" i="1"/>
  <c r="AI776" i="1"/>
  <c r="AH776" i="1"/>
  <c r="AG776" i="1"/>
  <c r="AF776" i="1"/>
  <c r="AE776" i="1"/>
  <c r="AD776" i="1"/>
  <c r="AC776" i="1"/>
  <c r="AL775" i="1"/>
  <c r="AJ775" i="1"/>
  <c r="AI775" i="1"/>
  <c r="AH775" i="1"/>
  <c r="AG775" i="1"/>
  <c r="AF775" i="1"/>
  <c r="AE775" i="1"/>
  <c r="AD775" i="1"/>
  <c r="AC775" i="1"/>
  <c r="AL774" i="1"/>
  <c r="AJ774" i="1"/>
  <c r="AI774" i="1"/>
  <c r="AH774" i="1"/>
  <c r="AG774" i="1"/>
  <c r="AF774" i="1"/>
  <c r="AE774" i="1"/>
  <c r="AD774" i="1"/>
  <c r="AC774" i="1"/>
  <c r="AL773" i="1"/>
  <c r="AJ773" i="1"/>
  <c r="AI773" i="1"/>
  <c r="AH773" i="1"/>
  <c r="AG773" i="1"/>
  <c r="AF773" i="1"/>
  <c r="AE773" i="1"/>
  <c r="AD773" i="1"/>
  <c r="AC773" i="1"/>
  <c r="AL772" i="1"/>
  <c r="AJ772" i="1"/>
  <c r="AI772" i="1"/>
  <c r="AH772" i="1"/>
  <c r="AG772" i="1"/>
  <c r="AF772" i="1"/>
  <c r="AE772" i="1"/>
  <c r="AD772" i="1"/>
  <c r="AC772" i="1"/>
  <c r="AL771" i="1"/>
  <c r="AJ771" i="1"/>
  <c r="AI771" i="1"/>
  <c r="AH771" i="1"/>
  <c r="AG771" i="1"/>
  <c r="AF771" i="1"/>
  <c r="AE771" i="1"/>
  <c r="AD771" i="1"/>
  <c r="AC771" i="1"/>
  <c r="AL770" i="1"/>
  <c r="AJ770" i="1"/>
  <c r="AI770" i="1"/>
  <c r="AH770" i="1"/>
  <c r="AG770" i="1"/>
  <c r="AF770" i="1"/>
  <c r="AE770" i="1"/>
  <c r="AD770" i="1"/>
  <c r="AC770" i="1"/>
  <c r="AL769" i="1"/>
  <c r="AJ769" i="1"/>
  <c r="AI769" i="1"/>
  <c r="AH769" i="1"/>
  <c r="AG769" i="1"/>
  <c r="AF769" i="1"/>
  <c r="AE769" i="1"/>
  <c r="AD769" i="1"/>
  <c r="AC769" i="1"/>
  <c r="AL768" i="1"/>
  <c r="AJ768" i="1"/>
  <c r="AI768" i="1"/>
  <c r="AH768" i="1"/>
  <c r="AG768" i="1"/>
  <c r="AF768" i="1"/>
  <c r="AE768" i="1"/>
  <c r="AD768" i="1"/>
  <c r="AC768" i="1"/>
  <c r="AL767" i="1"/>
  <c r="AJ767" i="1"/>
  <c r="AI767" i="1"/>
  <c r="AH767" i="1"/>
  <c r="AG767" i="1"/>
  <c r="AF767" i="1"/>
  <c r="AE767" i="1"/>
  <c r="AD767" i="1"/>
  <c r="AC767" i="1"/>
  <c r="AL766" i="1"/>
  <c r="AJ766" i="1"/>
  <c r="AI766" i="1"/>
  <c r="AH766" i="1"/>
  <c r="AG766" i="1"/>
  <c r="AF766" i="1"/>
  <c r="AE766" i="1"/>
  <c r="AD766" i="1"/>
  <c r="AC766" i="1"/>
  <c r="AL765" i="1"/>
  <c r="AJ765" i="1"/>
  <c r="AI765" i="1"/>
  <c r="AH765" i="1"/>
  <c r="AG765" i="1"/>
  <c r="AF765" i="1"/>
  <c r="AE765" i="1"/>
  <c r="AD765" i="1"/>
  <c r="AC765" i="1"/>
  <c r="AL764" i="1"/>
  <c r="AJ764" i="1"/>
  <c r="AI764" i="1"/>
  <c r="AH764" i="1"/>
  <c r="AG764" i="1"/>
  <c r="AF764" i="1"/>
  <c r="AE764" i="1"/>
  <c r="AD764" i="1"/>
  <c r="AC764" i="1"/>
  <c r="AL763" i="1"/>
  <c r="AJ763" i="1"/>
  <c r="AI763" i="1"/>
  <c r="AH763" i="1"/>
  <c r="AG763" i="1"/>
  <c r="AF763" i="1"/>
  <c r="AE763" i="1"/>
  <c r="AD763" i="1"/>
  <c r="AC763" i="1"/>
  <c r="AL762" i="1"/>
  <c r="AJ762" i="1"/>
  <c r="AI762" i="1"/>
  <c r="AH762" i="1"/>
  <c r="AG762" i="1"/>
  <c r="AF762" i="1"/>
  <c r="AE762" i="1"/>
  <c r="AD762" i="1"/>
  <c r="AC762" i="1"/>
  <c r="AL761" i="1"/>
  <c r="AJ761" i="1"/>
  <c r="AI761" i="1"/>
  <c r="AH761" i="1"/>
  <c r="AG761" i="1"/>
  <c r="AF761" i="1"/>
  <c r="AE761" i="1"/>
  <c r="AD761" i="1"/>
  <c r="AC761" i="1"/>
  <c r="AL760" i="1"/>
  <c r="AJ760" i="1"/>
  <c r="AI760" i="1"/>
  <c r="AH760" i="1"/>
  <c r="AG760" i="1"/>
  <c r="AF760" i="1"/>
  <c r="AE760" i="1"/>
  <c r="AD760" i="1"/>
  <c r="AC760" i="1"/>
  <c r="AL759" i="1"/>
  <c r="AJ759" i="1"/>
  <c r="AI759" i="1"/>
  <c r="AH759" i="1"/>
  <c r="AG759" i="1"/>
  <c r="AF759" i="1"/>
  <c r="AE759" i="1"/>
  <c r="AD759" i="1"/>
  <c r="AC759" i="1"/>
  <c r="AL758" i="1"/>
  <c r="AJ758" i="1"/>
  <c r="AI758" i="1"/>
  <c r="AH758" i="1"/>
  <c r="AG758" i="1"/>
  <c r="AF758" i="1"/>
  <c r="AE758" i="1"/>
  <c r="AD758" i="1"/>
  <c r="AC758" i="1"/>
  <c r="AL757" i="1"/>
  <c r="AJ757" i="1"/>
  <c r="AI757" i="1"/>
  <c r="AH757" i="1"/>
  <c r="AG757" i="1"/>
  <c r="AF757" i="1"/>
  <c r="AE757" i="1"/>
  <c r="AD757" i="1"/>
  <c r="AC757" i="1"/>
  <c r="AL756" i="1"/>
  <c r="AJ756" i="1"/>
  <c r="AI756" i="1"/>
  <c r="AH756" i="1"/>
  <c r="AG756" i="1"/>
  <c r="AF756" i="1"/>
  <c r="AE756" i="1"/>
  <c r="AD756" i="1"/>
  <c r="AC756" i="1"/>
  <c r="AL755" i="1"/>
  <c r="AJ755" i="1"/>
  <c r="AI755" i="1"/>
  <c r="AH755" i="1"/>
  <c r="AG755" i="1"/>
  <c r="AF755" i="1"/>
  <c r="AE755" i="1"/>
  <c r="AD755" i="1"/>
  <c r="AC755" i="1"/>
  <c r="AL754" i="1"/>
  <c r="AJ754" i="1"/>
  <c r="AI754" i="1"/>
  <c r="AH754" i="1"/>
  <c r="AG754" i="1"/>
  <c r="AF754" i="1"/>
  <c r="AE754" i="1"/>
  <c r="AD754" i="1"/>
  <c r="AC754" i="1"/>
  <c r="AL753" i="1"/>
  <c r="AJ753" i="1"/>
  <c r="AI753" i="1"/>
  <c r="AH753" i="1"/>
  <c r="AG753" i="1"/>
  <c r="AF753" i="1"/>
  <c r="AE753" i="1"/>
  <c r="AD753" i="1"/>
  <c r="AC753" i="1"/>
  <c r="AL752" i="1"/>
  <c r="AJ752" i="1"/>
  <c r="AI752" i="1"/>
  <c r="AH752" i="1"/>
  <c r="AG752" i="1"/>
  <c r="AF752" i="1"/>
  <c r="AE752" i="1"/>
  <c r="AD752" i="1"/>
  <c r="AC752" i="1"/>
  <c r="AL751" i="1"/>
  <c r="AJ751" i="1"/>
  <c r="AI751" i="1"/>
  <c r="AH751" i="1"/>
  <c r="AG751" i="1"/>
  <c r="AF751" i="1"/>
  <c r="AE751" i="1"/>
  <c r="AD751" i="1"/>
  <c r="AC751" i="1"/>
  <c r="AL750" i="1"/>
  <c r="AJ750" i="1"/>
  <c r="AI750" i="1"/>
  <c r="AH750" i="1"/>
  <c r="AG750" i="1"/>
  <c r="AF750" i="1"/>
  <c r="AE750" i="1"/>
  <c r="AD750" i="1"/>
  <c r="AC750" i="1"/>
  <c r="AL749" i="1"/>
  <c r="AJ749" i="1"/>
  <c r="AI749" i="1"/>
  <c r="AH749" i="1"/>
  <c r="AG749" i="1"/>
  <c r="AF749" i="1"/>
  <c r="AE749" i="1"/>
  <c r="AD749" i="1"/>
  <c r="AC749" i="1"/>
  <c r="AL748" i="1"/>
  <c r="AJ748" i="1"/>
  <c r="AI748" i="1"/>
  <c r="AH748" i="1"/>
  <c r="AG748" i="1"/>
  <c r="AF748" i="1"/>
  <c r="AE748" i="1"/>
  <c r="AD748" i="1"/>
  <c r="AC748" i="1"/>
  <c r="AL747" i="1"/>
  <c r="AJ747" i="1"/>
  <c r="AI747" i="1"/>
  <c r="AH747" i="1"/>
  <c r="AG747" i="1"/>
  <c r="AF747" i="1"/>
  <c r="AE747" i="1"/>
  <c r="AD747" i="1"/>
  <c r="AC747" i="1"/>
  <c r="AL746" i="1"/>
  <c r="AJ746" i="1"/>
  <c r="AI746" i="1"/>
  <c r="AH746" i="1"/>
  <c r="AG746" i="1"/>
  <c r="AF746" i="1"/>
  <c r="AE746" i="1"/>
  <c r="AD746" i="1"/>
  <c r="AC746" i="1"/>
  <c r="AL745" i="1"/>
  <c r="AJ745" i="1"/>
  <c r="AI745" i="1"/>
  <c r="AH745" i="1"/>
  <c r="AG745" i="1"/>
  <c r="AF745" i="1"/>
  <c r="AE745" i="1"/>
  <c r="AD745" i="1"/>
  <c r="AC745" i="1"/>
  <c r="AL744" i="1"/>
  <c r="AJ744" i="1"/>
  <c r="AI744" i="1"/>
  <c r="AH744" i="1"/>
  <c r="AG744" i="1"/>
  <c r="AF744" i="1"/>
  <c r="AE744" i="1"/>
  <c r="AD744" i="1"/>
  <c r="AC744" i="1"/>
  <c r="AL743" i="1"/>
  <c r="AJ743" i="1"/>
  <c r="AI743" i="1"/>
  <c r="AH743" i="1"/>
  <c r="AG743" i="1"/>
  <c r="AF743" i="1"/>
  <c r="AE743" i="1"/>
  <c r="AD743" i="1"/>
  <c r="AC743" i="1"/>
  <c r="AL742" i="1"/>
  <c r="AJ742" i="1"/>
  <c r="AI742" i="1"/>
  <c r="AH742" i="1"/>
  <c r="AG742" i="1"/>
  <c r="AF742" i="1"/>
  <c r="AE742" i="1"/>
  <c r="AD742" i="1"/>
  <c r="AC742" i="1"/>
  <c r="AL741" i="1"/>
  <c r="AJ741" i="1"/>
  <c r="AI741" i="1"/>
  <c r="AH741" i="1"/>
  <c r="AG741" i="1"/>
  <c r="AF741" i="1"/>
  <c r="AE741" i="1"/>
  <c r="AD741" i="1"/>
  <c r="AC741" i="1"/>
  <c r="AL740" i="1"/>
  <c r="AJ740" i="1"/>
  <c r="AI740" i="1"/>
  <c r="AH740" i="1"/>
  <c r="AG740" i="1"/>
  <c r="AF740" i="1"/>
  <c r="AE740" i="1"/>
  <c r="AD740" i="1"/>
  <c r="AC740" i="1"/>
  <c r="AL739" i="1"/>
  <c r="AJ739" i="1"/>
  <c r="AI739" i="1"/>
  <c r="AH739" i="1"/>
  <c r="AG739" i="1"/>
  <c r="AF739" i="1"/>
  <c r="AE739" i="1"/>
  <c r="AD739" i="1"/>
  <c r="AC739" i="1"/>
  <c r="AL738" i="1"/>
  <c r="AJ738" i="1"/>
  <c r="AI738" i="1"/>
  <c r="AH738" i="1"/>
  <c r="AG738" i="1"/>
  <c r="AF738" i="1"/>
  <c r="AE738" i="1"/>
  <c r="AD738" i="1"/>
  <c r="AC738" i="1"/>
  <c r="AL737" i="1"/>
  <c r="AJ737" i="1"/>
  <c r="AI737" i="1"/>
  <c r="AH737" i="1"/>
  <c r="AG737" i="1"/>
  <c r="AF737" i="1"/>
  <c r="AE737" i="1"/>
  <c r="AD737" i="1"/>
  <c r="AC737" i="1"/>
  <c r="AL736" i="1"/>
  <c r="AJ736" i="1"/>
  <c r="AI736" i="1"/>
  <c r="AH736" i="1"/>
  <c r="AG736" i="1"/>
  <c r="AF736" i="1"/>
  <c r="AE736" i="1"/>
  <c r="AD736" i="1"/>
  <c r="AC736" i="1"/>
  <c r="AL735" i="1"/>
  <c r="AJ735" i="1"/>
  <c r="AI735" i="1"/>
  <c r="AH735" i="1"/>
  <c r="AG735" i="1"/>
  <c r="AF735" i="1"/>
  <c r="AE735" i="1"/>
  <c r="AD735" i="1"/>
  <c r="AC735" i="1"/>
  <c r="AL734" i="1"/>
  <c r="AJ734" i="1"/>
  <c r="AI734" i="1"/>
  <c r="AH734" i="1"/>
  <c r="AG734" i="1"/>
  <c r="AF734" i="1"/>
  <c r="AE734" i="1"/>
  <c r="AD734" i="1"/>
  <c r="AC734" i="1"/>
  <c r="AL733" i="1"/>
  <c r="AJ733" i="1"/>
  <c r="AI733" i="1"/>
  <c r="AH733" i="1"/>
  <c r="AG733" i="1"/>
  <c r="AF733" i="1"/>
  <c r="AE733" i="1"/>
  <c r="AD733" i="1"/>
  <c r="AC733" i="1"/>
  <c r="AL732" i="1"/>
  <c r="AJ732" i="1"/>
  <c r="AI732" i="1"/>
  <c r="AH732" i="1"/>
  <c r="AG732" i="1"/>
  <c r="AF732" i="1"/>
  <c r="AE732" i="1"/>
  <c r="AD732" i="1"/>
  <c r="AC732" i="1"/>
  <c r="AL731" i="1"/>
  <c r="AJ731" i="1"/>
  <c r="AI731" i="1"/>
  <c r="AH731" i="1"/>
  <c r="AG731" i="1"/>
  <c r="AF731" i="1"/>
  <c r="AE731" i="1"/>
  <c r="AD731" i="1"/>
  <c r="AC731" i="1"/>
  <c r="AL730" i="1"/>
  <c r="AJ730" i="1"/>
  <c r="AI730" i="1"/>
  <c r="AH730" i="1"/>
  <c r="AG730" i="1"/>
  <c r="AF730" i="1"/>
  <c r="AE730" i="1"/>
  <c r="AD730" i="1"/>
  <c r="AC730" i="1"/>
  <c r="AL729" i="1"/>
  <c r="AJ729" i="1"/>
  <c r="AI729" i="1"/>
  <c r="AH729" i="1"/>
  <c r="AG729" i="1"/>
  <c r="AF729" i="1"/>
  <c r="AE729" i="1"/>
  <c r="AD729" i="1"/>
  <c r="AC729" i="1"/>
  <c r="AL728" i="1"/>
  <c r="AJ728" i="1"/>
  <c r="AI728" i="1"/>
  <c r="AH728" i="1"/>
  <c r="AG728" i="1"/>
  <c r="AF728" i="1"/>
  <c r="AE728" i="1"/>
  <c r="AD728" i="1"/>
  <c r="AC728" i="1"/>
  <c r="AL727" i="1"/>
  <c r="AJ727" i="1"/>
  <c r="AI727" i="1"/>
  <c r="AH727" i="1"/>
  <c r="AG727" i="1"/>
  <c r="AF727" i="1"/>
  <c r="AE727" i="1"/>
  <c r="AD727" i="1"/>
  <c r="AC727" i="1"/>
  <c r="AL726" i="1"/>
  <c r="AJ726" i="1"/>
  <c r="AI726" i="1"/>
  <c r="AH726" i="1"/>
  <c r="AG726" i="1"/>
  <c r="AF726" i="1"/>
  <c r="AE726" i="1"/>
  <c r="AD726" i="1"/>
  <c r="AC726" i="1"/>
  <c r="AL725" i="1"/>
  <c r="AJ725" i="1"/>
  <c r="AI725" i="1"/>
  <c r="AH725" i="1"/>
  <c r="AG725" i="1"/>
  <c r="AF725" i="1"/>
  <c r="AE725" i="1"/>
  <c r="AD725" i="1"/>
  <c r="AC725" i="1"/>
  <c r="AL724" i="1"/>
  <c r="AJ724" i="1"/>
  <c r="AI724" i="1"/>
  <c r="AH724" i="1"/>
  <c r="AG724" i="1"/>
  <c r="AF724" i="1"/>
  <c r="AE724" i="1"/>
  <c r="AD724" i="1"/>
  <c r="AC724" i="1"/>
  <c r="AL723" i="1"/>
  <c r="AJ723" i="1"/>
  <c r="AI723" i="1"/>
  <c r="AH723" i="1"/>
  <c r="AG723" i="1"/>
  <c r="AF723" i="1"/>
  <c r="AE723" i="1"/>
  <c r="AD723" i="1"/>
  <c r="AC723" i="1"/>
  <c r="AL722" i="1"/>
  <c r="AJ722" i="1"/>
  <c r="AI722" i="1"/>
  <c r="AH722" i="1"/>
  <c r="AG722" i="1"/>
  <c r="AF722" i="1"/>
  <c r="AE722" i="1"/>
  <c r="AD722" i="1"/>
  <c r="AC722" i="1"/>
  <c r="AL721" i="1"/>
  <c r="AJ721" i="1"/>
  <c r="AI721" i="1"/>
  <c r="AH721" i="1"/>
  <c r="AG721" i="1"/>
  <c r="AF721" i="1"/>
  <c r="AE721" i="1"/>
  <c r="AD721" i="1"/>
  <c r="AC721" i="1"/>
  <c r="AL720" i="1"/>
  <c r="AJ720" i="1"/>
  <c r="AI720" i="1"/>
  <c r="AH720" i="1"/>
  <c r="AG720" i="1"/>
  <c r="AF720" i="1"/>
  <c r="AE720" i="1"/>
  <c r="AD720" i="1"/>
  <c r="AC720" i="1"/>
  <c r="AL719" i="1"/>
  <c r="AJ719" i="1"/>
  <c r="AI719" i="1"/>
  <c r="AH719" i="1"/>
  <c r="AG719" i="1"/>
  <c r="AF719" i="1"/>
  <c r="AE719" i="1"/>
  <c r="AD719" i="1"/>
  <c r="AC719" i="1"/>
  <c r="AL718" i="1"/>
  <c r="AJ718" i="1"/>
  <c r="AI718" i="1"/>
  <c r="AH718" i="1"/>
  <c r="AG718" i="1"/>
  <c r="AF718" i="1"/>
  <c r="AE718" i="1"/>
  <c r="AD718" i="1"/>
  <c r="AC718" i="1"/>
  <c r="AL717" i="1"/>
  <c r="AJ717" i="1"/>
  <c r="AI717" i="1"/>
  <c r="AH717" i="1"/>
  <c r="AG717" i="1"/>
  <c r="AF717" i="1"/>
  <c r="AE717" i="1"/>
  <c r="AD717" i="1"/>
  <c r="AC717" i="1"/>
  <c r="AL716" i="1"/>
  <c r="AJ716" i="1"/>
  <c r="AI716" i="1"/>
  <c r="AH716" i="1"/>
  <c r="AG716" i="1"/>
  <c r="AF716" i="1"/>
  <c r="AE716" i="1"/>
  <c r="AD716" i="1"/>
  <c r="AC716" i="1"/>
  <c r="AL715" i="1"/>
  <c r="AJ715" i="1"/>
  <c r="AI715" i="1"/>
  <c r="AH715" i="1"/>
  <c r="AG715" i="1"/>
  <c r="AF715" i="1"/>
  <c r="AE715" i="1"/>
  <c r="AD715" i="1"/>
  <c r="AC715" i="1"/>
  <c r="AL714" i="1"/>
  <c r="AJ714" i="1"/>
  <c r="AI714" i="1"/>
  <c r="AH714" i="1"/>
  <c r="AG714" i="1"/>
  <c r="AF714" i="1"/>
  <c r="AE714" i="1"/>
  <c r="AD714" i="1"/>
  <c r="AC714" i="1"/>
  <c r="AL713" i="1"/>
  <c r="AJ713" i="1"/>
  <c r="AI713" i="1"/>
  <c r="AH713" i="1"/>
  <c r="AG713" i="1"/>
  <c r="AF713" i="1"/>
  <c r="AE713" i="1"/>
  <c r="AD713" i="1"/>
  <c r="AC713" i="1"/>
  <c r="AL712" i="1"/>
  <c r="AJ712" i="1"/>
  <c r="AI712" i="1"/>
  <c r="AH712" i="1"/>
  <c r="AG712" i="1"/>
  <c r="AF712" i="1"/>
  <c r="AE712" i="1"/>
  <c r="AD712" i="1"/>
  <c r="AC712" i="1"/>
  <c r="AL711" i="1"/>
  <c r="AJ711" i="1"/>
  <c r="AI711" i="1"/>
  <c r="AH711" i="1"/>
  <c r="AG711" i="1"/>
  <c r="AF711" i="1"/>
  <c r="AE711" i="1"/>
  <c r="AD711" i="1"/>
  <c r="AC711" i="1"/>
  <c r="AL710" i="1"/>
  <c r="AJ710" i="1"/>
  <c r="AI710" i="1"/>
  <c r="AH710" i="1"/>
  <c r="AG710" i="1"/>
  <c r="AF710" i="1"/>
  <c r="AE710" i="1"/>
  <c r="AD710" i="1"/>
  <c r="AC710" i="1"/>
  <c r="AL709" i="1"/>
  <c r="AJ709" i="1"/>
  <c r="AI709" i="1"/>
  <c r="AH709" i="1"/>
  <c r="AG709" i="1"/>
  <c r="AF709" i="1"/>
  <c r="AE709" i="1"/>
  <c r="AD709" i="1"/>
  <c r="AC709" i="1"/>
  <c r="AL708" i="1"/>
  <c r="AJ708" i="1"/>
  <c r="AI708" i="1"/>
  <c r="AH708" i="1"/>
  <c r="AG708" i="1"/>
  <c r="AF708" i="1"/>
  <c r="AE708" i="1"/>
  <c r="AD708" i="1"/>
  <c r="AC708" i="1"/>
  <c r="AL707" i="1"/>
  <c r="AJ707" i="1"/>
  <c r="AI707" i="1"/>
  <c r="AH707" i="1"/>
  <c r="AG707" i="1"/>
  <c r="AF707" i="1"/>
  <c r="AE707" i="1"/>
  <c r="AD707" i="1"/>
  <c r="AC707" i="1"/>
  <c r="AL706" i="1"/>
  <c r="AJ706" i="1"/>
  <c r="AI706" i="1"/>
  <c r="AH706" i="1"/>
  <c r="AG706" i="1"/>
  <c r="AF706" i="1"/>
  <c r="AE706" i="1"/>
  <c r="AD706" i="1"/>
  <c r="AC706" i="1"/>
  <c r="AL705" i="1"/>
  <c r="AJ705" i="1"/>
  <c r="AI705" i="1"/>
  <c r="AH705" i="1"/>
  <c r="AG705" i="1"/>
  <c r="AF705" i="1"/>
  <c r="AE705" i="1"/>
  <c r="AD705" i="1"/>
  <c r="AC705" i="1"/>
  <c r="AL704" i="1"/>
  <c r="AJ704" i="1"/>
  <c r="AI704" i="1"/>
  <c r="AH704" i="1"/>
  <c r="AG704" i="1"/>
  <c r="AF704" i="1"/>
  <c r="AE704" i="1"/>
  <c r="AD704" i="1"/>
  <c r="AC704" i="1"/>
  <c r="AL703" i="1"/>
  <c r="AJ703" i="1"/>
  <c r="AI703" i="1"/>
  <c r="AH703" i="1"/>
  <c r="AG703" i="1"/>
  <c r="AF703" i="1"/>
  <c r="AE703" i="1"/>
  <c r="AD703" i="1"/>
  <c r="AC703" i="1"/>
  <c r="AL702" i="1"/>
  <c r="AJ702" i="1"/>
  <c r="AI702" i="1"/>
  <c r="AH702" i="1"/>
  <c r="AG702" i="1"/>
  <c r="AF702" i="1"/>
  <c r="AE702" i="1"/>
  <c r="AD702" i="1"/>
  <c r="AC702" i="1"/>
  <c r="AL701" i="1"/>
  <c r="AJ701" i="1"/>
  <c r="AI701" i="1"/>
  <c r="AH701" i="1"/>
  <c r="AG701" i="1"/>
  <c r="AF701" i="1"/>
  <c r="AE701" i="1"/>
  <c r="AD701" i="1"/>
  <c r="AC701" i="1"/>
  <c r="AL700" i="1"/>
  <c r="AJ700" i="1"/>
  <c r="AI700" i="1"/>
  <c r="AH700" i="1"/>
  <c r="AG700" i="1"/>
  <c r="AF700" i="1"/>
  <c r="AE700" i="1"/>
  <c r="AD700" i="1"/>
  <c r="AC700" i="1"/>
  <c r="AL699" i="1"/>
  <c r="AJ699" i="1"/>
  <c r="AI699" i="1"/>
  <c r="AH699" i="1"/>
  <c r="AG699" i="1"/>
  <c r="AF699" i="1"/>
  <c r="AE699" i="1"/>
  <c r="AD699" i="1"/>
  <c r="AC699" i="1"/>
  <c r="AL698" i="1"/>
  <c r="AJ698" i="1"/>
  <c r="AI698" i="1"/>
  <c r="AH698" i="1"/>
  <c r="AG698" i="1"/>
  <c r="AF698" i="1"/>
  <c r="AE698" i="1"/>
  <c r="AD698" i="1"/>
  <c r="AC698" i="1"/>
  <c r="AL697" i="1"/>
  <c r="AJ697" i="1"/>
  <c r="AI697" i="1"/>
  <c r="AH697" i="1"/>
  <c r="AG697" i="1"/>
  <c r="AF697" i="1"/>
  <c r="AE697" i="1"/>
  <c r="AD697" i="1"/>
  <c r="AC697" i="1"/>
  <c r="AL696" i="1"/>
  <c r="AJ696" i="1"/>
  <c r="AI696" i="1"/>
  <c r="AH696" i="1"/>
  <c r="AG696" i="1"/>
  <c r="AF696" i="1"/>
  <c r="AE696" i="1"/>
  <c r="AD696" i="1"/>
  <c r="AC696" i="1"/>
  <c r="AL695" i="1"/>
  <c r="AJ695" i="1"/>
  <c r="AI695" i="1"/>
  <c r="AH695" i="1"/>
  <c r="AG695" i="1"/>
  <c r="AF695" i="1"/>
  <c r="AE695" i="1"/>
  <c r="AD695" i="1"/>
  <c r="AC695" i="1"/>
  <c r="AL694" i="1"/>
  <c r="AJ694" i="1"/>
  <c r="AI694" i="1"/>
  <c r="AH694" i="1"/>
  <c r="AG694" i="1"/>
  <c r="AF694" i="1"/>
  <c r="AE694" i="1"/>
  <c r="AD694" i="1"/>
  <c r="AC694" i="1"/>
  <c r="AL693" i="1"/>
  <c r="AJ693" i="1"/>
  <c r="AI693" i="1"/>
  <c r="AH693" i="1"/>
  <c r="AG693" i="1"/>
  <c r="AF693" i="1"/>
  <c r="AE693" i="1"/>
  <c r="AD693" i="1"/>
  <c r="AC693" i="1"/>
  <c r="AL692" i="1"/>
  <c r="AJ692" i="1"/>
  <c r="AI692" i="1"/>
  <c r="AH692" i="1"/>
  <c r="AG692" i="1"/>
  <c r="AF692" i="1"/>
  <c r="AE692" i="1"/>
  <c r="AD692" i="1"/>
  <c r="AC692" i="1"/>
  <c r="AL691" i="1"/>
  <c r="AJ691" i="1"/>
  <c r="AI691" i="1"/>
  <c r="AH691" i="1"/>
  <c r="AG691" i="1"/>
  <c r="AF691" i="1"/>
  <c r="AE691" i="1"/>
  <c r="AD691" i="1"/>
  <c r="AC691" i="1"/>
  <c r="AL690" i="1"/>
  <c r="AJ690" i="1"/>
  <c r="AI690" i="1"/>
  <c r="AH690" i="1"/>
  <c r="AG690" i="1"/>
  <c r="AF690" i="1"/>
  <c r="AE690" i="1"/>
  <c r="AD690" i="1"/>
  <c r="AC690" i="1"/>
  <c r="AL689" i="1"/>
  <c r="AJ689" i="1"/>
  <c r="AI689" i="1"/>
  <c r="AH689" i="1"/>
  <c r="AG689" i="1"/>
  <c r="AF689" i="1"/>
  <c r="AE689" i="1"/>
  <c r="AD689" i="1"/>
  <c r="AC689" i="1"/>
  <c r="AL688" i="1"/>
  <c r="AJ688" i="1"/>
  <c r="AI688" i="1"/>
  <c r="AH688" i="1"/>
  <c r="AG688" i="1"/>
  <c r="AF688" i="1"/>
  <c r="AE688" i="1"/>
  <c r="AD688" i="1"/>
  <c r="AC688" i="1"/>
  <c r="AL687" i="1"/>
  <c r="AJ687" i="1"/>
  <c r="AI687" i="1"/>
  <c r="AH687" i="1"/>
  <c r="AG687" i="1"/>
  <c r="AF687" i="1"/>
  <c r="AE687" i="1"/>
  <c r="AD687" i="1"/>
  <c r="AC687" i="1"/>
  <c r="AL686" i="1"/>
  <c r="AJ686" i="1"/>
  <c r="AI686" i="1"/>
  <c r="AH686" i="1"/>
  <c r="AG686" i="1"/>
  <c r="AF686" i="1"/>
  <c r="AE686" i="1"/>
  <c r="AD686" i="1"/>
  <c r="AC686" i="1"/>
  <c r="AL685" i="1"/>
  <c r="AJ685" i="1"/>
  <c r="AI685" i="1"/>
  <c r="AH685" i="1"/>
  <c r="AG685" i="1"/>
  <c r="AF685" i="1"/>
  <c r="AE685" i="1"/>
  <c r="AD685" i="1"/>
  <c r="AC685" i="1"/>
  <c r="AL684" i="1"/>
  <c r="AJ684" i="1"/>
  <c r="AI684" i="1"/>
  <c r="AH684" i="1"/>
  <c r="AG684" i="1"/>
  <c r="AF684" i="1"/>
  <c r="AE684" i="1"/>
  <c r="AD684" i="1"/>
  <c r="AC684" i="1"/>
  <c r="AL683" i="1"/>
  <c r="AJ683" i="1"/>
  <c r="AI683" i="1"/>
  <c r="AH683" i="1"/>
  <c r="AG683" i="1"/>
  <c r="AF683" i="1"/>
  <c r="AE683" i="1"/>
  <c r="AD683" i="1"/>
  <c r="AC683" i="1"/>
  <c r="AL682" i="1"/>
  <c r="AJ682" i="1"/>
  <c r="AI682" i="1"/>
  <c r="AH682" i="1"/>
  <c r="AG682" i="1"/>
  <c r="AF682" i="1"/>
  <c r="AE682" i="1"/>
  <c r="AD682" i="1"/>
  <c r="AC682" i="1"/>
  <c r="AL681" i="1"/>
  <c r="AJ681" i="1"/>
  <c r="AI681" i="1"/>
  <c r="AH681" i="1"/>
  <c r="AG681" i="1"/>
  <c r="AF681" i="1"/>
  <c r="AE681" i="1"/>
  <c r="AD681" i="1"/>
  <c r="AC681" i="1"/>
  <c r="AL680" i="1"/>
  <c r="AJ680" i="1"/>
  <c r="AI680" i="1"/>
  <c r="AH680" i="1"/>
  <c r="AG680" i="1"/>
  <c r="AF680" i="1"/>
  <c r="AE680" i="1"/>
  <c r="AD680" i="1"/>
  <c r="AC680" i="1"/>
  <c r="AL679" i="1"/>
  <c r="AJ679" i="1"/>
  <c r="AI679" i="1"/>
  <c r="AH679" i="1"/>
  <c r="AG679" i="1"/>
  <c r="AF679" i="1"/>
  <c r="AE679" i="1"/>
  <c r="AD679" i="1"/>
  <c r="AC679" i="1"/>
  <c r="AL678" i="1"/>
  <c r="AJ678" i="1"/>
  <c r="AI678" i="1"/>
  <c r="AH678" i="1"/>
  <c r="AG678" i="1"/>
  <c r="AF678" i="1"/>
  <c r="AE678" i="1"/>
  <c r="AD678" i="1"/>
  <c r="AC678" i="1"/>
  <c r="AL677" i="1"/>
  <c r="AJ677" i="1"/>
  <c r="AI677" i="1"/>
  <c r="AH677" i="1"/>
  <c r="AG677" i="1"/>
  <c r="AF677" i="1"/>
  <c r="AE677" i="1"/>
  <c r="AD677" i="1"/>
  <c r="AC677" i="1"/>
  <c r="AL676" i="1"/>
  <c r="AJ676" i="1"/>
  <c r="AI676" i="1"/>
  <c r="AH676" i="1"/>
  <c r="AG676" i="1"/>
  <c r="AF676" i="1"/>
  <c r="AE676" i="1"/>
  <c r="AD676" i="1"/>
  <c r="AC676" i="1"/>
  <c r="AL675" i="1"/>
  <c r="AJ675" i="1"/>
  <c r="AI675" i="1"/>
  <c r="AH675" i="1"/>
  <c r="AG675" i="1"/>
  <c r="AF675" i="1"/>
  <c r="AE675" i="1"/>
  <c r="AD675" i="1"/>
  <c r="AC675" i="1"/>
  <c r="AL674" i="1"/>
  <c r="AJ674" i="1"/>
  <c r="AI674" i="1"/>
  <c r="AH674" i="1"/>
  <c r="AG674" i="1"/>
  <c r="AF674" i="1"/>
  <c r="AE674" i="1"/>
  <c r="AD674" i="1"/>
  <c r="AC674" i="1"/>
  <c r="AL673" i="1"/>
  <c r="AJ673" i="1"/>
  <c r="AI673" i="1"/>
  <c r="AH673" i="1"/>
  <c r="AG673" i="1"/>
  <c r="AF673" i="1"/>
  <c r="AE673" i="1"/>
  <c r="AD673" i="1"/>
  <c r="AC673" i="1"/>
  <c r="AL672" i="1"/>
  <c r="AJ672" i="1"/>
  <c r="AI672" i="1"/>
  <c r="AH672" i="1"/>
  <c r="AG672" i="1"/>
  <c r="AF672" i="1"/>
  <c r="AE672" i="1"/>
  <c r="AD672" i="1"/>
  <c r="AC672" i="1"/>
  <c r="AL671" i="1"/>
  <c r="AJ671" i="1"/>
  <c r="AI671" i="1"/>
  <c r="AH671" i="1"/>
  <c r="AG671" i="1"/>
  <c r="AF671" i="1"/>
  <c r="AE671" i="1"/>
  <c r="AD671" i="1"/>
  <c r="AC671" i="1"/>
  <c r="AL670" i="1"/>
  <c r="AJ670" i="1"/>
  <c r="AI670" i="1"/>
  <c r="AH670" i="1"/>
  <c r="AG670" i="1"/>
  <c r="AF670" i="1"/>
  <c r="AE670" i="1"/>
  <c r="AD670" i="1"/>
  <c r="AC670" i="1"/>
  <c r="AL669" i="1"/>
  <c r="AJ669" i="1"/>
  <c r="AI669" i="1"/>
  <c r="AH669" i="1"/>
  <c r="AG669" i="1"/>
  <c r="AF669" i="1"/>
  <c r="AE669" i="1"/>
  <c r="AD669" i="1"/>
  <c r="AC669" i="1"/>
  <c r="AL668" i="1"/>
  <c r="AJ668" i="1"/>
  <c r="AI668" i="1"/>
  <c r="AH668" i="1"/>
  <c r="AG668" i="1"/>
  <c r="AF668" i="1"/>
  <c r="AE668" i="1"/>
  <c r="AD668" i="1"/>
  <c r="AC668" i="1"/>
  <c r="AL667" i="1"/>
  <c r="AJ667" i="1"/>
  <c r="AI667" i="1"/>
  <c r="AH667" i="1"/>
  <c r="AG667" i="1"/>
  <c r="AF667" i="1"/>
  <c r="AE667" i="1"/>
  <c r="AD667" i="1"/>
  <c r="AC667" i="1"/>
  <c r="AL666" i="1"/>
  <c r="AJ666" i="1"/>
  <c r="AI666" i="1"/>
  <c r="AH666" i="1"/>
  <c r="AG666" i="1"/>
  <c r="AF666" i="1"/>
  <c r="AE666" i="1"/>
  <c r="AD666" i="1"/>
  <c r="AC666" i="1"/>
  <c r="AL665" i="1"/>
  <c r="AJ665" i="1"/>
  <c r="AI665" i="1"/>
  <c r="AH665" i="1"/>
  <c r="AG665" i="1"/>
  <c r="AF665" i="1"/>
  <c r="AE665" i="1"/>
  <c r="AD665" i="1"/>
  <c r="AC665" i="1"/>
  <c r="AL664" i="1"/>
  <c r="AJ664" i="1"/>
  <c r="AI664" i="1"/>
  <c r="AH664" i="1"/>
  <c r="AG664" i="1"/>
  <c r="AF664" i="1"/>
  <c r="AE664" i="1"/>
  <c r="AD664" i="1"/>
  <c r="AC664" i="1"/>
  <c r="AL663" i="1"/>
  <c r="AJ663" i="1"/>
  <c r="AI663" i="1"/>
  <c r="AH663" i="1"/>
  <c r="AG663" i="1"/>
  <c r="AF663" i="1"/>
  <c r="AE663" i="1"/>
  <c r="AD663" i="1"/>
  <c r="AC663" i="1"/>
  <c r="AL662" i="1"/>
  <c r="AJ662" i="1"/>
  <c r="AI662" i="1"/>
  <c r="AH662" i="1"/>
  <c r="AG662" i="1"/>
  <c r="AF662" i="1"/>
  <c r="AE662" i="1"/>
  <c r="AD662" i="1"/>
  <c r="AC662" i="1"/>
  <c r="AL661" i="1"/>
  <c r="AJ661" i="1"/>
  <c r="AI661" i="1"/>
  <c r="AH661" i="1"/>
  <c r="AG661" i="1"/>
  <c r="AF661" i="1"/>
  <c r="AE661" i="1"/>
  <c r="AD661" i="1"/>
  <c r="AC661" i="1"/>
  <c r="AL660" i="1"/>
  <c r="AJ660" i="1"/>
  <c r="AI660" i="1"/>
  <c r="AH660" i="1"/>
  <c r="AG660" i="1"/>
  <c r="AF660" i="1"/>
  <c r="AE660" i="1"/>
  <c r="AD660" i="1"/>
  <c r="AC660" i="1"/>
  <c r="AL659" i="1"/>
  <c r="AJ659" i="1"/>
  <c r="AI659" i="1"/>
  <c r="AH659" i="1"/>
  <c r="AG659" i="1"/>
  <c r="AF659" i="1"/>
  <c r="AE659" i="1"/>
  <c r="AD659" i="1"/>
  <c r="AC659" i="1"/>
  <c r="AL658" i="1"/>
  <c r="AJ658" i="1"/>
  <c r="AI658" i="1"/>
  <c r="AH658" i="1"/>
  <c r="AG658" i="1"/>
  <c r="AF658" i="1"/>
  <c r="AE658" i="1"/>
  <c r="AD658" i="1"/>
  <c r="AC658" i="1"/>
  <c r="AL657" i="1"/>
  <c r="AJ657" i="1"/>
  <c r="AI657" i="1"/>
  <c r="AH657" i="1"/>
  <c r="AG657" i="1"/>
  <c r="AF657" i="1"/>
  <c r="AE657" i="1"/>
  <c r="AD657" i="1"/>
  <c r="AC657" i="1"/>
  <c r="AL656" i="1"/>
  <c r="AJ656" i="1"/>
  <c r="AI656" i="1"/>
  <c r="AH656" i="1"/>
  <c r="AG656" i="1"/>
  <c r="AF656" i="1"/>
  <c r="AE656" i="1"/>
  <c r="AD656" i="1"/>
  <c r="AC656" i="1"/>
  <c r="AL655" i="1"/>
  <c r="AJ655" i="1"/>
  <c r="AI655" i="1"/>
  <c r="AH655" i="1"/>
  <c r="AG655" i="1"/>
  <c r="AF655" i="1"/>
  <c r="AE655" i="1"/>
  <c r="AD655" i="1"/>
  <c r="AC655" i="1"/>
  <c r="AL654" i="1"/>
  <c r="AJ654" i="1"/>
  <c r="AI654" i="1"/>
  <c r="AH654" i="1"/>
  <c r="AG654" i="1"/>
  <c r="AF654" i="1"/>
  <c r="AE654" i="1"/>
  <c r="AD654" i="1"/>
  <c r="AC654" i="1"/>
  <c r="AL653" i="1"/>
  <c r="AJ653" i="1"/>
  <c r="AI653" i="1"/>
  <c r="AH653" i="1"/>
  <c r="AG653" i="1"/>
  <c r="AF653" i="1"/>
  <c r="AE653" i="1"/>
  <c r="AD653" i="1"/>
  <c r="AC653" i="1"/>
  <c r="AL652" i="1"/>
  <c r="AJ652" i="1"/>
  <c r="AI652" i="1"/>
  <c r="AH652" i="1"/>
  <c r="AG652" i="1"/>
  <c r="AF652" i="1"/>
  <c r="AE652" i="1"/>
  <c r="AD652" i="1"/>
  <c r="AC652" i="1"/>
  <c r="AL651" i="1"/>
  <c r="AJ651" i="1"/>
  <c r="AI651" i="1"/>
  <c r="AH651" i="1"/>
  <c r="AG651" i="1"/>
  <c r="AF651" i="1"/>
  <c r="AE651" i="1"/>
  <c r="AD651" i="1"/>
  <c r="AC651" i="1"/>
  <c r="AL650" i="1"/>
  <c r="AJ650" i="1"/>
  <c r="AI650" i="1"/>
  <c r="AH650" i="1"/>
  <c r="AG650" i="1"/>
  <c r="AF650" i="1"/>
  <c r="AE650" i="1"/>
  <c r="AD650" i="1"/>
  <c r="AC650" i="1"/>
  <c r="AL649" i="1"/>
  <c r="AJ649" i="1"/>
  <c r="AI649" i="1"/>
  <c r="AH649" i="1"/>
  <c r="AG649" i="1"/>
  <c r="AF649" i="1"/>
  <c r="AE649" i="1"/>
  <c r="AD649" i="1"/>
  <c r="AC649" i="1"/>
  <c r="AL648" i="1"/>
  <c r="AJ648" i="1"/>
  <c r="AI648" i="1"/>
  <c r="AH648" i="1"/>
  <c r="AG648" i="1"/>
  <c r="AF648" i="1"/>
  <c r="AE648" i="1"/>
  <c r="AD648" i="1"/>
  <c r="AC648" i="1"/>
  <c r="AL647" i="1"/>
  <c r="AJ647" i="1"/>
  <c r="AI647" i="1"/>
  <c r="AH647" i="1"/>
  <c r="AG647" i="1"/>
  <c r="AF647" i="1"/>
  <c r="AE647" i="1"/>
  <c r="AD647" i="1"/>
  <c r="AC647" i="1"/>
  <c r="AL646" i="1"/>
  <c r="AJ646" i="1"/>
  <c r="AI646" i="1"/>
  <c r="AH646" i="1"/>
  <c r="AG646" i="1"/>
  <c r="AF646" i="1"/>
  <c r="AE646" i="1"/>
  <c r="AD646" i="1"/>
  <c r="AC646" i="1"/>
  <c r="AL645" i="1"/>
  <c r="AJ645" i="1"/>
  <c r="AI645" i="1"/>
  <c r="AH645" i="1"/>
  <c r="AG645" i="1"/>
  <c r="AF645" i="1"/>
  <c r="AE645" i="1"/>
  <c r="AD645" i="1"/>
  <c r="AC645" i="1"/>
  <c r="AL644" i="1"/>
  <c r="AJ644" i="1"/>
  <c r="AI644" i="1"/>
  <c r="AH644" i="1"/>
  <c r="AG644" i="1"/>
  <c r="AF644" i="1"/>
  <c r="AE644" i="1"/>
  <c r="AD644" i="1"/>
  <c r="AC644" i="1"/>
  <c r="AL643" i="1"/>
  <c r="AJ643" i="1"/>
  <c r="AI643" i="1"/>
  <c r="AH643" i="1"/>
  <c r="AG643" i="1"/>
  <c r="AF643" i="1"/>
  <c r="AE643" i="1"/>
  <c r="AD643" i="1"/>
  <c r="AC643" i="1"/>
  <c r="AL642" i="1"/>
  <c r="AJ642" i="1"/>
  <c r="AI642" i="1"/>
  <c r="AH642" i="1"/>
  <c r="AG642" i="1"/>
  <c r="AF642" i="1"/>
  <c r="AE642" i="1"/>
  <c r="AD642" i="1"/>
  <c r="AC642" i="1"/>
  <c r="AL641" i="1"/>
  <c r="AJ641" i="1"/>
  <c r="AI641" i="1"/>
  <c r="AH641" i="1"/>
  <c r="AG641" i="1"/>
  <c r="AF641" i="1"/>
  <c r="AE641" i="1"/>
  <c r="AD641" i="1"/>
  <c r="AC641" i="1"/>
  <c r="AL640" i="1"/>
  <c r="AJ640" i="1"/>
  <c r="AI640" i="1"/>
  <c r="AH640" i="1"/>
  <c r="AG640" i="1"/>
  <c r="AF640" i="1"/>
  <c r="AE640" i="1"/>
  <c r="AD640" i="1"/>
  <c r="AC640" i="1"/>
  <c r="AL639" i="1"/>
  <c r="AJ639" i="1"/>
  <c r="AI639" i="1"/>
  <c r="AH639" i="1"/>
  <c r="AG639" i="1"/>
  <c r="AF639" i="1"/>
  <c r="AE639" i="1"/>
  <c r="AD639" i="1"/>
  <c r="AC639" i="1"/>
  <c r="AL638" i="1"/>
  <c r="AJ638" i="1"/>
  <c r="AI638" i="1"/>
  <c r="AH638" i="1"/>
  <c r="AG638" i="1"/>
  <c r="AF638" i="1"/>
  <c r="AE638" i="1"/>
  <c r="AD638" i="1"/>
  <c r="AC638" i="1"/>
  <c r="AL637" i="1"/>
  <c r="AJ637" i="1"/>
  <c r="AI637" i="1"/>
  <c r="AH637" i="1"/>
  <c r="AG637" i="1"/>
  <c r="AF637" i="1"/>
  <c r="AE637" i="1"/>
  <c r="AD637" i="1"/>
  <c r="AC637" i="1"/>
  <c r="AL636" i="1"/>
  <c r="AJ636" i="1"/>
  <c r="AI636" i="1"/>
  <c r="AH636" i="1"/>
  <c r="AG636" i="1"/>
  <c r="AF636" i="1"/>
  <c r="AE636" i="1"/>
  <c r="AD636" i="1"/>
  <c r="AC636" i="1"/>
  <c r="AL635" i="1"/>
  <c r="AJ635" i="1"/>
  <c r="AI635" i="1"/>
  <c r="AH635" i="1"/>
  <c r="AG635" i="1"/>
  <c r="AF635" i="1"/>
  <c r="AE635" i="1"/>
  <c r="AD635" i="1"/>
  <c r="AC635" i="1"/>
  <c r="AL634" i="1"/>
  <c r="AJ634" i="1"/>
  <c r="AI634" i="1"/>
  <c r="AH634" i="1"/>
  <c r="AG634" i="1"/>
  <c r="AF634" i="1"/>
  <c r="AE634" i="1"/>
  <c r="AD634" i="1"/>
  <c r="AC634" i="1"/>
  <c r="AL633" i="1"/>
  <c r="AJ633" i="1"/>
  <c r="AI633" i="1"/>
  <c r="AH633" i="1"/>
  <c r="AG633" i="1"/>
  <c r="AF633" i="1"/>
  <c r="AE633" i="1"/>
  <c r="AD633" i="1"/>
  <c r="AC633" i="1"/>
  <c r="AL632" i="1"/>
  <c r="AJ632" i="1"/>
  <c r="AI632" i="1"/>
  <c r="AH632" i="1"/>
  <c r="AG632" i="1"/>
  <c r="AF632" i="1"/>
  <c r="AE632" i="1"/>
  <c r="AD632" i="1"/>
  <c r="AC632" i="1"/>
  <c r="AL631" i="1"/>
  <c r="AJ631" i="1"/>
  <c r="AI631" i="1"/>
  <c r="AH631" i="1"/>
  <c r="AG631" i="1"/>
  <c r="AF631" i="1"/>
  <c r="AE631" i="1"/>
  <c r="AD631" i="1"/>
  <c r="AC631" i="1"/>
  <c r="AL630" i="1"/>
  <c r="AJ630" i="1"/>
  <c r="AI630" i="1"/>
  <c r="AH630" i="1"/>
  <c r="AG630" i="1"/>
  <c r="AF630" i="1"/>
  <c r="AE630" i="1"/>
  <c r="AD630" i="1"/>
  <c r="AC630" i="1"/>
  <c r="AL629" i="1"/>
  <c r="AJ629" i="1"/>
  <c r="AI629" i="1"/>
  <c r="AH629" i="1"/>
  <c r="AG629" i="1"/>
  <c r="AF629" i="1"/>
  <c r="AE629" i="1"/>
  <c r="AD629" i="1"/>
  <c r="AC629" i="1"/>
  <c r="AL628" i="1"/>
  <c r="AJ628" i="1"/>
  <c r="AI628" i="1"/>
  <c r="AH628" i="1"/>
  <c r="AG628" i="1"/>
  <c r="AF628" i="1"/>
  <c r="AE628" i="1"/>
  <c r="AD628" i="1"/>
  <c r="AC628" i="1"/>
  <c r="AL627" i="1"/>
  <c r="AJ627" i="1"/>
  <c r="AI627" i="1"/>
  <c r="AH627" i="1"/>
  <c r="AG627" i="1"/>
  <c r="AF627" i="1"/>
  <c r="AE627" i="1"/>
  <c r="AD627" i="1"/>
  <c r="AC627" i="1"/>
  <c r="AL626" i="1"/>
  <c r="AJ626" i="1"/>
  <c r="AI626" i="1"/>
  <c r="AH626" i="1"/>
  <c r="AG626" i="1"/>
  <c r="AF626" i="1"/>
  <c r="AE626" i="1"/>
  <c r="AD626" i="1"/>
  <c r="AC626" i="1"/>
  <c r="AL625" i="1"/>
  <c r="AJ625" i="1"/>
  <c r="AI625" i="1"/>
  <c r="AH625" i="1"/>
  <c r="AG625" i="1"/>
  <c r="AF625" i="1"/>
  <c r="AE625" i="1"/>
  <c r="AD625" i="1"/>
  <c r="AC625" i="1"/>
  <c r="AL624" i="1"/>
  <c r="AJ624" i="1"/>
  <c r="AI624" i="1"/>
  <c r="AH624" i="1"/>
  <c r="AG624" i="1"/>
  <c r="AF624" i="1"/>
  <c r="AE624" i="1"/>
  <c r="AD624" i="1"/>
  <c r="AC624" i="1"/>
  <c r="AL623" i="1"/>
  <c r="AJ623" i="1"/>
  <c r="AI623" i="1"/>
  <c r="AH623" i="1"/>
  <c r="AG623" i="1"/>
  <c r="AF623" i="1"/>
  <c r="AE623" i="1"/>
  <c r="AD623" i="1"/>
  <c r="AC623" i="1"/>
  <c r="AL622" i="1"/>
  <c r="AJ622" i="1"/>
  <c r="AI622" i="1"/>
  <c r="AH622" i="1"/>
  <c r="AG622" i="1"/>
  <c r="AF622" i="1"/>
  <c r="AE622" i="1"/>
  <c r="AD622" i="1"/>
  <c r="AC622" i="1"/>
  <c r="AL621" i="1"/>
  <c r="AJ621" i="1"/>
  <c r="AI621" i="1"/>
  <c r="AH621" i="1"/>
  <c r="AG621" i="1"/>
  <c r="AF621" i="1"/>
  <c r="AE621" i="1"/>
  <c r="AD621" i="1"/>
  <c r="AC621" i="1"/>
  <c r="AL620" i="1"/>
  <c r="AJ620" i="1"/>
  <c r="AI620" i="1"/>
  <c r="AH620" i="1"/>
  <c r="AG620" i="1"/>
  <c r="AF620" i="1"/>
  <c r="AE620" i="1"/>
  <c r="AD620" i="1"/>
  <c r="AC620" i="1"/>
  <c r="AL619" i="1"/>
  <c r="AJ619" i="1"/>
  <c r="AI619" i="1"/>
  <c r="AH619" i="1"/>
  <c r="AG619" i="1"/>
  <c r="AF619" i="1"/>
  <c r="AE619" i="1"/>
  <c r="AD619" i="1"/>
  <c r="AC619" i="1"/>
  <c r="AL618" i="1"/>
  <c r="AJ618" i="1"/>
  <c r="AI618" i="1"/>
  <c r="AH618" i="1"/>
  <c r="AG618" i="1"/>
  <c r="AF618" i="1"/>
  <c r="AE618" i="1"/>
  <c r="AD618" i="1"/>
  <c r="AC618" i="1"/>
  <c r="AL617" i="1"/>
  <c r="AJ617" i="1"/>
  <c r="AI617" i="1"/>
  <c r="AH617" i="1"/>
  <c r="AG617" i="1"/>
  <c r="AF617" i="1"/>
  <c r="AE617" i="1"/>
  <c r="AD617" i="1"/>
  <c r="AC617" i="1"/>
  <c r="AL616" i="1"/>
  <c r="AJ616" i="1"/>
  <c r="AI616" i="1"/>
  <c r="AH616" i="1"/>
  <c r="AG616" i="1"/>
  <c r="AF616" i="1"/>
  <c r="AE616" i="1"/>
  <c r="AD616" i="1"/>
  <c r="AC616" i="1"/>
  <c r="AL615" i="1"/>
  <c r="AJ615" i="1"/>
  <c r="AI615" i="1"/>
  <c r="AH615" i="1"/>
  <c r="AG615" i="1"/>
  <c r="AF615" i="1"/>
  <c r="AE615" i="1"/>
  <c r="AD615" i="1"/>
  <c r="AC615" i="1"/>
  <c r="AL614" i="1"/>
  <c r="AJ614" i="1"/>
  <c r="AI614" i="1"/>
  <c r="AH614" i="1"/>
  <c r="AG614" i="1"/>
  <c r="AF614" i="1"/>
  <c r="AE614" i="1"/>
  <c r="AD614" i="1"/>
  <c r="AC614" i="1"/>
  <c r="AL613" i="1"/>
  <c r="AJ613" i="1"/>
  <c r="AI613" i="1"/>
  <c r="AH613" i="1"/>
  <c r="AG613" i="1"/>
  <c r="AF613" i="1"/>
  <c r="AE613" i="1"/>
  <c r="AD613" i="1"/>
  <c r="AC613" i="1"/>
  <c r="AL612" i="1"/>
  <c r="AJ612" i="1"/>
  <c r="AI612" i="1"/>
  <c r="AH612" i="1"/>
  <c r="AG612" i="1"/>
  <c r="AF612" i="1"/>
  <c r="AE612" i="1"/>
  <c r="AD612" i="1"/>
  <c r="AC612" i="1"/>
  <c r="AL611" i="1"/>
  <c r="AJ611" i="1"/>
  <c r="AI611" i="1"/>
  <c r="AH611" i="1"/>
  <c r="AG611" i="1"/>
  <c r="AF611" i="1"/>
  <c r="AE611" i="1"/>
  <c r="AD611" i="1"/>
  <c r="AC611" i="1"/>
  <c r="AL610" i="1"/>
  <c r="AJ610" i="1"/>
  <c r="AI610" i="1"/>
  <c r="AH610" i="1"/>
  <c r="AG610" i="1"/>
  <c r="AF610" i="1"/>
  <c r="AE610" i="1"/>
  <c r="AD610" i="1"/>
  <c r="AC610" i="1"/>
  <c r="AL609" i="1"/>
  <c r="AJ609" i="1"/>
  <c r="AI609" i="1"/>
  <c r="AH609" i="1"/>
  <c r="AG609" i="1"/>
  <c r="AF609" i="1"/>
  <c r="AE609" i="1"/>
  <c r="AD609" i="1"/>
  <c r="AC609" i="1"/>
  <c r="AL608" i="1"/>
  <c r="AJ608" i="1"/>
  <c r="AI608" i="1"/>
  <c r="AH608" i="1"/>
  <c r="AG608" i="1"/>
  <c r="AF608" i="1"/>
  <c r="AE608" i="1"/>
  <c r="AD608" i="1"/>
  <c r="AC608" i="1"/>
  <c r="AL607" i="1"/>
  <c r="AJ607" i="1"/>
  <c r="AI607" i="1"/>
  <c r="AH607" i="1"/>
  <c r="AG607" i="1"/>
  <c r="AF607" i="1"/>
  <c r="AE607" i="1"/>
  <c r="AD607" i="1"/>
  <c r="AC607" i="1"/>
  <c r="AL606" i="1"/>
  <c r="AJ606" i="1"/>
  <c r="AI606" i="1"/>
  <c r="AH606" i="1"/>
  <c r="AG606" i="1"/>
  <c r="AF606" i="1"/>
  <c r="AE606" i="1"/>
  <c r="AD606" i="1"/>
  <c r="AC606" i="1"/>
  <c r="AL605" i="1"/>
  <c r="AJ605" i="1"/>
  <c r="AI605" i="1"/>
  <c r="AH605" i="1"/>
  <c r="AG605" i="1"/>
  <c r="AF605" i="1"/>
  <c r="AE605" i="1"/>
  <c r="AD605" i="1"/>
  <c r="AC605" i="1"/>
  <c r="AL604" i="1"/>
  <c r="AJ604" i="1"/>
  <c r="AI604" i="1"/>
  <c r="AH604" i="1"/>
  <c r="AG604" i="1"/>
  <c r="AF604" i="1"/>
  <c r="AE604" i="1"/>
  <c r="AD604" i="1"/>
  <c r="AC604" i="1"/>
  <c r="AL603" i="1"/>
  <c r="AJ603" i="1"/>
  <c r="AI603" i="1"/>
  <c r="AH603" i="1"/>
  <c r="AG603" i="1"/>
  <c r="AF603" i="1"/>
  <c r="AE603" i="1"/>
  <c r="AD603" i="1"/>
  <c r="AC603" i="1"/>
  <c r="AL602" i="1"/>
  <c r="AJ602" i="1"/>
  <c r="AI602" i="1"/>
  <c r="AH602" i="1"/>
  <c r="AG602" i="1"/>
  <c r="AF602" i="1"/>
  <c r="AE602" i="1"/>
  <c r="AD602" i="1"/>
  <c r="AC602" i="1"/>
  <c r="AL601" i="1"/>
  <c r="AJ601" i="1"/>
  <c r="AI601" i="1"/>
  <c r="AH601" i="1"/>
  <c r="AG601" i="1"/>
  <c r="AF601" i="1"/>
  <c r="AE601" i="1"/>
  <c r="AD601" i="1"/>
  <c r="AC601" i="1"/>
  <c r="AL600" i="1"/>
  <c r="AJ600" i="1"/>
  <c r="AI600" i="1"/>
  <c r="AH600" i="1"/>
  <c r="AG600" i="1"/>
  <c r="AF600" i="1"/>
  <c r="AE600" i="1"/>
  <c r="AD600" i="1"/>
  <c r="AC600" i="1"/>
  <c r="AL599" i="1"/>
  <c r="AJ599" i="1"/>
  <c r="AI599" i="1"/>
  <c r="AH599" i="1"/>
  <c r="AG599" i="1"/>
  <c r="AF599" i="1"/>
  <c r="AE599" i="1"/>
  <c r="AD599" i="1"/>
  <c r="AC599" i="1"/>
  <c r="AL598" i="1"/>
  <c r="AJ598" i="1"/>
  <c r="AI598" i="1"/>
  <c r="AH598" i="1"/>
  <c r="AG598" i="1"/>
  <c r="AF598" i="1"/>
  <c r="AE598" i="1"/>
  <c r="AD598" i="1"/>
  <c r="AC598" i="1"/>
  <c r="AL597" i="1"/>
  <c r="AJ597" i="1"/>
  <c r="AI597" i="1"/>
  <c r="AH597" i="1"/>
  <c r="AG597" i="1"/>
  <c r="AF597" i="1"/>
  <c r="AE597" i="1"/>
  <c r="AD597" i="1"/>
  <c r="AC597" i="1"/>
  <c r="AL596" i="1"/>
  <c r="AJ596" i="1"/>
  <c r="AI596" i="1"/>
  <c r="AH596" i="1"/>
  <c r="AG596" i="1"/>
  <c r="AF596" i="1"/>
  <c r="AE596" i="1"/>
  <c r="AD596" i="1"/>
  <c r="AC596" i="1"/>
  <c r="AL595" i="1"/>
  <c r="AJ595" i="1"/>
  <c r="AI595" i="1"/>
  <c r="AH595" i="1"/>
  <c r="AG595" i="1"/>
  <c r="AF595" i="1"/>
  <c r="AE595" i="1"/>
  <c r="AD595" i="1"/>
  <c r="AC595" i="1"/>
  <c r="AL594" i="1"/>
  <c r="AJ594" i="1"/>
  <c r="AI594" i="1"/>
  <c r="AH594" i="1"/>
  <c r="AG594" i="1"/>
  <c r="AF594" i="1"/>
  <c r="AE594" i="1"/>
  <c r="AD594" i="1"/>
  <c r="AC594" i="1"/>
  <c r="AL593" i="1"/>
  <c r="AJ593" i="1"/>
  <c r="AI593" i="1"/>
  <c r="AH593" i="1"/>
  <c r="AG593" i="1"/>
  <c r="AF593" i="1"/>
  <c r="AE593" i="1"/>
  <c r="AD593" i="1"/>
  <c r="AC593" i="1"/>
  <c r="AL592" i="1"/>
  <c r="AJ592" i="1"/>
  <c r="AI592" i="1"/>
  <c r="AH592" i="1"/>
  <c r="AG592" i="1"/>
  <c r="AF592" i="1"/>
  <c r="AE592" i="1"/>
  <c r="AD592" i="1"/>
  <c r="AC592" i="1"/>
  <c r="AL591" i="1"/>
  <c r="AJ591" i="1"/>
  <c r="AI591" i="1"/>
  <c r="AH591" i="1"/>
  <c r="AG591" i="1"/>
  <c r="AF591" i="1"/>
  <c r="AE591" i="1"/>
  <c r="AD591" i="1"/>
  <c r="AC591" i="1"/>
  <c r="AL590" i="1"/>
  <c r="AJ590" i="1"/>
  <c r="AI590" i="1"/>
  <c r="AH590" i="1"/>
  <c r="AG590" i="1"/>
  <c r="AF590" i="1"/>
  <c r="AE590" i="1"/>
  <c r="AD590" i="1"/>
  <c r="AC590" i="1"/>
  <c r="AL589" i="1"/>
  <c r="AJ589" i="1"/>
  <c r="AI589" i="1"/>
  <c r="AH589" i="1"/>
  <c r="AG589" i="1"/>
  <c r="AF589" i="1"/>
  <c r="AE589" i="1"/>
  <c r="AD589" i="1"/>
  <c r="AC589" i="1"/>
  <c r="AL588" i="1"/>
  <c r="AJ588" i="1"/>
  <c r="AI588" i="1"/>
  <c r="AH588" i="1"/>
  <c r="AG588" i="1"/>
  <c r="AF588" i="1"/>
  <c r="AE588" i="1"/>
  <c r="AD588" i="1"/>
  <c r="AC588" i="1"/>
  <c r="AL587" i="1"/>
  <c r="AJ587" i="1"/>
  <c r="AI587" i="1"/>
  <c r="AH587" i="1"/>
  <c r="AG587" i="1"/>
  <c r="AF587" i="1"/>
  <c r="AE587" i="1"/>
  <c r="AD587" i="1"/>
  <c r="AC587" i="1"/>
  <c r="AL586" i="1"/>
  <c r="AJ586" i="1"/>
  <c r="AI586" i="1"/>
  <c r="AH586" i="1"/>
  <c r="AG586" i="1"/>
  <c r="AF586" i="1"/>
  <c r="AE586" i="1"/>
  <c r="AD586" i="1"/>
  <c r="AC586" i="1"/>
  <c r="AL585" i="1"/>
  <c r="AJ585" i="1"/>
  <c r="AI585" i="1"/>
  <c r="AH585" i="1"/>
  <c r="AG585" i="1"/>
  <c r="AF585" i="1"/>
  <c r="AE585" i="1"/>
  <c r="AD585" i="1"/>
  <c r="AC585" i="1"/>
  <c r="AL584" i="1"/>
  <c r="AJ584" i="1"/>
  <c r="AI584" i="1"/>
  <c r="AH584" i="1"/>
  <c r="AG584" i="1"/>
  <c r="AF584" i="1"/>
  <c r="AE584" i="1"/>
  <c r="AD584" i="1"/>
  <c r="AC584" i="1"/>
  <c r="AL583" i="1"/>
  <c r="AJ583" i="1"/>
  <c r="AI583" i="1"/>
  <c r="AH583" i="1"/>
  <c r="AG583" i="1"/>
  <c r="AF583" i="1"/>
  <c r="AE583" i="1"/>
  <c r="AD583" i="1"/>
  <c r="AC583" i="1"/>
  <c r="AL582" i="1"/>
  <c r="AJ582" i="1"/>
  <c r="AI582" i="1"/>
  <c r="AH582" i="1"/>
  <c r="AG582" i="1"/>
  <c r="AF582" i="1"/>
  <c r="AE582" i="1"/>
  <c r="AD582" i="1"/>
  <c r="AC582" i="1"/>
  <c r="AL581" i="1"/>
  <c r="AJ581" i="1"/>
  <c r="AI581" i="1"/>
  <c r="AH581" i="1"/>
  <c r="AG581" i="1"/>
  <c r="AF581" i="1"/>
  <c r="AE581" i="1"/>
  <c r="AD581" i="1"/>
  <c r="AC581" i="1"/>
  <c r="AL580" i="1"/>
  <c r="AJ580" i="1"/>
  <c r="AI580" i="1"/>
  <c r="AH580" i="1"/>
  <c r="AG580" i="1"/>
  <c r="AF580" i="1"/>
  <c r="AE580" i="1"/>
  <c r="AD580" i="1"/>
  <c r="AC580" i="1"/>
  <c r="AL579" i="1"/>
  <c r="AJ579" i="1"/>
  <c r="AI579" i="1"/>
  <c r="AH579" i="1"/>
  <c r="AG579" i="1"/>
  <c r="AF579" i="1"/>
  <c r="AE579" i="1"/>
  <c r="AD579" i="1"/>
  <c r="AC579" i="1"/>
  <c r="AL578" i="1"/>
  <c r="AJ578" i="1"/>
  <c r="AI578" i="1"/>
  <c r="AH578" i="1"/>
  <c r="AG578" i="1"/>
  <c r="AF578" i="1"/>
  <c r="AE578" i="1"/>
  <c r="AD578" i="1"/>
  <c r="AC578" i="1"/>
  <c r="AL577" i="1"/>
  <c r="AJ577" i="1"/>
  <c r="AI577" i="1"/>
  <c r="AH577" i="1"/>
  <c r="AG577" i="1"/>
  <c r="AF577" i="1"/>
  <c r="AE577" i="1"/>
  <c r="AD577" i="1"/>
  <c r="AC577" i="1"/>
  <c r="AL576" i="1"/>
  <c r="AJ576" i="1"/>
  <c r="AI576" i="1"/>
  <c r="AH576" i="1"/>
  <c r="AG576" i="1"/>
  <c r="AF576" i="1"/>
  <c r="AE576" i="1"/>
  <c r="AD576" i="1"/>
  <c r="AC576" i="1"/>
  <c r="AL575" i="1"/>
  <c r="AJ575" i="1"/>
  <c r="AI575" i="1"/>
  <c r="AH575" i="1"/>
  <c r="AG575" i="1"/>
  <c r="AF575" i="1"/>
  <c r="AE575" i="1"/>
  <c r="AD575" i="1"/>
  <c r="AC575" i="1"/>
  <c r="AL574" i="1"/>
  <c r="AJ574" i="1"/>
  <c r="AI574" i="1"/>
  <c r="AH574" i="1"/>
  <c r="AG574" i="1"/>
  <c r="AF574" i="1"/>
  <c r="AE574" i="1"/>
  <c r="AD574" i="1"/>
  <c r="AC574" i="1"/>
  <c r="AL573" i="1"/>
  <c r="AJ573" i="1"/>
  <c r="AI573" i="1"/>
  <c r="AH573" i="1"/>
  <c r="AG573" i="1"/>
  <c r="AF573" i="1"/>
  <c r="AE573" i="1"/>
  <c r="AD573" i="1"/>
  <c r="AC573" i="1"/>
  <c r="AL572" i="1"/>
  <c r="AJ572" i="1"/>
  <c r="AI572" i="1"/>
  <c r="AH572" i="1"/>
  <c r="AG572" i="1"/>
  <c r="AF572" i="1"/>
  <c r="AE572" i="1"/>
  <c r="AD572" i="1"/>
  <c r="AC572" i="1"/>
  <c r="AL571" i="1"/>
  <c r="AJ571" i="1"/>
  <c r="AI571" i="1"/>
  <c r="AH571" i="1"/>
  <c r="AG571" i="1"/>
  <c r="AF571" i="1"/>
  <c r="AE571" i="1"/>
  <c r="AD571" i="1"/>
  <c r="AC571" i="1"/>
  <c r="AL570" i="1"/>
  <c r="AJ570" i="1"/>
  <c r="AI570" i="1"/>
  <c r="AH570" i="1"/>
  <c r="AG570" i="1"/>
  <c r="AF570" i="1"/>
  <c r="AE570" i="1"/>
  <c r="AD570" i="1"/>
  <c r="AC570" i="1"/>
  <c r="AL569" i="1"/>
  <c r="AJ569" i="1"/>
  <c r="AI569" i="1"/>
  <c r="AH569" i="1"/>
  <c r="AG569" i="1"/>
  <c r="AF569" i="1"/>
  <c r="AE569" i="1"/>
  <c r="AD569" i="1"/>
  <c r="AC569" i="1"/>
  <c r="AL568" i="1"/>
  <c r="AJ568" i="1"/>
  <c r="AI568" i="1"/>
  <c r="AH568" i="1"/>
  <c r="AG568" i="1"/>
  <c r="AF568" i="1"/>
  <c r="AE568" i="1"/>
  <c r="AD568" i="1"/>
  <c r="AC568" i="1"/>
  <c r="AL567" i="1"/>
  <c r="AJ567" i="1"/>
  <c r="AI567" i="1"/>
  <c r="AH567" i="1"/>
  <c r="AG567" i="1"/>
  <c r="AF567" i="1"/>
  <c r="AE567" i="1"/>
  <c r="AD567" i="1"/>
  <c r="AC567" i="1"/>
  <c r="AL566" i="1"/>
  <c r="AJ566" i="1"/>
  <c r="AI566" i="1"/>
  <c r="AH566" i="1"/>
  <c r="AG566" i="1"/>
  <c r="AF566" i="1"/>
  <c r="AE566" i="1"/>
  <c r="AD566" i="1"/>
  <c r="AC566" i="1"/>
  <c r="AL565" i="1"/>
  <c r="AJ565" i="1"/>
  <c r="AI565" i="1"/>
  <c r="AH565" i="1"/>
  <c r="AG565" i="1"/>
  <c r="AF565" i="1"/>
  <c r="AE565" i="1"/>
  <c r="AD565" i="1"/>
  <c r="AC565" i="1"/>
  <c r="AL564" i="1"/>
  <c r="AJ564" i="1"/>
  <c r="AI564" i="1"/>
  <c r="AH564" i="1"/>
  <c r="AG564" i="1"/>
  <c r="AF564" i="1"/>
  <c r="AE564" i="1"/>
  <c r="AD564" i="1"/>
  <c r="AC564" i="1"/>
  <c r="AL563" i="1"/>
  <c r="AJ563" i="1"/>
  <c r="AI563" i="1"/>
  <c r="AH563" i="1"/>
  <c r="AG563" i="1"/>
  <c r="AF563" i="1"/>
  <c r="AE563" i="1"/>
  <c r="AD563" i="1"/>
  <c r="AC563" i="1"/>
  <c r="AL562" i="1"/>
  <c r="AJ562" i="1"/>
  <c r="AI562" i="1"/>
  <c r="AH562" i="1"/>
  <c r="AG562" i="1"/>
  <c r="AF562" i="1"/>
  <c r="AE562" i="1"/>
  <c r="AD562" i="1"/>
  <c r="AC562" i="1"/>
  <c r="AL561" i="1"/>
  <c r="AJ561" i="1"/>
  <c r="AI561" i="1"/>
  <c r="AH561" i="1"/>
  <c r="AG561" i="1"/>
  <c r="AF561" i="1"/>
  <c r="AE561" i="1"/>
  <c r="AD561" i="1"/>
  <c r="AC561" i="1"/>
  <c r="AL560" i="1"/>
  <c r="AJ560" i="1"/>
  <c r="AI560" i="1"/>
  <c r="AH560" i="1"/>
  <c r="AG560" i="1"/>
  <c r="AF560" i="1"/>
  <c r="AE560" i="1"/>
  <c r="AD560" i="1"/>
  <c r="AC560" i="1"/>
  <c r="AL559" i="1"/>
  <c r="AJ559" i="1"/>
  <c r="AI559" i="1"/>
  <c r="AH559" i="1"/>
  <c r="AG559" i="1"/>
  <c r="AF559" i="1"/>
  <c r="AE559" i="1"/>
  <c r="AD559" i="1"/>
  <c r="AC559" i="1"/>
  <c r="AL558" i="1"/>
  <c r="AJ558" i="1"/>
  <c r="AI558" i="1"/>
  <c r="AH558" i="1"/>
  <c r="AG558" i="1"/>
  <c r="AF558" i="1"/>
  <c r="AE558" i="1"/>
  <c r="AD558" i="1"/>
  <c r="AC558" i="1"/>
  <c r="AL557" i="1"/>
  <c r="AJ557" i="1"/>
  <c r="AI557" i="1"/>
  <c r="AH557" i="1"/>
  <c r="AG557" i="1"/>
  <c r="AF557" i="1"/>
  <c r="AE557" i="1"/>
  <c r="AD557" i="1"/>
  <c r="AC557" i="1"/>
  <c r="AL556" i="1"/>
  <c r="AJ556" i="1"/>
  <c r="AI556" i="1"/>
  <c r="AH556" i="1"/>
  <c r="AG556" i="1"/>
  <c r="AF556" i="1"/>
  <c r="AE556" i="1"/>
  <c r="AD556" i="1"/>
  <c r="AC556" i="1"/>
  <c r="AL555" i="1"/>
  <c r="AJ555" i="1"/>
  <c r="AI555" i="1"/>
  <c r="AH555" i="1"/>
  <c r="AG555" i="1"/>
  <c r="AF555" i="1"/>
  <c r="AE555" i="1"/>
  <c r="AD555" i="1"/>
  <c r="AC555" i="1"/>
  <c r="AL554" i="1"/>
  <c r="AJ554" i="1"/>
  <c r="AI554" i="1"/>
  <c r="AH554" i="1"/>
  <c r="AG554" i="1"/>
  <c r="AF554" i="1"/>
  <c r="AE554" i="1"/>
  <c r="AD554" i="1"/>
  <c r="AC554" i="1"/>
  <c r="AL553" i="1"/>
  <c r="AJ553" i="1"/>
  <c r="AI553" i="1"/>
  <c r="AH553" i="1"/>
  <c r="AG553" i="1"/>
  <c r="AF553" i="1"/>
  <c r="AE553" i="1"/>
  <c r="AD553" i="1"/>
  <c r="AC553" i="1"/>
  <c r="AL552" i="1"/>
  <c r="AJ552" i="1"/>
  <c r="AI552" i="1"/>
  <c r="AH552" i="1"/>
  <c r="AG552" i="1"/>
  <c r="AF552" i="1"/>
  <c r="AE552" i="1"/>
  <c r="AD552" i="1"/>
  <c r="AC552" i="1"/>
  <c r="AL551" i="1"/>
  <c r="AJ551" i="1"/>
  <c r="AI551" i="1"/>
  <c r="AH551" i="1"/>
  <c r="AG551" i="1"/>
  <c r="AF551" i="1"/>
  <c r="AE551" i="1"/>
  <c r="AD551" i="1"/>
  <c r="AC551" i="1"/>
  <c r="AL550" i="1"/>
  <c r="AJ550" i="1"/>
  <c r="AI550" i="1"/>
  <c r="AH550" i="1"/>
  <c r="AG550" i="1"/>
  <c r="AF550" i="1"/>
  <c r="AE550" i="1"/>
  <c r="AD550" i="1"/>
  <c r="AC550" i="1"/>
  <c r="AL549" i="1"/>
  <c r="AJ549" i="1"/>
  <c r="AI549" i="1"/>
  <c r="AH549" i="1"/>
  <c r="AG549" i="1"/>
  <c r="AF549" i="1"/>
  <c r="AE549" i="1"/>
  <c r="AD549" i="1"/>
  <c r="AC549" i="1"/>
  <c r="AL548" i="1"/>
  <c r="AJ548" i="1"/>
  <c r="AI548" i="1"/>
  <c r="AH548" i="1"/>
  <c r="AG548" i="1"/>
  <c r="AF548" i="1"/>
  <c r="AE548" i="1"/>
  <c r="AD548" i="1"/>
  <c r="AC548" i="1"/>
  <c r="AL547" i="1"/>
  <c r="AJ547" i="1"/>
  <c r="AI547" i="1"/>
  <c r="AH547" i="1"/>
  <c r="AG547" i="1"/>
  <c r="AF547" i="1"/>
  <c r="AE547" i="1"/>
  <c r="AD547" i="1"/>
  <c r="AC547" i="1"/>
  <c r="AL546" i="1"/>
  <c r="AJ546" i="1"/>
  <c r="AI546" i="1"/>
  <c r="AH546" i="1"/>
  <c r="AG546" i="1"/>
  <c r="AF546" i="1"/>
  <c r="AE546" i="1"/>
  <c r="AD546" i="1"/>
  <c r="AC546" i="1"/>
  <c r="AL545" i="1"/>
  <c r="AJ545" i="1"/>
  <c r="AI545" i="1"/>
  <c r="AH545" i="1"/>
  <c r="AG545" i="1"/>
  <c r="AF545" i="1"/>
  <c r="AE545" i="1"/>
  <c r="AD545" i="1"/>
  <c r="AC545" i="1"/>
  <c r="AL544" i="1"/>
  <c r="AI544" i="1"/>
  <c r="AH544" i="1"/>
  <c r="AG544" i="1"/>
  <c r="AF544" i="1"/>
  <c r="AE544" i="1"/>
  <c r="AC544" i="1"/>
  <c r="AL543" i="1"/>
  <c r="AJ543" i="1"/>
  <c r="AH543" i="1"/>
  <c r="AF543" i="1"/>
  <c r="AD543" i="1"/>
  <c r="AL542" i="1"/>
  <c r="AH542" i="1"/>
  <c r="AF542" i="1"/>
  <c r="AC542" i="1"/>
  <c r="AH541" i="1"/>
  <c r="AE541" i="1"/>
  <c r="AC541" i="1"/>
  <c r="AJ540" i="1"/>
  <c r="AI540" i="1"/>
  <c r="AG540" i="1"/>
  <c r="AE540" i="1"/>
  <c r="AC540" i="1"/>
  <c r="AH539" i="1"/>
  <c r="AF539" i="1"/>
  <c r="AL538" i="1"/>
  <c r="AI538" i="1"/>
  <c r="AG538" i="1"/>
  <c r="AE538" i="1"/>
  <c r="AC538" i="1"/>
  <c r="AJ537" i="1"/>
  <c r="AH537" i="1"/>
  <c r="AG537" i="1"/>
  <c r="AF537" i="1"/>
  <c r="AE537" i="1"/>
  <c r="AD537" i="1"/>
  <c r="AC537" i="1"/>
  <c r="AG536" i="1"/>
  <c r="AE536" i="1"/>
  <c r="AC536" i="1"/>
  <c r="AJ535" i="1"/>
  <c r="AH535" i="1"/>
  <c r="AF535" i="1"/>
  <c r="AD535" i="1"/>
  <c r="AL534" i="1"/>
  <c r="AJ534" i="1"/>
  <c r="AI534" i="1"/>
  <c r="AG534" i="1"/>
  <c r="AE534" i="1"/>
  <c r="AC534" i="1"/>
  <c r="AJ533" i="1"/>
  <c r="AG533" i="1"/>
  <c r="AE533" i="1"/>
  <c r="AD533" i="1"/>
  <c r="AJ532" i="1"/>
  <c r="AH532" i="1"/>
  <c r="AF532" i="1"/>
  <c r="AL531" i="1"/>
  <c r="AH531" i="1"/>
  <c r="AF531" i="1"/>
  <c r="AE531" i="1"/>
  <c r="AD531" i="1"/>
  <c r="AL530" i="1"/>
  <c r="AJ530" i="1"/>
  <c r="AI530" i="1"/>
  <c r="AG530" i="1"/>
  <c r="AE530" i="1"/>
  <c r="AC530" i="1"/>
  <c r="AJ529" i="1"/>
  <c r="AG529" i="1"/>
  <c r="AE529" i="1"/>
  <c r="AC529" i="1"/>
  <c r="AJ528" i="1"/>
  <c r="AI528" i="1"/>
  <c r="AG528" i="1"/>
  <c r="AE528" i="1"/>
  <c r="AD528" i="1"/>
  <c r="AL527" i="1"/>
  <c r="AJ527" i="1"/>
  <c r="AH527" i="1"/>
  <c r="AE527" i="1"/>
  <c r="AC527" i="1"/>
  <c r="AG526" i="1"/>
  <c r="AE526" i="1"/>
  <c r="AC526" i="1"/>
  <c r="AJ525" i="1"/>
  <c r="AH525" i="1"/>
  <c r="AG525" i="1"/>
  <c r="AE525" i="1"/>
  <c r="AC525" i="1"/>
  <c r="AJ524" i="1"/>
  <c r="AH524" i="1"/>
  <c r="AF524" i="1"/>
  <c r="AE524" i="1"/>
  <c r="AC524" i="1"/>
  <c r="AL523" i="1"/>
  <c r="AI523" i="1"/>
  <c r="AG523" i="1"/>
  <c r="AE523" i="1"/>
  <c r="AC523" i="1"/>
  <c r="AH522" i="1"/>
  <c r="AF522" i="1"/>
  <c r="AE522" i="1"/>
  <c r="AC522" i="1"/>
  <c r="AJ521" i="1"/>
  <c r="AH521" i="1"/>
  <c r="AE521" i="1"/>
  <c r="AC521" i="1"/>
  <c r="AH520" i="1"/>
  <c r="AF520" i="1"/>
  <c r="AD520" i="1"/>
  <c r="AJ519" i="1"/>
  <c r="AH519" i="1"/>
  <c r="AD519" i="1"/>
  <c r="AJ518" i="1"/>
  <c r="AI518" i="1"/>
  <c r="AG518" i="1"/>
  <c r="AE518" i="1"/>
  <c r="AC518" i="1"/>
  <c r="AL517" i="1"/>
  <c r="AJ517" i="1"/>
  <c r="AI517" i="1"/>
  <c r="AG517" i="1"/>
  <c r="AF517" i="1"/>
  <c r="AD517" i="1"/>
  <c r="AL516" i="1"/>
  <c r="AJ516" i="1"/>
  <c r="AH516" i="1"/>
  <c r="AE516" i="1"/>
  <c r="AC516" i="1"/>
  <c r="AJ515" i="1"/>
  <c r="AH515" i="1"/>
  <c r="AF515" i="1"/>
  <c r="AD515" i="1"/>
  <c r="AL514" i="1"/>
  <c r="AI514" i="1"/>
  <c r="AF514" i="1"/>
  <c r="AD514" i="1"/>
  <c r="AL513" i="1"/>
  <c r="AI513" i="1"/>
  <c r="AF513" i="1"/>
  <c r="AE513" i="1"/>
  <c r="AC513" i="1"/>
  <c r="AJ512" i="1"/>
  <c r="AH512" i="1"/>
  <c r="AF512" i="1"/>
  <c r="AE512" i="1"/>
  <c r="AC512" i="1"/>
  <c r="AI511" i="1"/>
  <c r="AF511" i="1"/>
  <c r="AD511" i="1"/>
  <c r="AH508" i="1"/>
  <c r="AF508" i="1"/>
  <c r="AC508" i="1"/>
  <c r="AI507" i="1"/>
  <c r="AF507" i="1"/>
  <c r="AD507" i="1"/>
  <c r="AC507" i="1"/>
  <c r="AL506" i="1"/>
  <c r="AI506" i="1"/>
  <c r="AG506" i="1"/>
  <c r="AF506" i="1"/>
  <c r="AD506" i="1"/>
  <c r="AL505" i="1"/>
  <c r="AJ505" i="1"/>
  <c r="AI505" i="1"/>
  <c r="AG505" i="1"/>
  <c r="AE505" i="1"/>
  <c r="AC505" i="1"/>
  <c r="AI504" i="1"/>
  <c r="AG504" i="1"/>
  <c r="AD504" i="1"/>
  <c r="AL503" i="1"/>
  <c r="AI503" i="1"/>
  <c r="AG503" i="1"/>
  <c r="AF503" i="1"/>
  <c r="AD503" i="1"/>
  <c r="AH502" i="1"/>
  <c r="AC502" i="1"/>
  <c r="AF501" i="1"/>
  <c r="AD501" i="1"/>
  <c r="AL500" i="1"/>
  <c r="AI500" i="1"/>
  <c r="AG500" i="1"/>
  <c r="AE500" i="1"/>
  <c r="AC500" i="1"/>
  <c r="AJ499" i="1"/>
  <c r="AG499" i="1"/>
  <c r="AE499" i="1"/>
  <c r="AC499" i="1"/>
  <c r="AJ498" i="1"/>
  <c r="AG498" i="1"/>
  <c r="AE498" i="1"/>
  <c r="AD498" i="1"/>
  <c r="AL497" i="1"/>
  <c r="AI497" i="1"/>
  <c r="AH497" i="1"/>
  <c r="AE497" i="1"/>
  <c r="AC497" i="1"/>
  <c r="AL496" i="1"/>
  <c r="AI496" i="1"/>
  <c r="AH496" i="1"/>
  <c r="AF496" i="1"/>
  <c r="AD496" i="1"/>
  <c r="AL495" i="1"/>
  <c r="AI495" i="1"/>
  <c r="AG495" i="1"/>
  <c r="AE495" i="1"/>
  <c r="AC495" i="1"/>
  <c r="AH494" i="1"/>
  <c r="AE494" i="1"/>
  <c r="AC494" i="1"/>
  <c r="AI493" i="1"/>
  <c r="AF493" i="1"/>
  <c r="AD493" i="1"/>
  <c r="AL492" i="1"/>
  <c r="AI492" i="1"/>
  <c r="AG492" i="1"/>
  <c r="AD492" i="1"/>
  <c r="AL491" i="1"/>
  <c r="AI491" i="1"/>
  <c r="AG491" i="1"/>
  <c r="AD491" i="1"/>
  <c r="AL490" i="1"/>
  <c r="AH490" i="1"/>
  <c r="AF490" i="1"/>
  <c r="AD490" i="1"/>
  <c r="AJ489" i="1"/>
  <c r="AG489" i="1"/>
  <c r="AF489" i="1"/>
  <c r="AE489" i="1"/>
  <c r="AC489" i="1"/>
  <c r="AL488" i="1"/>
  <c r="AI488" i="1"/>
  <c r="AG488" i="1"/>
  <c r="AE488" i="1"/>
  <c r="AC488" i="1"/>
  <c r="AL487" i="1"/>
  <c r="AI487" i="1"/>
  <c r="AG487" i="1"/>
  <c r="AE487" i="1"/>
  <c r="AD487" i="1"/>
  <c r="AL486" i="1"/>
  <c r="AJ486" i="1"/>
  <c r="AI486" i="1"/>
  <c r="AG486" i="1"/>
  <c r="AE486" i="1"/>
  <c r="AL485" i="1"/>
  <c r="AG485" i="1"/>
  <c r="AE485" i="1"/>
  <c r="AC485" i="1"/>
  <c r="AJ484" i="1"/>
  <c r="AG484" i="1"/>
  <c r="AE484" i="1"/>
  <c r="AL483" i="1"/>
  <c r="AI483" i="1"/>
  <c r="AG483" i="1"/>
  <c r="AE483" i="1"/>
  <c r="AC483" i="1"/>
  <c r="AL482" i="1"/>
  <c r="AI482" i="1"/>
  <c r="AG482" i="1"/>
  <c r="AE482" i="1"/>
  <c r="AC482" i="1"/>
  <c r="AI481" i="1"/>
  <c r="AG481" i="1"/>
  <c r="AE481" i="1"/>
  <c r="AC481" i="1"/>
  <c r="AL480" i="1"/>
  <c r="AI480" i="1"/>
  <c r="AG480" i="1"/>
  <c r="AE480" i="1"/>
  <c r="AL479" i="1"/>
  <c r="AJ479" i="1"/>
  <c r="AH479" i="1"/>
  <c r="AG479" i="1"/>
  <c r="AD479" i="1"/>
  <c r="AL478" i="1"/>
  <c r="AI478" i="1"/>
  <c r="AG478" i="1"/>
  <c r="AE478" i="1"/>
  <c r="AC478" i="1"/>
  <c r="AJ477" i="1"/>
  <c r="AH477" i="1"/>
  <c r="AF477" i="1"/>
  <c r="AD477" i="1"/>
  <c r="AL476" i="1"/>
  <c r="AJ476" i="1"/>
  <c r="AH476" i="1"/>
  <c r="AF476" i="1"/>
  <c r="AD476" i="1"/>
  <c r="AC476" i="1"/>
  <c r="AJ475" i="1"/>
  <c r="AH475" i="1"/>
  <c r="AF475" i="1"/>
  <c r="AD475" i="1"/>
  <c r="AL474" i="1"/>
  <c r="AH474" i="1"/>
  <c r="AF474" i="1"/>
  <c r="AE474" i="1"/>
  <c r="AC474" i="1"/>
  <c r="AL473" i="1"/>
  <c r="AJ473" i="1"/>
  <c r="AI473" i="1"/>
  <c r="AH473" i="1"/>
  <c r="AG473" i="1"/>
  <c r="AF473" i="1"/>
  <c r="AE473" i="1"/>
  <c r="AD473" i="1"/>
  <c r="AC473" i="1"/>
  <c r="AL472" i="1"/>
  <c r="AJ472" i="1"/>
  <c r="AI472" i="1"/>
  <c r="AH472" i="1"/>
  <c r="AF472" i="1"/>
  <c r="AE472" i="1"/>
  <c r="AH471" i="1"/>
  <c r="AF471" i="1"/>
  <c r="AD471" i="1"/>
  <c r="AL470" i="1"/>
  <c r="AI470" i="1"/>
  <c r="AG470" i="1"/>
  <c r="AE470" i="1"/>
  <c r="AC470" i="1"/>
  <c r="AL469" i="1"/>
  <c r="AI469" i="1"/>
  <c r="AG469" i="1"/>
  <c r="AE469" i="1"/>
  <c r="AL468" i="1"/>
  <c r="AI468" i="1"/>
  <c r="AH468" i="1"/>
  <c r="AF468" i="1"/>
  <c r="AD468" i="1"/>
  <c r="AJ467" i="1"/>
  <c r="AH467" i="1"/>
  <c r="AF467" i="1"/>
  <c r="AD467" i="1"/>
  <c r="AJ466" i="1"/>
  <c r="AG466" i="1"/>
  <c r="AE466" i="1"/>
  <c r="AC466" i="1"/>
  <c r="AJ465" i="1"/>
  <c r="AH465" i="1"/>
  <c r="AE465" i="1"/>
  <c r="AC465" i="1"/>
  <c r="AJ464" i="1"/>
  <c r="AH464" i="1"/>
  <c r="AF464" i="1"/>
  <c r="AD464" i="1"/>
  <c r="AL463" i="1"/>
  <c r="AI463" i="1"/>
  <c r="AG463" i="1"/>
  <c r="AD463" i="1"/>
  <c r="AL462" i="1"/>
  <c r="AI462" i="1"/>
  <c r="AG462" i="1"/>
  <c r="AE462" i="1"/>
  <c r="AC462" i="1"/>
  <c r="AH461" i="1"/>
  <c r="AF461" i="1"/>
  <c r="AD461" i="1"/>
  <c r="AL460" i="1"/>
  <c r="AJ460" i="1"/>
  <c r="AH460" i="1"/>
  <c r="AG460" i="1"/>
  <c r="AD460" i="1"/>
  <c r="AL459" i="1"/>
  <c r="AI459" i="1"/>
  <c r="AH459" i="1"/>
  <c r="AG459" i="1"/>
  <c r="AE459" i="1"/>
  <c r="AC459" i="1"/>
  <c r="AJ458" i="1"/>
  <c r="AH458" i="1"/>
  <c r="AF458" i="1"/>
  <c r="AD458" i="1"/>
  <c r="AL457" i="1"/>
  <c r="AJ457" i="1"/>
  <c r="AI457" i="1"/>
  <c r="AG457" i="1"/>
  <c r="AE457" i="1"/>
  <c r="AD457" i="1"/>
  <c r="AL456" i="1"/>
  <c r="AI456" i="1"/>
  <c r="AG456" i="1"/>
  <c r="AE456" i="1"/>
  <c r="AC456" i="1"/>
  <c r="AJ455" i="1"/>
  <c r="AH455" i="1"/>
  <c r="AF455" i="1"/>
  <c r="AE455" i="1"/>
  <c r="AC455" i="1"/>
  <c r="AJ454" i="1"/>
  <c r="AH454" i="1"/>
  <c r="AG454" i="1"/>
  <c r="AE454" i="1"/>
  <c r="AC454" i="1"/>
  <c r="AJ453" i="1"/>
  <c r="AH453" i="1"/>
  <c r="AG453" i="1"/>
  <c r="AE453" i="1"/>
  <c r="AC453" i="1"/>
  <c r="AJ452" i="1"/>
  <c r="AG452" i="1"/>
  <c r="AE452" i="1"/>
  <c r="AC452" i="1"/>
  <c r="AJ451" i="1"/>
  <c r="AG451" i="1"/>
  <c r="AD451" i="1"/>
  <c r="AJ450" i="1"/>
  <c r="AH450" i="1"/>
  <c r="AF450" i="1"/>
  <c r="AD450" i="1"/>
  <c r="AL449" i="1"/>
  <c r="AJ449" i="1"/>
  <c r="AI449" i="1"/>
  <c r="AG449" i="1"/>
  <c r="AE449" i="1"/>
  <c r="AC449" i="1"/>
  <c r="AL448" i="1"/>
  <c r="AH448" i="1"/>
  <c r="AF448" i="1"/>
  <c r="AD448" i="1"/>
  <c r="AL447" i="1"/>
  <c r="AJ447" i="1"/>
  <c r="AI447" i="1"/>
  <c r="AG447" i="1"/>
  <c r="AE447" i="1"/>
  <c r="AC447" i="1"/>
  <c r="AL446" i="1"/>
  <c r="AJ446" i="1"/>
  <c r="AH446" i="1"/>
  <c r="AF446" i="1"/>
  <c r="AC446" i="1"/>
  <c r="AH445" i="1"/>
  <c r="AF445" i="1"/>
  <c r="AD445" i="1"/>
  <c r="AL444" i="1"/>
  <c r="AJ444" i="1"/>
  <c r="AI444" i="1"/>
  <c r="AG444" i="1"/>
  <c r="AE444" i="1"/>
  <c r="AC444" i="1"/>
  <c r="AL443" i="1"/>
  <c r="AJ443" i="1"/>
  <c r="AI443" i="1"/>
  <c r="AG443" i="1"/>
  <c r="AF443" i="1"/>
  <c r="AC443" i="1"/>
  <c r="AL442" i="1"/>
  <c r="AJ442" i="1"/>
  <c r="AG442" i="1"/>
  <c r="AE442" i="1"/>
  <c r="AC442" i="1"/>
  <c r="AH441" i="1"/>
  <c r="AF441" i="1"/>
  <c r="AD441" i="1"/>
  <c r="AL440" i="1"/>
  <c r="AI440" i="1"/>
  <c r="AG440" i="1"/>
  <c r="AE440" i="1"/>
  <c r="AC440" i="1"/>
  <c r="AH439" i="1"/>
  <c r="AF439" i="1"/>
  <c r="AD439" i="1"/>
  <c r="AL438" i="1"/>
  <c r="AJ438" i="1"/>
  <c r="AH438" i="1"/>
  <c r="AF438" i="1"/>
  <c r="AD438" i="1"/>
  <c r="AL437" i="1"/>
  <c r="AI437" i="1"/>
  <c r="AH437" i="1"/>
  <c r="AG437" i="1"/>
  <c r="AF437" i="1"/>
  <c r="AE437" i="1"/>
  <c r="AD437" i="1"/>
  <c r="AC437" i="1"/>
  <c r="AH436" i="1"/>
  <c r="AF436" i="1"/>
  <c r="AD436" i="1"/>
  <c r="AL435" i="1"/>
  <c r="AJ435" i="1"/>
  <c r="AI435" i="1"/>
  <c r="AG435" i="1"/>
  <c r="AE435" i="1"/>
  <c r="AC435" i="1"/>
  <c r="AJ434" i="1"/>
  <c r="AI434" i="1"/>
  <c r="AF434" i="1"/>
  <c r="AD434" i="1"/>
  <c r="AL433" i="1"/>
  <c r="AI433" i="1"/>
  <c r="AG433" i="1"/>
  <c r="AE433" i="1"/>
  <c r="AC433" i="1"/>
  <c r="AJ432" i="1"/>
  <c r="AH432" i="1"/>
  <c r="AF432" i="1"/>
  <c r="AD432" i="1"/>
  <c r="AL431" i="1"/>
  <c r="AI431" i="1"/>
  <c r="AH431" i="1"/>
  <c r="AF431" i="1"/>
  <c r="AD431" i="1"/>
  <c r="AL430" i="1"/>
  <c r="AI430" i="1"/>
  <c r="AH430" i="1"/>
  <c r="AF430" i="1"/>
  <c r="AD430" i="1"/>
  <c r="AI424" i="1"/>
  <c r="AG424" i="1"/>
  <c r="AE424" i="1"/>
  <c r="AC424" i="1"/>
  <c r="AH423" i="1"/>
  <c r="AF423" i="1"/>
  <c r="AD423" i="1"/>
  <c r="AL422" i="1"/>
  <c r="AJ422" i="1"/>
  <c r="AH422" i="1"/>
  <c r="AF422" i="1"/>
  <c r="AD422" i="1"/>
  <c r="AC422" i="1"/>
  <c r="AJ421" i="1"/>
  <c r="AH421" i="1"/>
  <c r="AF421" i="1"/>
  <c r="AD421" i="1"/>
  <c r="AL420" i="1"/>
  <c r="AI420" i="1"/>
  <c r="AG420" i="1"/>
  <c r="AE420" i="1"/>
  <c r="AC420" i="1"/>
  <c r="AJ419" i="1"/>
  <c r="AG419" i="1"/>
  <c r="AE419" i="1"/>
  <c r="AC419" i="1"/>
  <c r="AL418" i="1"/>
  <c r="AI418" i="1"/>
  <c r="AG418" i="1"/>
  <c r="AD418" i="1"/>
  <c r="AJ417" i="1"/>
  <c r="AH417" i="1"/>
  <c r="AF417" i="1"/>
  <c r="AD417" i="1"/>
  <c r="AL416" i="1"/>
  <c r="AJ416" i="1"/>
  <c r="AH416" i="1"/>
  <c r="AF416" i="1"/>
  <c r="AD416" i="1"/>
  <c r="AL415" i="1"/>
  <c r="AI415" i="1"/>
  <c r="AG415" i="1"/>
  <c r="AD415" i="1"/>
  <c r="AL414" i="1"/>
  <c r="AJ414" i="1"/>
  <c r="AI414" i="1"/>
  <c r="AG414" i="1"/>
  <c r="AE414" i="1"/>
  <c r="AC414" i="1"/>
  <c r="AJ413" i="1"/>
  <c r="AG413" i="1"/>
  <c r="AE413" i="1"/>
  <c r="AC413" i="1"/>
  <c r="AJ412" i="1"/>
  <c r="AG412" i="1"/>
  <c r="AD412" i="1"/>
  <c r="AL411" i="1"/>
  <c r="AI411" i="1"/>
  <c r="AF411" i="1"/>
  <c r="AD411" i="1"/>
  <c r="AL410" i="1"/>
  <c r="AI410" i="1"/>
  <c r="AF410" i="1"/>
  <c r="AD410" i="1"/>
  <c r="AL409" i="1"/>
  <c r="AI409" i="1"/>
  <c r="AF409" i="1"/>
  <c r="AD409" i="1"/>
  <c r="AL408" i="1"/>
  <c r="AJ408" i="1"/>
  <c r="AI408" i="1"/>
  <c r="AH408" i="1"/>
  <c r="AG408" i="1"/>
  <c r="AE408" i="1"/>
  <c r="AD408" i="1"/>
  <c r="AL407" i="1"/>
  <c r="AI407" i="1"/>
  <c r="AH407" i="1"/>
  <c r="AG407" i="1"/>
  <c r="AF407" i="1"/>
  <c r="AE407" i="1"/>
  <c r="AD407" i="1"/>
  <c r="AC407" i="1"/>
  <c r="AH406" i="1"/>
  <c r="AE406" i="1"/>
  <c r="AC406" i="1"/>
  <c r="AJ405" i="1"/>
  <c r="AH405" i="1"/>
  <c r="AF405" i="1"/>
  <c r="AE405" i="1"/>
  <c r="AL404" i="1"/>
  <c r="AJ404" i="1"/>
  <c r="AI404" i="1"/>
  <c r="AG404" i="1"/>
  <c r="AF404" i="1"/>
  <c r="AD404" i="1"/>
  <c r="AC404" i="1"/>
  <c r="AI403" i="1"/>
  <c r="AG403" i="1"/>
  <c r="AE403" i="1"/>
  <c r="AL402" i="1"/>
  <c r="AJ402" i="1"/>
  <c r="AI402" i="1"/>
  <c r="AG402" i="1"/>
  <c r="AE402" i="1"/>
  <c r="AC402" i="1"/>
  <c r="AL401" i="1"/>
  <c r="AJ401" i="1"/>
  <c r="AH401" i="1"/>
  <c r="AG401" i="1"/>
  <c r="AD401" i="1"/>
  <c r="AL400" i="1"/>
  <c r="AI400" i="1"/>
  <c r="AG400" i="1"/>
  <c r="AE400" i="1"/>
  <c r="AL399" i="1"/>
  <c r="AH399" i="1"/>
  <c r="AF399" i="1"/>
  <c r="AD399" i="1"/>
  <c r="AL398" i="1"/>
  <c r="AJ398" i="1"/>
  <c r="AI398" i="1"/>
  <c r="AG398" i="1"/>
  <c r="AF398" i="1"/>
  <c r="AD398" i="1"/>
  <c r="AL397" i="1"/>
  <c r="AJ397" i="1"/>
  <c r="AH397" i="1"/>
  <c r="AF397" i="1"/>
  <c r="AE397" i="1"/>
  <c r="AC397" i="1"/>
  <c r="AI396" i="1"/>
  <c r="AG396" i="1"/>
  <c r="AE396" i="1"/>
  <c r="AC396" i="1"/>
  <c r="AI395" i="1"/>
  <c r="AF395" i="1"/>
  <c r="AC395" i="1"/>
  <c r="AH394" i="1"/>
  <c r="AF394" i="1"/>
  <c r="AD394" i="1"/>
  <c r="AL393" i="1"/>
  <c r="AI393" i="1"/>
  <c r="AH393" i="1"/>
  <c r="AE393" i="1"/>
  <c r="AC393" i="1"/>
  <c r="AH392" i="1"/>
  <c r="AF392" i="1"/>
  <c r="AL391" i="1"/>
  <c r="AI391" i="1"/>
  <c r="AH391" i="1"/>
  <c r="AF391" i="1"/>
  <c r="AD391" i="1"/>
  <c r="AL390" i="1"/>
  <c r="AJ390" i="1"/>
  <c r="AH390" i="1"/>
  <c r="AF390" i="1"/>
  <c r="AD390" i="1"/>
  <c r="AL389" i="1"/>
  <c r="AJ389" i="1"/>
  <c r="AI389" i="1"/>
  <c r="AG389" i="1"/>
  <c r="AE389" i="1"/>
  <c r="AC389" i="1"/>
  <c r="AJ388" i="1"/>
  <c r="AH388" i="1"/>
  <c r="AF388" i="1"/>
  <c r="AD388" i="1"/>
  <c r="AJ387" i="1"/>
  <c r="AH387" i="1"/>
  <c r="AE387" i="1"/>
  <c r="AC387" i="1"/>
  <c r="AJ386" i="1"/>
  <c r="AH386" i="1"/>
  <c r="AF386" i="1"/>
  <c r="AD386" i="1"/>
  <c r="AL385" i="1"/>
  <c r="AI385" i="1"/>
  <c r="AH385" i="1"/>
  <c r="AF385" i="1"/>
  <c r="AD385" i="1"/>
  <c r="AL384" i="1"/>
  <c r="AI384" i="1"/>
  <c r="AH384" i="1"/>
  <c r="AF384" i="1"/>
  <c r="AD384" i="1"/>
  <c r="AC384" i="1"/>
  <c r="AJ383" i="1"/>
  <c r="AH383" i="1"/>
  <c r="AF383" i="1"/>
  <c r="AD383" i="1"/>
  <c r="AC383" i="1"/>
  <c r="AJ382" i="1"/>
  <c r="AH382" i="1"/>
  <c r="AF382" i="1"/>
  <c r="AD382" i="1"/>
  <c r="AL381" i="1"/>
  <c r="AJ381" i="1"/>
  <c r="AI381" i="1"/>
  <c r="AG381" i="1"/>
  <c r="AE381" i="1"/>
  <c r="AC381" i="1"/>
  <c r="AJ380" i="1"/>
  <c r="AH380" i="1"/>
  <c r="AF380" i="1"/>
  <c r="AD380" i="1"/>
  <c r="AL379" i="1"/>
  <c r="AJ379" i="1"/>
  <c r="AI379" i="1"/>
  <c r="AG379" i="1"/>
  <c r="AE379" i="1"/>
  <c r="AC379" i="1"/>
  <c r="AJ378" i="1"/>
  <c r="AH378" i="1"/>
  <c r="AF378" i="1"/>
  <c r="AJ377" i="1"/>
  <c r="AH377" i="1"/>
  <c r="AF377" i="1"/>
  <c r="AC377" i="1"/>
  <c r="AJ376" i="1"/>
  <c r="AG376" i="1"/>
  <c r="AE376" i="1"/>
  <c r="AC376" i="1"/>
  <c r="AJ375" i="1"/>
  <c r="AH375" i="1"/>
  <c r="AG375" i="1"/>
  <c r="AE375" i="1"/>
  <c r="AC375" i="1"/>
  <c r="AJ374" i="1"/>
  <c r="AH374" i="1"/>
  <c r="AF374" i="1"/>
  <c r="AD374" i="1"/>
  <c r="AL373" i="1"/>
  <c r="AH373" i="1"/>
  <c r="AE373" i="1"/>
  <c r="AL372" i="1"/>
  <c r="AI372" i="1"/>
  <c r="AH372" i="1"/>
  <c r="AF372" i="1"/>
  <c r="AD372" i="1"/>
  <c r="AL371" i="1"/>
  <c r="AH371" i="1"/>
  <c r="AF371" i="1"/>
  <c r="AD371" i="1"/>
  <c r="AL370" i="1"/>
  <c r="AI370" i="1"/>
  <c r="AH370" i="1"/>
  <c r="AF370" i="1"/>
  <c r="AD370" i="1"/>
  <c r="AL369" i="1"/>
  <c r="AJ369" i="1"/>
  <c r="AI369" i="1"/>
  <c r="AH369" i="1"/>
  <c r="AG369" i="1"/>
  <c r="AF369" i="1"/>
  <c r="AE369" i="1"/>
  <c r="AD369" i="1"/>
  <c r="AC369" i="1"/>
  <c r="AJ368" i="1"/>
  <c r="AI368" i="1"/>
  <c r="AG368" i="1"/>
  <c r="AE368" i="1"/>
  <c r="AC368" i="1"/>
  <c r="AJ367" i="1"/>
  <c r="AH367" i="1"/>
  <c r="AG367" i="1"/>
  <c r="AE367" i="1"/>
  <c r="AC367" i="1"/>
  <c r="AJ366" i="1"/>
  <c r="AH366" i="1"/>
  <c r="AF366" i="1"/>
  <c r="AD366" i="1"/>
  <c r="AL365" i="1"/>
  <c r="AJ365" i="1"/>
  <c r="AI365" i="1"/>
  <c r="AG365" i="1"/>
  <c r="AE365" i="1"/>
  <c r="AC365" i="1"/>
  <c r="AJ364" i="1"/>
  <c r="AH364" i="1"/>
  <c r="AF364" i="1"/>
  <c r="AD364" i="1"/>
  <c r="AL363" i="1"/>
  <c r="AI363" i="1"/>
  <c r="AG363" i="1"/>
  <c r="AE363" i="1"/>
  <c r="AC363" i="1"/>
  <c r="AJ362" i="1"/>
  <c r="AH362" i="1"/>
  <c r="AF362" i="1"/>
  <c r="AD362" i="1"/>
  <c r="AL361" i="1"/>
  <c r="AI361" i="1"/>
  <c r="AG361" i="1"/>
  <c r="AE361" i="1"/>
  <c r="AD361" i="1"/>
  <c r="AL360" i="1"/>
  <c r="AJ360" i="1"/>
  <c r="AH360" i="1"/>
  <c r="AE360" i="1"/>
  <c r="AC360" i="1"/>
  <c r="AJ359" i="1"/>
  <c r="AI359" i="1"/>
  <c r="AH359" i="1"/>
  <c r="AG359" i="1"/>
  <c r="AF359" i="1"/>
  <c r="AE359" i="1"/>
  <c r="AD359" i="1"/>
  <c r="AC359" i="1"/>
  <c r="AL358" i="1"/>
  <c r="AI358" i="1"/>
  <c r="AG358" i="1"/>
  <c r="AE358" i="1"/>
  <c r="AC358" i="1"/>
  <c r="AI357" i="1"/>
  <c r="AG357" i="1"/>
  <c r="AE357" i="1"/>
  <c r="AC357" i="1"/>
  <c r="AJ356" i="1"/>
  <c r="AG356" i="1"/>
  <c r="AF356" i="1"/>
  <c r="AD356" i="1"/>
  <c r="AL355" i="1"/>
  <c r="AI355" i="1"/>
  <c r="AF355" i="1"/>
  <c r="AD355" i="1"/>
  <c r="AL354" i="1"/>
  <c r="AI354" i="1"/>
  <c r="AG354" i="1"/>
  <c r="AE354" i="1"/>
  <c r="AC354" i="1"/>
  <c r="AH353" i="1"/>
  <c r="AF353" i="1"/>
  <c r="AD353" i="1"/>
  <c r="AJ352" i="1"/>
  <c r="AI352" i="1"/>
  <c r="AG352" i="1"/>
  <c r="AF352" i="1"/>
  <c r="AD352" i="1"/>
  <c r="AL351" i="1"/>
  <c r="AJ351" i="1"/>
  <c r="AI351" i="1"/>
  <c r="AG351" i="1"/>
  <c r="AE351" i="1"/>
  <c r="AC351" i="1"/>
  <c r="AJ350" i="1"/>
  <c r="AI350" i="1"/>
  <c r="AG350" i="1"/>
  <c r="AC350" i="1"/>
  <c r="AD349" i="1"/>
  <c r="AL348" i="1"/>
  <c r="AI348" i="1"/>
  <c r="AG348" i="1"/>
  <c r="AE348" i="1"/>
  <c r="AC348" i="1"/>
  <c r="AI347" i="1"/>
  <c r="AF347" i="1"/>
  <c r="AD347" i="1"/>
  <c r="AL346" i="1"/>
  <c r="AI346" i="1"/>
  <c r="AG346" i="1"/>
  <c r="AE346" i="1"/>
  <c r="AC346" i="1"/>
  <c r="AI345" i="1"/>
  <c r="AG345" i="1"/>
  <c r="AE345" i="1"/>
  <c r="AC345" i="1"/>
  <c r="AJ344" i="1"/>
  <c r="AG344" i="1"/>
  <c r="AE344" i="1"/>
  <c r="AC344" i="1"/>
  <c r="AJ343" i="1"/>
  <c r="AH343" i="1"/>
  <c r="AF343" i="1"/>
  <c r="AD343" i="1"/>
  <c r="AL342" i="1"/>
  <c r="AJ342" i="1"/>
  <c r="AI342" i="1"/>
  <c r="AG342" i="1"/>
  <c r="AE342" i="1"/>
  <c r="AL341" i="1"/>
  <c r="AI341" i="1"/>
  <c r="AH341" i="1"/>
  <c r="AE341" i="1"/>
  <c r="AC341" i="1"/>
  <c r="AL340" i="1"/>
  <c r="AJ340" i="1"/>
  <c r="AI340" i="1"/>
  <c r="AG340" i="1"/>
  <c r="AE340" i="1"/>
  <c r="AC340" i="1"/>
  <c r="AJ339" i="1"/>
  <c r="AG339" i="1"/>
  <c r="AF339" i="1"/>
  <c r="AC339" i="1"/>
  <c r="AG338" i="1"/>
  <c r="AE338" i="1"/>
  <c r="AC338" i="1"/>
  <c r="AJ337" i="1"/>
  <c r="AG337" i="1"/>
  <c r="AE337" i="1"/>
  <c r="AC337" i="1"/>
  <c r="AI336" i="1"/>
  <c r="AG336" i="1"/>
  <c r="AE336" i="1"/>
  <c r="AC336" i="1"/>
  <c r="AL335" i="1"/>
  <c r="AJ335" i="1"/>
  <c r="AI335" i="1"/>
  <c r="AH335" i="1"/>
  <c r="AG335" i="1"/>
  <c r="AF335" i="1"/>
  <c r="AE335" i="1"/>
  <c r="AD335" i="1"/>
  <c r="AC335" i="1"/>
  <c r="AL334" i="1"/>
  <c r="AJ334" i="1"/>
  <c r="AI334" i="1"/>
  <c r="AH334" i="1"/>
  <c r="AG334" i="1"/>
  <c r="AF334" i="1"/>
  <c r="AE334" i="1"/>
  <c r="AD334" i="1"/>
  <c r="AC334" i="1"/>
  <c r="AL333" i="1"/>
  <c r="AJ333" i="1"/>
  <c r="AI333" i="1"/>
  <c r="AH333" i="1"/>
  <c r="AG333" i="1"/>
  <c r="AF333" i="1"/>
  <c r="AE333" i="1"/>
  <c r="AD333" i="1"/>
  <c r="AC333" i="1"/>
  <c r="AL332" i="1"/>
  <c r="AJ332" i="1"/>
  <c r="AI332" i="1"/>
  <c r="AH332" i="1"/>
  <c r="AG332" i="1"/>
  <c r="AF332" i="1"/>
  <c r="AE332" i="1"/>
  <c r="AD332" i="1"/>
  <c r="AC332" i="1"/>
  <c r="AL331" i="1"/>
  <c r="AJ331" i="1"/>
  <c r="AI331" i="1"/>
  <c r="AH331" i="1"/>
  <c r="AG331" i="1"/>
  <c r="AF331" i="1"/>
  <c r="AE331" i="1"/>
  <c r="AD331" i="1"/>
  <c r="AC331" i="1"/>
  <c r="AL330" i="1"/>
  <c r="AJ330" i="1"/>
  <c r="AI330" i="1"/>
  <c r="AH330" i="1"/>
  <c r="AG330" i="1"/>
  <c r="AF330" i="1"/>
  <c r="AE330" i="1"/>
  <c r="AD330" i="1"/>
  <c r="AC330" i="1"/>
  <c r="AL329" i="1"/>
  <c r="AJ329" i="1"/>
  <c r="AI329" i="1"/>
  <c r="AH329" i="1"/>
  <c r="AG329" i="1"/>
  <c r="AF329" i="1"/>
  <c r="AE329" i="1"/>
  <c r="AD329" i="1"/>
  <c r="AC329" i="1"/>
  <c r="AL328" i="1"/>
  <c r="AJ328" i="1"/>
  <c r="AI328" i="1"/>
  <c r="AH328" i="1"/>
  <c r="AG328" i="1"/>
  <c r="AF328" i="1"/>
  <c r="AE328" i="1"/>
  <c r="AD328" i="1"/>
  <c r="AC328" i="1"/>
  <c r="AL327" i="1"/>
  <c r="AJ327" i="1"/>
  <c r="AI327" i="1"/>
  <c r="AH327" i="1"/>
  <c r="AG327" i="1"/>
  <c r="AF327" i="1"/>
  <c r="AE327" i="1"/>
  <c r="AD327" i="1"/>
  <c r="AC327" i="1"/>
  <c r="AL326" i="1"/>
  <c r="AJ326" i="1"/>
  <c r="AI326" i="1"/>
  <c r="AH326" i="1"/>
  <c r="AG326" i="1"/>
  <c r="AF326" i="1"/>
  <c r="AE326" i="1"/>
  <c r="AD326" i="1"/>
  <c r="AC326" i="1"/>
  <c r="AL325" i="1"/>
  <c r="AJ325" i="1"/>
  <c r="AI325" i="1"/>
  <c r="AH325" i="1"/>
  <c r="AG325" i="1"/>
  <c r="AF325" i="1"/>
  <c r="AE325" i="1"/>
  <c r="AD325" i="1"/>
  <c r="AC325" i="1"/>
  <c r="AL324" i="1"/>
  <c r="AJ324" i="1"/>
  <c r="AI324" i="1"/>
  <c r="AH324" i="1"/>
  <c r="AG324" i="1"/>
  <c r="AF324" i="1"/>
  <c r="AE324" i="1"/>
  <c r="AD324" i="1"/>
  <c r="AC324" i="1"/>
  <c r="AL323" i="1"/>
  <c r="AJ323" i="1"/>
  <c r="AI323" i="1"/>
  <c r="AH323" i="1"/>
  <c r="AG323" i="1"/>
  <c r="AF323" i="1"/>
  <c r="AE323" i="1"/>
  <c r="AD323" i="1"/>
  <c r="AC323" i="1"/>
  <c r="AL322" i="1"/>
  <c r="AJ322" i="1"/>
  <c r="AI322" i="1"/>
  <c r="AH322" i="1"/>
  <c r="AG322" i="1"/>
  <c r="AF322" i="1"/>
  <c r="AE322" i="1"/>
  <c r="AD322" i="1"/>
  <c r="AC322" i="1"/>
  <c r="AL321" i="1"/>
  <c r="AJ321" i="1"/>
  <c r="AI321" i="1"/>
  <c r="AH321" i="1"/>
  <c r="AG321" i="1"/>
  <c r="AF321" i="1"/>
  <c r="AE321" i="1"/>
  <c r="AD321" i="1"/>
  <c r="AC321" i="1"/>
  <c r="AL320" i="1"/>
  <c r="AJ320" i="1"/>
  <c r="AI320" i="1"/>
  <c r="AH320" i="1"/>
  <c r="AG320" i="1"/>
  <c r="AF320" i="1"/>
  <c r="AE320" i="1"/>
  <c r="AD320" i="1"/>
  <c r="AC320" i="1"/>
  <c r="AL319" i="1"/>
  <c r="AJ319" i="1"/>
  <c r="AI319" i="1"/>
  <c r="AH319" i="1"/>
  <c r="AG319" i="1"/>
  <c r="AF319" i="1"/>
  <c r="AE319" i="1"/>
  <c r="AD319" i="1"/>
  <c r="AC319" i="1"/>
  <c r="AL318" i="1"/>
  <c r="AJ318" i="1"/>
  <c r="AI318" i="1"/>
  <c r="AH318" i="1"/>
  <c r="AG318" i="1"/>
  <c r="AF318" i="1"/>
  <c r="AE318" i="1"/>
  <c r="AD318" i="1"/>
  <c r="AC318" i="1"/>
  <c r="AL317" i="1"/>
  <c r="AJ317" i="1"/>
  <c r="AI317" i="1"/>
  <c r="AH317" i="1"/>
  <c r="AG317" i="1"/>
  <c r="AF317" i="1"/>
  <c r="AE317" i="1"/>
  <c r="AC317" i="1"/>
  <c r="AL316" i="1"/>
  <c r="AJ316" i="1"/>
  <c r="AI316" i="1"/>
  <c r="AG316" i="1"/>
  <c r="AE316" i="1"/>
  <c r="AD316" i="1"/>
  <c r="AL315" i="1"/>
  <c r="AJ315" i="1"/>
  <c r="AI315" i="1"/>
  <c r="AG315" i="1"/>
  <c r="AF315" i="1"/>
  <c r="AD315" i="1"/>
  <c r="AC315" i="1"/>
  <c r="AH314" i="1"/>
  <c r="AE314" i="1"/>
  <c r="AC314" i="1"/>
  <c r="AF313" i="1"/>
  <c r="AD313" i="1"/>
  <c r="AJ312" i="1"/>
  <c r="AI312" i="1"/>
  <c r="AG312" i="1"/>
  <c r="AD312" i="1"/>
  <c r="AL311" i="1"/>
  <c r="AJ311" i="1"/>
  <c r="AI311" i="1"/>
  <c r="AG311" i="1"/>
  <c r="AE311" i="1"/>
  <c r="AL310" i="1"/>
  <c r="AI310" i="1"/>
  <c r="AG310" i="1"/>
  <c r="AE310" i="1"/>
  <c r="AC310" i="1"/>
  <c r="AL309" i="1"/>
  <c r="AI309" i="1"/>
  <c r="AG309" i="1"/>
  <c r="AE309" i="1"/>
  <c r="AJ308" i="1"/>
  <c r="AH308" i="1"/>
  <c r="AF308" i="1"/>
  <c r="AD308" i="1"/>
  <c r="AL307" i="1"/>
  <c r="AJ307" i="1"/>
  <c r="AI307" i="1"/>
  <c r="AG307" i="1"/>
  <c r="AE307" i="1"/>
  <c r="AC307" i="1"/>
  <c r="AJ306" i="1"/>
  <c r="AH306" i="1"/>
  <c r="AF306" i="1"/>
  <c r="AD306" i="1"/>
  <c r="AL305" i="1"/>
  <c r="AJ305" i="1"/>
  <c r="AH305" i="1"/>
  <c r="AE305" i="1"/>
  <c r="AC305" i="1"/>
  <c r="AJ304" i="1"/>
  <c r="AI304" i="1"/>
  <c r="AG304" i="1"/>
  <c r="AF304" i="1"/>
  <c r="AD304" i="1"/>
  <c r="AL303" i="1"/>
  <c r="AJ303" i="1"/>
  <c r="AH303" i="1"/>
  <c r="AF303" i="1"/>
  <c r="AE303" i="1"/>
  <c r="AC303" i="1"/>
  <c r="AJ302" i="1"/>
  <c r="AH302" i="1"/>
  <c r="AG302" i="1"/>
  <c r="AE302" i="1"/>
  <c r="AC302" i="1"/>
  <c r="AJ301" i="1"/>
  <c r="AH301" i="1"/>
  <c r="AF301" i="1"/>
  <c r="AE301" i="1"/>
  <c r="AC301" i="1"/>
  <c r="AJ300" i="1"/>
  <c r="AH300" i="1"/>
  <c r="AF300" i="1"/>
  <c r="AC300" i="1"/>
  <c r="AJ299" i="1"/>
  <c r="AI299" i="1"/>
  <c r="AG299" i="1"/>
  <c r="AF299" i="1"/>
  <c r="AE299" i="1"/>
  <c r="AD299" i="1"/>
  <c r="AL298" i="1"/>
  <c r="AJ298" i="1"/>
  <c r="AI298" i="1"/>
  <c r="AG298" i="1"/>
  <c r="AE298" i="1"/>
  <c r="AC298" i="1"/>
  <c r="AJ297" i="1"/>
  <c r="AH297" i="1"/>
  <c r="AG297" i="1"/>
  <c r="AE297" i="1"/>
  <c r="AC297" i="1"/>
  <c r="AJ296" i="1"/>
  <c r="AH296" i="1"/>
  <c r="AF296" i="1"/>
  <c r="AD296" i="1"/>
  <c r="AL295" i="1"/>
  <c r="AJ295" i="1"/>
  <c r="AH295" i="1"/>
  <c r="AE295" i="1"/>
  <c r="AC295" i="1"/>
  <c r="AI294" i="1"/>
  <c r="AG294" i="1"/>
  <c r="AE294" i="1"/>
  <c r="AC294" i="1"/>
  <c r="AJ293" i="1"/>
  <c r="AH293" i="1"/>
  <c r="AE293" i="1"/>
  <c r="AD293" i="1"/>
  <c r="AL292" i="1"/>
  <c r="AJ292" i="1"/>
  <c r="AI292" i="1"/>
  <c r="AG292" i="1"/>
  <c r="AE292" i="1"/>
  <c r="AD292" i="1"/>
  <c r="AL291" i="1"/>
  <c r="AJ291" i="1"/>
  <c r="AI291" i="1"/>
  <c r="AF291" i="1"/>
  <c r="AD291" i="1"/>
  <c r="AJ290" i="1"/>
  <c r="AH290" i="1"/>
  <c r="AF290" i="1"/>
  <c r="AD290" i="1"/>
  <c r="AL289" i="1"/>
  <c r="AJ289" i="1"/>
  <c r="AH289" i="1"/>
  <c r="AF289" i="1"/>
  <c r="AD289" i="1"/>
  <c r="AC289" i="1"/>
  <c r="AL288" i="1"/>
  <c r="AI288" i="1"/>
  <c r="AH288" i="1"/>
  <c r="AF288" i="1"/>
  <c r="AD288" i="1"/>
  <c r="AC288" i="1"/>
  <c r="AJ287" i="1"/>
  <c r="AH287" i="1"/>
  <c r="AF287" i="1"/>
  <c r="AD287" i="1"/>
  <c r="AL286" i="1"/>
  <c r="AJ286" i="1"/>
  <c r="AI286" i="1"/>
  <c r="AG286" i="1"/>
  <c r="AE286" i="1"/>
  <c r="AC286" i="1"/>
  <c r="AH285" i="1"/>
  <c r="AF285" i="1"/>
  <c r="AD285" i="1"/>
  <c r="AJ284" i="1"/>
  <c r="AH284" i="1"/>
  <c r="AG284" i="1"/>
  <c r="AE284" i="1"/>
  <c r="AD284" i="1"/>
  <c r="AJ283" i="1"/>
  <c r="AH283" i="1"/>
  <c r="AF283" i="1"/>
  <c r="AD283" i="1"/>
  <c r="AL282" i="1"/>
  <c r="AI282" i="1"/>
  <c r="AG282" i="1"/>
  <c r="AE282" i="1"/>
  <c r="AC282" i="1"/>
  <c r="AJ281" i="1"/>
  <c r="AH281" i="1"/>
  <c r="AF281" i="1"/>
  <c r="AD281" i="1"/>
  <c r="AL280" i="1"/>
  <c r="AJ280" i="1"/>
  <c r="AH280" i="1"/>
  <c r="AF280" i="1"/>
  <c r="AD280" i="1"/>
  <c r="AC280" i="1"/>
  <c r="AJ279" i="1"/>
  <c r="AH279" i="1"/>
  <c r="AF279" i="1"/>
  <c r="AD279" i="1"/>
  <c r="AL278" i="1"/>
  <c r="AJ278" i="1"/>
  <c r="AI278" i="1"/>
  <c r="AG278" i="1"/>
  <c r="AD278" i="1"/>
  <c r="AL277" i="1"/>
  <c r="AI277" i="1"/>
  <c r="AF277" i="1"/>
  <c r="AD277" i="1"/>
  <c r="AL276" i="1"/>
  <c r="AJ276" i="1"/>
  <c r="AI276" i="1"/>
  <c r="AH276" i="1"/>
  <c r="AF276" i="1"/>
  <c r="AD276" i="1"/>
  <c r="AL275" i="1"/>
  <c r="AJ275" i="1"/>
  <c r="AH275" i="1"/>
  <c r="AF275" i="1"/>
  <c r="AD275" i="1"/>
  <c r="AC275" i="1"/>
  <c r="AH274" i="1"/>
  <c r="AF274" i="1"/>
  <c r="AD274" i="1"/>
  <c r="AC274" i="1"/>
  <c r="AJ273" i="1"/>
  <c r="AH273" i="1"/>
  <c r="AF273" i="1"/>
  <c r="AC273" i="1"/>
  <c r="AJ272" i="1"/>
  <c r="AH272" i="1"/>
  <c r="AF272" i="1"/>
  <c r="AD272" i="1"/>
  <c r="AL271" i="1"/>
  <c r="AJ271" i="1"/>
  <c r="AG271" i="1"/>
  <c r="AE271" i="1"/>
  <c r="AC271" i="1"/>
  <c r="AH270" i="1"/>
  <c r="AF270" i="1"/>
  <c r="AE270" i="1"/>
  <c r="AC270" i="1"/>
  <c r="AJ269" i="1"/>
  <c r="AH269" i="1"/>
  <c r="AF269" i="1"/>
  <c r="AD269" i="1"/>
  <c r="AL268" i="1"/>
  <c r="AJ268" i="1"/>
  <c r="AH268" i="1"/>
  <c r="AF268" i="1"/>
  <c r="AD268" i="1"/>
  <c r="AC268" i="1"/>
  <c r="AJ267" i="1"/>
  <c r="AH267" i="1"/>
  <c r="AF267" i="1"/>
  <c r="AD267" i="1"/>
  <c r="AC267" i="1"/>
  <c r="AJ266" i="1"/>
  <c r="AI266" i="1"/>
  <c r="AG266" i="1"/>
  <c r="AF266" i="1"/>
  <c r="AD266" i="1"/>
  <c r="AL265" i="1"/>
  <c r="AJ265" i="1"/>
  <c r="AI265" i="1"/>
  <c r="AG265" i="1"/>
  <c r="AE265" i="1"/>
  <c r="AC265" i="1"/>
  <c r="AL264" i="1"/>
  <c r="AI264" i="1"/>
  <c r="AG264" i="1"/>
  <c r="AE264" i="1"/>
  <c r="AJ263" i="1"/>
  <c r="AH263" i="1"/>
  <c r="AF263" i="1"/>
  <c r="AE263" i="1"/>
  <c r="AC263" i="1"/>
  <c r="AL262" i="1"/>
  <c r="AJ262" i="1"/>
  <c r="AI262" i="1"/>
  <c r="AG262" i="1"/>
  <c r="AE262" i="1"/>
  <c r="AC262" i="1"/>
  <c r="AH261" i="1"/>
  <c r="AF261" i="1"/>
  <c r="AD261" i="1"/>
  <c r="AL260" i="1"/>
  <c r="AJ260" i="1"/>
  <c r="AI260" i="1"/>
  <c r="AG260" i="1"/>
  <c r="AD260" i="1"/>
  <c r="AL259" i="1"/>
  <c r="AI259" i="1"/>
  <c r="AG259" i="1"/>
  <c r="AE259" i="1"/>
  <c r="AC259" i="1"/>
  <c r="AJ258" i="1"/>
  <c r="AG258" i="1"/>
  <c r="AE258" i="1"/>
  <c r="AC258" i="1"/>
  <c r="AJ257" i="1"/>
  <c r="AG257" i="1"/>
  <c r="AE257" i="1"/>
  <c r="AD257" i="1"/>
  <c r="AL256" i="1"/>
  <c r="AI256" i="1"/>
  <c r="AF256" i="1"/>
  <c r="AC256" i="1"/>
  <c r="AL255" i="1"/>
  <c r="AI255" i="1"/>
  <c r="AH255" i="1"/>
  <c r="AF255" i="1"/>
  <c r="AD255" i="1"/>
  <c r="AH254" i="1"/>
  <c r="AF254" i="1"/>
  <c r="AD254" i="1"/>
  <c r="AL253" i="1"/>
  <c r="AJ253" i="1"/>
  <c r="AG253" i="1"/>
  <c r="AF253" i="1"/>
  <c r="AD253" i="1"/>
  <c r="AC253" i="1"/>
  <c r="AL252" i="1"/>
  <c r="AH252" i="1"/>
  <c r="AF252" i="1"/>
  <c r="AD252" i="1"/>
  <c r="AL251" i="1"/>
  <c r="AI251" i="1"/>
  <c r="AH251" i="1"/>
  <c r="AE251" i="1"/>
  <c r="AC251" i="1"/>
  <c r="AJ250" i="1"/>
  <c r="AH250" i="1"/>
  <c r="AF250" i="1"/>
  <c r="AD250" i="1"/>
  <c r="AL249" i="1"/>
  <c r="AI249" i="1"/>
  <c r="AF249" i="1"/>
  <c r="AC249" i="1"/>
  <c r="AJ248" i="1"/>
  <c r="AH248" i="1"/>
  <c r="AD248" i="1"/>
  <c r="AL247" i="1"/>
  <c r="AJ247" i="1"/>
  <c r="AG247" i="1"/>
  <c r="AE247" i="1"/>
  <c r="AC247" i="1"/>
  <c r="AJ246" i="1"/>
  <c r="AH246" i="1"/>
  <c r="AF246" i="1"/>
  <c r="AD246" i="1"/>
  <c r="AL245" i="1"/>
  <c r="AJ245" i="1"/>
  <c r="AH245" i="1"/>
  <c r="AF245" i="1"/>
  <c r="AD245" i="1"/>
  <c r="AL244" i="1"/>
  <c r="AJ244" i="1"/>
  <c r="AH244" i="1"/>
  <c r="AF244" i="1"/>
  <c r="AD244" i="1"/>
  <c r="AL243" i="1"/>
  <c r="AJ243" i="1"/>
  <c r="AG243" i="1"/>
  <c r="AD243" i="1"/>
  <c r="AL242" i="1"/>
  <c r="AJ242" i="1"/>
  <c r="AH242" i="1"/>
  <c r="AF242" i="1"/>
  <c r="AD242" i="1"/>
  <c r="AL241" i="1"/>
  <c r="AI241" i="1"/>
  <c r="AG241" i="1"/>
  <c r="AE241" i="1"/>
  <c r="AC241" i="1"/>
  <c r="AJ240" i="1"/>
  <c r="AH240" i="1"/>
  <c r="AF240" i="1"/>
  <c r="AD240" i="1"/>
  <c r="AL239" i="1"/>
  <c r="AI239" i="1"/>
  <c r="AG239" i="1"/>
  <c r="AE239" i="1"/>
  <c r="AC239" i="1"/>
  <c r="AL238" i="1"/>
  <c r="AJ238" i="1"/>
  <c r="AI238" i="1"/>
  <c r="AG238" i="1"/>
  <c r="AE238" i="1"/>
  <c r="AD238" i="1"/>
  <c r="AL237" i="1"/>
  <c r="AI237" i="1"/>
  <c r="AG237" i="1"/>
  <c r="AE237" i="1"/>
  <c r="AC237" i="1"/>
  <c r="AL236" i="1"/>
  <c r="AJ236" i="1"/>
  <c r="AI236" i="1"/>
  <c r="AG236" i="1"/>
  <c r="AE236" i="1"/>
  <c r="AC236" i="1"/>
  <c r="AJ235" i="1"/>
  <c r="AI235" i="1"/>
  <c r="AH235" i="1"/>
  <c r="AG235" i="1"/>
  <c r="AF235" i="1"/>
  <c r="AE235" i="1"/>
  <c r="AC235" i="1"/>
  <c r="AI234" i="1"/>
  <c r="AG234" i="1"/>
  <c r="AD234" i="1"/>
  <c r="AL233" i="1"/>
  <c r="AI233" i="1"/>
  <c r="AG233" i="1"/>
  <c r="AF233" i="1"/>
  <c r="AD233" i="1"/>
  <c r="AL232" i="1"/>
  <c r="AJ232" i="1"/>
  <c r="AH232" i="1"/>
  <c r="AF232" i="1"/>
  <c r="AD232" i="1"/>
  <c r="AJ231" i="1"/>
  <c r="AH231" i="1"/>
  <c r="AF231" i="1"/>
  <c r="AD231" i="1"/>
  <c r="AL230" i="1"/>
  <c r="AI230" i="1"/>
  <c r="AH230" i="1"/>
  <c r="AF230" i="1"/>
  <c r="AD230" i="1"/>
  <c r="AL229" i="1"/>
  <c r="AJ229" i="1"/>
  <c r="AI229" i="1"/>
  <c r="AG229" i="1"/>
  <c r="AE229" i="1"/>
  <c r="AC229" i="1"/>
  <c r="AJ228" i="1"/>
  <c r="AH228" i="1"/>
  <c r="AG228" i="1"/>
  <c r="AC228" i="1"/>
  <c r="AL227" i="1"/>
  <c r="AI227" i="1"/>
  <c r="AG227" i="1"/>
  <c r="AE227" i="1"/>
  <c r="AC227" i="1"/>
  <c r="AL226" i="1"/>
  <c r="AJ226" i="1"/>
  <c r="AI226" i="1"/>
  <c r="AH226" i="1"/>
  <c r="AF226" i="1"/>
  <c r="AC226" i="1"/>
  <c r="AJ225" i="1"/>
  <c r="AH225" i="1"/>
  <c r="AF225" i="1"/>
  <c r="AC225" i="1"/>
  <c r="AL224" i="1"/>
  <c r="AH224" i="1"/>
  <c r="AF224" i="1"/>
  <c r="AC224" i="1"/>
  <c r="AL223" i="1"/>
  <c r="AH223" i="1"/>
  <c r="AF223" i="1"/>
  <c r="AD223" i="1"/>
  <c r="AL222" i="1"/>
  <c r="AJ222" i="1"/>
  <c r="AI222" i="1"/>
  <c r="AG222" i="1"/>
  <c r="AD222" i="1"/>
  <c r="AL221" i="1"/>
  <c r="AI221" i="1"/>
  <c r="AG221" i="1"/>
  <c r="AE221" i="1"/>
  <c r="AC221" i="1"/>
  <c r="AI220" i="1"/>
  <c r="AG220" i="1"/>
  <c r="AD220" i="1"/>
  <c r="AL219" i="1"/>
  <c r="AH219" i="1"/>
  <c r="AG219" i="1"/>
  <c r="AE219" i="1"/>
  <c r="AC219" i="1"/>
  <c r="AJ218" i="1"/>
  <c r="AH218" i="1"/>
  <c r="AE218" i="1"/>
  <c r="AC218" i="1"/>
  <c r="AH217" i="1"/>
  <c r="AF217" i="1"/>
  <c r="AD217" i="1"/>
  <c r="AC217" i="1"/>
  <c r="AJ216" i="1"/>
  <c r="AG216" i="1"/>
  <c r="AE216" i="1"/>
  <c r="AC216" i="1"/>
  <c r="AI215" i="1"/>
  <c r="AG215" i="1"/>
  <c r="AE215" i="1"/>
  <c r="AC215" i="1"/>
  <c r="AJ214" i="1"/>
  <c r="AH214" i="1"/>
  <c r="AF214" i="1"/>
  <c r="AD214" i="1"/>
  <c r="AL213" i="1"/>
  <c r="AJ213" i="1"/>
  <c r="AI213" i="1"/>
  <c r="AG213" i="1"/>
  <c r="AE213" i="1"/>
  <c r="AC213" i="1"/>
  <c r="AJ212" i="1"/>
  <c r="AH212" i="1"/>
  <c r="AF212" i="1"/>
  <c r="AD212" i="1"/>
  <c r="AL211" i="1"/>
  <c r="AJ211" i="1"/>
  <c r="AH211" i="1"/>
  <c r="AF211" i="1"/>
  <c r="AD211" i="1"/>
  <c r="AL210" i="1"/>
  <c r="AJ210" i="1"/>
  <c r="AH210" i="1"/>
  <c r="AF210" i="1"/>
  <c r="AD210" i="1"/>
  <c r="AL209" i="1"/>
  <c r="AJ209" i="1"/>
  <c r="AH209" i="1"/>
  <c r="AF209" i="1"/>
  <c r="AD209" i="1"/>
  <c r="AJ208" i="1"/>
  <c r="AH208" i="1"/>
  <c r="AF208" i="1"/>
  <c r="AD208" i="1"/>
  <c r="AL207" i="1"/>
  <c r="AI207" i="1"/>
  <c r="AH207" i="1"/>
  <c r="AF207" i="1"/>
  <c r="AD207" i="1"/>
  <c r="AL206" i="1"/>
  <c r="AJ206" i="1"/>
  <c r="AH206" i="1"/>
  <c r="AE206" i="1"/>
  <c r="AL205" i="1"/>
  <c r="AI205" i="1"/>
  <c r="AH205" i="1"/>
  <c r="AF205" i="1"/>
  <c r="AD205" i="1"/>
  <c r="AL204" i="1"/>
  <c r="AJ204" i="1"/>
  <c r="AI204" i="1"/>
  <c r="AG204" i="1"/>
  <c r="AE204" i="1"/>
  <c r="AC204" i="1"/>
  <c r="AJ203" i="1"/>
  <c r="AG203" i="1"/>
  <c r="AE203" i="1"/>
  <c r="AH202" i="1"/>
  <c r="AF202" i="1"/>
  <c r="AD202" i="1"/>
  <c r="AL201" i="1"/>
  <c r="AI201" i="1"/>
  <c r="AG201" i="1"/>
  <c r="AE201" i="1"/>
  <c r="AC201" i="1"/>
  <c r="AJ200" i="1"/>
  <c r="AH200" i="1"/>
  <c r="AE200" i="1"/>
  <c r="AD200" i="1"/>
  <c r="AJ199" i="1"/>
  <c r="AH199" i="1"/>
  <c r="AF199" i="1"/>
  <c r="AD199" i="1"/>
  <c r="AJ198" i="1"/>
  <c r="AG198" i="1"/>
  <c r="AE198" i="1"/>
  <c r="AC198" i="1"/>
  <c r="AJ197" i="1"/>
  <c r="AH197" i="1"/>
  <c r="AF197" i="1"/>
  <c r="AD197" i="1"/>
  <c r="AJ196" i="1"/>
  <c r="AH196" i="1"/>
  <c r="AF196" i="1"/>
  <c r="AL195" i="1"/>
  <c r="AI195" i="1"/>
  <c r="AG195" i="1"/>
  <c r="AE195" i="1"/>
  <c r="AC195" i="1"/>
  <c r="AI194" i="1"/>
  <c r="AH194" i="1"/>
  <c r="AG194" i="1"/>
  <c r="AF194" i="1"/>
  <c r="AE194" i="1"/>
  <c r="AC194" i="1"/>
  <c r="AJ193" i="1"/>
  <c r="AG193" i="1"/>
  <c r="AE193" i="1"/>
  <c r="AD193" i="1"/>
  <c r="AL192" i="1"/>
  <c r="AI192" i="1"/>
  <c r="AC174" i="1"/>
  <c r="AJ173" i="1"/>
  <c r="AH173" i="1"/>
  <c r="AF173" i="1"/>
  <c r="AD173" i="1"/>
  <c r="AL172" i="1"/>
  <c r="AJ172" i="1"/>
  <c r="AI172" i="1"/>
  <c r="AF172" i="1"/>
  <c r="AC172" i="1"/>
  <c r="AL171" i="1"/>
  <c r="AJ171" i="1"/>
  <c r="AH171" i="1"/>
  <c r="AF171" i="1"/>
  <c r="AD171" i="1"/>
  <c r="AL170" i="1"/>
  <c r="AJ170" i="1"/>
  <c r="AH170" i="1"/>
  <c r="AF170" i="1"/>
  <c r="AD170" i="1"/>
  <c r="AJ169" i="1"/>
  <c r="AI169" i="1"/>
  <c r="AG169" i="1"/>
  <c r="AE169" i="1"/>
  <c r="AD169" i="1"/>
  <c r="AL168" i="1"/>
  <c r="AH168" i="1"/>
  <c r="AF168" i="1"/>
  <c r="AD168" i="1"/>
  <c r="AL167" i="1"/>
  <c r="AJ167" i="1"/>
  <c r="AH167" i="1"/>
  <c r="AG167" i="1"/>
  <c r="AE167" i="1"/>
  <c r="AC167" i="1"/>
  <c r="AI166" i="1"/>
  <c r="AG166" i="1"/>
  <c r="AE166" i="1"/>
  <c r="AC166" i="1"/>
  <c r="AI165" i="1"/>
  <c r="AG165" i="1"/>
  <c r="AC165" i="1"/>
  <c r="AJ164" i="1"/>
  <c r="AH164" i="1"/>
  <c r="AF164" i="1"/>
  <c r="AE164" i="1"/>
  <c r="AC164" i="1"/>
  <c r="AJ163" i="1"/>
  <c r="AH163" i="1"/>
  <c r="AF163" i="1"/>
  <c r="AD163" i="1"/>
  <c r="AL162" i="1"/>
  <c r="AJ162" i="1"/>
  <c r="AH162" i="1"/>
  <c r="AG162" i="1"/>
  <c r="AE162" i="1"/>
  <c r="AD162" i="1"/>
  <c r="AL161" i="1"/>
  <c r="AJ161" i="1"/>
  <c r="AH161" i="1"/>
  <c r="AF161" i="1"/>
  <c r="AD161" i="1"/>
  <c r="AJ160" i="1"/>
  <c r="AH160" i="1"/>
  <c r="AG160" i="1"/>
  <c r="AE160" i="1"/>
  <c r="AD160" i="1"/>
  <c r="AJ159" i="1"/>
  <c r="AH159" i="1"/>
  <c r="AF159" i="1"/>
  <c r="AD159" i="1"/>
  <c r="AL158" i="1"/>
  <c r="AJ158" i="1"/>
  <c r="AH158" i="1"/>
  <c r="AF158" i="1"/>
  <c r="AC158" i="1"/>
  <c r="AJ157" i="1"/>
  <c r="AH157" i="1"/>
  <c r="AG157" i="1"/>
  <c r="AE157" i="1"/>
  <c r="AD157" i="1"/>
  <c r="AL156" i="1"/>
  <c r="AJ156" i="1"/>
  <c r="AI156" i="1"/>
  <c r="AH156" i="1"/>
  <c r="AF156" i="1"/>
  <c r="AD156" i="1"/>
  <c r="AL155" i="1"/>
  <c r="AJ155" i="1"/>
  <c r="AH155" i="1"/>
  <c r="AF155" i="1"/>
  <c r="AD155" i="1"/>
  <c r="AL154" i="1"/>
  <c r="AJ154" i="1"/>
  <c r="AH154" i="1"/>
  <c r="AG154" i="1"/>
  <c r="AE154" i="1"/>
  <c r="AC154" i="1"/>
  <c r="AE153" i="1"/>
  <c r="AL152" i="1"/>
  <c r="AJ152" i="1"/>
  <c r="AI152" i="1"/>
  <c r="AG152" i="1"/>
  <c r="AE152" i="1"/>
  <c r="AC152" i="1"/>
  <c r="AJ151" i="1"/>
  <c r="AH151" i="1"/>
  <c r="AG151" i="1"/>
  <c r="AE151" i="1"/>
  <c r="AC151" i="1"/>
  <c r="AJ150" i="1"/>
  <c r="AG150" i="1"/>
  <c r="AE150" i="1"/>
  <c r="AC150" i="1"/>
  <c r="AL149" i="1"/>
  <c r="AI149" i="1"/>
  <c r="AG149" i="1"/>
  <c r="AE149" i="1"/>
  <c r="AC149" i="1"/>
  <c r="AJ148" i="1"/>
  <c r="AH148" i="1"/>
  <c r="AF148" i="1"/>
  <c r="AD148" i="1"/>
  <c r="AL147" i="1"/>
  <c r="AJ147" i="1"/>
  <c r="AH147" i="1"/>
  <c r="AG147" i="1"/>
  <c r="AD147" i="1"/>
  <c r="AI146" i="1"/>
  <c r="AG146" i="1"/>
  <c r="AF146" i="1"/>
  <c r="AD146" i="1"/>
  <c r="AL145" i="1"/>
  <c r="AJ145" i="1"/>
  <c r="AI145" i="1"/>
  <c r="AG145" i="1"/>
  <c r="AF145" i="1"/>
  <c r="AD145" i="1"/>
  <c r="AJ144" i="1"/>
  <c r="AI144" i="1"/>
  <c r="AG144" i="1"/>
  <c r="AD144" i="1"/>
  <c r="AJ143" i="1"/>
  <c r="AH143" i="1"/>
  <c r="AF143" i="1"/>
  <c r="AD143" i="1"/>
  <c r="AI142" i="1"/>
  <c r="AF142" i="1"/>
  <c r="AD142" i="1"/>
  <c r="AL141" i="1"/>
  <c r="AJ141" i="1"/>
  <c r="AI141" i="1"/>
  <c r="AG141" i="1"/>
  <c r="AF141" i="1"/>
  <c r="AD141" i="1"/>
  <c r="AL140" i="1"/>
  <c r="AJ140" i="1"/>
  <c r="AH140" i="1"/>
  <c r="AF140" i="1"/>
  <c r="AD140" i="1"/>
  <c r="AL139" i="1"/>
  <c r="AJ139" i="1"/>
  <c r="AH139" i="1"/>
  <c r="AF139" i="1"/>
  <c r="AD139" i="1"/>
  <c r="AL138" i="1"/>
  <c r="AJ138" i="1"/>
  <c r="AH138" i="1"/>
  <c r="AE138" i="1"/>
  <c r="AC138" i="1"/>
  <c r="AL137" i="1"/>
  <c r="AG137" i="1"/>
  <c r="AE137" i="1"/>
  <c r="AC137" i="1"/>
  <c r="AJ136" i="1"/>
  <c r="AH136" i="1"/>
  <c r="AG136" i="1"/>
  <c r="AE136" i="1"/>
  <c r="AD136" i="1"/>
  <c r="AL135" i="1"/>
  <c r="AJ135" i="1"/>
  <c r="AH135" i="1"/>
  <c r="AE135" i="1"/>
  <c r="AC135" i="1"/>
  <c r="AL134" i="1"/>
  <c r="AJ134" i="1"/>
  <c r="AI134" i="1"/>
  <c r="AG134" i="1"/>
  <c r="AE134" i="1"/>
  <c r="AC134" i="1"/>
  <c r="AJ133" i="1"/>
  <c r="AG133" i="1"/>
  <c r="AE133" i="1"/>
  <c r="AC133" i="1"/>
  <c r="AL132" i="1"/>
  <c r="AH132" i="1"/>
  <c r="AF132" i="1"/>
  <c r="AD132" i="1"/>
  <c r="AL131" i="1"/>
  <c r="AJ131" i="1"/>
  <c r="AI131" i="1"/>
  <c r="AG131" i="1"/>
  <c r="AE131" i="1"/>
  <c r="AC131" i="1"/>
  <c r="AJ130" i="1"/>
  <c r="AH130" i="1"/>
  <c r="AF130" i="1"/>
  <c r="AD130" i="1"/>
  <c r="AJ129" i="1"/>
  <c r="AI129" i="1"/>
  <c r="AF129" i="1"/>
  <c r="AC129" i="1"/>
  <c r="AL128" i="1"/>
  <c r="AI128" i="1"/>
  <c r="AF128" i="1"/>
  <c r="AD128" i="1"/>
  <c r="AL127" i="1"/>
  <c r="AI127" i="1"/>
  <c r="AG127" i="1"/>
  <c r="AE127" i="1"/>
  <c r="AC127" i="1"/>
  <c r="AJ126" i="1"/>
  <c r="AI126" i="1"/>
  <c r="AH126" i="1"/>
  <c r="AF126" i="1"/>
  <c r="AE126" i="1"/>
  <c r="AC126" i="1"/>
  <c r="AJ125" i="1"/>
  <c r="AH125" i="1"/>
  <c r="AF125" i="1"/>
  <c r="AD125" i="1"/>
  <c r="AD123" i="1"/>
  <c r="AL122" i="1"/>
  <c r="AI122" i="1"/>
  <c r="AG122" i="1"/>
  <c r="AE122" i="1"/>
  <c r="AC122" i="1"/>
  <c r="AJ121" i="1"/>
  <c r="AH121" i="1"/>
  <c r="AE121" i="1"/>
  <c r="AL120" i="1"/>
  <c r="AJ120" i="1"/>
  <c r="AI120" i="1"/>
  <c r="AH120" i="1"/>
  <c r="AF120" i="1"/>
  <c r="AE120" i="1"/>
  <c r="AC120" i="1"/>
  <c r="AL119" i="1"/>
  <c r="AI119" i="1"/>
  <c r="AG119" i="1"/>
  <c r="AE119" i="1"/>
  <c r="AC119" i="1"/>
  <c r="AJ118" i="1"/>
  <c r="AH118" i="1"/>
  <c r="AF118" i="1"/>
  <c r="AD118" i="1"/>
  <c r="AL117" i="1"/>
  <c r="AJ117" i="1"/>
  <c r="AH117" i="1"/>
  <c r="AF117" i="1"/>
  <c r="AD117" i="1"/>
  <c r="AJ116" i="1"/>
  <c r="AH116" i="1"/>
  <c r="AE116" i="1"/>
  <c r="AC116" i="1"/>
  <c r="AL115" i="1"/>
  <c r="AI115" i="1"/>
  <c r="AG115" i="1"/>
  <c r="AE115" i="1"/>
  <c r="AC115" i="1"/>
  <c r="AJ114" i="1"/>
  <c r="AH114" i="1"/>
  <c r="AF114" i="1"/>
  <c r="AD114" i="1"/>
  <c r="AL113" i="1"/>
  <c r="AJ113" i="1"/>
  <c r="AH113" i="1"/>
  <c r="AF113" i="1"/>
  <c r="AE113" i="1"/>
  <c r="AC113" i="1"/>
  <c r="AJ112" i="1"/>
  <c r="AG112" i="1"/>
  <c r="AE112" i="1"/>
  <c r="AL111" i="1"/>
  <c r="AJ111" i="1"/>
  <c r="AG111" i="1"/>
  <c r="AE111" i="1"/>
  <c r="AC111" i="1"/>
  <c r="AL110" i="1"/>
  <c r="AH110" i="1"/>
  <c r="AF110" i="1"/>
  <c r="AD110" i="1"/>
  <c r="AC110" i="1"/>
  <c r="AL109" i="1"/>
  <c r="AJ109" i="1"/>
  <c r="AI109" i="1"/>
  <c r="AH109" i="1"/>
  <c r="AG109" i="1"/>
  <c r="AF109" i="1"/>
  <c r="AD109" i="1"/>
  <c r="AJ108" i="1"/>
  <c r="AI108" i="1"/>
  <c r="AH108" i="1"/>
  <c r="AG108" i="1"/>
  <c r="AF108" i="1"/>
  <c r="AD108" i="1"/>
  <c r="AC108" i="1"/>
  <c r="AJ107" i="1"/>
  <c r="AH107" i="1"/>
  <c r="AF107" i="1"/>
  <c r="AD107" i="1"/>
  <c r="AJ106" i="1"/>
  <c r="AH106" i="1"/>
  <c r="AF106" i="1"/>
  <c r="AD106" i="1"/>
  <c r="AL105" i="1"/>
  <c r="AJ105" i="1"/>
  <c r="AG105" i="1"/>
  <c r="AE105" i="1"/>
  <c r="AL104" i="1"/>
  <c r="AI104" i="1"/>
  <c r="AG104" i="1"/>
  <c r="AE104" i="1"/>
  <c r="AC104" i="1"/>
  <c r="AI103" i="1"/>
  <c r="AG103" i="1"/>
  <c r="AE103" i="1"/>
  <c r="AC103" i="1"/>
  <c r="AJ102" i="1"/>
  <c r="AH102" i="1"/>
  <c r="AF102" i="1"/>
  <c r="AD102" i="1"/>
  <c r="AJ101" i="1"/>
  <c r="AH101" i="1"/>
  <c r="AF101" i="1"/>
  <c r="AD101" i="1"/>
  <c r="AL100" i="1"/>
  <c r="AJ100" i="1"/>
  <c r="AI100" i="1"/>
  <c r="AG100" i="1"/>
  <c r="AE100" i="1"/>
  <c r="AC100" i="1"/>
  <c r="AJ99" i="1"/>
  <c r="AH99" i="1"/>
  <c r="AF99" i="1"/>
  <c r="AD99" i="1"/>
  <c r="AJ98" i="1"/>
  <c r="AH98" i="1"/>
  <c r="AF98" i="1"/>
  <c r="AE98" i="1"/>
  <c r="AC98" i="1"/>
  <c r="AI97" i="1"/>
  <c r="AG97" i="1"/>
  <c r="AE97" i="1"/>
  <c r="AC97" i="1"/>
  <c r="AJ96" i="1"/>
  <c r="AH96" i="1"/>
  <c r="AF96" i="1"/>
  <c r="AC96" i="1"/>
  <c r="AL95" i="1"/>
  <c r="AJ95" i="1"/>
  <c r="AI95" i="1"/>
  <c r="AG95" i="1"/>
  <c r="AE95" i="1"/>
  <c r="AC95" i="1"/>
  <c r="AL94" i="1"/>
  <c r="AJ94" i="1"/>
  <c r="AI94" i="1"/>
  <c r="AH94" i="1"/>
  <c r="AG94" i="1"/>
  <c r="AF94" i="1"/>
  <c r="AE94" i="1"/>
  <c r="AD94" i="1"/>
  <c r="AC94" i="1"/>
  <c r="AL93" i="1"/>
  <c r="AJ93" i="1"/>
  <c r="F73" i="1"/>
  <c r="K73" i="1" s="1"/>
  <c r="AL72" i="1"/>
  <c r="AJ72" i="1"/>
  <c r="AI72" i="1"/>
  <c r="AH72" i="1"/>
  <c r="AG72" i="1"/>
  <c r="AF72" i="1"/>
  <c r="AE72" i="1"/>
  <c r="AD72" i="1"/>
  <c r="AC72" i="1"/>
  <c r="AL71" i="1"/>
  <c r="AJ71" i="1"/>
  <c r="AI71" i="1"/>
  <c r="AH71" i="1"/>
  <c r="AG71" i="1"/>
  <c r="AF71" i="1"/>
  <c r="AE71" i="1"/>
  <c r="AD71" i="1"/>
  <c r="AC71" i="1"/>
  <c r="AL70" i="1"/>
  <c r="AJ70" i="1"/>
  <c r="AI70" i="1"/>
  <c r="AH70" i="1"/>
  <c r="AG70" i="1"/>
  <c r="AF70" i="1"/>
  <c r="AE70" i="1"/>
  <c r="AD70" i="1"/>
  <c r="AC70" i="1"/>
  <c r="F70" i="1"/>
  <c r="K70" i="1" s="1"/>
  <c r="AL69" i="1"/>
  <c r="AJ69" i="1"/>
  <c r="AI69" i="1"/>
  <c r="AH69" i="1"/>
  <c r="AG69" i="1"/>
  <c r="AF69" i="1"/>
  <c r="AE69" i="1"/>
  <c r="AD69" i="1"/>
  <c r="AC69" i="1"/>
  <c r="AL68" i="1"/>
  <c r="AJ68" i="1"/>
  <c r="AI68" i="1"/>
  <c r="AH68" i="1"/>
  <c r="AG68" i="1"/>
  <c r="AF68" i="1"/>
  <c r="AE68" i="1"/>
  <c r="AD68" i="1"/>
  <c r="AC68" i="1"/>
  <c r="F68" i="1"/>
  <c r="K68" i="1" s="1"/>
  <c r="AL67" i="1"/>
  <c r="AJ67" i="1"/>
  <c r="AI67" i="1"/>
  <c r="AH67" i="1"/>
  <c r="AG67" i="1"/>
  <c r="AF67" i="1"/>
  <c r="AE67" i="1"/>
  <c r="AD67" i="1"/>
  <c r="AC67" i="1"/>
  <c r="F67" i="1"/>
  <c r="K67" i="1" s="1"/>
  <c r="AL66" i="1"/>
  <c r="AJ66" i="1"/>
  <c r="AI66" i="1"/>
  <c r="AH66" i="1"/>
  <c r="AG66" i="1"/>
  <c r="AF66" i="1"/>
  <c r="AE66" i="1"/>
  <c r="AD66" i="1"/>
  <c r="AC66" i="1"/>
  <c r="AL65" i="1"/>
  <c r="AJ65" i="1"/>
  <c r="AI65" i="1"/>
  <c r="AH65" i="1"/>
  <c r="AG65" i="1"/>
  <c r="AF65" i="1"/>
  <c r="AE65" i="1"/>
  <c r="AD65" i="1"/>
  <c r="AC65" i="1"/>
  <c r="AL64" i="1"/>
  <c r="AJ64" i="1"/>
  <c r="AI64" i="1"/>
  <c r="AH64" i="1"/>
  <c r="AG64" i="1"/>
  <c r="AF64" i="1"/>
  <c r="AE64" i="1"/>
  <c r="AD64" i="1"/>
  <c r="AC64" i="1"/>
  <c r="AL63" i="1"/>
  <c r="AJ63" i="1"/>
  <c r="AI63" i="1"/>
  <c r="AH63" i="1"/>
  <c r="AG63" i="1"/>
  <c r="AF63" i="1"/>
  <c r="AE63" i="1"/>
  <c r="AD63" i="1"/>
  <c r="AC63" i="1"/>
  <c r="AL62" i="1"/>
  <c r="AJ62" i="1"/>
  <c r="AI62" i="1"/>
  <c r="AH62" i="1"/>
  <c r="AG62" i="1"/>
  <c r="AF62" i="1"/>
  <c r="AE62" i="1"/>
  <c r="AD62" i="1"/>
  <c r="AC62" i="1"/>
  <c r="AL61" i="1"/>
  <c r="AJ61" i="1"/>
  <c r="AI61" i="1"/>
  <c r="AH61" i="1"/>
  <c r="AG61" i="1"/>
  <c r="AF61" i="1"/>
  <c r="AE61" i="1"/>
  <c r="AD61" i="1"/>
  <c r="AC61" i="1"/>
  <c r="AL60" i="1"/>
  <c r="AJ60" i="1"/>
  <c r="AI60" i="1"/>
  <c r="AH60" i="1"/>
  <c r="AG60" i="1"/>
  <c r="AF60" i="1"/>
  <c r="AE60" i="1"/>
  <c r="AD60" i="1"/>
  <c r="AC60" i="1"/>
  <c r="AL59" i="1"/>
  <c r="AJ59" i="1"/>
  <c r="AI59" i="1"/>
  <c r="AH59" i="1"/>
  <c r="AG59" i="1"/>
  <c r="AF59" i="1"/>
  <c r="AE59" i="1"/>
  <c r="AD59" i="1"/>
  <c r="AC59" i="1"/>
  <c r="AL58" i="1"/>
  <c r="AJ58" i="1"/>
  <c r="AI58" i="1"/>
  <c r="AH58" i="1"/>
  <c r="AG58" i="1"/>
  <c r="AF58" i="1"/>
  <c r="AE58" i="1"/>
  <c r="AD58" i="1"/>
  <c r="AC58" i="1"/>
  <c r="AL57" i="1"/>
  <c r="AJ57" i="1"/>
  <c r="AI57" i="1"/>
  <c r="AH57" i="1"/>
  <c r="AG57" i="1"/>
  <c r="AF57" i="1"/>
  <c r="AE57" i="1"/>
  <c r="AD57" i="1"/>
  <c r="AC57" i="1"/>
  <c r="AL56" i="1"/>
  <c r="AJ56" i="1"/>
  <c r="AI56" i="1"/>
  <c r="AH56" i="1"/>
  <c r="AG56" i="1"/>
  <c r="AF56" i="1"/>
  <c r="AE56" i="1"/>
  <c r="AD56" i="1"/>
  <c r="AC56" i="1"/>
  <c r="AL55" i="1"/>
  <c r="AJ55" i="1"/>
  <c r="AI55" i="1"/>
  <c r="AH55" i="1"/>
  <c r="AG55" i="1"/>
  <c r="AF55" i="1"/>
  <c r="AE55" i="1"/>
  <c r="AD55" i="1"/>
  <c r="AC55" i="1"/>
  <c r="AL54" i="1"/>
  <c r="AJ54" i="1"/>
  <c r="AI54" i="1"/>
  <c r="AH54" i="1"/>
  <c r="AG54" i="1"/>
  <c r="AF54" i="1"/>
  <c r="AE54" i="1"/>
  <c r="AD54" i="1"/>
  <c r="AC54" i="1"/>
  <c r="AL53" i="1"/>
  <c r="AJ53" i="1"/>
  <c r="AI53" i="1"/>
  <c r="AH53" i="1"/>
  <c r="AG53" i="1"/>
  <c r="AF53" i="1"/>
  <c r="AE53" i="1"/>
  <c r="AD53" i="1"/>
  <c r="AC53" i="1"/>
  <c r="AL52" i="1"/>
  <c r="AJ52" i="1"/>
  <c r="AI52" i="1"/>
  <c r="AH52" i="1"/>
  <c r="AG52" i="1"/>
  <c r="AF52" i="1"/>
  <c r="AE52" i="1"/>
  <c r="AD52" i="1"/>
  <c r="AC52" i="1"/>
  <c r="AL51" i="1"/>
  <c r="AJ51" i="1"/>
  <c r="AI51" i="1"/>
  <c r="AH51" i="1"/>
  <c r="AG51" i="1"/>
  <c r="AF51" i="1"/>
  <c r="AE51" i="1"/>
  <c r="AD51" i="1"/>
  <c r="AC51" i="1"/>
  <c r="AL50" i="1"/>
  <c r="AJ50" i="1"/>
  <c r="AI50" i="1"/>
  <c r="AH50" i="1"/>
  <c r="AG50" i="1"/>
  <c r="AF50" i="1"/>
  <c r="AE50" i="1"/>
  <c r="AD50" i="1"/>
  <c r="AC50" i="1"/>
  <c r="AL49" i="1"/>
  <c r="AJ49" i="1"/>
  <c r="AI49" i="1"/>
  <c r="AH49" i="1"/>
  <c r="AG49" i="1"/>
  <c r="AF49" i="1"/>
  <c r="AE49" i="1"/>
  <c r="AD49" i="1"/>
  <c r="AC49" i="1"/>
  <c r="AL48" i="1"/>
  <c r="AJ48" i="1"/>
  <c r="AI48" i="1"/>
  <c r="AH48" i="1"/>
  <c r="AG48" i="1"/>
  <c r="AF48" i="1"/>
  <c r="AE48" i="1"/>
  <c r="AD48" i="1"/>
  <c r="AC48" i="1"/>
  <c r="AL47" i="1"/>
  <c r="AJ47" i="1"/>
  <c r="AI47" i="1"/>
  <c r="AH47" i="1"/>
  <c r="AG47" i="1"/>
  <c r="AF47" i="1"/>
  <c r="AE47" i="1"/>
  <c r="AD47" i="1"/>
  <c r="AC47" i="1"/>
  <c r="AL46" i="1"/>
  <c r="AJ46" i="1"/>
  <c r="AI46" i="1"/>
  <c r="AH46" i="1"/>
  <c r="AG46" i="1"/>
  <c r="AF46" i="1"/>
  <c r="AE46" i="1"/>
  <c r="AD46" i="1"/>
  <c r="AC46" i="1"/>
  <c r="AL45" i="1"/>
  <c r="AJ45" i="1"/>
  <c r="AI45" i="1"/>
  <c r="AH45" i="1"/>
  <c r="AG45" i="1"/>
  <c r="AF45" i="1"/>
  <c r="AE45" i="1"/>
  <c r="AD45" i="1"/>
  <c r="AC45" i="1"/>
  <c r="AL44" i="1"/>
  <c r="AJ44" i="1"/>
  <c r="AI44" i="1"/>
  <c r="AH44" i="1"/>
  <c r="AG44" i="1"/>
  <c r="AF44" i="1"/>
  <c r="AE44" i="1"/>
  <c r="AD44" i="1"/>
  <c r="AC44" i="1"/>
  <c r="AL43" i="1"/>
  <c r="AJ43" i="1"/>
  <c r="AI43" i="1"/>
  <c r="AH43" i="1"/>
  <c r="AG43" i="1"/>
  <c r="AF43" i="1"/>
  <c r="AE43" i="1"/>
  <c r="AD43" i="1"/>
  <c r="AC43" i="1"/>
  <c r="AL42" i="1"/>
  <c r="AJ42" i="1"/>
  <c r="AI42" i="1"/>
  <c r="AH42" i="1"/>
  <c r="AG42" i="1"/>
  <c r="AF42" i="1"/>
  <c r="AE42" i="1"/>
  <c r="AD42" i="1"/>
  <c r="AC42" i="1"/>
  <c r="AL41" i="1"/>
  <c r="AJ41" i="1"/>
  <c r="AI41" i="1"/>
  <c r="AH41" i="1"/>
  <c r="AG41" i="1"/>
  <c r="AF41" i="1"/>
  <c r="AE41" i="1"/>
  <c r="AD41" i="1"/>
  <c r="AC41" i="1"/>
  <c r="AL40" i="1"/>
  <c r="AJ40" i="1"/>
  <c r="AI40" i="1"/>
  <c r="AH40" i="1"/>
  <c r="AG40" i="1"/>
  <c r="AF40" i="1"/>
  <c r="AE40" i="1"/>
  <c r="AD40" i="1"/>
  <c r="AC40" i="1"/>
  <c r="AL39" i="1"/>
  <c r="AJ39" i="1"/>
  <c r="AI39" i="1"/>
  <c r="AH39" i="1"/>
  <c r="AG39" i="1"/>
  <c r="AF39" i="1"/>
  <c r="AE39" i="1"/>
  <c r="AD39" i="1"/>
  <c r="AC39" i="1"/>
  <c r="AL38" i="1"/>
  <c r="AJ38" i="1"/>
  <c r="AI38" i="1"/>
  <c r="AH38" i="1"/>
  <c r="AG38" i="1"/>
  <c r="AF38" i="1"/>
  <c r="AE38" i="1"/>
  <c r="AD38" i="1"/>
  <c r="AC38" i="1"/>
  <c r="AL36" i="1"/>
  <c r="AJ36" i="1"/>
  <c r="AI36" i="1"/>
  <c r="AH36" i="1"/>
  <c r="AG36" i="1"/>
  <c r="AF36" i="1"/>
  <c r="AE36" i="1"/>
  <c r="AD36" i="1"/>
  <c r="AC36" i="1"/>
  <c r="AL35" i="1"/>
  <c r="AJ35" i="1"/>
  <c r="AI35" i="1"/>
  <c r="AH35" i="1"/>
  <c r="AG35" i="1"/>
  <c r="AF35" i="1"/>
  <c r="AE35" i="1"/>
  <c r="AD35" i="1"/>
  <c r="AC35" i="1"/>
  <c r="AL32" i="1"/>
  <c r="AJ32" i="1"/>
  <c r="AI32" i="1"/>
  <c r="AH32" i="1"/>
  <c r="AG32" i="1"/>
  <c r="AF32" i="1"/>
  <c r="AE32" i="1"/>
  <c r="AD32" i="1"/>
  <c r="AC32" i="1"/>
  <c r="AL31" i="1"/>
  <c r="AI31" i="1"/>
  <c r="AG31" i="1"/>
  <c r="AE31" i="1"/>
  <c r="AC31" i="1"/>
  <c r="AG30" i="1"/>
  <c r="AC30" i="1"/>
  <c r="AF29" i="1"/>
  <c r="AC29" i="1"/>
  <c r="AG28" i="1"/>
  <c r="AE28" i="1"/>
  <c r="AL27" i="1"/>
  <c r="AG27" i="1"/>
  <c r="AE27" i="1"/>
  <c r="AC26" i="1"/>
  <c r="AD25" i="1"/>
  <c r="AL23" i="1"/>
  <c r="AJ23" i="1"/>
  <c r="AI23" i="1"/>
  <c r="AH23" i="1"/>
  <c r="AG23" i="1"/>
  <c r="AF23" i="1"/>
  <c r="AE23" i="1"/>
  <c r="AD23" i="1"/>
  <c r="AC23" i="1"/>
  <c r="AL22" i="1"/>
  <c r="AI22" i="1"/>
  <c r="AG22" i="1"/>
  <c r="AD22" i="1"/>
  <c r="AL21" i="1"/>
  <c r="AH21" i="1"/>
  <c r="AF21" i="1"/>
  <c r="AD21" i="1"/>
  <c r="AH20" i="1"/>
  <c r="AG20" i="1"/>
  <c r="AD20" i="1"/>
  <c r="AE19" i="1"/>
  <c r="AG18" i="1"/>
  <c r="AD18" i="1"/>
  <c r="AL17" i="1"/>
  <c r="AH17" i="1"/>
  <c r="AE17" i="1"/>
  <c r="AC17" i="1"/>
  <c r="AJ16" i="1"/>
  <c r="AG16" i="1"/>
  <c r="AE16" i="1"/>
  <c r="AE15" i="1"/>
  <c r="AI14" i="1"/>
  <c r="AG14" i="1"/>
  <c r="AE14" i="1"/>
  <c r="AL13" i="1"/>
  <c r="AH13" i="1"/>
  <c r="AF13" i="1"/>
  <c r="AD13" i="1"/>
  <c r="AL12" i="1"/>
  <c r="AI12" i="1"/>
  <c r="AG12" i="1"/>
  <c r="AE12" i="1"/>
  <c r="AC12" i="1"/>
  <c r="AJ10" i="1"/>
  <c r="AG10" i="1"/>
  <c r="AD10" i="1"/>
  <c r="AL9" i="1"/>
  <c r="AC9" i="1"/>
  <c r="AD8" i="1"/>
  <c r="AF7" i="1"/>
  <c r="AD7" i="1"/>
  <c r="AL6" i="1"/>
  <c r="AJ6" i="1"/>
  <c r="AI6" i="1"/>
  <c r="AH6" i="1"/>
  <c r="AG6" i="1"/>
  <c r="AF6" i="1"/>
  <c r="AE6" i="1"/>
  <c r="AD6" i="1"/>
  <c r="AC6" i="1"/>
  <c r="AL5" i="1"/>
  <c r="AJ5" i="1"/>
  <c r="AI5" i="1"/>
  <c r="AH5" i="1"/>
  <c r="AG5" i="1"/>
  <c r="AF5" i="1"/>
  <c r="AE5" i="1"/>
  <c r="AD5" i="1"/>
  <c r="AC5" i="1"/>
  <c r="AL4" i="1"/>
  <c r="AJ4" i="1"/>
  <c r="AI4" i="1"/>
  <c r="AH4" i="1"/>
  <c r="AE4" i="1"/>
  <c r="AC4" i="1"/>
  <c r="AE3" i="1"/>
  <c r="AL2" i="1"/>
  <c r="AJ2" i="1"/>
  <c r="AI2" i="1"/>
  <c r="AH2" i="1"/>
  <c r="AG2" i="1"/>
  <c r="AF2" i="1"/>
  <c r="AE2" i="1"/>
  <c r="AD2" i="1"/>
  <c r="AC2" i="1"/>
  <c r="AD1833" i="1"/>
  <c r="AE1832" i="1"/>
  <c r="AC1832" i="1"/>
  <c r="AJ1831" i="1"/>
  <c r="AH1831" i="1"/>
  <c r="AF1831" i="1"/>
  <c r="AD1831" i="1"/>
  <c r="AJ1830" i="1"/>
  <c r="AI1830" i="1"/>
  <c r="AG1830" i="1"/>
  <c r="AE1830" i="1"/>
  <c r="AC1830" i="1"/>
  <c r="AC1829" i="1"/>
  <c r="AJ1828" i="1"/>
  <c r="AH1828" i="1"/>
  <c r="AD1828" i="1"/>
  <c r="AH1827" i="1"/>
  <c r="AF1827" i="1"/>
  <c r="AD1827" i="1"/>
  <c r="AG1826" i="1"/>
  <c r="AE1826" i="1"/>
  <c r="AC1826" i="1"/>
  <c r="AD1825" i="1"/>
  <c r="AL1824" i="1"/>
  <c r="AI1824" i="1"/>
  <c r="AG1824" i="1"/>
  <c r="AE1824" i="1"/>
  <c r="AI1823" i="1"/>
  <c r="AE1823" i="1"/>
  <c r="AF1822" i="1"/>
  <c r="AE1822" i="1"/>
  <c r="AG1821" i="1"/>
  <c r="AE1821" i="1"/>
  <c r="AC1821" i="1"/>
  <c r="AD1820" i="1"/>
  <c r="AI1817" i="1"/>
  <c r="AG1817" i="1"/>
  <c r="AE1817" i="1"/>
  <c r="AL1816" i="1"/>
  <c r="AI1816" i="1"/>
  <c r="AG1816" i="1"/>
  <c r="AE1816" i="1"/>
  <c r="AC1816" i="1"/>
  <c r="AL1815" i="1"/>
  <c r="AI1815" i="1"/>
  <c r="AG1815" i="1"/>
  <c r="AE1815" i="1"/>
  <c r="AC1815" i="1"/>
  <c r="AD1814" i="1"/>
  <c r="AL1813" i="1"/>
  <c r="AI1813" i="1"/>
  <c r="AG1813" i="1"/>
  <c r="AE1813" i="1"/>
  <c r="AI1812" i="1"/>
  <c r="AF1812" i="1"/>
  <c r="AC1812" i="1"/>
  <c r="AD1811" i="1"/>
  <c r="AD1810" i="1"/>
  <c r="AG1808" i="1"/>
  <c r="AD1808" i="1"/>
  <c r="AL1807" i="1"/>
  <c r="AI1807" i="1"/>
  <c r="AF1807" i="1"/>
  <c r="AI1806" i="1"/>
  <c r="AG1806" i="1"/>
  <c r="AD1806" i="1"/>
  <c r="AC1806" i="1"/>
  <c r="AL1805" i="1"/>
  <c r="AI1805" i="1"/>
  <c r="AG1805" i="1"/>
  <c r="AE1805" i="1"/>
  <c r="AC1805" i="1"/>
  <c r="AD1804" i="1"/>
  <c r="AD1803" i="1"/>
  <c r="AF1802" i="1"/>
  <c r="AC1802" i="1"/>
  <c r="AL1801" i="1"/>
  <c r="AI1801" i="1"/>
  <c r="AG1801" i="1"/>
  <c r="AC1801" i="1"/>
  <c r="AJ1800" i="1"/>
  <c r="AI1800" i="1"/>
  <c r="AG1800" i="1"/>
  <c r="AE1800" i="1"/>
  <c r="AC1800" i="1"/>
  <c r="AE1799" i="1"/>
  <c r="AJ1798" i="1"/>
  <c r="AH1798" i="1"/>
  <c r="AE1798" i="1"/>
  <c r="AJ1797" i="1"/>
  <c r="AH1797" i="1"/>
  <c r="AF1797" i="1"/>
  <c r="AD1797" i="1"/>
  <c r="AD1796" i="1"/>
  <c r="AE1795" i="1"/>
  <c r="AC1795" i="1"/>
  <c r="AL1794" i="1"/>
  <c r="AH1794" i="1"/>
  <c r="AF1794" i="1"/>
  <c r="AE1792" i="1"/>
  <c r="AL1791" i="1"/>
  <c r="AH1791" i="1"/>
  <c r="AD1791" i="1"/>
  <c r="AL1789" i="1"/>
  <c r="AI1789" i="1"/>
  <c r="AF1789" i="1"/>
  <c r="AL1786" i="1"/>
  <c r="AH1786" i="1"/>
  <c r="AC1786" i="1"/>
  <c r="AD1785" i="1"/>
  <c r="AE1783" i="1"/>
  <c r="AC1781" i="1"/>
  <c r="AI1780" i="1"/>
  <c r="AG1780" i="1"/>
  <c r="AE1779" i="1"/>
  <c r="AC1779" i="1"/>
  <c r="AJ1778" i="1"/>
  <c r="AG1778" i="1"/>
  <c r="AE1777" i="1"/>
  <c r="AL1776" i="1"/>
  <c r="AG1776" i="1"/>
  <c r="AI1774" i="1"/>
  <c r="AG1774" i="1"/>
  <c r="AC1774" i="1"/>
  <c r="AL1773" i="1"/>
  <c r="AD1773" i="1"/>
  <c r="AL1772" i="1"/>
  <c r="AF1772" i="1"/>
  <c r="AC1772" i="1"/>
  <c r="AL1771" i="1"/>
  <c r="AH1771" i="1"/>
  <c r="AF1771" i="1"/>
  <c r="AC1771" i="1"/>
  <c r="AJ1770" i="1"/>
  <c r="AG1770" i="1"/>
  <c r="AE1770" i="1"/>
  <c r="AE1769" i="1"/>
  <c r="AI1768" i="1"/>
  <c r="AG1768" i="1"/>
  <c r="AE1768" i="1"/>
  <c r="AC1767" i="1"/>
  <c r="AJ1766" i="1"/>
  <c r="AF1759" i="1"/>
  <c r="AF1758" i="1"/>
  <c r="AH1757" i="1"/>
  <c r="AC1757" i="1"/>
  <c r="AE1755" i="1"/>
  <c r="AL1754" i="1"/>
  <c r="AI1754" i="1"/>
  <c r="AG1754" i="1"/>
  <c r="AD1754" i="1"/>
  <c r="AC1752" i="1"/>
  <c r="AH1751" i="1"/>
  <c r="AC1751" i="1"/>
  <c r="AJ1750" i="1"/>
  <c r="AH1750" i="1"/>
  <c r="AE1750" i="1"/>
  <c r="AG1749" i="1"/>
  <c r="AC1749" i="1"/>
  <c r="AJ1748" i="1"/>
  <c r="AH1748" i="1"/>
  <c r="AD1748" i="1"/>
  <c r="AE1747" i="1"/>
  <c r="AI1745" i="1"/>
  <c r="AF1745" i="1"/>
  <c r="AC1745" i="1"/>
  <c r="AM2596" i="1" l="1"/>
  <c r="AM2572" i="1"/>
  <c r="AM2546" i="1"/>
  <c r="AM2051" i="1"/>
  <c r="AM2037" i="1"/>
  <c r="AM1945" i="1"/>
  <c r="AM2029" i="1"/>
  <c r="AM1907" i="1"/>
  <c r="AM2045" i="1"/>
  <c r="AM3062" i="1"/>
  <c r="AM2183" i="1"/>
  <c r="AM2538" i="1"/>
  <c r="AM1811" i="1"/>
  <c r="AM1777" i="1"/>
  <c r="AM2062" i="1"/>
  <c r="AM1996" i="1"/>
  <c r="AM1964" i="1"/>
  <c r="AM1958" i="1"/>
  <c r="AM2405" i="1"/>
  <c r="AM2375" i="1"/>
  <c r="AM2370" i="1"/>
  <c r="AM2369" i="1"/>
  <c r="AM2367" i="1"/>
  <c r="AM2364" i="1"/>
  <c r="AM2359" i="1"/>
  <c r="AM2351" i="1"/>
  <c r="AM2349" i="1"/>
  <c r="AM2343" i="1"/>
  <c r="AM2342" i="1"/>
  <c r="AM2341" i="1"/>
  <c r="AM2339" i="1"/>
  <c r="AM2338" i="1"/>
  <c r="AM2333" i="1"/>
  <c r="AM2292" i="1"/>
  <c r="AM2284" i="1"/>
  <c r="AM2280" i="1"/>
  <c r="AM2251" i="1"/>
  <c r="AM2245" i="1"/>
  <c r="AM2243" i="1"/>
  <c r="AM2237" i="1"/>
  <c r="AM2219" i="1"/>
  <c r="AM1822" i="1"/>
  <c r="F72" i="1"/>
  <c r="F69" i="1"/>
  <c r="K69" i="1" s="1"/>
  <c r="H73" i="1"/>
  <c r="I73" i="1" s="1"/>
  <c r="AM1831" i="1"/>
  <c r="AM1828" i="1"/>
  <c r="AM1797" i="1"/>
  <c r="AM1766" i="1"/>
  <c r="AM1765" i="1"/>
  <c r="AM1890" i="1"/>
  <c r="AM1882" i="1"/>
  <c r="AM1870" i="1"/>
  <c r="AM1843" i="1"/>
  <c r="AM4" i="1"/>
  <c r="AM3027" i="1"/>
  <c r="AM2984" i="1"/>
  <c r="AM1816" i="1"/>
  <c r="AM1815" i="1"/>
  <c r="AM1795" i="1"/>
  <c r="AM1747" i="1"/>
  <c r="AM1743" i="1"/>
  <c r="AM3059" i="1"/>
  <c r="AM3058" i="1"/>
  <c r="AM3052" i="1"/>
  <c r="AM3048" i="1"/>
  <c r="AM3026" i="1"/>
  <c r="AM3023" i="1"/>
  <c r="AM3020" i="1"/>
  <c r="AM3016" i="1"/>
  <c r="AM3014" i="1"/>
  <c r="AM3010" i="1"/>
  <c r="AM3008" i="1"/>
  <c r="AM3000" i="1"/>
  <c r="AM2989" i="1"/>
  <c r="AM2988" i="1"/>
  <c r="AM2987" i="1"/>
  <c r="AM2985" i="1"/>
  <c r="AM2980" i="1"/>
  <c r="AM1818" i="1"/>
  <c r="AM1817" i="1"/>
  <c r="AM1810" i="1"/>
  <c r="AM1809" i="1"/>
  <c r="AM1804" i="1"/>
  <c r="AM1801" i="1"/>
  <c r="AM1799" i="1"/>
  <c r="AM1796" i="1"/>
  <c r="AM1793" i="1"/>
  <c r="AM1792" i="1"/>
  <c r="AM1769" i="1"/>
  <c r="AM1754" i="1"/>
  <c r="AM3057" i="1"/>
  <c r="AM3022" i="1"/>
  <c r="AM3011" i="1"/>
  <c r="AM3005" i="1"/>
  <c r="AM3002" i="1"/>
  <c r="AM2997" i="1"/>
  <c r="AM2995" i="1"/>
  <c r="AM2994" i="1"/>
  <c r="AM2991" i="1"/>
  <c r="AM2990" i="1"/>
  <c r="AM2986" i="1"/>
  <c r="AM2982" i="1"/>
  <c r="AM2977" i="1"/>
  <c r="AM2976" i="1"/>
  <c r="AM2972" i="1"/>
  <c r="AM2969" i="1"/>
  <c r="AM819" i="1"/>
  <c r="AM816" i="1"/>
  <c r="AM815" i="1"/>
  <c r="AM802" i="1"/>
  <c r="AM781" i="1"/>
  <c r="AM758" i="1"/>
  <c r="AM754" i="1"/>
  <c r="AM753" i="1"/>
  <c r="AM752" i="1"/>
  <c r="AM732" i="1"/>
  <c r="AM715" i="1"/>
  <c r="AM700" i="1"/>
  <c r="AM2479" i="1"/>
  <c r="AM2477" i="1"/>
  <c r="AM2474" i="1"/>
  <c r="AM2473" i="1"/>
  <c r="AM2471" i="1"/>
  <c r="AM2469" i="1"/>
  <c r="AM2468" i="1"/>
  <c r="AM2465" i="1"/>
  <c r="AM2461" i="1"/>
  <c r="AM2453" i="1"/>
  <c r="AM2449" i="1"/>
  <c r="AM2417" i="1"/>
  <c r="AM2206" i="1"/>
  <c r="AM2139" i="1"/>
  <c r="AM2137" i="1"/>
  <c r="AM2136" i="1"/>
  <c r="AM2127" i="1"/>
  <c r="AM2126" i="1"/>
  <c r="AM2124" i="1"/>
  <c r="AM2112" i="1"/>
  <c r="AM2108" i="1"/>
  <c r="AM2107" i="1"/>
  <c r="AM2096" i="1"/>
  <c r="AM2095" i="1"/>
  <c r="AM2092" i="1"/>
  <c r="AM2083" i="1"/>
  <c r="AM2081" i="1"/>
  <c r="AM2078" i="1"/>
  <c r="AM2074" i="1"/>
  <c r="AM2066" i="1"/>
  <c r="AM2064" i="1"/>
  <c r="AM2053" i="1"/>
  <c r="AM2050" i="1"/>
  <c r="AM2040" i="1"/>
  <c r="AM2035" i="1"/>
  <c r="AM2034" i="1"/>
  <c r="AM2026" i="1"/>
  <c r="AM2024" i="1"/>
  <c r="AM2019" i="1"/>
  <c r="AM2018" i="1"/>
  <c r="AM2016" i="1"/>
  <c r="AM2011" i="1"/>
  <c r="AF2011" i="1"/>
  <c r="AF2007" i="1"/>
  <c r="AF2003" i="1"/>
  <c r="AM2000" i="1"/>
  <c r="AM1999" i="1"/>
  <c r="AM1997" i="1"/>
  <c r="AM1995" i="1"/>
  <c r="AM1992" i="1"/>
  <c r="AM1985" i="1"/>
  <c r="AM1984" i="1"/>
  <c r="AM1981" i="1"/>
  <c r="AM1975" i="1"/>
  <c r="AM1973" i="1"/>
  <c r="AM1970" i="1"/>
  <c r="AM1969" i="1"/>
  <c r="AM1968" i="1"/>
  <c r="AM1963" i="1"/>
  <c r="AM1960" i="1"/>
  <c r="AM1959" i="1"/>
  <c r="AM1957" i="1"/>
  <c r="AM1954" i="1"/>
  <c r="AM1950" i="1"/>
  <c r="AM1946" i="1"/>
  <c r="AM1944" i="1"/>
  <c r="AM1938" i="1"/>
  <c r="AM1937" i="1"/>
  <c r="AM1936" i="1"/>
  <c r="AM1935" i="1"/>
  <c r="AM1932" i="1"/>
  <c r="AM1931" i="1"/>
  <c r="AM1930" i="1"/>
  <c r="AM1929" i="1"/>
  <c r="AM1924" i="1"/>
  <c r="AM1922" i="1"/>
  <c r="AM1920" i="1"/>
  <c r="AM1914" i="1"/>
  <c r="AM1912" i="1"/>
  <c r="AM1911" i="1"/>
  <c r="AM1899" i="1"/>
  <c r="AM1898" i="1"/>
  <c r="AM1883" i="1"/>
  <c r="AM1875" i="1"/>
  <c r="AM1863" i="1"/>
  <c r="AM1854" i="1"/>
  <c r="AM1853" i="1"/>
  <c r="AM1846" i="1"/>
  <c r="AM1842" i="1"/>
  <c r="AM1839" i="1"/>
  <c r="AM1837" i="1"/>
  <c r="AM1829" i="1"/>
  <c r="AM1826" i="1"/>
  <c r="AM1824" i="1"/>
  <c r="AM2967" i="1"/>
  <c r="AM2965" i="1"/>
  <c r="AM2964" i="1"/>
  <c r="AM2959" i="1"/>
  <c r="AM2958" i="1"/>
  <c r="AM2957" i="1"/>
  <c r="AM2956" i="1"/>
  <c r="AM2627" i="1"/>
  <c r="AM3044" i="1"/>
  <c r="AM3043" i="1"/>
  <c r="AM3038" i="1"/>
  <c r="AM3035" i="1"/>
  <c r="AM3033" i="1"/>
  <c r="AM3025" i="1"/>
  <c r="AM3017" i="1"/>
  <c r="AM2975" i="1"/>
  <c r="AM1763" i="1"/>
  <c r="AM1729" i="1"/>
  <c r="AM1715" i="1"/>
  <c r="AM1788" i="1"/>
  <c r="AM1787" i="1"/>
  <c r="AM892" i="1"/>
  <c r="AM891" i="1"/>
  <c r="AM890" i="1"/>
  <c r="AM889" i="1"/>
  <c r="AM888" i="1"/>
  <c r="AM887" i="1"/>
  <c r="AM886" i="1"/>
  <c r="AM885" i="1"/>
  <c r="AM883" i="1"/>
  <c r="AM882" i="1"/>
  <c r="AM881" i="1"/>
  <c r="AM880" i="1"/>
  <c r="AM839" i="1"/>
  <c r="AM838" i="1"/>
  <c r="AM837" i="1"/>
  <c r="AM836" i="1"/>
  <c r="AM834" i="1"/>
  <c r="AM832" i="1"/>
  <c r="AM831" i="1"/>
  <c r="AM830" i="1"/>
  <c r="AM829" i="1"/>
  <c r="AM828" i="1"/>
  <c r="AM827" i="1"/>
  <c r="AM826" i="1"/>
  <c r="AM825" i="1"/>
  <c r="AM824" i="1"/>
  <c r="AM823" i="1"/>
  <c r="AM821" i="1"/>
  <c r="AM818" i="1"/>
  <c r="AM817" i="1"/>
  <c r="AM811" i="1"/>
  <c r="AM809" i="1"/>
  <c r="AM806" i="1"/>
  <c r="AM804" i="1"/>
  <c r="AM798" i="1"/>
  <c r="AM797" i="1"/>
  <c r="AM796" i="1"/>
  <c r="AM795" i="1"/>
  <c r="AM794" i="1"/>
  <c r="AM793" i="1"/>
  <c r="AM788" i="1"/>
  <c r="AM787" i="1"/>
  <c r="AM785" i="1"/>
  <c r="AM783" i="1"/>
  <c r="AM782" i="1"/>
  <c r="AM779" i="1"/>
  <c r="AM777" i="1"/>
  <c r="AM775" i="1"/>
  <c r="AM773" i="1"/>
  <c r="AM771" i="1"/>
  <c r="AM760" i="1"/>
  <c r="AM751" i="1"/>
  <c r="AM746" i="1"/>
  <c r="AM745" i="1"/>
  <c r="AM744" i="1"/>
  <c r="AM743" i="1"/>
  <c r="AM742" i="1"/>
  <c r="AM741" i="1"/>
  <c r="AM740" i="1"/>
  <c r="AM735" i="1"/>
  <c r="AM734" i="1"/>
  <c r="AM733" i="1"/>
  <c r="AM727" i="1"/>
  <c r="AM726" i="1"/>
  <c r="AM722" i="1"/>
  <c r="AM721" i="1"/>
  <c r="AM720" i="1"/>
  <c r="AM716" i="1"/>
  <c r="AM712" i="1"/>
  <c r="AM711" i="1"/>
  <c r="AM709" i="1"/>
  <c r="AM708" i="1"/>
  <c r="AM706" i="1"/>
  <c r="AM704" i="1"/>
  <c r="AM703" i="1"/>
  <c r="AM702" i="1"/>
  <c r="AM699" i="1"/>
  <c r="AM698" i="1"/>
  <c r="AM696" i="1"/>
  <c r="AM933" i="1"/>
  <c r="AM931" i="1"/>
  <c r="AM927" i="1"/>
  <c r="AM925" i="1"/>
  <c r="AM924" i="1"/>
  <c r="AM922" i="1"/>
  <c r="AM914" i="1"/>
  <c r="AM913" i="1"/>
  <c r="AM912" i="1"/>
  <c r="AM910" i="1"/>
  <c r="AM909" i="1"/>
  <c r="AM908" i="1"/>
  <c r="AM907" i="1"/>
  <c r="AM906" i="1"/>
  <c r="AM905" i="1"/>
  <c r="AM904" i="1"/>
  <c r="AM903" i="1"/>
  <c r="AM900" i="1"/>
  <c r="AM898" i="1"/>
  <c r="AM896" i="1"/>
  <c r="AM895" i="1"/>
  <c r="AM894" i="1"/>
  <c r="AM3054" i="1"/>
  <c r="AM3053" i="1"/>
  <c r="AM3032" i="1"/>
  <c r="AM2973" i="1"/>
  <c r="AM864" i="1"/>
  <c r="AM544" i="1"/>
  <c r="AM538" i="1"/>
  <c r="AM536" i="1"/>
  <c r="AM526" i="1"/>
  <c r="AM523" i="1"/>
  <c r="AM506" i="1"/>
  <c r="AM504" i="1"/>
  <c r="AM503" i="1"/>
  <c r="AM500" i="1"/>
  <c r="AM495" i="1"/>
  <c r="AM492" i="1"/>
  <c r="AM491" i="1"/>
  <c r="AM488" i="1"/>
  <c r="AM487" i="1"/>
  <c r="AM485" i="1"/>
  <c r="AM483" i="1"/>
  <c r="AM482" i="1"/>
  <c r="AM481" i="1"/>
  <c r="AM480" i="1"/>
  <c r="AM478" i="1"/>
  <c r="AM470" i="1"/>
  <c r="AM469" i="1"/>
  <c r="AM463" i="1"/>
  <c r="AM462" i="1"/>
  <c r="AM459" i="1"/>
  <c r="AM456" i="1"/>
  <c r="AM440" i="1"/>
  <c r="AM437" i="1"/>
  <c r="AM433" i="1"/>
  <c r="AM424" i="1"/>
  <c r="AM420" i="1"/>
  <c r="AM418" i="1"/>
  <c r="AM415" i="1"/>
  <c r="AM407" i="1"/>
  <c r="AM403" i="1"/>
  <c r="AM400" i="1"/>
  <c r="AM396" i="1"/>
  <c r="AM363" i="1"/>
  <c r="AM361" i="1"/>
  <c r="AM358" i="1"/>
  <c r="AM357" i="1"/>
  <c r="AM354" i="1"/>
  <c r="AM348" i="1"/>
  <c r="AM346" i="1"/>
  <c r="AM345" i="1"/>
  <c r="AM338" i="1"/>
  <c r="AM336" i="1"/>
  <c r="AM310" i="1"/>
  <c r="AM309" i="1"/>
  <c r="AM294" i="1"/>
  <c r="AM282" i="1"/>
  <c r="AM277" i="1"/>
  <c r="AM274" i="1"/>
  <c r="AM270" i="1"/>
  <c r="AM264" i="1"/>
  <c r="AM261" i="1"/>
  <c r="AM259" i="1"/>
  <c r="AM256" i="1"/>
  <c r="AM255" i="1"/>
  <c r="AM254" i="1"/>
  <c r="AM252" i="1"/>
  <c r="AM251" i="1"/>
  <c r="AM241" i="1"/>
  <c r="AM239" i="1"/>
  <c r="AM237" i="1"/>
  <c r="AM234" i="1"/>
  <c r="AM233" i="1"/>
  <c r="AM230" i="1"/>
  <c r="AM227" i="1"/>
  <c r="AM224" i="1"/>
  <c r="AM223" i="1"/>
  <c r="AM221" i="1"/>
  <c r="AM220" i="1"/>
  <c r="AM219" i="1"/>
  <c r="AM217" i="1"/>
  <c r="AM215" i="1"/>
  <c r="AM207" i="1"/>
  <c r="AM205" i="1"/>
  <c r="AM202" i="1"/>
  <c r="AM201" i="1"/>
  <c r="AM195" i="1"/>
  <c r="AM194" i="1"/>
  <c r="AM192" i="1"/>
  <c r="AM190" i="1"/>
  <c r="AM189" i="1"/>
  <c r="AM188" i="1"/>
  <c r="AM187" i="1"/>
  <c r="AM186" i="1"/>
  <c r="AM185" i="1"/>
  <c r="AM184" i="1"/>
  <c r="AM183" i="1"/>
  <c r="AM182" i="1"/>
  <c r="AM181" i="1"/>
  <c r="AM179" i="1"/>
  <c r="AM177" i="1"/>
  <c r="AM176" i="1"/>
  <c r="AM175" i="1"/>
  <c r="AM174" i="1"/>
  <c r="AM168" i="1"/>
  <c r="AM166" i="1"/>
  <c r="AM165" i="1"/>
  <c r="AM149" i="1"/>
  <c r="AM146" i="1"/>
  <c r="AM142" i="1"/>
  <c r="AM137" i="1"/>
  <c r="AM132" i="1"/>
  <c r="AM127" i="1"/>
  <c r="AM124" i="1"/>
  <c r="AM123" i="1"/>
  <c r="AM122" i="1"/>
  <c r="AM119" i="1"/>
  <c r="AM115" i="1"/>
  <c r="AM104" i="1"/>
  <c r="AM97" i="1"/>
  <c r="AM92" i="1"/>
  <c r="AM91" i="1"/>
  <c r="AM90" i="1"/>
  <c r="AM89" i="1"/>
  <c r="AM88" i="1"/>
  <c r="AM87" i="1"/>
  <c r="AM86" i="1"/>
  <c r="AM85" i="1"/>
  <c r="AM83" i="1"/>
  <c r="AM82" i="1"/>
  <c r="AM81" i="1"/>
  <c r="AM80" i="1"/>
  <c r="AM79" i="1"/>
  <c r="AM78" i="1"/>
  <c r="AM77" i="1"/>
  <c r="AM75" i="1"/>
  <c r="AM74" i="1"/>
  <c r="AM862" i="1"/>
  <c r="AM860" i="1"/>
  <c r="AM859" i="1"/>
  <c r="AM858" i="1"/>
  <c r="AM856" i="1"/>
  <c r="AM854" i="1"/>
  <c r="AM853" i="1"/>
  <c r="AM852" i="1"/>
  <c r="AM851" i="1"/>
  <c r="AM849" i="1"/>
  <c r="AM848" i="1"/>
  <c r="AM846" i="1"/>
  <c r="AM845" i="1"/>
  <c r="AM844" i="1"/>
  <c r="AM842" i="1"/>
  <c r="AM841" i="1"/>
  <c r="AM814" i="1"/>
  <c r="AM812" i="1"/>
  <c r="AM810" i="1"/>
  <c r="AM808" i="1"/>
  <c r="AM801" i="1"/>
  <c r="AM800" i="1"/>
  <c r="AM780" i="1"/>
  <c r="AM778" i="1"/>
  <c r="AM772" i="1"/>
  <c r="AM768" i="1"/>
  <c r="AM766" i="1"/>
  <c r="AM765" i="1"/>
  <c r="AM764" i="1"/>
  <c r="AM761" i="1"/>
  <c r="AM755" i="1"/>
  <c r="AM749" i="1"/>
  <c r="AM748" i="1"/>
  <c r="AM739" i="1"/>
  <c r="AM738" i="1"/>
  <c r="AM725" i="1"/>
  <c r="AM723" i="1"/>
  <c r="AM719" i="1"/>
  <c r="AM718" i="1"/>
  <c r="AM717" i="1"/>
  <c r="AM714" i="1"/>
  <c r="AM710" i="1"/>
  <c r="AM707" i="1"/>
  <c r="AM705" i="1"/>
  <c r="AM697" i="1"/>
  <c r="AM695" i="1"/>
  <c r="AM694" i="1"/>
  <c r="AM693" i="1"/>
  <c r="AM3056" i="1"/>
  <c r="AM3050" i="1"/>
  <c r="AM3021" i="1"/>
  <c r="AM3007" i="1"/>
  <c r="AM2999" i="1"/>
  <c r="AM2996" i="1"/>
  <c r="AM2978" i="1"/>
  <c r="AM692" i="1"/>
  <c r="AM690" i="1"/>
  <c r="AM688" i="1"/>
  <c r="AM686" i="1"/>
  <c r="AM684" i="1"/>
  <c r="AM683" i="1"/>
  <c r="AM3064" i="1"/>
  <c r="AM3046" i="1"/>
  <c r="AM3045" i="1"/>
  <c r="AM3039" i="1"/>
  <c r="AM3029" i="1"/>
  <c r="AM3028" i="1"/>
  <c r="AM3024" i="1"/>
  <c r="AM3012" i="1"/>
  <c r="AM3004" i="1"/>
  <c r="AM2981" i="1"/>
  <c r="AM2970" i="1"/>
  <c r="AM2968" i="1"/>
  <c r="AM2" i="1"/>
  <c r="I7" i="1"/>
  <c r="R33" i="1"/>
  <c r="R35" i="1"/>
  <c r="R37" i="1"/>
  <c r="S38" i="1"/>
  <c r="R39" i="1"/>
  <c r="S39" i="1"/>
  <c r="R40" i="1"/>
  <c r="S40" i="1"/>
  <c r="R41" i="1"/>
  <c r="S41" i="1"/>
  <c r="R42" i="1"/>
  <c r="S42" i="1"/>
  <c r="R43" i="1"/>
  <c r="R44" i="1"/>
  <c r="S44" i="1"/>
  <c r="N52" i="1"/>
  <c r="N53" i="1"/>
  <c r="G67" i="1"/>
  <c r="H67" i="1"/>
  <c r="I67" i="1" s="1"/>
  <c r="G68" i="1"/>
  <c r="H68" i="1"/>
  <c r="I68" i="1" s="1"/>
  <c r="G69" i="1"/>
  <c r="H69" i="1"/>
  <c r="I69" i="1" s="1"/>
  <c r="G70" i="1"/>
  <c r="H70" i="1"/>
  <c r="I70" i="1" s="1"/>
  <c r="G71" i="1"/>
  <c r="H71" i="1"/>
  <c r="I71" i="1" s="1"/>
  <c r="G72" i="1"/>
  <c r="G73" i="1"/>
  <c r="S33" i="1"/>
  <c r="R34" i="1"/>
  <c r="R36" i="1"/>
  <c r="S37" i="1"/>
  <c r="R38" i="1"/>
  <c r="Q34" i="1"/>
  <c r="Q35" i="1"/>
  <c r="Q40" i="1"/>
  <c r="Q41" i="1"/>
  <c r="Q42" i="1"/>
  <c r="Q43" i="1"/>
  <c r="Q44" i="1"/>
  <c r="E7" i="1"/>
  <c r="Q33" i="1"/>
  <c r="Q36" i="1"/>
  <c r="Q37" i="1"/>
  <c r="Q38" i="1"/>
  <c r="Q39" i="1"/>
  <c r="AM3501" i="1"/>
  <c r="AM3500" i="1"/>
  <c r="AM3499" i="1"/>
  <c r="AM3498" i="1"/>
  <c r="AM3497" i="1"/>
  <c r="AM3496" i="1"/>
  <c r="AM3495" i="1"/>
  <c r="AM3494" i="1"/>
  <c r="AM3493" i="1"/>
  <c r="AM3492" i="1"/>
  <c r="AM3491" i="1"/>
  <c r="AM3490" i="1"/>
  <c r="AM3489" i="1"/>
  <c r="AM3488" i="1"/>
  <c r="AM3487" i="1"/>
  <c r="AM3486" i="1"/>
  <c r="AM3485" i="1"/>
  <c r="AM3484" i="1"/>
  <c r="AM3483" i="1"/>
  <c r="AM3482" i="1"/>
  <c r="AM3481" i="1"/>
  <c r="AM3480" i="1"/>
  <c r="AM3479" i="1"/>
  <c r="AM3478" i="1"/>
  <c r="AM3477" i="1"/>
  <c r="AM3476" i="1"/>
  <c r="AM3475" i="1"/>
  <c r="AM3474" i="1"/>
  <c r="AM3473" i="1"/>
  <c r="AM3472" i="1"/>
  <c r="AM3471" i="1"/>
  <c r="AM3470" i="1"/>
  <c r="AM3469" i="1"/>
  <c r="AM3468" i="1"/>
  <c r="AM3467" i="1"/>
  <c r="AM3466" i="1"/>
  <c r="AM3465" i="1"/>
  <c r="AM3464" i="1"/>
  <c r="AM3463" i="1"/>
  <c r="AM3462" i="1"/>
  <c r="AM3461" i="1"/>
  <c r="AM3460" i="1"/>
  <c r="AM3459" i="1"/>
  <c r="AM3458" i="1"/>
  <c r="AM3457" i="1"/>
  <c r="AM3456" i="1"/>
  <c r="AM3455" i="1"/>
  <c r="AM3454" i="1"/>
  <c r="AM3453" i="1"/>
  <c r="AM3452" i="1"/>
  <c r="AM3451" i="1"/>
  <c r="AM3450" i="1"/>
  <c r="AM3449" i="1"/>
  <c r="AM3448" i="1"/>
  <c r="AM3447" i="1"/>
  <c r="AM3446" i="1"/>
  <c r="AM3445" i="1"/>
  <c r="AM3444" i="1"/>
  <c r="AM3443" i="1"/>
  <c r="AM3442" i="1"/>
  <c r="AM3441" i="1"/>
  <c r="AM3440" i="1"/>
  <c r="AM3439" i="1"/>
  <c r="AM3438" i="1"/>
  <c r="AM3437" i="1"/>
  <c r="AM3436" i="1"/>
  <c r="AM3435" i="1"/>
  <c r="AM3434" i="1"/>
  <c r="AM3433" i="1"/>
  <c r="AM3432" i="1"/>
  <c r="AM3431" i="1"/>
  <c r="AM3430" i="1"/>
  <c r="AM3429" i="1"/>
  <c r="AM3428" i="1"/>
  <c r="AM3427" i="1"/>
  <c r="AM3426" i="1"/>
  <c r="AM3425" i="1"/>
  <c r="AM3424" i="1"/>
  <c r="AM3423" i="1"/>
  <c r="AM3422" i="1"/>
  <c r="AM3421" i="1"/>
  <c r="AM3420" i="1"/>
  <c r="AM3419" i="1"/>
  <c r="AM3418" i="1"/>
  <c r="AM3417" i="1"/>
  <c r="AM3416" i="1"/>
  <c r="AM3415" i="1"/>
  <c r="AM3414" i="1"/>
  <c r="AM3413" i="1"/>
  <c r="AM3412" i="1"/>
  <c r="AM3411" i="1"/>
  <c r="AM3410" i="1"/>
  <c r="AM3409" i="1"/>
  <c r="AM3408" i="1"/>
  <c r="AM3407" i="1"/>
  <c r="AM3406" i="1"/>
  <c r="AM3405" i="1"/>
  <c r="AM3404" i="1"/>
  <c r="AM3403" i="1"/>
  <c r="AM3402" i="1"/>
  <c r="AM3401" i="1"/>
  <c r="AM3400" i="1"/>
  <c r="AM3399" i="1"/>
  <c r="AM3398" i="1"/>
  <c r="AM3397" i="1"/>
  <c r="AM3396" i="1"/>
  <c r="AM3395" i="1"/>
  <c r="AM3394" i="1"/>
  <c r="AM3393" i="1"/>
  <c r="AM3392" i="1"/>
  <c r="AM3391" i="1"/>
  <c r="AM3390" i="1"/>
  <c r="AM3389" i="1"/>
  <c r="AM3388" i="1"/>
  <c r="AM3387" i="1"/>
  <c r="AM3386" i="1"/>
  <c r="AM3385" i="1"/>
  <c r="AM3384" i="1"/>
  <c r="AM3383" i="1"/>
  <c r="AM3382" i="1"/>
  <c r="AM3381" i="1"/>
  <c r="AM3380" i="1"/>
  <c r="AM3379" i="1"/>
  <c r="AM3378" i="1"/>
  <c r="AM3377" i="1"/>
  <c r="AM3376" i="1"/>
  <c r="AM3375" i="1"/>
  <c r="AM3374" i="1"/>
  <c r="AM3373" i="1"/>
  <c r="AM3372" i="1"/>
  <c r="AM3371" i="1"/>
  <c r="AM3370" i="1"/>
  <c r="AM3369" i="1"/>
  <c r="AM3368" i="1"/>
  <c r="AM3367" i="1"/>
  <c r="AM3366" i="1"/>
  <c r="AM3365" i="1"/>
  <c r="AM3364" i="1"/>
  <c r="AM3363" i="1"/>
  <c r="AM3362" i="1"/>
  <c r="AM3361" i="1"/>
  <c r="AM3360" i="1"/>
  <c r="AM3359" i="1"/>
  <c r="AM3358" i="1"/>
  <c r="AM3357" i="1"/>
  <c r="AM3356" i="1"/>
  <c r="AM3355" i="1"/>
  <c r="AM3354" i="1"/>
  <c r="AM3353" i="1"/>
  <c r="AM3352" i="1"/>
  <c r="AM3351" i="1"/>
  <c r="AM3350" i="1"/>
  <c r="AM3349" i="1"/>
  <c r="AM3348" i="1"/>
  <c r="AM3347" i="1"/>
  <c r="AM3346" i="1"/>
  <c r="AM3345" i="1"/>
  <c r="AM3344" i="1"/>
  <c r="AM3343" i="1"/>
  <c r="AM3342" i="1"/>
  <c r="AM3341" i="1"/>
  <c r="AM3340" i="1"/>
  <c r="AM3339" i="1"/>
  <c r="AM3338" i="1"/>
  <c r="AM3337" i="1"/>
  <c r="AM3336" i="1"/>
  <c r="AM3335" i="1"/>
  <c r="AM3334" i="1"/>
  <c r="AM3333" i="1"/>
  <c r="AM3332" i="1"/>
  <c r="AM3331" i="1"/>
  <c r="AM3330" i="1"/>
  <c r="AM3329" i="1"/>
  <c r="AM3328" i="1"/>
  <c r="AM3327" i="1"/>
  <c r="AM3326" i="1"/>
  <c r="AM3325" i="1"/>
  <c r="AM3324" i="1"/>
  <c r="AM3323" i="1"/>
  <c r="AM3322" i="1"/>
  <c r="AM3321" i="1"/>
  <c r="AM3320" i="1"/>
  <c r="AM3319" i="1"/>
  <c r="AM3318" i="1"/>
  <c r="AM3317" i="1"/>
  <c r="AM3316" i="1"/>
  <c r="AM3315" i="1"/>
  <c r="AM3314" i="1"/>
  <c r="AM3313" i="1"/>
  <c r="AM3312" i="1"/>
  <c r="AM3311" i="1"/>
  <c r="AM3310" i="1"/>
  <c r="AM3309" i="1"/>
  <c r="AM3308" i="1"/>
  <c r="AM3307" i="1"/>
  <c r="AM3306" i="1"/>
  <c r="AM3305" i="1"/>
  <c r="AM3304" i="1"/>
  <c r="AM3303" i="1"/>
  <c r="AM3302" i="1"/>
  <c r="AM3301" i="1"/>
  <c r="AM3300" i="1"/>
  <c r="AM3299" i="1"/>
  <c r="AM3298" i="1"/>
  <c r="AM3297" i="1"/>
  <c r="AM3296" i="1"/>
  <c r="AM3295" i="1"/>
  <c r="AM3294" i="1"/>
  <c r="AM3293" i="1"/>
  <c r="AM3292" i="1"/>
  <c r="AM3291" i="1"/>
  <c r="AM3290" i="1"/>
  <c r="AM3289" i="1"/>
  <c r="AM3288" i="1"/>
  <c r="AM3287" i="1"/>
  <c r="AM3286" i="1"/>
  <c r="AM3285" i="1"/>
  <c r="AM3284" i="1"/>
  <c r="AM3283" i="1"/>
  <c r="AM3282" i="1"/>
  <c r="AM3281" i="1"/>
  <c r="AM3280" i="1"/>
  <c r="AM3279" i="1"/>
  <c r="AM3278" i="1"/>
  <c r="AM3277" i="1"/>
  <c r="AM3276" i="1"/>
  <c r="AM3275" i="1"/>
  <c r="AM3274" i="1"/>
  <c r="AM3273" i="1"/>
  <c r="AM3272" i="1"/>
  <c r="AM3271" i="1"/>
  <c r="AM3270" i="1"/>
  <c r="AM3269" i="1"/>
  <c r="AM3268" i="1"/>
  <c r="AM3267" i="1"/>
  <c r="AM3266" i="1"/>
  <c r="AM3265" i="1"/>
  <c r="AM3264" i="1"/>
  <c r="AM3263" i="1"/>
  <c r="AM3262" i="1"/>
  <c r="AM3261" i="1"/>
  <c r="AM3260" i="1"/>
  <c r="AM3259" i="1"/>
  <c r="AM3258" i="1"/>
  <c r="AM3257" i="1"/>
  <c r="AM3256" i="1"/>
  <c r="AM3255" i="1"/>
  <c r="AM3254" i="1"/>
  <c r="AM3253" i="1"/>
  <c r="AM3252" i="1"/>
  <c r="AM3251" i="1"/>
  <c r="AM3250" i="1"/>
  <c r="AM3249" i="1"/>
  <c r="AM3248" i="1"/>
  <c r="AM3247" i="1"/>
  <c r="AM3246" i="1"/>
  <c r="AM3245" i="1"/>
  <c r="AM3244" i="1"/>
  <c r="AM3243" i="1"/>
  <c r="AM3242" i="1"/>
  <c r="AM3241" i="1"/>
  <c r="AM3240" i="1"/>
  <c r="AM3239" i="1"/>
  <c r="AM3238" i="1"/>
  <c r="AM3237" i="1"/>
  <c r="AM3236" i="1"/>
  <c r="AM3235" i="1"/>
  <c r="AM3234" i="1"/>
  <c r="AM3233" i="1"/>
  <c r="AM3232" i="1"/>
  <c r="AM3231" i="1"/>
  <c r="AM3230" i="1"/>
  <c r="AM3229" i="1"/>
  <c r="AM3228" i="1"/>
  <c r="AM3227" i="1"/>
  <c r="AM3226" i="1"/>
  <c r="AM3225" i="1"/>
  <c r="AM3224" i="1"/>
  <c r="AM3223" i="1"/>
  <c r="AM3222" i="1"/>
  <c r="AM3221" i="1"/>
  <c r="AM3220" i="1"/>
  <c r="AM3219" i="1"/>
  <c r="AM3218" i="1"/>
  <c r="AM3217" i="1"/>
  <c r="AM3216" i="1"/>
  <c r="AM3215" i="1"/>
  <c r="AM3214" i="1"/>
  <c r="AM3213" i="1"/>
  <c r="AM3212" i="1"/>
  <c r="AM3211" i="1"/>
  <c r="AM3210" i="1"/>
  <c r="AM3209" i="1"/>
  <c r="AM3208" i="1"/>
  <c r="AM3207" i="1"/>
  <c r="AM3206" i="1"/>
  <c r="AM3205" i="1"/>
  <c r="AM3204" i="1"/>
  <c r="AM3203" i="1"/>
  <c r="AM3202" i="1"/>
  <c r="AM3201" i="1"/>
  <c r="AM3200" i="1"/>
  <c r="AM3199" i="1"/>
  <c r="AM3198" i="1"/>
  <c r="AM3197" i="1"/>
  <c r="AM3196" i="1"/>
  <c r="AM3195" i="1"/>
  <c r="AM3194" i="1"/>
  <c r="AM3193" i="1"/>
  <c r="AM3192" i="1"/>
  <c r="AM3191" i="1"/>
  <c r="AM3190" i="1"/>
  <c r="AM3189" i="1"/>
  <c r="AM3188" i="1"/>
  <c r="AM3187" i="1"/>
  <c r="AM3186" i="1"/>
  <c r="AM3185" i="1"/>
  <c r="AM3184" i="1"/>
  <c r="AM3183" i="1"/>
  <c r="AM3182" i="1"/>
  <c r="AM3181" i="1"/>
  <c r="AM3180" i="1"/>
  <c r="AM3179" i="1"/>
  <c r="AM3178" i="1"/>
  <c r="AM3177" i="1"/>
  <c r="AM3176" i="1"/>
  <c r="AM3175" i="1"/>
  <c r="AM3174" i="1"/>
  <c r="AM3173" i="1"/>
  <c r="AM3172" i="1"/>
  <c r="AM3171" i="1"/>
  <c r="AM3170" i="1"/>
  <c r="AM3169" i="1"/>
  <c r="AM3168" i="1"/>
  <c r="AM3167" i="1"/>
  <c r="AM3166" i="1"/>
  <c r="AM3165" i="1"/>
  <c r="AM3164" i="1"/>
  <c r="AM3163" i="1"/>
  <c r="AM3162" i="1"/>
  <c r="AM3161" i="1"/>
  <c r="AM3160" i="1"/>
  <c r="AM3159" i="1"/>
  <c r="AM3158" i="1"/>
  <c r="AM3157" i="1"/>
  <c r="AM3156" i="1"/>
  <c r="AM3155" i="1"/>
  <c r="AM3154" i="1"/>
  <c r="AM3153" i="1"/>
  <c r="AM3152" i="1"/>
  <c r="AM3151" i="1"/>
  <c r="AM3150" i="1"/>
  <c r="AM3149" i="1"/>
  <c r="AM3148" i="1"/>
  <c r="AM3147" i="1"/>
  <c r="AM3146" i="1"/>
  <c r="AM3145" i="1"/>
  <c r="AM3144" i="1"/>
  <c r="AM3143" i="1"/>
  <c r="AM3142" i="1"/>
  <c r="AM3141" i="1"/>
  <c r="AM3140" i="1"/>
  <c r="AM3139" i="1"/>
  <c r="AM3138" i="1"/>
  <c r="AM3137" i="1"/>
  <c r="AM3136" i="1"/>
  <c r="AM3135" i="1"/>
  <c r="AM3134" i="1"/>
  <c r="AM3133" i="1"/>
  <c r="AM3132" i="1"/>
  <c r="AM3131" i="1"/>
  <c r="AM3130" i="1"/>
  <c r="AM3129" i="1"/>
  <c r="AM3128" i="1"/>
  <c r="AM3127" i="1"/>
  <c r="AM3126" i="1"/>
  <c r="AM3125" i="1"/>
  <c r="AM3124" i="1"/>
  <c r="AM3123" i="1"/>
  <c r="AM3122" i="1"/>
  <c r="AM3121" i="1"/>
  <c r="AM3120" i="1"/>
  <c r="AM3119" i="1"/>
  <c r="AM3118" i="1"/>
  <c r="AM3117" i="1"/>
  <c r="AM3116" i="1"/>
  <c r="AM3115" i="1"/>
  <c r="AM3114" i="1"/>
  <c r="AM3113" i="1"/>
  <c r="AM3112" i="1"/>
  <c r="AM3111" i="1"/>
  <c r="AM3110" i="1"/>
  <c r="AM3109" i="1"/>
  <c r="AM3108" i="1"/>
  <c r="AM3107" i="1"/>
  <c r="AM3106" i="1"/>
  <c r="AM3105" i="1"/>
  <c r="AM3104" i="1"/>
  <c r="AM3103" i="1"/>
  <c r="AM3102" i="1"/>
  <c r="AM3101" i="1"/>
  <c r="AM3100" i="1"/>
  <c r="AM3099" i="1"/>
  <c r="AM3098" i="1"/>
  <c r="AM3097" i="1"/>
  <c r="AM3096" i="1"/>
  <c r="AM3095" i="1"/>
  <c r="AM3094" i="1"/>
  <c r="AM3093" i="1"/>
  <c r="AM3092" i="1"/>
  <c r="AM3091" i="1"/>
  <c r="AM3090" i="1"/>
  <c r="AM3089" i="1"/>
  <c r="AM3088" i="1"/>
  <c r="AM3087" i="1"/>
  <c r="AM3086" i="1"/>
  <c r="AM3085" i="1"/>
  <c r="AM3084" i="1"/>
  <c r="AM3083" i="1"/>
  <c r="AM3082" i="1"/>
  <c r="AM3081" i="1"/>
  <c r="AM3080" i="1"/>
  <c r="AM3079" i="1"/>
  <c r="AM3078" i="1"/>
  <c r="AM3077" i="1"/>
  <c r="AM3076" i="1"/>
  <c r="AM3075" i="1"/>
  <c r="AM3074" i="1"/>
  <c r="AM3073" i="1"/>
  <c r="AM3072" i="1"/>
  <c r="AM3071" i="1"/>
  <c r="AM3070" i="1"/>
  <c r="AM3069" i="1"/>
  <c r="AM3068" i="1"/>
  <c r="AM3067" i="1"/>
  <c r="AM3066" i="1"/>
  <c r="AM3065" i="1"/>
  <c r="AM2484" i="1"/>
  <c r="AM2480" i="1"/>
  <c r="AM2478" i="1"/>
  <c r="AM2475" i="1"/>
  <c r="AM2467" i="1"/>
  <c r="AM2460" i="1"/>
  <c r="AM2459" i="1"/>
  <c r="AM2458" i="1"/>
  <c r="AM2448" i="1"/>
  <c r="AM2446" i="1"/>
  <c r="AM2445" i="1"/>
  <c r="AM2444" i="1"/>
  <c r="AM2404" i="1"/>
  <c r="AM2402" i="1"/>
  <c r="AM2400" i="1"/>
  <c r="AM2399" i="1"/>
  <c r="AM2398" i="1"/>
  <c r="AM2397" i="1"/>
  <c r="AM2396" i="1"/>
  <c r="AM2395" i="1"/>
  <c r="AM2394" i="1"/>
  <c r="AM2393" i="1"/>
  <c r="AM2392" i="1"/>
  <c r="AM2391" i="1"/>
  <c r="AM2390" i="1"/>
  <c r="AM2389" i="1"/>
  <c r="AM2388" i="1"/>
  <c r="AM2387" i="1"/>
  <c r="AM2386" i="1"/>
  <c r="AM2385" i="1"/>
  <c r="AM2384" i="1"/>
  <c r="AM2383" i="1"/>
  <c r="AM2382" i="1"/>
  <c r="AM2381" i="1"/>
  <c r="AM2380" i="1"/>
  <c r="AM2379" i="1"/>
  <c r="AM2378" i="1"/>
  <c r="AM2377" i="1"/>
  <c r="AM2376" i="1"/>
  <c r="AM2374" i="1"/>
  <c r="AM2373" i="1"/>
  <c r="AM2363" i="1"/>
  <c r="AM2358" i="1"/>
  <c r="AM2352" i="1"/>
  <c r="AM2348" i="1"/>
  <c r="AM2340" i="1"/>
  <c r="AM2337" i="1"/>
  <c r="AM2332" i="1"/>
  <c r="AM2330" i="1"/>
  <c r="AM2326" i="1"/>
  <c r="AM2318" i="1"/>
  <c r="AM2317" i="1"/>
  <c r="AM2316" i="1"/>
  <c r="AM2315" i="1"/>
  <c r="AM2314" i="1"/>
  <c r="AM2313" i="1"/>
  <c r="AM2312" i="1"/>
  <c r="AM2311" i="1"/>
  <c r="AM2310" i="1"/>
  <c r="AM2309" i="1"/>
  <c r="AM2308" i="1"/>
  <c r="AM2307" i="1"/>
  <c r="AM2305" i="1"/>
  <c r="AM2299" i="1"/>
  <c r="AM2277" i="1"/>
  <c r="AM2275" i="1"/>
  <c r="AM2256" i="1"/>
  <c r="AM2250" i="1"/>
  <c r="AM2241" i="1"/>
  <c r="AM2240" i="1"/>
  <c r="AM2239" i="1"/>
  <c r="AM2224" i="1"/>
  <c r="AM2125" i="1"/>
  <c r="AM1895" i="1"/>
  <c r="AM3047" i="1"/>
  <c r="AM3042" i="1"/>
  <c r="AM3040" i="1"/>
  <c r="AM3036" i="1"/>
  <c r="AM3019" i="1"/>
  <c r="AM3018" i="1"/>
  <c r="AM3015" i="1"/>
  <c r="AM3003" i="1"/>
  <c r="AM3001" i="1"/>
  <c r="AM2998" i="1"/>
  <c r="AM2962" i="1"/>
  <c r="AM2960" i="1"/>
  <c r="AM3063" i="1"/>
  <c r="AM2625" i="1"/>
  <c r="AM2623" i="1"/>
  <c r="AM2620" i="1"/>
  <c r="AM2618" i="1"/>
  <c r="AM2617" i="1"/>
  <c r="AM2616" i="1"/>
  <c r="AM2615" i="1"/>
  <c r="AM2614" i="1"/>
  <c r="AM2613" i="1"/>
  <c r="AM2612" i="1"/>
  <c r="AM2611" i="1"/>
  <c r="AM2610" i="1"/>
  <c r="AM2608" i="1"/>
  <c r="AM2607" i="1"/>
  <c r="AM2606" i="1"/>
  <c r="AM2605" i="1"/>
  <c r="AM2604" i="1"/>
  <c r="AM2602" i="1"/>
  <c r="AM2600" i="1"/>
  <c r="AM2599" i="1"/>
  <c r="AM2598" i="1"/>
  <c r="AM2593" i="1"/>
  <c r="AM2592" i="1"/>
  <c r="AM2590" i="1"/>
  <c r="AM2588" i="1"/>
  <c r="AM2587" i="1"/>
  <c r="AM2584" i="1"/>
  <c r="AM2582" i="1"/>
  <c r="AM2579" i="1"/>
  <c r="AM2578" i="1"/>
  <c r="AM2577" i="1"/>
  <c r="AM2574" i="1"/>
  <c r="AM2573" i="1"/>
  <c r="AM2571" i="1"/>
  <c r="AM2570" i="1"/>
  <c r="AM2568" i="1"/>
  <c r="AM2566" i="1"/>
  <c r="AM2565" i="1"/>
  <c r="AM2564" i="1"/>
  <c r="AM2562" i="1"/>
  <c r="AM2559" i="1"/>
  <c r="AM2557" i="1"/>
  <c r="AM2556" i="1"/>
  <c r="AM2553" i="1"/>
  <c r="AM2551" i="1"/>
  <c r="AM2550" i="1"/>
  <c r="AM2543" i="1"/>
  <c r="AM2542" i="1"/>
  <c r="AM2539" i="1"/>
  <c r="AM2537" i="1"/>
  <c r="AM2536" i="1"/>
  <c r="AM2535" i="1"/>
  <c r="AM2534" i="1"/>
  <c r="AM2533" i="1"/>
  <c r="AM2532" i="1"/>
  <c r="AM2531" i="1"/>
  <c r="AM2530" i="1"/>
  <c r="AM2529" i="1"/>
  <c r="AM2528" i="1"/>
  <c r="AM2527" i="1"/>
  <c r="AM2526" i="1"/>
  <c r="AM2525" i="1"/>
  <c r="AM2524" i="1"/>
  <c r="AM2523" i="1"/>
  <c r="AM2522" i="1"/>
  <c r="AM2521" i="1"/>
  <c r="AM2520" i="1"/>
  <c r="AM2519" i="1"/>
  <c r="AM2518" i="1"/>
  <c r="AM2517" i="1"/>
  <c r="AM2516" i="1"/>
  <c r="AM2514" i="1"/>
  <c r="AM2513" i="1"/>
  <c r="AM2512" i="1"/>
  <c r="AM2511" i="1"/>
  <c r="AM2508" i="1"/>
  <c r="AF2508" i="1"/>
  <c r="AM2507" i="1"/>
  <c r="AF2507" i="1"/>
  <c r="AM2506" i="1"/>
  <c r="AF2506" i="1"/>
  <c r="AM2505" i="1"/>
  <c r="AM2504" i="1"/>
  <c r="AF2504" i="1"/>
  <c r="AM2503" i="1"/>
  <c r="AF2503" i="1"/>
  <c r="AM2502" i="1"/>
  <c r="AF2502" i="1"/>
  <c r="AM2501" i="1"/>
  <c r="AM2499" i="1"/>
  <c r="AM2498" i="1"/>
  <c r="AM2495" i="1"/>
  <c r="AM2494" i="1"/>
  <c r="AM2493" i="1"/>
  <c r="AM2492" i="1"/>
  <c r="AM2491" i="1"/>
  <c r="AM2487" i="1"/>
  <c r="AM2955" i="1"/>
  <c r="AM2954" i="1"/>
  <c r="AM2953" i="1"/>
  <c r="AM2952" i="1"/>
  <c r="AM2951" i="1"/>
  <c r="AM2950" i="1"/>
  <c r="AM2949" i="1"/>
  <c r="AM2948" i="1"/>
  <c r="AM2947" i="1"/>
  <c r="AM2946" i="1"/>
  <c r="AM2945" i="1"/>
  <c r="AM2944" i="1"/>
  <c r="AM2943" i="1"/>
  <c r="AM2942" i="1"/>
  <c r="AM2941" i="1"/>
  <c r="AM2940" i="1"/>
  <c r="AM2939" i="1"/>
  <c r="AM2938" i="1"/>
  <c r="AM2937" i="1"/>
  <c r="AM2936" i="1"/>
  <c r="AM2935" i="1"/>
  <c r="AM2934" i="1"/>
  <c r="AM2933" i="1"/>
  <c r="AM2932" i="1"/>
  <c r="AM2931" i="1"/>
  <c r="AM2930" i="1"/>
  <c r="AM2929" i="1"/>
  <c r="AM2928" i="1"/>
  <c r="AM2927" i="1"/>
  <c r="AM2926" i="1"/>
  <c r="AM2925" i="1"/>
  <c r="AM2924" i="1"/>
  <c r="AM2923" i="1"/>
  <c r="AM2922" i="1"/>
  <c r="AM2921" i="1"/>
  <c r="AM2920" i="1"/>
  <c r="AM2919" i="1"/>
  <c r="AM2918" i="1"/>
  <c r="AM2917" i="1"/>
  <c r="AM2916" i="1"/>
  <c r="AM2915" i="1"/>
  <c r="AM2914" i="1"/>
  <c r="AM2913" i="1"/>
  <c r="AM2912" i="1"/>
  <c r="AM2911" i="1"/>
  <c r="AM2910" i="1"/>
  <c r="AM2909" i="1"/>
  <c r="AM2908" i="1"/>
  <c r="AM2907" i="1"/>
  <c r="AM2906" i="1"/>
  <c r="AM2905" i="1"/>
  <c r="AM2904" i="1"/>
  <c r="AM2903" i="1"/>
  <c r="AM2902" i="1"/>
  <c r="AM2901" i="1"/>
  <c r="AM2900" i="1"/>
  <c r="AM2899" i="1"/>
  <c r="AM2898" i="1"/>
  <c r="AM2897" i="1"/>
  <c r="AM2896" i="1"/>
  <c r="AM2895" i="1"/>
  <c r="AM2894" i="1"/>
  <c r="AM2893" i="1"/>
  <c r="AM2892" i="1"/>
  <c r="AM2891" i="1"/>
  <c r="AM2890" i="1"/>
  <c r="AM2889" i="1"/>
  <c r="AM2888" i="1"/>
  <c r="AM2887" i="1"/>
  <c r="AM2886" i="1"/>
  <c r="AM2885" i="1"/>
  <c r="AM2884" i="1"/>
  <c r="AM2883" i="1"/>
  <c r="AM2882" i="1"/>
  <c r="AM2881" i="1"/>
  <c r="AM2880" i="1"/>
  <c r="AM2879" i="1"/>
  <c r="AM2878" i="1"/>
  <c r="AM2877" i="1"/>
  <c r="AM2876" i="1"/>
  <c r="AM2875" i="1"/>
  <c r="AM2874" i="1"/>
  <c r="AM2873" i="1"/>
  <c r="AM2872" i="1"/>
  <c r="AM2871" i="1"/>
  <c r="AM2870" i="1"/>
  <c r="AM2869" i="1"/>
  <c r="AM2868" i="1"/>
  <c r="AM2867" i="1"/>
  <c r="AM2866" i="1"/>
  <c r="AM2865" i="1"/>
  <c r="AM2864" i="1"/>
  <c r="AM2863" i="1"/>
  <c r="AM2862" i="1"/>
  <c r="AM2861" i="1"/>
  <c r="AM2860" i="1"/>
  <c r="AM2859" i="1"/>
  <c r="AM2858" i="1"/>
  <c r="AM2857" i="1"/>
  <c r="AM2856" i="1"/>
  <c r="AM2855" i="1"/>
  <c r="AM2854" i="1"/>
  <c r="AM2853" i="1"/>
  <c r="AM2852" i="1"/>
  <c r="AM2851" i="1"/>
  <c r="AM2850" i="1"/>
  <c r="AM2849" i="1"/>
  <c r="AM2848" i="1"/>
  <c r="AM2847" i="1"/>
  <c r="AM2846" i="1"/>
  <c r="AM2845" i="1"/>
  <c r="AM2844" i="1"/>
  <c r="AM2843" i="1"/>
  <c r="AM2842" i="1"/>
  <c r="AM2841" i="1"/>
  <c r="AM2840" i="1"/>
  <c r="AM2839" i="1"/>
  <c r="AM2838" i="1"/>
  <c r="AM2837" i="1"/>
  <c r="AM2836" i="1"/>
  <c r="AM2835" i="1"/>
  <c r="AM2834" i="1"/>
  <c r="AM2833" i="1"/>
  <c r="AM2832" i="1"/>
  <c r="AM2831" i="1"/>
  <c r="AM2830" i="1"/>
  <c r="AM2829" i="1"/>
  <c r="AM2828" i="1"/>
  <c r="AM2827" i="1"/>
  <c r="AM2826" i="1"/>
  <c r="AM2825" i="1"/>
  <c r="AM2824" i="1"/>
  <c r="AM2823" i="1"/>
  <c r="AM2822" i="1"/>
  <c r="AM2821" i="1"/>
  <c r="AM2820" i="1"/>
  <c r="AM2819" i="1"/>
  <c r="AM2818" i="1"/>
  <c r="AM2817" i="1"/>
  <c r="AM2816" i="1"/>
  <c r="AM2815" i="1"/>
  <c r="AM2814" i="1"/>
  <c r="AM2813" i="1"/>
  <c r="AM2812" i="1"/>
  <c r="AM2811" i="1"/>
  <c r="AM2810" i="1"/>
  <c r="AM2809" i="1"/>
  <c r="AM2808" i="1"/>
  <c r="AM2807" i="1"/>
  <c r="AM2806" i="1"/>
  <c r="AM2805" i="1"/>
  <c r="AM2804" i="1"/>
  <c r="AM2803" i="1"/>
  <c r="AM2802" i="1"/>
  <c r="AM2801" i="1"/>
  <c r="AM2800" i="1"/>
  <c r="AM2799" i="1"/>
  <c r="AM2798" i="1"/>
  <c r="AM2797" i="1"/>
  <c r="AM2796" i="1"/>
  <c r="AM2795" i="1"/>
  <c r="AM2794" i="1"/>
  <c r="AM2793" i="1"/>
  <c r="AM2792" i="1"/>
  <c r="AM2791" i="1"/>
  <c r="AM2790" i="1"/>
  <c r="AM2789" i="1"/>
  <c r="AM2788" i="1"/>
  <c r="AM2787" i="1"/>
  <c r="AM2786" i="1"/>
  <c r="AM2785" i="1"/>
  <c r="AM2784" i="1"/>
  <c r="AM2783" i="1"/>
  <c r="AM2782" i="1"/>
  <c r="AM2781" i="1"/>
  <c r="AM2780" i="1"/>
  <c r="AM2779" i="1"/>
  <c r="AM2778" i="1"/>
  <c r="AM2777" i="1"/>
  <c r="AM2776" i="1"/>
  <c r="AM2775" i="1"/>
  <c r="AM2774" i="1"/>
  <c r="AM2773" i="1"/>
  <c r="AM2772" i="1"/>
  <c r="AM2771" i="1"/>
  <c r="AM2770" i="1"/>
  <c r="AM2769" i="1"/>
  <c r="AM2768" i="1"/>
  <c r="AM2767" i="1"/>
  <c r="AM2766" i="1"/>
  <c r="AM2765" i="1"/>
  <c r="AM2764" i="1"/>
  <c r="AM2763" i="1"/>
  <c r="AM2762" i="1"/>
  <c r="AM2761" i="1"/>
  <c r="AM2760" i="1"/>
  <c r="AM2759" i="1"/>
  <c r="AM2758" i="1"/>
  <c r="AM2757" i="1"/>
  <c r="AM2756" i="1"/>
  <c r="AM2755" i="1"/>
  <c r="AM2754" i="1"/>
  <c r="AM2753" i="1"/>
  <c r="AM2752" i="1"/>
  <c r="AM2751" i="1"/>
  <c r="AM2750" i="1"/>
  <c r="AM2749" i="1"/>
  <c r="AM2748" i="1"/>
  <c r="AM2747" i="1"/>
  <c r="AM2746" i="1"/>
  <c r="AM2745" i="1"/>
  <c r="AM2744" i="1"/>
  <c r="AM2743" i="1"/>
  <c r="AM2742" i="1"/>
  <c r="AM2741" i="1"/>
  <c r="AM2740" i="1"/>
  <c r="AM2739" i="1"/>
  <c r="AM2738" i="1"/>
  <c r="AM2737" i="1"/>
  <c r="AM2736" i="1"/>
  <c r="AM2735" i="1"/>
  <c r="AM2734" i="1"/>
  <c r="AM2733" i="1"/>
  <c r="AM2732" i="1"/>
  <c r="AM2731" i="1"/>
  <c r="AM2730" i="1"/>
  <c r="AM2729" i="1"/>
  <c r="AM2728" i="1"/>
  <c r="AM2727" i="1"/>
  <c r="AM2726" i="1"/>
  <c r="AM2725" i="1"/>
  <c r="AM2724" i="1"/>
  <c r="AM2723" i="1"/>
  <c r="AM2722" i="1"/>
  <c r="AM2721" i="1"/>
  <c r="AM2720" i="1"/>
  <c r="AM2719" i="1"/>
  <c r="AM2718" i="1"/>
  <c r="AM2717" i="1"/>
  <c r="AM2716" i="1"/>
  <c r="AM2715" i="1"/>
  <c r="AM2714" i="1"/>
  <c r="AM2713" i="1"/>
  <c r="AM2712" i="1"/>
  <c r="AM2711" i="1"/>
  <c r="AM2710" i="1"/>
  <c r="AM2709" i="1"/>
  <c r="AM2708" i="1"/>
  <c r="AM2707" i="1"/>
  <c r="AM2706" i="1"/>
  <c r="AM2705" i="1"/>
  <c r="AM2704" i="1"/>
  <c r="AM2703" i="1"/>
  <c r="AM2702" i="1"/>
  <c r="AM2701" i="1"/>
  <c r="AM2700" i="1"/>
  <c r="AM2699" i="1"/>
  <c r="AM2698" i="1"/>
  <c r="AM2697" i="1"/>
  <c r="AM2696" i="1"/>
  <c r="AM2695" i="1"/>
  <c r="AM2694" i="1"/>
  <c r="AM2693" i="1"/>
  <c r="AM2692" i="1"/>
  <c r="AM2691" i="1"/>
  <c r="AM2690" i="1"/>
  <c r="AM2689" i="1"/>
  <c r="AM2688" i="1"/>
  <c r="AM2687" i="1"/>
  <c r="AM2686" i="1"/>
  <c r="AM2685" i="1"/>
  <c r="AM2684" i="1"/>
  <c r="AM2683" i="1"/>
  <c r="AM2682" i="1"/>
  <c r="AM2681" i="1"/>
  <c r="AM2680" i="1"/>
  <c r="AM2679" i="1"/>
  <c r="AM2678" i="1"/>
  <c r="AM2677" i="1"/>
  <c r="AM2676" i="1"/>
  <c r="AM2675" i="1"/>
  <c r="AM2674" i="1"/>
  <c r="AM2673" i="1"/>
  <c r="AM2672" i="1"/>
  <c r="AM2671" i="1"/>
  <c r="AM2670" i="1"/>
  <c r="AM2669" i="1"/>
  <c r="AM2668" i="1"/>
  <c r="AM2667" i="1"/>
  <c r="AM2666" i="1"/>
  <c r="AM2665" i="1"/>
  <c r="AM2664" i="1"/>
  <c r="AM2663" i="1"/>
  <c r="AM2662" i="1"/>
  <c r="AM2661" i="1"/>
  <c r="AM2660" i="1"/>
  <c r="AM2659" i="1"/>
  <c r="AM2658" i="1"/>
  <c r="AM2657" i="1"/>
  <c r="AM2656" i="1"/>
  <c r="AM2655" i="1"/>
  <c r="AM2654" i="1"/>
  <c r="AM2653" i="1"/>
  <c r="AM2652" i="1"/>
  <c r="AM2651" i="1"/>
  <c r="AM2650" i="1"/>
  <c r="AM2649" i="1"/>
  <c r="AM2648" i="1"/>
  <c r="AM2647" i="1"/>
  <c r="AM2646" i="1"/>
  <c r="AM2645" i="1"/>
  <c r="AM2644" i="1"/>
  <c r="AM2643" i="1"/>
  <c r="AM2642" i="1"/>
  <c r="AM2641" i="1"/>
  <c r="AM2640" i="1"/>
  <c r="AM2639" i="1"/>
  <c r="AM2638" i="1"/>
  <c r="AM2637" i="1"/>
  <c r="AM2636" i="1"/>
  <c r="AM2635" i="1"/>
  <c r="AM2634" i="1"/>
  <c r="AM2633" i="1"/>
  <c r="AM2632" i="1"/>
  <c r="AM2631" i="1"/>
  <c r="AM2630" i="1"/>
  <c r="AM2629" i="1"/>
  <c r="AM2628" i="1"/>
  <c r="AM2626" i="1"/>
  <c r="AM2624" i="1"/>
  <c r="AM2621" i="1"/>
  <c r="AM2619" i="1"/>
  <c r="AM2603" i="1"/>
  <c r="AM2601" i="1"/>
  <c r="AM2597" i="1"/>
  <c r="AM2595" i="1"/>
  <c r="AM2589" i="1"/>
  <c r="AM2586" i="1"/>
  <c r="AM2585" i="1"/>
  <c r="AM2583" i="1"/>
  <c r="AM2575" i="1"/>
  <c r="AM2569" i="1"/>
  <c r="AM2567" i="1"/>
  <c r="AM2563" i="1"/>
  <c r="AM2561" i="1"/>
  <c r="AM2555" i="1"/>
  <c r="AM2554" i="1"/>
  <c r="AM2552" i="1"/>
  <c r="AM2549" i="1"/>
  <c r="AM2547" i="1"/>
  <c r="AM2545" i="1"/>
  <c r="AM2544" i="1"/>
  <c r="AM2541" i="1"/>
  <c r="AM2540" i="1"/>
  <c r="AM2510" i="1"/>
  <c r="AM2509" i="1"/>
  <c r="AM2500" i="1"/>
  <c r="AM2497" i="1"/>
  <c r="AM2496" i="1"/>
  <c r="AM2490" i="1"/>
  <c r="AM2488" i="1"/>
  <c r="AM2486" i="1"/>
  <c r="AM2485" i="1"/>
  <c r="AM2483" i="1"/>
  <c r="AM2482" i="1"/>
  <c r="AM2481" i="1"/>
  <c r="AM2476" i="1"/>
  <c r="AM2472" i="1"/>
  <c r="AM2470" i="1"/>
  <c r="AM2466" i="1"/>
  <c r="AM2464" i="1"/>
  <c r="AM2463" i="1"/>
  <c r="AM2462" i="1"/>
  <c r="AM2457" i="1"/>
  <c r="AM2456" i="1"/>
  <c r="AM2455" i="1"/>
  <c r="AM2454" i="1"/>
  <c r="AM2452" i="1"/>
  <c r="AM2451" i="1"/>
  <c r="AM2450" i="1"/>
  <c r="AM2447" i="1"/>
  <c r="AM2443" i="1"/>
  <c r="AM2442" i="1"/>
  <c r="AM2441" i="1"/>
  <c r="AM2440" i="1"/>
  <c r="AM2439" i="1"/>
  <c r="AM2438" i="1"/>
  <c r="AM2437" i="1"/>
  <c r="AM2436" i="1"/>
  <c r="AM2435" i="1"/>
  <c r="AM2434" i="1"/>
  <c r="AM2433" i="1"/>
  <c r="AM2432" i="1"/>
  <c r="AM2431" i="1"/>
  <c r="AM2430" i="1"/>
  <c r="AM2429" i="1"/>
  <c r="AM2428" i="1"/>
  <c r="AM2427" i="1"/>
  <c r="AM2426" i="1"/>
  <c r="AM2425" i="1"/>
  <c r="AM2424" i="1"/>
  <c r="AM2423" i="1"/>
  <c r="AM2422" i="1"/>
  <c r="AM2421" i="1"/>
  <c r="AM2420" i="1"/>
  <c r="AM2419" i="1"/>
  <c r="AM2418" i="1"/>
  <c r="AM2416" i="1"/>
  <c r="AM2415" i="1"/>
  <c r="AM2414" i="1"/>
  <c r="AM2413" i="1"/>
  <c r="AM2412" i="1"/>
  <c r="AM2411" i="1"/>
  <c r="AM2410" i="1"/>
  <c r="AM2409" i="1"/>
  <c r="AM2408" i="1"/>
  <c r="AM2407" i="1"/>
  <c r="AM2406" i="1"/>
  <c r="AM1741" i="1"/>
  <c r="AM1739" i="1"/>
  <c r="AM1737" i="1"/>
  <c r="AM1736" i="1"/>
  <c r="AM1734" i="1"/>
  <c r="AM1731" i="1"/>
  <c r="AM1730" i="1"/>
  <c r="AM1728" i="1"/>
  <c r="AM1726" i="1"/>
  <c r="AM1723" i="1"/>
  <c r="AM1721" i="1"/>
  <c r="AM1719" i="1"/>
  <c r="AM1717" i="1"/>
  <c r="AM911" i="1"/>
  <c r="AM902" i="1"/>
  <c r="AM901" i="1"/>
  <c r="AM899" i="1"/>
  <c r="AM893" i="1"/>
  <c r="AM249" i="1"/>
  <c r="AM178" i="1"/>
  <c r="AM76" i="1"/>
  <c r="AM73" i="1"/>
  <c r="AM803" i="1"/>
  <c r="AM792" i="1"/>
  <c r="AM786" i="1"/>
  <c r="AM776" i="1"/>
  <c r="AM770" i="1"/>
  <c r="AM767" i="1"/>
  <c r="AM762" i="1"/>
  <c r="AM691" i="1"/>
  <c r="AM689" i="1"/>
  <c r="AM687" i="1"/>
  <c r="AM2046" i="1"/>
  <c r="AM3049" i="1"/>
  <c r="AM3041" i="1"/>
  <c r="AM3030" i="1"/>
  <c r="AM3006" i="1"/>
  <c r="AM2992" i="1"/>
  <c r="AM2983" i="1"/>
  <c r="AM2979" i="1"/>
  <c r="AM2974" i="1"/>
  <c r="AM2971" i="1"/>
  <c r="AM2963" i="1"/>
  <c r="AM2403" i="1"/>
  <c r="AM2401" i="1"/>
  <c r="AM2372" i="1"/>
  <c r="AM2371" i="1"/>
  <c r="AM2368" i="1"/>
  <c r="AM2366" i="1"/>
  <c r="AM2365" i="1"/>
  <c r="AM2362" i="1"/>
  <c r="AM2361" i="1"/>
  <c r="AM2360" i="1"/>
  <c r="AM2357" i="1"/>
  <c r="AM2356" i="1"/>
  <c r="AM2355" i="1"/>
  <c r="AM2354" i="1"/>
  <c r="AM2353" i="1"/>
  <c r="AM2350" i="1"/>
  <c r="AM2347" i="1"/>
  <c r="AM2346" i="1"/>
  <c r="AM2345" i="1"/>
  <c r="AM2344" i="1"/>
  <c r="AM2336" i="1"/>
  <c r="AM2335" i="1"/>
  <c r="AM2334" i="1"/>
  <c r="AM2331" i="1"/>
  <c r="AM2329" i="1"/>
  <c r="AM2328" i="1"/>
  <c r="AM2327" i="1"/>
  <c r="AM2325" i="1"/>
  <c r="AM2324" i="1"/>
  <c r="AM2323" i="1"/>
  <c r="AM2322" i="1"/>
  <c r="AM2321" i="1"/>
  <c r="AM2320" i="1"/>
  <c r="AM2319" i="1"/>
  <c r="AM2306" i="1"/>
  <c r="AM2304" i="1"/>
  <c r="AM2303" i="1"/>
  <c r="AM2302" i="1"/>
  <c r="AM2301" i="1"/>
  <c r="AM2300" i="1"/>
  <c r="AM2298" i="1"/>
  <c r="AM2297" i="1"/>
  <c r="AM2296" i="1"/>
  <c r="AM2295" i="1"/>
  <c r="AM2294" i="1"/>
  <c r="AM2293" i="1"/>
  <c r="AM2291" i="1"/>
  <c r="AM2290" i="1"/>
  <c r="AM2289" i="1"/>
  <c r="AM2288" i="1"/>
  <c r="AM2287" i="1"/>
  <c r="AM2286" i="1"/>
  <c r="AM2285" i="1"/>
  <c r="AM2283" i="1"/>
  <c r="AM2282" i="1"/>
  <c r="AM2281" i="1"/>
  <c r="AM2279" i="1"/>
  <c r="AM2278" i="1"/>
  <c r="AM2276" i="1"/>
  <c r="AM2274" i="1"/>
  <c r="AM2273" i="1"/>
  <c r="AM2272" i="1"/>
  <c r="AM2271" i="1"/>
  <c r="AM2270" i="1"/>
  <c r="AM2269" i="1"/>
  <c r="AM2268" i="1"/>
  <c r="AM2267" i="1"/>
  <c r="AM2266" i="1"/>
  <c r="AM2265" i="1"/>
  <c r="AM2264" i="1"/>
  <c r="AM2263" i="1"/>
  <c r="AM2262" i="1"/>
  <c r="AM2261" i="1"/>
  <c r="AM2260" i="1"/>
  <c r="AM2259" i="1"/>
  <c r="AM2258" i="1"/>
  <c r="AM2257" i="1"/>
  <c r="AM2255" i="1"/>
  <c r="AM2254" i="1"/>
  <c r="AM2253" i="1"/>
  <c r="AM2252" i="1"/>
  <c r="AM2249" i="1"/>
  <c r="AM2248" i="1"/>
  <c r="AM2247" i="1"/>
  <c r="AM2246" i="1"/>
  <c r="AM2244" i="1"/>
  <c r="AM2242" i="1"/>
  <c r="AM2238" i="1"/>
  <c r="AM2236" i="1"/>
  <c r="AM2235" i="1"/>
  <c r="AM2234" i="1"/>
  <c r="AM2233" i="1"/>
  <c r="AM2232" i="1"/>
  <c r="AM2231" i="1"/>
  <c r="AM2230" i="1"/>
  <c r="AM2229" i="1"/>
  <c r="AM2228" i="1"/>
  <c r="AM2227" i="1"/>
  <c r="AM2226" i="1"/>
  <c r="AM2225" i="1"/>
  <c r="AM2223" i="1"/>
  <c r="AM2222" i="1"/>
  <c r="AM2221" i="1"/>
  <c r="AM2220" i="1"/>
  <c r="AM2218" i="1"/>
  <c r="AM2217" i="1"/>
  <c r="AM2216" i="1"/>
  <c r="AM2215" i="1"/>
  <c r="AM2214" i="1"/>
  <c r="AM2213" i="1"/>
  <c r="AM2212" i="1"/>
  <c r="AM2211" i="1"/>
  <c r="AM2210" i="1"/>
  <c r="AM2209" i="1"/>
  <c r="AM2208" i="1"/>
  <c r="AM2207" i="1"/>
  <c r="AM2205" i="1"/>
  <c r="AM2204" i="1"/>
  <c r="AM2203" i="1"/>
  <c r="AM2202" i="1"/>
  <c r="AM2200" i="1"/>
  <c r="AM2199" i="1"/>
  <c r="AM2198" i="1"/>
  <c r="AM2197" i="1"/>
  <c r="AM2196" i="1"/>
  <c r="AM2195" i="1"/>
  <c r="AM2194" i="1"/>
  <c r="AM2193" i="1"/>
  <c r="AM2192" i="1"/>
  <c r="AM2191" i="1"/>
  <c r="AM2190" i="1"/>
  <c r="AM2189" i="1"/>
  <c r="AM2188" i="1"/>
  <c r="AM2187" i="1"/>
  <c r="AM2186" i="1"/>
  <c r="AM2185" i="1"/>
  <c r="AM2184" i="1"/>
  <c r="AM2143" i="1"/>
  <c r="AM2142" i="1"/>
  <c r="AM2140" i="1"/>
  <c r="AM2138" i="1"/>
  <c r="AM2134" i="1"/>
  <c r="AM2132" i="1"/>
  <c r="AM2131" i="1"/>
  <c r="AM2129" i="1"/>
  <c r="AM2128" i="1"/>
  <c r="AM2122" i="1"/>
  <c r="AM2121" i="1"/>
  <c r="AM2116" i="1"/>
  <c r="AM2111" i="1"/>
  <c r="AM2110" i="1"/>
  <c r="AM2106" i="1"/>
  <c r="AM2105" i="1"/>
  <c r="AM2102" i="1"/>
  <c r="AM2101" i="1"/>
  <c r="AM2100" i="1"/>
  <c r="AM2098" i="1"/>
  <c r="AM2094" i="1"/>
  <c r="AM2089" i="1"/>
  <c r="AM2087" i="1"/>
  <c r="AM2086" i="1"/>
  <c r="AM2085" i="1"/>
  <c r="AM2084" i="1"/>
  <c r="AM2077" i="1"/>
  <c r="AM2076" i="1"/>
  <c r="AM2070" i="1"/>
  <c r="AM2069" i="1"/>
  <c r="AM2063" i="1"/>
  <c r="AM2060" i="1"/>
  <c r="AM2059" i="1"/>
  <c r="AM2058" i="1"/>
  <c r="AM2057" i="1"/>
  <c r="AM2056" i="1"/>
  <c r="AM2055" i="1"/>
  <c r="AM2054" i="1"/>
  <c r="AM2052" i="1"/>
  <c r="AM2049" i="1"/>
  <c r="AM2044" i="1"/>
  <c r="AM2039" i="1"/>
  <c r="AM2038" i="1"/>
  <c r="AM2033" i="1"/>
  <c r="AM2030" i="1"/>
  <c r="AM2027" i="1"/>
  <c r="AM2023" i="1"/>
  <c r="AM2021" i="1"/>
  <c r="AM2020" i="1"/>
  <c r="AM2017" i="1"/>
  <c r="AM2015" i="1"/>
  <c r="AM2014" i="1"/>
  <c r="AM2013" i="1"/>
  <c r="AM2012" i="1"/>
  <c r="AM2010" i="1"/>
  <c r="AF2010" i="1"/>
  <c r="AF2009" i="1"/>
  <c r="AM2008" i="1"/>
  <c r="AF2008" i="1"/>
  <c r="AM2007" i="1"/>
  <c r="AM2006" i="1"/>
  <c r="AF2006" i="1"/>
  <c r="AM2005" i="1"/>
  <c r="AF2005" i="1"/>
  <c r="AM2004" i="1"/>
  <c r="AF2004" i="1"/>
  <c r="AM2003" i="1"/>
  <c r="AM2002" i="1"/>
  <c r="AF2002" i="1"/>
  <c r="AM2001" i="1"/>
  <c r="AM1994" i="1"/>
  <c r="AM1993" i="1"/>
  <c r="AM1990" i="1"/>
  <c r="AM1988" i="1"/>
  <c r="AM1987" i="1"/>
  <c r="AM1986" i="1"/>
  <c r="AM1983" i="1"/>
  <c r="AM1979" i="1"/>
  <c r="AM1978" i="1"/>
  <c r="AM1977" i="1"/>
  <c r="AM1972" i="1"/>
  <c r="AM1967" i="1"/>
  <c r="AM1966" i="1"/>
  <c r="AM1965" i="1"/>
  <c r="AM1956" i="1"/>
  <c r="AM1953" i="1"/>
  <c r="AM1952" i="1"/>
  <c r="AM1951" i="1"/>
  <c r="AM1948" i="1"/>
  <c r="AM1947" i="1"/>
  <c r="AM1943" i="1"/>
  <c r="AM1942" i="1"/>
  <c r="AM1934" i="1"/>
  <c r="AM1933" i="1"/>
  <c r="AM1921" i="1"/>
  <c r="AM1918" i="1"/>
  <c r="AM1915" i="1"/>
  <c r="AM1910" i="1"/>
  <c r="AM1905" i="1"/>
  <c r="AM1902" i="1"/>
  <c r="AM1897" i="1"/>
  <c r="AM1896" i="1"/>
  <c r="AM1894" i="1"/>
  <c r="AM1891" i="1"/>
  <c r="AM1889" i="1"/>
  <c r="AM1887" i="1"/>
  <c r="AM1885" i="1"/>
  <c r="AM1884" i="1"/>
  <c r="AM1881" i="1"/>
  <c r="AM1879" i="1"/>
  <c r="AM1878" i="1"/>
  <c r="AM1876" i="1"/>
  <c r="AM1872" i="1"/>
  <c r="AM1871" i="1"/>
  <c r="AM1867" i="1"/>
  <c r="AM1865" i="1"/>
  <c r="AM1860" i="1"/>
  <c r="AM1852" i="1"/>
  <c r="AM1851" i="1"/>
  <c r="AM1850" i="1"/>
  <c r="AM1848" i="1"/>
  <c r="AM1845" i="1"/>
  <c r="AM1844" i="1"/>
  <c r="AM1841" i="1"/>
  <c r="AM1838" i="1"/>
  <c r="AM1836" i="1"/>
  <c r="AM1835" i="1"/>
  <c r="AM1834" i="1"/>
  <c r="AM1833" i="1"/>
  <c r="AM1832" i="1"/>
  <c r="AM1823" i="1"/>
  <c r="AM1821" i="1"/>
  <c r="AM1819" i="1"/>
  <c r="AM1813" i="1"/>
  <c r="AM1812" i="1"/>
  <c r="AM1808" i="1"/>
  <c r="AM1806" i="1"/>
  <c r="AM1785" i="1"/>
  <c r="AM1767" i="1"/>
  <c r="AM1761" i="1"/>
  <c r="AM1760" i="1"/>
  <c r="AM1756" i="1"/>
  <c r="AM1755" i="1"/>
  <c r="AM2622" i="1"/>
  <c r="AM2182" i="1"/>
  <c r="AM2181" i="1"/>
  <c r="AM2180" i="1"/>
  <c r="AM2179" i="1"/>
  <c r="AM2178" i="1"/>
  <c r="AM2177" i="1"/>
  <c r="AM2176" i="1"/>
  <c r="AM2175" i="1"/>
  <c r="AM2174" i="1"/>
  <c r="AM2173" i="1"/>
  <c r="AM2172" i="1"/>
  <c r="AM2171" i="1"/>
  <c r="AM2170" i="1"/>
  <c r="AM2169" i="1"/>
  <c r="AM2168" i="1"/>
  <c r="AM2167" i="1"/>
  <c r="AM2166" i="1"/>
  <c r="AM2165" i="1"/>
  <c r="AM2164" i="1"/>
  <c r="AM2163" i="1"/>
  <c r="AM2162" i="1"/>
  <c r="AM2161" i="1"/>
  <c r="AM2160" i="1"/>
  <c r="AM2159" i="1"/>
  <c r="AM2158" i="1"/>
  <c r="AM2157" i="1"/>
  <c r="AM2156" i="1"/>
  <c r="AM2155" i="1"/>
  <c r="AM2154" i="1"/>
  <c r="AM2153" i="1"/>
  <c r="AM2152" i="1"/>
  <c r="AM2151" i="1"/>
  <c r="AM2150" i="1"/>
  <c r="AM2149" i="1"/>
  <c r="AM2148" i="1"/>
  <c r="AM2147" i="1"/>
  <c r="AM2146" i="1"/>
  <c r="AM2145" i="1"/>
  <c r="AM2144" i="1"/>
  <c r="AM2141" i="1"/>
  <c r="AM2135" i="1"/>
  <c r="AM2133" i="1"/>
  <c r="AM2130" i="1"/>
  <c r="AM2123" i="1"/>
  <c r="AM2120" i="1"/>
  <c r="AM2119" i="1"/>
  <c r="AM2118" i="1"/>
  <c r="AM2117" i="1"/>
  <c r="AM2115" i="1"/>
  <c r="AM2114" i="1"/>
  <c r="AM2113" i="1"/>
  <c r="AM2109" i="1"/>
  <c r="AM2104" i="1"/>
  <c r="AM2103" i="1"/>
  <c r="AM2099" i="1"/>
  <c r="AM2097" i="1"/>
  <c r="AM2093" i="1"/>
  <c r="AM2090" i="1"/>
  <c r="AM2088" i="1"/>
  <c r="AM2080" i="1"/>
  <c r="AM2079" i="1"/>
  <c r="AM2075" i="1"/>
  <c r="AM2073" i="1"/>
  <c r="AM2072" i="1"/>
  <c r="AM2065" i="1"/>
  <c r="AM2061" i="1"/>
  <c r="AM2048" i="1"/>
  <c r="AM2047" i="1"/>
  <c r="AM2043" i="1"/>
  <c r="AM2042" i="1"/>
  <c r="AM2041" i="1"/>
  <c r="AM2036" i="1"/>
  <c r="AM2032" i="1"/>
  <c r="AM2025" i="1"/>
  <c r="AM2022" i="1"/>
  <c r="AM1991" i="1"/>
  <c r="AM1989" i="1"/>
  <c r="AM1982" i="1"/>
  <c r="AM1980" i="1"/>
  <c r="AM1976" i="1"/>
  <c r="AM1974" i="1"/>
  <c r="AM1971" i="1"/>
  <c r="AM1962" i="1"/>
  <c r="AM1961" i="1"/>
  <c r="AM1955" i="1"/>
  <c r="AM1949" i="1"/>
  <c r="AM1940" i="1"/>
  <c r="AM1939" i="1"/>
  <c r="AM1928" i="1"/>
  <c r="AM1925" i="1"/>
  <c r="AM1923" i="1"/>
  <c r="AM1917" i="1"/>
  <c r="AM1916" i="1"/>
  <c r="AM1913" i="1"/>
  <c r="AM1909" i="1"/>
  <c r="AM1908" i="1"/>
  <c r="AM1906" i="1"/>
  <c r="AM1904" i="1"/>
  <c r="AM1903" i="1"/>
  <c r="AM1901" i="1"/>
  <c r="AM1900" i="1"/>
  <c r="AM1892" i="1"/>
  <c r="AM1888" i="1"/>
  <c r="AM1880" i="1"/>
  <c r="AM1877" i="1"/>
  <c r="AM1873" i="1"/>
  <c r="AM1868" i="1"/>
  <c r="AM1866" i="1"/>
  <c r="AM1864" i="1"/>
  <c r="AM1862" i="1"/>
  <c r="AM1861" i="1"/>
  <c r="AM1859" i="1"/>
  <c r="AM1858" i="1"/>
  <c r="AM1857" i="1"/>
  <c r="AM1856" i="1"/>
  <c r="AM1855" i="1"/>
  <c r="AM1849" i="1"/>
  <c r="AM1847" i="1"/>
  <c r="AM1840" i="1"/>
  <c r="AM1827" i="1"/>
  <c r="AM1820" i="1"/>
  <c r="AM1814" i="1"/>
  <c r="AM1807" i="1"/>
  <c r="AM1805" i="1"/>
  <c r="AM1802" i="1"/>
  <c r="AM1794" i="1"/>
  <c r="AM1789" i="1"/>
  <c r="AM1782" i="1"/>
  <c r="AM1780" i="1"/>
  <c r="AM1774" i="1"/>
  <c r="AM1771" i="1"/>
  <c r="AM1768" i="1"/>
  <c r="AM1759" i="1"/>
  <c r="AM1758" i="1"/>
  <c r="AM1753" i="1"/>
  <c r="AM1746" i="1"/>
  <c r="AM1745" i="1"/>
  <c r="AM1742" i="1"/>
  <c r="AM1740" i="1"/>
  <c r="AM1738" i="1"/>
  <c r="AM1735" i="1"/>
  <c r="AM1733" i="1"/>
  <c r="AM1732" i="1"/>
  <c r="AM1727" i="1"/>
  <c r="AM1725" i="1"/>
  <c r="AM1724" i="1"/>
  <c r="AM1722" i="1"/>
  <c r="AM1720" i="1"/>
  <c r="AM1718" i="1"/>
  <c r="AM1716" i="1"/>
  <c r="AM897" i="1"/>
  <c r="AM84" i="1"/>
  <c r="AM833" i="1"/>
  <c r="AM822" i="1"/>
  <c r="AM791" i="1"/>
  <c r="AM737" i="1"/>
  <c r="AM736" i="1"/>
  <c r="AM731" i="1"/>
  <c r="AM730" i="1"/>
  <c r="AM1998" i="1"/>
  <c r="AM3013" i="1"/>
  <c r="AM2966" i="1"/>
  <c r="AM1714" i="1"/>
  <c r="AM1713" i="1"/>
  <c r="AM1712" i="1"/>
  <c r="AM1711" i="1"/>
  <c r="AM1710" i="1"/>
  <c r="AM1709" i="1"/>
  <c r="AM1708" i="1"/>
  <c r="AM1707" i="1"/>
  <c r="AM1706" i="1"/>
  <c r="AM1705" i="1"/>
  <c r="AM1704" i="1"/>
  <c r="AM1703" i="1"/>
  <c r="AM1702" i="1"/>
  <c r="AM1701" i="1"/>
  <c r="AM1700" i="1"/>
  <c r="AM1699" i="1"/>
  <c r="AM1698" i="1"/>
  <c r="AM1697" i="1"/>
  <c r="AM1696" i="1"/>
  <c r="AM1695" i="1"/>
  <c r="AM1694" i="1"/>
  <c r="AM1693" i="1"/>
  <c r="AM1692" i="1"/>
  <c r="AM1691" i="1"/>
  <c r="AM1690" i="1"/>
  <c r="AM1689" i="1"/>
  <c r="AM1688" i="1"/>
  <c r="AM1687" i="1"/>
  <c r="AM1686" i="1"/>
  <c r="AM1685" i="1"/>
  <c r="AM1684" i="1"/>
  <c r="AM1683" i="1"/>
  <c r="AM1682" i="1"/>
  <c r="AM1681" i="1"/>
  <c r="AM1680" i="1"/>
  <c r="AM1679" i="1"/>
  <c r="AM1678" i="1"/>
  <c r="AM1677" i="1"/>
  <c r="AM1676" i="1"/>
  <c r="AM1675" i="1"/>
  <c r="AM1674" i="1"/>
  <c r="AM1673" i="1"/>
  <c r="AM1672" i="1"/>
  <c r="AM1671" i="1"/>
  <c r="AM1670" i="1"/>
  <c r="AM1669" i="1"/>
  <c r="AM1668" i="1"/>
  <c r="AM1667" i="1"/>
  <c r="AM1666" i="1"/>
  <c r="AM1665" i="1"/>
  <c r="AM1664" i="1"/>
  <c r="AM1663" i="1"/>
  <c r="AM1662" i="1"/>
  <c r="AM1661" i="1"/>
  <c r="AM1660" i="1"/>
  <c r="AM1659" i="1"/>
  <c r="AM1658" i="1"/>
  <c r="AM1657" i="1"/>
  <c r="AM1656" i="1"/>
  <c r="AM1655" i="1"/>
  <c r="AM1654" i="1"/>
  <c r="AM1653" i="1"/>
  <c r="AM1652" i="1"/>
  <c r="AM1651" i="1"/>
  <c r="AM1650" i="1"/>
  <c r="AM1649" i="1"/>
  <c r="AM1648" i="1"/>
  <c r="AM1647" i="1"/>
  <c r="AM1646" i="1"/>
  <c r="AM1645" i="1"/>
  <c r="AM1644" i="1"/>
  <c r="AM1643" i="1"/>
  <c r="AM1642" i="1"/>
  <c r="AM1641" i="1"/>
  <c r="AM1640" i="1"/>
  <c r="AM1639" i="1"/>
  <c r="AM1638" i="1"/>
  <c r="AM1637" i="1"/>
  <c r="AM1636" i="1"/>
  <c r="AM1635" i="1"/>
  <c r="AM1634" i="1"/>
  <c r="AM1633" i="1"/>
  <c r="AM1632" i="1"/>
  <c r="AM1631" i="1"/>
  <c r="AM1630" i="1"/>
  <c r="AM1629" i="1"/>
  <c r="AM1628" i="1"/>
  <c r="AM1627" i="1"/>
  <c r="AM1626" i="1"/>
  <c r="AM1625" i="1"/>
  <c r="AM1624" i="1"/>
  <c r="AM1623" i="1"/>
  <c r="AM1622" i="1"/>
  <c r="AM1621" i="1"/>
  <c r="AM1620" i="1"/>
  <c r="AM1619" i="1"/>
  <c r="AM1618" i="1"/>
  <c r="AM1617" i="1"/>
  <c r="AM1616" i="1"/>
  <c r="AM1615" i="1"/>
  <c r="AM1614" i="1"/>
  <c r="AM1613" i="1"/>
  <c r="AM1612" i="1"/>
  <c r="AM1611" i="1"/>
  <c r="AM1610" i="1"/>
  <c r="AM1609" i="1"/>
  <c r="AM1608" i="1"/>
  <c r="AM1607" i="1"/>
  <c r="AM1606" i="1"/>
  <c r="AM1605" i="1"/>
  <c r="AM1604" i="1"/>
  <c r="AM1603" i="1"/>
  <c r="AM1602" i="1"/>
  <c r="AM1601" i="1"/>
  <c r="AM1600" i="1"/>
  <c r="AM1599" i="1"/>
  <c r="AM1598" i="1"/>
  <c r="AM1597" i="1"/>
  <c r="AM1596" i="1"/>
  <c r="AM1595" i="1"/>
  <c r="AM1594" i="1"/>
  <c r="AM1593" i="1"/>
  <c r="AM1592" i="1"/>
  <c r="AM1591" i="1"/>
  <c r="AM1590" i="1"/>
  <c r="AM1589" i="1"/>
  <c r="AM1588" i="1"/>
  <c r="AM1587" i="1"/>
  <c r="AM1586" i="1"/>
  <c r="AM1585" i="1"/>
  <c r="AM1584" i="1"/>
  <c r="AM1583" i="1"/>
  <c r="AM1582" i="1"/>
  <c r="AM1581" i="1"/>
  <c r="AM1580" i="1"/>
  <c r="AM1579" i="1"/>
  <c r="AM1578" i="1"/>
  <c r="AM1577" i="1"/>
  <c r="AM1576" i="1"/>
  <c r="AM1575" i="1"/>
  <c r="AM1574" i="1"/>
  <c r="AM1573" i="1"/>
  <c r="AM1572" i="1"/>
  <c r="AM1571" i="1"/>
  <c r="AM1570" i="1"/>
  <c r="AM1569" i="1"/>
  <c r="AM1568" i="1"/>
  <c r="AM1567" i="1"/>
  <c r="AM1566" i="1"/>
  <c r="AM1565" i="1"/>
  <c r="AM1564" i="1"/>
  <c r="AM1563" i="1"/>
  <c r="AM1562" i="1"/>
  <c r="AM1561" i="1"/>
  <c r="AM1560" i="1"/>
  <c r="AM1559" i="1"/>
  <c r="AM1558" i="1"/>
  <c r="AM1557" i="1"/>
  <c r="AM1556" i="1"/>
  <c r="AM1555" i="1"/>
  <c r="AM1554" i="1"/>
  <c r="AM1553" i="1"/>
  <c r="AM1552" i="1"/>
  <c r="AM1551" i="1"/>
  <c r="AM1550" i="1"/>
  <c r="AM1549" i="1"/>
  <c r="AM1548" i="1"/>
  <c r="AM1547" i="1"/>
  <c r="AM1546" i="1"/>
  <c r="AM1545" i="1"/>
  <c r="AM1544" i="1"/>
  <c r="AM1543" i="1"/>
  <c r="AM1542" i="1"/>
  <c r="AM1541" i="1"/>
  <c r="AM1540" i="1"/>
  <c r="AM1539" i="1"/>
  <c r="AM1538" i="1"/>
  <c r="AM1537" i="1"/>
  <c r="AM1536" i="1"/>
  <c r="AM1535" i="1"/>
  <c r="AM1534" i="1"/>
  <c r="AM1533" i="1"/>
  <c r="AM1532" i="1"/>
  <c r="AM1531" i="1"/>
  <c r="AM1530" i="1"/>
  <c r="AM1529" i="1"/>
  <c r="AM1528" i="1"/>
  <c r="AM1527" i="1"/>
  <c r="AM1526" i="1"/>
  <c r="AM1525" i="1"/>
  <c r="AM1524" i="1"/>
  <c r="AM1523" i="1"/>
  <c r="AM1522" i="1"/>
  <c r="AM1521" i="1"/>
  <c r="AM1520" i="1"/>
  <c r="AM1519" i="1"/>
  <c r="AM1518" i="1"/>
  <c r="AM1517" i="1"/>
  <c r="AM1516" i="1"/>
  <c r="AM1515" i="1"/>
  <c r="AM1514" i="1"/>
  <c r="AM1513" i="1"/>
  <c r="AM1512" i="1"/>
  <c r="AM1511" i="1"/>
  <c r="AM1510" i="1"/>
  <c r="AM1509" i="1"/>
  <c r="AM1508" i="1"/>
  <c r="AM1507" i="1"/>
  <c r="AM1506" i="1"/>
  <c r="AM1505" i="1"/>
  <c r="AM1504" i="1"/>
  <c r="AM1503" i="1"/>
  <c r="AM1502" i="1"/>
  <c r="AM1501" i="1"/>
  <c r="AM1500" i="1"/>
  <c r="AM1499" i="1"/>
  <c r="AM1498" i="1"/>
  <c r="AM1497" i="1"/>
  <c r="AM1496" i="1"/>
  <c r="AM1495" i="1"/>
  <c r="AM1494" i="1"/>
  <c r="AM1493" i="1"/>
  <c r="AM1492" i="1"/>
  <c r="AM1491" i="1"/>
  <c r="AM1490" i="1"/>
  <c r="AM1489" i="1"/>
  <c r="AM1488" i="1"/>
  <c r="AM1487" i="1"/>
  <c r="AM1486" i="1"/>
  <c r="AM1485" i="1"/>
  <c r="AM1484" i="1"/>
  <c r="AM1483" i="1"/>
  <c r="AM1482" i="1"/>
  <c r="AM1481" i="1"/>
  <c r="AM1480" i="1"/>
  <c r="AM1479" i="1"/>
  <c r="AM1478" i="1"/>
  <c r="AM1477" i="1"/>
  <c r="AM1476" i="1"/>
  <c r="AM1475" i="1"/>
  <c r="AM1474" i="1"/>
  <c r="AM1473" i="1"/>
  <c r="AM1472" i="1"/>
  <c r="AM1471" i="1"/>
  <c r="AM1470" i="1"/>
  <c r="AM1469" i="1"/>
  <c r="AM1468" i="1"/>
  <c r="AM1467" i="1"/>
  <c r="AM1466" i="1"/>
  <c r="AM1465" i="1"/>
  <c r="AM1464" i="1"/>
  <c r="AM1463" i="1"/>
  <c r="AM1462" i="1"/>
  <c r="AM1461" i="1"/>
  <c r="AM1460" i="1"/>
  <c r="AM1459" i="1"/>
  <c r="AM1458" i="1"/>
  <c r="AM1457" i="1"/>
  <c r="AM1456" i="1"/>
  <c r="AM1455" i="1"/>
  <c r="AM1454" i="1"/>
  <c r="AM1453" i="1"/>
  <c r="AM1452" i="1"/>
  <c r="AM1451" i="1"/>
  <c r="AM1450" i="1"/>
  <c r="AM1449" i="1"/>
  <c r="AM1448" i="1"/>
  <c r="AM1447" i="1"/>
  <c r="AM1446" i="1"/>
  <c r="AM1445" i="1"/>
  <c r="AM1444" i="1"/>
  <c r="AM1443" i="1"/>
  <c r="AM1442" i="1"/>
  <c r="AM1441" i="1"/>
  <c r="AM1440" i="1"/>
  <c r="AM1439" i="1"/>
  <c r="AM1438" i="1"/>
  <c r="AM1437" i="1"/>
  <c r="AM1436" i="1"/>
  <c r="AM1435" i="1"/>
  <c r="AM1434" i="1"/>
  <c r="AM1433" i="1"/>
  <c r="AM1432" i="1"/>
  <c r="AM1431" i="1"/>
  <c r="AM1430" i="1"/>
  <c r="AM1429" i="1"/>
  <c r="AM1428" i="1"/>
  <c r="AM1427" i="1"/>
  <c r="AM1426" i="1"/>
  <c r="AM1425" i="1"/>
  <c r="AM1424" i="1"/>
  <c r="AM1423" i="1"/>
  <c r="AM1422" i="1"/>
  <c r="AM1421" i="1"/>
  <c r="AM1420" i="1"/>
  <c r="AM1419" i="1"/>
  <c r="AM1418" i="1"/>
  <c r="AM1417" i="1"/>
  <c r="AM1416" i="1"/>
  <c r="AM1415" i="1"/>
  <c r="AM1414" i="1"/>
  <c r="AM1413" i="1"/>
  <c r="AM1412" i="1"/>
  <c r="AM1411" i="1"/>
  <c r="AM1410" i="1"/>
  <c r="AM1409" i="1"/>
  <c r="AM1408" i="1"/>
  <c r="AM1407" i="1"/>
  <c r="AM1406" i="1"/>
  <c r="AM1405" i="1"/>
  <c r="AM1404" i="1"/>
  <c r="AM1403" i="1"/>
  <c r="AM1402" i="1"/>
  <c r="AM1401" i="1"/>
  <c r="AM1400" i="1"/>
  <c r="AM1399" i="1"/>
  <c r="AM1398" i="1"/>
  <c r="AM1397" i="1"/>
  <c r="AM1396" i="1"/>
  <c r="AM1395" i="1"/>
  <c r="AM1394" i="1"/>
  <c r="AM1393" i="1"/>
  <c r="AM1392" i="1"/>
  <c r="AM1391" i="1"/>
  <c r="AM1390" i="1"/>
  <c r="AM1389" i="1"/>
  <c r="AM1388" i="1"/>
  <c r="AM1387" i="1"/>
  <c r="AM1386" i="1"/>
  <c r="AM1385" i="1"/>
  <c r="AM1384" i="1"/>
  <c r="AM1383" i="1"/>
  <c r="AM1382" i="1"/>
  <c r="AM1381" i="1"/>
  <c r="AM1380" i="1"/>
  <c r="AM1379" i="1"/>
  <c r="AM1378" i="1"/>
  <c r="AM1377" i="1"/>
  <c r="AM1376" i="1"/>
  <c r="AM1375" i="1"/>
  <c r="AM1374" i="1"/>
  <c r="AM1373" i="1"/>
  <c r="AM1372" i="1"/>
  <c r="AM1371" i="1"/>
  <c r="AM1370" i="1"/>
  <c r="AM1369" i="1"/>
  <c r="AM1368" i="1"/>
  <c r="AM1367" i="1"/>
  <c r="AM1366" i="1"/>
  <c r="AM1365" i="1"/>
  <c r="AM1364" i="1"/>
  <c r="AM1363" i="1"/>
  <c r="AM1362" i="1"/>
  <c r="AM1361" i="1"/>
  <c r="AM1360" i="1"/>
  <c r="AM1359" i="1"/>
  <c r="AM1358" i="1"/>
  <c r="AM1357" i="1"/>
  <c r="AM1356" i="1"/>
  <c r="AM1355" i="1"/>
  <c r="AM1354" i="1"/>
  <c r="AM1353" i="1"/>
  <c r="AM1352" i="1"/>
  <c r="AM1351" i="1"/>
  <c r="AM1350" i="1"/>
  <c r="AM1349" i="1"/>
  <c r="AM1348" i="1"/>
  <c r="AM1347" i="1"/>
  <c r="AM1346" i="1"/>
  <c r="AM1345" i="1"/>
  <c r="AM1344" i="1"/>
  <c r="AM1343" i="1"/>
  <c r="AM1342" i="1"/>
  <c r="AM1341" i="1"/>
  <c r="AM1340" i="1"/>
  <c r="AM1339" i="1"/>
  <c r="AM1338" i="1"/>
  <c r="AM1337" i="1"/>
  <c r="AM1336" i="1"/>
  <c r="AM1335" i="1"/>
  <c r="AM1334" i="1"/>
  <c r="AM1333" i="1"/>
  <c r="AM1332" i="1"/>
  <c r="AM1331" i="1"/>
  <c r="AM1330" i="1"/>
  <c r="AM1329" i="1"/>
  <c r="AM1328" i="1"/>
  <c r="AM1327" i="1"/>
  <c r="AM1326" i="1"/>
  <c r="AM1325" i="1"/>
  <c r="AM1324" i="1"/>
  <c r="AM1323" i="1"/>
  <c r="AM1322" i="1"/>
  <c r="AM1321" i="1"/>
  <c r="AM1320" i="1"/>
  <c r="AM1319" i="1"/>
  <c r="AM1318" i="1"/>
  <c r="AM1317" i="1"/>
  <c r="AM1316" i="1"/>
  <c r="AM1315" i="1"/>
  <c r="AM1314" i="1"/>
  <c r="AM1313" i="1"/>
  <c r="AM1312" i="1"/>
  <c r="AM1311" i="1"/>
  <c r="AM1310" i="1"/>
  <c r="AM1309" i="1"/>
  <c r="AM1308" i="1"/>
  <c r="AM1307" i="1"/>
  <c r="AM1306" i="1"/>
  <c r="AM1305" i="1"/>
  <c r="AM1304" i="1"/>
  <c r="AM37" i="1"/>
  <c r="AM34" i="1"/>
  <c r="AM33" i="1"/>
  <c r="AM31" i="1"/>
  <c r="AM30" i="1"/>
  <c r="AM29" i="1"/>
  <c r="AM28" i="1"/>
  <c r="AM27" i="1"/>
  <c r="AM26" i="1"/>
  <c r="AM25" i="1"/>
  <c r="AM24" i="1"/>
  <c r="AM22" i="1"/>
  <c r="AM21" i="1"/>
  <c r="AM20" i="1"/>
  <c r="AM19" i="1"/>
  <c r="AM18" i="1"/>
  <c r="AM17" i="1"/>
  <c r="AM15" i="1"/>
  <c r="AM14" i="1"/>
  <c r="AM13" i="1"/>
  <c r="AM12" i="1"/>
  <c r="AM11" i="1"/>
  <c r="AM9" i="1"/>
  <c r="AM8" i="1"/>
  <c r="AM7" i="1"/>
  <c r="AM3" i="1"/>
  <c r="AM1791" i="1"/>
  <c r="AM1790" i="1"/>
  <c r="AM1786" i="1"/>
  <c r="AM932" i="1"/>
  <c r="AM191" i="1"/>
  <c r="AM861" i="1"/>
  <c r="AM784" i="1"/>
  <c r="AM2009" i="1"/>
  <c r="AM3061" i="1"/>
  <c r="AM3009" i="1"/>
  <c r="AM2993" i="1"/>
  <c r="AM1784" i="1"/>
  <c r="AM1783" i="1"/>
  <c r="AM1779" i="1"/>
  <c r="AM1776" i="1"/>
  <c r="AM1775" i="1"/>
  <c r="AM1773" i="1"/>
  <c r="AM1772" i="1"/>
  <c r="AM1764" i="1"/>
  <c r="AM1762" i="1"/>
  <c r="AM1752" i="1"/>
  <c r="AM1751" i="1"/>
  <c r="AM1749" i="1"/>
  <c r="AM1303" i="1"/>
  <c r="AM1302" i="1"/>
  <c r="AM1301" i="1"/>
  <c r="AM1300" i="1"/>
  <c r="AM1299" i="1"/>
  <c r="AM1298" i="1"/>
  <c r="AM1297" i="1"/>
  <c r="AM1296" i="1"/>
  <c r="AM1295" i="1"/>
  <c r="AM1294" i="1"/>
  <c r="AM1293" i="1"/>
  <c r="AM1292" i="1"/>
  <c r="AM1291" i="1"/>
  <c r="AM1290" i="1"/>
  <c r="AM1289" i="1"/>
  <c r="AM1288" i="1"/>
  <c r="AM1287" i="1"/>
  <c r="AM1286" i="1"/>
  <c r="AM1285" i="1"/>
  <c r="AM1284" i="1"/>
  <c r="AM1283" i="1"/>
  <c r="AM1282" i="1"/>
  <c r="AM1281" i="1"/>
  <c r="AM1280" i="1"/>
  <c r="AM1279" i="1"/>
  <c r="AM1278" i="1"/>
  <c r="AM1277" i="1"/>
  <c r="AM1276" i="1"/>
  <c r="AM1275" i="1"/>
  <c r="AM1274" i="1"/>
  <c r="AM1273" i="1"/>
  <c r="AM1272" i="1"/>
  <c r="AM1271" i="1"/>
  <c r="AM1270" i="1"/>
  <c r="AM1269" i="1"/>
  <c r="AM1268" i="1"/>
  <c r="AM1267" i="1"/>
  <c r="AM1266" i="1"/>
  <c r="AM1265" i="1"/>
  <c r="AM1264" i="1"/>
  <c r="AM1263" i="1"/>
  <c r="AM1262" i="1"/>
  <c r="AM1261" i="1"/>
  <c r="AM1260" i="1"/>
  <c r="AM1259" i="1"/>
  <c r="AM1258" i="1"/>
  <c r="AM1257" i="1"/>
  <c r="AM1256" i="1"/>
  <c r="AM1255" i="1"/>
  <c r="AM1254" i="1"/>
  <c r="AM1253" i="1"/>
  <c r="AM1252" i="1"/>
  <c r="AM1251" i="1"/>
  <c r="AM1250" i="1"/>
  <c r="AM1249" i="1"/>
  <c r="AM1248" i="1"/>
  <c r="AM1247" i="1"/>
  <c r="AM1246" i="1"/>
  <c r="AM1245" i="1"/>
  <c r="AM1244" i="1"/>
  <c r="AM1243" i="1"/>
  <c r="AM1242" i="1"/>
  <c r="AM1241" i="1"/>
  <c r="AM1240" i="1"/>
  <c r="AM1239" i="1"/>
  <c r="AM1238" i="1"/>
  <c r="AM1237" i="1"/>
  <c r="AM1236" i="1"/>
  <c r="AM1235" i="1"/>
  <c r="AM1234" i="1"/>
  <c r="AM1233" i="1"/>
  <c r="AM1232" i="1"/>
  <c r="AM1231" i="1"/>
  <c r="AM1230" i="1"/>
  <c r="AM1229" i="1"/>
  <c r="AM1228" i="1"/>
  <c r="AM1227" i="1"/>
  <c r="AM1226" i="1"/>
  <c r="AM1225" i="1"/>
  <c r="AM1224" i="1"/>
  <c r="AM1223" i="1"/>
  <c r="AM1222" i="1"/>
  <c r="AM1221" i="1"/>
  <c r="AM1220" i="1"/>
  <c r="AM1219" i="1"/>
  <c r="AM1218" i="1"/>
  <c r="AM1217" i="1"/>
  <c r="AM1216" i="1"/>
  <c r="AM1215" i="1"/>
  <c r="AM1214" i="1"/>
  <c r="AM1213" i="1"/>
  <c r="AM1212" i="1"/>
  <c r="AM1211" i="1"/>
  <c r="AM1210" i="1"/>
  <c r="AM1209" i="1"/>
  <c r="AM1208" i="1"/>
  <c r="AM1207" i="1"/>
  <c r="AM1206" i="1"/>
  <c r="AM1205" i="1"/>
  <c r="AM1204" i="1"/>
  <c r="AM1203" i="1"/>
  <c r="AM1202" i="1"/>
  <c r="AM1201" i="1"/>
  <c r="AM1200" i="1"/>
  <c r="AM1199" i="1"/>
  <c r="AM1198" i="1"/>
  <c r="AM1197" i="1"/>
  <c r="AM1196" i="1"/>
  <c r="AM1195" i="1"/>
  <c r="AM1194" i="1"/>
  <c r="AM1193" i="1"/>
  <c r="AM1192" i="1"/>
  <c r="AM1191" i="1"/>
  <c r="AM1190" i="1"/>
  <c r="AM1189" i="1"/>
  <c r="AM1188" i="1"/>
  <c r="AM1187" i="1"/>
  <c r="AM1186" i="1"/>
  <c r="AM1185" i="1"/>
  <c r="AM1184" i="1"/>
  <c r="AM1183" i="1"/>
  <c r="AM1182" i="1"/>
  <c r="AM1181" i="1"/>
  <c r="AM1180" i="1"/>
  <c r="AM1179" i="1"/>
  <c r="AM1178" i="1"/>
  <c r="AM1177" i="1"/>
  <c r="AM1176" i="1"/>
  <c r="AM1175" i="1"/>
  <c r="AM1174" i="1"/>
  <c r="AM1173" i="1"/>
  <c r="AM1172" i="1"/>
  <c r="AM1171" i="1"/>
  <c r="AM1170" i="1"/>
  <c r="AM1169" i="1"/>
  <c r="AM1168" i="1"/>
  <c r="AM1167" i="1"/>
  <c r="AM1166" i="1"/>
  <c r="AM1165" i="1"/>
  <c r="AM1164" i="1"/>
  <c r="AM1163" i="1"/>
  <c r="AM1162" i="1"/>
  <c r="AM1161" i="1"/>
  <c r="AM1160" i="1"/>
  <c r="AM1159" i="1"/>
  <c r="AM1158" i="1"/>
  <c r="AM1157" i="1"/>
  <c r="AM1156" i="1"/>
  <c r="AM1155" i="1"/>
  <c r="AM1154" i="1"/>
  <c r="AM1153" i="1"/>
  <c r="AM1152" i="1"/>
  <c r="AM1151" i="1"/>
  <c r="AM1150" i="1"/>
  <c r="AM1149" i="1"/>
  <c r="AM1148" i="1"/>
  <c r="AM1147" i="1"/>
  <c r="AM1146" i="1"/>
  <c r="AM1145" i="1"/>
  <c r="AM1144" i="1"/>
  <c r="AM1143" i="1"/>
  <c r="AM1142" i="1"/>
  <c r="AM1141" i="1"/>
  <c r="AM1140" i="1"/>
  <c r="AM1139" i="1"/>
  <c r="AM1138" i="1"/>
  <c r="AM1137" i="1"/>
  <c r="AM1136" i="1"/>
  <c r="AM1135" i="1"/>
  <c r="AM1134" i="1"/>
  <c r="AM1133" i="1"/>
  <c r="AM1132" i="1"/>
  <c r="AM1131" i="1"/>
  <c r="AM1130" i="1"/>
  <c r="AM1129" i="1"/>
  <c r="AM1128" i="1"/>
  <c r="AM1127" i="1"/>
  <c r="AM1126" i="1"/>
  <c r="AM1125" i="1"/>
  <c r="AM1124" i="1"/>
  <c r="AM1123" i="1"/>
  <c r="AM1122" i="1"/>
  <c r="AM1121" i="1"/>
  <c r="AM1120" i="1"/>
  <c r="AM1119" i="1"/>
  <c r="AM1118" i="1"/>
  <c r="AM1117" i="1"/>
  <c r="AM1116" i="1"/>
  <c r="AM1115" i="1"/>
  <c r="AM1114" i="1"/>
  <c r="AM1113" i="1"/>
  <c r="AM1112" i="1"/>
  <c r="AM1111" i="1"/>
  <c r="AM1110" i="1"/>
  <c r="AM1109" i="1"/>
  <c r="AM1108" i="1"/>
  <c r="AM1107" i="1"/>
  <c r="AM1106" i="1"/>
  <c r="AM1105" i="1"/>
  <c r="AM1104" i="1"/>
  <c r="AM1103" i="1"/>
  <c r="AM1102" i="1"/>
  <c r="AM1101" i="1"/>
  <c r="AM1100" i="1"/>
  <c r="AM1099" i="1"/>
  <c r="AM1098" i="1"/>
  <c r="AM1097" i="1"/>
  <c r="AM1096" i="1"/>
  <c r="AM1095" i="1"/>
  <c r="AM1094" i="1"/>
  <c r="AM1093" i="1"/>
  <c r="AM1092" i="1"/>
  <c r="AM1091" i="1"/>
  <c r="AM1090" i="1"/>
  <c r="AM1089" i="1"/>
  <c r="AM1088" i="1"/>
  <c r="AM1087" i="1"/>
  <c r="AM1086" i="1"/>
  <c r="AM1085" i="1"/>
  <c r="AM1084" i="1"/>
  <c r="AM1083" i="1"/>
  <c r="AM1082" i="1"/>
  <c r="AM1081" i="1"/>
  <c r="AM1080" i="1"/>
  <c r="AM1079" i="1"/>
  <c r="AM1078" i="1"/>
  <c r="AM1077" i="1"/>
  <c r="AM1076" i="1"/>
  <c r="AM1075" i="1"/>
  <c r="AM1074" i="1"/>
  <c r="AM1073" i="1"/>
  <c r="AM1072" i="1"/>
  <c r="AM1071" i="1"/>
  <c r="AM1070" i="1"/>
  <c r="AM1069" i="1"/>
  <c r="AM1068" i="1"/>
  <c r="AM1067" i="1"/>
  <c r="AM1066" i="1"/>
  <c r="AM1065" i="1"/>
  <c r="AM1064" i="1"/>
  <c r="AM1063" i="1"/>
  <c r="AM1062" i="1"/>
  <c r="AM1061" i="1"/>
  <c r="AM1060" i="1"/>
  <c r="AM1059" i="1"/>
  <c r="AM1058" i="1"/>
  <c r="AM1057" i="1"/>
  <c r="AM1056" i="1"/>
  <c r="AM1055" i="1"/>
  <c r="AM1054" i="1"/>
  <c r="AM1053" i="1"/>
  <c r="AM1052" i="1"/>
  <c r="AM1051" i="1"/>
  <c r="AM1050" i="1"/>
  <c r="AM1049" i="1"/>
  <c r="AM1048" i="1"/>
  <c r="AM1047" i="1"/>
  <c r="AM1046" i="1"/>
  <c r="AM1045" i="1"/>
  <c r="AM1044" i="1"/>
  <c r="AM1043" i="1"/>
  <c r="AM1042" i="1"/>
  <c r="AM1041" i="1"/>
  <c r="AM1040" i="1"/>
  <c r="AM1039" i="1"/>
  <c r="AM1038" i="1"/>
  <c r="AM1037" i="1"/>
  <c r="AM1036" i="1"/>
  <c r="AM1035" i="1"/>
  <c r="AM1034" i="1"/>
  <c r="AM1033" i="1"/>
  <c r="AM1032" i="1"/>
  <c r="AM1031" i="1"/>
  <c r="AM1030" i="1"/>
  <c r="AM1029" i="1"/>
  <c r="AM1028" i="1"/>
  <c r="AM1027" i="1"/>
  <c r="AM1026" i="1"/>
  <c r="AM1025" i="1"/>
  <c r="AM1024" i="1"/>
  <c r="AM1023" i="1"/>
  <c r="AM1022" i="1"/>
  <c r="AM1021" i="1"/>
  <c r="AM1020" i="1"/>
  <c r="AM1019" i="1"/>
  <c r="AM1018" i="1"/>
  <c r="AM1017" i="1"/>
  <c r="AM1016" i="1"/>
  <c r="AM1015" i="1"/>
  <c r="AM1014" i="1"/>
  <c r="AM1013" i="1"/>
  <c r="AM1012" i="1"/>
  <c r="AM1011" i="1"/>
  <c r="AM1010" i="1"/>
  <c r="AM1009" i="1"/>
  <c r="AM1008" i="1"/>
  <c r="AM1007" i="1"/>
  <c r="AM1006" i="1"/>
  <c r="AM1005" i="1"/>
  <c r="AM1004" i="1"/>
  <c r="AM1003" i="1"/>
  <c r="AM1002" i="1"/>
  <c r="AF1002" i="1"/>
  <c r="AM1001" i="1"/>
  <c r="AM1000" i="1"/>
  <c r="AM999" i="1"/>
  <c r="AM998" i="1"/>
  <c r="AM997" i="1"/>
  <c r="AM996" i="1"/>
  <c r="AM995" i="1"/>
  <c r="AM994" i="1"/>
  <c r="AM993" i="1"/>
  <c r="AM992" i="1"/>
  <c r="AM991" i="1"/>
  <c r="AM990" i="1"/>
  <c r="AM989" i="1"/>
  <c r="AM988" i="1"/>
  <c r="AM987" i="1"/>
  <c r="AM986" i="1"/>
  <c r="AM985" i="1"/>
  <c r="AM984" i="1"/>
  <c r="AM983" i="1"/>
  <c r="AM982" i="1"/>
  <c r="AM981" i="1"/>
  <c r="AM980" i="1"/>
  <c r="AM979" i="1"/>
  <c r="AM978" i="1"/>
  <c r="AM977" i="1"/>
  <c r="AM976" i="1"/>
  <c r="AM975" i="1"/>
  <c r="AM974" i="1"/>
  <c r="AM973" i="1"/>
  <c r="AM972" i="1"/>
  <c r="AM971" i="1"/>
  <c r="AM970" i="1"/>
  <c r="AM969" i="1"/>
  <c r="AM968" i="1"/>
  <c r="AM967" i="1"/>
  <c r="AM966" i="1"/>
  <c r="AM965" i="1"/>
  <c r="AM964" i="1"/>
  <c r="AM963" i="1"/>
  <c r="AM962" i="1"/>
  <c r="AM961" i="1"/>
  <c r="AM960" i="1"/>
  <c r="AM959" i="1"/>
  <c r="AM958" i="1"/>
  <c r="AM957" i="1"/>
  <c r="AM956" i="1"/>
  <c r="AM955" i="1"/>
  <c r="AM954" i="1"/>
  <c r="AM953" i="1"/>
  <c r="AM952" i="1"/>
  <c r="AM951" i="1"/>
  <c r="AM950" i="1"/>
  <c r="AM949" i="1"/>
  <c r="AM948" i="1"/>
  <c r="AM947" i="1"/>
  <c r="AM946" i="1"/>
  <c r="AM945" i="1"/>
  <c r="AM944" i="1"/>
  <c r="AM943" i="1"/>
  <c r="AM942" i="1"/>
  <c r="AM941" i="1"/>
  <c r="AM940" i="1"/>
  <c r="AM939" i="1"/>
  <c r="AM938" i="1"/>
  <c r="AM937" i="1"/>
  <c r="AM936" i="1"/>
  <c r="AM935" i="1"/>
  <c r="AM934" i="1"/>
  <c r="AM930" i="1"/>
  <c r="AM929" i="1"/>
  <c r="AM928" i="1"/>
  <c r="AM926" i="1"/>
  <c r="AM923" i="1"/>
  <c r="AM921" i="1"/>
  <c r="AM920" i="1"/>
  <c r="AM919" i="1"/>
  <c r="AM918" i="1"/>
  <c r="AM917" i="1"/>
  <c r="AM916" i="1"/>
  <c r="AM915" i="1"/>
  <c r="AM884" i="1"/>
  <c r="AM863" i="1"/>
  <c r="AM820" i="1"/>
  <c r="AM713" i="1"/>
  <c r="AM685" i="1"/>
  <c r="AM879" i="1"/>
  <c r="AM878" i="1"/>
  <c r="AM877" i="1"/>
  <c r="AM876" i="1"/>
  <c r="AM875" i="1"/>
  <c r="AM874" i="1"/>
  <c r="AM873" i="1"/>
  <c r="AM872" i="1"/>
  <c r="AM871" i="1"/>
  <c r="AM870" i="1"/>
  <c r="AM869" i="1"/>
  <c r="AM868" i="1"/>
  <c r="AM867" i="1"/>
  <c r="AM866" i="1"/>
  <c r="AM865" i="1"/>
  <c r="AM542" i="1"/>
  <c r="AM541" i="1"/>
  <c r="AM539" i="1"/>
  <c r="AM531" i="1"/>
  <c r="AM522" i="1"/>
  <c r="AM520" i="1"/>
  <c r="AM514" i="1"/>
  <c r="AM513" i="1"/>
  <c r="AM511" i="1"/>
  <c r="AM510" i="1"/>
  <c r="AM509" i="1"/>
  <c r="AM508" i="1"/>
  <c r="AM507" i="1"/>
  <c r="AM502" i="1"/>
  <c r="AM501" i="1"/>
  <c r="AM497" i="1"/>
  <c r="AM496" i="1"/>
  <c r="AM494" i="1"/>
  <c r="AM493" i="1"/>
  <c r="AM490" i="1"/>
  <c r="AM474" i="1"/>
  <c r="AM471" i="1"/>
  <c r="AM468" i="1"/>
  <c r="AM461" i="1"/>
  <c r="AM448" i="1"/>
  <c r="AM445" i="1"/>
  <c r="AM441" i="1"/>
  <c r="AM439" i="1"/>
  <c r="AM436" i="1"/>
  <c r="AM431" i="1"/>
  <c r="AM430" i="1"/>
  <c r="AM429" i="1"/>
  <c r="AM428" i="1"/>
  <c r="AM427" i="1"/>
  <c r="AM426" i="1"/>
  <c r="AM425" i="1"/>
  <c r="AM423" i="1"/>
  <c r="AM411" i="1"/>
  <c r="AM410" i="1"/>
  <c r="AM409" i="1"/>
  <c r="AM406" i="1"/>
  <c r="AM399" i="1"/>
  <c r="AM395" i="1"/>
  <c r="AM394" i="1"/>
  <c r="AM393" i="1"/>
  <c r="AM392" i="1"/>
  <c r="AM391" i="1"/>
  <c r="AM385" i="1"/>
  <c r="AM384" i="1"/>
  <c r="AM373" i="1"/>
  <c r="AM372" i="1"/>
  <c r="AM371" i="1"/>
  <c r="AM370" i="1"/>
  <c r="AM355" i="1"/>
  <c r="AM353" i="1"/>
  <c r="AM349" i="1"/>
  <c r="AM347" i="1"/>
  <c r="AM341" i="1"/>
  <c r="AM314" i="1"/>
  <c r="AM313" i="1"/>
  <c r="AM288" i="1"/>
  <c r="AM285" i="1"/>
  <c r="AM180" i="1"/>
  <c r="AM153" i="1"/>
  <c r="AM128" i="1"/>
  <c r="AM110" i="1"/>
  <c r="AM103" i="1"/>
  <c r="AM857" i="1"/>
  <c r="AM855" i="1"/>
  <c r="AM850" i="1"/>
  <c r="AM847" i="1"/>
  <c r="AM843" i="1"/>
  <c r="AM840" i="1"/>
  <c r="AM835" i="1"/>
  <c r="AM813" i="1"/>
  <c r="AM807" i="1"/>
  <c r="AM805" i="1"/>
  <c r="AM799" i="1"/>
  <c r="AM790" i="1"/>
  <c r="AM789" i="1"/>
  <c r="AM774" i="1"/>
  <c r="AM769" i="1"/>
  <c r="AM763" i="1"/>
  <c r="AM759" i="1"/>
  <c r="AM757" i="1"/>
  <c r="AM756" i="1"/>
  <c r="AM750" i="1"/>
  <c r="AM747" i="1"/>
  <c r="AM729" i="1"/>
  <c r="AM728" i="1"/>
  <c r="AM724" i="1"/>
  <c r="AM701" i="1"/>
  <c r="AM2067" i="1"/>
  <c r="AM1926" i="1"/>
  <c r="AM1886" i="1"/>
  <c r="AM3060" i="1"/>
  <c r="AM3055" i="1"/>
  <c r="AM3051" i="1"/>
  <c r="AM3037" i="1"/>
  <c r="AM3034" i="1"/>
  <c r="AM3031" i="1"/>
  <c r="AM2961" i="1"/>
  <c r="AM682" i="1"/>
  <c r="AM681" i="1"/>
  <c r="AM680" i="1"/>
  <c r="AM679" i="1"/>
  <c r="AM678" i="1"/>
  <c r="AM677" i="1"/>
  <c r="AM676" i="1"/>
  <c r="AM675" i="1"/>
  <c r="AM674" i="1"/>
  <c r="AM673" i="1"/>
  <c r="AM672" i="1"/>
  <c r="AM671" i="1"/>
  <c r="AM670" i="1"/>
  <c r="AM669" i="1"/>
  <c r="AM668" i="1"/>
  <c r="AM667" i="1"/>
  <c r="AM666" i="1"/>
  <c r="AM665" i="1"/>
  <c r="AM664" i="1"/>
  <c r="AM663" i="1"/>
  <c r="AM662" i="1"/>
  <c r="AM661" i="1"/>
  <c r="AM660" i="1"/>
  <c r="AM659" i="1"/>
  <c r="AM658" i="1"/>
  <c r="AM657" i="1"/>
  <c r="AM656" i="1"/>
  <c r="AM655" i="1"/>
  <c r="AM654" i="1"/>
  <c r="AM653" i="1"/>
  <c r="AM652" i="1"/>
  <c r="AM651" i="1"/>
  <c r="AM650" i="1"/>
  <c r="AM649" i="1"/>
  <c r="AM648" i="1"/>
  <c r="AM647" i="1"/>
  <c r="AM646" i="1"/>
  <c r="AM645" i="1"/>
  <c r="AM644" i="1"/>
  <c r="AM643" i="1"/>
  <c r="AM642" i="1"/>
  <c r="AM641" i="1"/>
  <c r="AM640" i="1"/>
  <c r="AM639" i="1"/>
  <c r="AM638" i="1"/>
  <c r="AM637" i="1"/>
  <c r="AM636" i="1"/>
  <c r="AM635" i="1"/>
  <c r="AM634" i="1"/>
  <c r="AM633" i="1"/>
  <c r="AM632" i="1"/>
  <c r="AM631" i="1"/>
  <c r="AM630" i="1"/>
  <c r="AM629" i="1"/>
  <c r="AM628" i="1"/>
  <c r="AM627" i="1"/>
  <c r="AM626" i="1"/>
  <c r="AM625" i="1"/>
  <c r="AM624" i="1"/>
  <c r="AM623" i="1"/>
  <c r="AM622" i="1"/>
  <c r="AM621" i="1"/>
  <c r="AM620" i="1"/>
  <c r="AM619" i="1"/>
  <c r="AM618" i="1"/>
  <c r="AM617" i="1"/>
  <c r="AM616" i="1"/>
  <c r="AM615" i="1"/>
  <c r="AM614" i="1"/>
  <c r="AM613" i="1"/>
  <c r="AM612" i="1"/>
  <c r="AM611" i="1"/>
  <c r="AM610" i="1"/>
  <c r="AM609" i="1"/>
  <c r="AM608" i="1"/>
  <c r="AM607" i="1"/>
  <c r="AM606" i="1"/>
  <c r="AM605" i="1"/>
  <c r="AM604" i="1"/>
  <c r="AM603" i="1"/>
  <c r="AM602" i="1"/>
  <c r="AM601" i="1"/>
  <c r="AM600" i="1"/>
  <c r="AM599" i="1"/>
  <c r="AM598" i="1"/>
  <c r="AM597" i="1"/>
  <c r="AM596" i="1"/>
  <c r="AM595" i="1"/>
  <c r="AM594" i="1"/>
  <c r="AM593" i="1"/>
  <c r="AM592" i="1"/>
  <c r="AM591" i="1"/>
  <c r="AM590" i="1"/>
  <c r="AM589" i="1"/>
  <c r="AM588" i="1"/>
  <c r="AM587" i="1"/>
  <c r="AM586" i="1"/>
  <c r="AM585" i="1"/>
  <c r="AM584" i="1"/>
  <c r="AM583" i="1"/>
  <c r="AM582" i="1"/>
  <c r="AM581" i="1"/>
  <c r="AM580" i="1"/>
  <c r="AM579" i="1"/>
  <c r="AM578" i="1"/>
  <c r="AM577" i="1"/>
  <c r="AM576" i="1"/>
  <c r="AM575" i="1"/>
  <c r="AM574" i="1"/>
  <c r="AM573" i="1"/>
  <c r="AM572" i="1"/>
  <c r="AM571" i="1"/>
  <c r="AM570" i="1"/>
  <c r="AM569" i="1"/>
  <c r="AM568" i="1"/>
  <c r="AM567" i="1"/>
  <c r="AM566" i="1"/>
  <c r="AM565" i="1"/>
  <c r="AM564" i="1"/>
  <c r="AM563" i="1"/>
  <c r="AM562" i="1"/>
  <c r="AM561" i="1"/>
  <c r="AM560" i="1"/>
  <c r="AM559" i="1"/>
  <c r="AM558" i="1"/>
  <c r="AM557" i="1"/>
  <c r="AM556" i="1"/>
  <c r="AM555" i="1"/>
  <c r="AM554" i="1"/>
  <c r="AM553" i="1"/>
  <c r="AM552" i="1"/>
  <c r="AM551" i="1"/>
  <c r="AM550" i="1"/>
  <c r="AM549" i="1"/>
  <c r="AM548" i="1"/>
  <c r="AM547" i="1"/>
  <c r="AM546" i="1"/>
  <c r="AM545" i="1"/>
  <c r="AM543" i="1"/>
  <c r="AM540" i="1"/>
  <c r="AM537" i="1"/>
  <c r="AM535" i="1"/>
  <c r="AM534" i="1"/>
  <c r="AM533" i="1"/>
  <c r="AM532" i="1"/>
  <c r="AM530" i="1"/>
  <c r="AM529" i="1"/>
  <c r="AM528" i="1"/>
  <c r="AM527" i="1"/>
  <c r="AM525" i="1"/>
  <c r="AM524" i="1"/>
  <c r="AM521" i="1"/>
  <c r="AM519" i="1"/>
  <c r="AM518" i="1"/>
  <c r="AM517" i="1"/>
  <c r="AM516" i="1"/>
  <c r="AM515" i="1"/>
  <c r="AM512" i="1"/>
  <c r="AM505" i="1"/>
  <c r="AF502" i="1"/>
  <c r="AM499" i="1"/>
  <c r="AM498" i="1"/>
  <c r="AM489" i="1"/>
  <c r="AM486" i="1"/>
  <c r="AM484" i="1"/>
  <c r="AM479" i="1"/>
  <c r="AM477" i="1"/>
  <c r="AM476" i="1"/>
  <c r="AM475" i="1"/>
  <c r="AM473" i="1"/>
  <c r="AM472" i="1"/>
  <c r="AM467" i="1"/>
  <c r="AM466" i="1"/>
  <c r="AM465" i="1"/>
  <c r="AM464" i="1"/>
  <c r="AM460" i="1"/>
  <c r="AM458" i="1"/>
  <c r="AM457" i="1"/>
  <c r="AM455" i="1"/>
  <c r="AM454" i="1"/>
  <c r="AM453" i="1"/>
  <c r="AM452" i="1"/>
  <c r="AM451" i="1"/>
  <c r="AM450" i="1"/>
  <c r="AM449" i="1"/>
  <c r="AM447" i="1"/>
  <c r="AM446" i="1"/>
  <c r="AM444" i="1"/>
  <c r="AM443" i="1"/>
  <c r="AM442" i="1"/>
  <c r="AM438" i="1"/>
  <c r="AM435" i="1"/>
  <c r="AM434" i="1"/>
  <c r="AM432" i="1"/>
  <c r="AM422" i="1"/>
  <c r="AM421" i="1"/>
  <c r="AM419" i="1"/>
  <c r="AM417" i="1"/>
  <c r="AM416" i="1"/>
  <c r="AM414" i="1"/>
  <c r="AM413" i="1"/>
  <c r="AM412" i="1"/>
  <c r="AM408" i="1"/>
  <c r="AM405" i="1"/>
  <c r="AM404" i="1"/>
  <c r="AM402" i="1"/>
  <c r="AM401" i="1"/>
  <c r="AM398" i="1"/>
  <c r="AM397" i="1"/>
  <c r="AM390" i="1"/>
  <c r="AM389" i="1"/>
  <c r="AM388" i="1"/>
  <c r="AM387" i="1"/>
  <c r="AM386" i="1"/>
  <c r="AM383" i="1"/>
  <c r="AM382" i="1"/>
  <c r="AM381" i="1"/>
  <c r="AM380" i="1"/>
  <c r="AM379" i="1"/>
  <c r="AM378" i="1"/>
  <c r="AM377" i="1"/>
  <c r="AM376" i="1"/>
  <c r="AM375" i="1"/>
  <c r="AM374" i="1"/>
  <c r="AM369" i="1"/>
  <c r="AM368" i="1"/>
  <c r="AM367" i="1"/>
  <c r="AM366" i="1"/>
  <c r="AM365" i="1"/>
  <c r="AM364" i="1"/>
  <c r="AM362" i="1"/>
  <c r="AM360" i="1"/>
  <c r="AM359" i="1"/>
  <c r="AM356" i="1"/>
  <c r="AM352" i="1"/>
  <c r="AM351" i="1"/>
  <c r="AM350" i="1"/>
  <c r="AM344" i="1"/>
  <c r="AM343" i="1"/>
  <c r="AM342" i="1"/>
  <c r="AM340" i="1"/>
  <c r="AM339" i="1"/>
  <c r="AM337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2" i="1"/>
  <c r="AM311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3" i="1"/>
  <c r="AM292" i="1"/>
  <c r="AM291" i="1"/>
  <c r="AM290" i="1"/>
  <c r="AM289" i="1"/>
  <c r="AM287" i="1"/>
  <c r="AM286" i="1"/>
  <c r="AM284" i="1"/>
  <c r="AM283" i="1"/>
  <c r="AM281" i="1"/>
  <c r="AM280" i="1"/>
  <c r="AM279" i="1"/>
  <c r="AM278" i="1"/>
  <c r="AM276" i="1"/>
  <c r="AM275" i="1"/>
  <c r="AM273" i="1"/>
  <c r="AM272" i="1"/>
  <c r="AM271" i="1"/>
  <c r="AM269" i="1"/>
  <c r="AM268" i="1"/>
  <c r="AM267" i="1"/>
  <c r="AM266" i="1"/>
  <c r="AM265" i="1"/>
  <c r="AM263" i="1"/>
  <c r="AM262" i="1"/>
  <c r="AM260" i="1"/>
  <c r="AM258" i="1"/>
  <c r="AM257" i="1"/>
  <c r="AM253" i="1"/>
  <c r="AM250" i="1"/>
  <c r="AM248" i="1"/>
  <c r="AM247" i="1"/>
  <c r="AM246" i="1"/>
  <c r="AM245" i="1"/>
  <c r="AM244" i="1"/>
  <c r="AM243" i="1"/>
  <c r="AM242" i="1"/>
  <c r="AM240" i="1"/>
  <c r="AM238" i="1"/>
  <c r="AM236" i="1"/>
  <c r="AM235" i="1"/>
  <c r="AM232" i="1"/>
  <c r="AM231" i="1"/>
  <c r="AM229" i="1"/>
  <c r="AM228" i="1"/>
  <c r="AM226" i="1"/>
  <c r="AM225" i="1"/>
  <c r="AM222" i="1"/>
  <c r="AM218" i="1"/>
  <c r="AM216" i="1"/>
  <c r="AM214" i="1"/>
  <c r="AM213" i="1"/>
  <c r="AM212" i="1"/>
  <c r="AM211" i="1"/>
  <c r="AM210" i="1"/>
  <c r="AM209" i="1"/>
  <c r="AM208" i="1"/>
  <c r="AM206" i="1"/>
  <c r="AM204" i="1"/>
  <c r="AM203" i="1"/>
  <c r="AM200" i="1"/>
  <c r="AM199" i="1"/>
  <c r="AM198" i="1"/>
  <c r="AM197" i="1"/>
  <c r="AM196" i="1"/>
  <c r="AM193" i="1"/>
  <c r="AM173" i="1"/>
  <c r="AM172" i="1"/>
  <c r="AM171" i="1"/>
  <c r="AM170" i="1"/>
  <c r="AM169" i="1"/>
  <c r="AM167" i="1"/>
  <c r="AM164" i="1"/>
  <c r="AM163" i="1"/>
  <c r="AM162" i="1"/>
  <c r="AM161" i="1"/>
  <c r="AM160" i="1"/>
  <c r="AM159" i="1"/>
  <c r="AM158" i="1"/>
  <c r="AM157" i="1"/>
  <c r="AM156" i="1"/>
  <c r="AM155" i="1"/>
  <c r="AM154" i="1"/>
  <c r="AM152" i="1"/>
  <c r="AM151" i="1"/>
  <c r="AM150" i="1"/>
  <c r="AM148" i="1"/>
  <c r="AM147" i="1"/>
  <c r="AM145" i="1"/>
  <c r="AM144" i="1"/>
  <c r="AM143" i="1"/>
  <c r="AM141" i="1"/>
  <c r="AM140" i="1"/>
  <c r="AM139" i="1"/>
  <c r="AM138" i="1"/>
  <c r="AM136" i="1"/>
  <c r="AM135" i="1"/>
  <c r="AM134" i="1"/>
  <c r="AM133" i="1"/>
  <c r="AM131" i="1"/>
  <c r="AM130" i="1"/>
  <c r="AM129" i="1"/>
  <c r="AM126" i="1"/>
  <c r="AM125" i="1"/>
  <c r="AM121" i="1"/>
  <c r="AM120" i="1"/>
  <c r="AM118" i="1"/>
  <c r="AM117" i="1"/>
  <c r="AM116" i="1"/>
  <c r="AM114" i="1"/>
  <c r="AM113" i="1"/>
  <c r="AM112" i="1"/>
  <c r="AM111" i="1"/>
  <c r="AM109" i="1"/>
  <c r="AM108" i="1"/>
  <c r="AM107" i="1"/>
  <c r="AM106" i="1"/>
  <c r="AM105" i="1"/>
  <c r="AM102" i="1"/>
  <c r="AM101" i="1"/>
  <c r="AM100" i="1"/>
  <c r="AM99" i="1"/>
  <c r="AM98" i="1"/>
  <c r="AM96" i="1"/>
  <c r="AM95" i="1"/>
  <c r="AM94" i="1"/>
  <c r="AM93" i="1"/>
  <c r="AM72" i="1"/>
  <c r="AM71" i="1"/>
  <c r="F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6" i="1"/>
  <c r="AM35" i="1"/>
  <c r="AM32" i="1"/>
  <c r="AM23" i="1"/>
  <c r="AM16" i="1"/>
  <c r="AM10" i="1"/>
  <c r="AM6" i="1"/>
  <c r="AM5" i="1"/>
  <c r="AM1830" i="1"/>
  <c r="AM1800" i="1"/>
  <c r="AM1798" i="1"/>
  <c r="AM1778" i="1"/>
  <c r="AM1770" i="1"/>
  <c r="AM1750" i="1"/>
  <c r="AM1748" i="1"/>
  <c r="AM2201" i="1"/>
  <c r="S43" i="1" l="1"/>
  <c r="S35" i="1"/>
  <c r="S34" i="1"/>
  <c r="H72" i="1"/>
  <c r="I72" i="1" s="1"/>
  <c r="K72" i="1" s="1"/>
  <c r="M7" i="1"/>
  <c r="S36" i="1"/>
  <c r="N51" i="1"/>
  <c r="Q7" i="1"/>
  <c r="T51" i="1"/>
  <c r="U51" i="1"/>
  <c r="V51" i="1"/>
  <c r="W51" i="1" s="1"/>
  <c r="T52" i="1"/>
  <c r="U52" i="1"/>
  <c r="V52" i="1"/>
  <c r="W52" i="1" s="1"/>
  <c r="T53" i="1"/>
  <c r="U53" i="1"/>
  <c r="V53" i="1"/>
  <c r="W53" i="1" s="1"/>
  <c r="T54" i="1"/>
  <c r="U54" i="1"/>
  <c r="V54" i="1"/>
  <c r="W54" i="1" s="1"/>
  <c r="T55" i="1"/>
  <c r="U55" i="1"/>
  <c r="V55" i="1"/>
  <c r="W55" i="1" s="1"/>
  <c r="T56" i="1"/>
  <c r="U56" i="1"/>
  <c r="V56" i="1"/>
  <c r="W56" i="1" s="1"/>
  <c r="T57" i="1"/>
  <c r="U57" i="1"/>
  <c r="V57" i="1"/>
  <c r="W57" i="1" s="1"/>
  <c r="T58" i="1"/>
  <c r="U58" i="1"/>
  <c r="V58" i="1"/>
  <c r="W58" i="1" s="1"/>
  <c r="T59" i="1"/>
  <c r="U59" i="1"/>
  <c r="V59" i="1"/>
  <c r="W59" i="1" s="1"/>
  <c r="T60" i="1"/>
  <c r="U60" i="1"/>
  <c r="V60" i="1"/>
  <c r="W60" i="1" s="1"/>
  <c r="J67" i="1"/>
  <c r="AO67" i="1"/>
  <c r="J68" i="1"/>
  <c r="AO68" i="1"/>
  <c r="J69" i="1"/>
  <c r="AO69" i="1"/>
  <c r="J70" i="1"/>
  <c r="AO70" i="1"/>
  <c r="J71" i="1"/>
  <c r="AO71" i="1"/>
  <c r="J72" i="1"/>
  <c r="AO72" i="1"/>
  <c r="J73" i="1"/>
  <c r="AO73" i="1"/>
  <c r="T41" i="1"/>
  <c r="T42" i="1"/>
  <c r="O52" i="1"/>
  <c r="T37" i="1"/>
  <c r="T39" i="1"/>
  <c r="T44" i="1"/>
  <c r="O53" i="1"/>
  <c r="T33" i="1"/>
  <c r="K71" i="1"/>
  <c r="T38" i="1"/>
  <c r="T40" i="1"/>
  <c r="T35" i="1" l="1"/>
  <c r="T43" i="1"/>
  <c r="T34" i="1"/>
  <c r="O51" i="1"/>
  <c r="T36" i="1"/>
  <c r="Q17" i="1"/>
  <c r="Q18" i="1"/>
  <c r="Q21" i="1"/>
  <c r="Q22" i="1"/>
  <c r="Q23" i="1"/>
  <c r="Q24" i="1"/>
  <c r="Q16" i="1"/>
  <c r="Q19" i="1"/>
  <c r="Q20" i="1"/>
  <c r="Q25" i="1"/>
  <c r="R17" i="1" l="1"/>
  <c r="S17" i="1"/>
  <c r="T17" i="1"/>
  <c r="S18" i="1"/>
  <c r="U18" i="1"/>
  <c r="R18" i="1"/>
  <c r="T18" i="1"/>
  <c r="R21" i="1"/>
  <c r="S21" i="1"/>
  <c r="T21" i="1"/>
  <c r="U21" i="1"/>
  <c r="R22" i="1"/>
  <c r="S22" i="1"/>
  <c r="T22" i="1"/>
  <c r="U22" i="1"/>
  <c r="R23" i="1"/>
  <c r="S23" i="1"/>
  <c r="T23" i="1"/>
  <c r="U23" i="1"/>
  <c r="R24" i="1"/>
  <c r="S24" i="1"/>
  <c r="T24" i="1"/>
  <c r="U24" i="1"/>
  <c r="R16" i="1"/>
  <c r="S16" i="1"/>
  <c r="T16" i="1"/>
  <c r="S19" i="1"/>
  <c r="R19" i="1"/>
  <c r="T19" i="1"/>
  <c r="U19" i="1"/>
  <c r="T20" i="1"/>
  <c r="R20" i="1"/>
  <c r="S20" i="1"/>
  <c r="U20" i="1"/>
  <c r="R25" i="1"/>
  <c r="S25" i="1"/>
  <c r="T25" i="1"/>
  <c r="U25" i="1"/>
  <c r="U16" i="1" l="1"/>
  <c r="U17" i="1"/>
</calcChain>
</file>

<file path=xl/sharedStrings.xml><?xml version="1.0" encoding="utf-8"?>
<sst xmlns="http://schemas.openxmlformats.org/spreadsheetml/2006/main" count="318" uniqueCount="144">
  <si>
    <t>Produto</t>
  </si>
  <si>
    <t>Data</t>
  </si>
  <si>
    <t>Lote</t>
  </si>
  <si>
    <t>Quantidade</t>
  </si>
  <si>
    <t>Status</t>
  </si>
  <si>
    <t>Aprovado</t>
  </si>
  <si>
    <t>Ano</t>
  </si>
  <si>
    <t>Mês</t>
  </si>
  <si>
    <t>Ordenação</t>
  </si>
  <si>
    <t>Linha válida</t>
  </si>
  <si>
    <t>Flag</t>
  </si>
  <si>
    <t>Validade calc.</t>
  </si>
  <si>
    <t>Vencimento ordenado</t>
  </si>
  <si>
    <t>PROCYCLEAN</t>
  </si>
  <si>
    <t>Dashboard de Produto Acabado</t>
  </si>
  <si>
    <t>ANO</t>
  </si>
  <si>
    <t>Selecionado</t>
  </si>
  <si>
    <t>Controle de qualidade</t>
  </si>
  <si>
    <t>base</t>
  </si>
  <si>
    <t>TOTAL DE LOTES</t>
  </si>
  <si>
    <t>QUANTIDADE TOTAL</t>
  </si>
  <si>
    <t>LOTES APROVADOS</t>
  </si>
  <si>
    <t>TAXA DE APROVAÇÃO</t>
  </si>
  <si>
    <t>PRODUTOS</t>
  </si>
  <si>
    <t>produtos cadastrados</t>
  </si>
  <si>
    <t>Visão geral</t>
  </si>
  <si>
    <t>Top 10 por quantidade</t>
  </si>
  <si>
    <t>Ranking detalhado</t>
  </si>
  <si>
    <t>Ranking</t>
  </si>
  <si>
    <t>#</t>
  </si>
  <si>
    <t>Quantidade (kg)</t>
  </si>
  <si>
    <t>Lotes</t>
  </si>
  <si>
    <t>% Aprov.</t>
  </si>
  <si>
    <t>Situação</t>
  </si>
  <si>
    <t>Mensal</t>
  </si>
  <si>
    <t>Produtos</t>
  </si>
  <si>
    <t>Produção mensal</t>
  </si>
  <si>
    <t>Detalhe mensal</t>
  </si>
  <si>
    <t>Aprovados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</si>
  <si>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</si>
  <si>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</si>
  <si>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</si>
  <si>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</si>
  <si>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</si>
  <si>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</si>
  <si>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</si>
  <si>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</si>
  <si>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</si>
  <si>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</si>
  <si>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</si>
  <si>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</si>
  <si>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Distribuição de status</t>
  </si>
  <si>
    <t>Status dos lotes</t>
  </si>
  <si>
    <t>Próximos vencimentos</t>
  </si>
  <si>
    <t>%</t>
  </si>
  <si>
    <t>Validade</t>
  </si>
  <si>
    <t>Dias</t>
  </si>
  <si>
    <t>Em andamento</t>
  </si>
  <si>
    <t>Reprovado</t>
  </si>
  <si>
    <t>Resumo por produto</t>
  </si>
  <si>
    <t>Rank</t>
  </si>
  <si>
    <t>Ordenacao produto</t>
  </si>
  <si>
    <t>BIO</t>
  </si>
  <si>
    <t>MG</t>
  </si>
  <si>
    <t>130</t>
  </si>
  <si>
    <t>210</t>
  </si>
  <si>
    <t>220</t>
  </si>
  <si>
    <t>520</t>
  </si>
  <si>
    <t>600</t>
  </si>
  <si>
    <t>PROCYCLEAN BIO</t>
  </si>
  <si>
    <t>Quantidade (Kg)</t>
  </si>
  <si>
    <t xml:space="preserve">Validade 
</t>
  </si>
  <si>
    <t>Aspecto
(Pó)</t>
  </si>
  <si>
    <t>Cor
(Cinza)</t>
  </si>
  <si>
    <t>pH solução 3g/L
(12,0 - 13,5)</t>
  </si>
  <si>
    <t>Dispersão em água (minutos)
(15 - 20)</t>
  </si>
  <si>
    <t>Observação</t>
  </si>
  <si>
    <t>Responsável</t>
  </si>
  <si>
    <t>PROCYCLEAN MG</t>
  </si>
  <si>
    <t>Cor
(Branco - Creme)</t>
  </si>
  <si>
    <t>pH suspensão 1g/L 
(8 - 11)</t>
  </si>
  <si>
    <t>6167/22</t>
  </si>
  <si>
    <t>Pó</t>
  </si>
  <si>
    <t>Creme</t>
  </si>
  <si>
    <t>-</t>
  </si>
  <si>
    <t>APROVADO</t>
  </si>
  <si>
    <t>Mariana</t>
  </si>
  <si>
    <t>PROCYCLEAN 130</t>
  </si>
  <si>
    <t>pH suspensão 5g/L
(6,0 - 7,5)</t>
  </si>
  <si>
    <t>Dispersão em água 
(5 - 10)</t>
  </si>
  <si>
    <t>7070/22</t>
  </si>
  <si>
    <t>Cinza</t>
  </si>
  <si>
    <t>Procyclean 210</t>
  </si>
  <si>
    <t>Aprovação</t>
  </si>
  <si>
    <t>pH 5g/L 
(6,0 - 9,0)</t>
  </si>
  <si>
    <t>PROCYCLEAN 220</t>
  </si>
  <si>
    <t>pH (suspensão 5g/L)
(6,0 - 8,5)</t>
  </si>
  <si>
    <t>aprovado</t>
  </si>
  <si>
    <t>8480/24</t>
  </si>
  <si>
    <t>12 meses</t>
  </si>
  <si>
    <t>ok</t>
  </si>
  <si>
    <t>pH foi corrigido</t>
  </si>
  <si>
    <t>Henrique</t>
  </si>
  <si>
    <t>8786/24</t>
  </si>
  <si>
    <t>8848/24</t>
  </si>
  <si>
    <t>8869/24</t>
  </si>
  <si>
    <t>9164/25</t>
  </si>
  <si>
    <t>9366/25</t>
  </si>
  <si>
    <t>Thamires</t>
  </si>
  <si>
    <t>9389/25</t>
  </si>
  <si>
    <t>9432/25</t>
  </si>
  <si>
    <t>9463/25</t>
  </si>
  <si>
    <t>OK</t>
  </si>
  <si>
    <t>9900/26</t>
  </si>
  <si>
    <t>Procyclean 520</t>
  </si>
  <si>
    <t>Cor
(Bege)</t>
  </si>
  <si>
    <t>pH suspensão 5g/L 
(9,0 - 10,3)</t>
  </si>
  <si>
    <t>8135/24</t>
  </si>
  <si>
    <t>Bege</t>
  </si>
  <si>
    <t>8526/24</t>
  </si>
  <si>
    <t>Verificar se coagulou</t>
  </si>
  <si>
    <t>9065/25</t>
  </si>
  <si>
    <t>9247/25</t>
  </si>
  <si>
    <t>9521/25</t>
  </si>
  <si>
    <t>9707/26</t>
  </si>
  <si>
    <t>po</t>
  </si>
  <si>
    <t>9883/26</t>
  </si>
  <si>
    <t>PROCYCLEAN 600</t>
  </si>
  <si>
    <t>pH (suspensão 5g/L) 
(4,5 - 6,0)</t>
  </si>
  <si>
    <t>Dispersão em água (minutos)
(5 - 10</t>
  </si>
  <si>
    <t>PADRÃO</t>
  </si>
  <si>
    <t>Aspecto
()</t>
  </si>
  <si>
    <t>Cor
()</t>
  </si>
  <si>
    <t>Densidade a 20ºC (g/cm³)
()</t>
  </si>
  <si>
    <t>Ph Puro
()</t>
  </si>
  <si>
    <t>pH % 
()</t>
  </si>
  <si>
    <t>Cloreto (%)
()</t>
  </si>
  <si>
    <t>Al2O3 (%)
()</t>
  </si>
  <si>
    <t>Basicidade
()</t>
  </si>
  <si>
    <t>Refratômetro 
()</t>
  </si>
  <si>
    <t>Colunas1</t>
  </si>
  <si>
    <t>Colunas2</t>
  </si>
  <si>
    <t>Colunas3</t>
  </si>
  <si>
    <t>Colunas4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</si>
</sst>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g&quot;"/>
    <numFmt numFmtId="165" formatCode="0.0%"/>
  </numFmts>
  <fonts count="2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65"/>
      <color theme="1"/>
      <name val="Arial"/>
      <family val="2"/>
    </font>
    <font>
      <sz val="10"/>
      <color theme="1"/>
      <name val="Arial"/>
      <family val="2"/>
    </font>
    <font>
      <sz val="72"/>
      <color theme="1"/>
      <name val="Aptos Display"/>
      <family val="2"/>
    </font>
    <font>
      <b/>
      <sz val="16"/>
      <color rgb="FFFFFFFF"/>
      <name val="Segoe UI"/>
    </font>
    <font>
      <sz val="9"/>
      <color rgb="FFB8C4D6"/>
      <name val="Segoe UI"/>
    </font>
    <font>
      <b/>
      <sz val="22"/>
      <color rgb="FFFFFFFF"/>
      <name val="Segoe UI"/>
    </font>
    <font>
      <b/>
      <sz val="9"/>
      <color rgb="FFB8C4D6"/>
      <name val="Segoe UI"/>
    </font>
    <font>
      <b/>
      <sz val="10"/>
      <color rgb="FFDDE6F3"/>
      <name val="Segoe UI"/>
    </font>
    <font>
      <b/>
      <sz val="22"/>
      <color rgb="FF111827"/>
      <name val="Segoe UI"/>
    </font>
    <font>
      <sz val="10"/>
      <color rgb="FF667085"/>
      <name val="Segoe UI"/>
    </font>
    <font>
      <b/>
      <sz val="9"/>
      <color rgb="FF667085"/>
      <name val="Segoe UI"/>
    </font>
    <font>
      <sz val="9"/>
      <color rgb="FF667085"/>
      <name val="Segoe UI"/>
    </font>
    <font>
      <b/>
      <sz val="11"/>
      <color rgb="FF111827"/>
      <name val="Segoe UI"/>
    </font>
    <font>
      <b/>
      <sz val="19"/>
      <color rgb="FF2563EB"/>
      <name val="Segoe UI"/>
    </font>
    <font>
      <b/>
      <sz val="19"/>
      <color rgb="FF0F766E"/>
      <name val="Segoe UI"/>
    </font>
    <font>
      <b/>
      <sz val="19"/>
      <color rgb="FF16A34A"/>
      <name val="Segoe UI"/>
    </font>
    <font>
      <b/>
      <sz val="19"/>
      <color rgb="FFD97706"/>
      <name val="Segoe UI"/>
    </font>
    <font>
      <b/>
      <sz val="19"/>
      <color rgb="FF7C3AED"/>
      <name val="Segoe UI"/>
    </font>
    <font>
      <b/>
      <sz val="11"/>
      <color rgb="FFFFFFFF"/>
      <name val="Segoe UI"/>
    </font>
    <font>
      <b/>
      <sz val="9"/>
      <color rgb="FFFFFFFF"/>
      <name val="Segoe UI"/>
    </font>
    <font>
      <sz val="9"/>
      <color rgb="FF111827"/>
      <name val="Segoe UI"/>
    </font>
    <font>
      <b/>
      <sz val="11"/>
      <name val="Segoe UI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F6FA"/>
      </patternFill>
    </fill>
    <fill>
      <patternFill patternType="solid">
        <fgColor rgb="FF17212B"/>
      </patternFill>
    </fill>
    <fill>
      <patternFill patternType="solid">
        <fgColor rgb="FF213043"/>
      </patternFill>
    </fill>
    <fill>
      <patternFill patternType="solid">
        <fgColor rgb="FFFFFFFF"/>
      </patternFill>
    </fill>
    <fill>
      <patternFill patternType="solid">
        <fgColor rgb="FFFFF4D6"/>
      </patternFill>
    </fill>
    <fill>
      <patternFill patternType="solid">
        <fgColor rgb="FF2563EB"/>
      </patternFill>
    </fill>
    <fill>
      <patternFill patternType="solid">
        <fgColor rgb="FF0F766E"/>
      </patternFill>
    </fill>
    <fill>
      <patternFill patternType="solid">
        <fgColor rgb="FF16A34A"/>
      </patternFill>
    </fill>
    <fill>
      <patternFill patternType="solid">
        <fgColor rgb="FFD97706"/>
      </patternFill>
    </fill>
    <fill>
      <patternFill patternType="solid">
        <fgColor rgb="FF7C3AED"/>
      </patternFill>
    </fill>
    <fill>
      <patternFill patternType="solid">
        <fgColor rgb="FFF8FAFC"/>
      </patternFill>
    </fill>
    <fill>
      <patternFill patternType="solid">
        <fgColor rgb="FFBE123C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/>
      <diagonal/>
    </border>
    <border>
      <left style="thin">
        <color rgb="FF213043"/>
      </left>
      <right style="thin">
        <color rgb="FF213043"/>
      </right>
      <top style="thin">
        <color rgb="FF213043"/>
      </top>
      <bottom style="thin">
        <color rgb="FF213043"/>
      </bottom>
      <diagonal/>
    </border>
    <border>
      <left style="thin">
        <color rgb="FFD7DEE8"/>
      </left>
      <right style="thin">
        <color rgb="FFD7DEE8"/>
      </right>
      <top style="thin">
        <color rgb="FFD7DEE8"/>
      </top>
      <bottom style="thin">
        <color rgb="FFD7DEE8"/>
      </bottom>
      <diagonal/>
    </border>
    <border>
      <left style="thin">
        <color rgb="FFD7DEE8"/>
      </left>
      <right/>
      <top/>
      <bottom/>
      <diagonal/>
    </border>
    <border>
      <left/>
      <right/>
      <top/>
      <bottom/>
      <diagonal/>
    </border>
    <border>
      <left/>
      <right style="thin">
        <color rgb="FFD7DEE8"/>
      </right>
      <top/>
      <bottom/>
      <diagonal/>
    </border>
    <border>
      <left style="thin">
        <color rgb="FFD7DEE8"/>
      </left>
      <right/>
      <top/>
      <bottom style="thin">
        <color rgb="FFD7DEE8"/>
      </bottom>
      <diagonal/>
    </border>
    <border>
      <left/>
      <right/>
      <top/>
      <bottom style="thin">
        <color rgb="FFD7DEE8"/>
      </bottom>
      <diagonal/>
    </border>
    <border>
      <left/>
      <right style="thin">
        <color rgb="FFD7DEE8"/>
      </right>
      <top/>
      <bottom style="thin">
        <color rgb="FFD7DEE8"/>
      </bottom>
      <diagonal/>
    </border>
    <border>
      <left style="thin">
        <color rgb="FF2563EB"/>
      </left>
      <right style="thin">
        <color rgb="FF2563EB"/>
      </right>
      <top style="thin">
        <color rgb="FF2563EB"/>
      </top>
      <bottom style="thin">
        <color rgb="FF2563EB"/>
      </bottom>
      <diagonal/>
    </border>
    <border>
      <left/>
      <right style="thin">
        <color rgb="FFD7DEE8"/>
      </right>
      <top/>
      <bottom/>
      <diagonal/>
    </border>
    <border>
      <left style="thin">
        <color rgb="FFD7DEE8"/>
      </left>
      <right/>
      <top/>
      <bottom/>
      <diagonal/>
    </border>
    <border>
      <left style="thin">
        <color rgb="FFD7DEE8"/>
      </left>
      <right/>
      <top/>
      <bottom style="thin">
        <color rgb="FFD7DEE8"/>
      </bottom>
      <diagonal/>
    </border>
    <border>
      <left/>
      <right/>
      <top/>
      <bottom style="thin">
        <color rgb="FFD7DEE8"/>
      </bottom>
      <diagonal/>
    </border>
    <border>
      <left/>
      <right style="thin">
        <color rgb="FFD7DEE8"/>
      </right>
      <top/>
      <bottom style="thin">
        <color rgb="FFD7DEE8"/>
      </bottom>
      <diagonal/>
    </border>
    <border>
      <left style="thin">
        <color rgb="FF0F766E"/>
      </left>
      <right style="thin">
        <color rgb="FF0F766E"/>
      </right>
      <top style="thin">
        <color rgb="FF0F766E"/>
      </top>
      <bottom style="thin">
        <color rgb="FF0F766E"/>
      </bottom>
      <diagonal/>
    </border>
    <border>
      <left style="thin">
        <color rgb="FF16A34A"/>
      </left>
      <right style="thin">
        <color rgb="FF16A34A"/>
      </right>
      <top style="thin">
        <color rgb="FF16A34A"/>
      </top>
      <bottom style="thin">
        <color rgb="FF16A34A"/>
      </bottom>
      <diagonal/>
    </border>
    <border>
      <left style="thin">
        <color rgb="FFD97706"/>
      </left>
      <right style="thin">
        <color rgb="FFD97706"/>
      </right>
      <top style="thin">
        <color rgb="FFD97706"/>
      </top>
      <bottom style="thin">
        <color rgb="FFD97706"/>
      </bottom>
      <diagonal/>
    </border>
    <border>
      <left style="thin">
        <color rgb="FF7C3AED"/>
      </left>
      <right style="thin">
        <color rgb="FF7C3AED"/>
      </right>
      <top style="thin">
        <color rgb="FF7C3AED"/>
      </top>
      <bottom style="thin">
        <color rgb="FF7C3AED"/>
      </bottom>
      <diagonal/>
    </border>
    <border>
      <left/>
      <right/>
      <top style="thin">
        <color rgb="FFD7DEE8"/>
      </top>
      <bottom/>
      <diagonal/>
    </border>
    <border>
      <left/>
      <right style="thin">
        <color rgb="FFD7DEE8"/>
      </right>
      <top style="thin">
        <color rgb="FFD7DEE8"/>
      </top>
      <bottom/>
      <diagonal/>
    </border>
    <border>
      <left style="thin">
        <color rgb="FFE7EDF4"/>
      </left>
      <right style="thin">
        <color rgb="FFE7EDF4"/>
      </right>
      <top style="thin">
        <color rgb="FFE7EDF4"/>
      </top>
      <bottom style="thin">
        <color rgb="FFE7EDF4"/>
      </bottom>
      <diagonal/>
    </border>
    <border>
      <left style="thin">
        <color rgb="FFBE123C"/>
      </left>
      <right style="thin">
        <color rgb="FFBE123C"/>
      </right>
      <top style="thin">
        <color rgb="FFBE123C"/>
      </top>
      <bottom style="thin">
        <color rgb="FFBE123C"/>
      </bottom>
      <diagonal/>
    </border>
    <border>
      <left/>
      <right/>
      <top/>
      <bottom/>
      <diagonal/>
    </border>
    <border>
      <left/>
      <right/>
      <top style="thin">
        <color rgb="FF213043"/>
      </top>
      <bottom/>
      <diagonal/>
    </border>
    <border>
      <left/>
      <right style="thin">
        <color rgb="FF213043"/>
      </right>
      <top style="thin">
        <color rgb="FF213043"/>
      </top>
      <bottom/>
      <diagonal/>
    </border>
    <border>
      <left style="thin">
        <color rgb="FF213043"/>
      </left>
      <right/>
      <top/>
      <bottom style="thin">
        <color rgb="FF213043"/>
      </bottom>
      <diagonal/>
    </border>
    <border>
      <left/>
      <right style="thin">
        <color rgb="FF213043"/>
      </right>
      <top/>
      <bottom style="thin">
        <color rgb="FF213043"/>
      </bottom>
      <diagonal/>
    </border>
    <border>
      <left/>
      <right/>
      <top/>
      <bottom style="thin">
        <color rgb="FF213043"/>
      </bottom>
      <diagonal/>
    </border>
    <border>
      <left/>
      <right style="thin">
        <color rgb="FFD7DEE8"/>
      </right>
      <top style="thin">
        <color rgb="FFD7DEE8"/>
      </top>
      <bottom style="thin">
        <color rgb="FFD7DEE8"/>
      </bottom>
      <diagonal/>
    </border>
    <border>
      <left/>
      <right/>
      <top style="thin">
        <color rgb="FFD7DEE8"/>
      </top>
      <bottom style="thin">
        <color rgb="FFD7DEE8"/>
      </bottom>
      <diagonal/>
    </border>
    <border>
      <left/>
      <right style="thin">
        <color rgb="FF213043"/>
      </right>
      <top style="thin">
        <color rgb="FF213043"/>
      </top>
      <bottom style="thin">
        <color rgb="FF213043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2" borderId="0" xfId="0" applyFill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16" fontId="3" fillId="2" borderId="1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5" borderId="6" xfId="0" applyFill="1" applyBorder="1" applyAlignment="1">
      <alignment vertical="center"/>
    </xf>
    <xf numFmtId="0" fontId="0" fillId="4" borderId="6" xfId="0" applyFill="1" applyBorder="1" applyAlignment="1">
      <alignment vertical="center"/>
    </xf>
    <xf numFmtId="0" fontId="23" fillId="0" borderId="0" xfId="0" applyFont="1"/>
    <xf numFmtId="0" fontId="12" fillId="7" borderId="8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0" fillId="9" borderId="15" xfId="0" applyFill="1" applyBorder="1" applyAlignment="1">
      <alignment vertical="center"/>
    </xf>
    <xf numFmtId="0" fontId="0" fillId="10" borderId="21" xfId="0" applyFill="1" applyBorder="1" applyAlignment="1">
      <alignment vertical="center"/>
    </xf>
    <xf numFmtId="0" fontId="0" fillId="11" borderId="22" xfId="0" applyFill="1" applyBorder="1" applyAlignment="1">
      <alignment vertical="center"/>
    </xf>
    <xf numFmtId="0" fontId="0" fillId="12" borderId="23" xfId="0" applyFill="1" applyBorder="1" applyAlignment="1">
      <alignment vertical="center"/>
    </xf>
    <xf numFmtId="0" fontId="0" fillId="13" borderId="24" xfId="0" applyFill="1" applyBorder="1" applyAlignment="1">
      <alignment vertical="center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21" fillId="9" borderId="15" xfId="0" applyFont="1" applyFill="1" applyBorder="1" applyAlignment="1">
      <alignment horizontal="center" vertical="center" wrapText="1"/>
    </xf>
    <xf numFmtId="0" fontId="22" fillId="14" borderId="27" xfId="0" applyFont="1" applyFill="1" applyBorder="1" applyAlignment="1">
      <alignment horizontal="center" vertical="center"/>
    </xf>
    <xf numFmtId="0" fontId="22" fillId="14" borderId="27" xfId="0" applyFont="1" applyFill="1" applyBorder="1" applyAlignment="1">
      <alignment vertical="center" wrapText="1"/>
    </xf>
    <xf numFmtId="164" fontId="22" fillId="14" borderId="27" xfId="0" applyNumberFormat="1" applyFont="1" applyFill="1" applyBorder="1" applyAlignment="1">
      <alignment horizontal="right" vertical="center"/>
    </xf>
    <xf numFmtId="165" fontId="22" fillId="14" borderId="27" xfId="0" applyNumberFormat="1" applyFont="1" applyFill="1" applyBorder="1" applyAlignment="1">
      <alignment horizontal="right" vertical="center"/>
    </xf>
    <xf numFmtId="0" fontId="22" fillId="7" borderId="27" xfId="0" applyFont="1" applyFill="1" applyBorder="1" applyAlignment="1">
      <alignment horizontal="center" vertical="center"/>
    </xf>
    <xf numFmtId="0" fontId="22" fillId="7" borderId="27" xfId="0" applyFont="1" applyFill="1" applyBorder="1" applyAlignment="1">
      <alignment vertical="center" wrapText="1"/>
    </xf>
    <xf numFmtId="164" fontId="22" fillId="7" borderId="27" xfId="0" applyNumberFormat="1" applyFont="1" applyFill="1" applyBorder="1" applyAlignment="1">
      <alignment horizontal="right" vertical="center"/>
    </xf>
    <xf numFmtId="165" fontId="22" fillId="7" borderId="27" xfId="0" applyNumberFormat="1" applyFont="1" applyFill="1" applyBorder="1" applyAlignment="1">
      <alignment horizontal="right" vertical="center"/>
    </xf>
    <xf numFmtId="0" fontId="0" fillId="7" borderId="12" xfId="0" applyFill="1" applyBorder="1" applyAlignment="1">
      <alignment vertical="center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0" fontId="21" fillId="10" borderId="21" xfId="0" applyFont="1" applyFill="1" applyBorder="1" applyAlignment="1">
      <alignment horizontal="center" vertical="center" wrapText="1"/>
    </xf>
    <xf numFmtId="165" fontId="22" fillId="7" borderId="27" xfId="0" applyNumberFormat="1" applyFont="1" applyFill="1" applyBorder="1" applyAlignment="1">
      <alignment vertical="center" wrapText="1"/>
    </xf>
    <xf numFmtId="165" fontId="22" fillId="14" borderId="27" xfId="0" applyNumberFormat="1" applyFont="1" applyFill="1" applyBorder="1" applyAlignment="1">
      <alignment vertical="center" wrapText="1"/>
    </xf>
    <xf numFmtId="0" fontId="21" fillId="11" borderId="22" xfId="0" applyFont="1" applyFill="1" applyBorder="1" applyAlignment="1">
      <alignment horizontal="center" vertical="center" wrapText="1"/>
    </xf>
    <xf numFmtId="0" fontId="21" fillId="15" borderId="28" xfId="0" applyFont="1" applyFill="1" applyBorder="1" applyAlignment="1">
      <alignment horizontal="center" vertical="center" wrapText="1"/>
    </xf>
    <xf numFmtId="0" fontId="21" fillId="11" borderId="27" xfId="0" applyFont="1" applyFill="1" applyBorder="1" applyAlignment="1">
      <alignment horizontal="left" vertical="center" indent="1"/>
    </xf>
    <xf numFmtId="0" fontId="22" fillId="7" borderId="27" xfId="0" applyFont="1" applyFill="1" applyBorder="1" applyAlignment="1">
      <alignment horizontal="right" vertical="center"/>
    </xf>
    <xf numFmtId="14" fontId="22" fillId="7" borderId="27" xfId="0" applyNumberFormat="1" applyFont="1" applyFill="1" applyBorder="1" applyAlignment="1">
      <alignment horizontal="center" vertical="center"/>
    </xf>
    <xf numFmtId="1" fontId="22" fillId="7" borderId="27" xfId="0" applyNumberFormat="1" applyFont="1" applyFill="1" applyBorder="1" applyAlignment="1">
      <alignment horizontal="right" vertical="center"/>
    </xf>
    <xf numFmtId="0" fontId="21" fillId="12" borderId="27" xfId="0" applyFont="1" applyFill="1" applyBorder="1" applyAlignment="1">
      <alignment horizontal="left" vertical="center" indent="1"/>
    </xf>
    <xf numFmtId="0" fontId="22" fillId="14" borderId="27" xfId="0" applyFont="1" applyFill="1" applyBorder="1" applyAlignment="1">
      <alignment horizontal="right" vertical="center"/>
    </xf>
    <xf numFmtId="14" fontId="22" fillId="14" borderId="27" xfId="0" applyNumberFormat="1" applyFont="1" applyFill="1" applyBorder="1" applyAlignment="1">
      <alignment horizontal="center" vertical="center"/>
    </xf>
    <xf numFmtId="1" fontId="22" fillId="14" borderId="27" xfId="0" applyNumberFormat="1" applyFont="1" applyFill="1" applyBorder="1" applyAlignment="1">
      <alignment horizontal="right" vertical="center"/>
    </xf>
    <xf numFmtId="0" fontId="21" fillId="15" borderId="27" xfId="0" applyFont="1" applyFill="1" applyBorder="1" applyAlignment="1">
      <alignment horizontal="left" vertical="center" indent="1"/>
    </xf>
    <xf numFmtId="0" fontId="0" fillId="7" borderId="10" xfId="0" applyFill="1" applyBorder="1" applyAlignment="1">
      <alignment horizontal="right" vertical="center"/>
    </xf>
    <xf numFmtId="0" fontId="21" fillId="13" borderId="24" xfId="0" applyFont="1" applyFill="1" applyBorder="1" applyAlignment="1">
      <alignment horizontal="center" vertical="center" wrapText="1"/>
    </xf>
    <xf numFmtId="164" fontId="22" fillId="7" borderId="27" xfId="0" applyNumberFormat="1" applyFont="1" applyFill="1" applyBorder="1" applyAlignment="1">
      <alignment vertical="center" wrapText="1"/>
    </xf>
    <xf numFmtId="164" fontId="22" fillId="14" borderId="27" xfId="0" applyNumberFormat="1" applyFont="1" applyFill="1" applyBorder="1" applyAlignment="1">
      <alignment vertical="center" wrapText="1"/>
    </xf>
    <xf numFmtId="0" fontId="9" fillId="5" borderId="29" xfId="0" applyFont="1" applyFill="1" applyBorder="1" applyAlignment="1">
      <alignment horizontal="left" vertical="center" indent="1"/>
    </xf>
    <xf numFmtId="0" fontId="0" fillId="0" borderId="0" xfId="0"/>
    <xf numFmtId="0" fontId="6" fillId="5" borderId="29" xfId="0" applyFont="1" applyFill="1" applyBorder="1" applyAlignment="1">
      <alignment horizontal="left" vertical="center"/>
    </xf>
    <xf numFmtId="1" fontId="7" fillId="6" borderId="7" xfId="0" applyNumberFormat="1" applyFont="1" applyFill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20" fillId="6" borderId="7" xfId="0" applyFont="1" applyFill="1" applyBorder="1" applyAlignment="1">
      <alignment horizontal="left" vertical="center" indent="1"/>
    </xf>
    <xf numFmtId="0" fontId="0" fillId="0" borderId="30" xfId="0" applyBorder="1"/>
    <xf numFmtId="0" fontId="0" fillId="0" borderId="34" xfId="0" applyBorder="1"/>
    <xf numFmtId="1" fontId="19" fillId="7" borderId="8" xfId="0" applyNumberFormat="1" applyFont="1" applyFill="1" applyBorder="1" applyAlignment="1">
      <alignment horizontal="left" vertical="center" indent="1"/>
    </xf>
    <xf numFmtId="0" fontId="0" fillId="0" borderId="25" xfId="0" applyBorder="1"/>
    <xf numFmtId="0" fontId="0" fillId="0" borderId="26" xfId="0" applyBorder="1"/>
    <xf numFmtId="0" fontId="0" fillId="0" borderId="17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2" fillId="7" borderId="8" xfId="0" applyFont="1" applyFill="1" applyBorder="1" applyAlignment="1">
      <alignment horizontal="left" vertical="center" indent="1"/>
    </xf>
    <xf numFmtId="0" fontId="0" fillId="0" borderId="36" xfId="0" applyBorder="1"/>
    <xf numFmtId="0" fontId="0" fillId="0" borderId="35" xfId="0" applyBorder="1"/>
    <xf numFmtId="0" fontId="5" fillId="5" borderId="29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center" vertical="center"/>
    </xf>
    <xf numFmtId="1" fontId="15" fillId="7" borderId="8" xfId="0" applyNumberFormat="1" applyFont="1" applyFill="1" applyBorder="1" applyAlignment="1">
      <alignment horizontal="left" vertical="center" indent="1"/>
    </xf>
    <xf numFmtId="0" fontId="10" fillId="4" borderId="29" xfId="0" applyFont="1" applyFill="1" applyBorder="1" applyAlignment="1">
      <alignment horizontal="left" vertical="center"/>
    </xf>
    <xf numFmtId="165" fontId="18" fillId="7" borderId="8" xfId="0" applyNumberFormat="1" applyFont="1" applyFill="1" applyBorder="1" applyAlignment="1">
      <alignment horizontal="left" vertical="center" indent="1"/>
    </xf>
    <xf numFmtId="0" fontId="8" fillId="6" borderId="7" xfId="0" applyFont="1" applyFill="1" applyBorder="1" applyAlignment="1">
      <alignment horizontal="center" vertical="center"/>
    </xf>
    <xf numFmtId="0" fontId="0" fillId="0" borderId="37" xfId="0" applyBorder="1"/>
    <xf numFmtId="0" fontId="13" fillId="7" borderId="8" xfId="0" applyFont="1" applyFill="1" applyBorder="1" applyAlignment="1">
      <alignment horizontal="center" vertical="center"/>
    </xf>
    <xf numFmtId="0" fontId="11" fillId="4" borderId="29" xfId="0" applyFont="1" applyFill="1" applyBorder="1" applyAlignment="1">
      <alignment horizontal="left" vertical="center"/>
    </xf>
    <xf numFmtId="164" fontId="16" fillId="7" borderId="8" xfId="0" applyNumberFormat="1" applyFont="1" applyFill="1" applyBorder="1" applyAlignment="1">
      <alignment horizontal="left" vertical="center" indent="1"/>
    </xf>
    <xf numFmtId="1" fontId="17" fillId="7" borderId="8" xfId="0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121"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E4E8"/>
        </patternFill>
      </fill>
    </dxf>
    <dxf>
      <fill>
        <patternFill patternType="solid">
          <fgColor rgb="FFFFF4D6"/>
        </patternFill>
      </fill>
    </dxf>
    <dxf>
      <fill>
        <patternFill patternType="solid">
          <fgColor rgb="FFE8F8EF"/>
        </patternFill>
      </fill>
    </dxf>
    <dxf>
      <fill>
        <patternFill patternType="solid">
          <fgColor rgb="FFE8F8EF"/>
        </patternFill>
      </fill>
    </dxf>
    <dxf>
      <fill>
        <patternFill patternType="solid">
          <fgColor rgb="FFFFE4E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Quantidade (kg)</c:v>
          </c:tx>
          <c:spPr>
            <a:solidFill>
              <a:srgbClr val="2563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16D-499F-885E-FD28F76FC9B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16D-499F-885E-FD28F76FC9B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6D-499F-885E-FD28F76FC9B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16D-499F-885E-FD28F76FC9B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16D-499F-885E-FD28F76FC9B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16D-499F-885E-FD28F76FC9B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16D-499F-885E-FD28F76FC9B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16D-499F-885E-FD28F76FC9BB}"/>
                </c:ext>
              </c:extLst>
            </c:dLbl>
            <c:numFmt formatCode="#,##0\ &quot;kg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Dashboard2!$Q$16:$Q$25</c:f>
              <c:strCache>
                <c:ptCount val="2"/>
                <c:pt idx="0">
                  <c:v>220</c:v>
                </c:pt>
                <c:pt idx="1">
                  <c:v>520</c:v>
                </c:pt>
              </c:strCache>
            </c:strRef>
          </c:cat>
          <c:val>
            <c:numRef>
              <c:f>Dashboard2!$R$16:$R$25</c:f>
              <c:numCache>
                <c:formatCode>#,##0\ "kg"</c:formatCode>
                <c:ptCount val="10"/>
                <c:pt idx="0">
                  <c:v>625</c:v>
                </c:pt>
                <c:pt idx="1">
                  <c:v>400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D-499F-885E-FD28F76FC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5557183"/>
        <c:axId val="605561023"/>
      </c:barChart>
      <c:catAx>
        <c:axId val="60555718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33415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605561023"/>
        <c:crosses val="autoZero"/>
        <c:auto val="1"/>
        <c:lblAlgn val="ctr"/>
        <c:lblOffset val="100"/>
        <c:noMultiLvlLbl val="0"/>
      </c:catAx>
      <c:valAx>
        <c:axId val="605561023"/>
        <c:scaling>
          <c:orientation val="minMax"/>
        </c:scaling>
        <c:delete val="0"/>
        <c:axPos val="b"/>
        <c:majorGridlines>
          <c:spPr>
            <a:ln>
              <a:solidFill>
                <a:srgbClr val="E7EDF4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6708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605557183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Quantidade (kg)</c:v>
          </c:tx>
          <c:spPr>
            <a:solidFill>
              <a:srgbClr val="0F766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11-4E64-AD16-31725CFBC57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11-4E64-AD16-31725CFBC57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11-4E64-AD16-31725CFBC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11-4E64-AD16-31725CFBC57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11-4E64-AD16-31725CFBC57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11-4E64-AD16-31725CFBC57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11-4E64-AD16-31725CFBC57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11-4E64-AD16-31725CFBC57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311-4E64-AD16-31725CFBC57B}"/>
                </c:ext>
              </c:extLst>
            </c:dLbl>
            <c:numFmt formatCode="#,##0\ &quot;kg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Dashboard2!$P$33:$P$44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Dashboard2!$R$33:$R$44</c:f>
              <c:numCache>
                <c:formatCode>#,##0\ "kg"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125</c:v>
                </c:pt>
                <c:pt idx="3">
                  <c:v>0</c:v>
                </c:pt>
                <c:pt idx="4">
                  <c:v>100</c:v>
                </c:pt>
                <c:pt idx="5">
                  <c:v>0</c:v>
                </c:pt>
                <c:pt idx="6">
                  <c:v>150</c:v>
                </c:pt>
                <c:pt idx="7">
                  <c:v>25</c:v>
                </c:pt>
                <c:pt idx="8">
                  <c:v>300</c:v>
                </c:pt>
                <c:pt idx="9">
                  <c:v>200</c:v>
                </c:pt>
                <c:pt idx="10">
                  <c:v>125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1-4E64-AD16-31725CFBC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5557183"/>
        <c:axId val="605561023"/>
      </c:barChart>
      <c:catAx>
        <c:axId val="605557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33415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605561023"/>
        <c:crosses val="autoZero"/>
        <c:auto val="1"/>
        <c:lblAlgn val="ctr"/>
        <c:lblOffset val="100"/>
        <c:noMultiLvlLbl val="0"/>
      </c:catAx>
      <c:valAx>
        <c:axId val="605561023"/>
        <c:scaling>
          <c:orientation val="minMax"/>
        </c:scaling>
        <c:delete val="0"/>
        <c:axPos val="l"/>
        <c:majorGridlines>
          <c:spPr>
            <a:ln>
              <a:solidFill>
                <a:srgbClr val="E7EDF4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6708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605557183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v>Recebimentos</c:v>
          </c:tx>
          <c:dPt>
            <c:idx val="0"/>
            <c:bubble3D val="0"/>
            <c:spPr>
              <a:solidFill>
                <a:srgbClr val="16A34A"/>
              </a:solidFill>
            </c:spPr>
            <c:extLst>
              <c:ext xmlns:c16="http://schemas.microsoft.com/office/drawing/2014/chart" uri="{C3380CC4-5D6E-409C-BE32-E72D297353CC}">
                <c16:uniqueId val="{00000001-9B70-4DCE-87AF-B43983EFF931}"/>
              </c:ext>
            </c:extLst>
          </c:dPt>
          <c:dPt>
            <c:idx val="1"/>
            <c:bubble3D val="0"/>
            <c:spPr>
              <a:solidFill>
                <a:srgbClr val="D97706"/>
              </a:solidFill>
            </c:spPr>
            <c:extLst>
              <c:ext xmlns:c16="http://schemas.microsoft.com/office/drawing/2014/chart" uri="{C3380CC4-5D6E-409C-BE32-E72D297353CC}">
                <c16:uniqueId val="{00000002-9B70-4DCE-87AF-B43983EFF931}"/>
              </c:ext>
            </c:extLst>
          </c:dPt>
          <c:dPt>
            <c:idx val="2"/>
            <c:bubble3D val="0"/>
            <c:spPr>
              <a:solidFill>
                <a:srgbClr val="BE123C"/>
              </a:solidFill>
            </c:spPr>
            <c:extLst>
              <c:ext xmlns:c16="http://schemas.microsoft.com/office/drawing/2014/chart" uri="{C3380CC4-5D6E-409C-BE32-E72D297353CC}">
                <c16:uniqueId val="{00000003-9B70-4DCE-87AF-B43983EFF93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70-4DCE-87AF-B43983EFF93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70-4DCE-87AF-B43983EFF9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Dashboard2!$M$51:$M$53</c:f>
              <c:strCache>
                <c:ptCount val="3"/>
                <c:pt idx="0">
                  <c:v>Aprovado</c:v>
                </c:pt>
                <c:pt idx="1">
                  <c:v>Em andamento</c:v>
                </c:pt>
                <c:pt idx="2">
                  <c:v>Reprovado</c:v>
                </c:pt>
              </c:strCache>
            </c:strRef>
          </c:cat>
          <c:val>
            <c:numRef>
              <c:f>Dashboard2!$N$51:$N$53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0-4DCE-87AF-B43983EF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Procyclean 130'!A1"/><Relationship Id="rId2" Type="http://schemas.openxmlformats.org/officeDocument/2006/relationships/hyperlink" Target="#'Procyclean MG'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101599</xdr:colOff>
      <xdr:row>13</xdr:row>
      <xdr:rowOff>101600</xdr:rowOff>
    </xdr:from>
    <xdr:to>
      <xdr:col>13</xdr:col>
      <xdr:colOff>721359</xdr:colOff>
      <xdr:row>25</xdr:row>
      <xdr:rowOff>172720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45C517A-766E-D8FB-4441-4D08B03FF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4</xdr:col>
      <xdr:colOff>104289</xdr:colOff>
      <xdr:row>30</xdr:row>
      <xdr:rowOff>18228</xdr:rowOff>
    </xdr:from>
    <xdr:to>
      <xdr:col>13</xdr:col>
      <xdr:colOff>714188</xdr:colOff>
      <xdr:row>42</xdr:row>
      <xdr:rowOff>46318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361F77B-6364-A722-6E76-C695FA3C6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4</xdr:col>
      <xdr:colOff>500230</xdr:colOff>
      <xdr:row>48</xdr:row>
      <xdr:rowOff>169433</xdr:rowOff>
    </xdr:from>
    <xdr:to>
      <xdr:col>10</xdr:col>
      <xdr:colOff>251908</xdr:colOff>
      <xdr:row>61</xdr:row>
      <xdr:rowOff>92337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31B63C5-8FFF-220D-EBCD-6EBD4C165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581025</xdr:colOff>
      <xdr:row>25</xdr:row>
      <xdr:rowOff>187284</xdr:rowOff>
    </xdr:to>
    <xdr:sp macro="" textlink="">
      <xdr:nvSpPr>
        <xdr:cNvPr id="2" name="Forma Livre: Forma 1">
          <a:extLst>
            <a:ext uri="{FF2B5EF4-FFF2-40B4-BE49-F238E27FC236}">
              <a16:creationId xmlns:a16="http://schemas.microsoft.com/office/drawing/2014/main" id="{C19B80B8-603B-4E47-B099-6316A0DD6974}"/>
            </a:ext>
          </a:extLst>
        </xdr:cNvPr>
        <xdr:cNvSpPr/>
      </xdr:nvSpPr>
      <xdr:spPr>
        <a:xfrm>
          <a:off x="0" y="0"/>
          <a:ext cx="11553825" cy="4949784"/>
        </a:xfrm>
        <a:custGeom>
          <a:avLst/>
          <a:gdLst>
            <a:gd name="connsiteX0" fmla="*/ 11553825 w 11553825"/>
            <a:gd name="connsiteY0" fmla="*/ 0 h 4219583"/>
            <a:gd name="connsiteX1" fmla="*/ 4229100 w 11553825"/>
            <a:gd name="connsiteY1" fmla="*/ 4219575 h 4219583"/>
            <a:gd name="connsiteX2" fmla="*/ 0 w 11553825"/>
            <a:gd name="connsiteY2" fmla="*/ 38100 h 4219583"/>
            <a:gd name="connsiteX0" fmla="*/ 11553825 w 11553825"/>
            <a:gd name="connsiteY0" fmla="*/ 0 h 4361150"/>
            <a:gd name="connsiteX1" fmla="*/ 10572750 w 11553825"/>
            <a:gd name="connsiteY1" fmla="*/ 3067050 h 4361150"/>
            <a:gd name="connsiteX2" fmla="*/ 4229100 w 11553825"/>
            <a:gd name="connsiteY2" fmla="*/ 4219575 h 4361150"/>
            <a:gd name="connsiteX3" fmla="*/ 0 w 11553825"/>
            <a:gd name="connsiteY3" fmla="*/ 38100 h 4361150"/>
            <a:gd name="connsiteX0" fmla="*/ 11553825 w 11553825"/>
            <a:gd name="connsiteY0" fmla="*/ 0 h 4094197"/>
            <a:gd name="connsiteX1" fmla="*/ 10572750 w 11553825"/>
            <a:gd name="connsiteY1" fmla="*/ 3067050 h 4094197"/>
            <a:gd name="connsiteX2" fmla="*/ 2971800 w 11553825"/>
            <a:gd name="connsiteY2" fmla="*/ 3914775 h 4094197"/>
            <a:gd name="connsiteX3" fmla="*/ 0 w 11553825"/>
            <a:gd name="connsiteY3" fmla="*/ 38100 h 4094197"/>
            <a:gd name="connsiteX0" fmla="*/ 11553825 w 11553825"/>
            <a:gd name="connsiteY0" fmla="*/ 0 h 4206834"/>
            <a:gd name="connsiteX1" fmla="*/ 10734675 w 11553825"/>
            <a:gd name="connsiteY1" fmla="*/ 3457575 h 4206834"/>
            <a:gd name="connsiteX2" fmla="*/ 2971800 w 11553825"/>
            <a:gd name="connsiteY2" fmla="*/ 3914775 h 4206834"/>
            <a:gd name="connsiteX3" fmla="*/ 0 w 11553825"/>
            <a:gd name="connsiteY3" fmla="*/ 38100 h 42068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553825" h="4206834">
              <a:moveTo>
                <a:pt x="11553825" y="0"/>
              </a:moveTo>
              <a:cubicBezTo>
                <a:pt x="10980738" y="425450"/>
                <a:pt x="11955462" y="2754313"/>
                <a:pt x="10734675" y="3457575"/>
              </a:cubicBezTo>
              <a:cubicBezTo>
                <a:pt x="9513888" y="4160837"/>
                <a:pt x="4760913" y="4484688"/>
                <a:pt x="2971800" y="3914775"/>
              </a:cubicBezTo>
              <a:cubicBezTo>
                <a:pt x="1182687" y="3344862"/>
                <a:pt x="712787" y="741362"/>
                <a:pt x="0" y="38100"/>
              </a:cubicBezTo>
            </a:path>
          </a:pathLst>
        </a:cu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3</xdr:col>
      <xdr:colOff>466725</xdr:colOff>
      <xdr:row>12</xdr:row>
      <xdr:rowOff>133350</xdr:rowOff>
    </xdr:from>
    <xdr:to>
      <xdr:col>6</xdr:col>
      <xdr:colOff>47625</xdr:colOff>
      <xdr:row>14</xdr:row>
      <xdr:rowOff>104775</xdr:rowOff>
    </xdr:to>
    <xdr:sp macro="[0]!MacroMODELO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A72F6D-7347-41CF-9618-D6EEBB67F719}"/>
            </a:ext>
          </a:extLst>
        </xdr:cNvPr>
        <xdr:cNvSpPr/>
      </xdr:nvSpPr>
      <xdr:spPr>
        <a:xfrm>
          <a:off x="2295525" y="2419350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MODELO</a:t>
          </a:r>
        </a:p>
      </xdr:txBody>
    </xdr:sp>
    <xdr:clientData/>
  </xdr:twoCellAnchor>
  <xdr:twoCellAnchor>
    <xdr:from>
      <xdr:col>0</xdr:col>
      <xdr:colOff>314325</xdr:colOff>
      <xdr:row>6</xdr:row>
      <xdr:rowOff>57150</xdr:rowOff>
    </xdr:from>
    <xdr:to>
      <xdr:col>2</xdr:col>
      <xdr:colOff>504825</xdr:colOff>
      <xdr:row>8</xdr:row>
      <xdr:rowOff>28575</xdr:rowOff>
    </xdr:to>
    <xdr:sp macro="[0]!Macro220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87BDC0-1BA7-43E6-B223-ABDA4046B036}"/>
            </a:ext>
          </a:extLst>
        </xdr:cNvPr>
        <xdr:cNvSpPr/>
      </xdr:nvSpPr>
      <xdr:spPr>
        <a:xfrm>
          <a:off x="314325" y="1200150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 220</a:t>
          </a:r>
        </a:p>
      </xdr:txBody>
    </xdr:sp>
    <xdr:clientData/>
  </xdr:twoCellAnchor>
  <xdr:twoCellAnchor>
    <xdr:from>
      <xdr:col>0</xdr:col>
      <xdr:colOff>323850</xdr:colOff>
      <xdr:row>9</xdr:row>
      <xdr:rowOff>95250</xdr:rowOff>
    </xdr:from>
    <xdr:to>
      <xdr:col>2</xdr:col>
      <xdr:colOff>514350</xdr:colOff>
      <xdr:row>11</xdr:row>
      <xdr:rowOff>66675</xdr:rowOff>
    </xdr:to>
    <xdr:sp macro="[0]!Macro520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CFB5DC6-B2D5-4D5D-B9EE-7A3B7E890642}"/>
            </a:ext>
          </a:extLst>
        </xdr:cNvPr>
        <xdr:cNvSpPr/>
      </xdr:nvSpPr>
      <xdr:spPr>
        <a:xfrm>
          <a:off x="323850" y="1809750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 520</a:t>
          </a:r>
        </a:p>
      </xdr:txBody>
    </xdr:sp>
    <xdr:clientData/>
  </xdr:twoCellAnchor>
  <xdr:twoCellAnchor>
    <xdr:from>
      <xdr:col>0</xdr:col>
      <xdr:colOff>304800</xdr:colOff>
      <xdr:row>12</xdr:row>
      <xdr:rowOff>161925</xdr:rowOff>
    </xdr:from>
    <xdr:to>
      <xdr:col>2</xdr:col>
      <xdr:colOff>495300</xdr:colOff>
      <xdr:row>14</xdr:row>
      <xdr:rowOff>133350</xdr:rowOff>
    </xdr:to>
    <xdr:sp macro="[0]!MacroB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3D87098-4CED-4FA7-9723-8F8A0F48D4D6}"/>
            </a:ext>
          </a:extLst>
        </xdr:cNvPr>
        <xdr:cNvSpPr/>
      </xdr:nvSpPr>
      <xdr:spPr>
        <a:xfrm>
          <a:off x="304800" y="244792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 BIO</a:t>
          </a:r>
        </a:p>
      </xdr:txBody>
    </xdr:sp>
    <xdr:clientData/>
  </xdr:twoCellAnchor>
  <xdr:twoCellAnchor>
    <xdr:from>
      <xdr:col>0</xdr:col>
      <xdr:colOff>333375</xdr:colOff>
      <xdr:row>16</xdr:row>
      <xdr:rowOff>66675</xdr:rowOff>
    </xdr:from>
    <xdr:to>
      <xdr:col>2</xdr:col>
      <xdr:colOff>523875</xdr:colOff>
      <xdr:row>18</xdr:row>
      <xdr:rowOff>38100</xdr:rowOff>
    </xdr:to>
    <xdr:sp macro="[0]!Macro210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FEB7D14-CFD4-4500-AE9D-9D1E25555E64}"/>
            </a:ext>
          </a:extLst>
        </xdr:cNvPr>
        <xdr:cNvSpPr/>
      </xdr:nvSpPr>
      <xdr:spPr>
        <a:xfrm>
          <a:off x="333375" y="311467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</a:t>
          </a:r>
          <a:r>
            <a:rPr lang="pt-BR" sz="1200" b="1" baseline="0">
              <a:solidFill>
                <a:sysClr val="windowText" lastClr="000000"/>
              </a:solidFill>
            </a:rPr>
            <a:t> 210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447675</xdr:colOff>
      <xdr:row>6</xdr:row>
      <xdr:rowOff>28575</xdr:rowOff>
    </xdr:from>
    <xdr:to>
      <xdr:col>6</xdr:col>
      <xdr:colOff>28575</xdr:colOff>
      <xdr:row>8</xdr:row>
      <xdr:rowOff>0</xdr:rowOff>
    </xdr:to>
    <xdr:sp macro="[0]!Macro600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D203418E-3CD2-4170-AD8E-82E57832281F}"/>
            </a:ext>
          </a:extLst>
        </xdr:cNvPr>
        <xdr:cNvSpPr/>
      </xdr:nvSpPr>
      <xdr:spPr>
        <a:xfrm>
          <a:off x="2276475" y="117157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</a:t>
          </a:r>
          <a:r>
            <a:rPr lang="pt-BR" sz="1100" b="1">
              <a:solidFill>
                <a:sysClr val="windowText" lastClr="000000"/>
              </a:solidFill>
            </a:rPr>
            <a:t> 600</a:t>
          </a:r>
        </a:p>
      </xdr:txBody>
    </xdr:sp>
    <xdr:clientData/>
  </xdr:twoCellAnchor>
  <xdr:twoCellAnchor editAs="oneCell">
    <xdr:from>
      <xdr:col>0</xdr:col>
      <xdr:colOff>342900</xdr:colOff>
      <xdr:row>0</xdr:row>
      <xdr:rowOff>76200</xdr:rowOff>
    </xdr:from>
    <xdr:to>
      <xdr:col>8</xdr:col>
      <xdr:colOff>447675</xdr:colOff>
      <xdr:row>5</xdr:row>
      <xdr:rowOff>38100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4CCEE4DB-0595-E420-4DDF-948088FD1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76200"/>
          <a:ext cx="4981575" cy="914400"/>
        </a:xfrm>
        <a:prstGeom prst="rect">
          <a:avLst/>
        </a:prstGeom>
      </xdr:spPr>
    </xdr:pic>
    <xdr:clientData/>
  </xdr:twoCellAnchor>
  <xdr:twoCellAnchor>
    <xdr:from>
      <xdr:col>3</xdr:col>
      <xdr:colOff>476250</xdr:colOff>
      <xdr:row>9</xdr:row>
      <xdr:rowOff>66675</xdr:rowOff>
    </xdr:from>
    <xdr:to>
      <xdr:col>6</xdr:col>
      <xdr:colOff>57150</xdr:colOff>
      <xdr:row>11</xdr:row>
      <xdr:rowOff>38100</xdr:rowOff>
    </xdr:to>
    <xdr:sp macro="[0]!Macro600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ACA79A-A18F-4551-898E-58AE3525F84E}"/>
            </a:ext>
          </a:extLst>
        </xdr:cNvPr>
        <xdr:cNvSpPr/>
      </xdr:nvSpPr>
      <xdr:spPr>
        <a:xfrm>
          <a:off x="2305050" y="178117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</a:t>
          </a:r>
          <a:r>
            <a:rPr lang="pt-BR" sz="1100" b="1">
              <a:solidFill>
                <a:sysClr val="windowText" lastClr="000000"/>
              </a:solidFill>
            </a:rPr>
            <a:t> MG</a:t>
          </a:r>
        </a:p>
      </xdr:txBody>
    </xdr:sp>
    <xdr:clientData/>
  </xdr:twoCellAnchor>
  <xdr:twoCellAnchor>
    <xdr:from>
      <xdr:col>3</xdr:col>
      <xdr:colOff>504825</xdr:colOff>
      <xdr:row>16</xdr:row>
      <xdr:rowOff>9525</xdr:rowOff>
    </xdr:from>
    <xdr:to>
      <xdr:col>6</xdr:col>
      <xdr:colOff>85725</xdr:colOff>
      <xdr:row>17</xdr:row>
      <xdr:rowOff>171450</xdr:rowOff>
    </xdr:to>
    <xdr:sp macro="[0]!Macro600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2E495F-FCB2-4E9E-AB09-5435A50BF0AB}"/>
            </a:ext>
          </a:extLst>
        </xdr:cNvPr>
        <xdr:cNvSpPr/>
      </xdr:nvSpPr>
      <xdr:spPr>
        <a:xfrm>
          <a:off x="2333625" y="305752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</a:t>
          </a:r>
          <a:r>
            <a:rPr lang="pt-BR" sz="1100" b="1">
              <a:solidFill>
                <a:sysClr val="windowText" lastClr="000000"/>
              </a:solidFill>
            </a:rPr>
            <a:t> 130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0</xdr:row>
      <xdr:rowOff>228600</xdr:rowOff>
    </xdr:from>
    <xdr:to>
      <xdr:col>2</xdr:col>
      <xdr:colOff>390525</xdr:colOff>
      <xdr:row>0</xdr:row>
      <xdr:rowOff>895350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6127A3BA-70F7-43ED-914B-AC031B37BEDD}"/>
            </a:ext>
          </a:extLst>
        </xdr:cNvPr>
        <xdr:cNvSpPr/>
      </xdr:nvSpPr>
      <xdr:spPr>
        <a:xfrm>
          <a:off x="1133475" y="419100"/>
          <a:ext cx="800100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152400</xdr:rowOff>
    </xdr:from>
    <xdr:to>
      <xdr:col>1</xdr:col>
      <xdr:colOff>504825</xdr:colOff>
      <xdr:row>0</xdr:row>
      <xdr:rowOff>819150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46CE4699-C13E-4C8C-838A-59E975CFFF5D}"/>
            </a:ext>
          </a:extLst>
        </xdr:cNvPr>
        <xdr:cNvSpPr/>
      </xdr:nvSpPr>
      <xdr:spPr>
        <a:xfrm>
          <a:off x="638175" y="342900"/>
          <a:ext cx="800100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0</xdr:row>
      <xdr:rowOff>200025</xdr:rowOff>
    </xdr:from>
    <xdr:to>
      <xdr:col>2</xdr:col>
      <xdr:colOff>361950</xdr:colOff>
      <xdr:row>0</xdr:row>
      <xdr:rowOff>866775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880584FF-F5DD-4732-AD47-0D2125D71499}"/>
            </a:ext>
          </a:extLst>
        </xdr:cNvPr>
        <xdr:cNvSpPr/>
      </xdr:nvSpPr>
      <xdr:spPr>
        <a:xfrm>
          <a:off x="1104900" y="390525"/>
          <a:ext cx="800100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866775</xdr:colOff>
      <xdr:row>1</xdr:row>
      <xdr:rowOff>180975</xdr:rowOff>
    </xdr:from>
    <xdr:to>
      <xdr:col>3</xdr:col>
      <xdr:colOff>123825</xdr:colOff>
      <xdr:row>1</xdr:row>
      <xdr:rowOff>847725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30C27DC5-27B4-4860-B17B-1D873DF00D8E}"/>
            </a:ext>
          </a:extLst>
        </xdr:cNvPr>
        <xdr:cNvSpPr/>
      </xdr:nvSpPr>
      <xdr:spPr>
        <a:xfrm>
          <a:off x="1123950" y="371475"/>
          <a:ext cx="885825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666750</xdr:colOff>
      <xdr:row>1</xdr:row>
      <xdr:rowOff>219075</xdr:rowOff>
    </xdr:from>
    <xdr:to>
      <xdr:col>2</xdr:col>
      <xdr:colOff>533400</xdr:colOff>
      <xdr:row>1</xdr:row>
      <xdr:rowOff>885825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A6B7C14F-A939-445B-AA01-9B7CBF7CF835}"/>
            </a:ext>
          </a:extLst>
        </xdr:cNvPr>
        <xdr:cNvSpPr/>
      </xdr:nvSpPr>
      <xdr:spPr>
        <a:xfrm>
          <a:off x="895350" y="333375"/>
          <a:ext cx="885825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866775</xdr:colOff>
      <xdr:row>1</xdr:row>
      <xdr:rowOff>180975</xdr:rowOff>
    </xdr:from>
    <xdr:to>
      <xdr:col>3</xdr:col>
      <xdr:colOff>123825</xdr:colOff>
      <xdr:row>1</xdr:row>
      <xdr:rowOff>847725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C44B73F1-F757-4B61-AC3D-271F1E2DA7CA}"/>
            </a:ext>
          </a:extLst>
        </xdr:cNvPr>
        <xdr:cNvSpPr/>
      </xdr:nvSpPr>
      <xdr:spPr>
        <a:xfrm>
          <a:off x="1123950" y="371475"/>
          <a:ext cx="885825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142875</xdr:rowOff>
    </xdr:from>
    <xdr:to>
      <xdr:col>3</xdr:col>
      <xdr:colOff>95250</xdr:colOff>
      <xdr:row>1</xdr:row>
      <xdr:rowOff>809625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CB5520E7-CBA4-4AE2-85B0-6DF07B6CCBD9}"/>
            </a:ext>
          </a:extLst>
        </xdr:cNvPr>
        <xdr:cNvSpPr/>
      </xdr:nvSpPr>
      <xdr:spPr>
        <a:xfrm>
          <a:off x="1152525" y="333375"/>
          <a:ext cx="485775" cy="666750"/>
        </a:xfrm>
        <a:prstGeom prst="curvedLef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866775</xdr:colOff>
      <xdr:row>1</xdr:row>
      <xdr:rowOff>180975</xdr:rowOff>
    </xdr:from>
    <xdr:to>
      <xdr:col>3</xdr:col>
      <xdr:colOff>123825</xdr:colOff>
      <xdr:row>1</xdr:row>
      <xdr:rowOff>847725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E3C73DB4-6879-4407-A2C8-E7C0E3D1C5C4}"/>
            </a:ext>
          </a:extLst>
        </xdr:cNvPr>
        <xdr:cNvSpPr/>
      </xdr:nvSpPr>
      <xdr:spPr>
        <a:xfrm>
          <a:off x="1123950" y="371475"/>
          <a:ext cx="885825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363" displayName="Tabela1363" ref="A2:K7" totalsRowShown="0" headerRowDxfId="112" dataDxfId="111">
  <autoFilter ref="A2:K7" xr:uid="{00000000-0009-0000-0100-000001000000}"/>
  <tableColumns count="11">
    <tableColumn id="1" xr3:uid="{00000000-0010-0000-0000-000001000000}" name="Data" dataDxfId="110"/>
    <tableColumn id="2" xr3:uid="{00000000-0010-0000-0000-000002000000}" name="Lote" dataDxfId="109"/>
    <tableColumn id="3" xr3:uid="{00000000-0010-0000-0000-000003000000}" name="Quantidade (Kg)" dataDxfId="108"/>
    <tableColumn id="4" xr3:uid="{00000000-0010-0000-0000-000004000000}" name="Validade _x000a_" dataDxfId="107"/>
    <tableColumn id="5" xr3:uid="{00000000-0010-0000-0000-000005000000}" name="Aspecto_x000a_(Pó)" dataDxfId="106"/>
    <tableColumn id="6" xr3:uid="{00000000-0010-0000-0000-000006000000}" name="Cor_x000a_(Cinza)" dataDxfId="105"/>
    <tableColumn id="7" xr3:uid="{00000000-0010-0000-0000-000007000000}" name="pH solução 3g/L_x000a_(12,0 - 13,5)" dataDxfId="104"/>
    <tableColumn id="20" xr3:uid="{00000000-0010-0000-0000-000014000000}" name="Dispersão em água (minutos)_x000a_(15 - 20)" dataDxfId="103"/>
    <tableColumn id="15" xr3:uid="{00000000-0010-0000-0000-00000F000000}" name="Observação" dataDxfId="102"/>
    <tableColumn id="9" xr3:uid="{00000000-0010-0000-0000-000009000000}" name="Status" dataDxfId="101"/>
    <tableColumn id="16" xr3:uid="{00000000-0010-0000-0000-000010000000}" name="Responsável" dataDxfId="10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368" displayName="Tabela1368" ref="A2:J4" totalsRowShown="0" headerRowDxfId="98" dataDxfId="97">
  <autoFilter ref="A2:J4" xr:uid="{00000000-0009-0000-0100-000002000000}"/>
  <tableColumns count="10">
    <tableColumn id="1" xr3:uid="{00000000-0010-0000-0100-000001000000}" name="Data" dataDxfId="96"/>
    <tableColumn id="2" xr3:uid="{00000000-0010-0000-0100-000002000000}" name="Lote" dataDxfId="95"/>
    <tableColumn id="3" xr3:uid="{00000000-0010-0000-0100-000003000000}" name="Quantidade (Kg)" dataDxfId="94"/>
    <tableColumn id="4" xr3:uid="{00000000-0010-0000-0100-000004000000}" name="Validade _x000a_" dataDxfId="93"/>
    <tableColumn id="5" xr3:uid="{00000000-0010-0000-0100-000005000000}" name="Aspecto_x000a_(Pó)" dataDxfId="92"/>
    <tableColumn id="6" xr3:uid="{00000000-0010-0000-0100-000006000000}" name="Cor_x000a_(Branco - Creme)" dataDxfId="91"/>
    <tableColumn id="8" xr3:uid="{00000000-0010-0000-0100-000008000000}" name="pH suspensão 1g/L _x000a_(8 - 11)" dataDxfId="90"/>
    <tableColumn id="15" xr3:uid="{00000000-0010-0000-0100-00000F000000}" name="Observação" dataDxfId="89"/>
    <tableColumn id="7" xr3:uid="{00000000-0010-0000-0100-000007000000}" name="Status" dataDxfId="88"/>
    <tableColumn id="16" xr3:uid="{00000000-0010-0000-0100-000010000000}" name="Responsável" dataDxfId="8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369" displayName="Tabela1369" ref="A2:K4" totalsRowShown="0" headerRowDxfId="85" dataDxfId="84">
  <autoFilter ref="A2:K4" xr:uid="{00000000-0009-0000-0100-000003000000}"/>
  <tableColumns count="11">
    <tableColumn id="1" xr3:uid="{00000000-0010-0000-0200-000001000000}" name="Data" dataDxfId="83"/>
    <tableColumn id="2" xr3:uid="{00000000-0010-0000-0200-000002000000}" name="Lote" dataDxfId="82"/>
    <tableColumn id="3" xr3:uid="{00000000-0010-0000-0200-000003000000}" name="Quantidade (Kg)" dataDxfId="81"/>
    <tableColumn id="4" xr3:uid="{00000000-0010-0000-0200-000004000000}" name="Validade _x000a_" dataDxfId="80"/>
    <tableColumn id="5" xr3:uid="{00000000-0010-0000-0200-000005000000}" name="Aspecto_x000a_(Pó)" dataDxfId="79"/>
    <tableColumn id="6" xr3:uid="{00000000-0010-0000-0200-000006000000}" name="Cor_x000a_(Cinza)" dataDxfId="78"/>
    <tableColumn id="9" xr3:uid="{00000000-0010-0000-0200-000009000000}" name="pH suspensão 5g/L_x000a_(6,0 - 7,5)" dataDxfId="77"/>
    <tableColumn id="10" xr3:uid="{00000000-0010-0000-0200-00000A000000}" name="Dispersão em água _x000a_(5 - 10)" dataDxfId="76"/>
    <tableColumn id="15" xr3:uid="{00000000-0010-0000-0200-00000F000000}" name="Observação" dataDxfId="75"/>
    <tableColumn id="7" xr3:uid="{00000000-0010-0000-0200-000007000000}" name="Status" dataDxfId="74"/>
    <tableColumn id="16" xr3:uid="{00000000-0010-0000-0200-000010000000}" name="Responsável" dataDxfId="7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1365" displayName="Tabela1365" ref="B3:L5" totalsRowShown="0" headerRowDxfId="72" dataDxfId="71">
  <autoFilter ref="B3:L5" xr:uid="{00000000-0009-0000-0100-000004000000}"/>
  <tableColumns count="11">
    <tableColumn id="17" xr3:uid="{00000000-0010-0000-0300-000011000000}" name="Aprovação" dataDxfId="70"/>
    <tableColumn id="1" xr3:uid="{00000000-0010-0000-0300-000001000000}" name="Data" dataDxfId="69"/>
    <tableColumn id="2" xr3:uid="{00000000-0010-0000-0300-000002000000}" name="Lote" dataDxfId="68"/>
    <tableColumn id="3" xr3:uid="{00000000-0010-0000-0300-000003000000}" name="Quantidade (Kg)" dataDxfId="67"/>
    <tableColumn id="4" xr3:uid="{00000000-0010-0000-0300-000004000000}" name="Validade _x000a_" dataDxfId="66"/>
    <tableColumn id="5" xr3:uid="{00000000-0010-0000-0300-000005000000}" name="Aspecto_x000a_(Pó)" dataDxfId="65"/>
    <tableColumn id="6" xr3:uid="{00000000-0010-0000-0300-000006000000}" name="Cor_x000a_(Cinza)" dataDxfId="64"/>
    <tableColumn id="8" xr3:uid="{00000000-0010-0000-0300-000008000000}" name="pH 5g/L _x000a_(6,0 - 9,0)" dataDxfId="63"/>
    <tableColumn id="9" xr3:uid="{00000000-0010-0000-0300-000009000000}" name="Dispersão em água (minutos)_x000a_(15 - 20)" dataDxfId="62"/>
    <tableColumn id="15" xr3:uid="{00000000-0010-0000-0300-00000F000000}" name="Observação" dataDxfId="61"/>
    <tableColumn id="16" xr3:uid="{00000000-0010-0000-0300-000010000000}" name="Responsável" dataDxfId="6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34" displayName="Tabela134" ref="B3:L13" totalsRowShown="0" headerRowDxfId="59" dataDxfId="58">
  <autoFilter ref="B3:L13" xr:uid="{00000000-0009-0000-0100-000005000000}"/>
  <tableColumns count="11">
    <tableColumn id="17" xr3:uid="{00000000-0010-0000-0400-000011000000}" name="Aprovação" dataDxfId="57"/>
    <tableColumn id="1" xr3:uid="{00000000-0010-0000-0400-000001000000}" name="Data" dataDxfId="56"/>
    <tableColumn id="2" xr3:uid="{00000000-0010-0000-0400-000002000000}" name="Lote" dataDxfId="55"/>
    <tableColumn id="3" xr3:uid="{00000000-0010-0000-0400-000003000000}" name="Quantidade (Kg)" dataDxfId="54"/>
    <tableColumn id="4" xr3:uid="{00000000-0010-0000-0400-000004000000}" name="Validade _x000a_" dataDxfId="53"/>
    <tableColumn id="5" xr3:uid="{00000000-0010-0000-0400-000005000000}" name="Aspecto_x000a_(Pó)" dataDxfId="52"/>
    <tableColumn id="6" xr3:uid="{00000000-0010-0000-0400-000006000000}" name="Cor_x000a_(Cinza)" dataDxfId="51"/>
    <tableColumn id="7" xr3:uid="{00000000-0010-0000-0400-000007000000}" name="pH (suspensão 5g/L)_x000a_(6,0 - 8,5)" dataDxfId="50"/>
    <tableColumn id="8" xr3:uid="{00000000-0010-0000-0400-000008000000}" name="Dispersão em água (minutos)_x000a_(15 - 20)" dataDxfId="49"/>
    <tableColumn id="15" xr3:uid="{00000000-0010-0000-0400-00000F000000}" name="Observação" dataDxfId="48"/>
    <tableColumn id="16" xr3:uid="{00000000-0010-0000-0400-000010000000}" name="Responsável" dataDxfId="4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1362" displayName="Tabela1362" ref="B3:K10" totalsRowShown="0" headerRowDxfId="46" dataDxfId="45">
  <autoFilter ref="B3:K10" xr:uid="{00000000-0009-0000-0100-000006000000}"/>
  <tableColumns count="10">
    <tableColumn id="17" xr3:uid="{00000000-0010-0000-0500-000011000000}" name="Aprovação" dataDxfId="44"/>
    <tableColumn id="1" xr3:uid="{00000000-0010-0000-0500-000001000000}" name="Data" dataDxfId="43"/>
    <tableColumn id="2" xr3:uid="{00000000-0010-0000-0500-000002000000}" name="Lote" dataDxfId="42"/>
    <tableColumn id="3" xr3:uid="{00000000-0010-0000-0500-000003000000}" name="Quantidade (Kg)" dataDxfId="41"/>
    <tableColumn id="4" xr3:uid="{00000000-0010-0000-0500-000004000000}" name="Validade _x000a_" dataDxfId="40"/>
    <tableColumn id="5" xr3:uid="{00000000-0010-0000-0500-000005000000}" name="Aspecto_x000a_(Pó)" dataDxfId="39"/>
    <tableColumn id="6" xr3:uid="{00000000-0010-0000-0500-000006000000}" name="Cor_x000a_(Bege)" dataDxfId="38"/>
    <tableColumn id="8" xr3:uid="{00000000-0010-0000-0500-000008000000}" name="pH suspensão 5g/L _x000a_(9,0 - 10,3)" dataDxfId="37"/>
    <tableColumn id="15" xr3:uid="{00000000-0010-0000-0500-00000F000000}" name="Observação" dataDxfId="36"/>
    <tableColumn id="16" xr3:uid="{00000000-0010-0000-0500-000010000000}" name="Responsável" dataDxfId="35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1367" displayName="Tabela1367" ref="B3:L5" totalsRowShown="0" headerRowDxfId="34" dataDxfId="33">
  <autoFilter ref="B3:L5" xr:uid="{00000000-0009-0000-0100-000007000000}"/>
  <tableColumns count="11">
    <tableColumn id="1" xr3:uid="{00000000-0010-0000-0600-000001000000}" name="Data" dataDxfId="32"/>
    <tableColumn id="2" xr3:uid="{00000000-0010-0000-0600-000002000000}" name="Lote" dataDxfId="31"/>
    <tableColumn id="3" xr3:uid="{00000000-0010-0000-0600-000003000000}" name="Quantidade (Kg)" dataDxfId="30"/>
    <tableColumn id="4" xr3:uid="{00000000-0010-0000-0600-000004000000}" name="Validade _x000a_" dataDxfId="29"/>
    <tableColumn id="5" xr3:uid="{00000000-0010-0000-0600-000005000000}" name="Aspecto_x000a_(Pó)" dataDxfId="28"/>
    <tableColumn id="6" xr3:uid="{00000000-0010-0000-0600-000006000000}" name="Cor_x000a_(Cinza)" dataDxfId="27"/>
    <tableColumn id="8" xr3:uid="{00000000-0010-0000-0600-000008000000}" name="pH (suspensão 5g/L) _x000a_(4,5 - 6,0)" dataDxfId="26"/>
    <tableColumn id="9" xr3:uid="{00000000-0010-0000-0600-000009000000}" name="Dispersão em água (minutos)_x000a_(5 - 10" dataDxfId="25"/>
    <tableColumn id="15" xr3:uid="{00000000-0010-0000-0600-00000F000000}" name="Observação" dataDxfId="24"/>
    <tableColumn id="7" xr3:uid="{00000000-0010-0000-0600-000007000000}" name="Status" dataDxfId="23"/>
    <tableColumn id="16" xr3:uid="{00000000-0010-0000-0600-000010000000}" name="Responsável" dataDxfId="2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136" displayName="Tabela136" ref="B3:U5" totalsRowShown="0" headerRowDxfId="21" dataDxfId="20">
  <autoFilter ref="B3:U5" xr:uid="{00000000-0009-0000-0100-000008000000}"/>
  <tableColumns count="20">
    <tableColumn id="17" xr3:uid="{00000000-0010-0000-0700-000011000000}" name="Aprovação" dataDxfId="19"/>
    <tableColumn id="1" xr3:uid="{00000000-0010-0000-0700-000001000000}" name="Data" dataDxfId="18"/>
    <tableColumn id="2" xr3:uid="{00000000-0010-0000-0700-000002000000}" name="Lote" dataDxfId="17"/>
    <tableColumn id="3" xr3:uid="{00000000-0010-0000-0700-000003000000}" name="Quantidade (Kg)" dataDxfId="16"/>
    <tableColumn id="4" xr3:uid="{00000000-0010-0000-0700-000004000000}" name="Validade _x000a_" dataDxfId="15"/>
    <tableColumn id="5" xr3:uid="{00000000-0010-0000-0700-000005000000}" name="Aspecto_x000a_()" dataDxfId="14"/>
    <tableColumn id="6" xr3:uid="{00000000-0010-0000-0700-000006000000}" name="Cor_x000a_()" dataDxfId="13"/>
    <tableColumn id="7" xr3:uid="{00000000-0010-0000-0700-000007000000}" name="Densidade a 20ºC (g/cm³)_x000a_()" dataDxfId="12"/>
    <tableColumn id="20" xr3:uid="{00000000-0010-0000-0700-000014000000}" name="Ph Puro_x000a_()" dataDxfId="11"/>
    <tableColumn id="8" xr3:uid="{00000000-0010-0000-0700-000008000000}" name="pH % _x000a_()" dataDxfId="10"/>
    <tableColumn id="9" xr3:uid="{00000000-0010-0000-0700-000009000000}" name="Cloreto (%)_x000a_()" dataDxfId="9"/>
    <tableColumn id="10" xr3:uid="{00000000-0010-0000-0700-00000A000000}" name="Al2O3 (%)_x000a_()" dataDxfId="8"/>
    <tableColumn id="11" xr3:uid="{00000000-0010-0000-0700-00000B000000}" name="Basicidade_x000a_()" dataDxfId="7"/>
    <tableColumn id="12" xr3:uid="{00000000-0010-0000-0700-00000C000000}" name="Refratômetro _x000a_()" dataDxfId="6"/>
    <tableColumn id="19" xr3:uid="{00000000-0010-0000-0700-000013000000}" name="Colunas1" dataDxfId="5"/>
    <tableColumn id="18" xr3:uid="{00000000-0010-0000-0700-000012000000}" name="Colunas2" dataDxfId="4"/>
    <tableColumn id="13" xr3:uid="{00000000-0010-0000-0700-00000D000000}" name="Colunas3" dataDxfId="3"/>
    <tableColumn id="14" xr3:uid="{00000000-0010-0000-0700-00000E000000}" name="Colunas4" dataDxfId="2"/>
    <tableColumn id="15" xr3:uid="{00000000-0010-0000-0700-00000F000000}" name="Observação" dataDxfId="1"/>
    <tableColumn id="16" xr3:uid="{00000000-0010-0000-0700-000010000000}" name="Responsáve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3501"/>
  <sheetViews>
    <sheetView showGridLines="0" tabSelected="1" zoomScale="85" workbookViewId="0">
      <selection activeCell="J4" sqref="J4"/>
    </sheetView>
  </sheetViews>
  <sheetFormatPr defaultRowHeight="14.4" x14ac:dyDescent="0.3"/>
  <cols>
    <col min="1" max="1" width="2.44140625" customWidth="1"/>
    <col min="2" max="3" width="13" customWidth="1"/>
    <col min="4" max="4" width="2.44140625" customWidth="1"/>
    <col min="5" max="6" width="11" customWidth="1"/>
    <col min="7" max="14" width="12" customWidth="1"/>
    <col min="15" max="15" width="9" customWidth="1"/>
    <col min="16" max="16" width="7" customWidth="1"/>
    <col min="17" max="17" width="17" customWidth="1"/>
    <col min="18" max="18" width="15" customWidth="1"/>
    <col min="19" max="19" width="9" customWidth="1"/>
    <col min="20" max="20" width="10" customWidth="1"/>
    <col min="21" max="21" width="11" customWidth="1"/>
    <col min="22" max="22" width="10" customWidth="1"/>
    <col min="23" max="23" width="12" customWidth="1"/>
    <col min="24" max="41" width="13" hidden="1" customWidth="1"/>
  </cols>
  <sheetData>
    <row r="1" spans="1:40" ht="24" customHeight="1" x14ac:dyDescent="0.4">
      <c r="A1" s="16"/>
      <c r="B1" s="16"/>
      <c r="C1" s="16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AA1" s="18" t="s">
        <v>0</v>
      </c>
      <c r="AB1" s="18" t="s">
        <v>1</v>
      </c>
      <c r="AC1" s="18" t="s">
        <v>2</v>
      </c>
      <c r="AD1" s="18" t="s">
        <v>3</v>
      </c>
      <c r="AE1" s="18" t="s">
        <v>4</v>
      </c>
      <c r="AF1" s="18" t="s">
        <v>5</v>
      </c>
      <c r="AG1" s="18" t="s">
        <v>6</v>
      </c>
      <c r="AH1" s="18" t="s">
        <v>7</v>
      </c>
      <c r="AI1" s="18" t="s">
        <v>8</v>
      </c>
      <c r="AJ1" s="18" t="s">
        <v>9</v>
      </c>
      <c r="AK1" s="18" t="s">
        <v>10</v>
      </c>
      <c r="AL1" s="18" t="s">
        <v>11</v>
      </c>
      <c r="AM1" s="18" t="s">
        <v>12</v>
      </c>
    </row>
    <row r="2" spans="1:40" ht="30" customHeight="1" x14ac:dyDescent="0.3">
      <c r="A2" s="16"/>
      <c r="B2" s="80" t="s">
        <v>13</v>
      </c>
      <c r="C2" s="60"/>
      <c r="D2" s="17"/>
      <c r="E2" s="83" t="s">
        <v>14</v>
      </c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17"/>
      <c r="U2" s="81" t="s">
        <v>15</v>
      </c>
      <c r="V2" s="79"/>
      <c r="W2" s="19" t="s">
        <v>16</v>
      </c>
      <c r="AA2" t="str">
        <f>IF(COUNTA('Procyclean BIO'!A3,'Procyclean BIO'!B3,'Procyclean BIO'!C3)&gt;0,"BIO","")</f>
        <v/>
      </c>
      <c r="AB2" t="str">
        <f>IFERROR(IF(ISNUMBER('Procyclean BIO'!A3),'Procyclean BIO'!A3,DATEVALUE('Procyclean BIO'!A3)),"")</f>
        <v/>
      </c>
      <c r="AC2" t="str">
        <f>IF(AA2="","",'Procyclean BIO'!B3)</f>
        <v/>
      </c>
      <c r="AD2" t="str">
        <f>IF(AA2="","",IFERROR(1*'Procyclean BIO'!C3,IFERROR(_xludf.NUMBERVALUE('Procyclean BIO'!C3,".",","),IFERROR(_xludf.NUMBERVALUE('Procyclean BIO'!C3,",","."),0))))</f>
        <v/>
      </c>
      <c r="AE2" t="str">
        <f>IF(AA2="","",'Procyclean BIO'!J3)</f>
        <v/>
      </c>
      <c r="AF2">
        <f t="shared" ref="AF2:AF65" si="0">IF(AA2="",0,--AND(ISNUMBER(SEARCH("aprov",AE2)),NOT(ISNUMBER(SEARCH("reprov",AE2)))))</f>
        <v>0</v>
      </c>
      <c r="AG2" t="str">
        <f t="shared" ref="AG2:AG65" si="1">IF(AB2="","",YEAR(AB2))</f>
        <v/>
      </c>
      <c r="AH2" t="str">
        <f t="shared" ref="AH2:AH65" si="2">IF(AB2="","",MONTH(AB2))</f>
        <v/>
      </c>
      <c r="AI2">
        <f t="shared" ref="AI2:AI65" si="3">IF(AB2="",0,AB2+ROW()/1000000)</f>
        <v>0</v>
      </c>
      <c r="AJ2">
        <f t="shared" ref="AJ2:AJ65" si="4">--(AA2&lt;&gt;"")</f>
        <v>0</v>
      </c>
      <c r="AK2">
        <v>0</v>
      </c>
      <c r="AL2" t="str">
        <f>IF(AA2="","",IFERROR(IF(ISNUMBER('Procyclean BIO'!D3),'Procyclean BIO'!D3,IF(ISNUMBER(SEARCH("12",'Procyclean BIO'!D3)),EDATE(AB2,12),IF(ISNUMBER(SEARCH("6",'Procyclean BIO'!D3)),EDATE(AB2,6),IF(ISNUMBER(SEARCH("3",'Procyclean BIO'!D3)),EDATE(AB2,3),DATEVALUE('Procyclean BIO'!D3))))),""))</f>
        <v/>
      </c>
      <c r="AM2" t="str">
        <f t="shared" ref="AM2:AM65" ca="1" si="5">IF(AND(AJ2=1,AL2&lt;&gt;"",AL2&gt;=TODAY(),AG2=$W$3),AL2+ROW()/1000000,"")</f>
        <v/>
      </c>
      <c r="AN2">
        <v>2022</v>
      </c>
    </row>
    <row r="3" spans="1:40" ht="24" customHeight="1" x14ac:dyDescent="0.3">
      <c r="A3" s="16"/>
      <c r="B3" s="61" t="s">
        <v>17</v>
      </c>
      <c r="C3" s="60"/>
      <c r="D3" s="17"/>
      <c r="E3" s="88" t="str">
        <f ca="1">"Atualizado: "&amp;TEXT(NOW(),"dd/mm/aaaa hh:mm")&amp;"  |  Ano selecionado: "&amp;$W$3</f>
        <v>Atualizado: 29/05/2026 14:03  |  Ano selecionado: 2025</v>
      </c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17"/>
      <c r="U3" s="87" t="s">
        <v>18</v>
      </c>
      <c r="V3" s="79"/>
      <c r="W3" s="20">
        <v>2025</v>
      </c>
      <c r="AA3" t="str">
        <f>IF(COUNTA('Procyclean BIO'!A4,'Procyclean BIO'!B4,'Procyclean BIO'!C4)&gt;0,"BIO","")</f>
        <v/>
      </c>
      <c r="AB3" t="str">
        <f>IFERROR(IF(ISNUMBER('Procyclean BIO'!A4),'Procyclean BIO'!A4,DATEVALUE('Procyclean BIO'!A4)),"")</f>
        <v/>
      </c>
      <c r="AC3" t="str">
        <f>IF(AA3="","",'Procyclean BIO'!B4)</f>
        <v/>
      </c>
      <c r="AD3" t="str">
        <f>IF(AA3="","",IFERROR(1*'Procyclean BIO'!C4,IFERROR(_xludf.NUMBERVALUE('Procyclean BIO'!C4,".",","),IFERROR(_xludf.NUMBERVALUE('Procyclean BIO'!C4,",","."),0))))</f>
        <v/>
      </c>
      <c r="AE3" t="str">
        <f>IF(AA3="","",'Procyclean BIO'!J4)</f>
        <v/>
      </c>
      <c r="AF3">
        <f t="shared" si="0"/>
        <v>0</v>
      </c>
      <c r="AG3" t="str">
        <f t="shared" si="1"/>
        <v/>
      </c>
      <c r="AH3" t="str">
        <f t="shared" si="2"/>
        <v/>
      </c>
      <c r="AI3">
        <f t="shared" si="3"/>
        <v>0</v>
      </c>
      <c r="AJ3">
        <f t="shared" si="4"/>
        <v>0</v>
      </c>
      <c r="AK3">
        <v>0</v>
      </c>
      <c r="AL3" t="str">
        <f>IF(AA3="","",IFERROR(IF(ISNUMBER('Procyclean BIO'!D4),'Procyclean BIO'!D4,IF(ISNUMBER(SEARCH("12",'Procyclean BIO'!D4)),EDATE(AB3,12),IF(ISNUMBER(SEARCH("6",'Procyclean BIO'!D4)),EDATE(AB3,6),IF(ISNUMBER(SEARCH("3",'Procyclean BIO'!D4)),EDATE(AB3,3),DATEVALUE('Procyclean BIO'!D4))))),""))</f>
        <v/>
      </c>
      <c r="AM3" t="str">
        <f t="shared" ca="1" si="5"/>
        <v/>
      </c>
      <c r="AN3">
        <v>2023</v>
      </c>
    </row>
    <row r="4" spans="1:40" ht="22.05" customHeight="1" x14ac:dyDescent="0.3">
      <c r="A4" s="16"/>
      <c r="B4" s="16"/>
      <c r="C4" s="16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AA4" t="str">
        <f>IF(COUNTA('Procyclean BIO'!A5,'Procyclean BIO'!B5,'Procyclean BIO'!C5)&gt;0,"BIO","")</f>
        <v/>
      </c>
      <c r="AB4" t="str">
        <f>IFERROR(IF(ISNUMBER('Procyclean BIO'!A5),'Procyclean BIO'!A5,DATEVALUE('Procyclean BIO'!A5)),"")</f>
        <v/>
      </c>
      <c r="AC4" t="str">
        <f>IF(AA4="","",'Procyclean BIO'!B5)</f>
        <v/>
      </c>
      <c r="AD4" t="str">
        <f>IF(AA4="","",IFERROR(1*'Procyclean BIO'!C5,IFERROR(_xludf.NUMBERVALUE('Procyclean BIO'!C5,".",","),IFERROR(_xludf.NUMBERVALUE('Procyclean BIO'!C5,",","."),0))))</f>
        <v/>
      </c>
      <c r="AE4" t="str">
        <f>IF(AA4="","",'Procyclean BIO'!J5)</f>
        <v/>
      </c>
      <c r="AF4">
        <f t="shared" si="0"/>
        <v>0</v>
      </c>
      <c r="AG4" t="str">
        <f t="shared" si="1"/>
        <v/>
      </c>
      <c r="AH4" t="str">
        <f t="shared" si="2"/>
        <v/>
      </c>
      <c r="AI4">
        <f t="shared" si="3"/>
        <v>0</v>
      </c>
      <c r="AJ4">
        <f t="shared" si="4"/>
        <v>0</v>
      </c>
      <c r="AK4">
        <v>0</v>
      </c>
      <c r="AL4" t="str">
        <f>IF(AA4="","",IFERROR(IF(ISNUMBER('Procyclean BIO'!D5),'Procyclean BIO'!D5,IF(ISNUMBER(SEARCH("12",'Procyclean BIO'!D5)),EDATE(AB4,12),IF(ISNUMBER(SEARCH("6",'Procyclean BIO'!D5)),EDATE(AB4,6),IF(ISNUMBER(SEARCH("3",'Procyclean BIO'!D5)),EDATE(AB4,3),DATEVALUE('Procyclean BIO'!D5))))),""))</f>
        <v/>
      </c>
      <c r="AM4" t="str">
        <f t="shared" ca="1" si="5"/>
        <v/>
      </c>
      <c r="AN4">
        <v>2024</v>
      </c>
    </row>
    <row r="5" spans="1:40" ht="24" customHeight="1" x14ac:dyDescent="0.3">
      <c r="A5" s="16"/>
      <c r="B5" s="16"/>
      <c r="C5" s="16"/>
      <c r="D5" s="17"/>
      <c r="E5" s="21"/>
      <c r="F5" s="21"/>
      <c r="G5" s="21"/>
      <c r="H5" s="21"/>
      <c r="I5" s="22"/>
      <c r="J5" s="22"/>
      <c r="K5" s="22"/>
      <c r="L5" s="22"/>
      <c r="M5" s="23"/>
      <c r="N5" s="23"/>
      <c r="O5" s="23"/>
      <c r="P5" s="23"/>
      <c r="Q5" s="24"/>
      <c r="R5" s="24"/>
      <c r="S5" s="24"/>
      <c r="T5" s="24"/>
      <c r="U5" s="25"/>
      <c r="V5" s="25"/>
      <c r="W5" s="25"/>
      <c r="AA5" t="str">
        <f>IF(COUNTA('Procyclean BIO'!A6,'Procyclean BIO'!B6,'Procyclean BIO'!C6)&gt;0,"BIO","")</f>
        <v/>
      </c>
      <c r="AB5" t="str">
        <f>IFERROR(IF(ISNUMBER('Procyclean BIO'!A6),'Procyclean BIO'!A6,DATEVALUE('Procyclean BIO'!A6)),"")</f>
        <v/>
      </c>
      <c r="AC5" t="str">
        <f>IF(AA5="","",'Procyclean BIO'!B6)</f>
        <v/>
      </c>
      <c r="AD5" t="str">
        <f>IF(AA5="","",IFERROR(1*'Procyclean BIO'!C6,IFERROR(_xludf.NUMBERVALUE('Procyclean BIO'!C6,".",","),IFERROR(_xludf.NUMBERVALUE('Procyclean BIO'!C6,",","."),0))))</f>
        <v/>
      </c>
      <c r="AE5" t="str">
        <f>IF(AA5="","",'Procyclean BIO'!J6)</f>
        <v/>
      </c>
      <c r="AF5">
        <f t="shared" si="0"/>
        <v>0</v>
      </c>
      <c r="AG5" t="str">
        <f t="shared" si="1"/>
        <v/>
      </c>
      <c r="AH5" t="str">
        <f t="shared" si="2"/>
        <v/>
      </c>
      <c r="AI5">
        <f t="shared" si="3"/>
        <v>0</v>
      </c>
      <c r="AJ5">
        <f t="shared" si="4"/>
        <v>0</v>
      </c>
      <c r="AK5">
        <v>0</v>
      </c>
      <c r="AL5" t="str">
        <f>IF(AA5="","",IFERROR(IF(ISNUMBER('Procyclean BIO'!D6),'Procyclean BIO'!D6,IF(ISNUMBER(SEARCH("12",'Procyclean BIO'!D6)),EDATE(AB5,12),IF(ISNUMBER(SEARCH("6",'Procyclean BIO'!D6)),EDATE(AB5,6),IF(ISNUMBER(SEARCH("3",'Procyclean BIO'!D6)),EDATE(AB5,3),DATEVALUE('Procyclean BIO'!D6))))),""))</f>
        <v/>
      </c>
      <c r="AM5" t="str">
        <f t="shared" ca="1" si="5"/>
        <v/>
      </c>
      <c r="AN5">
        <v>2025</v>
      </c>
    </row>
    <row r="6" spans="1:40" ht="24" customHeight="1" x14ac:dyDescent="0.3">
      <c r="A6" s="16"/>
      <c r="B6" s="62">
        <f>COUNTA($E$67:$E$86)</f>
        <v>7</v>
      </c>
      <c r="C6" s="63"/>
      <c r="D6" s="17"/>
      <c r="E6" s="77" t="s">
        <v>19</v>
      </c>
      <c r="F6" s="78"/>
      <c r="G6" s="78"/>
      <c r="H6" s="79"/>
      <c r="I6" s="77" t="s">
        <v>20</v>
      </c>
      <c r="J6" s="78"/>
      <c r="K6" s="78"/>
      <c r="L6" s="79"/>
      <c r="M6" s="77" t="s">
        <v>21</v>
      </c>
      <c r="N6" s="78"/>
      <c r="O6" s="78"/>
      <c r="P6" s="79"/>
      <c r="Q6" s="77" t="s">
        <v>22</v>
      </c>
      <c r="R6" s="78"/>
      <c r="S6" s="78"/>
      <c r="T6" s="79"/>
      <c r="U6" s="77" t="s">
        <v>23</v>
      </c>
      <c r="V6" s="78"/>
      <c r="W6" s="79"/>
      <c r="AA6" t="str">
        <f>IF(COUNTA('Procyclean BIO'!A7,'Procyclean BIO'!B7,'Procyclean BIO'!C7)&gt;0,"BIO","")</f>
        <v/>
      </c>
      <c r="AB6" t="str">
        <f>IFERROR(IF(ISNUMBER('Procyclean BIO'!A7),'Procyclean BIO'!A7,DATEVALUE('Procyclean BIO'!A7)),"")</f>
        <v/>
      </c>
      <c r="AC6" t="str">
        <f>IF(AA6="","",'Procyclean BIO'!B7)</f>
        <v/>
      </c>
      <c r="AD6" t="str">
        <f>IF(AA6="","",IFERROR(1*'Procyclean BIO'!C7,IFERROR(_xludf.NUMBERVALUE('Procyclean BIO'!C7,".",","),IFERROR(_xludf.NUMBERVALUE('Procyclean BIO'!C7,",","."),0))))</f>
        <v/>
      </c>
      <c r="AE6" t="str">
        <f>IF(AA6="","",'Procyclean BIO'!J7)</f>
        <v/>
      </c>
      <c r="AF6">
        <f t="shared" si="0"/>
        <v>0</v>
      </c>
      <c r="AG6" t="str">
        <f t="shared" si="1"/>
        <v/>
      </c>
      <c r="AH6" t="str">
        <f t="shared" si="2"/>
        <v/>
      </c>
      <c r="AI6">
        <f t="shared" si="3"/>
        <v>0</v>
      </c>
      <c r="AJ6">
        <f t="shared" si="4"/>
        <v>0</v>
      </c>
      <c r="AK6">
        <v>0</v>
      </c>
      <c r="AL6" t="str">
        <f>IF(AA6="","",IFERROR(IF(ISNUMBER('Procyclean BIO'!D7),'Procyclean BIO'!D7,IF(ISNUMBER(SEARCH("12",'Procyclean BIO'!D7)),EDATE(AB6,12),IF(ISNUMBER(SEARCH("6",'Procyclean BIO'!D7)),EDATE(AB6,6),IF(ISNUMBER(SEARCH("3",'Procyclean BIO'!D7)),EDATE(AB6,3),DATEVALUE('Procyclean BIO'!D7))))),""))</f>
        <v/>
      </c>
      <c r="AM6" t="str">
        <f t="shared" ca="1" si="5"/>
        <v/>
      </c>
      <c r="AN6">
        <v>2026</v>
      </c>
    </row>
    <row r="7" spans="1:40" ht="24" customHeight="1" x14ac:dyDescent="0.3">
      <c r="A7" s="16"/>
      <c r="B7" s="64"/>
      <c r="C7" s="65"/>
      <c r="D7" s="17"/>
      <c r="E7" s="82">
        <f>SUMIFS($AJ$2:$AJ$12001,$AG$2:$AG$12001,$W$3)</f>
        <v>8</v>
      </c>
      <c r="F7" s="70"/>
      <c r="G7" s="70"/>
      <c r="H7" s="71"/>
      <c r="I7" s="89">
        <f>SUMIFS($AD$2:$AD$12001,$AJ$2:$AJ$12001,1,$AG$2:$AG$12001,$W$3)</f>
        <v>1025</v>
      </c>
      <c r="J7" s="70"/>
      <c r="K7" s="70"/>
      <c r="L7" s="71"/>
      <c r="M7" s="90">
        <f>SUMIFS($AF$2:$AF$12001,$AJ$2:$AJ$12001,1,$AG$2:$AG$12001,$W$3)</f>
        <v>8</v>
      </c>
      <c r="N7" s="70"/>
      <c r="O7" s="70"/>
      <c r="P7" s="71"/>
      <c r="Q7" s="84">
        <f>IFERROR(SUMIFS($AF$2:$AF$12001,$AJ$2:$AJ$12001,1,$AG$2:$AG$12001,$W$3)/SUMIFS($AJ$2:$AJ$12001,$AG$2:$AG$12001,$W$3),0)</f>
        <v>1</v>
      </c>
      <c r="R7" s="70"/>
      <c r="S7" s="70"/>
      <c r="T7" s="71"/>
      <c r="U7" s="69">
        <f>COUNTA($E$67:$E$86)</f>
        <v>7</v>
      </c>
      <c r="V7" s="70"/>
      <c r="W7" s="71"/>
      <c r="AA7" t="str">
        <f>IF(COUNTA('Procyclean BIO'!A8,'Procyclean BIO'!B8,'Procyclean BIO'!C8)&gt;0,"BIO","")</f>
        <v/>
      </c>
      <c r="AB7" t="str">
        <f>IFERROR(IF(ISNUMBER('Procyclean BIO'!A8),'Procyclean BIO'!A8,DATEVALUE('Procyclean BIO'!A8)),"")</f>
        <v/>
      </c>
      <c r="AC7" t="str">
        <f>IF(AA7="","",'Procyclean BIO'!B8)</f>
        <v/>
      </c>
      <c r="AD7" t="str">
        <f>IF(AA7="","",IFERROR(1*'Procyclean BIO'!C8,IFERROR(_xludf.NUMBERVALUE('Procyclean BIO'!C8,".",","),IFERROR(_xludf.NUMBERVALUE('Procyclean BIO'!C8,",","."),0))))</f>
        <v/>
      </c>
      <c r="AE7" t="str">
        <f>IF(AA7="","",'Procyclean BIO'!J8)</f>
        <v/>
      </c>
      <c r="AF7">
        <f t="shared" si="0"/>
        <v>0</v>
      </c>
      <c r="AG7" t="str">
        <f t="shared" si="1"/>
        <v/>
      </c>
      <c r="AH7" t="str">
        <f t="shared" si="2"/>
        <v/>
      </c>
      <c r="AI7">
        <f t="shared" si="3"/>
        <v>0</v>
      </c>
      <c r="AJ7">
        <f t="shared" si="4"/>
        <v>0</v>
      </c>
      <c r="AK7">
        <v>0</v>
      </c>
      <c r="AL7" t="str">
        <f>IF(AA7="","",IFERROR(IF(ISNUMBER('Procyclean BIO'!D8),'Procyclean BIO'!D8,IF(ISNUMBER(SEARCH("12",'Procyclean BIO'!D8)),EDATE(AB7,12),IF(ISNUMBER(SEARCH("6",'Procyclean BIO'!D8)),EDATE(AB7,6),IF(ISNUMBER(SEARCH("3",'Procyclean BIO'!D8)),EDATE(AB7,3),DATEVALUE('Procyclean BIO'!D8))))),""))</f>
        <v/>
      </c>
      <c r="AM7" t="str">
        <f t="shared" ca="1" si="5"/>
        <v/>
      </c>
      <c r="AN7">
        <v>2027</v>
      </c>
    </row>
    <row r="8" spans="1:40" ht="24" customHeight="1" x14ac:dyDescent="0.3">
      <c r="A8" s="16"/>
      <c r="B8" s="85" t="s">
        <v>24</v>
      </c>
      <c r="C8" s="86"/>
      <c r="D8" s="17"/>
      <c r="E8" s="72"/>
      <c r="F8" s="60"/>
      <c r="G8" s="60"/>
      <c r="H8" s="73"/>
      <c r="I8" s="72"/>
      <c r="J8" s="60"/>
      <c r="K8" s="60"/>
      <c r="L8" s="73"/>
      <c r="M8" s="72"/>
      <c r="N8" s="60"/>
      <c r="O8" s="60"/>
      <c r="P8" s="73"/>
      <c r="Q8" s="72"/>
      <c r="R8" s="60"/>
      <c r="S8" s="60"/>
      <c r="T8" s="73"/>
      <c r="U8" s="72"/>
      <c r="V8" s="60"/>
      <c r="W8" s="73"/>
      <c r="AA8" t="str">
        <f>IF(COUNTA('Procyclean BIO'!A9,'Procyclean BIO'!B9,'Procyclean BIO'!C9)&gt;0,"BIO","")</f>
        <v/>
      </c>
      <c r="AB8" t="str">
        <f>IFERROR(IF(ISNUMBER('Procyclean BIO'!A9),'Procyclean BIO'!A9,DATEVALUE('Procyclean BIO'!A9)),"")</f>
        <v/>
      </c>
      <c r="AC8" t="str">
        <f>IF(AA8="","",'Procyclean BIO'!B9)</f>
        <v/>
      </c>
      <c r="AD8" t="str">
        <f>IF(AA8="","",IFERROR(1*'Procyclean BIO'!C9,IFERROR(_xludf.NUMBERVALUE('Procyclean BIO'!C9,".",","),IFERROR(_xludf.NUMBERVALUE('Procyclean BIO'!C9,",","."),0))))</f>
        <v/>
      </c>
      <c r="AE8" t="str">
        <f>IF(AA8="","",'Procyclean BIO'!J9)</f>
        <v/>
      </c>
      <c r="AF8">
        <f t="shared" si="0"/>
        <v>0</v>
      </c>
      <c r="AG8" t="str">
        <f t="shared" si="1"/>
        <v/>
      </c>
      <c r="AH8" t="str">
        <f t="shared" si="2"/>
        <v/>
      </c>
      <c r="AI8">
        <f t="shared" si="3"/>
        <v>0</v>
      </c>
      <c r="AJ8">
        <f t="shared" si="4"/>
        <v>0</v>
      </c>
      <c r="AK8">
        <v>0</v>
      </c>
      <c r="AL8" t="str">
        <f>IF(AA8="","",IFERROR(IF(ISNUMBER('Procyclean BIO'!D9),'Procyclean BIO'!D9,IF(ISNUMBER(SEARCH("12",'Procyclean BIO'!D9)),EDATE(AB8,12),IF(ISNUMBER(SEARCH("6",'Procyclean BIO'!D9)),EDATE(AB8,6),IF(ISNUMBER(SEARCH("3",'Procyclean BIO'!D9)),EDATE(AB8,3),DATEVALUE('Procyclean BIO'!D9))))),""))</f>
        <v/>
      </c>
      <c r="AM8" t="str">
        <f t="shared" ca="1" si="5"/>
        <v/>
      </c>
      <c r="AN8">
        <v>2028</v>
      </c>
    </row>
    <row r="9" spans="1:40" ht="24" customHeight="1" x14ac:dyDescent="0.3">
      <c r="A9" s="16"/>
      <c r="B9" s="16"/>
      <c r="C9" s="16"/>
      <c r="D9" s="17"/>
      <c r="E9" s="74"/>
      <c r="F9" s="75"/>
      <c r="G9" s="75"/>
      <c r="H9" s="76"/>
      <c r="I9" s="74"/>
      <c r="J9" s="75"/>
      <c r="K9" s="75"/>
      <c r="L9" s="76"/>
      <c r="M9" s="74"/>
      <c r="N9" s="75"/>
      <c r="O9" s="75"/>
      <c r="P9" s="76"/>
      <c r="Q9" s="74"/>
      <c r="R9" s="75"/>
      <c r="S9" s="75"/>
      <c r="T9" s="76"/>
      <c r="U9" s="74"/>
      <c r="V9" s="75"/>
      <c r="W9" s="76"/>
      <c r="AA9" t="str">
        <f>IF(COUNTA('Procyclean BIO'!A10,'Procyclean BIO'!B10,'Procyclean BIO'!C10)&gt;0,"BIO","")</f>
        <v/>
      </c>
      <c r="AB9" t="str">
        <f>IFERROR(IF(ISNUMBER('Procyclean BIO'!A10),'Procyclean BIO'!A10,DATEVALUE('Procyclean BIO'!A10)),"")</f>
        <v/>
      </c>
      <c r="AC9" t="str">
        <f>IF(AA9="","",'Procyclean BIO'!B10)</f>
        <v/>
      </c>
      <c r="AD9" t="str">
        <f>IF(AA9="","",IFERROR(1*'Procyclean BIO'!C10,IFERROR(_xludf.NUMBERVALUE('Procyclean BIO'!C10,".",","),IFERROR(_xludf.NUMBERVALUE('Procyclean BIO'!C10,",","."),0))))</f>
        <v/>
      </c>
      <c r="AE9" t="str">
        <f>IF(AA9="","",'Procyclean BIO'!J10)</f>
        <v/>
      </c>
      <c r="AF9">
        <f t="shared" si="0"/>
        <v>0</v>
      </c>
      <c r="AG9" t="str">
        <f t="shared" si="1"/>
        <v/>
      </c>
      <c r="AH9" t="str">
        <f t="shared" si="2"/>
        <v/>
      </c>
      <c r="AI9">
        <f t="shared" si="3"/>
        <v>0</v>
      </c>
      <c r="AJ9">
        <f t="shared" si="4"/>
        <v>0</v>
      </c>
      <c r="AK9">
        <v>0</v>
      </c>
      <c r="AL9" t="str">
        <f>IF(AA9="","",IFERROR(IF(ISNUMBER('Procyclean BIO'!D10),'Procyclean BIO'!D10,IF(ISNUMBER(SEARCH("12",'Procyclean BIO'!D10)),EDATE(AB9,12),IF(ISNUMBER(SEARCH("6",'Procyclean BIO'!D10)),EDATE(AB9,6),IF(ISNUMBER(SEARCH("3",'Procyclean BIO'!D10)),EDATE(AB9,3),DATEVALUE('Procyclean BIO'!D10))))),""))</f>
        <v/>
      </c>
      <c r="AM9" t="str">
        <f t="shared" ca="1" si="5"/>
        <v/>
      </c>
      <c r="AN9">
        <v>2029</v>
      </c>
    </row>
    <row r="10" spans="1:40" ht="22.05" customHeight="1" x14ac:dyDescent="0.3">
      <c r="A10" s="16"/>
      <c r="B10" s="16"/>
      <c r="C10" s="16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AA10" t="str">
        <f>IF(COUNTA('Procyclean BIO'!A11,'Procyclean BIO'!B11,'Procyclean BIO'!C11)&gt;0,"BIO","")</f>
        <v/>
      </c>
      <c r="AB10" t="str">
        <f>IFERROR(IF(ISNUMBER('Procyclean BIO'!A11),'Procyclean BIO'!A11,DATEVALUE('Procyclean BIO'!A11)),"")</f>
        <v/>
      </c>
      <c r="AC10" t="str">
        <f>IF(AA10="","",'Procyclean BIO'!B11)</f>
        <v/>
      </c>
      <c r="AD10" t="str">
        <f>IF(AA10="","",IFERROR(1*'Procyclean BIO'!C11,IFERROR(_xludf.NUMBERVALUE('Procyclean BIO'!C11,".",","),IFERROR(_xludf.NUMBERVALUE('Procyclean BIO'!C11,",","."),0))))</f>
        <v/>
      </c>
      <c r="AE10" t="str">
        <f>IF(AA10="","",'Procyclean BIO'!J11)</f>
        <v/>
      </c>
      <c r="AF10">
        <f t="shared" si="0"/>
        <v>0</v>
      </c>
      <c r="AG10" t="str">
        <f t="shared" si="1"/>
        <v/>
      </c>
      <c r="AH10" t="str">
        <f t="shared" si="2"/>
        <v/>
      </c>
      <c r="AI10">
        <f t="shared" si="3"/>
        <v>0</v>
      </c>
      <c r="AJ10">
        <f t="shared" si="4"/>
        <v>0</v>
      </c>
      <c r="AK10">
        <v>0</v>
      </c>
      <c r="AL10" t="str">
        <f>IF(AA10="","",IFERROR(IF(ISNUMBER('Procyclean BIO'!D11),'Procyclean BIO'!D11,IF(ISNUMBER(SEARCH("12",'Procyclean BIO'!D11)),EDATE(AB10,12),IF(ISNUMBER(SEARCH("6",'Procyclean BIO'!D11)),EDATE(AB10,6),IF(ISNUMBER(SEARCH("3",'Procyclean BIO'!D11)),EDATE(AB10,3),DATEVALUE('Procyclean BIO'!D11))))),""))</f>
        <v/>
      </c>
      <c r="AM10" t="str">
        <f t="shared" ca="1" si="5"/>
        <v/>
      </c>
      <c r="AN10">
        <v>2030</v>
      </c>
    </row>
    <row r="11" spans="1:40" ht="22.05" customHeight="1" x14ac:dyDescent="0.3">
      <c r="A11" s="16"/>
      <c r="B11" s="16"/>
      <c r="C11" s="16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AA11" t="str">
        <f>IF(COUNTA('Procyclean BIO'!A12,'Procyclean BIO'!B12,'Procyclean BIO'!C12)&gt;0,"BIO","")</f>
        <v/>
      </c>
      <c r="AB11" t="str">
        <f>IFERROR(IF(ISNUMBER('Procyclean BIO'!A12),'Procyclean BIO'!A12,DATEVALUE('Procyclean BIO'!A12)),"")</f>
        <v/>
      </c>
      <c r="AC11" t="str">
        <f>IF(AA11="","",'Procyclean BIO'!B12)</f>
        <v/>
      </c>
      <c r="AD11" t="str">
        <f>IF(AA11="","",IFERROR(1*'Procyclean BIO'!C12,IFERROR(_xludf.NUMBERVALUE('Procyclean BIO'!C12,".",","),IFERROR(_xludf.NUMBERVALUE('Procyclean BIO'!C12,",","."),0))))</f>
        <v/>
      </c>
      <c r="AE11" t="str">
        <f>IF(AA11="","",'Procyclean BIO'!J12)</f>
        <v/>
      </c>
      <c r="AF11">
        <f t="shared" si="0"/>
        <v>0</v>
      </c>
      <c r="AG11" t="str">
        <f t="shared" si="1"/>
        <v/>
      </c>
      <c r="AH11" t="str">
        <f t="shared" si="2"/>
        <v/>
      </c>
      <c r="AI11">
        <f t="shared" si="3"/>
        <v>0</v>
      </c>
      <c r="AJ11">
        <f t="shared" si="4"/>
        <v>0</v>
      </c>
      <c r="AK11">
        <v>0</v>
      </c>
      <c r="AL11" t="str">
        <f>IF(AA11="","",IFERROR(IF(ISNUMBER('Procyclean BIO'!D12),'Procyclean BIO'!D12,IF(ISNUMBER(SEARCH("12",'Procyclean BIO'!D12)),EDATE(AB11,12),IF(ISNUMBER(SEARCH("6",'Procyclean BIO'!D12)),EDATE(AB11,6),IF(ISNUMBER(SEARCH("3",'Procyclean BIO'!D12)),EDATE(AB11,3),DATEVALUE('Procyclean BIO'!D12))))),""))</f>
        <v/>
      </c>
      <c r="AM11" t="str">
        <f t="shared" ca="1" si="5"/>
        <v/>
      </c>
    </row>
    <row r="12" spans="1:40" ht="22.05" customHeight="1" x14ac:dyDescent="0.3">
      <c r="A12" s="16"/>
      <c r="B12" s="59" t="s">
        <v>25</v>
      </c>
      <c r="C12" s="60"/>
      <c r="D12" s="17"/>
      <c r="E12" s="66" t="s">
        <v>26</v>
      </c>
      <c r="F12" s="67"/>
      <c r="G12" s="67"/>
      <c r="H12" s="67"/>
      <c r="I12" s="67"/>
      <c r="J12" s="67"/>
      <c r="K12" s="67"/>
      <c r="L12" s="67"/>
      <c r="M12" s="67"/>
      <c r="N12" s="63"/>
      <c r="O12" s="17"/>
      <c r="P12" s="66" t="s">
        <v>27</v>
      </c>
      <c r="Q12" s="67"/>
      <c r="R12" s="67"/>
      <c r="S12" s="67"/>
      <c r="T12" s="67"/>
      <c r="U12" s="67"/>
      <c r="V12" s="67"/>
      <c r="W12" s="63"/>
      <c r="AA12" t="str">
        <f>IF(COUNTA('Procyclean BIO'!A13,'Procyclean BIO'!B13,'Procyclean BIO'!C13)&gt;0,"BIO","")</f>
        <v/>
      </c>
      <c r="AB12" t="str">
        <f>IFERROR(IF(ISNUMBER('Procyclean BIO'!A13),'Procyclean BIO'!A13,DATEVALUE('Procyclean BIO'!A13)),"")</f>
        <v/>
      </c>
      <c r="AC12" t="str">
        <f>IF(AA12="","",'Procyclean BIO'!B13)</f>
        <v/>
      </c>
      <c r="AD12" t="str">
        <f>IF(AA12="","",IFERROR(1*'Procyclean BIO'!C13,IFERROR(_xludf.NUMBERVALUE('Procyclean BIO'!C13,".",","),IFERROR(_xludf.NUMBERVALUE('Procyclean BIO'!C13,",","."),0))))</f>
        <v/>
      </c>
      <c r="AE12" t="str">
        <f>IF(AA12="","",'Procyclean BIO'!J13)</f>
        <v/>
      </c>
      <c r="AF12">
        <f t="shared" si="0"/>
        <v>0</v>
      </c>
      <c r="AG12" t="str">
        <f t="shared" si="1"/>
        <v/>
      </c>
      <c r="AH12" t="str">
        <f t="shared" si="2"/>
        <v/>
      </c>
      <c r="AI12">
        <f t="shared" si="3"/>
        <v>0</v>
      </c>
      <c r="AJ12">
        <f t="shared" si="4"/>
        <v>0</v>
      </c>
      <c r="AK12">
        <v>0</v>
      </c>
      <c r="AL12" t="str">
        <f>IF(AA12="","",IFERROR(IF(ISNUMBER('Procyclean BIO'!D13),'Procyclean BIO'!D13,IF(ISNUMBER(SEARCH("12",'Procyclean BIO'!D13)),EDATE(AB12,12),IF(ISNUMBER(SEARCH("6",'Procyclean BIO'!D13)),EDATE(AB12,6),IF(ISNUMBER(SEARCH("3",'Procyclean BIO'!D13)),EDATE(AB12,3),DATEVALUE('Procyclean BIO'!D13))))),""))</f>
        <v/>
      </c>
      <c r="AM12" t="str">
        <f t="shared" ca="1" si="5"/>
        <v/>
      </c>
    </row>
    <row r="13" spans="1:40" ht="22.05" customHeight="1" x14ac:dyDescent="0.3">
      <c r="A13" s="16"/>
      <c r="B13" s="16"/>
      <c r="C13" s="16"/>
      <c r="D13" s="17"/>
      <c r="E13" s="64"/>
      <c r="F13" s="68"/>
      <c r="G13" s="68"/>
      <c r="H13" s="68"/>
      <c r="I13" s="68"/>
      <c r="J13" s="68"/>
      <c r="K13" s="68"/>
      <c r="L13" s="68"/>
      <c r="M13" s="68"/>
      <c r="N13" s="65"/>
      <c r="O13" s="17"/>
      <c r="P13" s="64"/>
      <c r="Q13" s="68"/>
      <c r="R13" s="68"/>
      <c r="S13" s="68"/>
      <c r="T13" s="68"/>
      <c r="U13" s="68"/>
      <c r="V13" s="68"/>
      <c r="W13" s="65"/>
      <c r="AA13" t="str">
        <f>IF(COUNTA('Procyclean BIO'!A14,'Procyclean BIO'!B14,'Procyclean BIO'!C14)&gt;0,"BIO","")</f>
        <v/>
      </c>
      <c r="AB13" t="str">
        <f>IFERROR(IF(ISNUMBER('Procyclean BIO'!A14),'Procyclean BIO'!A14,DATEVALUE('Procyclean BIO'!A14)),"")</f>
        <v/>
      </c>
      <c r="AC13" t="str">
        <f>IF(AA13="","",'Procyclean BIO'!B14)</f>
        <v/>
      </c>
      <c r="AD13" t="str">
        <f>IF(AA13="","",IFERROR(1*'Procyclean BIO'!C14,IFERROR(_xludf.NUMBERVALUE('Procyclean BIO'!C14,".",","),IFERROR(_xludf.NUMBERVALUE('Procyclean BIO'!C14,",","."),0))))</f>
        <v/>
      </c>
      <c r="AE13" t="str">
        <f>IF(AA13="","",'Procyclean BIO'!J14)</f>
        <v/>
      </c>
      <c r="AF13">
        <f t="shared" si="0"/>
        <v>0</v>
      </c>
      <c r="AG13" t="str">
        <f t="shared" si="1"/>
        <v/>
      </c>
      <c r="AH13" t="str">
        <f t="shared" si="2"/>
        <v/>
      </c>
      <c r="AI13">
        <f t="shared" si="3"/>
        <v>0</v>
      </c>
      <c r="AJ13">
        <f t="shared" si="4"/>
        <v>0</v>
      </c>
      <c r="AK13">
        <v>0</v>
      </c>
      <c r="AL13" t="str">
        <f>IF(AA13="","",IFERROR(IF(ISNUMBER('Procyclean BIO'!D14),'Procyclean BIO'!D14,IF(ISNUMBER(SEARCH("12",'Procyclean BIO'!D14)),EDATE(AB13,12),IF(ISNUMBER(SEARCH("6",'Procyclean BIO'!D14)),EDATE(AB13,6),IF(ISNUMBER(SEARCH("3",'Procyclean BIO'!D14)),EDATE(AB13,3),DATEVALUE('Procyclean BIO'!D14))))),""))</f>
        <v/>
      </c>
      <c r="AM13" t="str">
        <f t="shared" ca="1" si="5"/>
        <v/>
      </c>
    </row>
    <row r="14" spans="1:40" ht="22.05" customHeight="1" x14ac:dyDescent="0.3">
      <c r="A14" s="16"/>
      <c r="B14" s="59" t="s">
        <v>28</v>
      </c>
      <c r="C14" s="60"/>
      <c r="D14" s="17"/>
      <c r="E14" s="26"/>
      <c r="F14" s="27"/>
      <c r="G14" s="27"/>
      <c r="H14" s="27"/>
      <c r="I14" s="27"/>
      <c r="J14" s="27"/>
      <c r="K14" s="27"/>
      <c r="L14" s="27"/>
      <c r="M14" s="27"/>
      <c r="N14" s="28"/>
      <c r="O14" s="17"/>
      <c r="P14" s="26"/>
      <c r="Q14" s="27"/>
      <c r="R14" s="27"/>
      <c r="S14" s="27"/>
      <c r="T14" s="27"/>
      <c r="U14" s="27"/>
      <c r="V14" s="27"/>
      <c r="W14" s="28"/>
      <c r="AA14" t="str">
        <f>IF(COUNTA('Procyclean BIO'!A15,'Procyclean BIO'!B15,'Procyclean BIO'!C15)&gt;0,"BIO","")</f>
        <v/>
      </c>
      <c r="AB14" t="str">
        <f>IFERROR(IF(ISNUMBER('Procyclean BIO'!A15),'Procyclean BIO'!A15,DATEVALUE('Procyclean BIO'!A15)),"")</f>
        <v/>
      </c>
      <c r="AC14" t="str">
        <f>IF(AA14="","",'Procyclean BIO'!B15)</f>
        <v/>
      </c>
      <c r="AD14" t="str">
        <f>IF(AA14="","",IFERROR(1*'Procyclean BIO'!C15,IFERROR(_xludf.NUMBERVALUE('Procyclean BIO'!C15,".",","),IFERROR(_xludf.NUMBERVALUE('Procyclean BIO'!C15,",","."),0))))</f>
        <v/>
      </c>
      <c r="AE14" t="str">
        <f>IF(AA14="","",'Procyclean BIO'!J15)</f>
        <v/>
      </c>
      <c r="AF14">
        <f t="shared" si="0"/>
        <v>0</v>
      </c>
      <c r="AG14" t="str">
        <f t="shared" si="1"/>
        <v/>
      </c>
      <c r="AH14" t="str">
        <f t="shared" si="2"/>
        <v/>
      </c>
      <c r="AI14">
        <f t="shared" si="3"/>
        <v>0</v>
      </c>
      <c r="AJ14">
        <f t="shared" si="4"/>
        <v>0</v>
      </c>
      <c r="AK14">
        <v>0</v>
      </c>
      <c r="AL14" t="str">
        <f>IF(AA14="","",IFERROR(IF(ISNUMBER('Procyclean BIO'!D15),'Procyclean BIO'!D15,IF(ISNUMBER(SEARCH("12",'Procyclean BIO'!D15)),EDATE(AB14,12),IF(ISNUMBER(SEARCH("6",'Procyclean BIO'!D15)),EDATE(AB14,6),IF(ISNUMBER(SEARCH("3",'Procyclean BIO'!D15)),EDATE(AB14,3),DATEVALUE('Procyclean BIO'!D15))))),""))</f>
        <v/>
      </c>
      <c r="AM14" t="str">
        <f t="shared" ca="1" si="5"/>
        <v/>
      </c>
    </row>
    <row r="15" spans="1:40" ht="22.05" customHeight="1" x14ac:dyDescent="0.3">
      <c r="A15" s="16"/>
      <c r="B15" s="16"/>
      <c r="C15" s="16"/>
      <c r="D15" s="17"/>
      <c r="E15" s="26"/>
      <c r="F15" s="27"/>
      <c r="G15" s="27"/>
      <c r="H15" s="27"/>
      <c r="I15" s="27"/>
      <c r="J15" s="27"/>
      <c r="K15" s="27"/>
      <c r="L15" s="27"/>
      <c r="M15" s="27"/>
      <c r="N15" s="28"/>
      <c r="O15" s="17"/>
      <c r="P15" s="29" t="s">
        <v>29</v>
      </c>
      <c r="Q15" s="29" t="s">
        <v>0</v>
      </c>
      <c r="R15" s="29" t="s">
        <v>30</v>
      </c>
      <c r="S15" s="29" t="s">
        <v>31</v>
      </c>
      <c r="T15" s="29" t="s">
        <v>32</v>
      </c>
      <c r="U15" s="29" t="s">
        <v>33</v>
      </c>
      <c r="V15" s="27"/>
      <c r="W15" s="28"/>
      <c r="AA15" t="str">
        <f>IF(COUNTA('Procyclean BIO'!A16,'Procyclean BIO'!B16,'Procyclean BIO'!C16)&gt;0,"BIO","")</f>
        <v/>
      </c>
      <c r="AB15" t="str">
        <f>IFERROR(IF(ISNUMBER('Procyclean BIO'!A16),'Procyclean BIO'!A16,DATEVALUE('Procyclean BIO'!A16)),"")</f>
        <v/>
      </c>
      <c r="AC15" t="str">
        <f>IF(AA15="","",'Procyclean BIO'!B16)</f>
        <v/>
      </c>
      <c r="AD15" t="str">
        <f>IF(AA15="","",IFERROR(1*'Procyclean BIO'!C16,IFERROR(_xludf.NUMBERVALUE('Procyclean BIO'!C16,".",","),IFERROR(_xludf.NUMBERVALUE('Procyclean BIO'!C16,",","."),0))))</f>
        <v/>
      </c>
      <c r="AE15" t="str">
        <f>IF(AA15="","",'Procyclean BIO'!J16)</f>
        <v/>
      </c>
      <c r="AF15">
        <f t="shared" si="0"/>
        <v>0</v>
      </c>
      <c r="AG15" t="str">
        <f t="shared" si="1"/>
        <v/>
      </c>
      <c r="AH15" t="str">
        <f t="shared" si="2"/>
        <v/>
      </c>
      <c r="AI15">
        <f t="shared" si="3"/>
        <v>0</v>
      </c>
      <c r="AJ15">
        <f t="shared" si="4"/>
        <v>0</v>
      </c>
      <c r="AK15">
        <v>0</v>
      </c>
      <c r="AL15" t="str">
        <f>IF(AA15="","",IFERROR(IF(ISNUMBER('Procyclean BIO'!D16),'Procyclean BIO'!D16,IF(ISNUMBER(SEARCH("12",'Procyclean BIO'!D16)),EDATE(AB15,12),IF(ISNUMBER(SEARCH("6",'Procyclean BIO'!D16)),EDATE(AB15,6),IF(ISNUMBER(SEARCH("3",'Procyclean BIO'!D16)),EDATE(AB15,3),DATEVALUE('Procyclean BIO'!D16))))),""))</f>
        <v/>
      </c>
      <c r="AM15" t="str">
        <f t="shared" ca="1" si="5"/>
        <v/>
      </c>
    </row>
    <row r="16" spans="1:40" ht="22.05" customHeight="1" x14ac:dyDescent="0.3">
      <c r="A16" s="16"/>
      <c r="B16" s="59" t="s">
        <v>34</v>
      </c>
      <c r="C16" s="60"/>
      <c r="D16" s="17"/>
      <c r="E16" s="26"/>
      <c r="F16" s="27"/>
      <c r="G16" s="27"/>
      <c r="H16" s="27"/>
      <c r="I16" s="27"/>
      <c r="J16" s="27"/>
      <c r="K16" s="27"/>
      <c r="L16" s="27"/>
      <c r="M16" s="27"/>
      <c r="N16" s="28"/>
      <c r="O16" s="17"/>
      <c r="P16" s="30">
        <v>1</v>
      </c>
      <c r="Q16" s="31" t="str">
        <f t="shared" ref="Q16:Q25" si="6">IFERROR(IF(LARGE($AO$67:$AO$86,P16)=0,"",INDEX($E$67:$E$86,MATCH(LARGE($AO$67:$AO$86,P16),$AO$67:$AO$86,0))),"")</f>
        <v>220</v>
      </c>
      <c r="R16" s="32">
        <f t="shared" ref="R16:R25" si="7">IF(Q16="","",INDEX($G$67:$G$86,MATCH(Q16,$E$67:$E$86,0)))</f>
        <v>625</v>
      </c>
      <c r="S16" s="31">
        <f t="shared" ref="S16:S25" si="8">IFERROR(INDEX($F$67:$F$86,MATCH(Q16,$E$67:$E$86,0)),"")</f>
        <v>5</v>
      </c>
      <c r="T16" s="33">
        <f t="shared" ref="T16:T25" si="9">IFERROR(INDEX($I$67:$I$86,MATCH(Q16,$E$67:$E$86,0)),"")</f>
        <v>1</v>
      </c>
      <c r="U16" s="31" t="str">
        <f t="shared" ref="U16:U25" si="10">IF(Q16="","",IF(T16&gt;=0.95,"Excelente",IF(T16&gt;=0.8,"Atenção","Crítico")))</f>
        <v>Excelente</v>
      </c>
      <c r="V16" s="27"/>
      <c r="W16" s="28"/>
      <c r="AA16" t="str">
        <f>IF(COUNTA('Procyclean BIO'!A17,'Procyclean BIO'!B17,'Procyclean BIO'!C17)&gt;0,"BIO","")</f>
        <v/>
      </c>
      <c r="AB16" t="str">
        <f>IFERROR(IF(ISNUMBER('Procyclean BIO'!A17),'Procyclean BIO'!A17,DATEVALUE('Procyclean BIO'!A17)),"")</f>
        <v/>
      </c>
      <c r="AC16" t="str">
        <f>IF(AA16="","",'Procyclean BIO'!B17)</f>
        <v/>
      </c>
      <c r="AD16" t="str">
        <f>IF(AA16="","",IFERROR(1*'Procyclean BIO'!C17,IFERROR(_xludf.NUMBERVALUE('Procyclean BIO'!C17,".",","),IFERROR(_xludf.NUMBERVALUE('Procyclean BIO'!C17,",","."),0))))</f>
        <v/>
      </c>
      <c r="AE16" t="str">
        <f>IF(AA16="","",'Procyclean BIO'!J17)</f>
        <v/>
      </c>
      <c r="AF16">
        <f t="shared" si="0"/>
        <v>0</v>
      </c>
      <c r="AG16" t="str">
        <f t="shared" si="1"/>
        <v/>
      </c>
      <c r="AH16" t="str">
        <f t="shared" si="2"/>
        <v/>
      </c>
      <c r="AI16">
        <f t="shared" si="3"/>
        <v>0</v>
      </c>
      <c r="AJ16">
        <f t="shared" si="4"/>
        <v>0</v>
      </c>
      <c r="AK16">
        <v>0</v>
      </c>
      <c r="AL16" t="str">
        <f>IF(AA16="","",IFERROR(IF(ISNUMBER('Procyclean BIO'!D17),'Procyclean BIO'!D17,IF(ISNUMBER(SEARCH("12",'Procyclean BIO'!D17)),EDATE(AB16,12),IF(ISNUMBER(SEARCH("6",'Procyclean BIO'!D17)),EDATE(AB16,6),IF(ISNUMBER(SEARCH("3",'Procyclean BIO'!D17)),EDATE(AB16,3),DATEVALUE('Procyclean BIO'!D17))))),""))</f>
        <v/>
      </c>
      <c r="AM16" t="str">
        <f t="shared" ca="1" si="5"/>
        <v/>
      </c>
    </row>
    <row r="17" spans="1:39" ht="22.05" customHeight="1" x14ac:dyDescent="0.3">
      <c r="A17" s="16"/>
      <c r="B17" s="16"/>
      <c r="C17" s="16"/>
      <c r="D17" s="17"/>
      <c r="E17" s="26"/>
      <c r="F17" s="27"/>
      <c r="G17" s="27"/>
      <c r="H17" s="27"/>
      <c r="I17" s="27"/>
      <c r="J17" s="27"/>
      <c r="K17" s="27"/>
      <c r="L17" s="27"/>
      <c r="M17" s="27"/>
      <c r="N17" s="28"/>
      <c r="O17" s="17"/>
      <c r="P17" s="34">
        <v>2</v>
      </c>
      <c r="Q17" s="35" t="str">
        <f t="shared" si="6"/>
        <v>520</v>
      </c>
      <c r="R17" s="36">
        <f t="shared" si="7"/>
        <v>400</v>
      </c>
      <c r="S17" s="35">
        <f t="shared" si="8"/>
        <v>3</v>
      </c>
      <c r="T17" s="37">
        <f t="shared" si="9"/>
        <v>1</v>
      </c>
      <c r="U17" s="35" t="str">
        <f t="shared" si="10"/>
        <v>Excelente</v>
      </c>
      <c r="V17" s="27"/>
      <c r="W17" s="28"/>
      <c r="AA17" t="str">
        <f>IF(COUNTA('Procyclean BIO'!A18,'Procyclean BIO'!B18,'Procyclean BIO'!C18)&gt;0,"BIO","")</f>
        <v/>
      </c>
      <c r="AB17" t="str">
        <f>IFERROR(IF(ISNUMBER('Procyclean BIO'!A18),'Procyclean BIO'!A18,DATEVALUE('Procyclean BIO'!A18)),"")</f>
        <v/>
      </c>
      <c r="AC17" t="str">
        <f>IF(AA17="","",'Procyclean BIO'!B18)</f>
        <v/>
      </c>
      <c r="AD17" t="str">
        <f>IF(AA17="","",IFERROR(1*'Procyclean BIO'!C18,IFERROR(_xludf.NUMBERVALUE('Procyclean BIO'!C18,".",","),IFERROR(_xludf.NUMBERVALUE('Procyclean BIO'!C18,",","."),0))))</f>
        <v/>
      </c>
      <c r="AE17" t="str">
        <f>IF(AA17="","",'Procyclean BIO'!J18)</f>
        <v/>
      </c>
      <c r="AF17">
        <f t="shared" si="0"/>
        <v>0</v>
      </c>
      <c r="AG17" t="str">
        <f t="shared" si="1"/>
        <v/>
      </c>
      <c r="AH17" t="str">
        <f t="shared" si="2"/>
        <v/>
      </c>
      <c r="AI17">
        <f t="shared" si="3"/>
        <v>0</v>
      </c>
      <c r="AJ17">
        <f t="shared" si="4"/>
        <v>0</v>
      </c>
      <c r="AK17">
        <v>0</v>
      </c>
      <c r="AL17" t="str">
        <f>IF(AA17="","",IFERROR(IF(ISNUMBER('Procyclean BIO'!D18),'Procyclean BIO'!D18,IF(ISNUMBER(SEARCH("12",'Procyclean BIO'!D18)),EDATE(AB17,12),IF(ISNUMBER(SEARCH("6",'Procyclean BIO'!D18)),EDATE(AB17,6),IF(ISNUMBER(SEARCH("3",'Procyclean BIO'!D18)),EDATE(AB17,3),DATEVALUE('Procyclean BIO'!D18))))),""))</f>
        <v/>
      </c>
      <c r="AM17" t="str">
        <f t="shared" ca="1" si="5"/>
        <v/>
      </c>
    </row>
    <row r="18" spans="1:39" ht="22.05" customHeight="1" x14ac:dyDescent="0.3">
      <c r="A18" s="16"/>
      <c r="B18" s="59" t="s">
        <v>4</v>
      </c>
      <c r="C18" s="60"/>
      <c r="D18" s="17"/>
      <c r="E18" s="26"/>
      <c r="F18" s="27"/>
      <c r="G18" s="27"/>
      <c r="H18" s="27"/>
      <c r="I18" s="27"/>
      <c r="J18" s="27"/>
      <c r="K18" s="27"/>
      <c r="L18" s="27"/>
      <c r="M18" s="27"/>
      <c r="N18" s="28"/>
      <c r="O18" s="17"/>
      <c r="P18" s="30">
        <v>3</v>
      </c>
      <c r="Q18" s="31" t="str">
        <f t="shared" si="6"/>
        <v/>
      </c>
      <c r="R18" s="32" t="str">
        <f t="shared" si="7"/>
        <v/>
      </c>
      <c r="S18" s="31" t="str">
        <f t="shared" si="8"/>
        <v/>
      </c>
      <c r="T18" s="33" t="str">
        <f t="shared" si="9"/>
        <v/>
      </c>
      <c r="U18" s="31" t="str">
        <f t="shared" si="10"/>
        <v/>
      </c>
      <c r="V18" s="27"/>
      <c r="W18" s="28"/>
      <c r="AA18" t="str">
        <f>IF(COUNTA('Procyclean BIO'!A19,'Procyclean BIO'!B19,'Procyclean BIO'!C19)&gt;0,"BIO","")</f>
        <v/>
      </c>
      <c r="AB18" t="str">
        <f>IFERROR(IF(ISNUMBER('Procyclean BIO'!A19),'Procyclean BIO'!A19,DATEVALUE('Procyclean BIO'!A19)),"")</f>
        <v/>
      </c>
      <c r="AC18" t="str">
        <f>IF(AA18="","",'Procyclean BIO'!B19)</f>
        <v/>
      </c>
      <c r="AD18" t="str">
        <f>IF(AA18="","",IFERROR(1*'Procyclean BIO'!C19,IFERROR(_xludf.NUMBERVALUE('Procyclean BIO'!C19,".",","),IFERROR(_xludf.NUMBERVALUE('Procyclean BIO'!C19,",","."),0))))</f>
        <v/>
      </c>
      <c r="AE18" t="str">
        <f>IF(AA18="","",'Procyclean BIO'!J19)</f>
        <v/>
      </c>
      <c r="AF18">
        <f t="shared" si="0"/>
        <v>0</v>
      </c>
      <c r="AG18" t="str">
        <f t="shared" si="1"/>
        <v/>
      </c>
      <c r="AH18" t="str">
        <f t="shared" si="2"/>
        <v/>
      </c>
      <c r="AI18">
        <f t="shared" si="3"/>
        <v>0</v>
      </c>
      <c r="AJ18">
        <f t="shared" si="4"/>
        <v>0</v>
      </c>
      <c r="AK18">
        <v>0</v>
      </c>
      <c r="AL18" t="str">
        <f>IF(AA18="","",IFERROR(IF(ISNUMBER('Procyclean BIO'!D19),'Procyclean BIO'!D19,IF(ISNUMBER(SEARCH("12",'Procyclean BIO'!D19)),EDATE(AB18,12),IF(ISNUMBER(SEARCH("6",'Procyclean BIO'!D19)),EDATE(AB18,6),IF(ISNUMBER(SEARCH("3",'Procyclean BIO'!D19)),EDATE(AB18,3),DATEVALUE('Procyclean BIO'!D19))))),""))</f>
        <v/>
      </c>
      <c r="AM18" t="str">
        <f t="shared" ca="1" si="5"/>
        <v/>
      </c>
    </row>
    <row r="19" spans="1:39" ht="22.05" customHeight="1" x14ac:dyDescent="0.3">
      <c r="A19" s="16"/>
      <c r="B19" s="16"/>
      <c r="C19" s="16"/>
      <c r="D19" s="17"/>
      <c r="E19" s="26"/>
      <c r="F19" s="27"/>
      <c r="G19" s="27"/>
      <c r="H19" s="27"/>
      <c r="I19" s="27"/>
      <c r="J19" s="27"/>
      <c r="K19" s="27"/>
      <c r="L19" s="27"/>
      <c r="M19" s="27"/>
      <c r="N19" s="28"/>
      <c r="O19" s="17"/>
      <c r="P19" s="34">
        <v>4</v>
      </c>
      <c r="Q19" s="35" t="str">
        <f t="shared" si="6"/>
        <v/>
      </c>
      <c r="R19" s="36" t="str">
        <f t="shared" si="7"/>
        <v/>
      </c>
      <c r="S19" s="35" t="str">
        <f t="shared" si="8"/>
        <v/>
      </c>
      <c r="T19" s="37" t="str">
        <f t="shared" si="9"/>
        <v/>
      </c>
      <c r="U19" s="35" t="str">
        <f t="shared" si="10"/>
        <v/>
      </c>
      <c r="V19" s="27"/>
      <c r="W19" s="28"/>
      <c r="AA19" t="str">
        <f>IF(COUNTA('Procyclean BIO'!A20,'Procyclean BIO'!B20,'Procyclean BIO'!C20)&gt;0,"BIO","")</f>
        <v/>
      </c>
      <c r="AB19" t="str">
        <f>IFERROR(IF(ISNUMBER('Procyclean BIO'!A20),'Procyclean BIO'!A20,DATEVALUE('Procyclean BIO'!A20)),"")</f>
        <v/>
      </c>
      <c r="AC19" t="str">
        <f>IF(AA19="","",'Procyclean BIO'!B20)</f>
        <v/>
      </c>
      <c r="AD19" t="str">
        <f>IF(AA19="","",IFERROR(1*'Procyclean BIO'!C20,IFERROR(_xludf.NUMBERVALUE('Procyclean BIO'!C20,".",","),IFERROR(_xludf.NUMBERVALUE('Procyclean BIO'!C20,",","."),0))))</f>
        <v/>
      </c>
      <c r="AE19" t="str">
        <f>IF(AA19="","",'Procyclean BIO'!J20)</f>
        <v/>
      </c>
      <c r="AF19">
        <f t="shared" si="0"/>
        <v>0</v>
      </c>
      <c r="AG19" t="str">
        <f t="shared" si="1"/>
        <v/>
      </c>
      <c r="AH19" t="str">
        <f t="shared" si="2"/>
        <v/>
      </c>
      <c r="AI19">
        <f t="shared" si="3"/>
        <v>0</v>
      </c>
      <c r="AJ19">
        <f t="shared" si="4"/>
        <v>0</v>
      </c>
      <c r="AK19">
        <v>0</v>
      </c>
      <c r="AL19" t="str">
        <f>IF(AA19="","",IFERROR(IF(ISNUMBER('Procyclean BIO'!D20),'Procyclean BIO'!D20,IF(ISNUMBER(SEARCH("12",'Procyclean BIO'!D20)),EDATE(AB19,12),IF(ISNUMBER(SEARCH("6",'Procyclean BIO'!D20)),EDATE(AB19,6),IF(ISNUMBER(SEARCH("3",'Procyclean BIO'!D20)),EDATE(AB19,3),DATEVALUE('Procyclean BIO'!D20))))),""))</f>
        <v/>
      </c>
      <c r="AM19" t="str">
        <f t="shared" ca="1" si="5"/>
        <v/>
      </c>
    </row>
    <row r="20" spans="1:39" ht="22.05" customHeight="1" x14ac:dyDescent="0.3">
      <c r="A20" s="16"/>
      <c r="B20" s="59" t="s">
        <v>35</v>
      </c>
      <c r="C20" s="60"/>
      <c r="D20" s="17"/>
      <c r="E20" s="26"/>
      <c r="F20" s="27"/>
      <c r="G20" s="27"/>
      <c r="H20" s="27"/>
      <c r="I20" s="27"/>
      <c r="J20" s="27"/>
      <c r="K20" s="27"/>
      <c r="L20" s="27"/>
      <c r="M20" s="27"/>
      <c r="N20" s="28"/>
      <c r="O20" s="17"/>
      <c r="P20" s="30">
        <v>5</v>
      </c>
      <c r="Q20" s="31" t="str">
        <f t="shared" si="6"/>
        <v/>
      </c>
      <c r="R20" s="32" t="str">
        <f t="shared" si="7"/>
        <v/>
      </c>
      <c r="S20" s="31" t="str">
        <f t="shared" si="8"/>
        <v/>
      </c>
      <c r="T20" s="33" t="str">
        <f t="shared" si="9"/>
        <v/>
      </c>
      <c r="U20" s="31" t="str">
        <f t="shared" si="10"/>
        <v/>
      </c>
      <c r="V20" s="27"/>
      <c r="W20" s="28"/>
      <c r="AA20" t="str">
        <f>IF(COUNTA('Procyclean BIO'!A21,'Procyclean BIO'!B21,'Procyclean BIO'!C21)&gt;0,"BIO","")</f>
        <v/>
      </c>
      <c r="AB20" t="str">
        <f>IFERROR(IF(ISNUMBER('Procyclean BIO'!A21),'Procyclean BIO'!A21,DATEVALUE('Procyclean BIO'!A21)),"")</f>
        <v/>
      </c>
      <c r="AC20" t="str">
        <f>IF(AA20="","",'Procyclean BIO'!B21)</f>
        <v/>
      </c>
      <c r="AD20" t="str">
        <f>IF(AA20="","",IFERROR(1*'Procyclean BIO'!C21,IFERROR(_xludf.NUMBERVALUE('Procyclean BIO'!C21,".",","),IFERROR(_xludf.NUMBERVALUE('Procyclean BIO'!C21,",","."),0))))</f>
        <v/>
      </c>
      <c r="AE20" t="str">
        <f>IF(AA20="","",'Procyclean BIO'!J21)</f>
        <v/>
      </c>
      <c r="AF20">
        <f t="shared" si="0"/>
        <v>0</v>
      </c>
      <c r="AG20" t="str">
        <f t="shared" si="1"/>
        <v/>
      </c>
      <c r="AH20" t="str">
        <f t="shared" si="2"/>
        <v/>
      </c>
      <c r="AI20">
        <f t="shared" si="3"/>
        <v>0</v>
      </c>
      <c r="AJ20">
        <f t="shared" si="4"/>
        <v>0</v>
      </c>
      <c r="AK20">
        <v>0</v>
      </c>
      <c r="AL20" t="str">
        <f>IF(AA20="","",IFERROR(IF(ISNUMBER('Procyclean BIO'!D21),'Procyclean BIO'!D21,IF(ISNUMBER(SEARCH("12",'Procyclean BIO'!D21)),EDATE(AB20,12),IF(ISNUMBER(SEARCH("6",'Procyclean BIO'!D21)),EDATE(AB20,6),IF(ISNUMBER(SEARCH("3",'Procyclean BIO'!D21)),EDATE(AB20,3),DATEVALUE('Procyclean BIO'!D21))))),""))</f>
        <v/>
      </c>
      <c r="AM20" t="str">
        <f t="shared" ca="1" si="5"/>
        <v/>
      </c>
    </row>
    <row r="21" spans="1:39" ht="22.05" customHeight="1" x14ac:dyDescent="0.3">
      <c r="A21" s="16"/>
      <c r="B21" s="16"/>
      <c r="C21" s="16"/>
      <c r="D21" s="17"/>
      <c r="E21" s="26"/>
      <c r="F21" s="27"/>
      <c r="G21" s="27"/>
      <c r="H21" s="27"/>
      <c r="I21" s="27"/>
      <c r="J21" s="27"/>
      <c r="K21" s="27"/>
      <c r="L21" s="27"/>
      <c r="M21" s="27"/>
      <c r="N21" s="28"/>
      <c r="O21" s="17"/>
      <c r="P21" s="34">
        <v>6</v>
      </c>
      <c r="Q21" s="35" t="str">
        <f t="shared" si="6"/>
        <v/>
      </c>
      <c r="R21" s="36" t="str">
        <f t="shared" si="7"/>
        <v/>
      </c>
      <c r="S21" s="35" t="str">
        <f t="shared" si="8"/>
        <v/>
      </c>
      <c r="T21" s="37" t="str">
        <f t="shared" si="9"/>
        <v/>
      </c>
      <c r="U21" s="35" t="str">
        <f t="shared" si="10"/>
        <v/>
      </c>
      <c r="V21" s="27"/>
      <c r="W21" s="28"/>
      <c r="AA21" t="str">
        <f>IF(COUNTA('Procyclean BIO'!A22,'Procyclean BIO'!B22,'Procyclean BIO'!C22)&gt;0,"BIO","")</f>
        <v/>
      </c>
      <c r="AB21" t="str">
        <f>IFERROR(IF(ISNUMBER('Procyclean BIO'!A22),'Procyclean BIO'!A22,DATEVALUE('Procyclean BIO'!A22)),"")</f>
        <v/>
      </c>
      <c r="AC21" t="str">
        <f>IF(AA21="","",'Procyclean BIO'!B22)</f>
        <v/>
      </c>
      <c r="AD21" t="str">
        <f>IF(AA21="","",IFERROR(1*'Procyclean BIO'!C22,IFERROR(_xludf.NUMBERVALUE('Procyclean BIO'!C22,".",","),IFERROR(_xludf.NUMBERVALUE('Procyclean BIO'!C22,",","."),0))))</f>
        <v/>
      </c>
      <c r="AE21" t="str">
        <f>IF(AA21="","",'Procyclean BIO'!J22)</f>
        <v/>
      </c>
      <c r="AF21">
        <f t="shared" si="0"/>
        <v>0</v>
      </c>
      <c r="AG21" t="str">
        <f t="shared" si="1"/>
        <v/>
      </c>
      <c r="AH21" t="str">
        <f t="shared" si="2"/>
        <v/>
      </c>
      <c r="AI21">
        <f t="shared" si="3"/>
        <v>0</v>
      </c>
      <c r="AJ21">
        <f t="shared" si="4"/>
        <v>0</v>
      </c>
      <c r="AK21">
        <v>0</v>
      </c>
      <c r="AL21" t="str">
        <f>IF(AA21="","",IFERROR(IF(ISNUMBER('Procyclean BIO'!D22),'Procyclean BIO'!D22,IF(ISNUMBER(SEARCH("12",'Procyclean BIO'!D22)),EDATE(AB21,12),IF(ISNUMBER(SEARCH("6",'Procyclean BIO'!D22)),EDATE(AB21,6),IF(ISNUMBER(SEARCH("3",'Procyclean BIO'!D22)),EDATE(AB21,3),DATEVALUE('Procyclean BIO'!D22))))),""))</f>
        <v/>
      </c>
      <c r="AM21" t="str">
        <f t="shared" ca="1" si="5"/>
        <v/>
      </c>
    </row>
    <row r="22" spans="1:39" ht="22.05" customHeight="1" x14ac:dyDescent="0.3">
      <c r="A22" s="16"/>
      <c r="B22" s="16"/>
      <c r="C22" s="16"/>
      <c r="D22" s="17"/>
      <c r="E22" s="26"/>
      <c r="F22" s="27"/>
      <c r="G22" s="27"/>
      <c r="H22" s="27"/>
      <c r="I22" s="27"/>
      <c r="J22" s="27"/>
      <c r="K22" s="27"/>
      <c r="L22" s="27"/>
      <c r="M22" s="27"/>
      <c r="N22" s="28"/>
      <c r="O22" s="17"/>
      <c r="P22" s="30">
        <v>7</v>
      </c>
      <c r="Q22" s="31" t="str">
        <f t="shared" si="6"/>
        <v/>
      </c>
      <c r="R22" s="32" t="str">
        <f t="shared" si="7"/>
        <v/>
      </c>
      <c r="S22" s="31" t="str">
        <f t="shared" si="8"/>
        <v/>
      </c>
      <c r="T22" s="33" t="str">
        <f t="shared" si="9"/>
        <v/>
      </c>
      <c r="U22" s="31" t="str">
        <f t="shared" si="10"/>
        <v/>
      </c>
      <c r="V22" s="27"/>
      <c r="W22" s="28"/>
      <c r="AA22" t="str">
        <f>IF(COUNTA('Procyclean BIO'!A23,'Procyclean BIO'!B23,'Procyclean BIO'!C23)&gt;0,"BIO","")</f>
        <v/>
      </c>
      <c r="AB22" t="str">
        <f>IFERROR(IF(ISNUMBER('Procyclean BIO'!A23),'Procyclean BIO'!A23,DATEVALUE('Procyclean BIO'!A23)),"")</f>
        <v/>
      </c>
      <c r="AC22" t="str">
        <f>IF(AA22="","",'Procyclean BIO'!B23)</f>
        <v/>
      </c>
      <c r="AD22" t="str">
        <f>IF(AA22="","",IFERROR(1*'Procyclean BIO'!C23,IFERROR(_xludf.NUMBERVALUE('Procyclean BIO'!C23,".",","),IFERROR(_xludf.NUMBERVALUE('Procyclean BIO'!C23,",","."),0))))</f>
        <v/>
      </c>
      <c r="AE22" t="str">
        <f>IF(AA22="","",'Procyclean BIO'!J23)</f>
        <v/>
      </c>
      <c r="AF22">
        <f t="shared" si="0"/>
        <v>0</v>
      </c>
      <c r="AG22" t="str">
        <f t="shared" si="1"/>
        <v/>
      </c>
      <c r="AH22" t="str">
        <f t="shared" si="2"/>
        <v/>
      </c>
      <c r="AI22">
        <f t="shared" si="3"/>
        <v>0</v>
      </c>
      <c r="AJ22">
        <f t="shared" si="4"/>
        <v>0</v>
      </c>
      <c r="AK22">
        <v>0</v>
      </c>
      <c r="AL22" t="str">
        <f>IF(AA22="","",IFERROR(IF(ISNUMBER('Procyclean BIO'!D23),'Procyclean BIO'!D23,IF(ISNUMBER(SEARCH("12",'Procyclean BIO'!D23)),EDATE(AB22,12),IF(ISNUMBER(SEARCH("6",'Procyclean BIO'!D23)),EDATE(AB22,6),IF(ISNUMBER(SEARCH("3",'Procyclean BIO'!D23)),EDATE(AB22,3),DATEVALUE('Procyclean BIO'!D23))))),""))</f>
        <v/>
      </c>
      <c r="AM22" t="str">
        <f t="shared" ca="1" si="5"/>
        <v/>
      </c>
    </row>
    <row r="23" spans="1:39" ht="22.05" customHeight="1" x14ac:dyDescent="0.3">
      <c r="A23" s="16"/>
      <c r="B23" s="16"/>
      <c r="C23" s="16"/>
      <c r="D23" s="17"/>
      <c r="E23" s="26"/>
      <c r="F23" s="27"/>
      <c r="G23" s="27"/>
      <c r="H23" s="27"/>
      <c r="I23" s="27"/>
      <c r="J23" s="27"/>
      <c r="K23" s="27"/>
      <c r="L23" s="27"/>
      <c r="M23" s="27"/>
      <c r="N23" s="28"/>
      <c r="O23" s="17"/>
      <c r="P23" s="34">
        <v>8</v>
      </c>
      <c r="Q23" s="35" t="str">
        <f t="shared" si="6"/>
        <v/>
      </c>
      <c r="R23" s="36" t="str">
        <f t="shared" si="7"/>
        <v/>
      </c>
      <c r="S23" s="35" t="str">
        <f t="shared" si="8"/>
        <v/>
      </c>
      <c r="T23" s="37" t="str">
        <f t="shared" si="9"/>
        <v/>
      </c>
      <c r="U23" s="35" t="str">
        <f t="shared" si="10"/>
        <v/>
      </c>
      <c r="V23" s="27"/>
      <c r="W23" s="28"/>
      <c r="AA23" t="str">
        <f>IF(COUNTA('Procyclean BIO'!A24,'Procyclean BIO'!B24,'Procyclean BIO'!C24)&gt;0,"BIO","")</f>
        <v/>
      </c>
      <c r="AB23" t="str">
        <f>IFERROR(IF(ISNUMBER('Procyclean BIO'!A24),'Procyclean BIO'!A24,DATEVALUE('Procyclean BIO'!A24)),"")</f>
        <v/>
      </c>
      <c r="AC23" t="str">
        <f>IF(AA23="","",'Procyclean BIO'!B24)</f>
        <v/>
      </c>
      <c r="AD23" t="str">
        <f>IF(AA23="","",IFERROR(1*'Procyclean BIO'!C24,IFERROR(_xludf.NUMBERVALUE('Procyclean BIO'!C24,".",","),IFERROR(_xludf.NUMBERVALUE('Procyclean BIO'!C24,",","."),0))))</f>
        <v/>
      </c>
      <c r="AE23" t="str">
        <f>IF(AA23="","",'Procyclean BIO'!J24)</f>
        <v/>
      </c>
      <c r="AF23">
        <f t="shared" si="0"/>
        <v>0</v>
      </c>
      <c r="AG23" t="str">
        <f t="shared" si="1"/>
        <v/>
      </c>
      <c r="AH23" t="str">
        <f t="shared" si="2"/>
        <v/>
      </c>
      <c r="AI23">
        <f t="shared" si="3"/>
        <v>0</v>
      </c>
      <c r="AJ23">
        <f t="shared" si="4"/>
        <v>0</v>
      </c>
      <c r="AK23">
        <v>0</v>
      </c>
      <c r="AL23" t="str">
        <f>IF(AA23="","",IFERROR(IF(ISNUMBER('Procyclean BIO'!D24),'Procyclean BIO'!D24,IF(ISNUMBER(SEARCH("12",'Procyclean BIO'!D24)),EDATE(AB23,12),IF(ISNUMBER(SEARCH("6",'Procyclean BIO'!D24)),EDATE(AB23,6),IF(ISNUMBER(SEARCH("3",'Procyclean BIO'!D24)),EDATE(AB23,3),DATEVALUE('Procyclean BIO'!D24))))),""))</f>
        <v/>
      </c>
      <c r="AM23" t="str">
        <f t="shared" ca="1" si="5"/>
        <v/>
      </c>
    </row>
    <row r="24" spans="1:39" ht="22.05" customHeight="1" x14ac:dyDescent="0.3">
      <c r="A24" s="16"/>
      <c r="B24" s="16"/>
      <c r="C24" s="16"/>
      <c r="D24" s="17"/>
      <c r="E24" s="26"/>
      <c r="F24" s="27"/>
      <c r="G24" s="27"/>
      <c r="H24" s="27"/>
      <c r="I24" s="27"/>
      <c r="J24" s="27"/>
      <c r="K24" s="27"/>
      <c r="L24" s="27"/>
      <c r="M24" s="27"/>
      <c r="N24" s="28"/>
      <c r="O24" s="17"/>
      <c r="P24" s="30">
        <v>9</v>
      </c>
      <c r="Q24" s="31" t="str">
        <f t="shared" si="6"/>
        <v/>
      </c>
      <c r="R24" s="32" t="str">
        <f t="shared" si="7"/>
        <v/>
      </c>
      <c r="S24" s="31" t="str">
        <f t="shared" si="8"/>
        <v/>
      </c>
      <c r="T24" s="33" t="str">
        <f t="shared" si="9"/>
        <v/>
      </c>
      <c r="U24" s="31" t="str">
        <f t="shared" si="10"/>
        <v/>
      </c>
      <c r="V24" s="27"/>
      <c r="W24" s="28"/>
      <c r="AA24" t="str">
        <f>IF(COUNTA('Procyclean BIO'!A25,'Procyclean BIO'!B25,'Procyclean BIO'!C25)&gt;0,"BIO","")</f>
        <v/>
      </c>
      <c r="AB24" t="str">
        <f>IFERROR(IF(ISNUMBER('Procyclean BIO'!A25),'Procyclean BIO'!A25,DATEVALUE('Procyclean BIO'!A25)),"")</f>
        <v/>
      </c>
      <c r="AC24" t="str">
        <f>IF(AA24="","",'Procyclean BIO'!B25)</f>
        <v/>
      </c>
      <c r="AD24" t="str">
        <f>IF(AA24="","",IFERROR(1*'Procyclean BIO'!C25,IFERROR(_xludf.NUMBERVALUE('Procyclean BIO'!C25,".",","),IFERROR(_xludf.NUMBERVALUE('Procyclean BIO'!C25,",","."),0))))</f>
        <v/>
      </c>
      <c r="AE24" t="str">
        <f>IF(AA24="","",'Procyclean BIO'!J25)</f>
        <v/>
      </c>
      <c r="AF24">
        <f t="shared" si="0"/>
        <v>0</v>
      </c>
      <c r="AG24" t="str">
        <f t="shared" si="1"/>
        <v/>
      </c>
      <c r="AH24" t="str">
        <f t="shared" si="2"/>
        <v/>
      </c>
      <c r="AI24">
        <f t="shared" si="3"/>
        <v>0</v>
      </c>
      <c r="AJ24">
        <f t="shared" si="4"/>
        <v>0</v>
      </c>
      <c r="AK24">
        <v>0</v>
      </c>
      <c r="AL24" t="str">
        <f>IF(AA24="","",IFERROR(IF(ISNUMBER('Procyclean BIO'!D25),'Procyclean BIO'!D25,IF(ISNUMBER(SEARCH("12",'Procyclean BIO'!D25)),EDATE(AB24,12),IF(ISNUMBER(SEARCH("6",'Procyclean BIO'!D25)),EDATE(AB24,6),IF(ISNUMBER(SEARCH("3",'Procyclean BIO'!D25)),EDATE(AB24,3),DATEVALUE('Procyclean BIO'!D25))))),""))</f>
        <v/>
      </c>
      <c r="AM24" t="str">
        <f t="shared" ca="1" si="5"/>
        <v/>
      </c>
    </row>
    <row r="25" spans="1:39" ht="22.05" customHeight="1" x14ac:dyDescent="0.3">
      <c r="A25" s="16"/>
      <c r="B25" s="16"/>
      <c r="C25" s="16"/>
      <c r="D25" s="17"/>
      <c r="E25" s="26"/>
      <c r="F25" s="27"/>
      <c r="G25" s="27"/>
      <c r="H25" s="27"/>
      <c r="I25" s="27"/>
      <c r="J25" s="27"/>
      <c r="K25" s="27"/>
      <c r="L25" s="27"/>
      <c r="M25" s="27"/>
      <c r="N25" s="28"/>
      <c r="O25" s="17"/>
      <c r="P25" s="34">
        <v>10</v>
      </c>
      <c r="Q25" s="35" t="str">
        <f t="shared" si="6"/>
        <v/>
      </c>
      <c r="R25" s="36" t="str">
        <f t="shared" si="7"/>
        <v/>
      </c>
      <c r="S25" s="35" t="str">
        <f t="shared" si="8"/>
        <v/>
      </c>
      <c r="T25" s="37" t="str">
        <f t="shared" si="9"/>
        <v/>
      </c>
      <c r="U25" s="35" t="str">
        <f t="shared" si="10"/>
        <v/>
      </c>
      <c r="V25" s="27"/>
      <c r="W25" s="28"/>
      <c r="AA25" t="str">
        <f>IF(COUNTA('Procyclean BIO'!A26,'Procyclean BIO'!B26,'Procyclean BIO'!C26)&gt;0,"BIO","")</f>
        <v/>
      </c>
      <c r="AB25" t="str">
        <f>IFERROR(IF(ISNUMBER('Procyclean BIO'!A26),'Procyclean BIO'!A26,DATEVALUE('Procyclean BIO'!A26)),"")</f>
        <v/>
      </c>
      <c r="AC25" t="str">
        <f>IF(AA25="","",'Procyclean BIO'!B26)</f>
        <v/>
      </c>
      <c r="AD25" t="str">
        <f>IF(AA25="","",IFERROR(1*'Procyclean BIO'!C26,IFERROR(_xludf.NUMBERVALUE('Procyclean BIO'!C26,".",","),IFERROR(_xludf.NUMBERVALUE('Procyclean BIO'!C26,",","."),0))))</f>
        <v/>
      </c>
      <c r="AE25" t="str">
        <f>IF(AA25="","",'Procyclean BIO'!J26)</f>
        <v/>
      </c>
      <c r="AF25">
        <f t="shared" si="0"/>
        <v>0</v>
      </c>
      <c r="AG25" t="str">
        <f t="shared" si="1"/>
        <v/>
      </c>
      <c r="AH25" t="str">
        <f t="shared" si="2"/>
        <v/>
      </c>
      <c r="AI25">
        <f t="shared" si="3"/>
        <v>0</v>
      </c>
      <c r="AJ25">
        <f t="shared" si="4"/>
        <v>0</v>
      </c>
      <c r="AK25">
        <v>0</v>
      </c>
      <c r="AL25" t="str">
        <f>IF(AA25="","",IFERROR(IF(ISNUMBER('Procyclean BIO'!D26),'Procyclean BIO'!D26,IF(ISNUMBER(SEARCH("12",'Procyclean BIO'!D26)),EDATE(AB25,12),IF(ISNUMBER(SEARCH("6",'Procyclean BIO'!D26)),EDATE(AB25,6),IF(ISNUMBER(SEARCH("3",'Procyclean BIO'!D26)),EDATE(AB25,3),DATEVALUE('Procyclean BIO'!D26))))),""))</f>
        <v/>
      </c>
      <c r="AM25" t="str">
        <f t="shared" ca="1" si="5"/>
        <v/>
      </c>
    </row>
    <row r="26" spans="1:39" ht="22.05" customHeight="1" x14ac:dyDescent="0.3">
      <c r="A26" s="16"/>
      <c r="B26" s="16"/>
      <c r="C26" s="16"/>
      <c r="D26" s="17"/>
      <c r="E26" s="26"/>
      <c r="F26" s="27"/>
      <c r="G26" s="27"/>
      <c r="H26" s="27"/>
      <c r="I26" s="27"/>
      <c r="J26" s="27"/>
      <c r="K26" s="27"/>
      <c r="L26" s="27"/>
      <c r="M26" s="27"/>
      <c r="N26" s="28"/>
      <c r="O26" s="17"/>
      <c r="P26" s="26"/>
      <c r="Q26" s="27"/>
      <c r="R26" s="27"/>
      <c r="S26" s="27"/>
      <c r="T26" s="27"/>
      <c r="U26" s="27"/>
      <c r="V26" s="27"/>
      <c r="W26" s="28"/>
      <c r="AA26" t="str">
        <f>IF(COUNTA('Procyclean BIO'!A27,'Procyclean BIO'!B27,'Procyclean BIO'!C27)&gt;0,"BIO","")</f>
        <v/>
      </c>
      <c r="AB26" t="str">
        <f>IFERROR(IF(ISNUMBER('Procyclean BIO'!A27),'Procyclean BIO'!A27,DATEVALUE('Procyclean BIO'!A27)),"")</f>
        <v/>
      </c>
      <c r="AC26" t="str">
        <f>IF(AA26="","",'Procyclean BIO'!B27)</f>
        <v/>
      </c>
      <c r="AD26" t="str">
        <f>IF(AA26="","",IFERROR(1*'Procyclean BIO'!C27,IFERROR(_xludf.NUMBERVALUE('Procyclean BIO'!C27,".",","),IFERROR(_xludf.NUMBERVALUE('Procyclean BIO'!C27,",","."),0))))</f>
        <v/>
      </c>
      <c r="AE26" t="str">
        <f>IF(AA26="","",'Procyclean BIO'!J27)</f>
        <v/>
      </c>
      <c r="AF26">
        <f t="shared" si="0"/>
        <v>0</v>
      </c>
      <c r="AG26" t="str">
        <f t="shared" si="1"/>
        <v/>
      </c>
      <c r="AH26" t="str">
        <f t="shared" si="2"/>
        <v/>
      </c>
      <c r="AI26">
        <f t="shared" si="3"/>
        <v>0</v>
      </c>
      <c r="AJ26">
        <f t="shared" si="4"/>
        <v>0</v>
      </c>
      <c r="AK26">
        <v>0</v>
      </c>
      <c r="AL26" t="str">
        <f>IF(AA26="","",IFERROR(IF(ISNUMBER('Procyclean BIO'!D27),'Procyclean BIO'!D27,IF(ISNUMBER(SEARCH("12",'Procyclean BIO'!D27)),EDATE(AB26,12),IF(ISNUMBER(SEARCH("6",'Procyclean BIO'!D27)),EDATE(AB26,6),IF(ISNUMBER(SEARCH("3",'Procyclean BIO'!D27)),EDATE(AB26,3),DATEVALUE('Procyclean BIO'!D27))))),""))</f>
        <v/>
      </c>
      <c r="AM26" t="str">
        <f t="shared" ca="1" si="5"/>
        <v/>
      </c>
    </row>
    <row r="27" spans="1:39" ht="22.05" customHeight="1" x14ac:dyDescent="0.3">
      <c r="A27" s="16"/>
      <c r="B27" s="16"/>
      <c r="C27" s="16"/>
      <c r="D27" s="17"/>
      <c r="E27" s="38"/>
      <c r="F27" s="39"/>
      <c r="G27" s="39"/>
      <c r="H27" s="39"/>
      <c r="I27" s="39"/>
      <c r="J27" s="39"/>
      <c r="K27" s="39"/>
      <c r="L27" s="39"/>
      <c r="M27" s="39"/>
      <c r="N27" s="40"/>
      <c r="O27" s="17"/>
      <c r="P27" s="38"/>
      <c r="Q27" s="39"/>
      <c r="R27" s="39"/>
      <c r="S27" s="39"/>
      <c r="T27" s="39"/>
      <c r="U27" s="39"/>
      <c r="V27" s="39"/>
      <c r="W27" s="40"/>
      <c r="AA27" t="str">
        <f>IF(COUNTA('Procyclean BIO'!A28,'Procyclean BIO'!B28,'Procyclean BIO'!C28)&gt;0,"BIO","")</f>
        <v/>
      </c>
      <c r="AB27" t="str">
        <f>IFERROR(IF(ISNUMBER('Procyclean BIO'!A28),'Procyclean BIO'!A28,DATEVALUE('Procyclean BIO'!A28)),"")</f>
        <v/>
      </c>
      <c r="AC27" t="str">
        <f>IF(AA27="","",'Procyclean BIO'!B28)</f>
        <v/>
      </c>
      <c r="AD27" t="str">
        <f>IF(AA27="","",IFERROR(1*'Procyclean BIO'!C28,IFERROR(_xludf.NUMBERVALUE('Procyclean BIO'!C28,".",","),IFERROR(_xludf.NUMBERVALUE('Procyclean BIO'!C28,",","."),0))))</f>
        <v/>
      </c>
      <c r="AE27" t="str">
        <f>IF(AA27="","",'Procyclean BIO'!J28)</f>
        <v/>
      </c>
      <c r="AF27">
        <f t="shared" si="0"/>
        <v>0</v>
      </c>
      <c r="AG27" t="str">
        <f t="shared" si="1"/>
        <v/>
      </c>
      <c r="AH27" t="str">
        <f t="shared" si="2"/>
        <v/>
      </c>
      <c r="AI27">
        <f t="shared" si="3"/>
        <v>0</v>
      </c>
      <c r="AJ27">
        <f t="shared" si="4"/>
        <v>0</v>
      </c>
      <c r="AK27">
        <v>0</v>
      </c>
      <c r="AL27" t="str">
        <f>IF(AA27="","",IFERROR(IF(ISNUMBER('Procyclean BIO'!D28),'Procyclean BIO'!D28,IF(ISNUMBER(SEARCH("12",'Procyclean BIO'!D28)),EDATE(AB27,12),IF(ISNUMBER(SEARCH("6",'Procyclean BIO'!D28)),EDATE(AB27,6),IF(ISNUMBER(SEARCH("3",'Procyclean BIO'!D28)),EDATE(AB27,3),DATEVALUE('Procyclean BIO'!D28))))),""))</f>
        <v/>
      </c>
      <c r="AM27" t="str">
        <f t="shared" ca="1" si="5"/>
        <v/>
      </c>
    </row>
    <row r="28" spans="1:39" ht="22.05" customHeight="1" x14ac:dyDescent="0.3">
      <c r="A28" s="16"/>
      <c r="B28" s="16"/>
      <c r="C28" s="16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AA28" t="str">
        <f>IF(COUNTA('Procyclean BIO'!A29,'Procyclean BIO'!B29,'Procyclean BIO'!C29)&gt;0,"BIO","")</f>
        <v/>
      </c>
      <c r="AB28" t="str">
        <f>IFERROR(IF(ISNUMBER('Procyclean BIO'!A29),'Procyclean BIO'!A29,DATEVALUE('Procyclean BIO'!A29)),"")</f>
        <v/>
      </c>
      <c r="AC28" t="str">
        <f>IF(AA28="","",'Procyclean BIO'!B29)</f>
        <v/>
      </c>
      <c r="AD28" t="str">
        <f>IF(AA28="","",IFERROR(1*'Procyclean BIO'!C29,IFERROR(_xludf.NUMBERVALUE('Procyclean BIO'!C29,".",","),IFERROR(_xludf.NUMBERVALUE('Procyclean BIO'!C29,",","."),0))))</f>
        <v/>
      </c>
      <c r="AE28" t="str">
        <f>IF(AA28="","",'Procyclean BIO'!J29)</f>
        <v/>
      </c>
      <c r="AF28">
        <f t="shared" si="0"/>
        <v>0</v>
      </c>
      <c r="AG28" t="str">
        <f t="shared" si="1"/>
        <v/>
      </c>
      <c r="AH28" t="str">
        <f t="shared" si="2"/>
        <v/>
      </c>
      <c r="AI28">
        <f t="shared" si="3"/>
        <v>0</v>
      </c>
      <c r="AJ28">
        <f t="shared" si="4"/>
        <v>0</v>
      </c>
      <c r="AK28">
        <v>0</v>
      </c>
      <c r="AL28" t="str">
        <f>IF(AA28="","",IFERROR(IF(ISNUMBER('Procyclean BIO'!D29),'Procyclean BIO'!D29,IF(ISNUMBER(SEARCH("12",'Procyclean BIO'!D29)),EDATE(AB28,12),IF(ISNUMBER(SEARCH("6",'Procyclean BIO'!D29)),EDATE(AB28,6),IF(ISNUMBER(SEARCH("3",'Procyclean BIO'!D29)),EDATE(AB28,3),DATEVALUE('Procyclean BIO'!D29))))),""))</f>
        <v/>
      </c>
      <c r="AM28" t="str">
        <f t="shared" ca="1" si="5"/>
        <v/>
      </c>
    </row>
    <row r="29" spans="1:39" ht="22.05" customHeight="1" x14ac:dyDescent="0.3">
      <c r="A29" s="16"/>
      <c r="B29" s="16"/>
      <c r="C29" s="16"/>
      <c r="D29" s="17"/>
      <c r="E29" s="66" t="s">
        <v>36</v>
      </c>
      <c r="F29" s="67"/>
      <c r="G29" s="67"/>
      <c r="H29" s="67"/>
      <c r="I29" s="67"/>
      <c r="J29" s="67"/>
      <c r="K29" s="67"/>
      <c r="L29" s="67"/>
      <c r="M29" s="67"/>
      <c r="N29" s="63"/>
      <c r="O29" s="17"/>
      <c r="P29" s="66" t="s">
        <v>37</v>
      </c>
      <c r="Q29" s="67"/>
      <c r="R29" s="67"/>
      <c r="S29" s="67"/>
      <c r="T29" s="67"/>
      <c r="U29" s="67"/>
      <c r="V29" s="67"/>
      <c r="W29" s="63"/>
      <c r="AA29" t="str">
        <f>IF(COUNTA('Procyclean BIO'!A30,'Procyclean BIO'!B30,'Procyclean BIO'!C30)&gt;0,"BIO","")</f>
        <v/>
      </c>
      <c r="AB29" t="str">
        <f>IFERROR(IF(ISNUMBER('Procyclean BIO'!A30),'Procyclean BIO'!A30,DATEVALUE('Procyclean BIO'!A30)),"")</f>
        <v/>
      </c>
      <c r="AC29" t="str">
        <f>IF(AA29="","",'Procyclean BIO'!B30)</f>
        <v/>
      </c>
      <c r="AD29" t="str">
        <f>IF(AA29="","",IFERROR(1*'Procyclean BIO'!C30,IFERROR(_xludf.NUMBERVALUE('Procyclean BIO'!C30,".",","),IFERROR(_xludf.NUMBERVALUE('Procyclean BIO'!C30,",","."),0))))</f>
        <v/>
      </c>
      <c r="AE29" t="str">
        <f>IF(AA29="","",'Procyclean BIO'!J30)</f>
        <v/>
      </c>
      <c r="AF29">
        <f t="shared" si="0"/>
        <v>0</v>
      </c>
      <c r="AG29" t="str">
        <f t="shared" si="1"/>
        <v/>
      </c>
      <c r="AH29" t="str">
        <f t="shared" si="2"/>
        <v/>
      </c>
      <c r="AI29">
        <f t="shared" si="3"/>
        <v>0</v>
      </c>
      <c r="AJ29">
        <f t="shared" si="4"/>
        <v>0</v>
      </c>
      <c r="AK29">
        <v>0</v>
      </c>
      <c r="AL29" t="str">
        <f>IF(AA29="","",IFERROR(IF(ISNUMBER('Procyclean BIO'!D30),'Procyclean BIO'!D30,IF(ISNUMBER(SEARCH("12",'Procyclean BIO'!D30)),EDATE(AB29,12),IF(ISNUMBER(SEARCH("6",'Procyclean BIO'!D30)),EDATE(AB29,6),IF(ISNUMBER(SEARCH("3",'Procyclean BIO'!D30)),EDATE(AB29,3),DATEVALUE('Procyclean BIO'!D30))))),""))</f>
        <v/>
      </c>
      <c r="AM29" t="str">
        <f t="shared" ca="1" si="5"/>
        <v/>
      </c>
    </row>
    <row r="30" spans="1:39" ht="22.05" customHeight="1" x14ac:dyDescent="0.3">
      <c r="A30" s="16"/>
      <c r="B30" s="16"/>
      <c r="C30" s="16"/>
      <c r="D30" s="17"/>
      <c r="E30" s="64"/>
      <c r="F30" s="68"/>
      <c r="G30" s="68"/>
      <c r="H30" s="68"/>
      <c r="I30" s="68"/>
      <c r="J30" s="68"/>
      <c r="K30" s="68"/>
      <c r="L30" s="68"/>
      <c r="M30" s="68"/>
      <c r="N30" s="65"/>
      <c r="O30" s="17"/>
      <c r="P30" s="64"/>
      <c r="Q30" s="68"/>
      <c r="R30" s="68"/>
      <c r="S30" s="68"/>
      <c r="T30" s="68"/>
      <c r="U30" s="68"/>
      <c r="V30" s="68"/>
      <c r="W30" s="65"/>
      <c r="AA30" t="str">
        <f>IF(COUNTA('Procyclean BIO'!A31,'Procyclean BIO'!B31,'Procyclean BIO'!C31)&gt;0,"BIO","")</f>
        <v/>
      </c>
      <c r="AB30" t="str">
        <f>IFERROR(IF(ISNUMBER('Procyclean BIO'!A31),'Procyclean BIO'!A31,DATEVALUE('Procyclean BIO'!A31)),"")</f>
        <v/>
      </c>
      <c r="AC30" t="str">
        <f>IF(AA30="","",'Procyclean BIO'!B31)</f>
        <v/>
      </c>
      <c r="AD30" t="str">
        <f>IF(AA30="","",IFERROR(1*'Procyclean BIO'!C31,IFERROR(_xludf.NUMBERVALUE('Procyclean BIO'!C31,".",","),IFERROR(_xludf.NUMBERVALUE('Procyclean BIO'!C31,",","."),0))))</f>
        <v/>
      </c>
      <c r="AE30" t="str">
        <f>IF(AA30="","",'Procyclean BIO'!J31)</f>
        <v/>
      </c>
      <c r="AF30">
        <f t="shared" si="0"/>
        <v>0</v>
      </c>
      <c r="AG30" t="str">
        <f t="shared" si="1"/>
        <v/>
      </c>
      <c r="AH30" t="str">
        <f t="shared" si="2"/>
        <v/>
      </c>
      <c r="AI30">
        <f t="shared" si="3"/>
        <v>0</v>
      </c>
      <c r="AJ30">
        <f t="shared" si="4"/>
        <v>0</v>
      </c>
      <c r="AK30">
        <v>0</v>
      </c>
      <c r="AL30" t="str">
        <f>IF(AA30="","",IFERROR(IF(ISNUMBER('Procyclean BIO'!D31),'Procyclean BIO'!D31,IF(ISNUMBER(SEARCH("12",'Procyclean BIO'!D31)),EDATE(AB30,12),IF(ISNUMBER(SEARCH("6",'Procyclean BIO'!D31)),EDATE(AB30,6),IF(ISNUMBER(SEARCH("3",'Procyclean BIO'!D31)),EDATE(AB30,3),DATEVALUE('Procyclean BIO'!D31))))),""))</f>
        <v/>
      </c>
      <c r="AM30" t="str">
        <f t="shared" ca="1" si="5"/>
        <v/>
      </c>
    </row>
    <row r="31" spans="1:39" ht="22.05" customHeight="1" x14ac:dyDescent="0.3">
      <c r="A31" s="16"/>
      <c r="B31" s="16"/>
      <c r="C31" s="16"/>
      <c r="D31" s="17"/>
      <c r="E31" s="26"/>
      <c r="F31" s="27"/>
      <c r="G31" s="27"/>
      <c r="H31" s="27"/>
      <c r="I31" s="27"/>
      <c r="J31" s="27"/>
      <c r="K31" s="27"/>
      <c r="L31" s="27"/>
      <c r="M31" s="27"/>
      <c r="N31" s="28"/>
      <c r="O31" s="17"/>
      <c r="P31" s="26"/>
      <c r="Q31" s="27"/>
      <c r="R31" s="27"/>
      <c r="S31" s="27"/>
      <c r="T31" s="27"/>
      <c r="U31" s="27"/>
      <c r="V31" s="27"/>
      <c r="W31" s="28"/>
      <c r="AA31" t="str">
        <f>IF(COUNTA('Procyclean BIO'!A32,'Procyclean BIO'!B32,'Procyclean BIO'!C32)&gt;0,"BIO","")</f>
        <v/>
      </c>
      <c r="AB31" t="str">
        <f>IFERROR(IF(ISNUMBER('Procyclean BIO'!A32),'Procyclean BIO'!A32,DATEVALUE('Procyclean BIO'!A32)),"")</f>
        <v/>
      </c>
      <c r="AC31" t="str">
        <f>IF(AA31="","",'Procyclean BIO'!B32)</f>
        <v/>
      </c>
      <c r="AD31" t="str">
        <f>IF(AA31="","",IFERROR(1*'Procyclean BIO'!C32,IFERROR(_xludf.NUMBERVALUE('Procyclean BIO'!C32,".",","),IFERROR(_xludf.NUMBERVALUE('Procyclean BIO'!C32,",","."),0))))</f>
        <v/>
      </c>
      <c r="AE31" t="str">
        <f>IF(AA31="","",'Procyclean BIO'!J32)</f>
        <v/>
      </c>
      <c r="AF31">
        <f t="shared" si="0"/>
        <v>0</v>
      </c>
      <c r="AG31" t="str">
        <f t="shared" si="1"/>
        <v/>
      </c>
      <c r="AH31" t="str">
        <f t="shared" si="2"/>
        <v/>
      </c>
      <c r="AI31">
        <f t="shared" si="3"/>
        <v>0</v>
      </c>
      <c r="AJ31">
        <f t="shared" si="4"/>
        <v>0</v>
      </c>
      <c r="AK31">
        <v>0</v>
      </c>
      <c r="AL31" t="str">
        <f>IF(AA31="","",IFERROR(IF(ISNUMBER('Procyclean BIO'!D32),'Procyclean BIO'!D32,IF(ISNUMBER(SEARCH("12",'Procyclean BIO'!D32)),EDATE(AB31,12),IF(ISNUMBER(SEARCH("6",'Procyclean BIO'!D32)),EDATE(AB31,6),IF(ISNUMBER(SEARCH("3",'Procyclean BIO'!D32)),EDATE(AB31,3),DATEVALUE('Procyclean BIO'!D32))))),""))</f>
        <v/>
      </c>
      <c r="AM31" t="str">
        <f t="shared" ca="1" si="5"/>
        <v/>
      </c>
    </row>
    <row r="32" spans="1:39" ht="22.05" customHeight="1" x14ac:dyDescent="0.3">
      <c r="A32" s="16"/>
      <c r="B32" s="16"/>
      <c r="C32" s="16"/>
      <c r="D32" s="17"/>
      <c r="E32" s="26"/>
      <c r="F32" s="27"/>
      <c r="G32" s="27"/>
      <c r="H32" s="27"/>
      <c r="I32" s="27"/>
      <c r="J32" s="27"/>
      <c r="K32" s="27"/>
      <c r="L32" s="27"/>
      <c r="M32" s="27"/>
      <c r="N32" s="28"/>
      <c r="O32" s="17"/>
      <c r="P32" s="41" t="s">
        <v>7</v>
      </c>
      <c r="Q32" s="41" t="s">
        <v>31</v>
      </c>
      <c r="R32" s="41" t="s">
        <v>30</v>
      </c>
      <c r="S32" s="41" t="s">
        <v>38</v>
      </c>
      <c r="T32" s="41" t="s">
        <v>32</v>
      </c>
      <c r="U32" s="27"/>
      <c r="V32" s="27"/>
      <c r="W32" s="28"/>
      <c r="AA32" t="str">
        <f>IF(COUNTA('Procyclean BIO'!A33,'Procyclean BIO'!B33,'Procyclean BIO'!C33)&gt;0,"BIO","")</f>
        <v/>
      </c>
      <c r="AB32" t="str">
        <f>IFERROR(IF(ISNUMBER('Procyclean BIO'!A33),'Procyclean BIO'!A33,DATEVALUE('Procyclean BIO'!A33)),"")</f>
        <v/>
      </c>
      <c r="AC32" t="str">
        <f>IF(AA32="","",'Procyclean BIO'!B33)</f>
        <v/>
      </c>
      <c r="AD32" t="str">
        <f>IF(AA32="","",IFERROR(1*'Procyclean BIO'!C33,IFERROR(_xludf.NUMBERVALUE('Procyclean BIO'!C33,".",","),IFERROR(_xludf.NUMBERVALUE('Procyclean BIO'!C33,",","."),0))))</f>
        <v/>
      </c>
      <c r="AE32" t="str">
        <f>IF(AA32="","",'Procyclean BIO'!J33)</f>
        <v/>
      </c>
      <c r="AF32">
        <f t="shared" si="0"/>
        <v>0</v>
      </c>
      <c r="AG32" t="str">
        <f t="shared" si="1"/>
        <v/>
      </c>
      <c r="AH32" t="str">
        <f t="shared" si="2"/>
        <v/>
      </c>
      <c r="AI32">
        <f t="shared" si="3"/>
        <v>0</v>
      </c>
      <c r="AJ32">
        <f t="shared" si="4"/>
        <v>0</v>
      </c>
      <c r="AK32">
        <v>0</v>
      </c>
      <c r="AL32" t="str">
        <f>IF(AA32="","",IFERROR(IF(ISNUMBER('Procyclean BIO'!D33),'Procyclean BIO'!D33,IF(ISNUMBER(SEARCH("12",'Procyclean BIO'!D33)),EDATE(AB32,12),IF(ISNUMBER(SEARCH("6",'Procyclean BIO'!D33)),EDATE(AB32,6),IF(ISNUMBER(SEARCH("3",'Procyclean BIO'!D33)),EDATE(AB32,3),DATEVALUE('Procyclean BIO'!D33))))),""))</f>
        <v/>
      </c>
      <c r="AM32" t="str">
        <f t="shared" ca="1" si="5"/>
        <v/>
      </c>
    </row>
    <row r="33" spans="1:39" ht="22.05" customHeight="1" x14ac:dyDescent="0.3">
      <c r="A33" s="16"/>
      <c r="B33" s="16"/>
      <c r="C33" s="16"/>
      <c r="D33" s="17"/>
      <c r="E33" s="26"/>
      <c r="F33" s="27"/>
      <c r="G33" s="27"/>
      <c r="H33" s="27"/>
      <c r="I33" s="27"/>
      <c r="J33" s="27"/>
      <c r="K33" s="27"/>
      <c r="L33" s="27"/>
      <c r="M33" s="27"/>
      <c r="N33" s="28"/>
      <c r="O33" s="17"/>
      <c r="P33" s="35" t="s">
        <v>39</v>
      </c>
      <c r="Q33" s="35">
        <f>SUMIFS($AJ$2:$AJ$12001,$AG$2:$AG$12001,$W$3,$AH$2:$AH$12001,1)</f>
        <v>0</v>
      </c>
      <c r="R33" s="36">
        <f>SUMIFS($AD$2:$AD$12001,$AJ$2:$AJ$12001,1,$AG$2:$AG$12001,$W$3,$AH$2:$AH$12001,1)</f>
        <v>0</v>
      </c>
      <c r="S33" s="35">
        <f>SUMIFS($AF$2:$AF$12001,$AJ$2:$AJ$12001,1,$AG$2:$AG$12001,$W$3,$AH$2:$AH$12001,1)</f>
        <v>0</v>
      </c>
      <c r="T33" s="42">
        <f t="shared" ref="T33:T44" si="11">IFERROR(S33/Q33,0)</f>
        <v>0</v>
      </c>
      <c r="U33" s="27"/>
      <c r="V33" s="27"/>
      <c r="W33" s="28"/>
      <c r="AA33" t="str">
        <f>IF(COUNTA('Procyclean BIO'!A34,'Procyclean BIO'!B34,'Procyclean BIO'!C34)&gt;0,"BIO","")</f>
        <v/>
      </c>
      <c r="AB33" t="str">
        <f>IFERROR(IF(ISNUMBER('Procyclean BIO'!A34),'Procyclean BIO'!A34,DATEVALUE('Procyclean BIO'!A34)),"")</f>
        <v/>
      </c>
      <c r="AC33" t="str">
        <f>IF(AA33="","",'Procyclean BIO'!B34)</f>
        <v/>
      </c>
      <c r="AD33" t="str">
        <f>IF(AA33="","",IFERROR(1*'Procyclean BIO'!C34,IFERROR(_xludf.NUMBERVALUE('Procyclean BIO'!C34,".",","),IFERROR(_xludf.NUMBERVALUE('Procyclean BIO'!C34,",","."),0))))</f>
        <v/>
      </c>
      <c r="AE33" t="str">
        <f>IF(AA33="","",'Procyclean BIO'!J34)</f>
        <v/>
      </c>
      <c r="AF33">
        <f t="shared" si="0"/>
        <v>0</v>
      </c>
      <c r="AG33" t="str">
        <f t="shared" si="1"/>
        <v/>
      </c>
      <c r="AH33" t="str">
        <f t="shared" si="2"/>
        <v/>
      </c>
      <c r="AI33">
        <f t="shared" si="3"/>
        <v>0</v>
      </c>
      <c r="AJ33">
        <f t="shared" si="4"/>
        <v>0</v>
      </c>
      <c r="AK33">
        <v>0</v>
      </c>
      <c r="AL33" t="str">
        <f>IF(AA33="","",IFERROR(IF(ISNUMBER('Procyclean BIO'!D34),'Procyclean BIO'!D34,IF(ISNUMBER(SEARCH("12",'Procyclean BIO'!D34)),EDATE(AB33,12),IF(ISNUMBER(SEARCH("6",'Procyclean BIO'!D34)),EDATE(AB33,6),IF(ISNUMBER(SEARCH("3",'Procyclean BIO'!D34)),EDATE(AB33,3),DATEVALUE('Procyclean BIO'!D34))))),""))</f>
        <v/>
      </c>
      <c r="AM33" t="str">
        <f t="shared" ca="1" si="5"/>
        <v/>
      </c>
    </row>
    <row r="34" spans="1:39" ht="22.05" customHeight="1" x14ac:dyDescent="0.3">
      <c r="A34" s="16"/>
      <c r="B34" s="16"/>
      <c r="C34" s="16"/>
      <c r="D34" s="17"/>
      <c r="E34" s="26"/>
      <c r="F34" s="27"/>
      <c r="G34" s="27"/>
      <c r="H34" s="27"/>
      <c r="I34" s="27"/>
      <c r="J34" s="27"/>
      <c r="K34" s="27"/>
      <c r="L34" s="27"/>
      <c r="M34" s="27"/>
      <c r="N34" s="28"/>
      <c r="O34" s="17"/>
      <c r="P34" s="31" t="s">
        <v>40</v>
      </c>
      <c r="Q34" s="31">
        <f>SUMIFS($AJ$2:$AJ$12001,$AG$2:$AG$12001,$W$3,$AH$2:$AH$12001,2)</f>
        <v>0</v>
      </c>
      <c r="R34" s="32">
        <f>SUMIFS($AD$2:$AD$12001,$AJ$2:$AJ$12001,1,$AG$2:$AG$12001,$W$3,$AH$2:$AH$12001,2)</f>
        <v>0</v>
      </c>
      <c r="S34" s="31">
        <f>SUMIFS($AF$2:$AF$12001,$AJ$2:$AJ$12001,1,$AG$2:$AG$12001,$W$3,$AH$2:$AH$12001,2)</f>
        <v>0</v>
      </c>
      <c r="T34" s="43">
        <f t="shared" si="11"/>
        <v>0</v>
      </c>
      <c r="U34" s="27"/>
      <c r="V34" s="27"/>
      <c r="W34" s="28"/>
      <c r="AA34" t="str">
        <f>IF(COUNTA('Procyclean BIO'!A35,'Procyclean BIO'!B35,'Procyclean BIO'!C35)&gt;0,"BIO","")</f>
        <v/>
      </c>
      <c r="AB34" t="str">
        <f>IFERROR(IF(ISNUMBER('Procyclean BIO'!A35),'Procyclean BIO'!A35,DATEVALUE('Procyclean BIO'!A35)),"")</f>
        <v/>
      </c>
      <c r="AC34" t="str">
        <f>IF(AA34="","",'Procyclean BIO'!B35)</f>
        <v/>
      </c>
      <c r="AD34" t="str">
        <f>IF(AA34="","",IFERROR(1*'Procyclean BIO'!C35,IFERROR(_xludf.NUMBERVALUE('Procyclean BIO'!C35,".",","),IFERROR(_xludf.NUMBERVALUE('Procyclean BIO'!C35,",","."),0))))</f>
        <v/>
      </c>
      <c r="AE34" t="str">
        <f>IF(AA34="","",'Procyclean BIO'!J35)</f>
        <v/>
      </c>
      <c r="AF34">
        <f t="shared" si="0"/>
        <v>0</v>
      </c>
      <c r="AG34" t="str">
        <f t="shared" si="1"/>
        <v/>
      </c>
      <c r="AH34" t="str">
        <f t="shared" si="2"/>
        <v/>
      </c>
      <c r="AI34">
        <f t="shared" si="3"/>
        <v>0</v>
      </c>
      <c r="AJ34">
        <f t="shared" si="4"/>
        <v>0</v>
      </c>
      <c r="AK34">
        <v>0</v>
      </c>
      <c r="AL34" t="str">
        <f>IF(AA34="","",IFERROR(IF(ISNUMBER('Procyclean BIO'!D35),'Procyclean BIO'!D35,IF(ISNUMBER(SEARCH("12",'Procyclean BIO'!D35)),EDATE(AB34,12),IF(ISNUMBER(SEARCH("6",'Procyclean BIO'!D35)),EDATE(AB34,6),IF(ISNUMBER(SEARCH("3",'Procyclean BIO'!D35)),EDATE(AB34,3),DATEVALUE('Procyclean BIO'!D35))))),""))</f>
        <v/>
      </c>
      <c r="AM34" t="str">
        <f t="shared" ca="1" si="5"/>
        <v/>
      </c>
    </row>
    <row r="35" spans="1:39" ht="22.05" customHeight="1" x14ac:dyDescent="0.3">
      <c r="A35" s="16"/>
      <c r="B35" s="16"/>
      <c r="C35" s="16"/>
      <c r="D35" s="17"/>
      <c r="E35" s="26"/>
      <c r="F35" s="27"/>
      <c r="G35" s="27"/>
      <c r="H35" s="27"/>
      <c r="I35" s="27"/>
      <c r="J35" s="27"/>
      <c r="K35" s="27"/>
      <c r="L35" s="27"/>
      <c r="M35" s="27"/>
      <c r="N35" s="28"/>
      <c r="O35" s="17"/>
      <c r="P35" s="35" t="s">
        <v>41</v>
      </c>
      <c r="Q35" s="35">
        <f>SUMIFS($AJ$2:$AJ$12001,$AG$2:$AG$12001,$W$3,$AH$2:$AH$12001,3)</f>
        <v>1</v>
      </c>
      <c r="R35" s="36">
        <f>SUMIFS($AD$2:$AD$12001,$AJ$2:$AJ$12001,1,$AG$2:$AG$12001,$W$3,$AH$2:$AH$12001,3)</f>
        <v>125</v>
      </c>
      <c r="S35" s="35">
        <f>SUMIFS($AF$2:$AF$12001,$AJ$2:$AJ$12001,1,$AG$2:$AG$12001,$W$3,$AH$2:$AH$12001,3)</f>
        <v>1</v>
      </c>
      <c r="T35" s="42">
        <f t="shared" si="11"/>
        <v>1</v>
      </c>
      <c r="U35" s="27"/>
      <c r="V35" s="27"/>
      <c r="W35" s="28"/>
      <c r="AA35" t="str">
        <f>IF(COUNTA('Procyclean BIO'!A36,'Procyclean BIO'!B36,'Procyclean BIO'!C36)&gt;0,"BIO","")</f>
        <v/>
      </c>
      <c r="AB35" t="str">
        <f>IFERROR(IF(ISNUMBER('Procyclean BIO'!A36),'Procyclean BIO'!A36,DATEVALUE('Procyclean BIO'!A36)),"")</f>
        <v/>
      </c>
      <c r="AC35" t="str">
        <f>IF(AA35="","",'Procyclean BIO'!B36)</f>
        <v/>
      </c>
      <c r="AD35" t="str">
        <f>IF(AA35="","",IFERROR(1*'Procyclean BIO'!C36,IFERROR(_xludf.NUMBERVALUE('Procyclean BIO'!C36,".",","),IFERROR(_xludf.NUMBERVALUE('Procyclean BIO'!C36,",","."),0))))</f>
        <v/>
      </c>
      <c r="AE35" t="str">
        <f>IF(AA35="","",'Procyclean BIO'!J36)</f>
        <v/>
      </c>
      <c r="AF35">
        <f t="shared" si="0"/>
        <v>0</v>
      </c>
      <c r="AG35" t="str">
        <f t="shared" si="1"/>
        <v/>
      </c>
      <c r="AH35" t="str">
        <f t="shared" si="2"/>
        <v/>
      </c>
      <c r="AI35">
        <f t="shared" si="3"/>
        <v>0</v>
      </c>
      <c r="AJ35">
        <f t="shared" si="4"/>
        <v>0</v>
      </c>
      <c r="AK35">
        <v>0</v>
      </c>
      <c r="AL35" t="str">
        <f>IF(AA35="","",IFERROR(IF(ISNUMBER('Procyclean BIO'!D36),'Procyclean BIO'!D36,IF(ISNUMBER(SEARCH("12",'Procyclean BIO'!D36)),EDATE(AB35,12),IF(ISNUMBER(SEARCH("6",'Procyclean BIO'!D36)),EDATE(AB35,6),IF(ISNUMBER(SEARCH("3",'Procyclean BIO'!D36)),EDATE(AB35,3),DATEVALUE('Procyclean BIO'!D36))))),""))</f>
        <v/>
      </c>
      <c r="AM35" t="str">
        <f t="shared" ca="1" si="5"/>
        <v/>
      </c>
    </row>
    <row r="36" spans="1:39" ht="22.05" customHeight="1" x14ac:dyDescent="0.3">
      <c r="A36" s="16"/>
      <c r="B36" s="16"/>
      <c r="C36" s="16"/>
      <c r="D36" s="17"/>
      <c r="E36" s="26"/>
      <c r="F36" s="27"/>
      <c r="G36" s="27"/>
      <c r="H36" s="27"/>
      <c r="I36" s="27"/>
      <c r="J36" s="27"/>
      <c r="K36" s="27"/>
      <c r="L36" s="27"/>
      <c r="M36" s="27"/>
      <c r="N36" s="28"/>
      <c r="O36" s="17"/>
      <c r="P36" s="31" t="s">
        <v>42</v>
      </c>
      <c r="Q36" s="31">
        <f>SUMIFS($AJ$2:$AJ$12001,$AG$2:$AG$12001,$W$3,$AH$2:$AH$12001,4)</f>
        <v>0</v>
      </c>
      <c r="R36" s="32">
        <f>SUMIFS($AD$2:$AD$12001,$AJ$2:$AJ$12001,1,$AG$2:$AG$12001,$W$3,$AH$2:$AH$12001,4)</f>
        <v>0</v>
      </c>
      <c r="S36" s="31">
        <f>SUMIFS($AF$2:$AF$12001,$AJ$2:$AJ$12001,1,$AG$2:$AG$12001,$W$3,$AH$2:$AH$12001,4)</f>
        <v>0</v>
      </c>
      <c r="T36" s="43">
        <f t="shared" si="11"/>
        <v>0</v>
      </c>
      <c r="U36" s="27"/>
      <c r="V36" s="27"/>
      <c r="W36" s="28"/>
      <c r="AA36" t="str">
        <f>IF(COUNTA('Procyclean BIO'!A37,'Procyclean BIO'!B37,'Procyclean BIO'!C37)&gt;0,"BIO","")</f>
        <v/>
      </c>
      <c r="AB36" t="str">
        <f>IFERROR(IF(ISNUMBER('Procyclean BIO'!A37),'Procyclean BIO'!A37,DATEVALUE('Procyclean BIO'!A37)),"")</f>
        <v/>
      </c>
      <c r="AC36" t="str">
        <f>IF(AA36="","",'Procyclean BIO'!B37)</f>
        <v/>
      </c>
      <c r="AD36" t="str">
        <f>IF(AA36="","",IFERROR(1*'Procyclean BIO'!C37,IFERROR(_xludf.NUMBERVALUE('Procyclean BIO'!C37,".",","),IFERROR(_xludf.NUMBERVALUE('Procyclean BIO'!C37,",","."),0))))</f>
        <v/>
      </c>
      <c r="AE36" t="str">
        <f>IF(AA36="","",'Procyclean BIO'!J37)</f>
        <v/>
      </c>
      <c r="AF36">
        <f t="shared" si="0"/>
        <v>0</v>
      </c>
      <c r="AG36" t="str">
        <f t="shared" si="1"/>
        <v/>
      </c>
      <c r="AH36" t="str">
        <f t="shared" si="2"/>
        <v/>
      </c>
      <c r="AI36">
        <f t="shared" si="3"/>
        <v>0</v>
      </c>
      <c r="AJ36">
        <f t="shared" si="4"/>
        <v>0</v>
      </c>
      <c r="AK36">
        <v>0</v>
      </c>
      <c r="AL36" t="str">
        <f>IF(AA36="","",IFERROR(IF(ISNUMBER('Procyclean BIO'!D37),'Procyclean BIO'!D37,IF(ISNUMBER(SEARCH("12",'Procyclean BIO'!D37)),EDATE(AB36,12),IF(ISNUMBER(SEARCH("6",'Procyclean BIO'!D37)),EDATE(AB36,6),IF(ISNUMBER(SEARCH("3",'Procyclean BIO'!D37)),EDATE(AB36,3),DATEVALUE('Procyclean BIO'!D37))))),""))</f>
        <v/>
      </c>
      <c r="AM36" t="str">
        <f t="shared" ca="1" si="5"/>
        <v/>
      </c>
    </row>
    <row r="37" spans="1:39" ht="22.05" customHeight="1" x14ac:dyDescent="0.3">
      <c r="A37" s="16"/>
      <c r="B37" s="16"/>
      <c r="C37" s="16"/>
      <c r="D37" s="17"/>
      <c r="E37" s="26"/>
      <c r="F37" s="27"/>
      <c r="G37" s="27"/>
      <c r="H37" s="27"/>
      <c r="I37" s="27"/>
      <c r="J37" s="27"/>
      <c r="K37" s="27"/>
      <c r="L37" s="27"/>
      <c r="M37" s="27"/>
      <c r="N37" s="28"/>
      <c r="O37" s="17"/>
      <c r="P37" s="35" t="s">
        <v>43</v>
      </c>
      <c r="Q37" s="35">
        <f>SUMIFS($AJ$2:$AJ$12001,$AG$2:$AG$12001,$W$3,$AH$2:$AH$12001,5)</f>
        <v>1</v>
      </c>
      <c r="R37" s="36">
        <f>SUMIFS($AD$2:$AD$12001,$AJ$2:$AJ$12001,1,$AG$2:$AG$12001,$W$3,$AH$2:$AH$12001,5)</f>
        <v>100</v>
      </c>
      <c r="S37" s="35">
        <f>SUMIFS($AF$2:$AF$12001,$AJ$2:$AJ$12001,1,$AG$2:$AG$12001,$W$3,$AH$2:$AH$12001,5)</f>
        <v>1</v>
      </c>
      <c r="T37" s="42">
        <f t="shared" si="11"/>
        <v>1</v>
      </c>
      <c r="U37" s="27"/>
      <c r="V37" s="27"/>
      <c r="W37" s="28"/>
      <c r="AA37" t="str">
        <f>IF(COUNTA('Procyclean BIO'!A38,'Procyclean BIO'!B38,'Procyclean BIO'!C38)&gt;0,"BIO","")</f>
        <v/>
      </c>
      <c r="AB37" t="str">
        <f>IFERROR(IF(ISNUMBER('Procyclean BIO'!A38),'Procyclean BIO'!A38,DATEVALUE('Procyclean BIO'!A38)),"")</f>
        <v/>
      </c>
      <c r="AC37" t="str">
        <f>IF(AA37="","",'Procyclean BIO'!B38)</f>
        <v/>
      </c>
      <c r="AD37" t="str">
        <f>IF(AA37="","",IFERROR(1*'Procyclean BIO'!C38,IFERROR(_xludf.NUMBERVALUE('Procyclean BIO'!C38,".",","),IFERROR(_xludf.NUMBERVALUE('Procyclean BIO'!C38,",","."),0))))</f>
        <v/>
      </c>
      <c r="AE37" t="str">
        <f>IF(AA37="","",'Procyclean BIO'!J38)</f>
        <v/>
      </c>
      <c r="AF37">
        <f t="shared" si="0"/>
        <v>0</v>
      </c>
      <c r="AG37" t="str">
        <f t="shared" si="1"/>
        <v/>
      </c>
      <c r="AH37" t="str">
        <f t="shared" si="2"/>
        <v/>
      </c>
      <c r="AI37">
        <f t="shared" si="3"/>
        <v>0</v>
      </c>
      <c r="AJ37">
        <f t="shared" si="4"/>
        <v>0</v>
      </c>
      <c r="AK37">
        <v>0</v>
      </c>
      <c r="AL37" t="str">
        <f>IF(AA37="","",IFERROR(IF(ISNUMBER('Procyclean BIO'!D38),'Procyclean BIO'!D38,IF(ISNUMBER(SEARCH("12",'Procyclean BIO'!D38)),EDATE(AB37,12),IF(ISNUMBER(SEARCH("6",'Procyclean BIO'!D38)),EDATE(AB37,6),IF(ISNUMBER(SEARCH("3",'Procyclean BIO'!D38)),EDATE(AB37,3),DATEVALUE('Procyclean BIO'!D38))))),""))</f>
        <v/>
      </c>
      <c r="AM37" t="str">
        <f t="shared" ca="1" si="5"/>
        <v/>
      </c>
    </row>
    <row r="38" spans="1:39" ht="22.05" customHeight="1" x14ac:dyDescent="0.3">
      <c r="A38" s="16"/>
      <c r="B38" s="16"/>
      <c r="C38" s="16"/>
      <c r="D38" s="17"/>
      <c r="E38" s="26"/>
      <c r="F38" s="27"/>
      <c r="G38" s="27"/>
      <c r="H38" s="27"/>
      <c r="I38" s="27"/>
      <c r="J38" s="27"/>
      <c r="K38" s="27"/>
      <c r="L38" s="27"/>
      <c r="M38" s="27"/>
      <c r="N38" s="28"/>
      <c r="O38" s="17"/>
      <c r="P38" s="31" t="s">
        <v>44</v>
      </c>
      <c r="Q38" s="31">
        <f>SUMIFS($AJ$2:$AJ$12001,$AG$2:$AG$12001,$W$3,$AH$2:$AH$12001,6)</f>
        <v>0</v>
      </c>
      <c r="R38" s="32">
        <f>SUMIFS($AD$2:$AD$12001,$AJ$2:$AJ$12001,1,$AG$2:$AG$12001,$W$3,$AH$2:$AH$12001,6)</f>
        <v>0</v>
      </c>
      <c r="S38" s="31">
        <f>SUMIFS($AF$2:$AF$12001,$AJ$2:$AJ$12001,1,$AG$2:$AG$12001,$W$3,$AH$2:$AH$12001,6)</f>
        <v>0</v>
      </c>
      <c r="T38" s="43">
        <f t="shared" si="11"/>
        <v>0</v>
      </c>
      <c r="U38" s="27"/>
      <c r="V38" s="27"/>
      <c r="W38" s="28"/>
      <c r="AA38" t="str">
        <f>IF(COUNTA('Procyclean BIO'!A39,'Procyclean BIO'!B39,'Procyclean BIO'!C39)&gt;0,"BIO","")</f>
        <v/>
      </c>
      <c r="AB38" t="str">
        <f>IFERROR(IF(ISNUMBER('Procyclean BIO'!A39),'Procyclean BIO'!A39,DATEVALUE('Procyclean BIO'!A39)),"")</f>
        <v/>
      </c>
      <c r="AC38" t="str">
        <f>IF(AA38="","",'Procyclean BIO'!B39)</f>
        <v/>
      </c>
      <c r="AD38" t="str">
        <f>IF(AA38="","",IFERROR(1*'Procyclean BIO'!C39,IFERROR(_xludf.NUMBERVALUE('Procyclean BIO'!C39,".",","),IFERROR(_xludf.NUMBERVALUE('Procyclean BIO'!C39,",","."),0))))</f>
        <v/>
      </c>
      <c r="AE38" t="str">
        <f>IF(AA38="","",'Procyclean BIO'!J39)</f>
        <v/>
      </c>
      <c r="AF38">
        <f t="shared" si="0"/>
        <v>0</v>
      </c>
      <c r="AG38" t="str">
        <f t="shared" si="1"/>
        <v/>
      </c>
      <c r="AH38" t="str">
        <f t="shared" si="2"/>
        <v/>
      </c>
      <c r="AI38">
        <f t="shared" si="3"/>
        <v>0</v>
      </c>
      <c r="AJ38">
        <f t="shared" si="4"/>
        <v>0</v>
      </c>
      <c r="AK38">
        <v>0</v>
      </c>
      <c r="AL38" t="str">
        <f>IF(AA38="","",IFERROR(IF(ISNUMBER('Procyclean BIO'!D39),'Procyclean BIO'!D39,IF(ISNUMBER(SEARCH("12",'Procyclean BIO'!D39)),EDATE(AB38,12),IF(ISNUMBER(SEARCH("6",'Procyclean BIO'!D39)),EDATE(AB38,6),IF(ISNUMBER(SEARCH("3",'Procyclean BIO'!D39)),EDATE(AB38,3),DATEVALUE('Procyclean BIO'!D39))))),""))</f>
        <v/>
      </c>
      <c r="AM38" t="str">
        <f t="shared" ca="1" si="5"/>
        <v/>
      </c>
    </row>
    <row r="39" spans="1:39" ht="22.05" customHeight="1" x14ac:dyDescent="0.3">
      <c r="A39" s="16"/>
      <c r="B39" s="16"/>
      <c r="C39" s="16"/>
      <c r="D39" s="17"/>
      <c r="E39" s="26"/>
      <c r="F39" s="27"/>
      <c r="G39" s="27"/>
      <c r="H39" s="27"/>
      <c r="I39" s="27"/>
      <c r="J39" s="27"/>
      <c r="K39" s="27"/>
      <c r="L39" s="27"/>
      <c r="M39" s="27"/>
      <c r="N39" s="28"/>
      <c r="O39" s="17"/>
      <c r="P39" s="35" t="s">
        <v>45</v>
      </c>
      <c r="Q39" s="35">
        <f>SUMIFS($AJ$2:$AJ$12001,$AG$2:$AG$12001,$W$3,$AH$2:$AH$12001,7)</f>
        <v>1</v>
      </c>
      <c r="R39" s="36">
        <f>SUMIFS($AD$2:$AD$12001,$AJ$2:$AJ$12001,1,$AG$2:$AG$12001,$W$3,$AH$2:$AH$12001,7)</f>
        <v>150</v>
      </c>
      <c r="S39" s="35">
        <f>SUMIFS($AF$2:$AF$12001,$AJ$2:$AJ$12001,1,$AG$2:$AG$12001,$W$3,$AH$2:$AH$12001,7)</f>
        <v>1</v>
      </c>
      <c r="T39" s="42">
        <f t="shared" si="11"/>
        <v>1</v>
      </c>
      <c r="U39" s="27"/>
      <c r="V39" s="27"/>
      <c r="W39" s="28"/>
      <c r="AA39" t="str">
        <f>IF(COUNTA('Procyclean BIO'!A40,'Procyclean BIO'!B40,'Procyclean BIO'!C40)&gt;0,"BIO","")</f>
        <v/>
      </c>
      <c r="AB39" t="str">
        <f>IFERROR(IF(ISNUMBER('Procyclean BIO'!A40),'Procyclean BIO'!A40,DATEVALUE('Procyclean BIO'!A40)),"")</f>
        <v/>
      </c>
      <c r="AC39" t="str">
        <f>IF(AA39="","",'Procyclean BIO'!B40)</f>
        <v/>
      </c>
      <c r="AD39" t="str">
        <f>IF(AA39="","",IFERROR(1*'Procyclean BIO'!C40,IFERROR(_xludf.NUMBERVALUE('Procyclean BIO'!C40,".",","),IFERROR(_xludf.NUMBERVALUE('Procyclean BIO'!C40,",","."),0))))</f>
        <v/>
      </c>
      <c r="AE39" t="str">
        <f>IF(AA39="","",'Procyclean BIO'!J40)</f>
        <v/>
      </c>
      <c r="AF39">
        <f t="shared" si="0"/>
        <v>0</v>
      </c>
      <c r="AG39" t="str">
        <f t="shared" si="1"/>
        <v/>
      </c>
      <c r="AH39" t="str">
        <f t="shared" si="2"/>
        <v/>
      </c>
      <c r="AI39">
        <f t="shared" si="3"/>
        <v>0</v>
      </c>
      <c r="AJ39">
        <f t="shared" si="4"/>
        <v>0</v>
      </c>
      <c r="AK39">
        <v>0</v>
      </c>
      <c r="AL39" t="str">
        <f>IF(AA39="","",IFERROR(IF(ISNUMBER('Procyclean BIO'!D40),'Procyclean BIO'!D40,IF(ISNUMBER(SEARCH("12",'Procyclean BIO'!D40)),EDATE(AB39,12),IF(ISNUMBER(SEARCH("6",'Procyclean BIO'!D40)),EDATE(AB39,6),IF(ISNUMBER(SEARCH("3",'Procyclean BIO'!D40)),EDATE(AB39,3),DATEVALUE('Procyclean BIO'!D40))))),""))</f>
        <v/>
      </c>
      <c r="AM39" t="str">
        <f t="shared" ca="1" si="5"/>
        <v/>
      </c>
    </row>
    <row r="40" spans="1:39" ht="22.05" customHeight="1" x14ac:dyDescent="0.3">
      <c r="A40" s="16"/>
      <c r="B40" s="16"/>
      <c r="C40" s="16"/>
      <c r="D40" s="17"/>
      <c r="E40" s="26"/>
      <c r="F40" s="27"/>
      <c r="G40" s="27"/>
      <c r="H40" s="27"/>
      <c r="I40" s="27"/>
      <c r="J40" s="27"/>
      <c r="K40" s="27"/>
      <c r="L40" s="27"/>
      <c r="M40" s="27"/>
      <c r="N40" s="28"/>
      <c r="O40" s="17"/>
      <c r="P40" s="31" t="s">
        <v>46</v>
      </c>
      <c r="Q40" s="31">
        <f>SUMIFS($AJ$2:$AJ$12001,$AG$2:$AG$12001,$W$3,$AH$2:$AH$12001,8)</f>
        <v>1</v>
      </c>
      <c r="R40" s="32">
        <f>SUMIFS($AD$2:$AD$12001,$AJ$2:$AJ$12001,1,$AG$2:$AG$12001,$W$3,$AH$2:$AH$12001,8)</f>
        <v>25</v>
      </c>
      <c r="S40" s="31">
        <f>SUMIFS($AF$2:$AF$12001,$AJ$2:$AJ$12001,1,$AG$2:$AG$12001,$W$3,$AH$2:$AH$12001,8)</f>
        <v>1</v>
      </c>
      <c r="T40" s="43">
        <f t="shared" si="11"/>
        <v>1</v>
      </c>
      <c r="U40" s="27"/>
      <c r="V40" s="27"/>
      <c r="W40" s="28"/>
      <c r="AA40" t="str">
        <f>IF(COUNTA('Procyclean BIO'!A41,'Procyclean BIO'!B41,'Procyclean BIO'!C41)&gt;0,"BIO","")</f>
        <v/>
      </c>
      <c r="AB40" t="str">
        <f>IFERROR(IF(ISNUMBER('Procyclean BIO'!A41),'Procyclean BIO'!A41,DATEVALUE('Procyclean BIO'!A41)),"")</f>
        <v/>
      </c>
      <c r="AC40" t="str">
        <f>IF(AA40="","",'Procyclean BIO'!B41)</f>
        <v/>
      </c>
      <c r="AD40" t="str">
        <f>IF(AA40="","",IFERROR(1*'Procyclean BIO'!C41,IFERROR(_xludf.NUMBERVALUE('Procyclean BIO'!C41,".",","),IFERROR(_xludf.NUMBERVALUE('Procyclean BIO'!C41,",","."),0))))</f>
        <v/>
      </c>
      <c r="AE40" t="str">
        <f>IF(AA40="","",'Procyclean BIO'!J41)</f>
        <v/>
      </c>
      <c r="AF40">
        <f t="shared" si="0"/>
        <v>0</v>
      </c>
      <c r="AG40" t="str">
        <f t="shared" si="1"/>
        <v/>
      </c>
      <c r="AH40" t="str">
        <f t="shared" si="2"/>
        <v/>
      </c>
      <c r="AI40">
        <f t="shared" si="3"/>
        <v>0</v>
      </c>
      <c r="AJ40">
        <f t="shared" si="4"/>
        <v>0</v>
      </c>
      <c r="AK40">
        <v>0</v>
      </c>
      <c r="AL40" t="str">
        <f>IF(AA40="","",IFERROR(IF(ISNUMBER('Procyclean BIO'!D41),'Procyclean BIO'!D41,IF(ISNUMBER(SEARCH("12",'Procyclean BIO'!D41)),EDATE(AB40,12),IF(ISNUMBER(SEARCH("6",'Procyclean BIO'!D41)),EDATE(AB40,6),IF(ISNUMBER(SEARCH("3",'Procyclean BIO'!D41)),EDATE(AB40,3),DATEVALUE('Procyclean BIO'!D41))))),""))</f>
        <v/>
      </c>
      <c r="AM40" t="str">
        <f t="shared" ca="1" si="5"/>
        <v/>
      </c>
    </row>
    <row r="41" spans="1:39" ht="22.05" customHeight="1" x14ac:dyDescent="0.3">
      <c r="A41" s="16"/>
      <c r="B41" s="16"/>
      <c r="C41" s="16"/>
      <c r="D41" s="17"/>
      <c r="E41" s="26"/>
      <c r="F41" s="27"/>
      <c r="G41" s="27"/>
      <c r="H41" s="27"/>
      <c r="I41" s="27"/>
      <c r="J41" s="27"/>
      <c r="K41" s="27"/>
      <c r="L41" s="27"/>
      <c r="M41" s="27"/>
      <c r="N41" s="28"/>
      <c r="O41" s="17"/>
      <c r="P41" s="35" t="s">
        <v>47</v>
      </c>
      <c r="Q41" s="35">
        <f>SUMIFS($AJ$2:$AJ$12001,$AG$2:$AG$12001,$W$3,$AH$2:$AH$12001,9)</f>
        <v>2</v>
      </c>
      <c r="R41" s="36">
        <f>SUMIFS($AD$2:$AD$12001,$AJ$2:$AJ$12001,1,$AG$2:$AG$12001,$W$3,$AH$2:$AH$12001,9)</f>
        <v>300</v>
      </c>
      <c r="S41" s="35">
        <f>SUMIFS($AF$2:$AF$12001,$AJ$2:$AJ$12001,1,$AG$2:$AG$12001,$W$3,$AH$2:$AH$12001,9)</f>
        <v>2</v>
      </c>
      <c r="T41" s="42">
        <f t="shared" si="11"/>
        <v>1</v>
      </c>
      <c r="U41" s="27"/>
      <c r="V41" s="27"/>
      <c r="W41" s="28"/>
      <c r="AA41" t="str">
        <f>IF(COUNTA('Procyclean BIO'!A42,'Procyclean BIO'!B42,'Procyclean BIO'!C42)&gt;0,"BIO","")</f>
        <v/>
      </c>
      <c r="AB41" t="str">
        <f>IFERROR(IF(ISNUMBER('Procyclean BIO'!A42),'Procyclean BIO'!A42,DATEVALUE('Procyclean BIO'!A42)),"")</f>
        <v/>
      </c>
      <c r="AC41" t="str">
        <f>IF(AA41="","",'Procyclean BIO'!B42)</f>
        <v/>
      </c>
      <c r="AD41" t="str">
        <f>IF(AA41="","",IFERROR(1*'Procyclean BIO'!C42,IFERROR(_xludf.NUMBERVALUE('Procyclean BIO'!C42,".",","),IFERROR(_xludf.NUMBERVALUE('Procyclean BIO'!C42,",","."),0))))</f>
        <v/>
      </c>
      <c r="AE41" t="str">
        <f>IF(AA41="","",'Procyclean BIO'!J42)</f>
        <v/>
      </c>
      <c r="AF41">
        <f t="shared" si="0"/>
        <v>0</v>
      </c>
      <c r="AG41" t="str">
        <f t="shared" si="1"/>
        <v/>
      </c>
      <c r="AH41" t="str">
        <f t="shared" si="2"/>
        <v/>
      </c>
      <c r="AI41">
        <f t="shared" si="3"/>
        <v>0</v>
      </c>
      <c r="AJ41">
        <f t="shared" si="4"/>
        <v>0</v>
      </c>
      <c r="AK41">
        <v>0</v>
      </c>
      <c r="AL41" t="str">
        <f>IF(AA41="","",IFERROR(IF(ISNUMBER('Procyclean BIO'!D42),'Procyclean BIO'!D42,IF(ISNUMBER(SEARCH("12",'Procyclean BIO'!D42)),EDATE(AB41,12),IF(ISNUMBER(SEARCH("6",'Procyclean BIO'!D42)),EDATE(AB41,6),IF(ISNUMBER(SEARCH("3",'Procyclean BIO'!D42)),EDATE(AB41,3),DATEVALUE('Procyclean BIO'!D42))))),""))</f>
        <v/>
      </c>
      <c r="AM41" t="str">
        <f t="shared" ca="1" si="5"/>
        <v/>
      </c>
    </row>
    <row r="42" spans="1:39" ht="22.05" customHeight="1" x14ac:dyDescent="0.3">
      <c r="A42" s="16"/>
      <c r="B42" s="16"/>
      <c r="C42" s="16"/>
      <c r="D42" s="17"/>
      <c r="E42" s="26"/>
      <c r="F42" s="27"/>
      <c r="G42" s="27"/>
      <c r="H42" s="27"/>
      <c r="I42" s="27"/>
      <c r="J42" s="27"/>
      <c r="K42" s="27"/>
      <c r="L42" s="27"/>
      <c r="M42" s="27"/>
      <c r="N42" s="28"/>
      <c r="O42" s="17"/>
      <c r="P42" s="31" t="s">
        <v>48</v>
      </c>
      <c r="Q42" s="31">
        <f>SUMIFS($AJ$2:$AJ$12001,$AG$2:$AG$12001,$W$3,$AH$2:$AH$12001,10)</f>
        <v>1</v>
      </c>
      <c r="R42" s="32">
        <f>SUMIFS($AD$2:$AD$12001,$AJ$2:$AJ$12001,1,$AG$2:$AG$12001,$W$3,$AH$2:$AH$12001,10)</f>
        <v>200</v>
      </c>
      <c r="S42" s="31">
        <f>SUMIFS($AF$2:$AF$12001,$AJ$2:$AJ$12001,1,$AG$2:$AG$12001,$W$3,$AH$2:$AH$12001,10)</f>
        <v>1</v>
      </c>
      <c r="T42" s="43">
        <f t="shared" si="11"/>
        <v>1</v>
      </c>
      <c r="U42" s="27"/>
      <c r="V42" s="27"/>
      <c r="W42" s="28"/>
      <c r="AA42" t="str">
        <f>IF(COUNTA('Procyclean BIO'!A43,'Procyclean BIO'!B43,'Procyclean BIO'!C43)&gt;0,"BIO","")</f>
        <v/>
      </c>
      <c r="AB42" t="str">
        <f>IFERROR(IF(ISNUMBER('Procyclean BIO'!A43),'Procyclean BIO'!A43,DATEVALUE('Procyclean BIO'!A43)),"")</f>
        <v/>
      </c>
      <c r="AC42" t="str">
        <f>IF(AA42="","",'Procyclean BIO'!B43)</f>
        <v/>
      </c>
      <c r="AD42" t="str">
        <f>IF(AA42="","",IFERROR(1*'Procyclean BIO'!C43,IFERROR(_xludf.NUMBERVALUE('Procyclean BIO'!C43,".",","),IFERROR(_xludf.NUMBERVALUE('Procyclean BIO'!C43,",","."),0))))</f>
        <v/>
      </c>
      <c r="AE42" t="str">
        <f>IF(AA42="","",'Procyclean BIO'!J43)</f>
        <v/>
      </c>
      <c r="AF42">
        <f t="shared" si="0"/>
        <v>0</v>
      </c>
      <c r="AG42" t="str">
        <f t="shared" si="1"/>
        <v/>
      </c>
      <c r="AH42" t="str">
        <f t="shared" si="2"/>
        <v/>
      </c>
      <c r="AI42">
        <f t="shared" si="3"/>
        <v>0</v>
      </c>
      <c r="AJ42">
        <f t="shared" si="4"/>
        <v>0</v>
      </c>
      <c r="AK42">
        <v>0</v>
      </c>
      <c r="AL42" t="str">
        <f>IF(AA42="","",IFERROR(IF(ISNUMBER('Procyclean BIO'!D43),'Procyclean BIO'!D43,IF(ISNUMBER(SEARCH("12",'Procyclean BIO'!D43)),EDATE(AB42,12),IF(ISNUMBER(SEARCH("6",'Procyclean BIO'!D43)),EDATE(AB42,6),IF(ISNUMBER(SEARCH("3",'Procyclean BIO'!D43)),EDATE(AB42,3),DATEVALUE('Procyclean BIO'!D43))))),""))</f>
        <v/>
      </c>
      <c r="AM42" t="str">
        <f t="shared" ca="1" si="5"/>
        <v/>
      </c>
    </row>
    <row r="43" spans="1:39" ht="22.05" customHeight="1" x14ac:dyDescent="0.3">
      <c r="A43" s="16"/>
      <c r="B43" s="16"/>
      <c r="C43" s="16"/>
      <c r="D43" s="17"/>
      <c r="E43" s="26"/>
      <c r="F43" s="27"/>
      <c r="G43" s="27"/>
      <c r="H43" s="27"/>
      <c r="I43" s="27"/>
      <c r="J43" s="27"/>
      <c r="K43" s="27"/>
      <c r="L43" s="27"/>
      <c r="M43" s="27"/>
      <c r="N43" s="28"/>
      <c r="O43" s="17"/>
      <c r="P43" s="35" t="s">
        <v>49</v>
      </c>
      <c r="Q43" s="35">
        <f>SUMIFS($AJ$2:$AJ$12001,$AG$2:$AG$12001,$W$3,$AH$2:$AH$12001,11)</f>
        <v>1</v>
      </c>
      <c r="R43" s="36">
        <f>SUMIFS($AD$2:$AD$12001,$AJ$2:$AJ$12001,1,$AG$2:$AG$12001,$W$3,$AH$2:$AH$12001,11)</f>
        <v>125</v>
      </c>
      <c r="S43" s="35">
        <f>SUMIFS($AF$2:$AF$12001,$AJ$2:$AJ$12001,1,$AG$2:$AG$12001,$W$3,$AH$2:$AH$12001,11)</f>
        <v>1</v>
      </c>
      <c r="T43" s="42">
        <f t="shared" si="11"/>
        <v>1</v>
      </c>
      <c r="U43" s="27"/>
      <c r="V43" s="27"/>
      <c r="W43" s="28"/>
      <c r="AA43" t="str">
        <f>IF(COUNTA('Procyclean BIO'!A44,'Procyclean BIO'!B44,'Procyclean BIO'!C44)&gt;0,"BIO","")</f>
        <v/>
      </c>
      <c r="AB43" t="str">
        <f>IFERROR(IF(ISNUMBER('Procyclean BIO'!A44),'Procyclean BIO'!A44,DATEVALUE('Procyclean BIO'!A44)),"")</f>
        <v/>
      </c>
      <c r="AC43" t="str">
        <f>IF(AA43="","",'Procyclean BIO'!B44)</f>
        <v/>
      </c>
      <c r="AD43" t="str">
        <f>IF(AA43="","",IFERROR(1*'Procyclean BIO'!C44,IFERROR(_xludf.NUMBERVALUE('Procyclean BIO'!C44,".",","),IFERROR(_xludf.NUMBERVALUE('Procyclean BIO'!C44,",","."),0))))</f>
        <v/>
      </c>
      <c r="AE43" t="str">
        <f>IF(AA43="","",'Procyclean BIO'!J44)</f>
        <v/>
      </c>
      <c r="AF43">
        <f t="shared" si="0"/>
        <v>0</v>
      </c>
      <c r="AG43" t="str">
        <f t="shared" si="1"/>
        <v/>
      </c>
      <c r="AH43" t="str">
        <f t="shared" si="2"/>
        <v/>
      </c>
      <c r="AI43">
        <f t="shared" si="3"/>
        <v>0</v>
      </c>
      <c r="AJ43">
        <f t="shared" si="4"/>
        <v>0</v>
      </c>
      <c r="AK43">
        <v>0</v>
      </c>
      <c r="AL43" t="str">
        <f>IF(AA43="","",IFERROR(IF(ISNUMBER('Procyclean BIO'!D44),'Procyclean BIO'!D44,IF(ISNUMBER(SEARCH("12",'Procyclean BIO'!D44)),EDATE(AB43,12),IF(ISNUMBER(SEARCH("6",'Procyclean BIO'!D44)),EDATE(AB43,6),IF(ISNUMBER(SEARCH("3",'Procyclean BIO'!D44)),EDATE(AB43,3),DATEVALUE('Procyclean BIO'!D44))))),""))</f>
        <v/>
      </c>
      <c r="AM43" t="str">
        <f t="shared" ca="1" si="5"/>
        <v/>
      </c>
    </row>
    <row r="44" spans="1:39" ht="22.05" customHeight="1" x14ac:dyDescent="0.3">
      <c r="A44" s="16"/>
      <c r="B44" s="16"/>
      <c r="C44" s="16"/>
      <c r="D44" s="17"/>
      <c r="E44" s="26"/>
      <c r="F44" s="27"/>
      <c r="G44" s="27"/>
      <c r="H44" s="27"/>
      <c r="I44" s="27"/>
      <c r="J44" s="27"/>
      <c r="K44" s="27"/>
      <c r="L44" s="27"/>
      <c r="M44" s="27"/>
      <c r="N44" s="28"/>
      <c r="O44" s="17"/>
      <c r="P44" s="31" t="s">
        <v>50</v>
      </c>
      <c r="Q44" s="31">
        <f>SUMIFS($AJ$2:$AJ$12001,$AG$2:$AG$12001,$W$3,$AH$2:$AH$12001,12)</f>
        <v>0</v>
      </c>
      <c r="R44" s="32">
        <f>SUMIFS($AD$2:$AD$12001,$AJ$2:$AJ$12001,1,$AG$2:$AG$12001,$W$3,$AH$2:$AH$12001,12)</f>
        <v>0</v>
      </c>
      <c r="S44" s="31">
        <f>SUMIFS($AF$2:$AF$12001,$AJ$2:$AJ$12001,1,$AG$2:$AG$12001,$W$3,$AH$2:$AH$12001,12)</f>
        <v>0</v>
      </c>
      <c r="T44" s="43">
        <f t="shared" si="11"/>
        <v>0</v>
      </c>
      <c r="U44" s="27"/>
      <c r="V44" s="27"/>
      <c r="W44" s="28"/>
      <c r="AA44" t="str">
        <f>IF(COUNTA('Procyclean BIO'!A45,'Procyclean BIO'!B45,'Procyclean BIO'!C45)&gt;0,"BIO","")</f>
        <v/>
      </c>
      <c r="AB44" t="str">
        <f>IFERROR(IF(ISNUMBER('Procyclean BIO'!A45),'Procyclean BIO'!A45,DATEVALUE('Procyclean BIO'!A45)),"")</f>
        <v/>
      </c>
      <c r="AC44" t="str">
        <f>IF(AA44="","",'Procyclean BIO'!B45)</f>
        <v/>
      </c>
      <c r="AD44" t="str">
        <f>IF(AA44="","",IFERROR(1*'Procyclean BIO'!C45,IFERROR(_xludf.NUMBERVALUE('Procyclean BIO'!C45,".",","),IFERROR(_xludf.NUMBERVALUE('Procyclean BIO'!C45,",","."),0))))</f>
        <v/>
      </c>
      <c r="AE44" t="str">
        <f>IF(AA44="","",'Procyclean BIO'!J45)</f>
        <v/>
      </c>
      <c r="AF44">
        <f t="shared" si="0"/>
        <v>0</v>
      </c>
      <c r="AG44" t="str">
        <f t="shared" si="1"/>
        <v/>
      </c>
      <c r="AH44" t="str">
        <f t="shared" si="2"/>
        <v/>
      </c>
      <c r="AI44">
        <f t="shared" si="3"/>
        <v>0</v>
      </c>
      <c r="AJ44">
        <f t="shared" si="4"/>
        <v>0</v>
      </c>
      <c r="AK44">
        <v>0</v>
      </c>
      <c r="AL44" t="str">
        <f>IF(AA44="","",IFERROR(IF(ISNUMBER('Procyclean BIO'!D45),'Procyclean BIO'!D45,IF(ISNUMBER(SEARCH("12",'Procyclean BIO'!D45)),EDATE(AB44,12),IF(ISNUMBER(SEARCH("6",'Procyclean BIO'!D45)),EDATE(AB44,6),IF(ISNUMBER(SEARCH("3",'Procyclean BIO'!D45)),EDATE(AB44,3),DATEVALUE('Procyclean BIO'!D45))))),""))</f>
        <v/>
      </c>
      <c r="AM44" t="str">
        <f t="shared" ca="1" si="5"/>
        <v/>
      </c>
    </row>
    <row r="45" spans="1:39" ht="22.05" customHeight="1" x14ac:dyDescent="0.3">
      <c r="A45" s="16"/>
      <c r="B45" s="16"/>
      <c r="C45" s="16"/>
      <c r="D45" s="17"/>
      <c r="E45" s="38"/>
      <c r="F45" s="39"/>
      <c r="G45" s="39"/>
      <c r="H45" s="39"/>
      <c r="I45" s="39"/>
      <c r="J45" s="39"/>
      <c r="K45" s="39"/>
      <c r="L45" s="39"/>
      <c r="M45" s="39"/>
      <c r="N45" s="40"/>
      <c r="O45" s="17"/>
      <c r="P45" s="38"/>
      <c r="Q45" s="39"/>
      <c r="R45" s="39"/>
      <c r="S45" s="39"/>
      <c r="T45" s="39"/>
      <c r="U45" s="39"/>
      <c r="V45" s="39"/>
      <c r="W45" s="40"/>
      <c r="AA45" t="str">
        <f>IF(COUNTA('Procyclean BIO'!A46,'Procyclean BIO'!B46,'Procyclean BIO'!C46)&gt;0,"BIO","")</f>
        <v/>
      </c>
      <c r="AB45" t="str">
        <f>IFERROR(IF(ISNUMBER('Procyclean BIO'!A46),'Procyclean BIO'!A46,DATEVALUE('Procyclean BIO'!A46)),"")</f>
        <v/>
      </c>
      <c r="AC45" t="str">
        <f>IF(AA45="","",'Procyclean BIO'!B46)</f>
        <v/>
      </c>
      <c r="AD45" t="str">
        <f>IF(AA45="","",IFERROR(1*'Procyclean BIO'!C46,IFERROR(_xludf.NUMBERVALUE('Procyclean BIO'!C46,".",","),IFERROR(_xludf.NUMBERVALUE('Procyclean BIO'!C46,",","."),0))))</f>
        <v/>
      </c>
      <c r="AE45" t="str">
        <f>IF(AA45="","",'Procyclean BIO'!J46)</f>
        <v/>
      </c>
      <c r="AF45">
        <f t="shared" si="0"/>
        <v>0</v>
      </c>
      <c r="AG45" t="str">
        <f t="shared" si="1"/>
        <v/>
      </c>
      <c r="AH45" t="str">
        <f t="shared" si="2"/>
        <v/>
      </c>
      <c r="AI45">
        <f t="shared" si="3"/>
        <v>0</v>
      </c>
      <c r="AJ45">
        <f t="shared" si="4"/>
        <v>0</v>
      </c>
      <c r="AK45">
        <v>0</v>
      </c>
      <c r="AL45" t="str">
        <f>IF(AA45="","",IFERROR(IF(ISNUMBER('Procyclean BIO'!D46),'Procyclean BIO'!D46,IF(ISNUMBER(SEARCH("12",'Procyclean BIO'!D46)),EDATE(AB45,12),IF(ISNUMBER(SEARCH("6",'Procyclean BIO'!D46)),EDATE(AB45,6),IF(ISNUMBER(SEARCH("3",'Procyclean BIO'!D46)),EDATE(AB45,3),DATEVALUE('Procyclean BIO'!D46))))),""))</f>
        <v/>
      </c>
      <c r="AM45" t="str">
        <f t="shared" ca="1" si="5"/>
        <v/>
      </c>
    </row>
    <row r="46" spans="1:39" ht="22.05" customHeight="1" x14ac:dyDescent="0.3">
      <c r="A46" s="16"/>
      <c r="B46" s="16"/>
      <c r="C46" s="16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AA46" t="str">
        <f>IF(COUNTA('Procyclean BIO'!A47,'Procyclean BIO'!B47,'Procyclean BIO'!C47)&gt;0,"BIO","")</f>
        <v/>
      </c>
      <c r="AB46" t="str">
        <f>IFERROR(IF(ISNUMBER('Procyclean BIO'!A47),'Procyclean BIO'!A47,DATEVALUE('Procyclean BIO'!A47)),"")</f>
        <v/>
      </c>
      <c r="AC46" t="str">
        <f>IF(AA46="","",'Procyclean BIO'!B47)</f>
        <v/>
      </c>
      <c r="AD46" t="str">
        <f>IF(AA46="","",IFERROR(1*'Procyclean BIO'!C47,IFERROR(_xludf.NUMBERVALUE('Procyclean BIO'!C47,".",","),IFERROR(_xludf.NUMBERVALUE('Procyclean BIO'!C47,",","."),0))))</f>
        <v/>
      </c>
      <c r="AE46" t="str">
        <f>IF(AA46="","",'Procyclean BIO'!J47)</f>
        <v/>
      </c>
      <c r="AF46">
        <f t="shared" si="0"/>
        <v>0</v>
      </c>
      <c r="AG46" t="str">
        <f t="shared" si="1"/>
        <v/>
      </c>
      <c r="AH46" t="str">
        <f t="shared" si="2"/>
        <v/>
      </c>
      <c r="AI46">
        <f t="shared" si="3"/>
        <v>0</v>
      </c>
      <c r="AJ46">
        <f t="shared" si="4"/>
        <v>0</v>
      </c>
      <c r="AK46">
        <v>0</v>
      </c>
      <c r="AL46" t="str">
        <f>IF(AA46="","",IFERROR(IF(ISNUMBER('Procyclean BIO'!D47),'Procyclean BIO'!D47,IF(ISNUMBER(SEARCH("12",'Procyclean BIO'!D47)),EDATE(AB46,12),IF(ISNUMBER(SEARCH("6",'Procyclean BIO'!D47)),EDATE(AB46,6),IF(ISNUMBER(SEARCH("3",'Procyclean BIO'!D47)),EDATE(AB46,3),DATEVALUE('Procyclean BIO'!D47))))),""))</f>
        <v/>
      </c>
      <c r="AM46" t="str">
        <f t="shared" ca="1" si="5"/>
        <v/>
      </c>
    </row>
    <row r="47" spans="1:39" ht="22.05" customHeight="1" x14ac:dyDescent="0.3">
      <c r="A47" s="16"/>
      <c r="B47" s="16"/>
      <c r="C47" s="16"/>
      <c r="D47" s="17"/>
      <c r="E47" s="66" t="s">
        <v>51</v>
      </c>
      <c r="F47" s="67"/>
      <c r="G47" s="67"/>
      <c r="H47" s="67"/>
      <c r="I47" s="67"/>
      <c r="J47" s="67"/>
      <c r="K47" s="63"/>
      <c r="L47" s="17"/>
      <c r="M47" s="66" t="s">
        <v>52</v>
      </c>
      <c r="N47" s="67"/>
      <c r="O47" s="67"/>
      <c r="P47" s="67"/>
      <c r="Q47" s="63"/>
      <c r="R47" s="17"/>
      <c r="S47" s="66" t="s">
        <v>53</v>
      </c>
      <c r="T47" s="67"/>
      <c r="U47" s="67"/>
      <c r="V47" s="67"/>
      <c r="W47" s="63"/>
      <c r="AA47" t="str">
        <f>IF(COUNTA('Procyclean BIO'!A48,'Procyclean BIO'!B48,'Procyclean BIO'!C48)&gt;0,"BIO","")</f>
        <v/>
      </c>
      <c r="AB47" t="str">
        <f>IFERROR(IF(ISNUMBER('Procyclean BIO'!A48),'Procyclean BIO'!A48,DATEVALUE('Procyclean BIO'!A48)),"")</f>
        <v/>
      </c>
      <c r="AC47" t="str">
        <f>IF(AA47="","",'Procyclean BIO'!B48)</f>
        <v/>
      </c>
      <c r="AD47" t="str">
        <f>IF(AA47="","",IFERROR(1*'Procyclean BIO'!C48,IFERROR(_xludf.NUMBERVALUE('Procyclean BIO'!C48,".",","),IFERROR(_xludf.NUMBERVALUE('Procyclean BIO'!C48,",","."),0))))</f>
        <v/>
      </c>
      <c r="AE47" t="str">
        <f>IF(AA47="","",'Procyclean BIO'!J48)</f>
        <v/>
      </c>
      <c r="AF47">
        <f t="shared" si="0"/>
        <v>0</v>
      </c>
      <c r="AG47" t="str">
        <f t="shared" si="1"/>
        <v/>
      </c>
      <c r="AH47" t="str">
        <f t="shared" si="2"/>
        <v/>
      </c>
      <c r="AI47">
        <f t="shared" si="3"/>
        <v>0</v>
      </c>
      <c r="AJ47">
        <f t="shared" si="4"/>
        <v>0</v>
      </c>
      <c r="AK47">
        <v>0</v>
      </c>
      <c r="AL47" t="str">
        <f>IF(AA47="","",IFERROR(IF(ISNUMBER('Procyclean BIO'!D48),'Procyclean BIO'!D48,IF(ISNUMBER(SEARCH("12",'Procyclean BIO'!D48)),EDATE(AB47,12),IF(ISNUMBER(SEARCH("6",'Procyclean BIO'!D48)),EDATE(AB47,6),IF(ISNUMBER(SEARCH("3",'Procyclean BIO'!D48)),EDATE(AB47,3),DATEVALUE('Procyclean BIO'!D48))))),""))</f>
        <v/>
      </c>
      <c r="AM47" t="str">
        <f t="shared" ca="1" si="5"/>
        <v/>
      </c>
    </row>
    <row r="48" spans="1:39" ht="22.05" customHeight="1" x14ac:dyDescent="0.3">
      <c r="A48" s="16"/>
      <c r="B48" s="16"/>
      <c r="C48" s="16"/>
      <c r="D48" s="17"/>
      <c r="E48" s="64"/>
      <c r="F48" s="68"/>
      <c r="G48" s="68"/>
      <c r="H48" s="68"/>
      <c r="I48" s="68"/>
      <c r="J48" s="68"/>
      <c r="K48" s="65"/>
      <c r="L48" s="17"/>
      <c r="M48" s="64"/>
      <c r="N48" s="68"/>
      <c r="O48" s="68"/>
      <c r="P48" s="68"/>
      <c r="Q48" s="65"/>
      <c r="R48" s="17"/>
      <c r="S48" s="64"/>
      <c r="T48" s="68"/>
      <c r="U48" s="68"/>
      <c r="V48" s="68"/>
      <c r="W48" s="65"/>
      <c r="AA48" t="str">
        <f>IF(COUNTA('Procyclean BIO'!A49,'Procyclean BIO'!B49,'Procyclean BIO'!C49)&gt;0,"BIO","")</f>
        <v/>
      </c>
      <c r="AB48" t="str">
        <f>IFERROR(IF(ISNUMBER('Procyclean BIO'!A49),'Procyclean BIO'!A49,DATEVALUE('Procyclean BIO'!A49)),"")</f>
        <v/>
      </c>
      <c r="AC48" t="str">
        <f>IF(AA48="","",'Procyclean BIO'!B49)</f>
        <v/>
      </c>
      <c r="AD48" t="str">
        <f>IF(AA48="","",IFERROR(1*'Procyclean BIO'!C49,IFERROR(_xludf.NUMBERVALUE('Procyclean BIO'!C49,".",","),IFERROR(_xludf.NUMBERVALUE('Procyclean BIO'!C49,",","."),0))))</f>
        <v/>
      </c>
      <c r="AE48" t="str">
        <f>IF(AA48="","",'Procyclean BIO'!J49)</f>
        <v/>
      </c>
      <c r="AF48">
        <f t="shared" si="0"/>
        <v>0</v>
      </c>
      <c r="AG48" t="str">
        <f t="shared" si="1"/>
        <v/>
      </c>
      <c r="AH48" t="str">
        <f t="shared" si="2"/>
        <v/>
      </c>
      <c r="AI48">
        <f t="shared" si="3"/>
        <v>0</v>
      </c>
      <c r="AJ48">
        <f t="shared" si="4"/>
        <v>0</v>
      </c>
      <c r="AK48">
        <v>0</v>
      </c>
      <c r="AL48" t="str">
        <f>IF(AA48="","",IFERROR(IF(ISNUMBER('Procyclean BIO'!D49),'Procyclean BIO'!D49,IF(ISNUMBER(SEARCH("12",'Procyclean BIO'!D49)),EDATE(AB48,12),IF(ISNUMBER(SEARCH("6",'Procyclean BIO'!D49)),EDATE(AB48,6),IF(ISNUMBER(SEARCH("3",'Procyclean BIO'!D49)),EDATE(AB48,3),DATEVALUE('Procyclean BIO'!D49))))),""))</f>
        <v/>
      </c>
      <c r="AM48" t="str">
        <f t="shared" ca="1" si="5"/>
        <v/>
      </c>
    </row>
    <row r="49" spans="1:39" ht="22.05" customHeight="1" x14ac:dyDescent="0.3">
      <c r="A49" s="16"/>
      <c r="B49" s="16"/>
      <c r="C49" s="16"/>
      <c r="D49" s="17"/>
      <c r="E49" s="26"/>
      <c r="F49" s="27"/>
      <c r="G49" s="27"/>
      <c r="H49" s="27"/>
      <c r="I49" s="27"/>
      <c r="J49" s="27"/>
      <c r="K49" s="28"/>
      <c r="L49" s="17"/>
      <c r="M49" s="26"/>
      <c r="N49" s="27"/>
      <c r="O49" s="27"/>
      <c r="P49" s="27"/>
      <c r="Q49" s="28"/>
      <c r="R49" s="17"/>
      <c r="S49" s="26"/>
      <c r="T49" s="27"/>
      <c r="U49" s="27"/>
      <c r="V49" s="27"/>
      <c r="W49" s="28"/>
      <c r="AA49" t="str">
        <f>IF(COUNTA('Procyclean BIO'!A50,'Procyclean BIO'!B50,'Procyclean BIO'!C50)&gt;0,"BIO","")</f>
        <v/>
      </c>
      <c r="AB49" t="str">
        <f>IFERROR(IF(ISNUMBER('Procyclean BIO'!A50),'Procyclean BIO'!A50,DATEVALUE('Procyclean BIO'!A50)),"")</f>
        <v/>
      </c>
      <c r="AC49" t="str">
        <f>IF(AA49="","",'Procyclean BIO'!B50)</f>
        <v/>
      </c>
      <c r="AD49" t="str">
        <f>IF(AA49="","",IFERROR(1*'Procyclean BIO'!C50,IFERROR(_xludf.NUMBERVALUE('Procyclean BIO'!C50,".",","),IFERROR(_xludf.NUMBERVALUE('Procyclean BIO'!C50,",","."),0))))</f>
        <v/>
      </c>
      <c r="AE49" t="str">
        <f>IF(AA49="","",'Procyclean BIO'!J50)</f>
        <v/>
      </c>
      <c r="AF49">
        <f t="shared" si="0"/>
        <v>0</v>
      </c>
      <c r="AG49" t="str">
        <f t="shared" si="1"/>
        <v/>
      </c>
      <c r="AH49" t="str">
        <f t="shared" si="2"/>
        <v/>
      </c>
      <c r="AI49">
        <f t="shared" si="3"/>
        <v>0</v>
      </c>
      <c r="AJ49">
        <f t="shared" si="4"/>
        <v>0</v>
      </c>
      <c r="AK49">
        <v>0</v>
      </c>
      <c r="AL49" t="str">
        <f>IF(AA49="","",IFERROR(IF(ISNUMBER('Procyclean BIO'!D50),'Procyclean BIO'!D50,IF(ISNUMBER(SEARCH("12",'Procyclean BIO'!D50)),EDATE(AB49,12),IF(ISNUMBER(SEARCH("6",'Procyclean BIO'!D50)),EDATE(AB49,6),IF(ISNUMBER(SEARCH("3",'Procyclean BIO'!D50)),EDATE(AB49,3),DATEVALUE('Procyclean BIO'!D50))))),""))</f>
        <v/>
      </c>
      <c r="AM49" t="str">
        <f t="shared" ca="1" si="5"/>
        <v/>
      </c>
    </row>
    <row r="50" spans="1:39" ht="22.05" customHeight="1" x14ac:dyDescent="0.3">
      <c r="A50" s="16"/>
      <c r="B50" s="16"/>
      <c r="C50" s="16"/>
      <c r="D50" s="17"/>
      <c r="E50" s="26"/>
      <c r="F50" s="27"/>
      <c r="G50" s="27"/>
      <c r="H50" s="27"/>
      <c r="I50" s="27"/>
      <c r="J50" s="27"/>
      <c r="K50" s="28"/>
      <c r="L50" s="17"/>
      <c r="M50" s="44" t="s">
        <v>4</v>
      </c>
      <c r="N50" s="44" t="s">
        <v>31</v>
      </c>
      <c r="O50" s="44" t="s">
        <v>54</v>
      </c>
      <c r="P50" s="27"/>
      <c r="Q50" s="28"/>
      <c r="R50" s="17"/>
      <c r="S50" s="45" t="s">
        <v>29</v>
      </c>
      <c r="T50" s="45" t="s">
        <v>0</v>
      </c>
      <c r="U50" s="45" t="s">
        <v>2</v>
      </c>
      <c r="V50" s="45" t="s">
        <v>55</v>
      </c>
      <c r="W50" s="45" t="s">
        <v>56</v>
      </c>
      <c r="AA50" t="str">
        <f>IF(COUNTA('Procyclean BIO'!A51,'Procyclean BIO'!B51,'Procyclean BIO'!C51)&gt;0,"BIO","")</f>
        <v/>
      </c>
      <c r="AB50" t="str">
        <f>IFERROR(IF(ISNUMBER('Procyclean BIO'!A51),'Procyclean BIO'!A51,DATEVALUE('Procyclean BIO'!A51)),"")</f>
        <v/>
      </c>
      <c r="AC50" t="str">
        <f>IF(AA50="","",'Procyclean BIO'!B51)</f>
        <v/>
      </c>
      <c r="AD50" t="str">
        <f>IF(AA50="","",IFERROR(1*'Procyclean BIO'!C51,IFERROR(_xludf.NUMBERVALUE('Procyclean BIO'!C51,".",","),IFERROR(_xludf.NUMBERVALUE('Procyclean BIO'!C51,",","."),0))))</f>
        <v/>
      </c>
      <c r="AE50" t="str">
        <f>IF(AA50="","",'Procyclean BIO'!J51)</f>
        <v/>
      </c>
      <c r="AF50">
        <f t="shared" si="0"/>
        <v>0</v>
      </c>
      <c r="AG50" t="str">
        <f t="shared" si="1"/>
        <v/>
      </c>
      <c r="AH50" t="str">
        <f t="shared" si="2"/>
        <v/>
      </c>
      <c r="AI50">
        <f t="shared" si="3"/>
        <v>0</v>
      </c>
      <c r="AJ50">
        <f t="shared" si="4"/>
        <v>0</v>
      </c>
      <c r="AK50">
        <v>0</v>
      </c>
      <c r="AL50" t="str">
        <f>IF(AA50="","",IFERROR(IF(ISNUMBER('Procyclean BIO'!D51),'Procyclean BIO'!D51,IF(ISNUMBER(SEARCH("12",'Procyclean BIO'!D51)),EDATE(AB50,12),IF(ISNUMBER(SEARCH("6",'Procyclean BIO'!D51)),EDATE(AB50,6),IF(ISNUMBER(SEARCH("3",'Procyclean BIO'!D51)),EDATE(AB50,3),DATEVALUE('Procyclean BIO'!D51))))),""))</f>
        <v/>
      </c>
      <c r="AM50" t="str">
        <f t="shared" ca="1" si="5"/>
        <v/>
      </c>
    </row>
    <row r="51" spans="1:39" ht="22.05" customHeight="1" x14ac:dyDescent="0.3">
      <c r="A51" s="16"/>
      <c r="B51" s="16"/>
      <c r="C51" s="16"/>
      <c r="D51" s="17"/>
      <c r="E51" s="26"/>
      <c r="F51" s="27"/>
      <c r="G51" s="27"/>
      <c r="H51" s="27"/>
      <c r="I51" s="27"/>
      <c r="J51" s="27"/>
      <c r="K51" s="28"/>
      <c r="L51" s="17"/>
      <c r="M51" s="46" t="s">
        <v>5</v>
      </c>
      <c r="N51" s="47">
        <f>SUMIFS($AF$2:$AF$12001,$AJ$2:$AJ$12001,1,$AG$2:$AG$12001,$W$3)</f>
        <v>8</v>
      </c>
      <c r="O51" s="37">
        <f>IFERROR(N51/$E$7,0)</f>
        <v>1</v>
      </c>
      <c r="P51" s="27"/>
      <c r="Q51" s="28"/>
      <c r="R51" s="17"/>
      <c r="S51" s="34">
        <v>1</v>
      </c>
      <c r="T51" s="35" t="str">
        <f t="shared" ref="T51:T60" ca="1" si="12">IFERROR(INDEX($AA$2:$AA$12001,MATCH(SMALL($AM$2:$AM$12001,S51),$AM$2:$AM$12001,0)),"")</f>
        <v>520</v>
      </c>
      <c r="U51" s="35" t="str">
        <f t="shared" ref="U51:U60" ca="1" si="13">IFERROR(INDEX($AC$2:$AC$12001,MATCH(SMALL($AM$2:$AM$12001,S51),$AM$2:$AM$12001,0)),"")</f>
        <v>9247/25</v>
      </c>
      <c r="V51" s="48">
        <f t="shared" ref="V51:V60" ca="1" si="14">IFERROR(INDEX($AL$2:$AL$12001,MATCH(SMALL($AM$2:$AM$12001,S51),$AM$2:$AM$12001,0)),"")</f>
        <v>46204</v>
      </c>
      <c r="W51" s="49">
        <f t="shared" ref="W51:W60" ca="1" si="15">IF(V51="","",V51-TODAY())</f>
        <v>33</v>
      </c>
      <c r="AA51" t="str">
        <f>IF(COUNTA('Procyclean BIO'!A52,'Procyclean BIO'!B52,'Procyclean BIO'!C52)&gt;0,"BIO","")</f>
        <v/>
      </c>
      <c r="AB51" t="str">
        <f>IFERROR(IF(ISNUMBER('Procyclean BIO'!A52),'Procyclean BIO'!A52,DATEVALUE('Procyclean BIO'!A52)),"")</f>
        <v/>
      </c>
      <c r="AC51" t="str">
        <f>IF(AA51="","",'Procyclean BIO'!B52)</f>
        <v/>
      </c>
      <c r="AD51" t="str">
        <f>IF(AA51="","",IFERROR(1*'Procyclean BIO'!C52,IFERROR(_xludf.NUMBERVALUE('Procyclean BIO'!C52,".",","),IFERROR(_xludf.NUMBERVALUE('Procyclean BIO'!C52,",","."),0))))</f>
        <v/>
      </c>
      <c r="AE51" t="str">
        <f>IF(AA51="","",'Procyclean BIO'!J52)</f>
        <v/>
      </c>
      <c r="AF51">
        <f t="shared" si="0"/>
        <v>0</v>
      </c>
      <c r="AG51" t="str">
        <f t="shared" si="1"/>
        <v/>
      </c>
      <c r="AH51" t="str">
        <f t="shared" si="2"/>
        <v/>
      </c>
      <c r="AI51">
        <f t="shared" si="3"/>
        <v>0</v>
      </c>
      <c r="AJ51">
        <f t="shared" si="4"/>
        <v>0</v>
      </c>
      <c r="AK51">
        <v>0</v>
      </c>
      <c r="AL51" t="str">
        <f>IF(AA51="","",IFERROR(IF(ISNUMBER('Procyclean BIO'!D52),'Procyclean BIO'!D52,IF(ISNUMBER(SEARCH("12",'Procyclean BIO'!D52)),EDATE(AB51,12),IF(ISNUMBER(SEARCH("6",'Procyclean BIO'!D52)),EDATE(AB51,6),IF(ISNUMBER(SEARCH("3",'Procyclean BIO'!D52)),EDATE(AB51,3),DATEVALUE('Procyclean BIO'!D52))))),""))</f>
        <v/>
      </c>
      <c r="AM51" t="str">
        <f t="shared" ca="1" si="5"/>
        <v/>
      </c>
    </row>
    <row r="52" spans="1:39" ht="22.05" customHeight="1" x14ac:dyDescent="0.3">
      <c r="A52" s="16"/>
      <c r="B52" s="16"/>
      <c r="C52" s="16"/>
      <c r="D52" s="17"/>
      <c r="E52" s="26"/>
      <c r="F52" s="27"/>
      <c r="G52" s="27"/>
      <c r="H52" s="27"/>
      <c r="I52" s="27"/>
      <c r="J52" s="27"/>
      <c r="K52" s="28"/>
      <c r="L52" s="17"/>
      <c r="M52" s="50" t="s">
        <v>57</v>
      </c>
      <c r="N52" s="51">
        <f>COUNTIFS($AJ$2:$AJ$12001,1,$AG$2:$AG$12001,$W$3,$AE$2:$AE$12001,"&lt;&gt;",$AE$2:$AE$12001,"&lt;&gt;*aprov*",$AE$2:$AE$12001,"&lt;&gt;*reprov*")</f>
        <v>0</v>
      </c>
      <c r="O52" s="33">
        <f>IFERROR(N52/$E$7,0)</f>
        <v>0</v>
      </c>
      <c r="P52" s="27"/>
      <c r="Q52" s="28"/>
      <c r="R52" s="17"/>
      <c r="S52" s="30">
        <v>2</v>
      </c>
      <c r="T52" s="31" t="str">
        <f t="shared" ca="1" si="12"/>
        <v>220</v>
      </c>
      <c r="U52" s="31" t="str">
        <f t="shared" ca="1" si="13"/>
        <v>9366/25</v>
      </c>
      <c r="V52" s="52">
        <f t="shared" ca="1" si="14"/>
        <v>46259</v>
      </c>
      <c r="W52" s="53">
        <f t="shared" ca="1" si="15"/>
        <v>88</v>
      </c>
      <c r="AA52" t="str">
        <f>IF(COUNTA('Procyclean BIO'!A53,'Procyclean BIO'!B53,'Procyclean BIO'!C53)&gt;0,"BIO","")</f>
        <v/>
      </c>
      <c r="AB52" t="str">
        <f>IFERROR(IF(ISNUMBER('Procyclean BIO'!A53),'Procyclean BIO'!A53,DATEVALUE('Procyclean BIO'!A53)),"")</f>
        <v/>
      </c>
      <c r="AC52" t="str">
        <f>IF(AA52="","",'Procyclean BIO'!B53)</f>
        <v/>
      </c>
      <c r="AD52" t="str">
        <f>IF(AA52="","",IFERROR(1*'Procyclean BIO'!C53,IFERROR(_xludf.NUMBERVALUE('Procyclean BIO'!C53,".",","),IFERROR(_xludf.NUMBERVALUE('Procyclean BIO'!C53,",","."),0))))</f>
        <v/>
      </c>
      <c r="AE52" t="str">
        <f>IF(AA52="","",'Procyclean BIO'!J53)</f>
        <v/>
      </c>
      <c r="AF52">
        <f t="shared" si="0"/>
        <v>0</v>
      </c>
      <c r="AG52" t="str">
        <f t="shared" si="1"/>
        <v/>
      </c>
      <c r="AH52" t="str">
        <f t="shared" si="2"/>
        <v/>
      </c>
      <c r="AI52">
        <f t="shared" si="3"/>
        <v>0</v>
      </c>
      <c r="AJ52">
        <f t="shared" si="4"/>
        <v>0</v>
      </c>
      <c r="AK52">
        <v>0</v>
      </c>
      <c r="AL52" t="str">
        <f>IF(AA52="","",IFERROR(IF(ISNUMBER('Procyclean BIO'!D53),'Procyclean BIO'!D53,IF(ISNUMBER(SEARCH("12",'Procyclean BIO'!D53)),EDATE(AB52,12),IF(ISNUMBER(SEARCH("6",'Procyclean BIO'!D53)),EDATE(AB52,6),IF(ISNUMBER(SEARCH("3",'Procyclean BIO'!D53)),EDATE(AB52,3),DATEVALUE('Procyclean BIO'!D53))))),""))</f>
        <v/>
      </c>
      <c r="AM52" t="str">
        <f t="shared" ca="1" si="5"/>
        <v/>
      </c>
    </row>
    <row r="53" spans="1:39" ht="22.05" customHeight="1" x14ac:dyDescent="0.3">
      <c r="A53" s="16"/>
      <c r="B53" s="16"/>
      <c r="C53" s="16"/>
      <c r="D53" s="17"/>
      <c r="E53" s="26"/>
      <c r="F53" s="27"/>
      <c r="G53" s="27"/>
      <c r="H53" s="27"/>
      <c r="I53" s="27"/>
      <c r="J53" s="27"/>
      <c r="K53" s="28"/>
      <c r="L53" s="17"/>
      <c r="M53" s="54" t="s">
        <v>58</v>
      </c>
      <c r="N53" s="47">
        <f>COUNTIFS($AJ$2:$AJ$12001,1,$AG$2:$AG$12001,$W$3,$AE$2:$AE$12001,"*reprov*")</f>
        <v>0</v>
      </c>
      <c r="O53" s="37">
        <f>IFERROR(N53/$E$7,0)</f>
        <v>0</v>
      </c>
      <c r="P53" s="27"/>
      <c r="Q53" s="28"/>
      <c r="R53" s="17"/>
      <c r="S53" s="34">
        <v>3</v>
      </c>
      <c r="T53" s="35" t="str">
        <f t="shared" ca="1" si="12"/>
        <v>220</v>
      </c>
      <c r="U53" s="35" t="str">
        <f t="shared" ca="1" si="13"/>
        <v>9389/25</v>
      </c>
      <c r="V53" s="48">
        <f t="shared" ca="1" si="14"/>
        <v>46273</v>
      </c>
      <c r="W53" s="49">
        <f t="shared" ca="1" si="15"/>
        <v>102</v>
      </c>
      <c r="AA53" t="str">
        <f>IF(COUNTA('Procyclean BIO'!A54,'Procyclean BIO'!B54,'Procyclean BIO'!C54)&gt;0,"BIO","")</f>
        <v/>
      </c>
      <c r="AB53" t="str">
        <f>IFERROR(IF(ISNUMBER('Procyclean BIO'!A54),'Procyclean BIO'!A54,DATEVALUE('Procyclean BIO'!A54)),"")</f>
        <v/>
      </c>
      <c r="AC53" t="str">
        <f>IF(AA53="","",'Procyclean BIO'!B54)</f>
        <v/>
      </c>
      <c r="AD53" t="str">
        <f>IF(AA53="","",IFERROR(1*'Procyclean BIO'!C54,IFERROR(_xludf.NUMBERVALUE('Procyclean BIO'!C54,".",","),IFERROR(_xludf.NUMBERVALUE('Procyclean BIO'!C54,",","."),0))))</f>
        <v/>
      </c>
      <c r="AE53" t="str">
        <f>IF(AA53="","",'Procyclean BIO'!J54)</f>
        <v/>
      </c>
      <c r="AF53">
        <f t="shared" si="0"/>
        <v>0</v>
      </c>
      <c r="AG53" t="str">
        <f t="shared" si="1"/>
        <v/>
      </c>
      <c r="AH53" t="str">
        <f t="shared" si="2"/>
        <v/>
      </c>
      <c r="AI53">
        <f t="shared" si="3"/>
        <v>0</v>
      </c>
      <c r="AJ53">
        <f t="shared" si="4"/>
        <v>0</v>
      </c>
      <c r="AK53">
        <v>0</v>
      </c>
      <c r="AL53" t="str">
        <f>IF(AA53="","",IFERROR(IF(ISNUMBER('Procyclean BIO'!D54),'Procyclean BIO'!D54,IF(ISNUMBER(SEARCH("12",'Procyclean BIO'!D54)),EDATE(AB53,12),IF(ISNUMBER(SEARCH("6",'Procyclean BIO'!D54)),EDATE(AB53,6),IF(ISNUMBER(SEARCH("3",'Procyclean BIO'!D54)),EDATE(AB53,3),DATEVALUE('Procyclean BIO'!D54))))),""))</f>
        <v/>
      </c>
      <c r="AM53" t="str">
        <f t="shared" ca="1" si="5"/>
        <v/>
      </c>
    </row>
    <row r="54" spans="1:39" ht="22.05" customHeight="1" x14ac:dyDescent="0.3">
      <c r="A54" s="16"/>
      <c r="B54" s="16"/>
      <c r="C54" s="16"/>
      <c r="D54" s="17"/>
      <c r="E54" s="26"/>
      <c r="F54" s="27"/>
      <c r="G54" s="27"/>
      <c r="H54" s="27"/>
      <c r="I54" s="27"/>
      <c r="J54" s="27"/>
      <c r="K54" s="28"/>
      <c r="L54" s="17"/>
      <c r="M54" s="26"/>
      <c r="N54" s="55"/>
      <c r="O54" s="55"/>
      <c r="P54" s="27"/>
      <c r="Q54" s="28"/>
      <c r="R54" s="17"/>
      <c r="S54" s="30">
        <v>4</v>
      </c>
      <c r="T54" s="31" t="str">
        <f t="shared" ca="1" si="12"/>
        <v>220</v>
      </c>
      <c r="U54" s="31" t="str">
        <f t="shared" ca="1" si="13"/>
        <v>9432/25</v>
      </c>
      <c r="V54" s="52">
        <f t="shared" ca="1" si="14"/>
        <v>46288</v>
      </c>
      <c r="W54" s="53">
        <f t="shared" ca="1" si="15"/>
        <v>117</v>
      </c>
      <c r="AA54" t="str">
        <f>IF(COUNTA('Procyclean BIO'!A55,'Procyclean BIO'!B55,'Procyclean BIO'!C55)&gt;0,"BIO","")</f>
        <v/>
      </c>
      <c r="AB54" t="str">
        <f>IFERROR(IF(ISNUMBER('Procyclean BIO'!A55),'Procyclean BIO'!A55,DATEVALUE('Procyclean BIO'!A55)),"")</f>
        <v/>
      </c>
      <c r="AC54" t="str">
        <f>IF(AA54="","",'Procyclean BIO'!B55)</f>
        <v/>
      </c>
      <c r="AD54" t="str">
        <f>IF(AA54="","",IFERROR(1*'Procyclean BIO'!C55,IFERROR(_xludf.NUMBERVALUE('Procyclean BIO'!C55,".",","),IFERROR(_xludf.NUMBERVALUE('Procyclean BIO'!C55,",","."),0))))</f>
        <v/>
      </c>
      <c r="AE54" t="str">
        <f>IF(AA54="","",'Procyclean BIO'!J55)</f>
        <v/>
      </c>
      <c r="AF54">
        <f t="shared" si="0"/>
        <v>0</v>
      </c>
      <c r="AG54" t="str">
        <f t="shared" si="1"/>
        <v/>
      </c>
      <c r="AH54" t="str">
        <f t="shared" si="2"/>
        <v/>
      </c>
      <c r="AI54">
        <f t="shared" si="3"/>
        <v>0</v>
      </c>
      <c r="AJ54">
        <f t="shared" si="4"/>
        <v>0</v>
      </c>
      <c r="AK54">
        <v>0</v>
      </c>
      <c r="AL54" t="str">
        <f>IF(AA54="","",IFERROR(IF(ISNUMBER('Procyclean BIO'!D55),'Procyclean BIO'!D55,IF(ISNUMBER(SEARCH("12",'Procyclean BIO'!D55)),EDATE(AB54,12),IF(ISNUMBER(SEARCH("6",'Procyclean BIO'!D55)),EDATE(AB54,6),IF(ISNUMBER(SEARCH("3",'Procyclean BIO'!D55)),EDATE(AB54,3),DATEVALUE('Procyclean BIO'!D55))))),""))</f>
        <v/>
      </c>
      <c r="AM54" t="str">
        <f t="shared" ca="1" si="5"/>
        <v/>
      </c>
    </row>
    <row r="55" spans="1:39" ht="22.05" customHeight="1" x14ac:dyDescent="0.3">
      <c r="A55" s="16"/>
      <c r="B55" s="16"/>
      <c r="C55" s="16"/>
      <c r="D55" s="17"/>
      <c r="E55" s="26"/>
      <c r="F55" s="27"/>
      <c r="G55" s="27"/>
      <c r="H55" s="27"/>
      <c r="I55" s="27"/>
      <c r="J55" s="27"/>
      <c r="K55" s="28"/>
      <c r="L55" s="17"/>
      <c r="M55" s="26"/>
      <c r="N55" s="27"/>
      <c r="O55" s="27"/>
      <c r="P55" s="27"/>
      <c r="Q55" s="28"/>
      <c r="R55" s="17"/>
      <c r="S55" s="34">
        <v>5</v>
      </c>
      <c r="T55" s="35" t="str">
        <f t="shared" ca="1" si="12"/>
        <v>220</v>
      </c>
      <c r="U55" s="35" t="str">
        <f t="shared" ca="1" si="13"/>
        <v>9463/25</v>
      </c>
      <c r="V55" s="48">
        <f t="shared" ca="1" si="14"/>
        <v>46308</v>
      </c>
      <c r="W55" s="49">
        <f t="shared" ca="1" si="15"/>
        <v>137</v>
      </c>
      <c r="AA55" t="str">
        <f>IF(COUNTA('Procyclean BIO'!A56,'Procyclean BIO'!B56,'Procyclean BIO'!C56)&gt;0,"BIO","")</f>
        <v/>
      </c>
      <c r="AB55" t="str">
        <f>IFERROR(IF(ISNUMBER('Procyclean BIO'!A56),'Procyclean BIO'!A56,DATEVALUE('Procyclean BIO'!A56)),"")</f>
        <v/>
      </c>
      <c r="AC55" t="str">
        <f>IF(AA55="","",'Procyclean BIO'!B56)</f>
        <v/>
      </c>
      <c r="AD55" t="str">
        <f>IF(AA55="","",IFERROR(1*'Procyclean BIO'!C56,IFERROR(_xludf.NUMBERVALUE('Procyclean BIO'!C56,".",","),IFERROR(_xludf.NUMBERVALUE('Procyclean BIO'!C56,",","."),0))))</f>
        <v/>
      </c>
      <c r="AE55" t="str">
        <f>IF(AA55="","",'Procyclean BIO'!J56)</f>
        <v/>
      </c>
      <c r="AF55">
        <f t="shared" si="0"/>
        <v>0</v>
      </c>
      <c r="AG55" t="str">
        <f t="shared" si="1"/>
        <v/>
      </c>
      <c r="AH55" t="str">
        <f t="shared" si="2"/>
        <v/>
      </c>
      <c r="AI55">
        <f t="shared" si="3"/>
        <v>0</v>
      </c>
      <c r="AJ55">
        <f t="shared" si="4"/>
        <v>0</v>
      </c>
      <c r="AK55">
        <v>0</v>
      </c>
      <c r="AL55" t="str">
        <f>IF(AA55="","",IFERROR(IF(ISNUMBER('Procyclean BIO'!D56),'Procyclean BIO'!D56,IF(ISNUMBER(SEARCH("12",'Procyclean BIO'!D56)),EDATE(AB55,12),IF(ISNUMBER(SEARCH("6",'Procyclean BIO'!D56)),EDATE(AB55,6),IF(ISNUMBER(SEARCH("3",'Procyclean BIO'!D56)),EDATE(AB55,3),DATEVALUE('Procyclean BIO'!D56))))),""))</f>
        <v/>
      </c>
      <c r="AM55" t="str">
        <f t="shared" ca="1" si="5"/>
        <v/>
      </c>
    </row>
    <row r="56" spans="1:39" ht="22.05" customHeight="1" x14ac:dyDescent="0.3">
      <c r="A56" s="16"/>
      <c r="B56" s="16"/>
      <c r="C56" s="16"/>
      <c r="D56" s="17"/>
      <c r="E56" s="26"/>
      <c r="F56" s="27"/>
      <c r="G56" s="27"/>
      <c r="H56" s="27"/>
      <c r="I56" s="27"/>
      <c r="J56" s="27"/>
      <c r="K56" s="28"/>
      <c r="L56" s="17"/>
      <c r="M56" s="26"/>
      <c r="N56" s="27"/>
      <c r="O56" s="27"/>
      <c r="P56" s="27"/>
      <c r="Q56" s="28"/>
      <c r="R56" s="17"/>
      <c r="S56" s="30">
        <v>6</v>
      </c>
      <c r="T56" s="31" t="str">
        <f t="shared" ca="1" si="12"/>
        <v>520</v>
      </c>
      <c r="U56" s="31" t="str">
        <f t="shared" ca="1" si="13"/>
        <v>9521/25</v>
      </c>
      <c r="V56" s="52">
        <f t="shared" ca="1" si="14"/>
        <v>46331</v>
      </c>
      <c r="W56" s="53">
        <f t="shared" ca="1" si="15"/>
        <v>160</v>
      </c>
      <c r="AA56" t="str">
        <f>IF(COUNTA('Procyclean BIO'!A57,'Procyclean BIO'!B57,'Procyclean BIO'!C57)&gt;0,"BIO","")</f>
        <v/>
      </c>
      <c r="AB56" t="str">
        <f>IFERROR(IF(ISNUMBER('Procyclean BIO'!A57),'Procyclean BIO'!A57,DATEVALUE('Procyclean BIO'!A57)),"")</f>
        <v/>
      </c>
      <c r="AC56" t="str">
        <f>IF(AA56="","",'Procyclean BIO'!B57)</f>
        <v/>
      </c>
      <c r="AD56" t="str">
        <f>IF(AA56="","",IFERROR(1*'Procyclean BIO'!C57,IFERROR(_xludf.NUMBERVALUE('Procyclean BIO'!C57,".",","),IFERROR(_xludf.NUMBERVALUE('Procyclean BIO'!C57,",","."),0))))</f>
        <v/>
      </c>
      <c r="AE56" t="str">
        <f>IF(AA56="","",'Procyclean BIO'!J57)</f>
        <v/>
      </c>
      <c r="AF56">
        <f t="shared" si="0"/>
        <v>0</v>
      </c>
      <c r="AG56" t="str">
        <f t="shared" si="1"/>
        <v/>
      </c>
      <c r="AH56" t="str">
        <f t="shared" si="2"/>
        <v/>
      </c>
      <c r="AI56">
        <f t="shared" si="3"/>
        <v>0</v>
      </c>
      <c r="AJ56">
        <f t="shared" si="4"/>
        <v>0</v>
      </c>
      <c r="AK56">
        <v>0</v>
      </c>
      <c r="AL56" t="str">
        <f>IF(AA56="","",IFERROR(IF(ISNUMBER('Procyclean BIO'!D57),'Procyclean BIO'!D57,IF(ISNUMBER(SEARCH("12",'Procyclean BIO'!D57)),EDATE(AB56,12),IF(ISNUMBER(SEARCH("6",'Procyclean BIO'!D57)),EDATE(AB56,6),IF(ISNUMBER(SEARCH("3",'Procyclean BIO'!D57)),EDATE(AB56,3),DATEVALUE('Procyclean BIO'!D57))))),""))</f>
        <v/>
      </c>
      <c r="AM56" t="str">
        <f t="shared" ca="1" si="5"/>
        <v/>
      </c>
    </row>
    <row r="57" spans="1:39" ht="22.05" customHeight="1" x14ac:dyDescent="0.3">
      <c r="A57" s="16"/>
      <c r="B57" s="16"/>
      <c r="C57" s="16"/>
      <c r="D57" s="17"/>
      <c r="E57" s="26"/>
      <c r="F57" s="27"/>
      <c r="G57" s="27"/>
      <c r="H57" s="27"/>
      <c r="I57" s="27"/>
      <c r="J57" s="27"/>
      <c r="K57" s="28"/>
      <c r="L57" s="17"/>
      <c r="M57" s="26"/>
      <c r="N57" s="27"/>
      <c r="O57" s="27"/>
      <c r="P57" s="27"/>
      <c r="Q57" s="28"/>
      <c r="R57" s="17"/>
      <c r="S57" s="34">
        <v>7</v>
      </c>
      <c r="T57" s="35" t="str">
        <f t="shared" ca="1" si="12"/>
        <v/>
      </c>
      <c r="U57" s="35" t="str">
        <f t="shared" ca="1" si="13"/>
        <v/>
      </c>
      <c r="V57" s="48" t="str">
        <f t="shared" ca="1" si="14"/>
        <v/>
      </c>
      <c r="W57" s="49" t="str">
        <f t="shared" ca="1" si="15"/>
        <v/>
      </c>
      <c r="AA57" t="str">
        <f>IF(COUNTA('Procyclean BIO'!A58,'Procyclean BIO'!B58,'Procyclean BIO'!C58)&gt;0,"BIO","")</f>
        <v/>
      </c>
      <c r="AB57" t="str">
        <f>IFERROR(IF(ISNUMBER('Procyclean BIO'!A58),'Procyclean BIO'!A58,DATEVALUE('Procyclean BIO'!A58)),"")</f>
        <v/>
      </c>
      <c r="AC57" t="str">
        <f>IF(AA57="","",'Procyclean BIO'!B58)</f>
        <v/>
      </c>
      <c r="AD57" t="str">
        <f>IF(AA57="","",IFERROR(1*'Procyclean BIO'!C58,IFERROR(_xludf.NUMBERVALUE('Procyclean BIO'!C58,".",","),IFERROR(_xludf.NUMBERVALUE('Procyclean BIO'!C58,",","."),0))))</f>
        <v/>
      </c>
      <c r="AE57" t="str">
        <f>IF(AA57="","",'Procyclean BIO'!J58)</f>
        <v/>
      </c>
      <c r="AF57">
        <f t="shared" si="0"/>
        <v>0</v>
      </c>
      <c r="AG57" t="str">
        <f t="shared" si="1"/>
        <v/>
      </c>
      <c r="AH57" t="str">
        <f t="shared" si="2"/>
        <v/>
      </c>
      <c r="AI57">
        <f t="shared" si="3"/>
        <v>0</v>
      </c>
      <c r="AJ57">
        <f t="shared" si="4"/>
        <v>0</v>
      </c>
      <c r="AK57">
        <v>0</v>
      </c>
      <c r="AL57" t="str">
        <f>IF(AA57="","",IFERROR(IF(ISNUMBER('Procyclean BIO'!D58),'Procyclean BIO'!D58,IF(ISNUMBER(SEARCH("12",'Procyclean BIO'!D58)),EDATE(AB57,12),IF(ISNUMBER(SEARCH("6",'Procyclean BIO'!D58)),EDATE(AB57,6),IF(ISNUMBER(SEARCH("3",'Procyclean BIO'!D58)),EDATE(AB57,3),DATEVALUE('Procyclean BIO'!D58))))),""))</f>
        <v/>
      </c>
      <c r="AM57" t="str">
        <f t="shared" ca="1" si="5"/>
        <v/>
      </c>
    </row>
    <row r="58" spans="1:39" ht="22.05" customHeight="1" x14ac:dyDescent="0.3">
      <c r="A58" s="16"/>
      <c r="B58" s="16"/>
      <c r="C58" s="16"/>
      <c r="D58" s="17"/>
      <c r="E58" s="26"/>
      <c r="F58" s="27"/>
      <c r="G58" s="27"/>
      <c r="H58" s="27"/>
      <c r="I58" s="27"/>
      <c r="J58" s="27"/>
      <c r="K58" s="28"/>
      <c r="L58" s="17"/>
      <c r="M58" s="26"/>
      <c r="N58" s="27"/>
      <c r="O58" s="27"/>
      <c r="P58" s="27"/>
      <c r="Q58" s="28"/>
      <c r="R58" s="17"/>
      <c r="S58" s="30">
        <v>8</v>
      </c>
      <c r="T58" s="31" t="str">
        <f t="shared" ca="1" si="12"/>
        <v/>
      </c>
      <c r="U58" s="31" t="str">
        <f t="shared" ca="1" si="13"/>
        <v/>
      </c>
      <c r="V58" s="52" t="str">
        <f t="shared" ca="1" si="14"/>
        <v/>
      </c>
      <c r="W58" s="53" t="str">
        <f t="shared" ca="1" si="15"/>
        <v/>
      </c>
      <c r="AA58" t="str">
        <f>IF(COUNTA('Procyclean BIO'!A59,'Procyclean BIO'!B59,'Procyclean BIO'!C59)&gt;0,"BIO","")</f>
        <v/>
      </c>
      <c r="AB58" t="str">
        <f>IFERROR(IF(ISNUMBER('Procyclean BIO'!A59),'Procyclean BIO'!A59,DATEVALUE('Procyclean BIO'!A59)),"")</f>
        <v/>
      </c>
      <c r="AC58" t="str">
        <f>IF(AA58="","",'Procyclean BIO'!B59)</f>
        <v/>
      </c>
      <c r="AD58" t="str">
        <f>IF(AA58="","",IFERROR(1*'Procyclean BIO'!C59,IFERROR(_xludf.NUMBERVALUE('Procyclean BIO'!C59,".",","),IFERROR(_xludf.NUMBERVALUE('Procyclean BIO'!C59,",","."),0))))</f>
        <v/>
      </c>
      <c r="AE58" t="str">
        <f>IF(AA58="","",'Procyclean BIO'!J59)</f>
        <v/>
      </c>
      <c r="AF58">
        <f t="shared" si="0"/>
        <v>0</v>
      </c>
      <c r="AG58" t="str">
        <f t="shared" si="1"/>
        <v/>
      </c>
      <c r="AH58" t="str">
        <f t="shared" si="2"/>
        <v/>
      </c>
      <c r="AI58">
        <f t="shared" si="3"/>
        <v>0</v>
      </c>
      <c r="AJ58">
        <f t="shared" si="4"/>
        <v>0</v>
      </c>
      <c r="AK58">
        <v>0</v>
      </c>
      <c r="AL58" t="str">
        <f>IF(AA58="","",IFERROR(IF(ISNUMBER('Procyclean BIO'!D59),'Procyclean BIO'!D59,IF(ISNUMBER(SEARCH("12",'Procyclean BIO'!D59)),EDATE(AB58,12),IF(ISNUMBER(SEARCH("6",'Procyclean BIO'!D59)),EDATE(AB58,6),IF(ISNUMBER(SEARCH("3",'Procyclean BIO'!D59)),EDATE(AB58,3),DATEVALUE('Procyclean BIO'!D59))))),""))</f>
        <v/>
      </c>
      <c r="AM58" t="str">
        <f t="shared" ca="1" si="5"/>
        <v/>
      </c>
    </row>
    <row r="59" spans="1:39" ht="22.05" customHeight="1" x14ac:dyDescent="0.3">
      <c r="A59" s="16"/>
      <c r="B59" s="16"/>
      <c r="C59" s="16"/>
      <c r="D59" s="17"/>
      <c r="E59" s="26"/>
      <c r="F59" s="27"/>
      <c r="G59" s="27"/>
      <c r="H59" s="27"/>
      <c r="I59" s="27"/>
      <c r="J59" s="27"/>
      <c r="K59" s="28"/>
      <c r="L59" s="17"/>
      <c r="M59" s="26"/>
      <c r="N59" s="27"/>
      <c r="O59" s="27"/>
      <c r="P59" s="27"/>
      <c r="Q59" s="28"/>
      <c r="R59" s="17"/>
      <c r="S59" s="34">
        <v>9</v>
      </c>
      <c r="T59" s="35" t="str">
        <f t="shared" ca="1" si="12"/>
        <v/>
      </c>
      <c r="U59" s="35" t="str">
        <f t="shared" ca="1" si="13"/>
        <v/>
      </c>
      <c r="V59" s="48" t="str">
        <f t="shared" ca="1" si="14"/>
        <v/>
      </c>
      <c r="W59" s="49" t="str">
        <f t="shared" ca="1" si="15"/>
        <v/>
      </c>
      <c r="AA59" t="str">
        <f>IF(COUNTA('Procyclean BIO'!A60,'Procyclean BIO'!B60,'Procyclean BIO'!C60)&gt;0,"BIO","")</f>
        <v/>
      </c>
      <c r="AB59" t="str">
        <f>IFERROR(IF(ISNUMBER('Procyclean BIO'!A60),'Procyclean BIO'!A60,DATEVALUE('Procyclean BIO'!A60)),"")</f>
        <v/>
      </c>
      <c r="AC59" t="str">
        <f>IF(AA59="","",'Procyclean BIO'!B60)</f>
        <v/>
      </c>
      <c r="AD59" t="str">
        <f>IF(AA59="","",IFERROR(1*'Procyclean BIO'!C60,IFERROR(_xludf.NUMBERVALUE('Procyclean BIO'!C60,".",","),IFERROR(_xludf.NUMBERVALUE('Procyclean BIO'!C60,",","."),0))))</f>
        <v/>
      </c>
      <c r="AE59" t="str">
        <f>IF(AA59="","",'Procyclean BIO'!J60)</f>
        <v/>
      </c>
      <c r="AF59">
        <f t="shared" si="0"/>
        <v>0</v>
      </c>
      <c r="AG59" t="str">
        <f t="shared" si="1"/>
        <v/>
      </c>
      <c r="AH59" t="str">
        <f t="shared" si="2"/>
        <v/>
      </c>
      <c r="AI59">
        <f t="shared" si="3"/>
        <v>0</v>
      </c>
      <c r="AJ59">
        <f t="shared" si="4"/>
        <v>0</v>
      </c>
      <c r="AK59">
        <v>0</v>
      </c>
      <c r="AL59" t="str">
        <f>IF(AA59="","",IFERROR(IF(ISNUMBER('Procyclean BIO'!D60),'Procyclean BIO'!D60,IF(ISNUMBER(SEARCH("12",'Procyclean BIO'!D60)),EDATE(AB59,12),IF(ISNUMBER(SEARCH("6",'Procyclean BIO'!D60)),EDATE(AB59,6),IF(ISNUMBER(SEARCH("3",'Procyclean BIO'!D60)),EDATE(AB59,3),DATEVALUE('Procyclean BIO'!D60))))),""))</f>
        <v/>
      </c>
      <c r="AM59" t="str">
        <f t="shared" ca="1" si="5"/>
        <v/>
      </c>
    </row>
    <row r="60" spans="1:39" ht="22.05" customHeight="1" x14ac:dyDescent="0.3">
      <c r="A60" s="16"/>
      <c r="B60" s="16"/>
      <c r="C60" s="16"/>
      <c r="D60" s="17"/>
      <c r="E60" s="26"/>
      <c r="F60" s="27"/>
      <c r="G60" s="27"/>
      <c r="H60" s="27"/>
      <c r="I60" s="27"/>
      <c r="J60" s="27"/>
      <c r="K60" s="28"/>
      <c r="L60" s="17"/>
      <c r="M60" s="26"/>
      <c r="N60" s="27"/>
      <c r="O60" s="27"/>
      <c r="P60" s="27"/>
      <c r="Q60" s="28"/>
      <c r="R60" s="17"/>
      <c r="S60" s="30">
        <v>10</v>
      </c>
      <c r="T60" s="31" t="str">
        <f t="shared" ca="1" si="12"/>
        <v/>
      </c>
      <c r="U60" s="31" t="str">
        <f t="shared" ca="1" si="13"/>
        <v/>
      </c>
      <c r="V60" s="52" t="str">
        <f t="shared" ca="1" si="14"/>
        <v/>
      </c>
      <c r="W60" s="53" t="str">
        <f t="shared" ca="1" si="15"/>
        <v/>
      </c>
      <c r="AA60" t="str">
        <f>IF(COUNTA('Procyclean BIO'!A61,'Procyclean BIO'!B61,'Procyclean BIO'!C61)&gt;0,"BIO","")</f>
        <v/>
      </c>
      <c r="AB60" t="str">
        <f>IFERROR(IF(ISNUMBER('Procyclean BIO'!A61),'Procyclean BIO'!A61,DATEVALUE('Procyclean BIO'!A61)),"")</f>
        <v/>
      </c>
      <c r="AC60" t="str">
        <f>IF(AA60="","",'Procyclean BIO'!B61)</f>
        <v/>
      </c>
      <c r="AD60" t="str">
        <f>IF(AA60="","",IFERROR(1*'Procyclean BIO'!C61,IFERROR(_xludf.NUMBERVALUE('Procyclean BIO'!C61,".",","),IFERROR(_xludf.NUMBERVALUE('Procyclean BIO'!C61,",","."),0))))</f>
        <v/>
      </c>
      <c r="AE60" t="str">
        <f>IF(AA60="","",'Procyclean BIO'!J61)</f>
        <v/>
      </c>
      <c r="AF60">
        <f t="shared" si="0"/>
        <v>0</v>
      </c>
      <c r="AG60" t="str">
        <f t="shared" si="1"/>
        <v/>
      </c>
      <c r="AH60" t="str">
        <f t="shared" si="2"/>
        <v/>
      </c>
      <c r="AI60">
        <f t="shared" si="3"/>
        <v>0</v>
      </c>
      <c r="AJ60">
        <f t="shared" si="4"/>
        <v>0</v>
      </c>
      <c r="AK60">
        <v>0</v>
      </c>
      <c r="AL60" t="str">
        <f>IF(AA60="","",IFERROR(IF(ISNUMBER('Procyclean BIO'!D61),'Procyclean BIO'!D61,IF(ISNUMBER(SEARCH("12",'Procyclean BIO'!D61)),EDATE(AB60,12),IF(ISNUMBER(SEARCH("6",'Procyclean BIO'!D61)),EDATE(AB60,6),IF(ISNUMBER(SEARCH("3",'Procyclean BIO'!D61)),EDATE(AB60,3),DATEVALUE('Procyclean BIO'!D61))))),""))</f>
        <v/>
      </c>
      <c r="AM60" t="str">
        <f t="shared" ca="1" si="5"/>
        <v/>
      </c>
    </row>
    <row r="61" spans="1:39" ht="22.05" customHeight="1" x14ac:dyDescent="0.3">
      <c r="A61" s="16"/>
      <c r="B61" s="16"/>
      <c r="C61" s="16"/>
      <c r="D61" s="17"/>
      <c r="E61" s="38"/>
      <c r="F61" s="39"/>
      <c r="G61" s="39"/>
      <c r="H61" s="39"/>
      <c r="I61" s="39"/>
      <c r="J61" s="39"/>
      <c r="K61" s="40"/>
      <c r="L61" s="17"/>
      <c r="M61" s="38"/>
      <c r="N61" s="39"/>
      <c r="O61" s="39"/>
      <c r="P61" s="39"/>
      <c r="Q61" s="40"/>
      <c r="R61" s="17"/>
      <c r="S61" s="38"/>
      <c r="T61" s="39"/>
      <c r="U61" s="39"/>
      <c r="V61" s="39"/>
      <c r="W61" s="40"/>
      <c r="AA61" t="str">
        <f>IF(COUNTA('Procyclean BIO'!A62,'Procyclean BIO'!B62,'Procyclean BIO'!C62)&gt;0,"BIO","")</f>
        <v/>
      </c>
      <c r="AB61" t="str">
        <f>IFERROR(IF(ISNUMBER('Procyclean BIO'!A62),'Procyclean BIO'!A62,DATEVALUE('Procyclean BIO'!A62)),"")</f>
        <v/>
      </c>
      <c r="AC61" t="str">
        <f>IF(AA61="","",'Procyclean BIO'!B62)</f>
        <v/>
      </c>
      <c r="AD61" t="str">
        <f>IF(AA61="","",IFERROR(1*'Procyclean BIO'!C62,IFERROR(_xludf.NUMBERVALUE('Procyclean BIO'!C62,".",","),IFERROR(_xludf.NUMBERVALUE('Procyclean BIO'!C62,",","."),0))))</f>
        <v/>
      </c>
      <c r="AE61" t="str">
        <f>IF(AA61="","",'Procyclean BIO'!J62)</f>
        <v/>
      </c>
      <c r="AF61">
        <f t="shared" si="0"/>
        <v>0</v>
      </c>
      <c r="AG61" t="str">
        <f t="shared" si="1"/>
        <v/>
      </c>
      <c r="AH61" t="str">
        <f t="shared" si="2"/>
        <v/>
      </c>
      <c r="AI61">
        <f t="shared" si="3"/>
        <v>0</v>
      </c>
      <c r="AJ61">
        <f t="shared" si="4"/>
        <v>0</v>
      </c>
      <c r="AK61">
        <v>0</v>
      </c>
      <c r="AL61" t="str">
        <f>IF(AA61="","",IFERROR(IF(ISNUMBER('Procyclean BIO'!D62),'Procyclean BIO'!D62,IF(ISNUMBER(SEARCH("12",'Procyclean BIO'!D62)),EDATE(AB61,12),IF(ISNUMBER(SEARCH("6",'Procyclean BIO'!D62)),EDATE(AB61,6),IF(ISNUMBER(SEARCH("3",'Procyclean BIO'!D62)),EDATE(AB61,3),DATEVALUE('Procyclean BIO'!D62))))),""))</f>
        <v/>
      </c>
      <c r="AM61" t="str">
        <f t="shared" ca="1" si="5"/>
        <v/>
      </c>
    </row>
    <row r="62" spans="1:39" ht="22.05" customHeight="1" x14ac:dyDescent="0.3">
      <c r="A62" s="16"/>
      <c r="B62" s="16"/>
      <c r="C62" s="16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AA62" t="str">
        <f>IF(COUNTA('Procyclean BIO'!A63,'Procyclean BIO'!B63,'Procyclean BIO'!C63)&gt;0,"BIO","")</f>
        <v/>
      </c>
      <c r="AB62" t="str">
        <f>IFERROR(IF(ISNUMBER('Procyclean BIO'!A63),'Procyclean BIO'!A63,DATEVALUE('Procyclean BIO'!A63)),"")</f>
        <v/>
      </c>
      <c r="AC62" t="str">
        <f>IF(AA62="","",'Procyclean BIO'!B63)</f>
        <v/>
      </c>
      <c r="AD62" t="str">
        <f>IF(AA62="","",IFERROR(1*'Procyclean BIO'!C63,IFERROR(_xludf.NUMBERVALUE('Procyclean BIO'!C63,".",","),IFERROR(_xludf.NUMBERVALUE('Procyclean BIO'!C63,",","."),0))))</f>
        <v/>
      </c>
      <c r="AE62" t="str">
        <f>IF(AA62="","",'Procyclean BIO'!J63)</f>
        <v/>
      </c>
      <c r="AF62">
        <f t="shared" si="0"/>
        <v>0</v>
      </c>
      <c r="AG62" t="str">
        <f t="shared" si="1"/>
        <v/>
      </c>
      <c r="AH62" t="str">
        <f t="shared" si="2"/>
        <v/>
      </c>
      <c r="AI62">
        <f t="shared" si="3"/>
        <v>0</v>
      </c>
      <c r="AJ62">
        <f t="shared" si="4"/>
        <v>0</v>
      </c>
      <c r="AK62">
        <v>0</v>
      </c>
      <c r="AL62" t="str">
        <f>IF(AA62="","",IFERROR(IF(ISNUMBER('Procyclean BIO'!D63),'Procyclean BIO'!D63,IF(ISNUMBER(SEARCH("12",'Procyclean BIO'!D63)),EDATE(AB62,12),IF(ISNUMBER(SEARCH("6",'Procyclean BIO'!D63)),EDATE(AB62,6),IF(ISNUMBER(SEARCH("3",'Procyclean BIO'!D63)),EDATE(AB62,3),DATEVALUE('Procyclean BIO'!D63))))),""))</f>
        <v/>
      </c>
      <c r="AM62" t="str">
        <f t="shared" ca="1" si="5"/>
        <v/>
      </c>
    </row>
    <row r="63" spans="1:39" ht="22.05" customHeight="1" x14ac:dyDescent="0.3">
      <c r="A63" s="16"/>
      <c r="B63" s="16"/>
      <c r="C63" s="16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AA63" t="str">
        <f>IF(COUNTA('Procyclean BIO'!A64,'Procyclean BIO'!B64,'Procyclean BIO'!C64)&gt;0,"BIO","")</f>
        <v/>
      </c>
      <c r="AB63" t="str">
        <f>IFERROR(IF(ISNUMBER('Procyclean BIO'!A64),'Procyclean BIO'!A64,DATEVALUE('Procyclean BIO'!A64)),"")</f>
        <v/>
      </c>
      <c r="AC63" t="str">
        <f>IF(AA63="","",'Procyclean BIO'!B64)</f>
        <v/>
      </c>
      <c r="AD63" t="str">
        <f>IF(AA63="","",IFERROR(1*'Procyclean BIO'!C64,IFERROR(_xludf.NUMBERVALUE('Procyclean BIO'!C64,".",","),IFERROR(_xludf.NUMBERVALUE('Procyclean BIO'!C64,",","."),0))))</f>
        <v/>
      </c>
      <c r="AE63" t="str">
        <f>IF(AA63="","",'Procyclean BIO'!J64)</f>
        <v/>
      </c>
      <c r="AF63">
        <f t="shared" si="0"/>
        <v>0</v>
      </c>
      <c r="AG63" t="str">
        <f t="shared" si="1"/>
        <v/>
      </c>
      <c r="AH63" t="str">
        <f t="shared" si="2"/>
        <v/>
      </c>
      <c r="AI63">
        <f t="shared" si="3"/>
        <v>0</v>
      </c>
      <c r="AJ63">
        <f t="shared" si="4"/>
        <v>0</v>
      </c>
      <c r="AK63">
        <v>0</v>
      </c>
      <c r="AL63" t="str">
        <f>IF(AA63="","",IFERROR(IF(ISNUMBER('Procyclean BIO'!D64),'Procyclean BIO'!D64,IF(ISNUMBER(SEARCH("12",'Procyclean BIO'!D64)),EDATE(AB63,12),IF(ISNUMBER(SEARCH("6",'Procyclean BIO'!D64)),EDATE(AB63,6),IF(ISNUMBER(SEARCH("3",'Procyclean BIO'!D64)),EDATE(AB63,3),DATEVALUE('Procyclean BIO'!D64))))),""))</f>
        <v/>
      </c>
      <c r="AM63" t="str">
        <f t="shared" ca="1" si="5"/>
        <v/>
      </c>
    </row>
    <row r="64" spans="1:39" ht="22.05" customHeight="1" x14ac:dyDescent="0.3">
      <c r="A64" s="16"/>
      <c r="B64" s="16"/>
      <c r="C64" s="16"/>
      <c r="D64" s="17"/>
      <c r="E64" s="66" t="s">
        <v>59</v>
      </c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3"/>
      <c r="AA64" t="str">
        <f>IF(COUNTA('Procyclean BIO'!A65,'Procyclean BIO'!B65,'Procyclean BIO'!C65)&gt;0,"BIO","")</f>
        <v/>
      </c>
      <c r="AB64" t="str">
        <f>IFERROR(IF(ISNUMBER('Procyclean BIO'!A65),'Procyclean BIO'!A65,DATEVALUE('Procyclean BIO'!A65)),"")</f>
        <v/>
      </c>
      <c r="AC64" t="str">
        <f>IF(AA64="","",'Procyclean BIO'!B65)</f>
        <v/>
      </c>
      <c r="AD64" t="str">
        <f>IF(AA64="","",IFERROR(1*'Procyclean BIO'!C65,IFERROR(_xludf.NUMBERVALUE('Procyclean BIO'!C65,".",","),IFERROR(_xludf.NUMBERVALUE('Procyclean BIO'!C65,",","."),0))))</f>
        <v/>
      </c>
      <c r="AE64" t="str">
        <f>IF(AA64="","",'Procyclean BIO'!J65)</f>
        <v/>
      </c>
      <c r="AF64">
        <f t="shared" si="0"/>
        <v>0</v>
      </c>
      <c r="AG64" t="str">
        <f t="shared" si="1"/>
        <v/>
      </c>
      <c r="AH64" t="str">
        <f t="shared" si="2"/>
        <v/>
      </c>
      <c r="AI64">
        <f t="shared" si="3"/>
        <v>0</v>
      </c>
      <c r="AJ64">
        <f t="shared" si="4"/>
        <v>0</v>
      </c>
      <c r="AK64">
        <v>0</v>
      </c>
      <c r="AL64" t="str">
        <f>IF(AA64="","",IFERROR(IF(ISNUMBER('Procyclean BIO'!D65),'Procyclean BIO'!D65,IF(ISNUMBER(SEARCH("12",'Procyclean BIO'!D65)),EDATE(AB64,12),IF(ISNUMBER(SEARCH("6",'Procyclean BIO'!D65)),EDATE(AB64,6),IF(ISNUMBER(SEARCH("3",'Procyclean BIO'!D65)),EDATE(AB64,3),DATEVALUE('Procyclean BIO'!D65))))),""))</f>
        <v/>
      </c>
      <c r="AM64" t="str">
        <f t="shared" ca="1" si="5"/>
        <v/>
      </c>
    </row>
    <row r="65" spans="1:41" ht="22.05" customHeight="1" x14ac:dyDescent="0.3">
      <c r="A65" s="16"/>
      <c r="B65" s="16"/>
      <c r="C65" s="16"/>
      <c r="D65" s="17"/>
      <c r="E65" s="64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5"/>
      <c r="AA65" t="str">
        <f>IF(COUNTA('Procyclean BIO'!A66,'Procyclean BIO'!B66,'Procyclean BIO'!C66)&gt;0,"BIO","")</f>
        <v/>
      </c>
      <c r="AB65" t="str">
        <f>IFERROR(IF(ISNUMBER('Procyclean BIO'!A66),'Procyclean BIO'!A66,DATEVALUE('Procyclean BIO'!A66)),"")</f>
        <v/>
      </c>
      <c r="AC65" t="str">
        <f>IF(AA65="","",'Procyclean BIO'!B66)</f>
        <v/>
      </c>
      <c r="AD65" t="str">
        <f>IF(AA65="","",IFERROR(1*'Procyclean BIO'!C66,IFERROR(_xludf.NUMBERVALUE('Procyclean BIO'!C66,".",","),IFERROR(_xludf.NUMBERVALUE('Procyclean BIO'!C66,",","."),0))))</f>
        <v/>
      </c>
      <c r="AE65" t="str">
        <f>IF(AA65="","",'Procyclean BIO'!J66)</f>
        <v/>
      </c>
      <c r="AF65">
        <f t="shared" si="0"/>
        <v>0</v>
      </c>
      <c r="AG65" t="str">
        <f t="shared" si="1"/>
        <v/>
      </c>
      <c r="AH65" t="str">
        <f t="shared" si="2"/>
        <v/>
      </c>
      <c r="AI65">
        <f t="shared" si="3"/>
        <v>0</v>
      </c>
      <c r="AJ65">
        <f t="shared" si="4"/>
        <v>0</v>
      </c>
      <c r="AK65">
        <v>0</v>
      </c>
      <c r="AL65" t="str">
        <f>IF(AA65="","",IFERROR(IF(ISNUMBER('Procyclean BIO'!D66),'Procyclean BIO'!D66,IF(ISNUMBER(SEARCH("12",'Procyclean BIO'!D66)),EDATE(AB65,12),IF(ISNUMBER(SEARCH("6",'Procyclean BIO'!D66)),EDATE(AB65,6),IF(ISNUMBER(SEARCH("3",'Procyclean BIO'!D66)),EDATE(AB65,3),DATEVALUE('Procyclean BIO'!D66))))),""))</f>
        <v/>
      </c>
      <c r="AM65" t="str">
        <f t="shared" ca="1" si="5"/>
        <v/>
      </c>
    </row>
    <row r="66" spans="1:41" ht="22.05" customHeight="1" x14ac:dyDescent="0.3">
      <c r="A66" s="16"/>
      <c r="B66" s="16"/>
      <c r="C66" s="16"/>
      <c r="D66" s="17"/>
      <c r="E66" s="56" t="s">
        <v>0</v>
      </c>
      <c r="F66" s="56" t="s">
        <v>31</v>
      </c>
      <c r="G66" s="56" t="s">
        <v>30</v>
      </c>
      <c r="H66" s="56" t="s">
        <v>38</v>
      </c>
      <c r="I66" s="56" t="s">
        <v>32</v>
      </c>
      <c r="J66" s="56" t="s">
        <v>60</v>
      </c>
      <c r="K66" s="56" t="s">
        <v>33</v>
      </c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8"/>
      <c r="AA66" t="str">
        <f>IF(COUNTA('Procyclean BIO'!A67,'Procyclean BIO'!B67,'Procyclean BIO'!C67)&gt;0,"BIO","")</f>
        <v/>
      </c>
      <c r="AB66" t="str">
        <f>IFERROR(IF(ISNUMBER('Procyclean BIO'!A67),'Procyclean BIO'!A67,DATEVALUE('Procyclean BIO'!A67)),"")</f>
        <v/>
      </c>
      <c r="AC66" t="str">
        <f>IF(AA66="","",'Procyclean BIO'!B67)</f>
        <v/>
      </c>
      <c r="AD66" t="str">
        <f>IF(AA66="","",IFERROR(1*'Procyclean BIO'!C67,IFERROR(_xludf.NUMBERVALUE('Procyclean BIO'!C67,".",","),IFERROR(_xludf.NUMBERVALUE('Procyclean BIO'!C67,",","."),0))))</f>
        <v/>
      </c>
      <c r="AE66" t="str">
        <f>IF(AA66="","",'Procyclean BIO'!J67)</f>
        <v/>
      </c>
      <c r="AF66">
        <f t="shared" ref="AF66:AF129" si="16">IF(AA66="",0,--AND(ISNUMBER(SEARCH("aprov",AE66)),NOT(ISNUMBER(SEARCH("reprov",AE66)))))</f>
        <v>0</v>
      </c>
      <c r="AG66" t="str">
        <f t="shared" ref="AG66:AG129" si="17">IF(AB66="","",YEAR(AB66))</f>
        <v/>
      </c>
      <c r="AH66" t="str">
        <f t="shared" ref="AH66:AH129" si="18">IF(AB66="","",MONTH(AB66))</f>
        <v/>
      </c>
      <c r="AI66">
        <f t="shared" ref="AI66:AI129" si="19">IF(AB66="",0,AB66+ROW()/1000000)</f>
        <v>0</v>
      </c>
      <c r="AJ66">
        <f t="shared" ref="AJ66:AJ129" si="20">--(AA66&lt;&gt;"")</f>
        <v>0</v>
      </c>
      <c r="AK66">
        <v>0</v>
      </c>
      <c r="AL66" t="str">
        <f>IF(AA66="","",IFERROR(IF(ISNUMBER('Procyclean BIO'!D67),'Procyclean BIO'!D67,IF(ISNUMBER(SEARCH("12",'Procyclean BIO'!D67)),EDATE(AB66,12),IF(ISNUMBER(SEARCH("6",'Procyclean BIO'!D67)),EDATE(AB66,6),IF(ISNUMBER(SEARCH("3",'Procyclean BIO'!D67)),EDATE(AB66,3),DATEVALUE('Procyclean BIO'!D67))))),""))</f>
        <v/>
      </c>
      <c r="AM66" t="str">
        <f t="shared" ref="AM66:AM129" ca="1" si="21">IF(AND(AJ66=1,AL66&lt;&gt;"",AL66&gt;=TODAY(),AG66=$W$3),AL66+ROW()/1000000,"")</f>
        <v/>
      </c>
      <c r="AO66" t="s">
        <v>61</v>
      </c>
    </row>
    <row r="67" spans="1:41" ht="22.05" customHeight="1" x14ac:dyDescent="0.3">
      <c r="A67" s="16"/>
      <c r="B67" s="16"/>
      <c r="C67" s="16"/>
      <c r="D67" s="17"/>
      <c r="E67" s="35" t="s">
        <v>62</v>
      </c>
      <c r="F67" s="35">
        <f t="shared" ref="F67:F73" si="22">SUMIFS($AJ$2:$AJ$12001,$AA$2:$AA$12001,E67,$AG$2:$AG$12001,$W$3)</f>
        <v>0</v>
      </c>
      <c r="G67" s="57">
        <f t="shared" ref="G67:G73" si="23">SUMIFS($AD$2:$AD$12001,$AJ$2:$AJ$12001,1,$AA$2:$AA$12001,E67,$AG$2:$AG$12001,$W$3)</f>
        <v>0</v>
      </c>
      <c r="H67" s="35">
        <f t="shared" ref="H67:H73" si="24">SUMIFS($AF$2:$AF$12001,$AJ$2:$AJ$12001,1,$AA$2:$AA$12001,E67,$AG$2:$AG$12001,$W$3)</f>
        <v>0</v>
      </c>
      <c r="I67" s="42">
        <f t="shared" ref="I67:I73" si="25">IFERROR(H67/F67,0)</f>
        <v>0</v>
      </c>
      <c r="J67" s="35" t="str">
        <f t="shared" ref="J67:J73" si="26">IF(G67&gt;0,RANK(G67,$G$67:$G$86,0),"")</f>
        <v/>
      </c>
      <c r="K67" s="35" t="str">
        <f t="shared" ref="K67:K73" si="27">IF(F67=0,"",IF(I67&gt;=0.95,"Excelente",IF(I67&gt;=0.8,"Atenção","Crítico")))</f>
        <v/>
      </c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8"/>
      <c r="AA67" t="str">
        <f>IF(COUNTA('Procyclean BIO'!A68,'Procyclean BIO'!B68,'Procyclean BIO'!C68)&gt;0,"BIO","")</f>
        <v/>
      </c>
      <c r="AB67" t="str">
        <f>IFERROR(IF(ISNUMBER('Procyclean BIO'!A68),'Procyclean BIO'!A68,DATEVALUE('Procyclean BIO'!A68)),"")</f>
        <v/>
      </c>
      <c r="AC67" t="str">
        <f>IF(AA67="","",'Procyclean BIO'!B68)</f>
        <v/>
      </c>
      <c r="AD67" t="str">
        <f>IF(AA67="","",IFERROR(1*'Procyclean BIO'!C68,IFERROR(_xludf.NUMBERVALUE('Procyclean BIO'!C68,".",","),IFERROR(_xludf.NUMBERVALUE('Procyclean BIO'!C68,",","."),0))))</f>
        <v/>
      </c>
      <c r="AE67" t="str">
        <f>IF(AA67="","",'Procyclean BIO'!J68)</f>
        <v/>
      </c>
      <c r="AF67">
        <f t="shared" si="16"/>
        <v>0</v>
      </c>
      <c r="AG67" t="str">
        <f t="shared" si="17"/>
        <v/>
      </c>
      <c r="AH67" t="str">
        <f t="shared" si="18"/>
        <v/>
      </c>
      <c r="AI67">
        <f t="shared" si="19"/>
        <v>0</v>
      </c>
      <c r="AJ67">
        <f t="shared" si="20"/>
        <v>0</v>
      </c>
      <c r="AK67">
        <v>0</v>
      </c>
      <c r="AL67" t="str">
        <f>IF(AA67="","",IFERROR(IF(ISNUMBER('Procyclean BIO'!D68),'Procyclean BIO'!D68,IF(ISNUMBER(SEARCH("12",'Procyclean BIO'!D68)),EDATE(AB67,12),IF(ISNUMBER(SEARCH("6",'Procyclean BIO'!D68)),EDATE(AB67,6),IF(ISNUMBER(SEARCH("3",'Procyclean BIO'!D68)),EDATE(AB67,3),DATEVALUE('Procyclean BIO'!D68))))),""))</f>
        <v/>
      </c>
      <c r="AM67" t="str">
        <f t="shared" ca="1" si="21"/>
        <v/>
      </c>
      <c r="AO67">
        <f t="shared" ref="AO67:AO73" si="28">IF(G67&gt;0,G67+ROW()/1000000,0)</f>
        <v>0</v>
      </c>
    </row>
    <row r="68" spans="1:41" ht="22.05" customHeight="1" x14ac:dyDescent="0.3">
      <c r="A68" s="16"/>
      <c r="B68" s="16"/>
      <c r="C68" s="16"/>
      <c r="D68" s="17"/>
      <c r="E68" s="31" t="s">
        <v>63</v>
      </c>
      <c r="F68" s="31">
        <f t="shared" si="22"/>
        <v>0</v>
      </c>
      <c r="G68" s="58">
        <f t="shared" si="23"/>
        <v>0</v>
      </c>
      <c r="H68" s="31">
        <f t="shared" si="24"/>
        <v>0</v>
      </c>
      <c r="I68" s="43">
        <f t="shared" si="25"/>
        <v>0</v>
      </c>
      <c r="J68" s="31" t="str">
        <f t="shared" si="26"/>
        <v/>
      </c>
      <c r="K68" s="31" t="str">
        <f t="shared" si="27"/>
        <v/>
      </c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8"/>
      <c r="AA68" t="str">
        <f>IF(COUNTA('Procyclean BIO'!A69,'Procyclean BIO'!B69,'Procyclean BIO'!C69)&gt;0,"BIO","")</f>
        <v/>
      </c>
      <c r="AB68" t="str">
        <f>IFERROR(IF(ISNUMBER('Procyclean BIO'!A69),'Procyclean BIO'!A69,DATEVALUE('Procyclean BIO'!A69)),"")</f>
        <v/>
      </c>
      <c r="AC68" t="str">
        <f>IF(AA68="","",'Procyclean BIO'!B69)</f>
        <v/>
      </c>
      <c r="AD68" t="str">
        <f>IF(AA68="","",IFERROR(1*'Procyclean BIO'!C69,IFERROR(_xludf.NUMBERVALUE('Procyclean BIO'!C69,".",","),IFERROR(_xludf.NUMBERVALUE('Procyclean BIO'!C69,",","."),0))))</f>
        <v/>
      </c>
      <c r="AE68" t="str">
        <f>IF(AA68="","",'Procyclean BIO'!J69)</f>
        <v/>
      </c>
      <c r="AF68">
        <f t="shared" si="16"/>
        <v>0</v>
      </c>
      <c r="AG68" t="str">
        <f t="shared" si="17"/>
        <v/>
      </c>
      <c r="AH68" t="str">
        <f t="shared" si="18"/>
        <v/>
      </c>
      <c r="AI68">
        <f t="shared" si="19"/>
        <v>0</v>
      </c>
      <c r="AJ68">
        <f t="shared" si="20"/>
        <v>0</v>
      </c>
      <c r="AK68">
        <v>0</v>
      </c>
      <c r="AL68" t="str">
        <f>IF(AA68="","",IFERROR(IF(ISNUMBER('Procyclean BIO'!D69),'Procyclean BIO'!D69,IF(ISNUMBER(SEARCH("12",'Procyclean BIO'!D69)),EDATE(AB68,12),IF(ISNUMBER(SEARCH("6",'Procyclean BIO'!D69)),EDATE(AB68,6),IF(ISNUMBER(SEARCH("3",'Procyclean BIO'!D69)),EDATE(AB68,3),DATEVALUE('Procyclean BIO'!D69))))),""))</f>
        <v/>
      </c>
      <c r="AM68" t="str">
        <f t="shared" ca="1" si="21"/>
        <v/>
      </c>
      <c r="AO68">
        <f t="shared" si="28"/>
        <v>0</v>
      </c>
    </row>
    <row r="69" spans="1:41" ht="22.05" customHeight="1" x14ac:dyDescent="0.3">
      <c r="A69" s="16"/>
      <c r="B69" s="16"/>
      <c r="C69" s="16"/>
      <c r="D69" s="17"/>
      <c r="E69" s="35" t="s">
        <v>64</v>
      </c>
      <c r="F69" s="35">
        <f t="shared" si="22"/>
        <v>0</v>
      </c>
      <c r="G69" s="57">
        <f t="shared" si="23"/>
        <v>0</v>
      </c>
      <c r="H69" s="35">
        <f t="shared" si="24"/>
        <v>0</v>
      </c>
      <c r="I69" s="42">
        <f t="shared" si="25"/>
        <v>0</v>
      </c>
      <c r="J69" s="35" t="str">
        <f t="shared" si="26"/>
        <v/>
      </c>
      <c r="K69" s="35" t="str">
        <f t="shared" si="27"/>
        <v/>
      </c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8"/>
      <c r="AA69" t="str">
        <f>IF(COUNTA('Procyclean BIO'!A70,'Procyclean BIO'!B70,'Procyclean BIO'!C70)&gt;0,"BIO","")</f>
        <v/>
      </c>
      <c r="AB69" t="str">
        <f>IFERROR(IF(ISNUMBER('Procyclean BIO'!A70),'Procyclean BIO'!A70,DATEVALUE('Procyclean BIO'!A70)),"")</f>
        <v/>
      </c>
      <c r="AC69" t="str">
        <f>IF(AA69="","",'Procyclean BIO'!B70)</f>
        <v/>
      </c>
      <c r="AD69" t="str">
        <f>IF(AA69="","",IFERROR(1*'Procyclean BIO'!C70,IFERROR(_xludf.NUMBERVALUE('Procyclean BIO'!C70,".",","),IFERROR(_xludf.NUMBERVALUE('Procyclean BIO'!C70,",","."),0))))</f>
        <v/>
      </c>
      <c r="AE69" t="str">
        <f>IF(AA69="","",'Procyclean BIO'!J70)</f>
        <v/>
      </c>
      <c r="AF69">
        <f t="shared" si="16"/>
        <v>0</v>
      </c>
      <c r="AG69" t="str">
        <f t="shared" si="17"/>
        <v/>
      </c>
      <c r="AH69" t="str">
        <f t="shared" si="18"/>
        <v/>
      </c>
      <c r="AI69">
        <f t="shared" si="19"/>
        <v>0</v>
      </c>
      <c r="AJ69">
        <f t="shared" si="20"/>
        <v>0</v>
      </c>
      <c r="AK69">
        <v>0</v>
      </c>
      <c r="AL69" t="str">
        <f>IF(AA69="","",IFERROR(IF(ISNUMBER('Procyclean BIO'!D70),'Procyclean BIO'!D70,IF(ISNUMBER(SEARCH("12",'Procyclean BIO'!D70)),EDATE(AB69,12),IF(ISNUMBER(SEARCH("6",'Procyclean BIO'!D70)),EDATE(AB69,6),IF(ISNUMBER(SEARCH("3",'Procyclean BIO'!D70)),EDATE(AB69,3),DATEVALUE('Procyclean BIO'!D70))))),""))</f>
        <v/>
      </c>
      <c r="AM69" t="str">
        <f t="shared" ca="1" si="21"/>
        <v/>
      </c>
      <c r="AO69">
        <f t="shared" si="28"/>
        <v>0</v>
      </c>
    </row>
    <row r="70" spans="1:41" ht="22.05" customHeight="1" x14ac:dyDescent="0.3">
      <c r="A70" s="16"/>
      <c r="B70" s="16"/>
      <c r="C70" s="16"/>
      <c r="D70" s="17"/>
      <c r="E70" s="31" t="s">
        <v>65</v>
      </c>
      <c r="F70" s="31">
        <f t="shared" si="22"/>
        <v>0</v>
      </c>
      <c r="G70" s="58">
        <f t="shared" si="23"/>
        <v>0</v>
      </c>
      <c r="H70" s="31">
        <f t="shared" si="24"/>
        <v>0</v>
      </c>
      <c r="I70" s="43">
        <f t="shared" si="25"/>
        <v>0</v>
      </c>
      <c r="J70" s="31" t="str">
        <f t="shared" si="26"/>
        <v/>
      </c>
      <c r="K70" s="31" t="str">
        <f t="shared" si="27"/>
        <v/>
      </c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8"/>
      <c r="AA70" t="str">
        <f>IF(COUNTA('Procyclean BIO'!A71,'Procyclean BIO'!B71,'Procyclean BIO'!C71)&gt;0,"BIO","")</f>
        <v/>
      </c>
      <c r="AB70" t="str">
        <f>IFERROR(IF(ISNUMBER('Procyclean BIO'!A71),'Procyclean BIO'!A71,DATEVALUE('Procyclean BIO'!A71)),"")</f>
        <v/>
      </c>
      <c r="AC70" t="str">
        <f>IF(AA70="","",'Procyclean BIO'!B71)</f>
        <v/>
      </c>
      <c r="AD70" t="str">
        <f>IF(AA70="","",IFERROR(1*'Procyclean BIO'!C71,IFERROR(_xludf.NUMBERVALUE('Procyclean BIO'!C71,".",","),IFERROR(_xludf.NUMBERVALUE('Procyclean BIO'!C71,",","."),0))))</f>
        <v/>
      </c>
      <c r="AE70" t="str">
        <f>IF(AA70="","",'Procyclean BIO'!J71)</f>
        <v/>
      </c>
      <c r="AF70">
        <f t="shared" si="16"/>
        <v>0</v>
      </c>
      <c r="AG70" t="str">
        <f t="shared" si="17"/>
        <v/>
      </c>
      <c r="AH70" t="str">
        <f t="shared" si="18"/>
        <v/>
      </c>
      <c r="AI70">
        <f t="shared" si="19"/>
        <v>0</v>
      </c>
      <c r="AJ70">
        <f t="shared" si="20"/>
        <v>0</v>
      </c>
      <c r="AK70">
        <v>0</v>
      </c>
      <c r="AL70" t="str">
        <f>IF(AA70="","",IFERROR(IF(ISNUMBER('Procyclean BIO'!D71),'Procyclean BIO'!D71,IF(ISNUMBER(SEARCH("12",'Procyclean BIO'!D71)),EDATE(AB70,12),IF(ISNUMBER(SEARCH("6",'Procyclean BIO'!D71)),EDATE(AB70,6),IF(ISNUMBER(SEARCH("3",'Procyclean BIO'!D71)),EDATE(AB70,3),DATEVALUE('Procyclean BIO'!D71))))),""))</f>
        <v/>
      </c>
      <c r="AM70" t="str">
        <f t="shared" ca="1" si="21"/>
        <v/>
      </c>
      <c r="AO70">
        <f t="shared" si="28"/>
        <v>0</v>
      </c>
    </row>
    <row r="71" spans="1:41" ht="22.05" customHeight="1" x14ac:dyDescent="0.3">
      <c r="A71" s="16"/>
      <c r="B71" s="16"/>
      <c r="C71" s="16"/>
      <c r="D71" s="17"/>
      <c r="E71" s="35" t="s">
        <v>66</v>
      </c>
      <c r="F71" s="35">
        <f t="shared" si="22"/>
        <v>5</v>
      </c>
      <c r="G71" s="57">
        <f t="shared" si="23"/>
        <v>625</v>
      </c>
      <c r="H71" s="35">
        <f t="shared" si="24"/>
        <v>5</v>
      </c>
      <c r="I71" s="42">
        <f t="shared" si="25"/>
        <v>1</v>
      </c>
      <c r="J71" s="35">
        <f t="shared" si="26"/>
        <v>1</v>
      </c>
      <c r="K71" s="35" t="str">
        <f t="shared" si="27"/>
        <v>Excelente</v>
      </c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8"/>
      <c r="AA71" t="str">
        <f>IF(COUNTA('Procyclean BIO'!A72,'Procyclean BIO'!B72,'Procyclean BIO'!C72)&gt;0,"BIO","")</f>
        <v/>
      </c>
      <c r="AB71" t="str">
        <f>IFERROR(IF(ISNUMBER('Procyclean BIO'!A72),'Procyclean BIO'!A72,DATEVALUE('Procyclean BIO'!A72)),"")</f>
        <v/>
      </c>
      <c r="AC71" t="str">
        <f>IF(AA71="","",'Procyclean BIO'!B72)</f>
        <v/>
      </c>
      <c r="AD71" t="str">
        <f>IF(AA71="","",IFERROR(1*'Procyclean BIO'!C72,IFERROR(_xludf.NUMBERVALUE('Procyclean BIO'!C72,".",","),IFERROR(_xludf.NUMBERVALUE('Procyclean BIO'!C72,",","."),0))))</f>
        <v/>
      </c>
      <c r="AE71" t="str">
        <f>IF(AA71="","",'Procyclean BIO'!J72)</f>
        <v/>
      </c>
      <c r="AF71">
        <f t="shared" si="16"/>
        <v>0</v>
      </c>
      <c r="AG71" t="str">
        <f t="shared" si="17"/>
        <v/>
      </c>
      <c r="AH71" t="str">
        <f t="shared" si="18"/>
        <v/>
      </c>
      <c r="AI71">
        <f t="shared" si="19"/>
        <v>0</v>
      </c>
      <c r="AJ71">
        <f t="shared" si="20"/>
        <v>0</v>
      </c>
      <c r="AK71">
        <v>0</v>
      </c>
      <c r="AL71" t="str">
        <f>IF(AA71="","",IFERROR(IF(ISNUMBER('Procyclean BIO'!D72),'Procyclean BIO'!D72,IF(ISNUMBER(SEARCH("12",'Procyclean BIO'!D72)),EDATE(AB71,12),IF(ISNUMBER(SEARCH("6",'Procyclean BIO'!D72)),EDATE(AB71,6),IF(ISNUMBER(SEARCH("3",'Procyclean BIO'!D72)),EDATE(AB71,3),DATEVALUE('Procyclean BIO'!D72))))),""))</f>
        <v/>
      </c>
      <c r="AM71" t="str">
        <f t="shared" ca="1" si="21"/>
        <v/>
      </c>
      <c r="AO71">
        <f t="shared" si="28"/>
        <v>625.00007100000005</v>
      </c>
    </row>
    <row r="72" spans="1:41" ht="22.05" customHeight="1" x14ac:dyDescent="0.3">
      <c r="A72" s="16"/>
      <c r="B72" s="16"/>
      <c r="C72" s="16"/>
      <c r="D72" s="17"/>
      <c r="E72" s="31" t="s">
        <v>67</v>
      </c>
      <c r="F72" s="31">
        <f t="shared" si="22"/>
        <v>3</v>
      </c>
      <c r="G72" s="58">
        <f t="shared" si="23"/>
        <v>400</v>
      </c>
      <c r="H72" s="31">
        <f t="shared" si="24"/>
        <v>3</v>
      </c>
      <c r="I72" s="43">
        <f t="shared" si="25"/>
        <v>1</v>
      </c>
      <c r="J72" s="31">
        <f t="shared" si="26"/>
        <v>2</v>
      </c>
      <c r="K72" s="31" t="str">
        <f t="shared" si="27"/>
        <v>Excelente</v>
      </c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8"/>
      <c r="AA72" t="str">
        <f>IF(COUNTA('Procyclean BIO'!A73,'Procyclean BIO'!B73,'Procyclean BIO'!C73)&gt;0,"BIO","")</f>
        <v/>
      </c>
      <c r="AB72" t="str">
        <f>IFERROR(IF(ISNUMBER('Procyclean BIO'!A73),'Procyclean BIO'!A73,DATEVALUE('Procyclean BIO'!A73)),"")</f>
        <v/>
      </c>
      <c r="AC72" t="str">
        <f>IF(AA72="","",'Procyclean BIO'!B73)</f>
        <v/>
      </c>
      <c r="AD72" t="str">
        <f>IF(AA72="","",IFERROR(1*'Procyclean BIO'!C73,IFERROR(_xludf.NUMBERVALUE('Procyclean BIO'!C73,".",","),IFERROR(_xludf.NUMBERVALUE('Procyclean BIO'!C73,",","."),0))))</f>
        <v/>
      </c>
      <c r="AE72" t="str">
        <f>IF(AA72="","",'Procyclean BIO'!J73)</f>
        <v/>
      </c>
      <c r="AF72">
        <f t="shared" si="16"/>
        <v>0</v>
      </c>
      <c r="AG72" t="str">
        <f t="shared" si="17"/>
        <v/>
      </c>
      <c r="AH72" t="str">
        <f t="shared" si="18"/>
        <v/>
      </c>
      <c r="AI72">
        <f t="shared" si="19"/>
        <v>0</v>
      </c>
      <c r="AJ72">
        <f t="shared" si="20"/>
        <v>0</v>
      </c>
      <c r="AK72">
        <v>0</v>
      </c>
      <c r="AL72" t="str">
        <f>IF(AA72="","",IFERROR(IF(ISNUMBER('Procyclean BIO'!D73),'Procyclean BIO'!D73,IF(ISNUMBER(SEARCH("12",'Procyclean BIO'!D73)),EDATE(AB72,12),IF(ISNUMBER(SEARCH("6",'Procyclean BIO'!D73)),EDATE(AB72,6),IF(ISNUMBER(SEARCH("3",'Procyclean BIO'!D73)),EDATE(AB72,3),DATEVALUE('Procyclean BIO'!D73))))),""))</f>
        <v/>
      </c>
      <c r="AM72" t="str">
        <f t="shared" ca="1" si="21"/>
        <v/>
      </c>
      <c r="AO72">
        <f t="shared" si="28"/>
        <v>400.00007199999999</v>
      </c>
    </row>
    <row r="73" spans="1:41" ht="22.05" customHeight="1" x14ac:dyDescent="0.3">
      <c r="A73" s="16"/>
      <c r="B73" s="16"/>
      <c r="C73" s="16"/>
      <c r="D73" s="17"/>
      <c r="E73" s="35" t="s">
        <v>68</v>
      </c>
      <c r="F73" s="35">
        <f t="shared" si="22"/>
        <v>0</v>
      </c>
      <c r="G73" s="57">
        <f t="shared" si="23"/>
        <v>0</v>
      </c>
      <c r="H73" s="35">
        <f t="shared" si="24"/>
        <v>0</v>
      </c>
      <c r="I73" s="42">
        <f t="shared" si="25"/>
        <v>0</v>
      </c>
      <c r="J73" s="35" t="str">
        <f t="shared" si="26"/>
        <v/>
      </c>
      <c r="K73" s="35" t="str">
        <f t="shared" si="27"/>
        <v/>
      </c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8"/>
      <c r="AA73" t="str">
        <f>IF(COUNTA('Procyclean BIO'!A74,'Procyclean BIO'!B74,'Procyclean BIO'!C74)&gt;0,"BIO","")</f>
        <v/>
      </c>
      <c r="AB73" t="str">
        <f>IFERROR(IF(ISNUMBER('Procyclean BIO'!A74),'Procyclean BIO'!A74,DATEVALUE('Procyclean BIO'!A74)),"")</f>
        <v/>
      </c>
      <c r="AC73" t="str">
        <f>IF(AA73="","",'Procyclean BIO'!B74)</f>
        <v/>
      </c>
      <c r="AD73" t="str">
        <f>IF(AA73="","",IFERROR(1*'Procyclean BIO'!C74,IFERROR(_xludf.NUMBERVALUE('Procyclean BIO'!C74,".",","),IFERROR(_xludf.NUMBERVALUE('Procyclean BIO'!C74,",","."),0))))</f>
        <v/>
      </c>
      <c r="AE73" t="str">
        <f>IF(AA73="","",'Procyclean BIO'!J74)</f>
        <v/>
      </c>
      <c r="AF73">
        <f t="shared" si="16"/>
        <v>0</v>
      </c>
      <c r="AG73" t="str">
        <f t="shared" si="17"/>
        <v/>
      </c>
      <c r="AH73" t="str">
        <f t="shared" si="18"/>
        <v/>
      </c>
      <c r="AI73">
        <f t="shared" si="19"/>
        <v>0</v>
      </c>
      <c r="AJ73">
        <f t="shared" si="20"/>
        <v>0</v>
      </c>
      <c r="AK73">
        <v>0</v>
      </c>
      <c r="AL73" t="str">
        <f>IF(AA73="","",IFERROR(IF(ISNUMBER('Procyclean BIO'!D74),'Procyclean BIO'!D74,IF(ISNUMBER(SEARCH("12",'Procyclean BIO'!D74)),EDATE(AB73,12),IF(ISNUMBER(SEARCH("6",'Procyclean BIO'!D74)),EDATE(AB73,6),IF(ISNUMBER(SEARCH("3",'Procyclean BIO'!D74)),EDATE(AB73,3),DATEVALUE('Procyclean BIO'!D74))))),""))</f>
        <v/>
      </c>
      <c r="AM73" t="str">
        <f t="shared" ca="1" si="21"/>
        <v/>
      </c>
      <c r="AO73">
        <f t="shared" si="28"/>
        <v>0</v>
      </c>
    </row>
    <row r="74" spans="1:41" ht="22.05" customHeight="1" x14ac:dyDescent="0.3">
      <c r="A74" s="16"/>
      <c r="B74" s="16"/>
      <c r="C74" s="16"/>
      <c r="D74" s="17"/>
      <c r="E74" s="31"/>
      <c r="F74" s="31"/>
      <c r="G74" s="31"/>
      <c r="H74" s="31"/>
      <c r="I74" s="31"/>
      <c r="J74" s="31"/>
      <c r="K74" s="31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8"/>
      <c r="AA74" t="str">
        <f>IF(COUNTA('Procyclean BIO'!A75,'Procyclean BIO'!B75,'Procyclean BIO'!C75)&gt;0,"BIO","")</f>
        <v/>
      </c>
      <c r="AB74" t="str">
        <f>IFERROR(IF(ISNUMBER('Procyclean BIO'!A75),'Procyclean BIO'!A75,DATEVALUE('Procyclean BIO'!A75)),"")</f>
        <v/>
      </c>
      <c r="AC74" t="str">
        <f>IF(AA74="","",'Procyclean BIO'!B75)</f>
        <v/>
      </c>
      <c r="AD74" t="str">
        <f>IF(AA74="","",IFERROR(1*'Procyclean BIO'!C75,IFERROR(_xludf.NUMBERVALUE('Procyclean BIO'!C75,".",","),IFERROR(_xludf.NUMBERVALUE('Procyclean BIO'!C75,",","."),0))))</f>
        <v/>
      </c>
      <c r="AE74" t="str">
        <f>IF(AA74="","",'Procyclean BIO'!J75)</f>
        <v/>
      </c>
      <c r="AF74">
        <f t="shared" si="16"/>
        <v>0</v>
      </c>
      <c r="AG74" t="str">
        <f t="shared" si="17"/>
        <v/>
      </c>
      <c r="AH74" t="str">
        <f t="shared" si="18"/>
        <v/>
      </c>
      <c r="AI74">
        <f t="shared" si="19"/>
        <v>0</v>
      </c>
      <c r="AJ74">
        <f t="shared" si="20"/>
        <v>0</v>
      </c>
      <c r="AK74">
        <v>0</v>
      </c>
      <c r="AL74" t="str">
        <f>IF(AA74="","",IFERROR(IF(ISNUMBER('Procyclean BIO'!D75),'Procyclean BIO'!D75,IF(ISNUMBER(SEARCH("12",'Procyclean BIO'!D75)),EDATE(AB74,12),IF(ISNUMBER(SEARCH("6",'Procyclean BIO'!D75)),EDATE(AB74,6),IF(ISNUMBER(SEARCH("3",'Procyclean BIO'!D75)),EDATE(AB74,3),DATEVALUE('Procyclean BIO'!D75))))),""))</f>
        <v/>
      </c>
      <c r="AM74" t="str">
        <f t="shared" ca="1" si="21"/>
        <v/>
      </c>
    </row>
    <row r="75" spans="1:41" ht="22.05" customHeight="1" x14ac:dyDescent="0.3">
      <c r="A75" s="16"/>
      <c r="B75" s="16"/>
      <c r="C75" s="16"/>
      <c r="D75" s="17"/>
      <c r="E75" s="35"/>
      <c r="F75" s="35"/>
      <c r="G75" s="35"/>
      <c r="H75" s="35"/>
      <c r="I75" s="35"/>
      <c r="J75" s="35"/>
      <c r="K75" s="35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8"/>
      <c r="AA75" t="str">
        <f>IF(COUNTA('Procyclean BIO'!A76,'Procyclean BIO'!B76,'Procyclean BIO'!C76)&gt;0,"BIO","")</f>
        <v/>
      </c>
      <c r="AB75" t="str">
        <f>IFERROR(IF(ISNUMBER('Procyclean BIO'!A76),'Procyclean BIO'!A76,DATEVALUE('Procyclean BIO'!A76)),"")</f>
        <v/>
      </c>
      <c r="AC75" t="str">
        <f>IF(AA75="","",'Procyclean BIO'!B76)</f>
        <v/>
      </c>
      <c r="AD75" t="str">
        <f>IF(AA75="","",IFERROR(1*'Procyclean BIO'!C76,IFERROR(_xludf.NUMBERVALUE('Procyclean BIO'!C76,".",","),IFERROR(_xludf.NUMBERVALUE('Procyclean BIO'!C76,",","."),0))))</f>
        <v/>
      </c>
      <c r="AE75" t="str">
        <f>IF(AA75="","",'Procyclean BIO'!J76)</f>
        <v/>
      </c>
      <c r="AF75">
        <f t="shared" si="16"/>
        <v>0</v>
      </c>
      <c r="AG75" t="str">
        <f t="shared" si="17"/>
        <v/>
      </c>
      <c r="AH75" t="str">
        <f t="shared" si="18"/>
        <v/>
      </c>
      <c r="AI75">
        <f t="shared" si="19"/>
        <v>0</v>
      </c>
      <c r="AJ75">
        <f t="shared" si="20"/>
        <v>0</v>
      </c>
      <c r="AK75">
        <v>0</v>
      </c>
      <c r="AL75" t="str">
        <f>IF(AA75="","",IFERROR(IF(ISNUMBER('Procyclean BIO'!D76),'Procyclean BIO'!D76,IF(ISNUMBER(SEARCH("12",'Procyclean BIO'!D76)),EDATE(AB75,12),IF(ISNUMBER(SEARCH("6",'Procyclean BIO'!D76)),EDATE(AB75,6),IF(ISNUMBER(SEARCH("3",'Procyclean BIO'!D76)),EDATE(AB75,3),DATEVALUE('Procyclean BIO'!D76))))),""))</f>
        <v/>
      </c>
      <c r="AM75" t="str">
        <f t="shared" ca="1" si="21"/>
        <v/>
      </c>
    </row>
    <row r="76" spans="1:41" ht="22.05" customHeight="1" x14ac:dyDescent="0.3">
      <c r="A76" s="16"/>
      <c r="B76" s="16"/>
      <c r="C76" s="16"/>
      <c r="D76" s="17"/>
      <c r="E76" s="31"/>
      <c r="F76" s="31"/>
      <c r="G76" s="31"/>
      <c r="H76" s="31"/>
      <c r="I76" s="31"/>
      <c r="J76" s="31"/>
      <c r="K76" s="31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8"/>
      <c r="AA76" t="str">
        <f>IF(COUNTA('Procyclean BIO'!A77,'Procyclean BIO'!B77,'Procyclean BIO'!C77)&gt;0,"BIO","")</f>
        <v/>
      </c>
      <c r="AB76" t="str">
        <f>IFERROR(IF(ISNUMBER('Procyclean BIO'!A77),'Procyclean BIO'!A77,DATEVALUE('Procyclean BIO'!A77)),"")</f>
        <v/>
      </c>
      <c r="AC76" t="str">
        <f>IF(AA76="","",'Procyclean BIO'!B77)</f>
        <v/>
      </c>
      <c r="AD76" t="str">
        <f>IF(AA76="","",IFERROR(1*'Procyclean BIO'!C77,IFERROR(_xludf.NUMBERVALUE('Procyclean BIO'!C77,".",","),IFERROR(_xludf.NUMBERVALUE('Procyclean BIO'!C77,",","."),0))))</f>
        <v/>
      </c>
      <c r="AE76" t="str">
        <f>IF(AA76="","",'Procyclean BIO'!J77)</f>
        <v/>
      </c>
      <c r="AF76">
        <f t="shared" si="16"/>
        <v>0</v>
      </c>
      <c r="AG76" t="str">
        <f t="shared" si="17"/>
        <v/>
      </c>
      <c r="AH76" t="str">
        <f t="shared" si="18"/>
        <v/>
      </c>
      <c r="AI76">
        <f t="shared" si="19"/>
        <v>0</v>
      </c>
      <c r="AJ76">
        <f t="shared" si="20"/>
        <v>0</v>
      </c>
      <c r="AK76">
        <v>0</v>
      </c>
      <c r="AL76" t="str">
        <f>IF(AA76="","",IFERROR(IF(ISNUMBER('Procyclean BIO'!D77),'Procyclean BIO'!D77,IF(ISNUMBER(SEARCH("12",'Procyclean BIO'!D77)),EDATE(AB76,12),IF(ISNUMBER(SEARCH("6",'Procyclean BIO'!D77)),EDATE(AB76,6),IF(ISNUMBER(SEARCH("3",'Procyclean BIO'!D77)),EDATE(AB76,3),DATEVALUE('Procyclean BIO'!D77))))),""))</f>
        <v/>
      </c>
      <c r="AM76" t="str">
        <f t="shared" ca="1" si="21"/>
        <v/>
      </c>
    </row>
    <row r="77" spans="1:41" ht="22.05" customHeight="1" x14ac:dyDescent="0.3">
      <c r="A77" s="16"/>
      <c r="B77" s="16"/>
      <c r="C77" s="16"/>
      <c r="D77" s="17"/>
      <c r="E77" s="35"/>
      <c r="F77" s="35"/>
      <c r="G77" s="35"/>
      <c r="H77" s="35"/>
      <c r="I77" s="35"/>
      <c r="J77" s="35"/>
      <c r="K77" s="35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8"/>
      <c r="AA77" t="str">
        <f>IF(COUNTA('Procyclean BIO'!A78,'Procyclean BIO'!B78,'Procyclean BIO'!C78)&gt;0,"BIO","")</f>
        <v/>
      </c>
      <c r="AB77" t="str">
        <f>IFERROR(IF(ISNUMBER('Procyclean BIO'!A78),'Procyclean BIO'!A78,DATEVALUE('Procyclean BIO'!A78)),"")</f>
        <v/>
      </c>
      <c r="AC77" t="str">
        <f>IF(AA77="","",'Procyclean BIO'!B78)</f>
        <v/>
      </c>
      <c r="AD77" t="str">
        <f>IF(AA77="","",IFERROR(1*'Procyclean BIO'!C78,IFERROR(_xludf.NUMBERVALUE('Procyclean BIO'!C78,".",","),IFERROR(_xludf.NUMBERVALUE('Procyclean BIO'!C78,",","."),0))))</f>
        <v/>
      </c>
      <c r="AE77" t="str">
        <f>IF(AA77="","",'Procyclean BIO'!J78)</f>
        <v/>
      </c>
      <c r="AF77">
        <f t="shared" si="16"/>
        <v>0</v>
      </c>
      <c r="AG77" t="str">
        <f t="shared" si="17"/>
        <v/>
      </c>
      <c r="AH77" t="str">
        <f t="shared" si="18"/>
        <v/>
      </c>
      <c r="AI77">
        <f t="shared" si="19"/>
        <v>0</v>
      </c>
      <c r="AJ77">
        <f t="shared" si="20"/>
        <v>0</v>
      </c>
      <c r="AK77">
        <v>0</v>
      </c>
      <c r="AL77" t="str">
        <f>IF(AA77="","",IFERROR(IF(ISNUMBER('Procyclean BIO'!D78),'Procyclean BIO'!D78,IF(ISNUMBER(SEARCH("12",'Procyclean BIO'!D78)),EDATE(AB77,12),IF(ISNUMBER(SEARCH("6",'Procyclean BIO'!D78)),EDATE(AB77,6),IF(ISNUMBER(SEARCH("3",'Procyclean BIO'!D78)),EDATE(AB77,3),DATEVALUE('Procyclean BIO'!D78))))),""))</f>
        <v/>
      </c>
      <c r="AM77" t="str">
        <f t="shared" ca="1" si="21"/>
        <v/>
      </c>
    </row>
    <row r="78" spans="1:41" ht="22.05" customHeight="1" x14ac:dyDescent="0.3">
      <c r="A78" s="16"/>
      <c r="B78" s="16"/>
      <c r="C78" s="16"/>
      <c r="D78" s="17"/>
      <c r="E78" s="31"/>
      <c r="F78" s="31"/>
      <c r="G78" s="31"/>
      <c r="H78" s="31"/>
      <c r="I78" s="31"/>
      <c r="J78" s="31"/>
      <c r="K78" s="31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8"/>
      <c r="AA78" t="str">
        <f>IF(COUNTA('Procyclean BIO'!A79,'Procyclean BIO'!B79,'Procyclean BIO'!C79)&gt;0,"BIO","")</f>
        <v/>
      </c>
      <c r="AB78" t="str">
        <f>IFERROR(IF(ISNUMBER('Procyclean BIO'!A79),'Procyclean BIO'!A79,DATEVALUE('Procyclean BIO'!A79)),"")</f>
        <v/>
      </c>
      <c r="AC78" t="str">
        <f>IF(AA78="","",'Procyclean BIO'!B79)</f>
        <v/>
      </c>
      <c r="AD78" t="str">
        <f>IF(AA78="","",IFERROR(1*'Procyclean BIO'!C79,IFERROR(_xludf.NUMBERVALUE('Procyclean BIO'!C79,".",","),IFERROR(_xludf.NUMBERVALUE('Procyclean BIO'!C79,",","."),0))))</f>
        <v/>
      </c>
      <c r="AE78" t="str">
        <f>IF(AA78="","",'Procyclean BIO'!J79)</f>
        <v/>
      </c>
      <c r="AF78">
        <f t="shared" si="16"/>
        <v>0</v>
      </c>
      <c r="AG78" t="str">
        <f t="shared" si="17"/>
        <v/>
      </c>
      <c r="AH78" t="str">
        <f t="shared" si="18"/>
        <v/>
      </c>
      <c r="AI78">
        <f t="shared" si="19"/>
        <v>0</v>
      </c>
      <c r="AJ78">
        <f t="shared" si="20"/>
        <v>0</v>
      </c>
      <c r="AK78">
        <v>0</v>
      </c>
      <c r="AL78" t="str">
        <f>IF(AA78="","",IFERROR(IF(ISNUMBER('Procyclean BIO'!D79),'Procyclean BIO'!D79,IF(ISNUMBER(SEARCH("12",'Procyclean BIO'!D79)),EDATE(AB78,12),IF(ISNUMBER(SEARCH("6",'Procyclean BIO'!D79)),EDATE(AB78,6),IF(ISNUMBER(SEARCH("3",'Procyclean BIO'!D79)),EDATE(AB78,3),DATEVALUE('Procyclean BIO'!D79))))),""))</f>
        <v/>
      </c>
      <c r="AM78" t="str">
        <f t="shared" ca="1" si="21"/>
        <v/>
      </c>
    </row>
    <row r="79" spans="1:41" ht="22.05" customHeight="1" x14ac:dyDescent="0.3">
      <c r="A79" s="16"/>
      <c r="B79" s="16"/>
      <c r="C79" s="16"/>
      <c r="D79" s="17"/>
      <c r="E79" s="35"/>
      <c r="F79" s="35"/>
      <c r="G79" s="35"/>
      <c r="H79" s="35"/>
      <c r="I79" s="35"/>
      <c r="J79" s="35"/>
      <c r="K79" s="35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8"/>
      <c r="AA79" t="str">
        <f>IF(COUNTA('Procyclean BIO'!A80,'Procyclean BIO'!B80,'Procyclean BIO'!C80)&gt;0,"BIO","")</f>
        <v/>
      </c>
      <c r="AB79" t="str">
        <f>IFERROR(IF(ISNUMBER('Procyclean BIO'!A80),'Procyclean BIO'!A80,DATEVALUE('Procyclean BIO'!A80)),"")</f>
        <v/>
      </c>
      <c r="AC79" t="str">
        <f>IF(AA79="","",'Procyclean BIO'!B80)</f>
        <v/>
      </c>
      <c r="AD79" t="str">
        <f>IF(AA79="","",IFERROR(1*'Procyclean BIO'!C80,IFERROR(_xludf.NUMBERVALUE('Procyclean BIO'!C80,".",","),IFERROR(_xludf.NUMBERVALUE('Procyclean BIO'!C80,",","."),0))))</f>
        <v/>
      </c>
      <c r="AE79" t="str">
        <f>IF(AA79="","",'Procyclean BIO'!J80)</f>
        <v/>
      </c>
      <c r="AF79">
        <f t="shared" si="16"/>
        <v>0</v>
      </c>
      <c r="AG79" t="str">
        <f t="shared" si="17"/>
        <v/>
      </c>
      <c r="AH79" t="str">
        <f t="shared" si="18"/>
        <v/>
      </c>
      <c r="AI79">
        <f t="shared" si="19"/>
        <v>0</v>
      </c>
      <c r="AJ79">
        <f t="shared" si="20"/>
        <v>0</v>
      </c>
      <c r="AK79">
        <v>0</v>
      </c>
      <c r="AL79" t="str">
        <f>IF(AA79="","",IFERROR(IF(ISNUMBER('Procyclean BIO'!D80),'Procyclean BIO'!D80,IF(ISNUMBER(SEARCH("12",'Procyclean BIO'!D80)),EDATE(AB79,12),IF(ISNUMBER(SEARCH("6",'Procyclean BIO'!D80)),EDATE(AB79,6),IF(ISNUMBER(SEARCH("3",'Procyclean BIO'!D80)),EDATE(AB79,3),DATEVALUE('Procyclean BIO'!D80))))),""))</f>
        <v/>
      </c>
      <c r="AM79" t="str">
        <f t="shared" ca="1" si="21"/>
        <v/>
      </c>
    </row>
    <row r="80" spans="1:41" ht="22.05" customHeight="1" x14ac:dyDescent="0.3">
      <c r="A80" s="16"/>
      <c r="B80" s="16"/>
      <c r="C80" s="16"/>
      <c r="D80" s="17"/>
      <c r="E80" s="31"/>
      <c r="F80" s="31"/>
      <c r="G80" s="31"/>
      <c r="H80" s="31"/>
      <c r="I80" s="31"/>
      <c r="J80" s="31"/>
      <c r="K80" s="31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8"/>
      <c r="AA80" t="str">
        <f>IF(COUNTA('Procyclean BIO'!A81,'Procyclean BIO'!B81,'Procyclean BIO'!C81)&gt;0,"BIO","")</f>
        <v/>
      </c>
      <c r="AB80" t="str">
        <f>IFERROR(IF(ISNUMBER('Procyclean BIO'!A81),'Procyclean BIO'!A81,DATEVALUE('Procyclean BIO'!A81)),"")</f>
        <v/>
      </c>
      <c r="AC80" t="str">
        <f>IF(AA80="","",'Procyclean BIO'!B81)</f>
        <v/>
      </c>
      <c r="AD80" t="str">
        <f>IF(AA80="","",IFERROR(1*'Procyclean BIO'!C81,IFERROR(_xludf.NUMBERVALUE('Procyclean BIO'!C81,".",","),IFERROR(_xludf.NUMBERVALUE('Procyclean BIO'!C81,",","."),0))))</f>
        <v/>
      </c>
      <c r="AE80" t="str">
        <f>IF(AA80="","",'Procyclean BIO'!J81)</f>
        <v/>
      </c>
      <c r="AF80">
        <f t="shared" si="16"/>
        <v>0</v>
      </c>
      <c r="AG80" t="str">
        <f t="shared" si="17"/>
        <v/>
      </c>
      <c r="AH80" t="str">
        <f t="shared" si="18"/>
        <v/>
      </c>
      <c r="AI80">
        <f t="shared" si="19"/>
        <v>0</v>
      </c>
      <c r="AJ80">
        <f t="shared" si="20"/>
        <v>0</v>
      </c>
      <c r="AK80">
        <v>0</v>
      </c>
      <c r="AL80" t="str">
        <f>IF(AA80="","",IFERROR(IF(ISNUMBER('Procyclean BIO'!D81),'Procyclean BIO'!D81,IF(ISNUMBER(SEARCH("12",'Procyclean BIO'!D81)),EDATE(AB80,12),IF(ISNUMBER(SEARCH("6",'Procyclean BIO'!D81)),EDATE(AB80,6),IF(ISNUMBER(SEARCH("3",'Procyclean BIO'!D81)),EDATE(AB80,3),DATEVALUE('Procyclean BIO'!D81))))),""))</f>
        <v/>
      </c>
      <c r="AM80" t="str">
        <f t="shared" ca="1" si="21"/>
        <v/>
      </c>
    </row>
    <row r="81" spans="1:39" ht="22.05" customHeight="1" x14ac:dyDescent="0.3">
      <c r="A81" s="16"/>
      <c r="B81" s="16"/>
      <c r="C81" s="16"/>
      <c r="D81" s="17"/>
      <c r="E81" s="35"/>
      <c r="F81" s="35"/>
      <c r="G81" s="35"/>
      <c r="H81" s="35"/>
      <c r="I81" s="35"/>
      <c r="J81" s="35"/>
      <c r="K81" s="35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8"/>
      <c r="AA81" t="str">
        <f>IF(COUNTA('Procyclean BIO'!A82,'Procyclean BIO'!B82,'Procyclean BIO'!C82)&gt;0,"BIO","")</f>
        <v/>
      </c>
      <c r="AB81" t="str">
        <f>IFERROR(IF(ISNUMBER('Procyclean BIO'!A82),'Procyclean BIO'!A82,DATEVALUE('Procyclean BIO'!A82)),"")</f>
        <v/>
      </c>
      <c r="AC81" t="str">
        <f>IF(AA81="","",'Procyclean BIO'!B82)</f>
        <v/>
      </c>
      <c r="AD81" t="str">
        <f>IF(AA81="","",IFERROR(1*'Procyclean BIO'!C82,IFERROR(_xludf.NUMBERVALUE('Procyclean BIO'!C82,".",","),IFERROR(_xludf.NUMBERVALUE('Procyclean BIO'!C82,",","."),0))))</f>
        <v/>
      </c>
      <c r="AE81" t="str">
        <f>IF(AA81="","",'Procyclean BIO'!J82)</f>
        <v/>
      </c>
      <c r="AF81">
        <f t="shared" si="16"/>
        <v>0</v>
      </c>
      <c r="AG81" t="str">
        <f t="shared" si="17"/>
        <v/>
      </c>
      <c r="AH81" t="str">
        <f t="shared" si="18"/>
        <v/>
      </c>
      <c r="AI81">
        <f t="shared" si="19"/>
        <v>0</v>
      </c>
      <c r="AJ81">
        <f t="shared" si="20"/>
        <v>0</v>
      </c>
      <c r="AK81">
        <v>0</v>
      </c>
      <c r="AL81" t="str">
        <f>IF(AA81="","",IFERROR(IF(ISNUMBER('Procyclean BIO'!D82),'Procyclean BIO'!D82,IF(ISNUMBER(SEARCH("12",'Procyclean BIO'!D82)),EDATE(AB81,12),IF(ISNUMBER(SEARCH("6",'Procyclean BIO'!D82)),EDATE(AB81,6),IF(ISNUMBER(SEARCH("3",'Procyclean BIO'!D82)),EDATE(AB81,3),DATEVALUE('Procyclean BIO'!D82))))),""))</f>
        <v/>
      </c>
      <c r="AM81" t="str">
        <f t="shared" ca="1" si="21"/>
        <v/>
      </c>
    </row>
    <row r="82" spans="1:39" ht="22.05" customHeight="1" x14ac:dyDescent="0.3">
      <c r="A82" s="16"/>
      <c r="B82" s="16"/>
      <c r="C82" s="16"/>
      <c r="D82" s="17"/>
      <c r="E82" s="31"/>
      <c r="F82" s="31"/>
      <c r="G82" s="31"/>
      <c r="H82" s="31"/>
      <c r="I82" s="31"/>
      <c r="J82" s="31"/>
      <c r="K82" s="31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8"/>
      <c r="AA82" t="str">
        <f>IF(COUNTA('Procyclean BIO'!A83,'Procyclean BIO'!B83,'Procyclean BIO'!C83)&gt;0,"BIO","")</f>
        <v/>
      </c>
      <c r="AB82" t="str">
        <f>IFERROR(IF(ISNUMBER('Procyclean BIO'!A83),'Procyclean BIO'!A83,DATEVALUE('Procyclean BIO'!A83)),"")</f>
        <v/>
      </c>
      <c r="AC82" t="str">
        <f>IF(AA82="","",'Procyclean BIO'!B83)</f>
        <v/>
      </c>
      <c r="AD82" t="str">
        <f>IF(AA82="","",IFERROR(1*'Procyclean BIO'!C83,IFERROR(_xludf.NUMBERVALUE('Procyclean BIO'!C83,".",","),IFERROR(_xludf.NUMBERVALUE('Procyclean BIO'!C83,",","."),0))))</f>
        <v/>
      </c>
      <c r="AE82" t="str">
        <f>IF(AA82="","",'Procyclean BIO'!J83)</f>
        <v/>
      </c>
      <c r="AF82">
        <f t="shared" si="16"/>
        <v>0</v>
      </c>
      <c r="AG82" t="str">
        <f t="shared" si="17"/>
        <v/>
      </c>
      <c r="AH82" t="str">
        <f t="shared" si="18"/>
        <v/>
      </c>
      <c r="AI82">
        <f t="shared" si="19"/>
        <v>0</v>
      </c>
      <c r="AJ82">
        <f t="shared" si="20"/>
        <v>0</v>
      </c>
      <c r="AK82">
        <v>0</v>
      </c>
      <c r="AL82" t="str">
        <f>IF(AA82="","",IFERROR(IF(ISNUMBER('Procyclean BIO'!D83),'Procyclean BIO'!D83,IF(ISNUMBER(SEARCH("12",'Procyclean BIO'!D83)),EDATE(AB82,12),IF(ISNUMBER(SEARCH("6",'Procyclean BIO'!D83)),EDATE(AB82,6),IF(ISNUMBER(SEARCH("3",'Procyclean BIO'!D83)),EDATE(AB82,3),DATEVALUE('Procyclean BIO'!D83))))),""))</f>
        <v/>
      </c>
      <c r="AM82" t="str">
        <f t="shared" ca="1" si="21"/>
        <v/>
      </c>
    </row>
    <row r="83" spans="1:39" ht="22.05" customHeight="1" x14ac:dyDescent="0.3">
      <c r="A83" s="16"/>
      <c r="B83" s="16"/>
      <c r="C83" s="16"/>
      <c r="D83" s="17"/>
      <c r="E83" s="35"/>
      <c r="F83" s="35"/>
      <c r="G83" s="35"/>
      <c r="H83" s="35"/>
      <c r="I83" s="35"/>
      <c r="J83" s="35"/>
      <c r="K83" s="35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8"/>
      <c r="AA83" t="str">
        <f>IF(COUNTA('Procyclean BIO'!A84,'Procyclean BIO'!B84,'Procyclean BIO'!C84)&gt;0,"BIO","")</f>
        <v/>
      </c>
      <c r="AB83" t="str">
        <f>IFERROR(IF(ISNUMBER('Procyclean BIO'!A84),'Procyclean BIO'!A84,DATEVALUE('Procyclean BIO'!A84)),"")</f>
        <v/>
      </c>
      <c r="AC83" t="str">
        <f>IF(AA83="","",'Procyclean BIO'!B84)</f>
        <v/>
      </c>
      <c r="AD83" t="str">
        <f>IF(AA83="","",IFERROR(1*'Procyclean BIO'!C84,IFERROR(_xludf.NUMBERVALUE('Procyclean BIO'!C84,".",","),IFERROR(_xludf.NUMBERVALUE('Procyclean BIO'!C84,",","."),0))))</f>
        <v/>
      </c>
      <c r="AE83" t="str">
        <f>IF(AA83="","",'Procyclean BIO'!J84)</f>
        <v/>
      </c>
      <c r="AF83">
        <f t="shared" si="16"/>
        <v>0</v>
      </c>
      <c r="AG83" t="str">
        <f t="shared" si="17"/>
        <v/>
      </c>
      <c r="AH83" t="str">
        <f t="shared" si="18"/>
        <v/>
      </c>
      <c r="AI83">
        <f t="shared" si="19"/>
        <v>0</v>
      </c>
      <c r="AJ83">
        <f t="shared" si="20"/>
        <v>0</v>
      </c>
      <c r="AK83">
        <v>0</v>
      </c>
      <c r="AL83" t="str">
        <f>IF(AA83="","",IFERROR(IF(ISNUMBER('Procyclean BIO'!D84),'Procyclean BIO'!D84,IF(ISNUMBER(SEARCH("12",'Procyclean BIO'!D84)),EDATE(AB83,12),IF(ISNUMBER(SEARCH("6",'Procyclean BIO'!D84)),EDATE(AB83,6),IF(ISNUMBER(SEARCH("3",'Procyclean BIO'!D84)),EDATE(AB83,3),DATEVALUE('Procyclean BIO'!D84))))),""))</f>
        <v/>
      </c>
      <c r="AM83" t="str">
        <f t="shared" ca="1" si="21"/>
        <v/>
      </c>
    </row>
    <row r="84" spans="1:39" ht="22.05" customHeight="1" x14ac:dyDescent="0.3">
      <c r="A84" s="16"/>
      <c r="B84" s="16"/>
      <c r="C84" s="16"/>
      <c r="D84" s="17"/>
      <c r="E84" s="31"/>
      <c r="F84" s="31"/>
      <c r="G84" s="31"/>
      <c r="H84" s="31"/>
      <c r="I84" s="31"/>
      <c r="J84" s="31"/>
      <c r="K84" s="31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8"/>
      <c r="AA84" t="str">
        <f>IF(COUNTA('Procyclean BIO'!A85,'Procyclean BIO'!B85,'Procyclean BIO'!C85)&gt;0,"BIO","")</f>
        <v/>
      </c>
      <c r="AB84" t="str">
        <f>IFERROR(IF(ISNUMBER('Procyclean BIO'!A85),'Procyclean BIO'!A85,DATEVALUE('Procyclean BIO'!A85)),"")</f>
        <v/>
      </c>
      <c r="AC84" t="str">
        <f>IF(AA84="","",'Procyclean BIO'!B85)</f>
        <v/>
      </c>
      <c r="AD84" t="str">
        <f>IF(AA84="","",IFERROR(1*'Procyclean BIO'!C85,IFERROR(_xludf.NUMBERVALUE('Procyclean BIO'!C85,".",","),IFERROR(_xludf.NUMBERVALUE('Procyclean BIO'!C85,",","."),0))))</f>
        <v/>
      </c>
      <c r="AE84" t="str">
        <f>IF(AA84="","",'Procyclean BIO'!J85)</f>
        <v/>
      </c>
      <c r="AF84">
        <f t="shared" si="16"/>
        <v>0</v>
      </c>
      <c r="AG84" t="str">
        <f t="shared" si="17"/>
        <v/>
      </c>
      <c r="AH84" t="str">
        <f t="shared" si="18"/>
        <v/>
      </c>
      <c r="AI84">
        <f t="shared" si="19"/>
        <v>0</v>
      </c>
      <c r="AJ84">
        <f t="shared" si="20"/>
        <v>0</v>
      </c>
      <c r="AK84">
        <v>0</v>
      </c>
      <c r="AL84" t="str">
        <f>IF(AA84="","",IFERROR(IF(ISNUMBER('Procyclean BIO'!D85),'Procyclean BIO'!D85,IF(ISNUMBER(SEARCH("12",'Procyclean BIO'!D85)),EDATE(AB84,12),IF(ISNUMBER(SEARCH("6",'Procyclean BIO'!D85)),EDATE(AB84,6),IF(ISNUMBER(SEARCH("3",'Procyclean BIO'!D85)),EDATE(AB84,3),DATEVALUE('Procyclean BIO'!D85))))),""))</f>
        <v/>
      </c>
      <c r="AM84" t="str">
        <f t="shared" ca="1" si="21"/>
        <v/>
      </c>
    </row>
    <row r="85" spans="1:39" ht="22.05" customHeight="1" x14ac:dyDescent="0.3">
      <c r="A85" s="16"/>
      <c r="B85" s="16"/>
      <c r="C85" s="16"/>
      <c r="D85" s="17"/>
      <c r="E85" s="35"/>
      <c r="F85" s="35"/>
      <c r="G85" s="35"/>
      <c r="H85" s="35"/>
      <c r="I85" s="35"/>
      <c r="J85" s="35"/>
      <c r="K85" s="35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8"/>
      <c r="AA85" t="str">
        <f>IF(COUNTA('Procyclean BIO'!A86,'Procyclean BIO'!B86,'Procyclean BIO'!C86)&gt;0,"BIO","")</f>
        <v/>
      </c>
      <c r="AB85" t="str">
        <f>IFERROR(IF(ISNUMBER('Procyclean BIO'!A86),'Procyclean BIO'!A86,DATEVALUE('Procyclean BIO'!A86)),"")</f>
        <v/>
      </c>
      <c r="AC85" t="str">
        <f>IF(AA85="","",'Procyclean BIO'!B86)</f>
        <v/>
      </c>
      <c r="AD85" t="str">
        <f>IF(AA85="","",IFERROR(1*'Procyclean BIO'!C86,IFERROR(_xludf.NUMBERVALUE('Procyclean BIO'!C86,".",","),IFERROR(_xludf.NUMBERVALUE('Procyclean BIO'!C86,",","."),0))))</f>
        <v/>
      </c>
      <c r="AE85" t="str">
        <f>IF(AA85="","",'Procyclean BIO'!J86)</f>
        <v/>
      </c>
      <c r="AF85">
        <f t="shared" si="16"/>
        <v>0</v>
      </c>
      <c r="AG85" t="str">
        <f t="shared" si="17"/>
        <v/>
      </c>
      <c r="AH85" t="str">
        <f t="shared" si="18"/>
        <v/>
      </c>
      <c r="AI85">
        <f t="shared" si="19"/>
        <v>0</v>
      </c>
      <c r="AJ85">
        <f t="shared" si="20"/>
        <v>0</v>
      </c>
      <c r="AK85">
        <v>0</v>
      </c>
      <c r="AL85" t="str">
        <f>IF(AA85="","",IFERROR(IF(ISNUMBER('Procyclean BIO'!D86),'Procyclean BIO'!D86,IF(ISNUMBER(SEARCH("12",'Procyclean BIO'!D86)),EDATE(AB85,12),IF(ISNUMBER(SEARCH("6",'Procyclean BIO'!D86)),EDATE(AB85,6),IF(ISNUMBER(SEARCH("3",'Procyclean BIO'!D86)),EDATE(AB85,3),DATEVALUE('Procyclean BIO'!D86))))),""))</f>
        <v/>
      </c>
      <c r="AM85" t="str">
        <f t="shared" ca="1" si="21"/>
        <v/>
      </c>
    </row>
    <row r="86" spans="1:39" ht="22.05" customHeight="1" x14ac:dyDescent="0.3">
      <c r="A86" s="16"/>
      <c r="B86" s="16"/>
      <c r="C86" s="16"/>
      <c r="D86" s="17"/>
      <c r="E86" s="31"/>
      <c r="F86" s="31"/>
      <c r="G86" s="31"/>
      <c r="H86" s="31"/>
      <c r="I86" s="31"/>
      <c r="J86" s="31"/>
      <c r="K86" s="31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8"/>
      <c r="AA86" t="str">
        <f>IF(COUNTA('Procyclean BIO'!A87,'Procyclean BIO'!B87,'Procyclean BIO'!C87)&gt;0,"BIO","")</f>
        <v/>
      </c>
      <c r="AB86" t="str">
        <f>IFERROR(IF(ISNUMBER('Procyclean BIO'!A87),'Procyclean BIO'!A87,DATEVALUE('Procyclean BIO'!A87)),"")</f>
        <v/>
      </c>
      <c r="AC86" t="str">
        <f>IF(AA86="","",'Procyclean BIO'!B87)</f>
        <v/>
      </c>
      <c r="AD86" t="str">
        <f>IF(AA86="","",IFERROR(1*'Procyclean BIO'!C87,IFERROR(_xludf.NUMBERVALUE('Procyclean BIO'!C87,".",","),IFERROR(_xludf.NUMBERVALUE('Procyclean BIO'!C87,",","."),0))))</f>
        <v/>
      </c>
      <c r="AE86" t="str">
        <f>IF(AA86="","",'Procyclean BIO'!J87)</f>
        <v/>
      </c>
      <c r="AF86">
        <f t="shared" si="16"/>
        <v>0</v>
      </c>
      <c r="AG86" t="str">
        <f t="shared" si="17"/>
        <v/>
      </c>
      <c r="AH86" t="str">
        <f t="shared" si="18"/>
        <v/>
      </c>
      <c r="AI86">
        <f t="shared" si="19"/>
        <v>0</v>
      </c>
      <c r="AJ86">
        <f t="shared" si="20"/>
        <v>0</v>
      </c>
      <c r="AK86">
        <v>0</v>
      </c>
      <c r="AL86" t="str">
        <f>IF(AA86="","",IFERROR(IF(ISNUMBER('Procyclean BIO'!D87),'Procyclean BIO'!D87,IF(ISNUMBER(SEARCH("12",'Procyclean BIO'!D87)),EDATE(AB86,12),IF(ISNUMBER(SEARCH("6",'Procyclean BIO'!D87)),EDATE(AB86,6),IF(ISNUMBER(SEARCH("3",'Procyclean BIO'!D87)),EDATE(AB86,3),DATEVALUE('Procyclean BIO'!D87))))),""))</f>
        <v/>
      </c>
      <c r="AM86" t="str">
        <f t="shared" ca="1" si="21"/>
        <v/>
      </c>
    </row>
    <row r="87" spans="1:39" ht="22.05" customHeight="1" x14ac:dyDescent="0.3">
      <c r="A87" s="16"/>
      <c r="B87" s="16"/>
      <c r="C87" s="16"/>
      <c r="D87" s="17"/>
      <c r="E87" s="26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8"/>
      <c r="AA87" t="str">
        <f>IF(COUNTA('Procyclean BIO'!A88,'Procyclean BIO'!B88,'Procyclean BIO'!C88)&gt;0,"BIO","")</f>
        <v/>
      </c>
      <c r="AB87" t="str">
        <f>IFERROR(IF(ISNUMBER('Procyclean BIO'!A88),'Procyclean BIO'!A88,DATEVALUE('Procyclean BIO'!A88)),"")</f>
        <v/>
      </c>
      <c r="AC87" t="str">
        <f>IF(AA87="","",'Procyclean BIO'!B88)</f>
        <v/>
      </c>
      <c r="AD87" t="str">
        <f>IF(AA87="","",IFERROR(1*'Procyclean BIO'!C88,IFERROR(_xludf.NUMBERVALUE('Procyclean BIO'!C88,".",","),IFERROR(_xludf.NUMBERVALUE('Procyclean BIO'!C88,",","."),0))))</f>
        <v/>
      </c>
      <c r="AE87" t="str">
        <f>IF(AA87="","",'Procyclean BIO'!J88)</f>
        <v/>
      </c>
      <c r="AF87">
        <f t="shared" si="16"/>
        <v>0</v>
      </c>
      <c r="AG87" t="str">
        <f t="shared" si="17"/>
        <v/>
      </c>
      <c r="AH87" t="str">
        <f t="shared" si="18"/>
        <v/>
      </c>
      <c r="AI87">
        <f t="shared" si="19"/>
        <v>0</v>
      </c>
      <c r="AJ87">
        <f t="shared" si="20"/>
        <v>0</v>
      </c>
      <c r="AK87">
        <v>0</v>
      </c>
      <c r="AL87" t="str">
        <f>IF(AA87="","",IFERROR(IF(ISNUMBER('Procyclean BIO'!D88),'Procyclean BIO'!D88,IF(ISNUMBER(SEARCH("12",'Procyclean BIO'!D88)),EDATE(AB87,12),IF(ISNUMBER(SEARCH("6",'Procyclean BIO'!D88)),EDATE(AB87,6),IF(ISNUMBER(SEARCH("3",'Procyclean BIO'!D88)),EDATE(AB87,3),DATEVALUE('Procyclean BIO'!D88))))),""))</f>
        <v/>
      </c>
      <c r="AM87" t="str">
        <f t="shared" ca="1" si="21"/>
        <v/>
      </c>
    </row>
    <row r="88" spans="1:39" ht="22.05" customHeight="1" x14ac:dyDescent="0.3">
      <c r="A88" s="16"/>
      <c r="B88" s="16"/>
      <c r="C88" s="16"/>
      <c r="D88" s="17"/>
      <c r="E88" s="38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40"/>
      <c r="AA88" t="str">
        <f>IF(COUNTA('Procyclean BIO'!A89,'Procyclean BIO'!B89,'Procyclean BIO'!C89)&gt;0,"BIO","")</f>
        <v/>
      </c>
      <c r="AB88" t="str">
        <f>IFERROR(IF(ISNUMBER('Procyclean BIO'!A89),'Procyclean BIO'!A89,DATEVALUE('Procyclean BIO'!A89)),"")</f>
        <v/>
      </c>
      <c r="AC88" t="str">
        <f>IF(AA88="","",'Procyclean BIO'!B89)</f>
        <v/>
      </c>
      <c r="AD88" t="str">
        <f>IF(AA88="","",IFERROR(1*'Procyclean BIO'!C89,IFERROR(_xludf.NUMBERVALUE('Procyclean BIO'!C89,".",","),IFERROR(_xludf.NUMBERVALUE('Procyclean BIO'!C89,",","."),0))))</f>
        <v/>
      </c>
      <c r="AE88" t="str">
        <f>IF(AA88="","",'Procyclean BIO'!J89)</f>
        <v/>
      </c>
      <c r="AF88">
        <f t="shared" si="16"/>
        <v>0</v>
      </c>
      <c r="AG88" t="str">
        <f t="shared" si="17"/>
        <v/>
      </c>
      <c r="AH88" t="str">
        <f t="shared" si="18"/>
        <v/>
      </c>
      <c r="AI88">
        <f t="shared" si="19"/>
        <v>0</v>
      </c>
      <c r="AJ88">
        <f t="shared" si="20"/>
        <v>0</v>
      </c>
      <c r="AK88">
        <v>0</v>
      </c>
      <c r="AL88" t="str">
        <f>IF(AA88="","",IFERROR(IF(ISNUMBER('Procyclean BIO'!D89),'Procyclean BIO'!D89,IF(ISNUMBER(SEARCH("12",'Procyclean BIO'!D89)),EDATE(AB88,12),IF(ISNUMBER(SEARCH("6",'Procyclean BIO'!D89)),EDATE(AB88,6),IF(ISNUMBER(SEARCH("3",'Procyclean BIO'!D89)),EDATE(AB88,3),DATEVALUE('Procyclean BIO'!D89))))),""))</f>
        <v/>
      </c>
      <c r="AM88" t="str">
        <f t="shared" ca="1" si="21"/>
        <v/>
      </c>
    </row>
    <row r="89" spans="1:39" ht="22.05" customHeight="1" x14ac:dyDescent="0.3">
      <c r="A89" s="16"/>
      <c r="B89" s="16"/>
      <c r="C89" s="16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AA89" t="str">
        <f>IF(COUNTA('Procyclean BIO'!A90,'Procyclean BIO'!B90,'Procyclean BIO'!C90)&gt;0,"BIO","")</f>
        <v/>
      </c>
      <c r="AB89" t="str">
        <f>IFERROR(IF(ISNUMBER('Procyclean BIO'!A90),'Procyclean BIO'!A90,DATEVALUE('Procyclean BIO'!A90)),"")</f>
        <v/>
      </c>
      <c r="AC89" t="str">
        <f>IF(AA89="","",'Procyclean BIO'!B90)</f>
        <v/>
      </c>
      <c r="AD89" t="str">
        <f>IF(AA89="","",IFERROR(1*'Procyclean BIO'!C90,IFERROR(_xludf.NUMBERVALUE('Procyclean BIO'!C90,".",","),IFERROR(_xludf.NUMBERVALUE('Procyclean BIO'!C90,",","."),0))))</f>
        <v/>
      </c>
      <c r="AE89" t="str">
        <f>IF(AA89="","",'Procyclean BIO'!J90)</f>
        <v/>
      </c>
      <c r="AF89">
        <f t="shared" si="16"/>
        <v>0</v>
      </c>
      <c r="AG89" t="str">
        <f t="shared" si="17"/>
        <v/>
      </c>
      <c r="AH89" t="str">
        <f t="shared" si="18"/>
        <v/>
      </c>
      <c r="AI89">
        <f t="shared" si="19"/>
        <v>0</v>
      </c>
      <c r="AJ89">
        <f t="shared" si="20"/>
        <v>0</v>
      </c>
      <c r="AK89">
        <v>0</v>
      </c>
      <c r="AL89" t="str">
        <f>IF(AA89="","",IFERROR(IF(ISNUMBER('Procyclean BIO'!D90),'Procyclean BIO'!D90,IF(ISNUMBER(SEARCH("12",'Procyclean BIO'!D90)),EDATE(AB89,12),IF(ISNUMBER(SEARCH("6",'Procyclean BIO'!D90)),EDATE(AB89,6),IF(ISNUMBER(SEARCH("3",'Procyclean BIO'!D90)),EDATE(AB89,3),DATEVALUE('Procyclean BIO'!D90))))),""))</f>
        <v/>
      </c>
      <c r="AM89" t="str">
        <f t="shared" ca="1" si="21"/>
        <v/>
      </c>
    </row>
    <row r="90" spans="1:39" ht="22.05" customHeight="1" x14ac:dyDescent="0.3">
      <c r="A90" s="16"/>
      <c r="B90" s="16"/>
      <c r="C90" s="16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AA90" t="str">
        <f>IF(COUNTA('Procyclean BIO'!A91,'Procyclean BIO'!B91,'Procyclean BIO'!C91)&gt;0,"BIO","")</f>
        <v/>
      </c>
      <c r="AB90" t="str">
        <f>IFERROR(IF(ISNUMBER('Procyclean BIO'!A91),'Procyclean BIO'!A91,DATEVALUE('Procyclean BIO'!A91)),"")</f>
        <v/>
      </c>
      <c r="AC90" t="str">
        <f>IF(AA90="","",'Procyclean BIO'!B91)</f>
        <v/>
      </c>
      <c r="AD90" t="str">
        <f>IF(AA90="","",IFERROR(1*'Procyclean BIO'!C91,IFERROR(_xludf.NUMBERVALUE('Procyclean BIO'!C91,".",","),IFERROR(_xludf.NUMBERVALUE('Procyclean BIO'!C91,",","."),0))))</f>
        <v/>
      </c>
      <c r="AE90" t="str">
        <f>IF(AA90="","",'Procyclean BIO'!J91)</f>
        <v/>
      </c>
      <c r="AF90">
        <f t="shared" si="16"/>
        <v>0</v>
      </c>
      <c r="AG90" t="str">
        <f t="shared" si="17"/>
        <v/>
      </c>
      <c r="AH90" t="str">
        <f t="shared" si="18"/>
        <v/>
      </c>
      <c r="AI90">
        <f t="shared" si="19"/>
        <v>0</v>
      </c>
      <c r="AJ90">
        <f t="shared" si="20"/>
        <v>0</v>
      </c>
      <c r="AK90">
        <v>0</v>
      </c>
      <c r="AL90" t="str">
        <f>IF(AA90="","",IFERROR(IF(ISNUMBER('Procyclean BIO'!D91),'Procyclean BIO'!D91,IF(ISNUMBER(SEARCH("12",'Procyclean BIO'!D91)),EDATE(AB90,12),IF(ISNUMBER(SEARCH("6",'Procyclean BIO'!D91)),EDATE(AB90,6),IF(ISNUMBER(SEARCH("3",'Procyclean BIO'!D91)),EDATE(AB90,3),DATEVALUE('Procyclean BIO'!D91))))),""))</f>
        <v/>
      </c>
      <c r="AM90" t="str">
        <f t="shared" ca="1" si="21"/>
        <v/>
      </c>
    </row>
    <row r="91" spans="1:39" ht="22.05" customHeight="1" x14ac:dyDescent="0.3">
      <c r="A91" s="16"/>
      <c r="B91" s="16"/>
      <c r="C91" s="16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AA91" t="str">
        <f>IF(COUNTA('Procyclean BIO'!A92,'Procyclean BIO'!B92,'Procyclean BIO'!C92)&gt;0,"BIO","")</f>
        <v/>
      </c>
      <c r="AB91" t="str">
        <f>IFERROR(IF(ISNUMBER('Procyclean BIO'!A92),'Procyclean BIO'!A92,DATEVALUE('Procyclean BIO'!A92)),"")</f>
        <v/>
      </c>
      <c r="AC91" t="str">
        <f>IF(AA91="","",'Procyclean BIO'!B92)</f>
        <v/>
      </c>
      <c r="AD91" t="str">
        <f>IF(AA91="","",IFERROR(1*'Procyclean BIO'!C92,IFERROR(_xludf.NUMBERVALUE('Procyclean BIO'!C92,".",","),IFERROR(_xludf.NUMBERVALUE('Procyclean BIO'!C92,",","."),0))))</f>
        <v/>
      </c>
      <c r="AE91" t="str">
        <f>IF(AA91="","",'Procyclean BIO'!J92)</f>
        <v/>
      </c>
      <c r="AF91">
        <f t="shared" si="16"/>
        <v>0</v>
      </c>
      <c r="AG91" t="str">
        <f t="shared" si="17"/>
        <v/>
      </c>
      <c r="AH91" t="str">
        <f t="shared" si="18"/>
        <v/>
      </c>
      <c r="AI91">
        <f t="shared" si="19"/>
        <v>0</v>
      </c>
      <c r="AJ91">
        <f t="shared" si="20"/>
        <v>0</v>
      </c>
      <c r="AK91">
        <v>0</v>
      </c>
      <c r="AL91" t="str">
        <f>IF(AA91="","",IFERROR(IF(ISNUMBER('Procyclean BIO'!D92),'Procyclean BIO'!D92,IF(ISNUMBER(SEARCH("12",'Procyclean BIO'!D92)),EDATE(AB91,12),IF(ISNUMBER(SEARCH("6",'Procyclean BIO'!D92)),EDATE(AB91,6),IF(ISNUMBER(SEARCH("3",'Procyclean BIO'!D92)),EDATE(AB91,3),DATEVALUE('Procyclean BIO'!D92))))),""))</f>
        <v/>
      </c>
      <c r="AM91" t="str">
        <f t="shared" ca="1" si="21"/>
        <v/>
      </c>
    </row>
    <row r="92" spans="1:39" ht="22.05" customHeight="1" x14ac:dyDescent="0.3">
      <c r="A92" s="16"/>
      <c r="B92" s="16"/>
      <c r="C92" s="16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AA92" t="str">
        <f>IF(COUNTA('Procyclean BIO'!A93,'Procyclean BIO'!B93,'Procyclean BIO'!C93)&gt;0,"BIO","")</f>
        <v/>
      </c>
      <c r="AB92" t="str">
        <f>IFERROR(IF(ISNUMBER('Procyclean BIO'!A93),'Procyclean BIO'!A93,DATEVALUE('Procyclean BIO'!A93)),"")</f>
        <v/>
      </c>
      <c r="AC92" t="str">
        <f>IF(AA92="","",'Procyclean BIO'!B93)</f>
        <v/>
      </c>
      <c r="AD92" t="str">
        <f>IF(AA92="","",IFERROR(1*'Procyclean BIO'!C93,IFERROR(_xludf.NUMBERVALUE('Procyclean BIO'!C93,".",","),IFERROR(_xludf.NUMBERVALUE('Procyclean BIO'!C93,",","."),0))))</f>
        <v/>
      </c>
      <c r="AE92" t="str">
        <f>IF(AA92="","",'Procyclean BIO'!J93)</f>
        <v/>
      </c>
      <c r="AF92">
        <f t="shared" si="16"/>
        <v>0</v>
      </c>
      <c r="AG92" t="str">
        <f t="shared" si="17"/>
        <v/>
      </c>
      <c r="AH92" t="str">
        <f t="shared" si="18"/>
        <v/>
      </c>
      <c r="AI92">
        <f t="shared" si="19"/>
        <v>0</v>
      </c>
      <c r="AJ92">
        <f t="shared" si="20"/>
        <v>0</v>
      </c>
      <c r="AK92">
        <v>0</v>
      </c>
      <c r="AL92" t="str">
        <f>IF(AA92="","",IFERROR(IF(ISNUMBER('Procyclean BIO'!D93),'Procyclean BIO'!D93,IF(ISNUMBER(SEARCH("12",'Procyclean BIO'!D93)),EDATE(AB92,12),IF(ISNUMBER(SEARCH("6",'Procyclean BIO'!D93)),EDATE(AB92,6),IF(ISNUMBER(SEARCH("3",'Procyclean BIO'!D93)),EDATE(AB92,3),DATEVALUE('Procyclean BIO'!D93))))),""))</f>
        <v/>
      </c>
      <c r="AM92" t="str">
        <f t="shared" ca="1" si="21"/>
        <v/>
      </c>
    </row>
    <row r="93" spans="1:39" ht="22.05" customHeight="1" x14ac:dyDescent="0.3">
      <c r="A93" s="16"/>
      <c r="B93" s="16"/>
      <c r="C93" s="16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AA93" t="str">
        <f>IF(COUNTA('Procyclean BIO'!A94,'Procyclean BIO'!B94,'Procyclean BIO'!C94)&gt;0,"BIO","")</f>
        <v/>
      </c>
      <c r="AB93" t="str">
        <f>IFERROR(IF(ISNUMBER('Procyclean BIO'!A94),'Procyclean BIO'!A94,DATEVALUE('Procyclean BIO'!A94)),"")</f>
        <v/>
      </c>
      <c r="AC93" t="str">
        <f>IF(AA93="","",'Procyclean BIO'!B94)</f>
        <v/>
      </c>
      <c r="AD93" t="str">
        <f>IF(AA93="","",IFERROR(1*'Procyclean BIO'!C94,IFERROR(_xludf.NUMBERVALUE('Procyclean BIO'!C94,".",","),IFERROR(_xludf.NUMBERVALUE('Procyclean BIO'!C94,",","."),0))))</f>
        <v/>
      </c>
      <c r="AE93" t="str">
        <f>IF(AA93="","",'Procyclean BIO'!J94)</f>
        <v/>
      </c>
      <c r="AF93">
        <f t="shared" si="16"/>
        <v>0</v>
      </c>
      <c r="AG93" t="str">
        <f t="shared" si="17"/>
        <v/>
      </c>
      <c r="AH93" t="str">
        <f t="shared" si="18"/>
        <v/>
      </c>
      <c r="AI93">
        <f t="shared" si="19"/>
        <v>0</v>
      </c>
      <c r="AJ93">
        <f t="shared" si="20"/>
        <v>0</v>
      </c>
      <c r="AK93">
        <v>0</v>
      </c>
      <c r="AL93" t="str">
        <f>IF(AA93="","",IFERROR(IF(ISNUMBER('Procyclean BIO'!D94),'Procyclean BIO'!D94,IF(ISNUMBER(SEARCH("12",'Procyclean BIO'!D94)),EDATE(AB93,12),IF(ISNUMBER(SEARCH("6",'Procyclean BIO'!D94)),EDATE(AB93,6),IF(ISNUMBER(SEARCH("3",'Procyclean BIO'!D94)),EDATE(AB93,3),DATEVALUE('Procyclean BIO'!D94))))),""))</f>
        <v/>
      </c>
      <c r="AM93" t="str">
        <f t="shared" ca="1" si="21"/>
        <v/>
      </c>
    </row>
    <row r="94" spans="1:39" ht="22.05" customHeight="1" x14ac:dyDescent="0.3">
      <c r="A94" s="16"/>
      <c r="B94" s="16"/>
      <c r="C94" s="16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AA94" t="str">
        <f>IF(COUNTA('Procyclean BIO'!A95,'Procyclean BIO'!B95,'Procyclean BIO'!C95)&gt;0,"BIO","")</f>
        <v/>
      </c>
      <c r="AB94" t="str">
        <f>IFERROR(IF(ISNUMBER('Procyclean BIO'!A95),'Procyclean BIO'!A95,DATEVALUE('Procyclean BIO'!A95)),"")</f>
        <v/>
      </c>
      <c r="AC94" t="str">
        <f>IF(AA94="","",'Procyclean BIO'!B95)</f>
        <v/>
      </c>
      <c r="AD94" t="str">
        <f>IF(AA94="","",IFERROR(1*'Procyclean BIO'!C95,IFERROR(_xludf.NUMBERVALUE('Procyclean BIO'!C95,".",","),IFERROR(_xludf.NUMBERVALUE('Procyclean BIO'!C95,",","."),0))))</f>
        <v/>
      </c>
      <c r="AE94" t="str">
        <f>IF(AA94="","",'Procyclean BIO'!J95)</f>
        <v/>
      </c>
      <c r="AF94">
        <f t="shared" si="16"/>
        <v>0</v>
      </c>
      <c r="AG94" t="str">
        <f t="shared" si="17"/>
        <v/>
      </c>
      <c r="AH94" t="str">
        <f t="shared" si="18"/>
        <v/>
      </c>
      <c r="AI94">
        <f t="shared" si="19"/>
        <v>0</v>
      </c>
      <c r="AJ94">
        <f t="shared" si="20"/>
        <v>0</v>
      </c>
      <c r="AK94">
        <v>0</v>
      </c>
      <c r="AL94" t="str">
        <f>IF(AA94="","",IFERROR(IF(ISNUMBER('Procyclean BIO'!D95),'Procyclean BIO'!D95,IF(ISNUMBER(SEARCH("12",'Procyclean BIO'!D95)),EDATE(AB94,12),IF(ISNUMBER(SEARCH("6",'Procyclean BIO'!D95)),EDATE(AB94,6),IF(ISNUMBER(SEARCH("3",'Procyclean BIO'!D95)),EDATE(AB94,3),DATEVALUE('Procyclean BIO'!D95))))),""))</f>
        <v/>
      </c>
      <c r="AM94" t="str">
        <f t="shared" ca="1" si="21"/>
        <v/>
      </c>
    </row>
    <row r="95" spans="1:39" ht="22.05" customHeight="1" x14ac:dyDescent="0.3">
      <c r="A95" s="16"/>
      <c r="B95" s="16"/>
      <c r="C95" s="16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AA95" t="str">
        <f>IF(COUNTA('Procyclean BIO'!A96,'Procyclean BIO'!B96,'Procyclean BIO'!C96)&gt;0,"BIO","")</f>
        <v/>
      </c>
      <c r="AB95" t="str">
        <f>IFERROR(IF(ISNUMBER('Procyclean BIO'!A96),'Procyclean BIO'!A96,DATEVALUE('Procyclean BIO'!A96)),"")</f>
        <v/>
      </c>
      <c r="AC95" t="str">
        <f>IF(AA95="","",'Procyclean BIO'!B96)</f>
        <v/>
      </c>
      <c r="AD95" t="str">
        <f>IF(AA95="","",IFERROR(1*'Procyclean BIO'!C96,IFERROR(_xludf.NUMBERVALUE('Procyclean BIO'!C96,".",","),IFERROR(_xludf.NUMBERVALUE('Procyclean BIO'!C96,",","."),0))))</f>
        <v/>
      </c>
      <c r="AE95" t="str">
        <f>IF(AA95="","",'Procyclean BIO'!J96)</f>
        <v/>
      </c>
      <c r="AF95">
        <f t="shared" si="16"/>
        <v>0</v>
      </c>
      <c r="AG95" t="str">
        <f t="shared" si="17"/>
        <v/>
      </c>
      <c r="AH95" t="str">
        <f t="shared" si="18"/>
        <v/>
      </c>
      <c r="AI95">
        <f t="shared" si="19"/>
        <v>0</v>
      </c>
      <c r="AJ95">
        <f t="shared" si="20"/>
        <v>0</v>
      </c>
      <c r="AK95">
        <v>0</v>
      </c>
      <c r="AL95" t="str">
        <f>IF(AA95="","",IFERROR(IF(ISNUMBER('Procyclean BIO'!D96),'Procyclean BIO'!D96,IF(ISNUMBER(SEARCH("12",'Procyclean BIO'!D96)),EDATE(AB95,12),IF(ISNUMBER(SEARCH("6",'Procyclean BIO'!D96)),EDATE(AB95,6),IF(ISNUMBER(SEARCH("3",'Procyclean BIO'!D96)),EDATE(AB95,3),DATEVALUE('Procyclean BIO'!D96))))),""))</f>
        <v/>
      </c>
      <c r="AM95" t="str">
        <f t="shared" ca="1" si="21"/>
        <v/>
      </c>
    </row>
    <row r="96" spans="1:39" ht="22.05" customHeight="1" x14ac:dyDescent="0.3">
      <c r="A96" s="16"/>
      <c r="B96" s="16"/>
      <c r="C96" s="16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AA96" t="str">
        <f>IF(COUNTA('Procyclean BIO'!A97,'Procyclean BIO'!B97,'Procyclean BIO'!C97)&gt;0,"BIO","")</f>
        <v/>
      </c>
      <c r="AB96" t="str">
        <f>IFERROR(IF(ISNUMBER('Procyclean BIO'!A97),'Procyclean BIO'!A97,DATEVALUE('Procyclean BIO'!A97)),"")</f>
        <v/>
      </c>
      <c r="AC96" t="str">
        <f>IF(AA96="","",'Procyclean BIO'!B97)</f>
        <v/>
      </c>
      <c r="AD96" t="str">
        <f>IF(AA96="","",IFERROR(1*'Procyclean BIO'!C97,IFERROR(_xludf.NUMBERVALUE('Procyclean BIO'!C97,".",","),IFERROR(_xludf.NUMBERVALUE('Procyclean BIO'!C97,",","."),0))))</f>
        <v/>
      </c>
      <c r="AE96" t="str">
        <f>IF(AA96="","",'Procyclean BIO'!J97)</f>
        <v/>
      </c>
      <c r="AF96">
        <f t="shared" si="16"/>
        <v>0</v>
      </c>
      <c r="AG96" t="str">
        <f t="shared" si="17"/>
        <v/>
      </c>
      <c r="AH96" t="str">
        <f t="shared" si="18"/>
        <v/>
      </c>
      <c r="AI96">
        <f t="shared" si="19"/>
        <v>0</v>
      </c>
      <c r="AJ96">
        <f t="shared" si="20"/>
        <v>0</v>
      </c>
      <c r="AK96">
        <v>0</v>
      </c>
      <c r="AL96" t="str">
        <f>IF(AA96="","",IFERROR(IF(ISNUMBER('Procyclean BIO'!D97),'Procyclean BIO'!D97,IF(ISNUMBER(SEARCH("12",'Procyclean BIO'!D97)),EDATE(AB96,12),IF(ISNUMBER(SEARCH("6",'Procyclean BIO'!D97)),EDATE(AB96,6),IF(ISNUMBER(SEARCH("3",'Procyclean BIO'!D97)),EDATE(AB96,3),DATEVALUE('Procyclean BIO'!D97))))),""))</f>
        <v/>
      </c>
      <c r="AM96" t="str">
        <f t="shared" ca="1" si="21"/>
        <v/>
      </c>
    </row>
    <row r="97" spans="1:39" ht="22.05" customHeight="1" x14ac:dyDescent="0.3">
      <c r="A97" s="16"/>
      <c r="B97" s="16"/>
      <c r="C97" s="16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AA97" t="str">
        <f>IF(COUNTA('Procyclean BIO'!A98,'Procyclean BIO'!B98,'Procyclean BIO'!C98)&gt;0,"BIO","")</f>
        <v/>
      </c>
      <c r="AB97" t="str">
        <f>IFERROR(IF(ISNUMBER('Procyclean BIO'!A98),'Procyclean BIO'!A98,DATEVALUE('Procyclean BIO'!A98)),"")</f>
        <v/>
      </c>
      <c r="AC97" t="str">
        <f>IF(AA97="","",'Procyclean BIO'!B98)</f>
        <v/>
      </c>
      <c r="AD97" t="str">
        <f>IF(AA97="","",IFERROR(1*'Procyclean BIO'!C98,IFERROR(_xludf.NUMBERVALUE('Procyclean BIO'!C98,".",","),IFERROR(_xludf.NUMBERVALUE('Procyclean BIO'!C98,",","."),0))))</f>
        <v/>
      </c>
      <c r="AE97" t="str">
        <f>IF(AA97="","",'Procyclean BIO'!J98)</f>
        <v/>
      </c>
      <c r="AF97">
        <f t="shared" si="16"/>
        <v>0</v>
      </c>
      <c r="AG97" t="str">
        <f t="shared" si="17"/>
        <v/>
      </c>
      <c r="AH97" t="str">
        <f t="shared" si="18"/>
        <v/>
      </c>
      <c r="AI97">
        <f t="shared" si="19"/>
        <v>0</v>
      </c>
      <c r="AJ97">
        <f t="shared" si="20"/>
        <v>0</v>
      </c>
      <c r="AK97">
        <v>0</v>
      </c>
      <c r="AL97" t="str">
        <f>IF(AA97="","",IFERROR(IF(ISNUMBER('Procyclean BIO'!D98),'Procyclean BIO'!D98,IF(ISNUMBER(SEARCH("12",'Procyclean BIO'!D98)),EDATE(AB97,12),IF(ISNUMBER(SEARCH("6",'Procyclean BIO'!D98)),EDATE(AB97,6),IF(ISNUMBER(SEARCH("3",'Procyclean BIO'!D98)),EDATE(AB97,3),DATEVALUE('Procyclean BIO'!D98))))),""))</f>
        <v/>
      </c>
      <c r="AM97" t="str">
        <f t="shared" ca="1" si="21"/>
        <v/>
      </c>
    </row>
    <row r="98" spans="1:39" ht="22.05" customHeight="1" x14ac:dyDescent="0.3">
      <c r="A98" s="16"/>
      <c r="B98" s="16"/>
      <c r="C98" s="16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AA98" t="str">
        <f>IF(COUNTA('Procyclean BIO'!A99,'Procyclean BIO'!B99,'Procyclean BIO'!C99)&gt;0,"BIO","")</f>
        <v/>
      </c>
      <c r="AB98" t="str">
        <f>IFERROR(IF(ISNUMBER('Procyclean BIO'!A99),'Procyclean BIO'!A99,DATEVALUE('Procyclean BIO'!A99)),"")</f>
        <v/>
      </c>
      <c r="AC98" t="str">
        <f>IF(AA98="","",'Procyclean BIO'!B99)</f>
        <v/>
      </c>
      <c r="AD98" t="str">
        <f>IF(AA98="","",IFERROR(1*'Procyclean BIO'!C99,IFERROR(_xludf.NUMBERVALUE('Procyclean BIO'!C99,".",","),IFERROR(_xludf.NUMBERVALUE('Procyclean BIO'!C99,",","."),0))))</f>
        <v/>
      </c>
      <c r="AE98" t="str">
        <f>IF(AA98="","",'Procyclean BIO'!J99)</f>
        <v/>
      </c>
      <c r="AF98">
        <f t="shared" si="16"/>
        <v>0</v>
      </c>
      <c r="AG98" t="str">
        <f t="shared" si="17"/>
        <v/>
      </c>
      <c r="AH98" t="str">
        <f t="shared" si="18"/>
        <v/>
      </c>
      <c r="AI98">
        <f t="shared" si="19"/>
        <v>0</v>
      </c>
      <c r="AJ98">
        <f t="shared" si="20"/>
        <v>0</v>
      </c>
      <c r="AK98">
        <v>0</v>
      </c>
      <c r="AL98" t="str">
        <f>IF(AA98="","",IFERROR(IF(ISNUMBER('Procyclean BIO'!D99),'Procyclean BIO'!D99,IF(ISNUMBER(SEARCH("12",'Procyclean BIO'!D99)),EDATE(AB98,12),IF(ISNUMBER(SEARCH("6",'Procyclean BIO'!D99)),EDATE(AB98,6),IF(ISNUMBER(SEARCH("3",'Procyclean BIO'!D99)),EDATE(AB98,3),DATEVALUE('Procyclean BIO'!D99))))),""))</f>
        <v/>
      </c>
      <c r="AM98" t="str">
        <f t="shared" ca="1" si="21"/>
        <v/>
      </c>
    </row>
    <row r="99" spans="1:39" ht="22.05" customHeight="1" x14ac:dyDescent="0.3">
      <c r="A99" s="16"/>
      <c r="B99" s="16"/>
      <c r="C99" s="16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AA99" t="str">
        <f>IF(COUNTA('Procyclean BIO'!A100,'Procyclean BIO'!B100,'Procyclean BIO'!C100)&gt;0,"BIO","")</f>
        <v/>
      </c>
      <c r="AB99" t="str">
        <f>IFERROR(IF(ISNUMBER('Procyclean BIO'!A100),'Procyclean BIO'!A100,DATEVALUE('Procyclean BIO'!A100)),"")</f>
        <v/>
      </c>
      <c r="AC99" t="str">
        <f>IF(AA99="","",'Procyclean BIO'!B100)</f>
        <v/>
      </c>
      <c r="AD99" t="str">
        <f>IF(AA99="","",IFERROR(1*'Procyclean BIO'!C100,IFERROR(_xludf.NUMBERVALUE('Procyclean BIO'!C100,".",","),IFERROR(_xludf.NUMBERVALUE('Procyclean BIO'!C100,",","."),0))))</f>
        <v/>
      </c>
      <c r="AE99" t="str">
        <f>IF(AA99="","",'Procyclean BIO'!J100)</f>
        <v/>
      </c>
      <c r="AF99">
        <f t="shared" si="16"/>
        <v>0</v>
      </c>
      <c r="AG99" t="str">
        <f t="shared" si="17"/>
        <v/>
      </c>
      <c r="AH99" t="str">
        <f t="shared" si="18"/>
        <v/>
      </c>
      <c r="AI99">
        <f t="shared" si="19"/>
        <v>0</v>
      </c>
      <c r="AJ99">
        <f t="shared" si="20"/>
        <v>0</v>
      </c>
      <c r="AK99">
        <v>0</v>
      </c>
      <c r="AL99" t="str">
        <f>IF(AA99="","",IFERROR(IF(ISNUMBER('Procyclean BIO'!D100),'Procyclean BIO'!D100,IF(ISNUMBER(SEARCH("12",'Procyclean BIO'!D100)),EDATE(AB99,12),IF(ISNUMBER(SEARCH("6",'Procyclean BIO'!D100)),EDATE(AB99,6),IF(ISNUMBER(SEARCH("3",'Procyclean BIO'!D100)),EDATE(AB99,3),DATEVALUE('Procyclean BIO'!D100))))),""))</f>
        <v/>
      </c>
      <c r="AM99" t="str">
        <f t="shared" ca="1" si="21"/>
        <v/>
      </c>
    </row>
    <row r="100" spans="1:39" ht="22.05" customHeight="1" x14ac:dyDescent="0.3">
      <c r="A100" s="16"/>
      <c r="B100" s="16"/>
      <c r="C100" s="16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AA100" t="str">
        <f>IF(COUNTA('Procyclean BIO'!A101,'Procyclean BIO'!B101,'Procyclean BIO'!C101)&gt;0,"BIO","")</f>
        <v/>
      </c>
      <c r="AB100" t="str">
        <f>IFERROR(IF(ISNUMBER('Procyclean BIO'!A101),'Procyclean BIO'!A101,DATEVALUE('Procyclean BIO'!A101)),"")</f>
        <v/>
      </c>
      <c r="AC100" t="str">
        <f>IF(AA100="","",'Procyclean BIO'!B101)</f>
        <v/>
      </c>
      <c r="AD100" t="str">
        <f>IF(AA100="","",IFERROR(1*'Procyclean BIO'!C101,IFERROR(_xludf.NUMBERVALUE('Procyclean BIO'!C101,".",","),IFERROR(_xludf.NUMBERVALUE('Procyclean BIO'!C101,",","."),0))))</f>
        <v/>
      </c>
      <c r="AE100" t="str">
        <f>IF(AA100="","",'Procyclean BIO'!J101)</f>
        <v/>
      </c>
      <c r="AF100">
        <f t="shared" si="16"/>
        <v>0</v>
      </c>
      <c r="AG100" t="str">
        <f t="shared" si="17"/>
        <v/>
      </c>
      <c r="AH100" t="str">
        <f t="shared" si="18"/>
        <v/>
      </c>
      <c r="AI100">
        <f t="shared" si="19"/>
        <v>0</v>
      </c>
      <c r="AJ100">
        <f t="shared" si="20"/>
        <v>0</v>
      </c>
      <c r="AK100">
        <v>0</v>
      </c>
      <c r="AL100" t="str">
        <f>IF(AA100="","",IFERROR(IF(ISNUMBER('Procyclean BIO'!D101),'Procyclean BIO'!D101,IF(ISNUMBER(SEARCH("12",'Procyclean BIO'!D101)),EDATE(AB100,12),IF(ISNUMBER(SEARCH("6",'Procyclean BIO'!D101)),EDATE(AB100,6),IF(ISNUMBER(SEARCH("3",'Procyclean BIO'!D101)),EDATE(AB100,3),DATEVALUE('Procyclean BIO'!D101))))),""))</f>
        <v/>
      </c>
      <c r="AM100" t="str">
        <f t="shared" ca="1" si="21"/>
        <v/>
      </c>
    </row>
    <row r="101" spans="1:39" x14ac:dyDescent="0.3">
      <c r="AA101" t="str">
        <f>IF(COUNTA('Procyclean BIO'!A102,'Procyclean BIO'!B102,'Procyclean BIO'!C102)&gt;0,"BIO","")</f>
        <v/>
      </c>
      <c r="AB101" t="str">
        <f>IFERROR(IF(ISNUMBER('Procyclean BIO'!A102),'Procyclean BIO'!A102,DATEVALUE('Procyclean BIO'!A102)),"")</f>
        <v/>
      </c>
      <c r="AC101" t="str">
        <f>IF(AA101="","",'Procyclean BIO'!B102)</f>
        <v/>
      </c>
      <c r="AD101" t="str">
        <f>IF(AA101="","",IFERROR(1*'Procyclean BIO'!C102,IFERROR(_xludf.NUMBERVALUE('Procyclean BIO'!C102,".",","),IFERROR(_xludf.NUMBERVALUE('Procyclean BIO'!C102,",","."),0))))</f>
        <v/>
      </c>
      <c r="AE101" t="str">
        <f>IF(AA101="","",'Procyclean BIO'!J102)</f>
        <v/>
      </c>
      <c r="AF101">
        <f t="shared" si="16"/>
        <v>0</v>
      </c>
      <c r="AG101" t="str">
        <f t="shared" si="17"/>
        <v/>
      </c>
      <c r="AH101" t="str">
        <f t="shared" si="18"/>
        <v/>
      </c>
      <c r="AI101">
        <f t="shared" si="19"/>
        <v>0</v>
      </c>
      <c r="AJ101">
        <f t="shared" si="20"/>
        <v>0</v>
      </c>
      <c r="AK101">
        <v>0</v>
      </c>
      <c r="AL101" t="str">
        <f>IF(AA101="","",IFERROR(IF(ISNUMBER('Procyclean BIO'!D102),'Procyclean BIO'!D102,IF(ISNUMBER(SEARCH("12",'Procyclean BIO'!D102)),EDATE(AB101,12),IF(ISNUMBER(SEARCH("6",'Procyclean BIO'!D102)),EDATE(AB101,6),IF(ISNUMBER(SEARCH("3",'Procyclean BIO'!D102)),EDATE(AB101,3),DATEVALUE('Procyclean BIO'!D102))))),""))</f>
        <v/>
      </c>
      <c r="AM101" t="str">
        <f t="shared" ca="1" si="21"/>
        <v/>
      </c>
    </row>
    <row r="102" spans="1:39" x14ac:dyDescent="0.3">
      <c r="AA102" t="str">
        <f>IF(COUNTA('Procyclean BIO'!A103,'Procyclean BIO'!B103,'Procyclean BIO'!C103)&gt;0,"BIO","")</f>
        <v/>
      </c>
      <c r="AB102" t="str">
        <f>IFERROR(IF(ISNUMBER('Procyclean BIO'!A103),'Procyclean BIO'!A103,DATEVALUE('Procyclean BIO'!A103)),"")</f>
        <v/>
      </c>
      <c r="AC102" t="str">
        <f>IF(AA102="","",'Procyclean BIO'!B103)</f>
        <v/>
      </c>
      <c r="AD102" t="str">
        <f>IF(AA102="","",IFERROR(1*'Procyclean BIO'!C103,IFERROR(_xludf.NUMBERVALUE('Procyclean BIO'!C103,".",","),IFERROR(_xludf.NUMBERVALUE('Procyclean BIO'!C103,",","."),0))))</f>
        <v/>
      </c>
      <c r="AE102" t="str">
        <f>IF(AA102="","",'Procyclean BIO'!J103)</f>
        <v/>
      </c>
      <c r="AF102">
        <f t="shared" si="16"/>
        <v>0</v>
      </c>
      <c r="AG102" t="str">
        <f t="shared" si="17"/>
        <v/>
      </c>
      <c r="AH102" t="str">
        <f t="shared" si="18"/>
        <v/>
      </c>
      <c r="AI102">
        <f t="shared" si="19"/>
        <v>0</v>
      </c>
      <c r="AJ102">
        <f t="shared" si="20"/>
        <v>0</v>
      </c>
      <c r="AK102">
        <v>0</v>
      </c>
      <c r="AL102" t="str">
        <f>IF(AA102="","",IFERROR(IF(ISNUMBER('Procyclean BIO'!D103),'Procyclean BIO'!D103,IF(ISNUMBER(SEARCH("12",'Procyclean BIO'!D103)),EDATE(AB102,12),IF(ISNUMBER(SEARCH("6",'Procyclean BIO'!D103)),EDATE(AB102,6),IF(ISNUMBER(SEARCH("3",'Procyclean BIO'!D103)),EDATE(AB102,3),DATEVALUE('Procyclean BIO'!D103))))),""))</f>
        <v/>
      </c>
      <c r="AM102" t="str">
        <f t="shared" ca="1" si="21"/>
        <v/>
      </c>
    </row>
    <row r="103" spans="1:39" x14ac:dyDescent="0.3">
      <c r="AA103" t="str">
        <f>IF(COUNTA('Procyclean BIO'!A104,'Procyclean BIO'!B104,'Procyclean BIO'!C104)&gt;0,"BIO","")</f>
        <v/>
      </c>
      <c r="AB103" t="str">
        <f>IFERROR(IF(ISNUMBER('Procyclean BIO'!A104),'Procyclean BIO'!A104,DATEVALUE('Procyclean BIO'!A104)),"")</f>
        <v/>
      </c>
      <c r="AC103" t="str">
        <f>IF(AA103="","",'Procyclean BIO'!B104)</f>
        <v/>
      </c>
      <c r="AD103" t="str">
        <f>IF(AA103="","",IFERROR(1*'Procyclean BIO'!C104,IFERROR(_xludf.NUMBERVALUE('Procyclean BIO'!C104,".",","),IFERROR(_xludf.NUMBERVALUE('Procyclean BIO'!C104,",","."),0))))</f>
        <v/>
      </c>
      <c r="AE103" t="str">
        <f>IF(AA103="","",'Procyclean BIO'!J104)</f>
        <v/>
      </c>
      <c r="AF103">
        <f t="shared" si="16"/>
        <v>0</v>
      </c>
      <c r="AG103" t="str">
        <f t="shared" si="17"/>
        <v/>
      </c>
      <c r="AH103" t="str">
        <f t="shared" si="18"/>
        <v/>
      </c>
      <c r="AI103">
        <f t="shared" si="19"/>
        <v>0</v>
      </c>
      <c r="AJ103">
        <f t="shared" si="20"/>
        <v>0</v>
      </c>
      <c r="AK103">
        <v>0</v>
      </c>
      <c r="AL103" t="str">
        <f>IF(AA103="","",IFERROR(IF(ISNUMBER('Procyclean BIO'!D104),'Procyclean BIO'!D104,IF(ISNUMBER(SEARCH("12",'Procyclean BIO'!D104)),EDATE(AB103,12),IF(ISNUMBER(SEARCH("6",'Procyclean BIO'!D104)),EDATE(AB103,6),IF(ISNUMBER(SEARCH("3",'Procyclean BIO'!D104)),EDATE(AB103,3),DATEVALUE('Procyclean BIO'!D104))))),""))</f>
        <v/>
      </c>
      <c r="AM103" t="str">
        <f t="shared" ca="1" si="21"/>
        <v/>
      </c>
    </row>
    <row r="104" spans="1:39" x14ac:dyDescent="0.3">
      <c r="AA104" t="str">
        <f>IF(COUNTA('Procyclean BIO'!A105,'Procyclean BIO'!B105,'Procyclean BIO'!C105)&gt;0,"BIO","")</f>
        <v/>
      </c>
      <c r="AB104" t="str">
        <f>IFERROR(IF(ISNUMBER('Procyclean BIO'!A105),'Procyclean BIO'!A105,DATEVALUE('Procyclean BIO'!A105)),"")</f>
        <v/>
      </c>
      <c r="AC104" t="str">
        <f>IF(AA104="","",'Procyclean BIO'!B105)</f>
        <v/>
      </c>
      <c r="AD104" t="str">
        <f>IF(AA104="","",IFERROR(1*'Procyclean BIO'!C105,IFERROR(_xludf.NUMBERVALUE('Procyclean BIO'!C105,".",","),IFERROR(_xludf.NUMBERVALUE('Procyclean BIO'!C105,",","."),0))))</f>
        <v/>
      </c>
      <c r="AE104" t="str">
        <f>IF(AA104="","",'Procyclean BIO'!J105)</f>
        <v/>
      </c>
      <c r="AF104">
        <f t="shared" si="16"/>
        <v>0</v>
      </c>
      <c r="AG104" t="str">
        <f t="shared" si="17"/>
        <v/>
      </c>
      <c r="AH104" t="str">
        <f t="shared" si="18"/>
        <v/>
      </c>
      <c r="AI104">
        <f t="shared" si="19"/>
        <v>0</v>
      </c>
      <c r="AJ104">
        <f t="shared" si="20"/>
        <v>0</v>
      </c>
      <c r="AK104">
        <v>0</v>
      </c>
      <c r="AL104" t="str">
        <f>IF(AA104="","",IFERROR(IF(ISNUMBER('Procyclean BIO'!D105),'Procyclean BIO'!D105,IF(ISNUMBER(SEARCH("12",'Procyclean BIO'!D105)),EDATE(AB104,12),IF(ISNUMBER(SEARCH("6",'Procyclean BIO'!D105)),EDATE(AB104,6),IF(ISNUMBER(SEARCH("3",'Procyclean BIO'!D105)),EDATE(AB104,3),DATEVALUE('Procyclean BIO'!D105))))),""))</f>
        <v/>
      </c>
      <c r="AM104" t="str">
        <f t="shared" ca="1" si="21"/>
        <v/>
      </c>
    </row>
    <row r="105" spans="1:39" x14ac:dyDescent="0.3">
      <c r="AA105" t="str">
        <f>IF(COUNTA('Procyclean BIO'!A106,'Procyclean BIO'!B106,'Procyclean BIO'!C106)&gt;0,"BIO","")</f>
        <v/>
      </c>
      <c r="AB105" t="str">
        <f>IFERROR(IF(ISNUMBER('Procyclean BIO'!A106),'Procyclean BIO'!A106,DATEVALUE('Procyclean BIO'!A106)),"")</f>
        <v/>
      </c>
      <c r="AC105" t="str">
        <f>IF(AA105="","",'Procyclean BIO'!B106)</f>
        <v/>
      </c>
      <c r="AD105" t="str">
        <f>IF(AA105="","",IFERROR(1*'Procyclean BIO'!C106,IFERROR(_xludf.NUMBERVALUE('Procyclean BIO'!C106,".",","),IFERROR(_xludf.NUMBERVALUE('Procyclean BIO'!C106,",","."),0))))</f>
        <v/>
      </c>
      <c r="AE105" t="str">
        <f>IF(AA105="","",'Procyclean BIO'!J106)</f>
        <v/>
      </c>
      <c r="AF105">
        <f t="shared" si="16"/>
        <v>0</v>
      </c>
      <c r="AG105" t="str">
        <f t="shared" si="17"/>
        <v/>
      </c>
      <c r="AH105" t="str">
        <f t="shared" si="18"/>
        <v/>
      </c>
      <c r="AI105">
        <f t="shared" si="19"/>
        <v>0</v>
      </c>
      <c r="AJ105">
        <f t="shared" si="20"/>
        <v>0</v>
      </c>
      <c r="AK105">
        <v>0</v>
      </c>
      <c r="AL105" t="str">
        <f>IF(AA105="","",IFERROR(IF(ISNUMBER('Procyclean BIO'!D106),'Procyclean BIO'!D106,IF(ISNUMBER(SEARCH("12",'Procyclean BIO'!D106)),EDATE(AB105,12),IF(ISNUMBER(SEARCH("6",'Procyclean BIO'!D106)),EDATE(AB105,6),IF(ISNUMBER(SEARCH("3",'Procyclean BIO'!D106)),EDATE(AB105,3),DATEVALUE('Procyclean BIO'!D106))))),""))</f>
        <v/>
      </c>
      <c r="AM105" t="str">
        <f t="shared" ca="1" si="21"/>
        <v/>
      </c>
    </row>
    <row r="106" spans="1:39" x14ac:dyDescent="0.3">
      <c r="AA106" t="str">
        <f>IF(COUNTA('Procyclean BIO'!A107,'Procyclean BIO'!B107,'Procyclean BIO'!C107)&gt;0,"BIO","")</f>
        <v/>
      </c>
      <c r="AB106" t="str">
        <f>IFERROR(IF(ISNUMBER('Procyclean BIO'!A107),'Procyclean BIO'!A107,DATEVALUE('Procyclean BIO'!A107)),"")</f>
        <v/>
      </c>
      <c r="AC106" t="str">
        <f>IF(AA106="","",'Procyclean BIO'!B107)</f>
        <v/>
      </c>
      <c r="AD106" t="str">
        <f>IF(AA106="","",IFERROR(1*'Procyclean BIO'!C107,IFERROR(_xludf.NUMBERVALUE('Procyclean BIO'!C107,".",","),IFERROR(_xludf.NUMBERVALUE('Procyclean BIO'!C107,",","."),0))))</f>
        <v/>
      </c>
      <c r="AE106" t="str">
        <f>IF(AA106="","",'Procyclean BIO'!J107)</f>
        <v/>
      </c>
      <c r="AF106">
        <f t="shared" si="16"/>
        <v>0</v>
      </c>
      <c r="AG106" t="str">
        <f t="shared" si="17"/>
        <v/>
      </c>
      <c r="AH106" t="str">
        <f t="shared" si="18"/>
        <v/>
      </c>
      <c r="AI106">
        <f t="shared" si="19"/>
        <v>0</v>
      </c>
      <c r="AJ106">
        <f t="shared" si="20"/>
        <v>0</v>
      </c>
      <c r="AK106">
        <v>0</v>
      </c>
      <c r="AL106" t="str">
        <f>IF(AA106="","",IFERROR(IF(ISNUMBER('Procyclean BIO'!D107),'Procyclean BIO'!D107,IF(ISNUMBER(SEARCH("12",'Procyclean BIO'!D107)),EDATE(AB106,12),IF(ISNUMBER(SEARCH("6",'Procyclean BIO'!D107)),EDATE(AB106,6),IF(ISNUMBER(SEARCH("3",'Procyclean BIO'!D107)),EDATE(AB106,3),DATEVALUE('Procyclean BIO'!D107))))),""))</f>
        <v/>
      </c>
      <c r="AM106" t="str">
        <f t="shared" ca="1" si="21"/>
        <v/>
      </c>
    </row>
    <row r="107" spans="1:39" x14ac:dyDescent="0.3">
      <c r="AA107" t="str">
        <f>IF(COUNTA('Procyclean BIO'!A108,'Procyclean BIO'!B108,'Procyclean BIO'!C108)&gt;0,"BIO","")</f>
        <v/>
      </c>
      <c r="AB107" t="str">
        <f>IFERROR(IF(ISNUMBER('Procyclean BIO'!A108),'Procyclean BIO'!A108,DATEVALUE('Procyclean BIO'!A108)),"")</f>
        <v/>
      </c>
      <c r="AC107" t="str">
        <f>IF(AA107="","",'Procyclean BIO'!B108)</f>
        <v/>
      </c>
      <c r="AD107" t="str">
        <f>IF(AA107="","",IFERROR(1*'Procyclean BIO'!C108,IFERROR(_xludf.NUMBERVALUE('Procyclean BIO'!C108,".",","),IFERROR(_xludf.NUMBERVALUE('Procyclean BIO'!C108,",","."),0))))</f>
        <v/>
      </c>
      <c r="AE107" t="str">
        <f>IF(AA107="","",'Procyclean BIO'!J108)</f>
        <v/>
      </c>
      <c r="AF107">
        <f t="shared" si="16"/>
        <v>0</v>
      </c>
      <c r="AG107" t="str">
        <f t="shared" si="17"/>
        <v/>
      </c>
      <c r="AH107" t="str">
        <f t="shared" si="18"/>
        <v/>
      </c>
      <c r="AI107">
        <f t="shared" si="19"/>
        <v>0</v>
      </c>
      <c r="AJ107">
        <f t="shared" si="20"/>
        <v>0</v>
      </c>
      <c r="AK107">
        <v>0</v>
      </c>
      <c r="AL107" t="str">
        <f>IF(AA107="","",IFERROR(IF(ISNUMBER('Procyclean BIO'!D108),'Procyclean BIO'!D108,IF(ISNUMBER(SEARCH("12",'Procyclean BIO'!D108)),EDATE(AB107,12),IF(ISNUMBER(SEARCH("6",'Procyclean BIO'!D108)),EDATE(AB107,6),IF(ISNUMBER(SEARCH("3",'Procyclean BIO'!D108)),EDATE(AB107,3),DATEVALUE('Procyclean BIO'!D108))))),""))</f>
        <v/>
      </c>
      <c r="AM107" t="str">
        <f t="shared" ca="1" si="21"/>
        <v/>
      </c>
    </row>
    <row r="108" spans="1:39" x14ac:dyDescent="0.3">
      <c r="AA108" t="str">
        <f>IF(COUNTA('Procyclean BIO'!A109,'Procyclean BIO'!B109,'Procyclean BIO'!C109)&gt;0,"BIO","")</f>
        <v/>
      </c>
      <c r="AB108" t="str">
        <f>IFERROR(IF(ISNUMBER('Procyclean BIO'!A109),'Procyclean BIO'!A109,DATEVALUE('Procyclean BIO'!A109)),"")</f>
        <v/>
      </c>
      <c r="AC108" t="str">
        <f>IF(AA108="","",'Procyclean BIO'!B109)</f>
        <v/>
      </c>
      <c r="AD108" t="str">
        <f>IF(AA108="","",IFERROR(1*'Procyclean BIO'!C109,IFERROR(_xludf.NUMBERVALUE('Procyclean BIO'!C109,".",","),IFERROR(_xludf.NUMBERVALUE('Procyclean BIO'!C109,",","."),0))))</f>
        <v/>
      </c>
      <c r="AE108" t="str">
        <f>IF(AA108="","",'Procyclean BIO'!J109)</f>
        <v/>
      </c>
      <c r="AF108">
        <f t="shared" si="16"/>
        <v>0</v>
      </c>
      <c r="AG108" t="str">
        <f t="shared" si="17"/>
        <v/>
      </c>
      <c r="AH108" t="str">
        <f t="shared" si="18"/>
        <v/>
      </c>
      <c r="AI108">
        <f t="shared" si="19"/>
        <v>0</v>
      </c>
      <c r="AJ108">
        <f t="shared" si="20"/>
        <v>0</v>
      </c>
      <c r="AK108">
        <v>0</v>
      </c>
      <c r="AL108" t="str">
        <f>IF(AA108="","",IFERROR(IF(ISNUMBER('Procyclean BIO'!D109),'Procyclean BIO'!D109,IF(ISNUMBER(SEARCH("12",'Procyclean BIO'!D109)),EDATE(AB108,12),IF(ISNUMBER(SEARCH("6",'Procyclean BIO'!D109)),EDATE(AB108,6),IF(ISNUMBER(SEARCH("3",'Procyclean BIO'!D109)),EDATE(AB108,3),DATEVALUE('Procyclean BIO'!D109))))),""))</f>
        <v/>
      </c>
      <c r="AM108" t="str">
        <f t="shared" ca="1" si="21"/>
        <v/>
      </c>
    </row>
    <row r="109" spans="1:39" x14ac:dyDescent="0.3">
      <c r="AA109" t="str">
        <f>IF(COUNTA('Procyclean BIO'!A110,'Procyclean BIO'!B110,'Procyclean BIO'!C110)&gt;0,"BIO","")</f>
        <v/>
      </c>
      <c r="AB109" t="str">
        <f>IFERROR(IF(ISNUMBER('Procyclean BIO'!A110),'Procyclean BIO'!A110,DATEVALUE('Procyclean BIO'!A110)),"")</f>
        <v/>
      </c>
      <c r="AC109" t="str">
        <f>IF(AA109="","",'Procyclean BIO'!B110)</f>
        <v/>
      </c>
      <c r="AD109" t="str">
        <f>IF(AA109="","",IFERROR(1*'Procyclean BIO'!C110,IFERROR(_xludf.NUMBERVALUE('Procyclean BIO'!C110,".",","),IFERROR(_xludf.NUMBERVALUE('Procyclean BIO'!C110,",","."),0))))</f>
        <v/>
      </c>
      <c r="AE109" t="str">
        <f>IF(AA109="","",'Procyclean BIO'!J110)</f>
        <v/>
      </c>
      <c r="AF109">
        <f t="shared" si="16"/>
        <v>0</v>
      </c>
      <c r="AG109" t="str">
        <f t="shared" si="17"/>
        <v/>
      </c>
      <c r="AH109" t="str">
        <f t="shared" si="18"/>
        <v/>
      </c>
      <c r="AI109">
        <f t="shared" si="19"/>
        <v>0</v>
      </c>
      <c r="AJ109">
        <f t="shared" si="20"/>
        <v>0</v>
      </c>
      <c r="AK109">
        <v>0</v>
      </c>
      <c r="AL109" t="str">
        <f>IF(AA109="","",IFERROR(IF(ISNUMBER('Procyclean BIO'!D110),'Procyclean BIO'!D110,IF(ISNUMBER(SEARCH("12",'Procyclean BIO'!D110)),EDATE(AB109,12),IF(ISNUMBER(SEARCH("6",'Procyclean BIO'!D110)),EDATE(AB109,6),IF(ISNUMBER(SEARCH("3",'Procyclean BIO'!D110)),EDATE(AB109,3),DATEVALUE('Procyclean BIO'!D110))))),""))</f>
        <v/>
      </c>
      <c r="AM109" t="str">
        <f t="shared" ca="1" si="21"/>
        <v/>
      </c>
    </row>
    <row r="110" spans="1:39" x14ac:dyDescent="0.3">
      <c r="AA110" t="str">
        <f>IF(COUNTA('Procyclean BIO'!A111,'Procyclean BIO'!B111,'Procyclean BIO'!C111)&gt;0,"BIO","")</f>
        <v/>
      </c>
      <c r="AB110" t="str">
        <f>IFERROR(IF(ISNUMBER('Procyclean BIO'!A111),'Procyclean BIO'!A111,DATEVALUE('Procyclean BIO'!A111)),"")</f>
        <v/>
      </c>
      <c r="AC110" t="str">
        <f>IF(AA110="","",'Procyclean BIO'!B111)</f>
        <v/>
      </c>
      <c r="AD110" t="str">
        <f>IF(AA110="","",IFERROR(1*'Procyclean BIO'!C111,IFERROR(_xludf.NUMBERVALUE('Procyclean BIO'!C111,".",","),IFERROR(_xludf.NUMBERVALUE('Procyclean BIO'!C111,",","."),0))))</f>
        <v/>
      </c>
      <c r="AE110" t="str">
        <f>IF(AA110="","",'Procyclean BIO'!J111)</f>
        <v/>
      </c>
      <c r="AF110">
        <f t="shared" si="16"/>
        <v>0</v>
      </c>
      <c r="AG110" t="str">
        <f t="shared" si="17"/>
        <v/>
      </c>
      <c r="AH110" t="str">
        <f t="shared" si="18"/>
        <v/>
      </c>
      <c r="AI110">
        <f t="shared" si="19"/>
        <v>0</v>
      </c>
      <c r="AJ110">
        <f t="shared" si="20"/>
        <v>0</v>
      </c>
      <c r="AK110">
        <v>0</v>
      </c>
      <c r="AL110" t="str">
        <f>IF(AA110="","",IFERROR(IF(ISNUMBER('Procyclean BIO'!D111),'Procyclean BIO'!D111,IF(ISNUMBER(SEARCH("12",'Procyclean BIO'!D111)),EDATE(AB110,12),IF(ISNUMBER(SEARCH("6",'Procyclean BIO'!D111)),EDATE(AB110,6),IF(ISNUMBER(SEARCH("3",'Procyclean BIO'!D111)),EDATE(AB110,3),DATEVALUE('Procyclean BIO'!D111))))),""))</f>
        <v/>
      </c>
      <c r="AM110" t="str">
        <f t="shared" ca="1" si="21"/>
        <v/>
      </c>
    </row>
    <row r="111" spans="1:39" x14ac:dyDescent="0.3">
      <c r="AA111" t="str">
        <f>IF(COUNTA('Procyclean BIO'!A112,'Procyclean BIO'!B112,'Procyclean BIO'!C112)&gt;0,"BIO","")</f>
        <v/>
      </c>
      <c r="AB111" t="str">
        <f>IFERROR(IF(ISNUMBER('Procyclean BIO'!A112),'Procyclean BIO'!A112,DATEVALUE('Procyclean BIO'!A112)),"")</f>
        <v/>
      </c>
      <c r="AC111" t="str">
        <f>IF(AA111="","",'Procyclean BIO'!B112)</f>
        <v/>
      </c>
      <c r="AD111" t="str">
        <f>IF(AA111="","",IFERROR(1*'Procyclean BIO'!C112,IFERROR(_xludf.NUMBERVALUE('Procyclean BIO'!C112,".",","),IFERROR(_xludf.NUMBERVALUE('Procyclean BIO'!C112,",","."),0))))</f>
        <v/>
      </c>
      <c r="AE111" t="str">
        <f>IF(AA111="","",'Procyclean BIO'!J112)</f>
        <v/>
      </c>
      <c r="AF111">
        <f t="shared" si="16"/>
        <v>0</v>
      </c>
      <c r="AG111" t="str">
        <f t="shared" si="17"/>
        <v/>
      </c>
      <c r="AH111" t="str">
        <f t="shared" si="18"/>
        <v/>
      </c>
      <c r="AI111">
        <f t="shared" si="19"/>
        <v>0</v>
      </c>
      <c r="AJ111">
        <f t="shared" si="20"/>
        <v>0</v>
      </c>
      <c r="AK111">
        <v>0</v>
      </c>
      <c r="AL111" t="str">
        <f>IF(AA111="","",IFERROR(IF(ISNUMBER('Procyclean BIO'!D112),'Procyclean BIO'!D112,IF(ISNUMBER(SEARCH("12",'Procyclean BIO'!D112)),EDATE(AB111,12),IF(ISNUMBER(SEARCH("6",'Procyclean BIO'!D112)),EDATE(AB111,6),IF(ISNUMBER(SEARCH("3",'Procyclean BIO'!D112)),EDATE(AB111,3),DATEVALUE('Procyclean BIO'!D112))))),""))</f>
        <v/>
      </c>
      <c r="AM111" t="str">
        <f t="shared" ca="1" si="21"/>
        <v/>
      </c>
    </row>
    <row r="112" spans="1:39" x14ac:dyDescent="0.3">
      <c r="AA112" t="str">
        <f>IF(COUNTA('Procyclean BIO'!A113,'Procyclean BIO'!B113,'Procyclean BIO'!C113)&gt;0,"BIO","")</f>
        <v/>
      </c>
      <c r="AB112" t="str">
        <f>IFERROR(IF(ISNUMBER('Procyclean BIO'!A113),'Procyclean BIO'!A113,DATEVALUE('Procyclean BIO'!A113)),"")</f>
        <v/>
      </c>
      <c r="AC112" t="str">
        <f>IF(AA112="","",'Procyclean BIO'!B113)</f>
        <v/>
      </c>
      <c r="AD112" t="str">
        <f>IF(AA112="","",IFERROR(1*'Procyclean BIO'!C113,IFERROR(_xludf.NUMBERVALUE('Procyclean BIO'!C113,".",","),IFERROR(_xludf.NUMBERVALUE('Procyclean BIO'!C113,",","."),0))))</f>
        <v/>
      </c>
      <c r="AE112" t="str">
        <f>IF(AA112="","",'Procyclean BIO'!J113)</f>
        <v/>
      </c>
      <c r="AF112">
        <f t="shared" si="16"/>
        <v>0</v>
      </c>
      <c r="AG112" t="str">
        <f t="shared" si="17"/>
        <v/>
      </c>
      <c r="AH112" t="str">
        <f t="shared" si="18"/>
        <v/>
      </c>
      <c r="AI112">
        <f t="shared" si="19"/>
        <v>0</v>
      </c>
      <c r="AJ112">
        <f t="shared" si="20"/>
        <v>0</v>
      </c>
      <c r="AK112">
        <v>0</v>
      </c>
      <c r="AL112" t="str">
        <f>IF(AA112="","",IFERROR(IF(ISNUMBER('Procyclean BIO'!D113),'Procyclean BIO'!D113,IF(ISNUMBER(SEARCH("12",'Procyclean BIO'!D113)),EDATE(AB112,12),IF(ISNUMBER(SEARCH("6",'Procyclean BIO'!D113)),EDATE(AB112,6),IF(ISNUMBER(SEARCH("3",'Procyclean BIO'!D113)),EDATE(AB112,3),DATEVALUE('Procyclean BIO'!D113))))),""))</f>
        <v/>
      </c>
      <c r="AM112" t="str">
        <f t="shared" ca="1" si="21"/>
        <v/>
      </c>
    </row>
    <row r="113" spans="27:39" x14ac:dyDescent="0.3">
      <c r="AA113" t="str">
        <f>IF(COUNTA('Procyclean BIO'!A114,'Procyclean BIO'!B114,'Procyclean BIO'!C114)&gt;0,"BIO","")</f>
        <v/>
      </c>
      <c r="AB113" t="str">
        <f>IFERROR(IF(ISNUMBER('Procyclean BIO'!A114),'Procyclean BIO'!A114,DATEVALUE('Procyclean BIO'!A114)),"")</f>
        <v/>
      </c>
      <c r="AC113" t="str">
        <f>IF(AA113="","",'Procyclean BIO'!B114)</f>
        <v/>
      </c>
      <c r="AD113" t="str">
        <f>IF(AA113="","",IFERROR(1*'Procyclean BIO'!C114,IFERROR(_xludf.NUMBERVALUE('Procyclean BIO'!C114,".",","),IFERROR(_xludf.NUMBERVALUE('Procyclean BIO'!C114,",","."),0))))</f>
        <v/>
      </c>
      <c r="AE113" t="str">
        <f>IF(AA113="","",'Procyclean BIO'!J114)</f>
        <v/>
      </c>
      <c r="AF113">
        <f t="shared" si="16"/>
        <v>0</v>
      </c>
      <c r="AG113" t="str">
        <f t="shared" si="17"/>
        <v/>
      </c>
      <c r="AH113" t="str">
        <f t="shared" si="18"/>
        <v/>
      </c>
      <c r="AI113">
        <f t="shared" si="19"/>
        <v>0</v>
      </c>
      <c r="AJ113">
        <f t="shared" si="20"/>
        <v>0</v>
      </c>
      <c r="AK113">
        <v>0</v>
      </c>
      <c r="AL113" t="str">
        <f>IF(AA113="","",IFERROR(IF(ISNUMBER('Procyclean BIO'!D114),'Procyclean BIO'!D114,IF(ISNUMBER(SEARCH("12",'Procyclean BIO'!D114)),EDATE(AB113,12),IF(ISNUMBER(SEARCH("6",'Procyclean BIO'!D114)),EDATE(AB113,6),IF(ISNUMBER(SEARCH("3",'Procyclean BIO'!D114)),EDATE(AB113,3),DATEVALUE('Procyclean BIO'!D114))))),""))</f>
        <v/>
      </c>
      <c r="AM113" t="str">
        <f t="shared" ca="1" si="21"/>
        <v/>
      </c>
    </row>
    <row r="114" spans="27:39" x14ac:dyDescent="0.3">
      <c r="AA114" t="str">
        <f>IF(COUNTA('Procyclean BIO'!A115,'Procyclean BIO'!B115,'Procyclean BIO'!C115)&gt;0,"BIO","")</f>
        <v/>
      </c>
      <c r="AB114" t="str">
        <f>IFERROR(IF(ISNUMBER('Procyclean BIO'!A115),'Procyclean BIO'!A115,DATEVALUE('Procyclean BIO'!A115)),"")</f>
        <v/>
      </c>
      <c r="AC114" t="str">
        <f>IF(AA114="","",'Procyclean BIO'!B115)</f>
        <v/>
      </c>
      <c r="AD114" t="str">
        <f>IF(AA114="","",IFERROR(1*'Procyclean BIO'!C115,IFERROR(_xludf.NUMBERVALUE('Procyclean BIO'!C115,".",","),IFERROR(_xludf.NUMBERVALUE('Procyclean BIO'!C115,",","."),0))))</f>
        <v/>
      </c>
      <c r="AE114" t="str">
        <f>IF(AA114="","",'Procyclean BIO'!J115)</f>
        <v/>
      </c>
      <c r="AF114">
        <f t="shared" si="16"/>
        <v>0</v>
      </c>
      <c r="AG114" t="str">
        <f t="shared" si="17"/>
        <v/>
      </c>
      <c r="AH114" t="str">
        <f t="shared" si="18"/>
        <v/>
      </c>
      <c r="AI114">
        <f t="shared" si="19"/>
        <v>0</v>
      </c>
      <c r="AJ114">
        <f t="shared" si="20"/>
        <v>0</v>
      </c>
      <c r="AK114">
        <v>0</v>
      </c>
      <c r="AL114" t="str">
        <f>IF(AA114="","",IFERROR(IF(ISNUMBER('Procyclean BIO'!D115),'Procyclean BIO'!D115,IF(ISNUMBER(SEARCH("12",'Procyclean BIO'!D115)),EDATE(AB114,12),IF(ISNUMBER(SEARCH("6",'Procyclean BIO'!D115)),EDATE(AB114,6),IF(ISNUMBER(SEARCH("3",'Procyclean BIO'!D115)),EDATE(AB114,3),DATEVALUE('Procyclean BIO'!D115))))),""))</f>
        <v/>
      </c>
      <c r="AM114" t="str">
        <f t="shared" ca="1" si="21"/>
        <v/>
      </c>
    </row>
    <row r="115" spans="27:39" x14ac:dyDescent="0.3">
      <c r="AA115" t="str">
        <f>IF(COUNTA('Procyclean BIO'!A116,'Procyclean BIO'!B116,'Procyclean BIO'!C116)&gt;0,"BIO","")</f>
        <v/>
      </c>
      <c r="AB115" t="str">
        <f>IFERROR(IF(ISNUMBER('Procyclean BIO'!A116),'Procyclean BIO'!A116,DATEVALUE('Procyclean BIO'!A116)),"")</f>
        <v/>
      </c>
      <c r="AC115" t="str">
        <f>IF(AA115="","",'Procyclean BIO'!B116)</f>
        <v/>
      </c>
      <c r="AD115" t="str">
        <f>IF(AA115="","",IFERROR(1*'Procyclean BIO'!C116,IFERROR(_xludf.NUMBERVALUE('Procyclean BIO'!C116,".",","),IFERROR(_xludf.NUMBERVALUE('Procyclean BIO'!C116,",","."),0))))</f>
        <v/>
      </c>
      <c r="AE115" t="str">
        <f>IF(AA115="","",'Procyclean BIO'!J116)</f>
        <v/>
      </c>
      <c r="AF115">
        <f t="shared" si="16"/>
        <v>0</v>
      </c>
      <c r="AG115" t="str">
        <f t="shared" si="17"/>
        <v/>
      </c>
      <c r="AH115" t="str">
        <f t="shared" si="18"/>
        <v/>
      </c>
      <c r="AI115">
        <f t="shared" si="19"/>
        <v>0</v>
      </c>
      <c r="AJ115">
        <f t="shared" si="20"/>
        <v>0</v>
      </c>
      <c r="AK115">
        <v>0</v>
      </c>
      <c r="AL115" t="str">
        <f>IF(AA115="","",IFERROR(IF(ISNUMBER('Procyclean BIO'!D116),'Procyclean BIO'!D116,IF(ISNUMBER(SEARCH("12",'Procyclean BIO'!D116)),EDATE(AB115,12),IF(ISNUMBER(SEARCH("6",'Procyclean BIO'!D116)),EDATE(AB115,6),IF(ISNUMBER(SEARCH("3",'Procyclean BIO'!D116)),EDATE(AB115,3),DATEVALUE('Procyclean BIO'!D116))))),""))</f>
        <v/>
      </c>
      <c r="AM115" t="str">
        <f t="shared" ca="1" si="21"/>
        <v/>
      </c>
    </row>
    <row r="116" spans="27:39" x14ac:dyDescent="0.3">
      <c r="AA116" t="str">
        <f>IF(COUNTA('Procyclean BIO'!A117,'Procyclean BIO'!B117,'Procyclean BIO'!C117)&gt;0,"BIO","")</f>
        <v/>
      </c>
      <c r="AB116" t="str">
        <f>IFERROR(IF(ISNUMBER('Procyclean BIO'!A117),'Procyclean BIO'!A117,DATEVALUE('Procyclean BIO'!A117)),"")</f>
        <v/>
      </c>
      <c r="AC116" t="str">
        <f>IF(AA116="","",'Procyclean BIO'!B117)</f>
        <v/>
      </c>
      <c r="AD116" t="str">
        <f>IF(AA116="","",IFERROR(1*'Procyclean BIO'!C117,IFERROR(_xludf.NUMBERVALUE('Procyclean BIO'!C117,".",","),IFERROR(_xludf.NUMBERVALUE('Procyclean BIO'!C117,",","."),0))))</f>
        <v/>
      </c>
      <c r="AE116" t="str">
        <f>IF(AA116="","",'Procyclean BIO'!J117)</f>
        <v/>
      </c>
      <c r="AF116">
        <f t="shared" si="16"/>
        <v>0</v>
      </c>
      <c r="AG116" t="str">
        <f t="shared" si="17"/>
        <v/>
      </c>
      <c r="AH116" t="str">
        <f t="shared" si="18"/>
        <v/>
      </c>
      <c r="AI116">
        <f t="shared" si="19"/>
        <v>0</v>
      </c>
      <c r="AJ116">
        <f t="shared" si="20"/>
        <v>0</v>
      </c>
      <c r="AK116">
        <v>0</v>
      </c>
      <c r="AL116" t="str">
        <f>IF(AA116="","",IFERROR(IF(ISNUMBER('Procyclean BIO'!D117),'Procyclean BIO'!D117,IF(ISNUMBER(SEARCH("12",'Procyclean BIO'!D117)),EDATE(AB116,12),IF(ISNUMBER(SEARCH("6",'Procyclean BIO'!D117)),EDATE(AB116,6),IF(ISNUMBER(SEARCH("3",'Procyclean BIO'!D117)),EDATE(AB116,3),DATEVALUE('Procyclean BIO'!D117))))),""))</f>
        <v/>
      </c>
      <c r="AM116" t="str">
        <f t="shared" ca="1" si="21"/>
        <v/>
      </c>
    </row>
    <row r="117" spans="27:39" x14ac:dyDescent="0.3">
      <c r="AA117" t="str">
        <f>IF(COUNTA('Procyclean BIO'!A118,'Procyclean BIO'!B118,'Procyclean BIO'!C118)&gt;0,"BIO","")</f>
        <v/>
      </c>
      <c r="AB117" t="str">
        <f>IFERROR(IF(ISNUMBER('Procyclean BIO'!A118),'Procyclean BIO'!A118,DATEVALUE('Procyclean BIO'!A118)),"")</f>
        <v/>
      </c>
      <c r="AC117" t="str">
        <f>IF(AA117="","",'Procyclean BIO'!B118)</f>
        <v/>
      </c>
      <c r="AD117" t="str">
        <f>IF(AA117="","",IFERROR(1*'Procyclean BIO'!C118,IFERROR(_xludf.NUMBERVALUE('Procyclean BIO'!C118,".",","),IFERROR(_xludf.NUMBERVALUE('Procyclean BIO'!C118,",","."),0))))</f>
        <v/>
      </c>
      <c r="AE117" t="str">
        <f>IF(AA117="","",'Procyclean BIO'!J118)</f>
        <v/>
      </c>
      <c r="AF117">
        <f t="shared" si="16"/>
        <v>0</v>
      </c>
      <c r="AG117" t="str">
        <f t="shared" si="17"/>
        <v/>
      </c>
      <c r="AH117" t="str">
        <f t="shared" si="18"/>
        <v/>
      </c>
      <c r="AI117">
        <f t="shared" si="19"/>
        <v>0</v>
      </c>
      <c r="AJ117">
        <f t="shared" si="20"/>
        <v>0</v>
      </c>
      <c r="AK117">
        <v>0</v>
      </c>
      <c r="AL117" t="str">
        <f>IF(AA117="","",IFERROR(IF(ISNUMBER('Procyclean BIO'!D118),'Procyclean BIO'!D118,IF(ISNUMBER(SEARCH("12",'Procyclean BIO'!D118)),EDATE(AB117,12),IF(ISNUMBER(SEARCH("6",'Procyclean BIO'!D118)),EDATE(AB117,6),IF(ISNUMBER(SEARCH("3",'Procyclean BIO'!D118)),EDATE(AB117,3),DATEVALUE('Procyclean BIO'!D118))))),""))</f>
        <v/>
      </c>
      <c r="AM117" t="str">
        <f t="shared" ca="1" si="21"/>
        <v/>
      </c>
    </row>
    <row r="118" spans="27:39" x14ac:dyDescent="0.3">
      <c r="AA118" t="str">
        <f>IF(COUNTA('Procyclean BIO'!A119,'Procyclean BIO'!B119,'Procyclean BIO'!C119)&gt;0,"BIO","")</f>
        <v/>
      </c>
      <c r="AB118" t="str">
        <f>IFERROR(IF(ISNUMBER('Procyclean BIO'!A119),'Procyclean BIO'!A119,DATEVALUE('Procyclean BIO'!A119)),"")</f>
        <v/>
      </c>
      <c r="AC118" t="str">
        <f>IF(AA118="","",'Procyclean BIO'!B119)</f>
        <v/>
      </c>
      <c r="AD118" t="str">
        <f>IF(AA118="","",IFERROR(1*'Procyclean BIO'!C119,IFERROR(_xludf.NUMBERVALUE('Procyclean BIO'!C119,".",","),IFERROR(_xludf.NUMBERVALUE('Procyclean BIO'!C119,",","."),0))))</f>
        <v/>
      </c>
      <c r="AE118" t="str">
        <f>IF(AA118="","",'Procyclean BIO'!J119)</f>
        <v/>
      </c>
      <c r="AF118">
        <f t="shared" si="16"/>
        <v>0</v>
      </c>
      <c r="AG118" t="str">
        <f t="shared" si="17"/>
        <v/>
      </c>
      <c r="AH118" t="str">
        <f t="shared" si="18"/>
        <v/>
      </c>
      <c r="AI118">
        <f t="shared" si="19"/>
        <v>0</v>
      </c>
      <c r="AJ118">
        <f t="shared" si="20"/>
        <v>0</v>
      </c>
      <c r="AK118">
        <v>0</v>
      </c>
      <c r="AL118" t="str">
        <f>IF(AA118="","",IFERROR(IF(ISNUMBER('Procyclean BIO'!D119),'Procyclean BIO'!D119,IF(ISNUMBER(SEARCH("12",'Procyclean BIO'!D119)),EDATE(AB118,12),IF(ISNUMBER(SEARCH("6",'Procyclean BIO'!D119)),EDATE(AB118,6),IF(ISNUMBER(SEARCH("3",'Procyclean BIO'!D119)),EDATE(AB118,3),DATEVALUE('Procyclean BIO'!D119))))),""))</f>
        <v/>
      </c>
      <c r="AM118" t="str">
        <f t="shared" ca="1" si="21"/>
        <v/>
      </c>
    </row>
    <row r="119" spans="27:39" x14ac:dyDescent="0.3">
      <c r="AA119" t="str">
        <f>IF(COUNTA('Procyclean BIO'!A120,'Procyclean BIO'!B120,'Procyclean BIO'!C120)&gt;0,"BIO","")</f>
        <v/>
      </c>
      <c r="AB119" t="str">
        <f>IFERROR(IF(ISNUMBER('Procyclean BIO'!A120),'Procyclean BIO'!A120,DATEVALUE('Procyclean BIO'!A120)),"")</f>
        <v/>
      </c>
      <c r="AC119" t="str">
        <f>IF(AA119="","",'Procyclean BIO'!B120)</f>
        <v/>
      </c>
      <c r="AD119" t="str">
        <f>IF(AA119="","",IFERROR(1*'Procyclean BIO'!C120,IFERROR(_xludf.NUMBERVALUE('Procyclean BIO'!C120,".",","),IFERROR(_xludf.NUMBERVALUE('Procyclean BIO'!C120,",","."),0))))</f>
        <v/>
      </c>
      <c r="AE119" t="str">
        <f>IF(AA119="","",'Procyclean BIO'!J120)</f>
        <v/>
      </c>
      <c r="AF119">
        <f t="shared" si="16"/>
        <v>0</v>
      </c>
      <c r="AG119" t="str">
        <f t="shared" si="17"/>
        <v/>
      </c>
      <c r="AH119" t="str">
        <f t="shared" si="18"/>
        <v/>
      </c>
      <c r="AI119">
        <f t="shared" si="19"/>
        <v>0</v>
      </c>
      <c r="AJ119">
        <f t="shared" si="20"/>
        <v>0</v>
      </c>
      <c r="AK119">
        <v>0</v>
      </c>
      <c r="AL119" t="str">
        <f>IF(AA119="","",IFERROR(IF(ISNUMBER('Procyclean BIO'!D120),'Procyclean BIO'!D120,IF(ISNUMBER(SEARCH("12",'Procyclean BIO'!D120)),EDATE(AB119,12),IF(ISNUMBER(SEARCH("6",'Procyclean BIO'!D120)),EDATE(AB119,6),IF(ISNUMBER(SEARCH("3",'Procyclean BIO'!D120)),EDATE(AB119,3),DATEVALUE('Procyclean BIO'!D120))))),""))</f>
        <v/>
      </c>
      <c r="AM119" t="str">
        <f t="shared" ca="1" si="21"/>
        <v/>
      </c>
    </row>
    <row r="120" spans="27:39" x14ac:dyDescent="0.3">
      <c r="AA120" t="str">
        <f>IF(COUNTA('Procyclean BIO'!A121,'Procyclean BIO'!B121,'Procyclean BIO'!C121)&gt;0,"BIO","")</f>
        <v/>
      </c>
      <c r="AB120" t="str">
        <f>IFERROR(IF(ISNUMBER('Procyclean BIO'!A121),'Procyclean BIO'!A121,DATEVALUE('Procyclean BIO'!A121)),"")</f>
        <v/>
      </c>
      <c r="AC120" t="str">
        <f>IF(AA120="","",'Procyclean BIO'!B121)</f>
        <v/>
      </c>
      <c r="AD120" t="str">
        <f>IF(AA120="","",IFERROR(1*'Procyclean BIO'!C121,IFERROR(_xludf.NUMBERVALUE('Procyclean BIO'!C121,".",","),IFERROR(_xludf.NUMBERVALUE('Procyclean BIO'!C121,",","."),0))))</f>
        <v/>
      </c>
      <c r="AE120" t="str">
        <f>IF(AA120="","",'Procyclean BIO'!J121)</f>
        <v/>
      </c>
      <c r="AF120">
        <f t="shared" si="16"/>
        <v>0</v>
      </c>
      <c r="AG120" t="str">
        <f t="shared" si="17"/>
        <v/>
      </c>
      <c r="AH120" t="str">
        <f t="shared" si="18"/>
        <v/>
      </c>
      <c r="AI120">
        <f t="shared" si="19"/>
        <v>0</v>
      </c>
      <c r="AJ120">
        <f t="shared" si="20"/>
        <v>0</v>
      </c>
      <c r="AK120">
        <v>0</v>
      </c>
      <c r="AL120" t="str">
        <f>IF(AA120="","",IFERROR(IF(ISNUMBER('Procyclean BIO'!D121),'Procyclean BIO'!D121,IF(ISNUMBER(SEARCH("12",'Procyclean BIO'!D121)),EDATE(AB120,12),IF(ISNUMBER(SEARCH("6",'Procyclean BIO'!D121)),EDATE(AB120,6),IF(ISNUMBER(SEARCH("3",'Procyclean BIO'!D121)),EDATE(AB120,3),DATEVALUE('Procyclean BIO'!D121))))),""))</f>
        <v/>
      </c>
      <c r="AM120" t="str">
        <f t="shared" ca="1" si="21"/>
        <v/>
      </c>
    </row>
    <row r="121" spans="27:39" x14ac:dyDescent="0.3">
      <c r="AA121" t="str">
        <f>IF(COUNTA('Procyclean BIO'!A122,'Procyclean BIO'!B122,'Procyclean BIO'!C122)&gt;0,"BIO","")</f>
        <v/>
      </c>
      <c r="AB121" t="str">
        <f>IFERROR(IF(ISNUMBER('Procyclean BIO'!A122),'Procyclean BIO'!A122,DATEVALUE('Procyclean BIO'!A122)),"")</f>
        <v/>
      </c>
      <c r="AC121" t="str">
        <f>IF(AA121="","",'Procyclean BIO'!B122)</f>
        <v/>
      </c>
      <c r="AD121" t="str">
        <f>IF(AA121="","",IFERROR(1*'Procyclean BIO'!C122,IFERROR(_xludf.NUMBERVALUE('Procyclean BIO'!C122,".",","),IFERROR(_xludf.NUMBERVALUE('Procyclean BIO'!C122,",","."),0))))</f>
        <v/>
      </c>
      <c r="AE121" t="str">
        <f>IF(AA121="","",'Procyclean BIO'!J122)</f>
        <v/>
      </c>
      <c r="AF121">
        <f t="shared" si="16"/>
        <v>0</v>
      </c>
      <c r="AG121" t="str">
        <f t="shared" si="17"/>
        <v/>
      </c>
      <c r="AH121" t="str">
        <f t="shared" si="18"/>
        <v/>
      </c>
      <c r="AI121">
        <f t="shared" si="19"/>
        <v>0</v>
      </c>
      <c r="AJ121">
        <f t="shared" si="20"/>
        <v>0</v>
      </c>
      <c r="AK121">
        <v>0</v>
      </c>
      <c r="AL121" t="str">
        <f>IF(AA121="","",IFERROR(IF(ISNUMBER('Procyclean BIO'!D122),'Procyclean BIO'!D122,IF(ISNUMBER(SEARCH("12",'Procyclean BIO'!D122)),EDATE(AB121,12),IF(ISNUMBER(SEARCH("6",'Procyclean BIO'!D122)),EDATE(AB121,6),IF(ISNUMBER(SEARCH("3",'Procyclean BIO'!D122)),EDATE(AB121,3),DATEVALUE('Procyclean BIO'!D122))))),""))</f>
        <v/>
      </c>
      <c r="AM121" t="str">
        <f t="shared" ca="1" si="21"/>
        <v/>
      </c>
    </row>
    <row r="122" spans="27:39" x14ac:dyDescent="0.3">
      <c r="AA122" t="str">
        <f>IF(COUNTA('Procyclean BIO'!A123,'Procyclean BIO'!B123,'Procyclean BIO'!C123)&gt;0,"BIO","")</f>
        <v/>
      </c>
      <c r="AB122" t="str">
        <f>IFERROR(IF(ISNUMBER('Procyclean BIO'!A123),'Procyclean BIO'!A123,DATEVALUE('Procyclean BIO'!A123)),"")</f>
        <v/>
      </c>
      <c r="AC122" t="str">
        <f>IF(AA122="","",'Procyclean BIO'!B123)</f>
        <v/>
      </c>
      <c r="AD122" t="str">
        <f>IF(AA122="","",IFERROR(1*'Procyclean BIO'!C123,IFERROR(_xludf.NUMBERVALUE('Procyclean BIO'!C123,".",","),IFERROR(_xludf.NUMBERVALUE('Procyclean BIO'!C123,",","."),0))))</f>
        <v/>
      </c>
      <c r="AE122" t="str">
        <f>IF(AA122="","",'Procyclean BIO'!J123)</f>
        <v/>
      </c>
      <c r="AF122">
        <f t="shared" si="16"/>
        <v>0</v>
      </c>
      <c r="AG122" t="str">
        <f t="shared" si="17"/>
        <v/>
      </c>
      <c r="AH122" t="str">
        <f t="shared" si="18"/>
        <v/>
      </c>
      <c r="AI122">
        <f t="shared" si="19"/>
        <v>0</v>
      </c>
      <c r="AJ122">
        <f t="shared" si="20"/>
        <v>0</v>
      </c>
      <c r="AK122">
        <v>0</v>
      </c>
      <c r="AL122" t="str">
        <f>IF(AA122="","",IFERROR(IF(ISNUMBER('Procyclean BIO'!D123),'Procyclean BIO'!D123,IF(ISNUMBER(SEARCH("12",'Procyclean BIO'!D123)),EDATE(AB122,12),IF(ISNUMBER(SEARCH("6",'Procyclean BIO'!D123)),EDATE(AB122,6),IF(ISNUMBER(SEARCH("3",'Procyclean BIO'!D123)),EDATE(AB122,3),DATEVALUE('Procyclean BIO'!D123))))),""))</f>
        <v/>
      </c>
      <c r="AM122" t="str">
        <f t="shared" ca="1" si="21"/>
        <v/>
      </c>
    </row>
    <row r="123" spans="27:39" x14ac:dyDescent="0.3">
      <c r="AA123" t="str">
        <f>IF(COUNTA('Procyclean BIO'!A124,'Procyclean BIO'!B124,'Procyclean BIO'!C124)&gt;0,"BIO","")</f>
        <v/>
      </c>
      <c r="AB123" t="str">
        <f>IFERROR(IF(ISNUMBER('Procyclean BIO'!A124),'Procyclean BIO'!A124,DATEVALUE('Procyclean BIO'!A124)),"")</f>
        <v/>
      </c>
      <c r="AC123" t="str">
        <f>IF(AA123="","",'Procyclean BIO'!B124)</f>
        <v/>
      </c>
      <c r="AD123" t="str">
        <f>IF(AA123="","",IFERROR(1*'Procyclean BIO'!C124,IFERROR(_xludf.NUMBERVALUE('Procyclean BIO'!C124,".",","),IFERROR(_xludf.NUMBERVALUE('Procyclean BIO'!C124,",","."),0))))</f>
        <v/>
      </c>
      <c r="AE123" t="str">
        <f>IF(AA123="","",'Procyclean BIO'!J124)</f>
        <v/>
      </c>
      <c r="AF123">
        <f t="shared" si="16"/>
        <v>0</v>
      </c>
      <c r="AG123" t="str">
        <f t="shared" si="17"/>
        <v/>
      </c>
      <c r="AH123" t="str">
        <f t="shared" si="18"/>
        <v/>
      </c>
      <c r="AI123">
        <f t="shared" si="19"/>
        <v>0</v>
      </c>
      <c r="AJ123">
        <f t="shared" si="20"/>
        <v>0</v>
      </c>
      <c r="AK123">
        <v>0</v>
      </c>
      <c r="AL123" t="str">
        <f>IF(AA123="","",IFERROR(IF(ISNUMBER('Procyclean BIO'!D124),'Procyclean BIO'!D124,IF(ISNUMBER(SEARCH("12",'Procyclean BIO'!D124)),EDATE(AB123,12),IF(ISNUMBER(SEARCH("6",'Procyclean BIO'!D124)),EDATE(AB123,6),IF(ISNUMBER(SEARCH("3",'Procyclean BIO'!D124)),EDATE(AB123,3),DATEVALUE('Procyclean BIO'!D124))))),""))</f>
        <v/>
      </c>
      <c r="AM123" t="str">
        <f t="shared" ca="1" si="21"/>
        <v/>
      </c>
    </row>
    <row r="124" spans="27:39" x14ac:dyDescent="0.3">
      <c r="AA124" t="str">
        <f>IF(COUNTA('Procyclean BIO'!A125,'Procyclean BIO'!B125,'Procyclean BIO'!C125)&gt;0,"BIO","")</f>
        <v/>
      </c>
      <c r="AB124" t="str">
        <f>IFERROR(IF(ISNUMBER('Procyclean BIO'!A125),'Procyclean BIO'!A125,DATEVALUE('Procyclean BIO'!A125)),"")</f>
        <v/>
      </c>
      <c r="AC124" t="str">
        <f>IF(AA124="","",'Procyclean BIO'!B125)</f>
        <v/>
      </c>
      <c r="AD124" t="str">
        <f>IF(AA124="","",IFERROR(1*'Procyclean BIO'!C125,IFERROR(_xludf.NUMBERVALUE('Procyclean BIO'!C125,".",","),IFERROR(_xludf.NUMBERVALUE('Procyclean BIO'!C125,",","."),0))))</f>
        <v/>
      </c>
      <c r="AE124" t="str">
        <f>IF(AA124="","",'Procyclean BIO'!J125)</f>
        <v/>
      </c>
      <c r="AF124">
        <f t="shared" si="16"/>
        <v>0</v>
      </c>
      <c r="AG124" t="str">
        <f t="shared" si="17"/>
        <v/>
      </c>
      <c r="AH124" t="str">
        <f t="shared" si="18"/>
        <v/>
      </c>
      <c r="AI124">
        <f t="shared" si="19"/>
        <v>0</v>
      </c>
      <c r="AJ124">
        <f t="shared" si="20"/>
        <v>0</v>
      </c>
      <c r="AK124">
        <v>0</v>
      </c>
      <c r="AL124" t="str">
        <f>IF(AA124="","",IFERROR(IF(ISNUMBER('Procyclean BIO'!D125),'Procyclean BIO'!D125,IF(ISNUMBER(SEARCH("12",'Procyclean BIO'!D125)),EDATE(AB124,12),IF(ISNUMBER(SEARCH("6",'Procyclean BIO'!D125)),EDATE(AB124,6),IF(ISNUMBER(SEARCH("3",'Procyclean BIO'!D125)),EDATE(AB124,3),DATEVALUE('Procyclean BIO'!D125))))),""))</f>
        <v/>
      </c>
      <c r="AM124" t="str">
        <f t="shared" ca="1" si="21"/>
        <v/>
      </c>
    </row>
    <row r="125" spans="27:39" x14ac:dyDescent="0.3">
      <c r="AA125" t="str">
        <f>IF(COUNTA('Procyclean BIO'!A126,'Procyclean BIO'!B126,'Procyclean BIO'!C126)&gt;0,"BIO","")</f>
        <v/>
      </c>
      <c r="AB125" t="str">
        <f>IFERROR(IF(ISNUMBER('Procyclean BIO'!A126),'Procyclean BIO'!A126,DATEVALUE('Procyclean BIO'!A126)),"")</f>
        <v/>
      </c>
      <c r="AC125" t="str">
        <f>IF(AA125="","",'Procyclean BIO'!B126)</f>
        <v/>
      </c>
      <c r="AD125" t="str">
        <f>IF(AA125="","",IFERROR(1*'Procyclean BIO'!C126,IFERROR(_xludf.NUMBERVALUE('Procyclean BIO'!C126,".",","),IFERROR(_xludf.NUMBERVALUE('Procyclean BIO'!C126,",","."),0))))</f>
        <v/>
      </c>
      <c r="AE125" t="str">
        <f>IF(AA125="","",'Procyclean BIO'!J126)</f>
        <v/>
      </c>
      <c r="AF125">
        <f t="shared" si="16"/>
        <v>0</v>
      </c>
      <c r="AG125" t="str">
        <f t="shared" si="17"/>
        <v/>
      </c>
      <c r="AH125" t="str">
        <f t="shared" si="18"/>
        <v/>
      </c>
      <c r="AI125">
        <f t="shared" si="19"/>
        <v>0</v>
      </c>
      <c r="AJ125">
        <f t="shared" si="20"/>
        <v>0</v>
      </c>
      <c r="AK125">
        <v>0</v>
      </c>
      <c r="AL125" t="str">
        <f>IF(AA125="","",IFERROR(IF(ISNUMBER('Procyclean BIO'!D126),'Procyclean BIO'!D126,IF(ISNUMBER(SEARCH("12",'Procyclean BIO'!D126)),EDATE(AB125,12),IF(ISNUMBER(SEARCH("6",'Procyclean BIO'!D126)),EDATE(AB125,6),IF(ISNUMBER(SEARCH("3",'Procyclean BIO'!D126)),EDATE(AB125,3),DATEVALUE('Procyclean BIO'!D126))))),""))</f>
        <v/>
      </c>
      <c r="AM125" t="str">
        <f t="shared" ca="1" si="21"/>
        <v/>
      </c>
    </row>
    <row r="126" spans="27:39" x14ac:dyDescent="0.3">
      <c r="AA126" t="str">
        <f>IF(COUNTA('Procyclean BIO'!A127,'Procyclean BIO'!B127,'Procyclean BIO'!C127)&gt;0,"BIO","")</f>
        <v/>
      </c>
      <c r="AB126" t="str">
        <f>IFERROR(IF(ISNUMBER('Procyclean BIO'!A127),'Procyclean BIO'!A127,DATEVALUE('Procyclean BIO'!A127)),"")</f>
        <v/>
      </c>
      <c r="AC126" t="str">
        <f>IF(AA126="","",'Procyclean BIO'!B127)</f>
        <v/>
      </c>
      <c r="AD126" t="str">
        <f>IF(AA126="","",IFERROR(1*'Procyclean BIO'!C127,IFERROR(_xludf.NUMBERVALUE('Procyclean BIO'!C127,".",","),IFERROR(_xludf.NUMBERVALUE('Procyclean BIO'!C127,",","."),0))))</f>
        <v/>
      </c>
      <c r="AE126" t="str">
        <f>IF(AA126="","",'Procyclean BIO'!J127)</f>
        <v/>
      </c>
      <c r="AF126">
        <f t="shared" si="16"/>
        <v>0</v>
      </c>
      <c r="AG126" t="str">
        <f t="shared" si="17"/>
        <v/>
      </c>
      <c r="AH126" t="str">
        <f t="shared" si="18"/>
        <v/>
      </c>
      <c r="AI126">
        <f t="shared" si="19"/>
        <v>0</v>
      </c>
      <c r="AJ126">
        <f t="shared" si="20"/>
        <v>0</v>
      </c>
      <c r="AK126">
        <v>0</v>
      </c>
      <c r="AL126" t="str">
        <f>IF(AA126="","",IFERROR(IF(ISNUMBER('Procyclean BIO'!D127),'Procyclean BIO'!D127,IF(ISNUMBER(SEARCH("12",'Procyclean BIO'!D127)),EDATE(AB126,12),IF(ISNUMBER(SEARCH("6",'Procyclean BIO'!D127)),EDATE(AB126,6),IF(ISNUMBER(SEARCH("3",'Procyclean BIO'!D127)),EDATE(AB126,3),DATEVALUE('Procyclean BIO'!D127))))),""))</f>
        <v/>
      </c>
      <c r="AM126" t="str">
        <f t="shared" ca="1" si="21"/>
        <v/>
      </c>
    </row>
    <row r="127" spans="27:39" x14ac:dyDescent="0.3">
      <c r="AA127" t="str">
        <f>IF(COUNTA('Procyclean BIO'!A128,'Procyclean BIO'!B128,'Procyclean BIO'!C128)&gt;0,"BIO","")</f>
        <v/>
      </c>
      <c r="AB127" t="str">
        <f>IFERROR(IF(ISNUMBER('Procyclean BIO'!A128),'Procyclean BIO'!A128,DATEVALUE('Procyclean BIO'!A128)),"")</f>
        <v/>
      </c>
      <c r="AC127" t="str">
        <f>IF(AA127="","",'Procyclean BIO'!B128)</f>
        <v/>
      </c>
      <c r="AD127" t="str">
        <f>IF(AA127="","",IFERROR(1*'Procyclean BIO'!C128,IFERROR(_xludf.NUMBERVALUE('Procyclean BIO'!C128,".",","),IFERROR(_xludf.NUMBERVALUE('Procyclean BIO'!C128,",","."),0))))</f>
        <v/>
      </c>
      <c r="AE127" t="str">
        <f>IF(AA127="","",'Procyclean BIO'!J128)</f>
        <v/>
      </c>
      <c r="AF127">
        <f t="shared" si="16"/>
        <v>0</v>
      </c>
      <c r="AG127" t="str">
        <f t="shared" si="17"/>
        <v/>
      </c>
      <c r="AH127" t="str">
        <f t="shared" si="18"/>
        <v/>
      </c>
      <c r="AI127">
        <f t="shared" si="19"/>
        <v>0</v>
      </c>
      <c r="AJ127">
        <f t="shared" si="20"/>
        <v>0</v>
      </c>
      <c r="AK127">
        <v>0</v>
      </c>
      <c r="AL127" t="str">
        <f>IF(AA127="","",IFERROR(IF(ISNUMBER('Procyclean BIO'!D128),'Procyclean BIO'!D128,IF(ISNUMBER(SEARCH("12",'Procyclean BIO'!D128)),EDATE(AB127,12),IF(ISNUMBER(SEARCH("6",'Procyclean BIO'!D128)),EDATE(AB127,6),IF(ISNUMBER(SEARCH("3",'Procyclean BIO'!D128)),EDATE(AB127,3),DATEVALUE('Procyclean BIO'!D128))))),""))</f>
        <v/>
      </c>
      <c r="AM127" t="str">
        <f t="shared" ca="1" si="21"/>
        <v/>
      </c>
    </row>
    <row r="128" spans="27:39" x14ac:dyDescent="0.3">
      <c r="AA128" t="str">
        <f>IF(COUNTA('Procyclean BIO'!A129,'Procyclean BIO'!B129,'Procyclean BIO'!C129)&gt;0,"BIO","")</f>
        <v/>
      </c>
      <c r="AB128" t="str">
        <f>IFERROR(IF(ISNUMBER('Procyclean BIO'!A129),'Procyclean BIO'!A129,DATEVALUE('Procyclean BIO'!A129)),"")</f>
        <v/>
      </c>
      <c r="AC128" t="str">
        <f>IF(AA128="","",'Procyclean BIO'!B129)</f>
        <v/>
      </c>
      <c r="AD128" t="str">
        <f>IF(AA128="","",IFERROR(1*'Procyclean BIO'!C129,IFERROR(_xludf.NUMBERVALUE('Procyclean BIO'!C129,".",","),IFERROR(_xludf.NUMBERVALUE('Procyclean BIO'!C129,",","."),0))))</f>
        <v/>
      </c>
      <c r="AE128" t="str">
        <f>IF(AA128="","",'Procyclean BIO'!J129)</f>
        <v/>
      </c>
      <c r="AF128">
        <f t="shared" si="16"/>
        <v>0</v>
      </c>
      <c r="AG128" t="str">
        <f t="shared" si="17"/>
        <v/>
      </c>
      <c r="AH128" t="str">
        <f t="shared" si="18"/>
        <v/>
      </c>
      <c r="AI128">
        <f t="shared" si="19"/>
        <v>0</v>
      </c>
      <c r="AJ128">
        <f t="shared" si="20"/>
        <v>0</v>
      </c>
      <c r="AK128">
        <v>0</v>
      </c>
      <c r="AL128" t="str">
        <f>IF(AA128="","",IFERROR(IF(ISNUMBER('Procyclean BIO'!D129),'Procyclean BIO'!D129,IF(ISNUMBER(SEARCH("12",'Procyclean BIO'!D129)),EDATE(AB128,12),IF(ISNUMBER(SEARCH("6",'Procyclean BIO'!D129)),EDATE(AB128,6),IF(ISNUMBER(SEARCH("3",'Procyclean BIO'!D129)),EDATE(AB128,3),DATEVALUE('Procyclean BIO'!D129))))),""))</f>
        <v/>
      </c>
      <c r="AM128" t="str">
        <f t="shared" ca="1" si="21"/>
        <v/>
      </c>
    </row>
    <row r="129" spans="27:39" x14ac:dyDescent="0.3">
      <c r="AA129" t="str">
        <f>IF(COUNTA('Procyclean BIO'!A130,'Procyclean BIO'!B130,'Procyclean BIO'!C130)&gt;0,"BIO","")</f>
        <v/>
      </c>
      <c r="AB129" t="str">
        <f>IFERROR(IF(ISNUMBER('Procyclean BIO'!A130),'Procyclean BIO'!A130,DATEVALUE('Procyclean BIO'!A130)),"")</f>
        <v/>
      </c>
      <c r="AC129" t="str">
        <f>IF(AA129="","",'Procyclean BIO'!B130)</f>
        <v/>
      </c>
      <c r="AD129" t="str">
        <f>IF(AA129="","",IFERROR(1*'Procyclean BIO'!C130,IFERROR(_xludf.NUMBERVALUE('Procyclean BIO'!C130,".",","),IFERROR(_xludf.NUMBERVALUE('Procyclean BIO'!C130,",","."),0))))</f>
        <v/>
      </c>
      <c r="AE129" t="str">
        <f>IF(AA129="","",'Procyclean BIO'!J130)</f>
        <v/>
      </c>
      <c r="AF129">
        <f t="shared" si="16"/>
        <v>0</v>
      </c>
      <c r="AG129" t="str">
        <f t="shared" si="17"/>
        <v/>
      </c>
      <c r="AH129" t="str">
        <f t="shared" si="18"/>
        <v/>
      </c>
      <c r="AI129">
        <f t="shared" si="19"/>
        <v>0</v>
      </c>
      <c r="AJ129">
        <f t="shared" si="20"/>
        <v>0</v>
      </c>
      <c r="AK129">
        <v>0</v>
      </c>
      <c r="AL129" t="str">
        <f>IF(AA129="","",IFERROR(IF(ISNUMBER('Procyclean BIO'!D130),'Procyclean BIO'!D130,IF(ISNUMBER(SEARCH("12",'Procyclean BIO'!D130)),EDATE(AB129,12),IF(ISNUMBER(SEARCH("6",'Procyclean BIO'!D130)),EDATE(AB129,6),IF(ISNUMBER(SEARCH("3",'Procyclean BIO'!D130)),EDATE(AB129,3),DATEVALUE('Procyclean BIO'!D130))))),""))</f>
        <v/>
      </c>
      <c r="AM129" t="str">
        <f t="shared" ca="1" si="21"/>
        <v/>
      </c>
    </row>
    <row r="130" spans="27:39" x14ac:dyDescent="0.3">
      <c r="AA130" t="str">
        <f>IF(COUNTA('Procyclean BIO'!A131,'Procyclean BIO'!B131,'Procyclean BIO'!C131)&gt;0,"BIO","")</f>
        <v/>
      </c>
      <c r="AB130" t="str">
        <f>IFERROR(IF(ISNUMBER('Procyclean BIO'!A131),'Procyclean BIO'!A131,DATEVALUE('Procyclean BIO'!A131)),"")</f>
        <v/>
      </c>
      <c r="AC130" t="str">
        <f>IF(AA130="","",'Procyclean BIO'!B131)</f>
        <v/>
      </c>
      <c r="AD130" t="str">
        <f>IF(AA130="","",IFERROR(1*'Procyclean BIO'!C131,IFERROR(_xludf.NUMBERVALUE('Procyclean BIO'!C131,".",","),IFERROR(_xludf.NUMBERVALUE('Procyclean BIO'!C131,",","."),0))))</f>
        <v/>
      </c>
      <c r="AE130" t="str">
        <f>IF(AA130="","",'Procyclean BIO'!J131)</f>
        <v/>
      </c>
      <c r="AF130">
        <f t="shared" ref="AF130:AF193" si="29">IF(AA130="",0,--AND(ISNUMBER(SEARCH("aprov",AE130)),NOT(ISNUMBER(SEARCH("reprov",AE130)))))</f>
        <v>0</v>
      </c>
      <c r="AG130" t="str">
        <f t="shared" ref="AG130:AG193" si="30">IF(AB130="","",YEAR(AB130))</f>
        <v/>
      </c>
      <c r="AH130" t="str">
        <f t="shared" ref="AH130:AH193" si="31">IF(AB130="","",MONTH(AB130))</f>
        <v/>
      </c>
      <c r="AI130">
        <f t="shared" ref="AI130:AI193" si="32">IF(AB130="",0,AB130+ROW()/1000000)</f>
        <v>0</v>
      </c>
      <c r="AJ130">
        <f t="shared" ref="AJ130:AJ193" si="33">--(AA130&lt;&gt;"")</f>
        <v>0</v>
      </c>
      <c r="AK130">
        <v>0</v>
      </c>
      <c r="AL130" t="str">
        <f>IF(AA130="","",IFERROR(IF(ISNUMBER('Procyclean BIO'!D131),'Procyclean BIO'!D131,IF(ISNUMBER(SEARCH("12",'Procyclean BIO'!D131)),EDATE(AB130,12),IF(ISNUMBER(SEARCH("6",'Procyclean BIO'!D131)),EDATE(AB130,6),IF(ISNUMBER(SEARCH("3",'Procyclean BIO'!D131)),EDATE(AB130,3),DATEVALUE('Procyclean BIO'!D131))))),""))</f>
        <v/>
      </c>
      <c r="AM130" t="str">
        <f t="shared" ref="AM130:AM193" ca="1" si="34">IF(AND(AJ130=1,AL130&lt;&gt;"",AL130&gt;=TODAY(),AG130=$W$3),AL130+ROW()/1000000,"")</f>
        <v/>
      </c>
    </row>
    <row r="131" spans="27:39" x14ac:dyDescent="0.3">
      <c r="AA131" t="str">
        <f>IF(COUNTA('Procyclean BIO'!A132,'Procyclean BIO'!B132,'Procyclean BIO'!C132)&gt;0,"BIO","")</f>
        <v/>
      </c>
      <c r="AB131" t="str">
        <f>IFERROR(IF(ISNUMBER('Procyclean BIO'!A132),'Procyclean BIO'!A132,DATEVALUE('Procyclean BIO'!A132)),"")</f>
        <v/>
      </c>
      <c r="AC131" t="str">
        <f>IF(AA131="","",'Procyclean BIO'!B132)</f>
        <v/>
      </c>
      <c r="AD131" t="str">
        <f>IF(AA131="","",IFERROR(1*'Procyclean BIO'!C132,IFERROR(_xludf.NUMBERVALUE('Procyclean BIO'!C132,".",","),IFERROR(_xludf.NUMBERVALUE('Procyclean BIO'!C132,",","."),0))))</f>
        <v/>
      </c>
      <c r="AE131" t="str">
        <f>IF(AA131="","",'Procyclean BIO'!J132)</f>
        <v/>
      </c>
      <c r="AF131">
        <f t="shared" si="29"/>
        <v>0</v>
      </c>
      <c r="AG131" t="str">
        <f t="shared" si="30"/>
        <v/>
      </c>
      <c r="AH131" t="str">
        <f t="shared" si="31"/>
        <v/>
      </c>
      <c r="AI131">
        <f t="shared" si="32"/>
        <v>0</v>
      </c>
      <c r="AJ131">
        <f t="shared" si="33"/>
        <v>0</v>
      </c>
      <c r="AK131">
        <v>0</v>
      </c>
      <c r="AL131" t="str">
        <f>IF(AA131="","",IFERROR(IF(ISNUMBER('Procyclean BIO'!D132),'Procyclean BIO'!D132,IF(ISNUMBER(SEARCH("12",'Procyclean BIO'!D132)),EDATE(AB131,12),IF(ISNUMBER(SEARCH("6",'Procyclean BIO'!D132)),EDATE(AB131,6),IF(ISNUMBER(SEARCH("3",'Procyclean BIO'!D132)),EDATE(AB131,3),DATEVALUE('Procyclean BIO'!D132))))),""))</f>
        <v/>
      </c>
      <c r="AM131" t="str">
        <f t="shared" ca="1" si="34"/>
        <v/>
      </c>
    </row>
    <row r="132" spans="27:39" x14ac:dyDescent="0.3">
      <c r="AA132" t="str">
        <f>IF(COUNTA('Procyclean BIO'!A133,'Procyclean BIO'!B133,'Procyclean BIO'!C133)&gt;0,"BIO","")</f>
        <v/>
      </c>
      <c r="AB132" t="str">
        <f>IFERROR(IF(ISNUMBER('Procyclean BIO'!A133),'Procyclean BIO'!A133,DATEVALUE('Procyclean BIO'!A133)),"")</f>
        <v/>
      </c>
      <c r="AC132" t="str">
        <f>IF(AA132="","",'Procyclean BIO'!B133)</f>
        <v/>
      </c>
      <c r="AD132" t="str">
        <f>IF(AA132="","",IFERROR(1*'Procyclean BIO'!C133,IFERROR(_xludf.NUMBERVALUE('Procyclean BIO'!C133,".",","),IFERROR(_xludf.NUMBERVALUE('Procyclean BIO'!C133,",","."),0))))</f>
        <v/>
      </c>
      <c r="AE132" t="str">
        <f>IF(AA132="","",'Procyclean BIO'!J133)</f>
        <v/>
      </c>
      <c r="AF132">
        <f t="shared" si="29"/>
        <v>0</v>
      </c>
      <c r="AG132" t="str">
        <f t="shared" si="30"/>
        <v/>
      </c>
      <c r="AH132" t="str">
        <f t="shared" si="31"/>
        <v/>
      </c>
      <c r="AI132">
        <f t="shared" si="32"/>
        <v>0</v>
      </c>
      <c r="AJ132">
        <f t="shared" si="33"/>
        <v>0</v>
      </c>
      <c r="AK132">
        <v>0</v>
      </c>
      <c r="AL132" t="str">
        <f>IF(AA132="","",IFERROR(IF(ISNUMBER('Procyclean BIO'!D133),'Procyclean BIO'!D133,IF(ISNUMBER(SEARCH("12",'Procyclean BIO'!D133)),EDATE(AB132,12),IF(ISNUMBER(SEARCH("6",'Procyclean BIO'!D133)),EDATE(AB132,6),IF(ISNUMBER(SEARCH("3",'Procyclean BIO'!D133)),EDATE(AB132,3),DATEVALUE('Procyclean BIO'!D133))))),""))</f>
        <v/>
      </c>
      <c r="AM132" t="str">
        <f t="shared" ca="1" si="34"/>
        <v/>
      </c>
    </row>
    <row r="133" spans="27:39" x14ac:dyDescent="0.3">
      <c r="AA133" t="str">
        <f>IF(COUNTA('Procyclean BIO'!A134,'Procyclean BIO'!B134,'Procyclean BIO'!C134)&gt;0,"BIO","")</f>
        <v/>
      </c>
      <c r="AB133" t="str">
        <f>IFERROR(IF(ISNUMBER('Procyclean BIO'!A134),'Procyclean BIO'!A134,DATEVALUE('Procyclean BIO'!A134)),"")</f>
        <v/>
      </c>
      <c r="AC133" t="str">
        <f>IF(AA133="","",'Procyclean BIO'!B134)</f>
        <v/>
      </c>
      <c r="AD133" t="str">
        <f>IF(AA133="","",IFERROR(1*'Procyclean BIO'!C134,IFERROR(_xludf.NUMBERVALUE('Procyclean BIO'!C134,".",","),IFERROR(_xludf.NUMBERVALUE('Procyclean BIO'!C134,",","."),0))))</f>
        <v/>
      </c>
      <c r="AE133" t="str">
        <f>IF(AA133="","",'Procyclean BIO'!J134)</f>
        <v/>
      </c>
      <c r="AF133">
        <f t="shared" si="29"/>
        <v>0</v>
      </c>
      <c r="AG133" t="str">
        <f t="shared" si="30"/>
        <v/>
      </c>
      <c r="AH133" t="str">
        <f t="shared" si="31"/>
        <v/>
      </c>
      <c r="AI133">
        <f t="shared" si="32"/>
        <v>0</v>
      </c>
      <c r="AJ133">
        <f t="shared" si="33"/>
        <v>0</v>
      </c>
      <c r="AK133">
        <v>0</v>
      </c>
      <c r="AL133" t="str">
        <f>IF(AA133="","",IFERROR(IF(ISNUMBER('Procyclean BIO'!D134),'Procyclean BIO'!D134,IF(ISNUMBER(SEARCH("12",'Procyclean BIO'!D134)),EDATE(AB133,12),IF(ISNUMBER(SEARCH("6",'Procyclean BIO'!D134)),EDATE(AB133,6),IF(ISNUMBER(SEARCH("3",'Procyclean BIO'!D134)),EDATE(AB133,3),DATEVALUE('Procyclean BIO'!D134))))),""))</f>
        <v/>
      </c>
      <c r="AM133" t="str">
        <f t="shared" ca="1" si="34"/>
        <v/>
      </c>
    </row>
    <row r="134" spans="27:39" x14ac:dyDescent="0.3">
      <c r="AA134" t="str">
        <f>IF(COUNTA('Procyclean BIO'!A135,'Procyclean BIO'!B135,'Procyclean BIO'!C135)&gt;0,"BIO","")</f>
        <v/>
      </c>
      <c r="AB134" t="str">
        <f>IFERROR(IF(ISNUMBER('Procyclean BIO'!A135),'Procyclean BIO'!A135,DATEVALUE('Procyclean BIO'!A135)),"")</f>
        <v/>
      </c>
      <c r="AC134" t="str">
        <f>IF(AA134="","",'Procyclean BIO'!B135)</f>
        <v/>
      </c>
      <c r="AD134" t="str">
        <f>IF(AA134="","",IFERROR(1*'Procyclean BIO'!C135,IFERROR(_xludf.NUMBERVALUE('Procyclean BIO'!C135,".",","),IFERROR(_xludf.NUMBERVALUE('Procyclean BIO'!C135,",","."),0))))</f>
        <v/>
      </c>
      <c r="AE134" t="str">
        <f>IF(AA134="","",'Procyclean BIO'!J135)</f>
        <v/>
      </c>
      <c r="AF134">
        <f t="shared" si="29"/>
        <v>0</v>
      </c>
      <c r="AG134" t="str">
        <f t="shared" si="30"/>
        <v/>
      </c>
      <c r="AH134" t="str">
        <f t="shared" si="31"/>
        <v/>
      </c>
      <c r="AI134">
        <f t="shared" si="32"/>
        <v>0</v>
      </c>
      <c r="AJ134">
        <f t="shared" si="33"/>
        <v>0</v>
      </c>
      <c r="AK134">
        <v>0</v>
      </c>
      <c r="AL134" t="str">
        <f>IF(AA134="","",IFERROR(IF(ISNUMBER('Procyclean BIO'!D135),'Procyclean BIO'!D135,IF(ISNUMBER(SEARCH("12",'Procyclean BIO'!D135)),EDATE(AB134,12),IF(ISNUMBER(SEARCH("6",'Procyclean BIO'!D135)),EDATE(AB134,6),IF(ISNUMBER(SEARCH("3",'Procyclean BIO'!D135)),EDATE(AB134,3),DATEVALUE('Procyclean BIO'!D135))))),""))</f>
        <v/>
      </c>
      <c r="AM134" t="str">
        <f t="shared" ca="1" si="34"/>
        <v/>
      </c>
    </row>
    <row r="135" spans="27:39" x14ac:dyDescent="0.3">
      <c r="AA135" t="str">
        <f>IF(COUNTA('Procyclean BIO'!A136,'Procyclean BIO'!B136,'Procyclean BIO'!C136)&gt;0,"BIO","")</f>
        <v/>
      </c>
      <c r="AB135" t="str">
        <f>IFERROR(IF(ISNUMBER('Procyclean BIO'!A136),'Procyclean BIO'!A136,DATEVALUE('Procyclean BIO'!A136)),"")</f>
        <v/>
      </c>
      <c r="AC135" t="str">
        <f>IF(AA135="","",'Procyclean BIO'!B136)</f>
        <v/>
      </c>
      <c r="AD135" t="str">
        <f>IF(AA135="","",IFERROR(1*'Procyclean BIO'!C136,IFERROR(_xludf.NUMBERVALUE('Procyclean BIO'!C136,".",","),IFERROR(_xludf.NUMBERVALUE('Procyclean BIO'!C136,",","."),0))))</f>
        <v/>
      </c>
      <c r="AE135" t="str">
        <f>IF(AA135="","",'Procyclean BIO'!J136)</f>
        <v/>
      </c>
      <c r="AF135">
        <f t="shared" si="29"/>
        <v>0</v>
      </c>
      <c r="AG135" t="str">
        <f t="shared" si="30"/>
        <v/>
      </c>
      <c r="AH135" t="str">
        <f t="shared" si="31"/>
        <v/>
      </c>
      <c r="AI135">
        <f t="shared" si="32"/>
        <v>0</v>
      </c>
      <c r="AJ135">
        <f t="shared" si="33"/>
        <v>0</v>
      </c>
      <c r="AK135">
        <v>0</v>
      </c>
      <c r="AL135" t="str">
        <f>IF(AA135="","",IFERROR(IF(ISNUMBER('Procyclean BIO'!D136),'Procyclean BIO'!D136,IF(ISNUMBER(SEARCH("12",'Procyclean BIO'!D136)),EDATE(AB135,12),IF(ISNUMBER(SEARCH("6",'Procyclean BIO'!D136)),EDATE(AB135,6),IF(ISNUMBER(SEARCH("3",'Procyclean BIO'!D136)),EDATE(AB135,3),DATEVALUE('Procyclean BIO'!D136))))),""))</f>
        <v/>
      </c>
      <c r="AM135" t="str">
        <f t="shared" ca="1" si="34"/>
        <v/>
      </c>
    </row>
    <row r="136" spans="27:39" x14ac:dyDescent="0.3">
      <c r="AA136" t="str">
        <f>IF(COUNTA('Procyclean BIO'!A137,'Procyclean BIO'!B137,'Procyclean BIO'!C137)&gt;0,"BIO","")</f>
        <v/>
      </c>
      <c r="AB136" t="str">
        <f>IFERROR(IF(ISNUMBER('Procyclean BIO'!A137),'Procyclean BIO'!A137,DATEVALUE('Procyclean BIO'!A137)),"")</f>
        <v/>
      </c>
      <c r="AC136" t="str">
        <f>IF(AA136="","",'Procyclean BIO'!B137)</f>
        <v/>
      </c>
      <c r="AD136" t="str">
        <f>IF(AA136="","",IFERROR(1*'Procyclean BIO'!C137,IFERROR(_xludf.NUMBERVALUE('Procyclean BIO'!C137,".",","),IFERROR(_xludf.NUMBERVALUE('Procyclean BIO'!C137,",","."),0))))</f>
        <v/>
      </c>
      <c r="AE136" t="str">
        <f>IF(AA136="","",'Procyclean BIO'!J137)</f>
        <v/>
      </c>
      <c r="AF136">
        <f t="shared" si="29"/>
        <v>0</v>
      </c>
      <c r="AG136" t="str">
        <f t="shared" si="30"/>
        <v/>
      </c>
      <c r="AH136" t="str">
        <f t="shared" si="31"/>
        <v/>
      </c>
      <c r="AI136">
        <f t="shared" si="32"/>
        <v>0</v>
      </c>
      <c r="AJ136">
        <f t="shared" si="33"/>
        <v>0</v>
      </c>
      <c r="AK136">
        <v>0</v>
      </c>
      <c r="AL136" t="str">
        <f>IF(AA136="","",IFERROR(IF(ISNUMBER('Procyclean BIO'!D137),'Procyclean BIO'!D137,IF(ISNUMBER(SEARCH("12",'Procyclean BIO'!D137)),EDATE(AB136,12),IF(ISNUMBER(SEARCH("6",'Procyclean BIO'!D137)),EDATE(AB136,6),IF(ISNUMBER(SEARCH("3",'Procyclean BIO'!D137)),EDATE(AB136,3),DATEVALUE('Procyclean BIO'!D137))))),""))</f>
        <v/>
      </c>
      <c r="AM136" t="str">
        <f t="shared" ca="1" si="34"/>
        <v/>
      </c>
    </row>
    <row r="137" spans="27:39" x14ac:dyDescent="0.3">
      <c r="AA137" t="str">
        <f>IF(COUNTA('Procyclean BIO'!A138,'Procyclean BIO'!B138,'Procyclean BIO'!C138)&gt;0,"BIO","")</f>
        <v/>
      </c>
      <c r="AB137" t="str">
        <f>IFERROR(IF(ISNUMBER('Procyclean BIO'!A138),'Procyclean BIO'!A138,DATEVALUE('Procyclean BIO'!A138)),"")</f>
        <v/>
      </c>
      <c r="AC137" t="str">
        <f>IF(AA137="","",'Procyclean BIO'!B138)</f>
        <v/>
      </c>
      <c r="AD137" t="str">
        <f>IF(AA137="","",IFERROR(1*'Procyclean BIO'!C138,IFERROR(_xludf.NUMBERVALUE('Procyclean BIO'!C138,".",","),IFERROR(_xludf.NUMBERVALUE('Procyclean BIO'!C138,",","."),0))))</f>
        <v/>
      </c>
      <c r="AE137" t="str">
        <f>IF(AA137="","",'Procyclean BIO'!J138)</f>
        <v/>
      </c>
      <c r="AF137">
        <f t="shared" si="29"/>
        <v>0</v>
      </c>
      <c r="AG137" t="str">
        <f t="shared" si="30"/>
        <v/>
      </c>
      <c r="AH137" t="str">
        <f t="shared" si="31"/>
        <v/>
      </c>
      <c r="AI137">
        <f t="shared" si="32"/>
        <v>0</v>
      </c>
      <c r="AJ137">
        <f t="shared" si="33"/>
        <v>0</v>
      </c>
      <c r="AK137">
        <v>0</v>
      </c>
      <c r="AL137" t="str">
        <f>IF(AA137="","",IFERROR(IF(ISNUMBER('Procyclean BIO'!D138),'Procyclean BIO'!D138,IF(ISNUMBER(SEARCH("12",'Procyclean BIO'!D138)),EDATE(AB137,12),IF(ISNUMBER(SEARCH("6",'Procyclean BIO'!D138)),EDATE(AB137,6),IF(ISNUMBER(SEARCH("3",'Procyclean BIO'!D138)),EDATE(AB137,3),DATEVALUE('Procyclean BIO'!D138))))),""))</f>
        <v/>
      </c>
      <c r="AM137" t="str">
        <f t="shared" ca="1" si="34"/>
        <v/>
      </c>
    </row>
    <row r="138" spans="27:39" x14ac:dyDescent="0.3">
      <c r="AA138" t="str">
        <f>IF(COUNTA('Procyclean BIO'!A139,'Procyclean BIO'!B139,'Procyclean BIO'!C139)&gt;0,"BIO","")</f>
        <v/>
      </c>
      <c r="AB138" t="str">
        <f>IFERROR(IF(ISNUMBER('Procyclean BIO'!A139),'Procyclean BIO'!A139,DATEVALUE('Procyclean BIO'!A139)),"")</f>
        <v/>
      </c>
      <c r="AC138" t="str">
        <f>IF(AA138="","",'Procyclean BIO'!B139)</f>
        <v/>
      </c>
      <c r="AD138" t="str">
        <f>IF(AA138="","",IFERROR(1*'Procyclean BIO'!C139,IFERROR(_xludf.NUMBERVALUE('Procyclean BIO'!C139,".",","),IFERROR(_xludf.NUMBERVALUE('Procyclean BIO'!C139,",","."),0))))</f>
        <v/>
      </c>
      <c r="AE138" t="str">
        <f>IF(AA138="","",'Procyclean BIO'!J139)</f>
        <v/>
      </c>
      <c r="AF138">
        <f t="shared" si="29"/>
        <v>0</v>
      </c>
      <c r="AG138" t="str">
        <f t="shared" si="30"/>
        <v/>
      </c>
      <c r="AH138" t="str">
        <f t="shared" si="31"/>
        <v/>
      </c>
      <c r="AI138">
        <f t="shared" si="32"/>
        <v>0</v>
      </c>
      <c r="AJ138">
        <f t="shared" si="33"/>
        <v>0</v>
      </c>
      <c r="AK138">
        <v>0</v>
      </c>
      <c r="AL138" t="str">
        <f>IF(AA138="","",IFERROR(IF(ISNUMBER('Procyclean BIO'!D139),'Procyclean BIO'!D139,IF(ISNUMBER(SEARCH("12",'Procyclean BIO'!D139)),EDATE(AB138,12),IF(ISNUMBER(SEARCH("6",'Procyclean BIO'!D139)),EDATE(AB138,6),IF(ISNUMBER(SEARCH("3",'Procyclean BIO'!D139)),EDATE(AB138,3),DATEVALUE('Procyclean BIO'!D139))))),""))</f>
        <v/>
      </c>
      <c r="AM138" t="str">
        <f t="shared" ca="1" si="34"/>
        <v/>
      </c>
    </row>
    <row r="139" spans="27:39" x14ac:dyDescent="0.3">
      <c r="AA139" t="str">
        <f>IF(COUNTA('Procyclean BIO'!A140,'Procyclean BIO'!B140,'Procyclean BIO'!C140)&gt;0,"BIO","")</f>
        <v/>
      </c>
      <c r="AB139" t="str">
        <f>IFERROR(IF(ISNUMBER('Procyclean BIO'!A140),'Procyclean BIO'!A140,DATEVALUE('Procyclean BIO'!A140)),"")</f>
        <v/>
      </c>
      <c r="AC139" t="str">
        <f>IF(AA139="","",'Procyclean BIO'!B140)</f>
        <v/>
      </c>
      <c r="AD139" t="str">
        <f>IF(AA139="","",IFERROR(1*'Procyclean BIO'!C140,IFERROR(_xludf.NUMBERVALUE('Procyclean BIO'!C140,".",","),IFERROR(_xludf.NUMBERVALUE('Procyclean BIO'!C140,",","."),0))))</f>
        <v/>
      </c>
      <c r="AE139" t="str">
        <f>IF(AA139="","",'Procyclean BIO'!J140)</f>
        <v/>
      </c>
      <c r="AF139">
        <f t="shared" si="29"/>
        <v>0</v>
      </c>
      <c r="AG139" t="str">
        <f t="shared" si="30"/>
        <v/>
      </c>
      <c r="AH139" t="str">
        <f t="shared" si="31"/>
        <v/>
      </c>
      <c r="AI139">
        <f t="shared" si="32"/>
        <v>0</v>
      </c>
      <c r="AJ139">
        <f t="shared" si="33"/>
        <v>0</v>
      </c>
      <c r="AK139">
        <v>0</v>
      </c>
      <c r="AL139" t="str">
        <f>IF(AA139="","",IFERROR(IF(ISNUMBER('Procyclean BIO'!D140),'Procyclean BIO'!D140,IF(ISNUMBER(SEARCH("12",'Procyclean BIO'!D140)),EDATE(AB139,12),IF(ISNUMBER(SEARCH("6",'Procyclean BIO'!D140)),EDATE(AB139,6),IF(ISNUMBER(SEARCH("3",'Procyclean BIO'!D140)),EDATE(AB139,3),DATEVALUE('Procyclean BIO'!D140))))),""))</f>
        <v/>
      </c>
      <c r="AM139" t="str">
        <f t="shared" ca="1" si="34"/>
        <v/>
      </c>
    </row>
    <row r="140" spans="27:39" x14ac:dyDescent="0.3">
      <c r="AA140" t="str">
        <f>IF(COUNTA('Procyclean BIO'!A141,'Procyclean BIO'!B141,'Procyclean BIO'!C141)&gt;0,"BIO","")</f>
        <v/>
      </c>
      <c r="AB140" t="str">
        <f>IFERROR(IF(ISNUMBER('Procyclean BIO'!A141),'Procyclean BIO'!A141,DATEVALUE('Procyclean BIO'!A141)),"")</f>
        <v/>
      </c>
      <c r="AC140" t="str">
        <f>IF(AA140="","",'Procyclean BIO'!B141)</f>
        <v/>
      </c>
      <c r="AD140" t="str">
        <f>IF(AA140="","",IFERROR(1*'Procyclean BIO'!C141,IFERROR(_xludf.NUMBERVALUE('Procyclean BIO'!C141,".",","),IFERROR(_xludf.NUMBERVALUE('Procyclean BIO'!C141,",","."),0))))</f>
        <v/>
      </c>
      <c r="AE140" t="str">
        <f>IF(AA140="","",'Procyclean BIO'!J141)</f>
        <v/>
      </c>
      <c r="AF140">
        <f t="shared" si="29"/>
        <v>0</v>
      </c>
      <c r="AG140" t="str">
        <f t="shared" si="30"/>
        <v/>
      </c>
      <c r="AH140" t="str">
        <f t="shared" si="31"/>
        <v/>
      </c>
      <c r="AI140">
        <f t="shared" si="32"/>
        <v>0</v>
      </c>
      <c r="AJ140">
        <f t="shared" si="33"/>
        <v>0</v>
      </c>
      <c r="AK140">
        <v>0</v>
      </c>
      <c r="AL140" t="str">
        <f>IF(AA140="","",IFERROR(IF(ISNUMBER('Procyclean BIO'!D141),'Procyclean BIO'!D141,IF(ISNUMBER(SEARCH("12",'Procyclean BIO'!D141)),EDATE(AB140,12),IF(ISNUMBER(SEARCH("6",'Procyclean BIO'!D141)),EDATE(AB140,6),IF(ISNUMBER(SEARCH("3",'Procyclean BIO'!D141)),EDATE(AB140,3),DATEVALUE('Procyclean BIO'!D141))))),""))</f>
        <v/>
      </c>
      <c r="AM140" t="str">
        <f t="shared" ca="1" si="34"/>
        <v/>
      </c>
    </row>
    <row r="141" spans="27:39" x14ac:dyDescent="0.3">
      <c r="AA141" t="str">
        <f>IF(COUNTA('Procyclean BIO'!A142,'Procyclean BIO'!B142,'Procyclean BIO'!C142)&gt;0,"BIO","")</f>
        <v/>
      </c>
      <c r="AB141" t="str">
        <f>IFERROR(IF(ISNUMBER('Procyclean BIO'!A142),'Procyclean BIO'!A142,DATEVALUE('Procyclean BIO'!A142)),"")</f>
        <v/>
      </c>
      <c r="AC141" t="str">
        <f>IF(AA141="","",'Procyclean BIO'!B142)</f>
        <v/>
      </c>
      <c r="AD141" t="str">
        <f>IF(AA141="","",IFERROR(1*'Procyclean BIO'!C142,IFERROR(_xludf.NUMBERVALUE('Procyclean BIO'!C142,".",","),IFERROR(_xludf.NUMBERVALUE('Procyclean BIO'!C142,",","."),0))))</f>
        <v/>
      </c>
      <c r="AE141" t="str">
        <f>IF(AA141="","",'Procyclean BIO'!J142)</f>
        <v/>
      </c>
      <c r="AF141">
        <f t="shared" si="29"/>
        <v>0</v>
      </c>
      <c r="AG141" t="str">
        <f t="shared" si="30"/>
        <v/>
      </c>
      <c r="AH141" t="str">
        <f t="shared" si="31"/>
        <v/>
      </c>
      <c r="AI141">
        <f t="shared" si="32"/>
        <v>0</v>
      </c>
      <c r="AJ141">
        <f t="shared" si="33"/>
        <v>0</v>
      </c>
      <c r="AK141">
        <v>0</v>
      </c>
      <c r="AL141" t="str">
        <f>IF(AA141="","",IFERROR(IF(ISNUMBER('Procyclean BIO'!D142),'Procyclean BIO'!D142,IF(ISNUMBER(SEARCH("12",'Procyclean BIO'!D142)),EDATE(AB141,12),IF(ISNUMBER(SEARCH("6",'Procyclean BIO'!D142)),EDATE(AB141,6),IF(ISNUMBER(SEARCH("3",'Procyclean BIO'!D142)),EDATE(AB141,3),DATEVALUE('Procyclean BIO'!D142))))),""))</f>
        <v/>
      </c>
      <c r="AM141" t="str">
        <f t="shared" ca="1" si="34"/>
        <v/>
      </c>
    </row>
    <row r="142" spans="27:39" x14ac:dyDescent="0.3">
      <c r="AA142" t="str">
        <f>IF(COUNTA('Procyclean BIO'!A143,'Procyclean BIO'!B143,'Procyclean BIO'!C143)&gt;0,"BIO","")</f>
        <v/>
      </c>
      <c r="AB142" t="str">
        <f>IFERROR(IF(ISNUMBER('Procyclean BIO'!A143),'Procyclean BIO'!A143,DATEVALUE('Procyclean BIO'!A143)),"")</f>
        <v/>
      </c>
      <c r="AC142" t="str">
        <f>IF(AA142="","",'Procyclean BIO'!B143)</f>
        <v/>
      </c>
      <c r="AD142" t="str">
        <f>IF(AA142="","",IFERROR(1*'Procyclean BIO'!C143,IFERROR(_xludf.NUMBERVALUE('Procyclean BIO'!C143,".",","),IFERROR(_xludf.NUMBERVALUE('Procyclean BIO'!C143,",","."),0))))</f>
        <v/>
      </c>
      <c r="AE142" t="str">
        <f>IF(AA142="","",'Procyclean BIO'!J143)</f>
        <v/>
      </c>
      <c r="AF142">
        <f t="shared" si="29"/>
        <v>0</v>
      </c>
      <c r="AG142" t="str">
        <f t="shared" si="30"/>
        <v/>
      </c>
      <c r="AH142" t="str">
        <f t="shared" si="31"/>
        <v/>
      </c>
      <c r="AI142">
        <f t="shared" si="32"/>
        <v>0</v>
      </c>
      <c r="AJ142">
        <f t="shared" si="33"/>
        <v>0</v>
      </c>
      <c r="AK142">
        <v>0</v>
      </c>
      <c r="AL142" t="str">
        <f>IF(AA142="","",IFERROR(IF(ISNUMBER('Procyclean BIO'!D143),'Procyclean BIO'!D143,IF(ISNUMBER(SEARCH("12",'Procyclean BIO'!D143)),EDATE(AB142,12),IF(ISNUMBER(SEARCH("6",'Procyclean BIO'!D143)),EDATE(AB142,6),IF(ISNUMBER(SEARCH("3",'Procyclean BIO'!D143)),EDATE(AB142,3),DATEVALUE('Procyclean BIO'!D143))))),""))</f>
        <v/>
      </c>
      <c r="AM142" t="str">
        <f t="shared" ca="1" si="34"/>
        <v/>
      </c>
    </row>
    <row r="143" spans="27:39" x14ac:dyDescent="0.3">
      <c r="AA143" t="str">
        <f>IF(COUNTA('Procyclean BIO'!A144,'Procyclean BIO'!B144,'Procyclean BIO'!C144)&gt;0,"BIO","")</f>
        <v/>
      </c>
      <c r="AB143" t="str">
        <f>IFERROR(IF(ISNUMBER('Procyclean BIO'!A144),'Procyclean BIO'!A144,DATEVALUE('Procyclean BIO'!A144)),"")</f>
        <v/>
      </c>
      <c r="AC143" t="str">
        <f>IF(AA143="","",'Procyclean BIO'!B144)</f>
        <v/>
      </c>
      <c r="AD143" t="str">
        <f>IF(AA143="","",IFERROR(1*'Procyclean BIO'!C144,IFERROR(_xludf.NUMBERVALUE('Procyclean BIO'!C144,".",","),IFERROR(_xludf.NUMBERVALUE('Procyclean BIO'!C144,",","."),0))))</f>
        <v/>
      </c>
      <c r="AE143" t="str">
        <f>IF(AA143="","",'Procyclean BIO'!J144)</f>
        <v/>
      </c>
      <c r="AF143">
        <f t="shared" si="29"/>
        <v>0</v>
      </c>
      <c r="AG143" t="str">
        <f t="shared" si="30"/>
        <v/>
      </c>
      <c r="AH143" t="str">
        <f t="shared" si="31"/>
        <v/>
      </c>
      <c r="AI143">
        <f t="shared" si="32"/>
        <v>0</v>
      </c>
      <c r="AJ143">
        <f t="shared" si="33"/>
        <v>0</v>
      </c>
      <c r="AK143">
        <v>0</v>
      </c>
      <c r="AL143" t="str">
        <f>IF(AA143="","",IFERROR(IF(ISNUMBER('Procyclean BIO'!D144),'Procyclean BIO'!D144,IF(ISNUMBER(SEARCH("12",'Procyclean BIO'!D144)),EDATE(AB143,12),IF(ISNUMBER(SEARCH("6",'Procyclean BIO'!D144)),EDATE(AB143,6),IF(ISNUMBER(SEARCH("3",'Procyclean BIO'!D144)),EDATE(AB143,3),DATEVALUE('Procyclean BIO'!D144))))),""))</f>
        <v/>
      </c>
      <c r="AM143" t="str">
        <f t="shared" ca="1" si="34"/>
        <v/>
      </c>
    </row>
    <row r="144" spans="27:39" x14ac:dyDescent="0.3">
      <c r="AA144" t="str">
        <f>IF(COUNTA('Procyclean BIO'!A145,'Procyclean BIO'!B145,'Procyclean BIO'!C145)&gt;0,"BIO","")</f>
        <v/>
      </c>
      <c r="AB144" t="str">
        <f>IFERROR(IF(ISNUMBER('Procyclean BIO'!A145),'Procyclean BIO'!A145,DATEVALUE('Procyclean BIO'!A145)),"")</f>
        <v/>
      </c>
      <c r="AC144" t="str">
        <f>IF(AA144="","",'Procyclean BIO'!B145)</f>
        <v/>
      </c>
      <c r="AD144" t="str">
        <f>IF(AA144="","",IFERROR(1*'Procyclean BIO'!C145,IFERROR(_xludf.NUMBERVALUE('Procyclean BIO'!C145,".",","),IFERROR(_xludf.NUMBERVALUE('Procyclean BIO'!C145,",","."),0))))</f>
        <v/>
      </c>
      <c r="AE144" t="str">
        <f>IF(AA144="","",'Procyclean BIO'!J145)</f>
        <v/>
      </c>
      <c r="AF144">
        <f t="shared" si="29"/>
        <v>0</v>
      </c>
      <c r="AG144" t="str">
        <f t="shared" si="30"/>
        <v/>
      </c>
      <c r="AH144" t="str">
        <f t="shared" si="31"/>
        <v/>
      </c>
      <c r="AI144">
        <f t="shared" si="32"/>
        <v>0</v>
      </c>
      <c r="AJ144">
        <f t="shared" si="33"/>
        <v>0</v>
      </c>
      <c r="AK144">
        <v>0</v>
      </c>
      <c r="AL144" t="str">
        <f>IF(AA144="","",IFERROR(IF(ISNUMBER('Procyclean BIO'!D145),'Procyclean BIO'!D145,IF(ISNUMBER(SEARCH("12",'Procyclean BIO'!D145)),EDATE(AB144,12),IF(ISNUMBER(SEARCH("6",'Procyclean BIO'!D145)),EDATE(AB144,6),IF(ISNUMBER(SEARCH("3",'Procyclean BIO'!D145)),EDATE(AB144,3),DATEVALUE('Procyclean BIO'!D145))))),""))</f>
        <v/>
      </c>
      <c r="AM144" t="str">
        <f t="shared" ca="1" si="34"/>
        <v/>
      </c>
    </row>
    <row r="145" spans="27:39" x14ac:dyDescent="0.3">
      <c r="AA145" t="str">
        <f>IF(COUNTA('Procyclean BIO'!A146,'Procyclean BIO'!B146,'Procyclean BIO'!C146)&gt;0,"BIO","")</f>
        <v/>
      </c>
      <c r="AB145" t="str">
        <f>IFERROR(IF(ISNUMBER('Procyclean BIO'!A146),'Procyclean BIO'!A146,DATEVALUE('Procyclean BIO'!A146)),"")</f>
        <v/>
      </c>
      <c r="AC145" t="str">
        <f>IF(AA145="","",'Procyclean BIO'!B146)</f>
        <v/>
      </c>
      <c r="AD145" t="str">
        <f>IF(AA145="","",IFERROR(1*'Procyclean BIO'!C146,IFERROR(_xludf.NUMBERVALUE('Procyclean BIO'!C146,".",","),IFERROR(_xludf.NUMBERVALUE('Procyclean BIO'!C146,",","."),0))))</f>
        <v/>
      </c>
      <c r="AE145" t="str">
        <f>IF(AA145="","",'Procyclean BIO'!J146)</f>
        <v/>
      </c>
      <c r="AF145">
        <f t="shared" si="29"/>
        <v>0</v>
      </c>
      <c r="AG145" t="str">
        <f t="shared" si="30"/>
        <v/>
      </c>
      <c r="AH145" t="str">
        <f t="shared" si="31"/>
        <v/>
      </c>
      <c r="AI145">
        <f t="shared" si="32"/>
        <v>0</v>
      </c>
      <c r="AJ145">
        <f t="shared" si="33"/>
        <v>0</v>
      </c>
      <c r="AK145">
        <v>0</v>
      </c>
      <c r="AL145" t="str">
        <f>IF(AA145="","",IFERROR(IF(ISNUMBER('Procyclean BIO'!D146),'Procyclean BIO'!D146,IF(ISNUMBER(SEARCH("12",'Procyclean BIO'!D146)),EDATE(AB145,12),IF(ISNUMBER(SEARCH("6",'Procyclean BIO'!D146)),EDATE(AB145,6),IF(ISNUMBER(SEARCH("3",'Procyclean BIO'!D146)),EDATE(AB145,3),DATEVALUE('Procyclean BIO'!D146))))),""))</f>
        <v/>
      </c>
      <c r="AM145" t="str">
        <f t="shared" ca="1" si="34"/>
        <v/>
      </c>
    </row>
    <row r="146" spans="27:39" x14ac:dyDescent="0.3">
      <c r="AA146" t="str">
        <f>IF(COUNTA('Procyclean BIO'!A147,'Procyclean BIO'!B147,'Procyclean BIO'!C147)&gt;0,"BIO","")</f>
        <v/>
      </c>
      <c r="AB146" t="str">
        <f>IFERROR(IF(ISNUMBER('Procyclean BIO'!A147),'Procyclean BIO'!A147,DATEVALUE('Procyclean BIO'!A147)),"")</f>
        <v/>
      </c>
      <c r="AC146" t="str">
        <f>IF(AA146="","",'Procyclean BIO'!B147)</f>
        <v/>
      </c>
      <c r="AD146" t="str">
        <f>IF(AA146="","",IFERROR(1*'Procyclean BIO'!C147,IFERROR(_xludf.NUMBERVALUE('Procyclean BIO'!C147,".",","),IFERROR(_xludf.NUMBERVALUE('Procyclean BIO'!C147,",","."),0))))</f>
        <v/>
      </c>
      <c r="AE146" t="str">
        <f>IF(AA146="","",'Procyclean BIO'!J147)</f>
        <v/>
      </c>
      <c r="AF146">
        <f t="shared" si="29"/>
        <v>0</v>
      </c>
      <c r="AG146" t="str">
        <f t="shared" si="30"/>
        <v/>
      </c>
      <c r="AH146" t="str">
        <f t="shared" si="31"/>
        <v/>
      </c>
      <c r="AI146">
        <f t="shared" si="32"/>
        <v>0</v>
      </c>
      <c r="AJ146">
        <f t="shared" si="33"/>
        <v>0</v>
      </c>
      <c r="AK146">
        <v>0</v>
      </c>
      <c r="AL146" t="str">
        <f>IF(AA146="","",IFERROR(IF(ISNUMBER('Procyclean BIO'!D147),'Procyclean BIO'!D147,IF(ISNUMBER(SEARCH("12",'Procyclean BIO'!D147)),EDATE(AB146,12),IF(ISNUMBER(SEARCH("6",'Procyclean BIO'!D147)),EDATE(AB146,6),IF(ISNUMBER(SEARCH("3",'Procyclean BIO'!D147)),EDATE(AB146,3),DATEVALUE('Procyclean BIO'!D147))))),""))</f>
        <v/>
      </c>
      <c r="AM146" t="str">
        <f t="shared" ca="1" si="34"/>
        <v/>
      </c>
    </row>
    <row r="147" spans="27:39" x14ac:dyDescent="0.3">
      <c r="AA147" t="str">
        <f>IF(COUNTA('Procyclean BIO'!A148,'Procyclean BIO'!B148,'Procyclean BIO'!C148)&gt;0,"BIO","")</f>
        <v/>
      </c>
      <c r="AB147" t="str">
        <f>IFERROR(IF(ISNUMBER('Procyclean BIO'!A148),'Procyclean BIO'!A148,DATEVALUE('Procyclean BIO'!A148)),"")</f>
        <v/>
      </c>
      <c r="AC147" t="str">
        <f>IF(AA147="","",'Procyclean BIO'!B148)</f>
        <v/>
      </c>
      <c r="AD147" t="str">
        <f>IF(AA147="","",IFERROR(1*'Procyclean BIO'!C148,IFERROR(_xludf.NUMBERVALUE('Procyclean BIO'!C148,".",","),IFERROR(_xludf.NUMBERVALUE('Procyclean BIO'!C148,",","."),0))))</f>
        <v/>
      </c>
      <c r="AE147" t="str">
        <f>IF(AA147="","",'Procyclean BIO'!J148)</f>
        <v/>
      </c>
      <c r="AF147">
        <f t="shared" si="29"/>
        <v>0</v>
      </c>
      <c r="AG147" t="str">
        <f t="shared" si="30"/>
        <v/>
      </c>
      <c r="AH147" t="str">
        <f t="shared" si="31"/>
        <v/>
      </c>
      <c r="AI147">
        <f t="shared" si="32"/>
        <v>0</v>
      </c>
      <c r="AJ147">
        <f t="shared" si="33"/>
        <v>0</v>
      </c>
      <c r="AK147">
        <v>0</v>
      </c>
      <c r="AL147" t="str">
        <f>IF(AA147="","",IFERROR(IF(ISNUMBER('Procyclean BIO'!D148),'Procyclean BIO'!D148,IF(ISNUMBER(SEARCH("12",'Procyclean BIO'!D148)),EDATE(AB147,12),IF(ISNUMBER(SEARCH("6",'Procyclean BIO'!D148)),EDATE(AB147,6),IF(ISNUMBER(SEARCH("3",'Procyclean BIO'!D148)),EDATE(AB147,3),DATEVALUE('Procyclean BIO'!D148))))),""))</f>
        <v/>
      </c>
      <c r="AM147" t="str">
        <f t="shared" ca="1" si="34"/>
        <v/>
      </c>
    </row>
    <row r="148" spans="27:39" x14ac:dyDescent="0.3">
      <c r="AA148" t="str">
        <f>IF(COUNTA('Procyclean BIO'!A149,'Procyclean BIO'!B149,'Procyclean BIO'!C149)&gt;0,"BIO","")</f>
        <v/>
      </c>
      <c r="AB148" t="str">
        <f>IFERROR(IF(ISNUMBER('Procyclean BIO'!A149),'Procyclean BIO'!A149,DATEVALUE('Procyclean BIO'!A149)),"")</f>
        <v/>
      </c>
      <c r="AC148" t="str">
        <f>IF(AA148="","",'Procyclean BIO'!B149)</f>
        <v/>
      </c>
      <c r="AD148" t="str">
        <f>IF(AA148="","",IFERROR(1*'Procyclean BIO'!C149,IFERROR(_xludf.NUMBERVALUE('Procyclean BIO'!C149,".",","),IFERROR(_xludf.NUMBERVALUE('Procyclean BIO'!C149,",","."),0))))</f>
        <v/>
      </c>
      <c r="AE148" t="str">
        <f>IF(AA148="","",'Procyclean BIO'!J149)</f>
        <v/>
      </c>
      <c r="AF148">
        <f t="shared" si="29"/>
        <v>0</v>
      </c>
      <c r="AG148" t="str">
        <f t="shared" si="30"/>
        <v/>
      </c>
      <c r="AH148" t="str">
        <f t="shared" si="31"/>
        <v/>
      </c>
      <c r="AI148">
        <f t="shared" si="32"/>
        <v>0</v>
      </c>
      <c r="AJ148">
        <f t="shared" si="33"/>
        <v>0</v>
      </c>
      <c r="AK148">
        <v>0</v>
      </c>
      <c r="AL148" t="str">
        <f>IF(AA148="","",IFERROR(IF(ISNUMBER('Procyclean BIO'!D149),'Procyclean BIO'!D149,IF(ISNUMBER(SEARCH("12",'Procyclean BIO'!D149)),EDATE(AB148,12),IF(ISNUMBER(SEARCH("6",'Procyclean BIO'!D149)),EDATE(AB148,6),IF(ISNUMBER(SEARCH("3",'Procyclean BIO'!D149)),EDATE(AB148,3),DATEVALUE('Procyclean BIO'!D149))))),""))</f>
        <v/>
      </c>
      <c r="AM148" t="str">
        <f t="shared" ca="1" si="34"/>
        <v/>
      </c>
    </row>
    <row r="149" spans="27:39" x14ac:dyDescent="0.3">
      <c r="AA149" t="str">
        <f>IF(COUNTA('Procyclean BIO'!A150,'Procyclean BIO'!B150,'Procyclean BIO'!C150)&gt;0,"BIO","")</f>
        <v/>
      </c>
      <c r="AB149" t="str">
        <f>IFERROR(IF(ISNUMBER('Procyclean BIO'!A150),'Procyclean BIO'!A150,DATEVALUE('Procyclean BIO'!A150)),"")</f>
        <v/>
      </c>
      <c r="AC149" t="str">
        <f>IF(AA149="","",'Procyclean BIO'!B150)</f>
        <v/>
      </c>
      <c r="AD149" t="str">
        <f>IF(AA149="","",IFERROR(1*'Procyclean BIO'!C150,IFERROR(_xludf.NUMBERVALUE('Procyclean BIO'!C150,".",","),IFERROR(_xludf.NUMBERVALUE('Procyclean BIO'!C150,",","."),0))))</f>
        <v/>
      </c>
      <c r="AE149" t="str">
        <f>IF(AA149="","",'Procyclean BIO'!J150)</f>
        <v/>
      </c>
      <c r="AF149">
        <f t="shared" si="29"/>
        <v>0</v>
      </c>
      <c r="AG149" t="str">
        <f t="shared" si="30"/>
        <v/>
      </c>
      <c r="AH149" t="str">
        <f t="shared" si="31"/>
        <v/>
      </c>
      <c r="AI149">
        <f t="shared" si="32"/>
        <v>0</v>
      </c>
      <c r="AJ149">
        <f t="shared" si="33"/>
        <v>0</v>
      </c>
      <c r="AK149">
        <v>0</v>
      </c>
      <c r="AL149" t="str">
        <f>IF(AA149="","",IFERROR(IF(ISNUMBER('Procyclean BIO'!D150),'Procyclean BIO'!D150,IF(ISNUMBER(SEARCH("12",'Procyclean BIO'!D150)),EDATE(AB149,12),IF(ISNUMBER(SEARCH("6",'Procyclean BIO'!D150)),EDATE(AB149,6),IF(ISNUMBER(SEARCH("3",'Procyclean BIO'!D150)),EDATE(AB149,3),DATEVALUE('Procyclean BIO'!D150))))),""))</f>
        <v/>
      </c>
      <c r="AM149" t="str">
        <f t="shared" ca="1" si="34"/>
        <v/>
      </c>
    </row>
    <row r="150" spans="27:39" x14ac:dyDescent="0.3">
      <c r="AA150" t="str">
        <f>IF(COUNTA('Procyclean BIO'!A151,'Procyclean BIO'!B151,'Procyclean BIO'!C151)&gt;0,"BIO","")</f>
        <v/>
      </c>
      <c r="AB150" t="str">
        <f>IFERROR(IF(ISNUMBER('Procyclean BIO'!A151),'Procyclean BIO'!A151,DATEVALUE('Procyclean BIO'!A151)),"")</f>
        <v/>
      </c>
      <c r="AC150" t="str">
        <f>IF(AA150="","",'Procyclean BIO'!B151)</f>
        <v/>
      </c>
      <c r="AD150" t="str">
        <f>IF(AA150="","",IFERROR(1*'Procyclean BIO'!C151,IFERROR(_xludf.NUMBERVALUE('Procyclean BIO'!C151,".",","),IFERROR(_xludf.NUMBERVALUE('Procyclean BIO'!C151,",","."),0))))</f>
        <v/>
      </c>
      <c r="AE150" t="str">
        <f>IF(AA150="","",'Procyclean BIO'!J151)</f>
        <v/>
      </c>
      <c r="AF150">
        <f t="shared" si="29"/>
        <v>0</v>
      </c>
      <c r="AG150" t="str">
        <f t="shared" si="30"/>
        <v/>
      </c>
      <c r="AH150" t="str">
        <f t="shared" si="31"/>
        <v/>
      </c>
      <c r="AI150">
        <f t="shared" si="32"/>
        <v>0</v>
      </c>
      <c r="AJ150">
        <f t="shared" si="33"/>
        <v>0</v>
      </c>
      <c r="AK150">
        <v>0</v>
      </c>
      <c r="AL150" t="str">
        <f>IF(AA150="","",IFERROR(IF(ISNUMBER('Procyclean BIO'!D151),'Procyclean BIO'!D151,IF(ISNUMBER(SEARCH("12",'Procyclean BIO'!D151)),EDATE(AB150,12),IF(ISNUMBER(SEARCH("6",'Procyclean BIO'!D151)),EDATE(AB150,6),IF(ISNUMBER(SEARCH("3",'Procyclean BIO'!D151)),EDATE(AB150,3),DATEVALUE('Procyclean BIO'!D151))))),""))</f>
        <v/>
      </c>
      <c r="AM150" t="str">
        <f t="shared" ca="1" si="34"/>
        <v/>
      </c>
    </row>
    <row r="151" spans="27:39" x14ac:dyDescent="0.3">
      <c r="AA151" t="str">
        <f>IF(COUNTA('Procyclean BIO'!A152,'Procyclean BIO'!B152,'Procyclean BIO'!C152)&gt;0,"BIO","")</f>
        <v/>
      </c>
      <c r="AB151" t="str">
        <f>IFERROR(IF(ISNUMBER('Procyclean BIO'!A152),'Procyclean BIO'!A152,DATEVALUE('Procyclean BIO'!A152)),"")</f>
        <v/>
      </c>
      <c r="AC151" t="str">
        <f>IF(AA151="","",'Procyclean BIO'!B152)</f>
        <v/>
      </c>
      <c r="AD151" t="str">
        <f>IF(AA151="","",IFERROR(1*'Procyclean BIO'!C152,IFERROR(_xludf.NUMBERVALUE('Procyclean BIO'!C152,".",","),IFERROR(_xludf.NUMBERVALUE('Procyclean BIO'!C152,",","."),0))))</f>
        <v/>
      </c>
      <c r="AE151" t="str">
        <f>IF(AA151="","",'Procyclean BIO'!J152)</f>
        <v/>
      </c>
      <c r="AF151">
        <f t="shared" si="29"/>
        <v>0</v>
      </c>
      <c r="AG151" t="str">
        <f t="shared" si="30"/>
        <v/>
      </c>
      <c r="AH151" t="str">
        <f t="shared" si="31"/>
        <v/>
      </c>
      <c r="AI151">
        <f t="shared" si="32"/>
        <v>0</v>
      </c>
      <c r="AJ151">
        <f t="shared" si="33"/>
        <v>0</v>
      </c>
      <c r="AK151">
        <v>0</v>
      </c>
      <c r="AL151" t="str">
        <f>IF(AA151="","",IFERROR(IF(ISNUMBER('Procyclean BIO'!D152),'Procyclean BIO'!D152,IF(ISNUMBER(SEARCH("12",'Procyclean BIO'!D152)),EDATE(AB151,12),IF(ISNUMBER(SEARCH("6",'Procyclean BIO'!D152)),EDATE(AB151,6),IF(ISNUMBER(SEARCH("3",'Procyclean BIO'!D152)),EDATE(AB151,3),DATEVALUE('Procyclean BIO'!D152))))),""))</f>
        <v/>
      </c>
      <c r="AM151" t="str">
        <f t="shared" ca="1" si="34"/>
        <v/>
      </c>
    </row>
    <row r="152" spans="27:39" x14ac:dyDescent="0.3">
      <c r="AA152" t="str">
        <f>IF(COUNTA('Procyclean BIO'!A153,'Procyclean BIO'!B153,'Procyclean BIO'!C153)&gt;0,"BIO","")</f>
        <v/>
      </c>
      <c r="AB152" t="str">
        <f>IFERROR(IF(ISNUMBER('Procyclean BIO'!A153),'Procyclean BIO'!A153,DATEVALUE('Procyclean BIO'!A153)),"")</f>
        <v/>
      </c>
      <c r="AC152" t="str">
        <f>IF(AA152="","",'Procyclean BIO'!B153)</f>
        <v/>
      </c>
      <c r="AD152" t="str">
        <f>IF(AA152="","",IFERROR(1*'Procyclean BIO'!C153,IFERROR(_xludf.NUMBERVALUE('Procyclean BIO'!C153,".",","),IFERROR(_xludf.NUMBERVALUE('Procyclean BIO'!C153,",","."),0))))</f>
        <v/>
      </c>
      <c r="AE152" t="str">
        <f>IF(AA152="","",'Procyclean BIO'!J153)</f>
        <v/>
      </c>
      <c r="AF152">
        <f t="shared" si="29"/>
        <v>0</v>
      </c>
      <c r="AG152" t="str">
        <f t="shared" si="30"/>
        <v/>
      </c>
      <c r="AH152" t="str">
        <f t="shared" si="31"/>
        <v/>
      </c>
      <c r="AI152">
        <f t="shared" si="32"/>
        <v>0</v>
      </c>
      <c r="AJ152">
        <f t="shared" si="33"/>
        <v>0</v>
      </c>
      <c r="AK152">
        <v>0</v>
      </c>
      <c r="AL152" t="str">
        <f>IF(AA152="","",IFERROR(IF(ISNUMBER('Procyclean BIO'!D153),'Procyclean BIO'!D153,IF(ISNUMBER(SEARCH("12",'Procyclean BIO'!D153)),EDATE(AB152,12),IF(ISNUMBER(SEARCH("6",'Procyclean BIO'!D153)),EDATE(AB152,6),IF(ISNUMBER(SEARCH("3",'Procyclean BIO'!D153)),EDATE(AB152,3),DATEVALUE('Procyclean BIO'!D153))))),""))</f>
        <v/>
      </c>
      <c r="AM152" t="str">
        <f t="shared" ca="1" si="34"/>
        <v/>
      </c>
    </row>
    <row r="153" spans="27:39" x14ac:dyDescent="0.3">
      <c r="AA153" t="str">
        <f>IF(COUNTA('Procyclean BIO'!A154,'Procyclean BIO'!B154,'Procyclean BIO'!C154)&gt;0,"BIO","")</f>
        <v/>
      </c>
      <c r="AB153" t="str">
        <f>IFERROR(IF(ISNUMBER('Procyclean BIO'!A154),'Procyclean BIO'!A154,DATEVALUE('Procyclean BIO'!A154)),"")</f>
        <v/>
      </c>
      <c r="AC153" t="str">
        <f>IF(AA153="","",'Procyclean BIO'!B154)</f>
        <v/>
      </c>
      <c r="AD153" t="str">
        <f>IF(AA153="","",IFERROR(1*'Procyclean BIO'!C154,IFERROR(_xludf.NUMBERVALUE('Procyclean BIO'!C154,".",","),IFERROR(_xludf.NUMBERVALUE('Procyclean BIO'!C154,",","."),0))))</f>
        <v/>
      </c>
      <c r="AE153" t="str">
        <f>IF(AA153="","",'Procyclean BIO'!J154)</f>
        <v/>
      </c>
      <c r="AF153">
        <f t="shared" si="29"/>
        <v>0</v>
      </c>
      <c r="AG153" t="str">
        <f t="shared" si="30"/>
        <v/>
      </c>
      <c r="AH153" t="str">
        <f t="shared" si="31"/>
        <v/>
      </c>
      <c r="AI153">
        <f t="shared" si="32"/>
        <v>0</v>
      </c>
      <c r="AJ153">
        <f t="shared" si="33"/>
        <v>0</v>
      </c>
      <c r="AK153">
        <v>0</v>
      </c>
      <c r="AL153" t="str">
        <f>IF(AA153="","",IFERROR(IF(ISNUMBER('Procyclean BIO'!D154),'Procyclean BIO'!D154,IF(ISNUMBER(SEARCH("12",'Procyclean BIO'!D154)),EDATE(AB153,12),IF(ISNUMBER(SEARCH("6",'Procyclean BIO'!D154)),EDATE(AB153,6),IF(ISNUMBER(SEARCH("3",'Procyclean BIO'!D154)),EDATE(AB153,3),DATEVALUE('Procyclean BIO'!D154))))),""))</f>
        <v/>
      </c>
      <c r="AM153" t="str">
        <f t="shared" ca="1" si="34"/>
        <v/>
      </c>
    </row>
    <row r="154" spans="27:39" x14ac:dyDescent="0.3">
      <c r="AA154" t="str">
        <f>IF(COUNTA('Procyclean BIO'!A155,'Procyclean BIO'!B155,'Procyclean BIO'!C155)&gt;0,"BIO","")</f>
        <v/>
      </c>
      <c r="AB154" t="str">
        <f>IFERROR(IF(ISNUMBER('Procyclean BIO'!A155),'Procyclean BIO'!A155,DATEVALUE('Procyclean BIO'!A155)),"")</f>
        <v/>
      </c>
      <c r="AC154" t="str">
        <f>IF(AA154="","",'Procyclean BIO'!B155)</f>
        <v/>
      </c>
      <c r="AD154" t="str">
        <f>IF(AA154="","",IFERROR(1*'Procyclean BIO'!C155,IFERROR(_xludf.NUMBERVALUE('Procyclean BIO'!C155,".",","),IFERROR(_xludf.NUMBERVALUE('Procyclean BIO'!C155,",","."),0))))</f>
        <v/>
      </c>
      <c r="AE154" t="str">
        <f>IF(AA154="","",'Procyclean BIO'!J155)</f>
        <v/>
      </c>
      <c r="AF154">
        <f t="shared" si="29"/>
        <v>0</v>
      </c>
      <c r="AG154" t="str">
        <f t="shared" si="30"/>
        <v/>
      </c>
      <c r="AH154" t="str">
        <f t="shared" si="31"/>
        <v/>
      </c>
      <c r="AI154">
        <f t="shared" si="32"/>
        <v>0</v>
      </c>
      <c r="AJ154">
        <f t="shared" si="33"/>
        <v>0</v>
      </c>
      <c r="AK154">
        <v>0</v>
      </c>
      <c r="AL154" t="str">
        <f>IF(AA154="","",IFERROR(IF(ISNUMBER('Procyclean BIO'!D155),'Procyclean BIO'!D155,IF(ISNUMBER(SEARCH("12",'Procyclean BIO'!D155)),EDATE(AB154,12),IF(ISNUMBER(SEARCH("6",'Procyclean BIO'!D155)),EDATE(AB154,6),IF(ISNUMBER(SEARCH("3",'Procyclean BIO'!D155)),EDATE(AB154,3),DATEVALUE('Procyclean BIO'!D155))))),""))</f>
        <v/>
      </c>
      <c r="AM154" t="str">
        <f t="shared" ca="1" si="34"/>
        <v/>
      </c>
    </row>
    <row r="155" spans="27:39" x14ac:dyDescent="0.3">
      <c r="AA155" t="str">
        <f>IF(COUNTA('Procyclean BIO'!A156,'Procyclean BIO'!B156,'Procyclean BIO'!C156)&gt;0,"BIO","")</f>
        <v/>
      </c>
      <c r="AB155" t="str">
        <f>IFERROR(IF(ISNUMBER('Procyclean BIO'!A156),'Procyclean BIO'!A156,DATEVALUE('Procyclean BIO'!A156)),"")</f>
        <v/>
      </c>
      <c r="AC155" t="str">
        <f>IF(AA155="","",'Procyclean BIO'!B156)</f>
        <v/>
      </c>
      <c r="AD155" t="str">
        <f>IF(AA155="","",IFERROR(1*'Procyclean BIO'!C156,IFERROR(_xludf.NUMBERVALUE('Procyclean BIO'!C156,".",","),IFERROR(_xludf.NUMBERVALUE('Procyclean BIO'!C156,",","."),0))))</f>
        <v/>
      </c>
      <c r="AE155" t="str">
        <f>IF(AA155="","",'Procyclean BIO'!J156)</f>
        <v/>
      </c>
      <c r="AF155">
        <f t="shared" si="29"/>
        <v>0</v>
      </c>
      <c r="AG155" t="str">
        <f t="shared" si="30"/>
        <v/>
      </c>
      <c r="AH155" t="str">
        <f t="shared" si="31"/>
        <v/>
      </c>
      <c r="AI155">
        <f t="shared" si="32"/>
        <v>0</v>
      </c>
      <c r="AJ155">
        <f t="shared" si="33"/>
        <v>0</v>
      </c>
      <c r="AK155">
        <v>0</v>
      </c>
      <c r="AL155" t="str">
        <f>IF(AA155="","",IFERROR(IF(ISNUMBER('Procyclean BIO'!D156),'Procyclean BIO'!D156,IF(ISNUMBER(SEARCH("12",'Procyclean BIO'!D156)),EDATE(AB155,12),IF(ISNUMBER(SEARCH("6",'Procyclean BIO'!D156)),EDATE(AB155,6),IF(ISNUMBER(SEARCH("3",'Procyclean BIO'!D156)),EDATE(AB155,3),DATEVALUE('Procyclean BIO'!D156))))),""))</f>
        <v/>
      </c>
      <c r="AM155" t="str">
        <f t="shared" ca="1" si="34"/>
        <v/>
      </c>
    </row>
    <row r="156" spans="27:39" x14ac:dyDescent="0.3">
      <c r="AA156" t="str">
        <f>IF(COUNTA('Procyclean BIO'!A157,'Procyclean BIO'!B157,'Procyclean BIO'!C157)&gt;0,"BIO","")</f>
        <v/>
      </c>
      <c r="AB156" t="str">
        <f>IFERROR(IF(ISNUMBER('Procyclean BIO'!A157),'Procyclean BIO'!A157,DATEVALUE('Procyclean BIO'!A157)),"")</f>
        <v/>
      </c>
      <c r="AC156" t="str">
        <f>IF(AA156="","",'Procyclean BIO'!B157)</f>
        <v/>
      </c>
      <c r="AD156" t="str">
        <f>IF(AA156="","",IFERROR(1*'Procyclean BIO'!C157,IFERROR(_xludf.NUMBERVALUE('Procyclean BIO'!C157,".",","),IFERROR(_xludf.NUMBERVALUE('Procyclean BIO'!C157,",","."),0))))</f>
        <v/>
      </c>
      <c r="AE156" t="str">
        <f>IF(AA156="","",'Procyclean BIO'!J157)</f>
        <v/>
      </c>
      <c r="AF156">
        <f t="shared" si="29"/>
        <v>0</v>
      </c>
      <c r="AG156" t="str">
        <f t="shared" si="30"/>
        <v/>
      </c>
      <c r="AH156" t="str">
        <f t="shared" si="31"/>
        <v/>
      </c>
      <c r="AI156">
        <f t="shared" si="32"/>
        <v>0</v>
      </c>
      <c r="AJ156">
        <f t="shared" si="33"/>
        <v>0</v>
      </c>
      <c r="AK156">
        <v>0</v>
      </c>
      <c r="AL156" t="str">
        <f>IF(AA156="","",IFERROR(IF(ISNUMBER('Procyclean BIO'!D157),'Procyclean BIO'!D157,IF(ISNUMBER(SEARCH("12",'Procyclean BIO'!D157)),EDATE(AB156,12),IF(ISNUMBER(SEARCH("6",'Procyclean BIO'!D157)),EDATE(AB156,6),IF(ISNUMBER(SEARCH("3",'Procyclean BIO'!D157)),EDATE(AB156,3),DATEVALUE('Procyclean BIO'!D157))))),""))</f>
        <v/>
      </c>
      <c r="AM156" t="str">
        <f t="shared" ca="1" si="34"/>
        <v/>
      </c>
    </row>
    <row r="157" spans="27:39" x14ac:dyDescent="0.3">
      <c r="AA157" t="str">
        <f>IF(COUNTA('Procyclean BIO'!A158,'Procyclean BIO'!B158,'Procyclean BIO'!C158)&gt;0,"BIO","")</f>
        <v/>
      </c>
      <c r="AB157" t="str">
        <f>IFERROR(IF(ISNUMBER('Procyclean BIO'!A158),'Procyclean BIO'!A158,DATEVALUE('Procyclean BIO'!A158)),"")</f>
        <v/>
      </c>
      <c r="AC157" t="str">
        <f>IF(AA157="","",'Procyclean BIO'!B158)</f>
        <v/>
      </c>
      <c r="AD157" t="str">
        <f>IF(AA157="","",IFERROR(1*'Procyclean BIO'!C158,IFERROR(_xludf.NUMBERVALUE('Procyclean BIO'!C158,".",","),IFERROR(_xludf.NUMBERVALUE('Procyclean BIO'!C158,",","."),0))))</f>
        <v/>
      </c>
      <c r="AE157" t="str">
        <f>IF(AA157="","",'Procyclean BIO'!J158)</f>
        <v/>
      </c>
      <c r="AF157">
        <f t="shared" si="29"/>
        <v>0</v>
      </c>
      <c r="AG157" t="str">
        <f t="shared" si="30"/>
        <v/>
      </c>
      <c r="AH157" t="str">
        <f t="shared" si="31"/>
        <v/>
      </c>
      <c r="AI157">
        <f t="shared" si="32"/>
        <v>0</v>
      </c>
      <c r="AJ157">
        <f t="shared" si="33"/>
        <v>0</v>
      </c>
      <c r="AK157">
        <v>0</v>
      </c>
      <c r="AL157" t="str">
        <f>IF(AA157="","",IFERROR(IF(ISNUMBER('Procyclean BIO'!D158),'Procyclean BIO'!D158,IF(ISNUMBER(SEARCH("12",'Procyclean BIO'!D158)),EDATE(AB157,12),IF(ISNUMBER(SEARCH("6",'Procyclean BIO'!D158)),EDATE(AB157,6),IF(ISNUMBER(SEARCH("3",'Procyclean BIO'!D158)),EDATE(AB157,3),DATEVALUE('Procyclean BIO'!D158))))),""))</f>
        <v/>
      </c>
      <c r="AM157" t="str">
        <f t="shared" ca="1" si="34"/>
        <v/>
      </c>
    </row>
    <row r="158" spans="27:39" x14ac:dyDescent="0.3">
      <c r="AA158" t="str">
        <f>IF(COUNTA('Procyclean BIO'!A159,'Procyclean BIO'!B159,'Procyclean BIO'!C159)&gt;0,"BIO","")</f>
        <v/>
      </c>
      <c r="AB158" t="str">
        <f>IFERROR(IF(ISNUMBER('Procyclean BIO'!A159),'Procyclean BIO'!A159,DATEVALUE('Procyclean BIO'!A159)),"")</f>
        <v/>
      </c>
      <c r="AC158" t="str">
        <f>IF(AA158="","",'Procyclean BIO'!B159)</f>
        <v/>
      </c>
      <c r="AD158" t="str">
        <f>IF(AA158="","",IFERROR(1*'Procyclean BIO'!C159,IFERROR(_xludf.NUMBERVALUE('Procyclean BIO'!C159,".",","),IFERROR(_xludf.NUMBERVALUE('Procyclean BIO'!C159,",","."),0))))</f>
        <v/>
      </c>
      <c r="AE158" t="str">
        <f>IF(AA158="","",'Procyclean BIO'!J159)</f>
        <v/>
      </c>
      <c r="AF158">
        <f t="shared" si="29"/>
        <v>0</v>
      </c>
      <c r="AG158" t="str">
        <f t="shared" si="30"/>
        <v/>
      </c>
      <c r="AH158" t="str">
        <f t="shared" si="31"/>
        <v/>
      </c>
      <c r="AI158">
        <f t="shared" si="32"/>
        <v>0</v>
      </c>
      <c r="AJ158">
        <f t="shared" si="33"/>
        <v>0</v>
      </c>
      <c r="AK158">
        <v>0</v>
      </c>
      <c r="AL158" t="str">
        <f>IF(AA158="","",IFERROR(IF(ISNUMBER('Procyclean BIO'!D159),'Procyclean BIO'!D159,IF(ISNUMBER(SEARCH("12",'Procyclean BIO'!D159)),EDATE(AB158,12),IF(ISNUMBER(SEARCH("6",'Procyclean BIO'!D159)),EDATE(AB158,6),IF(ISNUMBER(SEARCH("3",'Procyclean BIO'!D159)),EDATE(AB158,3),DATEVALUE('Procyclean BIO'!D159))))),""))</f>
        <v/>
      </c>
      <c r="AM158" t="str">
        <f t="shared" ca="1" si="34"/>
        <v/>
      </c>
    </row>
    <row r="159" spans="27:39" x14ac:dyDescent="0.3">
      <c r="AA159" t="str">
        <f>IF(COUNTA('Procyclean BIO'!A160,'Procyclean BIO'!B160,'Procyclean BIO'!C160)&gt;0,"BIO","")</f>
        <v/>
      </c>
      <c r="AB159" t="str">
        <f>IFERROR(IF(ISNUMBER('Procyclean BIO'!A160),'Procyclean BIO'!A160,DATEVALUE('Procyclean BIO'!A160)),"")</f>
        <v/>
      </c>
      <c r="AC159" t="str">
        <f>IF(AA159="","",'Procyclean BIO'!B160)</f>
        <v/>
      </c>
      <c r="AD159" t="str">
        <f>IF(AA159="","",IFERROR(1*'Procyclean BIO'!C160,IFERROR(_xludf.NUMBERVALUE('Procyclean BIO'!C160,".",","),IFERROR(_xludf.NUMBERVALUE('Procyclean BIO'!C160,",","."),0))))</f>
        <v/>
      </c>
      <c r="AE159" t="str">
        <f>IF(AA159="","",'Procyclean BIO'!J160)</f>
        <v/>
      </c>
      <c r="AF159">
        <f t="shared" si="29"/>
        <v>0</v>
      </c>
      <c r="AG159" t="str">
        <f t="shared" si="30"/>
        <v/>
      </c>
      <c r="AH159" t="str">
        <f t="shared" si="31"/>
        <v/>
      </c>
      <c r="AI159">
        <f t="shared" si="32"/>
        <v>0</v>
      </c>
      <c r="AJ159">
        <f t="shared" si="33"/>
        <v>0</v>
      </c>
      <c r="AK159">
        <v>0</v>
      </c>
      <c r="AL159" t="str">
        <f>IF(AA159="","",IFERROR(IF(ISNUMBER('Procyclean BIO'!D160),'Procyclean BIO'!D160,IF(ISNUMBER(SEARCH("12",'Procyclean BIO'!D160)),EDATE(AB159,12),IF(ISNUMBER(SEARCH("6",'Procyclean BIO'!D160)),EDATE(AB159,6),IF(ISNUMBER(SEARCH("3",'Procyclean BIO'!D160)),EDATE(AB159,3),DATEVALUE('Procyclean BIO'!D160))))),""))</f>
        <v/>
      </c>
      <c r="AM159" t="str">
        <f t="shared" ca="1" si="34"/>
        <v/>
      </c>
    </row>
    <row r="160" spans="27:39" x14ac:dyDescent="0.3">
      <c r="AA160" t="str">
        <f>IF(COUNTA('Procyclean BIO'!A161,'Procyclean BIO'!B161,'Procyclean BIO'!C161)&gt;0,"BIO","")</f>
        <v/>
      </c>
      <c r="AB160" t="str">
        <f>IFERROR(IF(ISNUMBER('Procyclean BIO'!A161),'Procyclean BIO'!A161,DATEVALUE('Procyclean BIO'!A161)),"")</f>
        <v/>
      </c>
      <c r="AC160" t="str">
        <f>IF(AA160="","",'Procyclean BIO'!B161)</f>
        <v/>
      </c>
      <c r="AD160" t="str">
        <f>IF(AA160="","",IFERROR(1*'Procyclean BIO'!C161,IFERROR(_xludf.NUMBERVALUE('Procyclean BIO'!C161,".",","),IFERROR(_xludf.NUMBERVALUE('Procyclean BIO'!C161,",","."),0))))</f>
        <v/>
      </c>
      <c r="AE160" t="str">
        <f>IF(AA160="","",'Procyclean BIO'!J161)</f>
        <v/>
      </c>
      <c r="AF160">
        <f t="shared" si="29"/>
        <v>0</v>
      </c>
      <c r="AG160" t="str">
        <f t="shared" si="30"/>
        <v/>
      </c>
      <c r="AH160" t="str">
        <f t="shared" si="31"/>
        <v/>
      </c>
      <c r="AI160">
        <f t="shared" si="32"/>
        <v>0</v>
      </c>
      <c r="AJ160">
        <f t="shared" si="33"/>
        <v>0</v>
      </c>
      <c r="AK160">
        <v>0</v>
      </c>
      <c r="AL160" t="str">
        <f>IF(AA160="","",IFERROR(IF(ISNUMBER('Procyclean BIO'!D161),'Procyclean BIO'!D161,IF(ISNUMBER(SEARCH("12",'Procyclean BIO'!D161)),EDATE(AB160,12),IF(ISNUMBER(SEARCH("6",'Procyclean BIO'!D161)),EDATE(AB160,6),IF(ISNUMBER(SEARCH("3",'Procyclean BIO'!D161)),EDATE(AB160,3),DATEVALUE('Procyclean BIO'!D161))))),""))</f>
        <v/>
      </c>
      <c r="AM160" t="str">
        <f t="shared" ca="1" si="34"/>
        <v/>
      </c>
    </row>
    <row r="161" spans="27:39" x14ac:dyDescent="0.3">
      <c r="AA161" t="str">
        <f>IF(COUNTA('Procyclean BIO'!A162,'Procyclean BIO'!B162,'Procyclean BIO'!C162)&gt;0,"BIO","")</f>
        <v/>
      </c>
      <c r="AB161" t="str">
        <f>IFERROR(IF(ISNUMBER('Procyclean BIO'!A162),'Procyclean BIO'!A162,DATEVALUE('Procyclean BIO'!A162)),"")</f>
        <v/>
      </c>
      <c r="AC161" t="str">
        <f>IF(AA161="","",'Procyclean BIO'!B162)</f>
        <v/>
      </c>
      <c r="AD161" t="str">
        <f>IF(AA161="","",IFERROR(1*'Procyclean BIO'!C162,IFERROR(_xludf.NUMBERVALUE('Procyclean BIO'!C162,".",","),IFERROR(_xludf.NUMBERVALUE('Procyclean BIO'!C162,",","."),0))))</f>
        <v/>
      </c>
      <c r="AE161" t="str">
        <f>IF(AA161="","",'Procyclean BIO'!J162)</f>
        <v/>
      </c>
      <c r="AF161">
        <f t="shared" si="29"/>
        <v>0</v>
      </c>
      <c r="AG161" t="str">
        <f t="shared" si="30"/>
        <v/>
      </c>
      <c r="AH161" t="str">
        <f t="shared" si="31"/>
        <v/>
      </c>
      <c r="AI161">
        <f t="shared" si="32"/>
        <v>0</v>
      </c>
      <c r="AJ161">
        <f t="shared" si="33"/>
        <v>0</v>
      </c>
      <c r="AK161">
        <v>0</v>
      </c>
      <c r="AL161" t="str">
        <f>IF(AA161="","",IFERROR(IF(ISNUMBER('Procyclean BIO'!D162),'Procyclean BIO'!D162,IF(ISNUMBER(SEARCH("12",'Procyclean BIO'!D162)),EDATE(AB161,12),IF(ISNUMBER(SEARCH("6",'Procyclean BIO'!D162)),EDATE(AB161,6),IF(ISNUMBER(SEARCH("3",'Procyclean BIO'!D162)),EDATE(AB161,3),DATEVALUE('Procyclean BIO'!D162))))),""))</f>
        <v/>
      </c>
      <c r="AM161" t="str">
        <f t="shared" ca="1" si="34"/>
        <v/>
      </c>
    </row>
    <row r="162" spans="27:39" x14ac:dyDescent="0.3">
      <c r="AA162" t="str">
        <f>IF(COUNTA('Procyclean BIO'!A163,'Procyclean BIO'!B163,'Procyclean BIO'!C163)&gt;0,"BIO","")</f>
        <v/>
      </c>
      <c r="AB162" t="str">
        <f>IFERROR(IF(ISNUMBER('Procyclean BIO'!A163),'Procyclean BIO'!A163,DATEVALUE('Procyclean BIO'!A163)),"")</f>
        <v/>
      </c>
      <c r="AC162" t="str">
        <f>IF(AA162="","",'Procyclean BIO'!B163)</f>
        <v/>
      </c>
      <c r="AD162" t="str">
        <f>IF(AA162="","",IFERROR(1*'Procyclean BIO'!C163,IFERROR(_xludf.NUMBERVALUE('Procyclean BIO'!C163,".",","),IFERROR(_xludf.NUMBERVALUE('Procyclean BIO'!C163,",","."),0))))</f>
        <v/>
      </c>
      <c r="AE162" t="str">
        <f>IF(AA162="","",'Procyclean BIO'!J163)</f>
        <v/>
      </c>
      <c r="AF162">
        <f t="shared" si="29"/>
        <v>0</v>
      </c>
      <c r="AG162" t="str">
        <f t="shared" si="30"/>
        <v/>
      </c>
      <c r="AH162" t="str">
        <f t="shared" si="31"/>
        <v/>
      </c>
      <c r="AI162">
        <f t="shared" si="32"/>
        <v>0</v>
      </c>
      <c r="AJ162">
        <f t="shared" si="33"/>
        <v>0</v>
      </c>
      <c r="AK162">
        <v>0</v>
      </c>
      <c r="AL162" t="str">
        <f>IF(AA162="","",IFERROR(IF(ISNUMBER('Procyclean BIO'!D163),'Procyclean BIO'!D163,IF(ISNUMBER(SEARCH("12",'Procyclean BIO'!D163)),EDATE(AB162,12),IF(ISNUMBER(SEARCH("6",'Procyclean BIO'!D163)),EDATE(AB162,6),IF(ISNUMBER(SEARCH("3",'Procyclean BIO'!D163)),EDATE(AB162,3),DATEVALUE('Procyclean BIO'!D163))))),""))</f>
        <v/>
      </c>
      <c r="AM162" t="str">
        <f t="shared" ca="1" si="34"/>
        <v/>
      </c>
    </row>
    <row r="163" spans="27:39" x14ac:dyDescent="0.3">
      <c r="AA163" t="str">
        <f>IF(COUNTA('Procyclean BIO'!A164,'Procyclean BIO'!B164,'Procyclean BIO'!C164)&gt;0,"BIO","")</f>
        <v/>
      </c>
      <c r="AB163" t="str">
        <f>IFERROR(IF(ISNUMBER('Procyclean BIO'!A164),'Procyclean BIO'!A164,DATEVALUE('Procyclean BIO'!A164)),"")</f>
        <v/>
      </c>
      <c r="AC163" t="str">
        <f>IF(AA163="","",'Procyclean BIO'!B164)</f>
        <v/>
      </c>
      <c r="AD163" t="str">
        <f>IF(AA163="","",IFERROR(1*'Procyclean BIO'!C164,IFERROR(_xludf.NUMBERVALUE('Procyclean BIO'!C164,".",","),IFERROR(_xludf.NUMBERVALUE('Procyclean BIO'!C164,",","."),0))))</f>
        <v/>
      </c>
      <c r="AE163" t="str">
        <f>IF(AA163="","",'Procyclean BIO'!J164)</f>
        <v/>
      </c>
      <c r="AF163">
        <f t="shared" si="29"/>
        <v>0</v>
      </c>
      <c r="AG163" t="str">
        <f t="shared" si="30"/>
        <v/>
      </c>
      <c r="AH163" t="str">
        <f t="shared" si="31"/>
        <v/>
      </c>
      <c r="AI163">
        <f t="shared" si="32"/>
        <v>0</v>
      </c>
      <c r="AJ163">
        <f t="shared" si="33"/>
        <v>0</v>
      </c>
      <c r="AK163">
        <v>0</v>
      </c>
      <c r="AL163" t="str">
        <f>IF(AA163="","",IFERROR(IF(ISNUMBER('Procyclean BIO'!D164),'Procyclean BIO'!D164,IF(ISNUMBER(SEARCH("12",'Procyclean BIO'!D164)),EDATE(AB163,12),IF(ISNUMBER(SEARCH("6",'Procyclean BIO'!D164)),EDATE(AB163,6),IF(ISNUMBER(SEARCH("3",'Procyclean BIO'!D164)),EDATE(AB163,3),DATEVALUE('Procyclean BIO'!D164))))),""))</f>
        <v/>
      </c>
      <c r="AM163" t="str">
        <f t="shared" ca="1" si="34"/>
        <v/>
      </c>
    </row>
    <row r="164" spans="27:39" x14ac:dyDescent="0.3">
      <c r="AA164" t="str">
        <f>IF(COUNTA('Procyclean BIO'!A165,'Procyclean BIO'!B165,'Procyclean BIO'!C165)&gt;0,"BIO","")</f>
        <v/>
      </c>
      <c r="AB164" t="str">
        <f>IFERROR(IF(ISNUMBER('Procyclean BIO'!A165),'Procyclean BIO'!A165,DATEVALUE('Procyclean BIO'!A165)),"")</f>
        <v/>
      </c>
      <c r="AC164" t="str">
        <f>IF(AA164="","",'Procyclean BIO'!B165)</f>
        <v/>
      </c>
      <c r="AD164" t="str">
        <f>IF(AA164="","",IFERROR(1*'Procyclean BIO'!C165,IFERROR(_xludf.NUMBERVALUE('Procyclean BIO'!C165,".",","),IFERROR(_xludf.NUMBERVALUE('Procyclean BIO'!C165,",","."),0))))</f>
        <v/>
      </c>
      <c r="AE164" t="str">
        <f>IF(AA164="","",'Procyclean BIO'!J165)</f>
        <v/>
      </c>
      <c r="AF164">
        <f t="shared" si="29"/>
        <v>0</v>
      </c>
      <c r="AG164" t="str">
        <f t="shared" si="30"/>
        <v/>
      </c>
      <c r="AH164" t="str">
        <f t="shared" si="31"/>
        <v/>
      </c>
      <c r="AI164">
        <f t="shared" si="32"/>
        <v>0</v>
      </c>
      <c r="AJ164">
        <f t="shared" si="33"/>
        <v>0</v>
      </c>
      <c r="AK164">
        <v>0</v>
      </c>
      <c r="AL164" t="str">
        <f>IF(AA164="","",IFERROR(IF(ISNUMBER('Procyclean BIO'!D165),'Procyclean BIO'!D165,IF(ISNUMBER(SEARCH("12",'Procyclean BIO'!D165)),EDATE(AB164,12),IF(ISNUMBER(SEARCH("6",'Procyclean BIO'!D165)),EDATE(AB164,6),IF(ISNUMBER(SEARCH("3",'Procyclean BIO'!D165)),EDATE(AB164,3),DATEVALUE('Procyclean BIO'!D165))))),""))</f>
        <v/>
      </c>
      <c r="AM164" t="str">
        <f t="shared" ca="1" si="34"/>
        <v/>
      </c>
    </row>
    <row r="165" spans="27:39" x14ac:dyDescent="0.3">
      <c r="AA165" t="str">
        <f>IF(COUNTA('Procyclean BIO'!A166,'Procyclean BIO'!B166,'Procyclean BIO'!C166)&gt;0,"BIO","")</f>
        <v/>
      </c>
      <c r="AB165" t="str">
        <f>IFERROR(IF(ISNUMBER('Procyclean BIO'!A166),'Procyclean BIO'!A166,DATEVALUE('Procyclean BIO'!A166)),"")</f>
        <v/>
      </c>
      <c r="AC165" t="str">
        <f>IF(AA165="","",'Procyclean BIO'!B166)</f>
        <v/>
      </c>
      <c r="AD165" t="str">
        <f>IF(AA165="","",IFERROR(1*'Procyclean BIO'!C166,IFERROR(_xludf.NUMBERVALUE('Procyclean BIO'!C166,".",","),IFERROR(_xludf.NUMBERVALUE('Procyclean BIO'!C166,",","."),0))))</f>
        <v/>
      </c>
      <c r="AE165" t="str">
        <f>IF(AA165="","",'Procyclean BIO'!J166)</f>
        <v/>
      </c>
      <c r="AF165">
        <f t="shared" si="29"/>
        <v>0</v>
      </c>
      <c r="AG165" t="str">
        <f t="shared" si="30"/>
        <v/>
      </c>
      <c r="AH165" t="str">
        <f t="shared" si="31"/>
        <v/>
      </c>
      <c r="AI165">
        <f t="shared" si="32"/>
        <v>0</v>
      </c>
      <c r="AJ165">
        <f t="shared" si="33"/>
        <v>0</v>
      </c>
      <c r="AK165">
        <v>0</v>
      </c>
      <c r="AL165" t="str">
        <f>IF(AA165="","",IFERROR(IF(ISNUMBER('Procyclean BIO'!D166),'Procyclean BIO'!D166,IF(ISNUMBER(SEARCH("12",'Procyclean BIO'!D166)),EDATE(AB165,12),IF(ISNUMBER(SEARCH("6",'Procyclean BIO'!D166)),EDATE(AB165,6),IF(ISNUMBER(SEARCH("3",'Procyclean BIO'!D166)),EDATE(AB165,3),DATEVALUE('Procyclean BIO'!D166))))),""))</f>
        <v/>
      </c>
      <c r="AM165" t="str">
        <f t="shared" ca="1" si="34"/>
        <v/>
      </c>
    </row>
    <row r="166" spans="27:39" x14ac:dyDescent="0.3">
      <c r="AA166" t="str">
        <f>IF(COUNTA('Procyclean BIO'!A167,'Procyclean BIO'!B167,'Procyclean BIO'!C167)&gt;0,"BIO","")</f>
        <v/>
      </c>
      <c r="AB166" t="str">
        <f>IFERROR(IF(ISNUMBER('Procyclean BIO'!A167),'Procyclean BIO'!A167,DATEVALUE('Procyclean BIO'!A167)),"")</f>
        <v/>
      </c>
      <c r="AC166" t="str">
        <f>IF(AA166="","",'Procyclean BIO'!B167)</f>
        <v/>
      </c>
      <c r="AD166" t="str">
        <f>IF(AA166="","",IFERROR(1*'Procyclean BIO'!C167,IFERROR(_xludf.NUMBERVALUE('Procyclean BIO'!C167,".",","),IFERROR(_xludf.NUMBERVALUE('Procyclean BIO'!C167,",","."),0))))</f>
        <v/>
      </c>
      <c r="AE166" t="str">
        <f>IF(AA166="","",'Procyclean BIO'!J167)</f>
        <v/>
      </c>
      <c r="AF166">
        <f t="shared" si="29"/>
        <v>0</v>
      </c>
      <c r="AG166" t="str">
        <f t="shared" si="30"/>
        <v/>
      </c>
      <c r="AH166" t="str">
        <f t="shared" si="31"/>
        <v/>
      </c>
      <c r="AI166">
        <f t="shared" si="32"/>
        <v>0</v>
      </c>
      <c r="AJ166">
        <f t="shared" si="33"/>
        <v>0</v>
      </c>
      <c r="AK166">
        <v>0</v>
      </c>
      <c r="AL166" t="str">
        <f>IF(AA166="","",IFERROR(IF(ISNUMBER('Procyclean BIO'!D167),'Procyclean BIO'!D167,IF(ISNUMBER(SEARCH("12",'Procyclean BIO'!D167)),EDATE(AB166,12),IF(ISNUMBER(SEARCH("6",'Procyclean BIO'!D167)),EDATE(AB166,6),IF(ISNUMBER(SEARCH("3",'Procyclean BIO'!D167)),EDATE(AB166,3),DATEVALUE('Procyclean BIO'!D167))))),""))</f>
        <v/>
      </c>
      <c r="AM166" t="str">
        <f t="shared" ca="1" si="34"/>
        <v/>
      </c>
    </row>
    <row r="167" spans="27:39" x14ac:dyDescent="0.3">
      <c r="AA167" t="str">
        <f>IF(COUNTA('Procyclean BIO'!A168,'Procyclean BIO'!B168,'Procyclean BIO'!C168)&gt;0,"BIO","")</f>
        <v/>
      </c>
      <c r="AB167" t="str">
        <f>IFERROR(IF(ISNUMBER('Procyclean BIO'!A168),'Procyclean BIO'!A168,DATEVALUE('Procyclean BIO'!A168)),"")</f>
        <v/>
      </c>
      <c r="AC167" t="str">
        <f>IF(AA167="","",'Procyclean BIO'!B168)</f>
        <v/>
      </c>
      <c r="AD167" t="str">
        <f>IF(AA167="","",IFERROR(1*'Procyclean BIO'!C168,IFERROR(_xludf.NUMBERVALUE('Procyclean BIO'!C168,".",","),IFERROR(_xludf.NUMBERVALUE('Procyclean BIO'!C168,",","."),0))))</f>
        <v/>
      </c>
      <c r="AE167" t="str">
        <f>IF(AA167="","",'Procyclean BIO'!J168)</f>
        <v/>
      </c>
      <c r="AF167">
        <f t="shared" si="29"/>
        <v>0</v>
      </c>
      <c r="AG167" t="str">
        <f t="shared" si="30"/>
        <v/>
      </c>
      <c r="AH167" t="str">
        <f t="shared" si="31"/>
        <v/>
      </c>
      <c r="AI167">
        <f t="shared" si="32"/>
        <v>0</v>
      </c>
      <c r="AJ167">
        <f t="shared" si="33"/>
        <v>0</v>
      </c>
      <c r="AK167">
        <v>0</v>
      </c>
      <c r="AL167" t="str">
        <f>IF(AA167="","",IFERROR(IF(ISNUMBER('Procyclean BIO'!D168),'Procyclean BIO'!D168,IF(ISNUMBER(SEARCH("12",'Procyclean BIO'!D168)),EDATE(AB167,12),IF(ISNUMBER(SEARCH("6",'Procyclean BIO'!D168)),EDATE(AB167,6),IF(ISNUMBER(SEARCH("3",'Procyclean BIO'!D168)),EDATE(AB167,3),DATEVALUE('Procyclean BIO'!D168))))),""))</f>
        <v/>
      </c>
      <c r="AM167" t="str">
        <f t="shared" ca="1" si="34"/>
        <v/>
      </c>
    </row>
    <row r="168" spans="27:39" x14ac:dyDescent="0.3">
      <c r="AA168" t="str">
        <f>IF(COUNTA('Procyclean BIO'!A169,'Procyclean BIO'!B169,'Procyclean BIO'!C169)&gt;0,"BIO","")</f>
        <v/>
      </c>
      <c r="AB168" t="str">
        <f>IFERROR(IF(ISNUMBER('Procyclean BIO'!A169),'Procyclean BIO'!A169,DATEVALUE('Procyclean BIO'!A169)),"")</f>
        <v/>
      </c>
      <c r="AC168" t="str">
        <f>IF(AA168="","",'Procyclean BIO'!B169)</f>
        <v/>
      </c>
      <c r="AD168" t="str">
        <f>IF(AA168="","",IFERROR(1*'Procyclean BIO'!C169,IFERROR(_xludf.NUMBERVALUE('Procyclean BIO'!C169,".",","),IFERROR(_xludf.NUMBERVALUE('Procyclean BIO'!C169,",","."),0))))</f>
        <v/>
      </c>
      <c r="AE168" t="str">
        <f>IF(AA168="","",'Procyclean BIO'!J169)</f>
        <v/>
      </c>
      <c r="AF168">
        <f t="shared" si="29"/>
        <v>0</v>
      </c>
      <c r="AG168" t="str">
        <f t="shared" si="30"/>
        <v/>
      </c>
      <c r="AH168" t="str">
        <f t="shared" si="31"/>
        <v/>
      </c>
      <c r="AI168">
        <f t="shared" si="32"/>
        <v>0</v>
      </c>
      <c r="AJ168">
        <f t="shared" si="33"/>
        <v>0</v>
      </c>
      <c r="AK168">
        <v>0</v>
      </c>
      <c r="AL168" t="str">
        <f>IF(AA168="","",IFERROR(IF(ISNUMBER('Procyclean BIO'!D169),'Procyclean BIO'!D169,IF(ISNUMBER(SEARCH("12",'Procyclean BIO'!D169)),EDATE(AB168,12),IF(ISNUMBER(SEARCH("6",'Procyclean BIO'!D169)),EDATE(AB168,6),IF(ISNUMBER(SEARCH("3",'Procyclean BIO'!D169)),EDATE(AB168,3),DATEVALUE('Procyclean BIO'!D169))))),""))</f>
        <v/>
      </c>
      <c r="AM168" t="str">
        <f t="shared" ca="1" si="34"/>
        <v/>
      </c>
    </row>
    <row r="169" spans="27:39" x14ac:dyDescent="0.3">
      <c r="AA169" t="str">
        <f>IF(COUNTA('Procyclean BIO'!A170,'Procyclean BIO'!B170,'Procyclean BIO'!C170)&gt;0,"BIO","")</f>
        <v/>
      </c>
      <c r="AB169" t="str">
        <f>IFERROR(IF(ISNUMBER('Procyclean BIO'!A170),'Procyclean BIO'!A170,DATEVALUE('Procyclean BIO'!A170)),"")</f>
        <v/>
      </c>
      <c r="AC169" t="str">
        <f>IF(AA169="","",'Procyclean BIO'!B170)</f>
        <v/>
      </c>
      <c r="AD169" t="str">
        <f>IF(AA169="","",IFERROR(1*'Procyclean BIO'!C170,IFERROR(_xludf.NUMBERVALUE('Procyclean BIO'!C170,".",","),IFERROR(_xludf.NUMBERVALUE('Procyclean BIO'!C170,",","."),0))))</f>
        <v/>
      </c>
      <c r="AE169" t="str">
        <f>IF(AA169="","",'Procyclean BIO'!J170)</f>
        <v/>
      </c>
      <c r="AF169">
        <f t="shared" si="29"/>
        <v>0</v>
      </c>
      <c r="AG169" t="str">
        <f t="shared" si="30"/>
        <v/>
      </c>
      <c r="AH169" t="str">
        <f t="shared" si="31"/>
        <v/>
      </c>
      <c r="AI169">
        <f t="shared" si="32"/>
        <v>0</v>
      </c>
      <c r="AJ169">
        <f t="shared" si="33"/>
        <v>0</v>
      </c>
      <c r="AK169">
        <v>0</v>
      </c>
      <c r="AL169" t="str">
        <f>IF(AA169="","",IFERROR(IF(ISNUMBER('Procyclean BIO'!D170),'Procyclean BIO'!D170,IF(ISNUMBER(SEARCH("12",'Procyclean BIO'!D170)),EDATE(AB169,12),IF(ISNUMBER(SEARCH("6",'Procyclean BIO'!D170)),EDATE(AB169,6),IF(ISNUMBER(SEARCH("3",'Procyclean BIO'!D170)),EDATE(AB169,3),DATEVALUE('Procyclean BIO'!D170))))),""))</f>
        <v/>
      </c>
      <c r="AM169" t="str">
        <f t="shared" ca="1" si="34"/>
        <v/>
      </c>
    </row>
    <row r="170" spans="27:39" x14ac:dyDescent="0.3">
      <c r="AA170" t="str">
        <f>IF(COUNTA('Procyclean BIO'!A171,'Procyclean BIO'!B171,'Procyclean BIO'!C171)&gt;0,"BIO","")</f>
        <v/>
      </c>
      <c r="AB170" t="str">
        <f>IFERROR(IF(ISNUMBER('Procyclean BIO'!A171),'Procyclean BIO'!A171,DATEVALUE('Procyclean BIO'!A171)),"")</f>
        <v/>
      </c>
      <c r="AC170" t="str">
        <f>IF(AA170="","",'Procyclean BIO'!B171)</f>
        <v/>
      </c>
      <c r="AD170" t="str">
        <f>IF(AA170="","",IFERROR(1*'Procyclean BIO'!C171,IFERROR(_xludf.NUMBERVALUE('Procyclean BIO'!C171,".",","),IFERROR(_xludf.NUMBERVALUE('Procyclean BIO'!C171,",","."),0))))</f>
        <v/>
      </c>
      <c r="AE170" t="str">
        <f>IF(AA170="","",'Procyclean BIO'!J171)</f>
        <v/>
      </c>
      <c r="AF170">
        <f t="shared" si="29"/>
        <v>0</v>
      </c>
      <c r="AG170" t="str">
        <f t="shared" si="30"/>
        <v/>
      </c>
      <c r="AH170" t="str">
        <f t="shared" si="31"/>
        <v/>
      </c>
      <c r="AI170">
        <f t="shared" si="32"/>
        <v>0</v>
      </c>
      <c r="AJ170">
        <f t="shared" si="33"/>
        <v>0</v>
      </c>
      <c r="AK170">
        <v>0</v>
      </c>
      <c r="AL170" t="str">
        <f>IF(AA170="","",IFERROR(IF(ISNUMBER('Procyclean BIO'!D171),'Procyclean BIO'!D171,IF(ISNUMBER(SEARCH("12",'Procyclean BIO'!D171)),EDATE(AB170,12),IF(ISNUMBER(SEARCH("6",'Procyclean BIO'!D171)),EDATE(AB170,6),IF(ISNUMBER(SEARCH("3",'Procyclean BIO'!D171)),EDATE(AB170,3),DATEVALUE('Procyclean BIO'!D171))))),""))</f>
        <v/>
      </c>
      <c r="AM170" t="str">
        <f t="shared" ca="1" si="34"/>
        <v/>
      </c>
    </row>
    <row r="171" spans="27:39" x14ac:dyDescent="0.3">
      <c r="AA171" t="str">
        <f>IF(COUNTA('Procyclean BIO'!A172,'Procyclean BIO'!B172,'Procyclean BIO'!C172)&gt;0,"BIO","")</f>
        <v/>
      </c>
      <c r="AB171" t="str">
        <f>IFERROR(IF(ISNUMBER('Procyclean BIO'!A172),'Procyclean BIO'!A172,DATEVALUE('Procyclean BIO'!A172)),"")</f>
        <v/>
      </c>
      <c r="AC171" t="str">
        <f>IF(AA171="","",'Procyclean BIO'!B172)</f>
        <v/>
      </c>
      <c r="AD171" t="str">
        <f>IF(AA171="","",IFERROR(1*'Procyclean BIO'!C172,IFERROR(_xludf.NUMBERVALUE('Procyclean BIO'!C172,".",","),IFERROR(_xludf.NUMBERVALUE('Procyclean BIO'!C172,",","."),0))))</f>
        <v/>
      </c>
      <c r="AE171" t="str">
        <f>IF(AA171="","",'Procyclean BIO'!J172)</f>
        <v/>
      </c>
      <c r="AF171">
        <f t="shared" si="29"/>
        <v>0</v>
      </c>
      <c r="AG171" t="str">
        <f t="shared" si="30"/>
        <v/>
      </c>
      <c r="AH171" t="str">
        <f t="shared" si="31"/>
        <v/>
      </c>
      <c r="AI171">
        <f t="shared" si="32"/>
        <v>0</v>
      </c>
      <c r="AJ171">
        <f t="shared" si="33"/>
        <v>0</v>
      </c>
      <c r="AK171">
        <v>0</v>
      </c>
      <c r="AL171" t="str">
        <f>IF(AA171="","",IFERROR(IF(ISNUMBER('Procyclean BIO'!D172),'Procyclean BIO'!D172,IF(ISNUMBER(SEARCH("12",'Procyclean BIO'!D172)),EDATE(AB171,12),IF(ISNUMBER(SEARCH("6",'Procyclean BIO'!D172)),EDATE(AB171,6),IF(ISNUMBER(SEARCH("3",'Procyclean BIO'!D172)),EDATE(AB171,3),DATEVALUE('Procyclean BIO'!D172))))),""))</f>
        <v/>
      </c>
      <c r="AM171" t="str">
        <f t="shared" ca="1" si="34"/>
        <v/>
      </c>
    </row>
    <row r="172" spans="27:39" x14ac:dyDescent="0.3">
      <c r="AA172" t="str">
        <f>IF(COUNTA('Procyclean BIO'!A173,'Procyclean BIO'!B173,'Procyclean BIO'!C173)&gt;0,"BIO","")</f>
        <v/>
      </c>
      <c r="AB172" t="str">
        <f>IFERROR(IF(ISNUMBER('Procyclean BIO'!A173),'Procyclean BIO'!A173,DATEVALUE('Procyclean BIO'!A173)),"")</f>
        <v/>
      </c>
      <c r="AC172" t="str">
        <f>IF(AA172="","",'Procyclean BIO'!B173)</f>
        <v/>
      </c>
      <c r="AD172" t="str">
        <f>IF(AA172="","",IFERROR(1*'Procyclean BIO'!C173,IFERROR(_xludf.NUMBERVALUE('Procyclean BIO'!C173,".",","),IFERROR(_xludf.NUMBERVALUE('Procyclean BIO'!C173,",","."),0))))</f>
        <v/>
      </c>
      <c r="AE172" t="str">
        <f>IF(AA172="","",'Procyclean BIO'!J173)</f>
        <v/>
      </c>
      <c r="AF172">
        <f t="shared" si="29"/>
        <v>0</v>
      </c>
      <c r="AG172" t="str">
        <f t="shared" si="30"/>
        <v/>
      </c>
      <c r="AH172" t="str">
        <f t="shared" si="31"/>
        <v/>
      </c>
      <c r="AI172">
        <f t="shared" si="32"/>
        <v>0</v>
      </c>
      <c r="AJ172">
        <f t="shared" si="33"/>
        <v>0</v>
      </c>
      <c r="AK172">
        <v>0</v>
      </c>
      <c r="AL172" t="str">
        <f>IF(AA172="","",IFERROR(IF(ISNUMBER('Procyclean BIO'!D173),'Procyclean BIO'!D173,IF(ISNUMBER(SEARCH("12",'Procyclean BIO'!D173)),EDATE(AB172,12),IF(ISNUMBER(SEARCH("6",'Procyclean BIO'!D173)),EDATE(AB172,6),IF(ISNUMBER(SEARCH("3",'Procyclean BIO'!D173)),EDATE(AB172,3),DATEVALUE('Procyclean BIO'!D173))))),""))</f>
        <v/>
      </c>
      <c r="AM172" t="str">
        <f t="shared" ca="1" si="34"/>
        <v/>
      </c>
    </row>
    <row r="173" spans="27:39" x14ac:dyDescent="0.3">
      <c r="AA173" t="str">
        <f>IF(COUNTA('Procyclean BIO'!A174,'Procyclean BIO'!B174,'Procyclean BIO'!C174)&gt;0,"BIO","")</f>
        <v/>
      </c>
      <c r="AB173" t="str">
        <f>IFERROR(IF(ISNUMBER('Procyclean BIO'!A174),'Procyclean BIO'!A174,DATEVALUE('Procyclean BIO'!A174)),"")</f>
        <v/>
      </c>
      <c r="AC173" t="str">
        <f>IF(AA173="","",'Procyclean BIO'!B174)</f>
        <v/>
      </c>
      <c r="AD173" t="str">
        <f>IF(AA173="","",IFERROR(1*'Procyclean BIO'!C174,IFERROR(_xludf.NUMBERVALUE('Procyclean BIO'!C174,".",","),IFERROR(_xludf.NUMBERVALUE('Procyclean BIO'!C174,",","."),0))))</f>
        <v/>
      </c>
      <c r="AE173" t="str">
        <f>IF(AA173="","",'Procyclean BIO'!J174)</f>
        <v/>
      </c>
      <c r="AF173">
        <f t="shared" si="29"/>
        <v>0</v>
      </c>
      <c r="AG173" t="str">
        <f t="shared" si="30"/>
        <v/>
      </c>
      <c r="AH173" t="str">
        <f t="shared" si="31"/>
        <v/>
      </c>
      <c r="AI173">
        <f t="shared" si="32"/>
        <v>0</v>
      </c>
      <c r="AJ173">
        <f t="shared" si="33"/>
        <v>0</v>
      </c>
      <c r="AK173">
        <v>0</v>
      </c>
      <c r="AL173" t="str">
        <f>IF(AA173="","",IFERROR(IF(ISNUMBER('Procyclean BIO'!D174),'Procyclean BIO'!D174,IF(ISNUMBER(SEARCH("12",'Procyclean BIO'!D174)),EDATE(AB173,12),IF(ISNUMBER(SEARCH("6",'Procyclean BIO'!D174)),EDATE(AB173,6),IF(ISNUMBER(SEARCH("3",'Procyclean BIO'!D174)),EDATE(AB173,3),DATEVALUE('Procyclean BIO'!D174))))),""))</f>
        <v/>
      </c>
      <c r="AM173" t="str">
        <f t="shared" ca="1" si="34"/>
        <v/>
      </c>
    </row>
    <row r="174" spans="27:39" x14ac:dyDescent="0.3">
      <c r="AA174" t="str">
        <f>IF(COUNTA('Procyclean BIO'!A175,'Procyclean BIO'!B175,'Procyclean BIO'!C175)&gt;0,"BIO","")</f>
        <v/>
      </c>
      <c r="AB174" t="str">
        <f>IFERROR(IF(ISNUMBER('Procyclean BIO'!A175),'Procyclean BIO'!A175,DATEVALUE('Procyclean BIO'!A175)),"")</f>
        <v/>
      </c>
      <c r="AC174" t="str">
        <f>IF(AA174="","",'Procyclean BIO'!B175)</f>
        <v/>
      </c>
      <c r="AD174" t="str">
        <f>IF(AA174="","",IFERROR(1*'Procyclean BIO'!C175,IFERROR(_xludf.NUMBERVALUE('Procyclean BIO'!C175,".",","),IFERROR(_xludf.NUMBERVALUE('Procyclean BIO'!C175,",","."),0))))</f>
        <v/>
      </c>
      <c r="AE174" t="str">
        <f>IF(AA174="","",'Procyclean BIO'!J175)</f>
        <v/>
      </c>
      <c r="AF174">
        <f t="shared" si="29"/>
        <v>0</v>
      </c>
      <c r="AG174" t="str">
        <f t="shared" si="30"/>
        <v/>
      </c>
      <c r="AH174" t="str">
        <f t="shared" si="31"/>
        <v/>
      </c>
      <c r="AI174">
        <f t="shared" si="32"/>
        <v>0</v>
      </c>
      <c r="AJ174">
        <f t="shared" si="33"/>
        <v>0</v>
      </c>
      <c r="AK174">
        <v>0</v>
      </c>
      <c r="AL174" t="str">
        <f>IF(AA174="","",IFERROR(IF(ISNUMBER('Procyclean BIO'!D175),'Procyclean BIO'!D175,IF(ISNUMBER(SEARCH("12",'Procyclean BIO'!D175)),EDATE(AB174,12),IF(ISNUMBER(SEARCH("6",'Procyclean BIO'!D175)),EDATE(AB174,6),IF(ISNUMBER(SEARCH("3",'Procyclean BIO'!D175)),EDATE(AB174,3),DATEVALUE('Procyclean BIO'!D175))))),""))</f>
        <v/>
      </c>
      <c r="AM174" t="str">
        <f t="shared" ca="1" si="34"/>
        <v/>
      </c>
    </row>
    <row r="175" spans="27:39" x14ac:dyDescent="0.3">
      <c r="AA175" t="str">
        <f>IF(COUNTA('Procyclean BIO'!A176,'Procyclean BIO'!B176,'Procyclean BIO'!C176)&gt;0,"BIO","")</f>
        <v/>
      </c>
      <c r="AB175" t="str">
        <f>IFERROR(IF(ISNUMBER('Procyclean BIO'!A176),'Procyclean BIO'!A176,DATEVALUE('Procyclean BIO'!A176)),"")</f>
        <v/>
      </c>
      <c r="AC175" t="str">
        <f>IF(AA175="","",'Procyclean BIO'!B176)</f>
        <v/>
      </c>
      <c r="AD175" t="str">
        <f>IF(AA175="","",IFERROR(1*'Procyclean BIO'!C176,IFERROR(_xludf.NUMBERVALUE('Procyclean BIO'!C176,".",","),IFERROR(_xludf.NUMBERVALUE('Procyclean BIO'!C176,",","."),0))))</f>
        <v/>
      </c>
      <c r="AE175" t="str">
        <f>IF(AA175="","",'Procyclean BIO'!J176)</f>
        <v/>
      </c>
      <c r="AF175">
        <f t="shared" si="29"/>
        <v>0</v>
      </c>
      <c r="AG175" t="str">
        <f t="shared" si="30"/>
        <v/>
      </c>
      <c r="AH175" t="str">
        <f t="shared" si="31"/>
        <v/>
      </c>
      <c r="AI175">
        <f t="shared" si="32"/>
        <v>0</v>
      </c>
      <c r="AJ175">
        <f t="shared" si="33"/>
        <v>0</v>
      </c>
      <c r="AK175">
        <v>0</v>
      </c>
      <c r="AL175" t="str">
        <f>IF(AA175="","",IFERROR(IF(ISNUMBER('Procyclean BIO'!D176),'Procyclean BIO'!D176,IF(ISNUMBER(SEARCH("12",'Procyclean BIO'!D176)),EDATE(AB175,12),IF(ISNUMBER(SEARCH("6",'Procyclean BIO'!D176)),EDATE(AB175,6),IF(ISNUMBER(SEARCH("3",'Procyclean BIO'!D176)),EDATE(AB175,3),DATEVALUE('Procyclean BIO'!D176))))),""))</f>
        <v/>
      </c>
      <c r="AM175" t="str">
        <f t="shared" ca="1" si="34"/>
        <v/>
      </c>
    </row>
    <row r="176" spans="27:39" x14ac:dyDescent="0.3">
      <c r="AA176" t="str">
        <f>IF(COUNTA('Procyclean BIO'!A177,'Procyclean BIO'!B177,'Procyclean BIO'!C177)&gt;0,"BIO","")</f>
        <v/>
      </c>
      <c r="AB176" t="str">
        <f>IFERROR(IF(ISNUMBER('Procyclean BIO'!A177),'Procyclean BIO'!A177,DATEVALUE('Procyclean BIO'!A177)),"")</f>
        <v/>
      </c>
      <c r="AC176" t="str">
        <f>IF(AA176="","",'Procyclean BIO'!B177)</f>
        <v/>
      </c>
      <c r="AD176" t="str">
        <f>IF(AA176="","",IFERROR(1*'Procyclean BIO'!C177,IFERROR(_xludf.NUMBERVALUE('Procyclean BIO'!C177,".",","),IFERROR(_xludf.NUMBERVALUE('Procyclean BIO'!C177,",","."),0))))</f>
        <v/>
      </c>
      <c r="AE176" t="str">
        <f>IF(AA176="","",'Procyclean BIO'!J177)</f>
        <v/>
      </c>
      <c r="AF176">
        <f t="shared" si="29"/>
        <v>0</v>
      </c>
      <c r="AG176" t="str">
        <f t="shared" si="30"/>
        <v/>
      </c>
      <c r="AH176" t="str">
        <f t="shared" si="31"/>
        <v/>
      </c>
      <c r="AI176">
        <f t="shared" si="32"/>
        <v>0</v>
      </c>
      <c r="AJ176">
        <f t="shared" si="33"/>
        <v>0</v>
      </c>
      <c r="AK176">
        <v>0</v>
      </c>
      <c r="AL176" t="str">
        <f>IF(AA176="","",IFERROR(IF(ISNUMBER('Procyclean BIO'!D177),'Procyclean BIO'!D177,IF(ISNUMBER(SEARCH("12",'Procyclean BIO'!D177)),EDATE(AB176,12),IF(ISNUMBER(SEARCH("6",'Procyclean BIO'!D177)),EDATE(AB176,6),IF(ISNUMBER(SEARCH("3",'Procyclean BIO'!D177)),EDATE(AB176,3),DATEVALUE('Procyclean BIO'!D177))))),""))</f>
        <v/>
      </c>
      <c r="AM176" t="str">
        <f t="shared" ca="1" si="34"/>
        <v/>
      </c>
    </row>
    <row r="177" spans="27:39" x14ac:dyDescent="0.3">
      <c r="AA177" t="str">
        <f>IF(COUNTA('Procyclean BIO'!A178,'Procyclean BIO'!B178,'Procyclean BIO'!C178)&gt;0,"BIO","")</f>
        <v/>
      </c>
      <c r="AB177" t="str">
        <f>IFERROR(IF(ISNUMBER('Procyclean BIO'!A178),'Procyclean BIO'!A178,DATEVALUE('Procyclean BIO'!A178)),"")</f>
        <v/>
      </c>
      <c r="AC177" t="str">
        <f>IF(AA177="","",'Procyclean BIO'!B178)</f>
        <v/>
      </c>
      <c r="AD177" t="str">
        <f>IF(AA177="","",IFERROR(1*'Procyclean BIO'!C178,IFERROR(_xludf.NUMBERVALUE('Procyclean BIO'!C178,".",","),IFERROR(_xludf.NUMBERVALUE('Procyclean BIO'!C178,",","."),0))))</f>
        <v/>
      </c>
      <c r="AE177" t="str">
        <f>IF(AA177="","",'Procyclean BIO'!J178)</f>
        <v/>
      </c>
      <c r="AF177">
        <f t="shared" si="29"/>
        <v>0</v>
      </c>
      <c r="AG177" t="str">
        <f t="shared" si="30"/>
        <v/>
      </c>
      <c r="AH177" t="str">
        <f t="shared" si="31"/>
        <v/>
      </c>
      <c r="AI177">
        <f t="shared" si="32"/>
        <v>0</v>
      </c>
      <c r="AJ177">
        <f t="shared" si="33"/>
        <v>0</v>
      </c>
      <c r="AK177">
        <v>0</v>
      </c>
      <c r="AL177" t="str">
        <f>IF(AA177="","",IFERROR(IF(ISNUMBER('Procyclean BIO'!D178),'Procyclean BIO'!D178,IF(ISNUMBER(SEARCH("12",'Procyclean BIO'!D178)),EDATE(AB177,12),IF(ISNUMBER(SEARCH("6",'Procyclean BIO'!D178)),EDATE(AB177,6),IF(ISNUMBER(SEARCH("3",'Procyclean BIO'!D178)),EDATE(AB177,3),DATEVALUE('Procyclean BIO'!D178))))),""))</f>
        <v/>
      </c>
      <c r="AM177" t="str">
        <f t="shared" ca="1" si="34"/>
        <v/>
      </c>
    </row>
    <row r="178" spans="27:39" x14ac:dyDescent="0.3">
      <c r="AA178" t="str">
        <f>IF(COUNTA('Procyclean BIO'!A179,'Procyclean BIO'!B179,'Procyclean BIO'!C179)&gt;0,"BIO","")</f>
        <v/>
      </c>
      <c r="AB178" t="str">
        <f>IFERROR(IF(ISNUMBER('Procyclean BIO'!A179),'Procyclean BIO'!A179,DATEVALUE('Procyclean BIO'!A179)),"")</f>
        <v/>
      </c>
      <c r="AC178" t="str">
        <f>IF(AA178="","",'Procyclean BIO'!B179)</f>
        <v/>
      </c>
      <c r="AD178" t="str">
        <f>IF(AA178="","",IFERROR(1*'Procyclean BIO'!C179,IFERROR(_xludf.NUMBERVALUE('Procyclean BIO'!C179,".",","),IFERROR(_xludf.NUMBERVALUE('Procyclean BIO'!C179,",","."),0))))</f>
        <v/>
      </c>
      <c r="AE178" t="str">
        <f>IF(AA178="","",'Procyclean BIO'!J179)</f>
        <v/>
      </c>
      <c r="AF178">
        <f t="shared" si="29"/>
        <v>0</v>
      </c>
      <c r="AG178" t="str">
        <f t="shared" si="30"/>
        <v/>
      </c>
      <c r="AH178" t="str">
        <f t="shared" si="31"/>
        <v/>
      </c>
      <c r="AI178">
        <f t="shared" si="32"/>
        <v>0</v>
      </c>
      <c r="AJ178">
        <f t="shared" si="33"/>
        <v>0</v>
      </c>
      <c r="AK178">
        <v>0</v>
      </c>
      <c r="AL178" t="str">
        <f>IF(AA178="","",IFERROR(IF(ISNUMBER('Procyclean BIO'!D179),'Procyclean BIO'!D179,IF(ISNUMBER(SEARCH("12",'Procyclean BIO'!D179)),EDATE(AB178,12),IF(ISNUMBER(SEARCH("6",'Procyclean BIO'!D179)),EDATE(AB178,6),IF(ISNUMBER(SEARCH("3",'Procyclean BIO'!D179)),EDATE(AB178,3),DATEVALUE('Procyclean BIO'!D179))))),""))</f>
        <v/>
      </c>
      <c r="AM178" t="str">
        <f t="shared" ca="1" si="34"/>
        <v/>
      </c>
    </row>
    <row r="179" spans="27:39" x14ac:dyDescent="0.3">
      <c r="AA179" t="str">
        <f>IF(COUNTA('Procyclean BIO'!A180,'Procyclean BIO'!B180,'Procyclean BIO'!C180)&gt;0,"BIO","")</f>
        <v/>
      </c>
      <c r="AB179" t="str">
        <f>IFERROR(IF(ISNUMBER('Procyclean BIO'!A180),'Procyclean BIO'!A180,DATEVALUE('Procyclean BIO'!A180)),"")</f>
        <v/>
      </c>
      <c r="AC179" t="str">
        <f>IF(AA179="","",'Procyclean BIO'!B180)</f>
        <v/>
      </c>
      <c r="AD179" t="str">
        <f>IF(AA179="","",IFERROR(1*'Procyclean BIO'!C180,IFERROR(_xludf.NUMBERVALUE('Procyclean BIO'!C180,".",","),IFERROR(_xludf.NUMBERVALUE('Procyclean BIO'!C180,",","."),0))))</f>
        <v/>
      </c>
      <c r="AE179" t="str">
        <f>IF(AA179="","",'Procyclean BIO'!J180)</f>
        <v/>
      </c>
      <c r="AF179">
        <f t="shared" si="29"/>
        <v>0</v>
      </c>
      <c r="AG179" t="str">
        <f t="shared" si="30"/>
        <v/>
      </c>
      <c r="AH179" t="str">
        <f t="shared" si="31"/>
        <v/>
      </c>
      <c r="AI179">
        <f t="shared" si="32"/>
        <v>0</v>
      </c>
      <c r="AJ179">
        <f t="shared" si="33"/>
        <v>0</v>
      </c>
      <c r="AK179">
        <v>0</v>
      </c>
      <c r="AL179" t="str">
        <f>IF(AA179="","",IFERROR(IF(ISNUMBER('Procyclean BIO'!D180),'Procyclean BIO'!D180,IF(ISNUMBER(SEARCH("12",'Procyclean BIO'!D180)),EDATE(AB179,12),IF(ISNUMBER(SEARCH("6",'Procyclean BIO'!D180)),EDATE(AB179,6),IF(ISNUMBER(SEARCH("3",'Procyclean BIO'!D180)),EDATE(AB179,3),DATEVALUE('Procyclean BIO'!D180))))),""))</f>
        <v/>
      </c>
      <c r="AM179" t="str">
        <f t="shared" ca="1" si="34"/>
        <v/>
      </c>
    </row>
    <row r="180" spans="27:39" x14ac:dyDescent="0.3">
      <c r="AA180" t="str">
        <f>IF(COUNTA('Procyclean BIO'!A181,'Procyclean BIO'!B181,'Procyclean BIO'!C181)&gt;0,"BIO","")</f>
        <v/>
      </c>
      <c r="AB180" t="str">
        <f>IFERROR(IF(ISNUMBER('Procyclean BIO'!A181),'Procyclean BIO'!A181,DATEVALUE('Procyclean BIO'!A181)),"")</f>
        <v/>
      </c>
      <c r="AC180" t="str">
        <f>IF(AA180="","",'Procyclean BIO'!B181)</f>
        <v/>
      </c>
      <c r="AD180" t="str">
        <f>IF(AA180="","",IFERROR(1*'Procyclean BIO'!C181,IFERROR(_xludf.NUMBERVALUE('Procyclean BIO'!C181,".",","),IFERROR(_xludf.NUMBERVALUE('Procyclean BIO'!C181,",","."),0))))</f>
        <v/>
      </c>
      <c r="AE180" t="str">
        <f>IF(AA180="","",'Procyclean BIO'!J181)</f>
        <v/>
      </c>
      <c r="AF180">
        <f t="shared" si="29"/>
        <v>0</v>
      </c>
      <c r="AG180" t="str">
        <f t="shared" si="30"/>
        <v/>
      </c>
      <c r="AH180" t="str">
        <f t="shared" si="31"/>
        <v/>
      </c>
      <c r="AI180">
        <f t="shared" si="32"/>
        <v>0</v>
      </c>
      <c r="AJ180">
        <f t="shared" si="33"/>
        <v>0</v>
      </c>
      <c r="AK180">
        <v>0</v>
      </c>
      <c r="AL180" t="str">
        <f>IF(AA180="","",IFERROR(IF(ISNUMBER('Procyclean BIO'!D181),'Procyclean BIO'!D181,IF(ISNUMBER(SEARCH("12",'Procyclean BIO'!D181)),EDATE(AB180,12),IF(ISNUMBER(SEARCH("6",'Procyclean BIO'!D181)),EDATE(AB180,6),IF(ISNUMBER(SEARCH("3",'Procyclean BIO'!D181)),EDATE(AB180,3),DATEVALUE('Procyclean BIO'!D181))))),""))</f>
        <v/>
      </c>
      <c r="AM180" t="str">
        <f t="shared" ca="1" si="34"/>
        <v/>
      </c>
    </row>
    <row r="181" spans="27:39" x14ac:dyDescent="0.3">
      <c r="AA181" t="str">
        <f>IF(COUNTA('Procyclean BIO'!A182,'Procyclean BIO'!B182,'Procyclean BIO'!C182)&gt;0,"BIO","")</f>
        <v/>
      </c>
      <c r="AB181" t="str">
        <f>IFERROR(IF(ISNUMBER('Procyclean BIO'!A182),'Procyclean BIO'!A182,DATEVALUE('Procyclean BIO'!A182)),"")</f>
        <v/>
      </c>
      <c r="AC181" t="str">
        <f>IF(AA181="","",'Procyclean BIO'!B182)</f>
        <v/>
      </c>
      <c r="AD181" t="str">
        <f>IF(AA181="","",IFERROR(1*'Procyclean BIO'!C182,IFERROR(_xludf.NUMBERVALUE('Procyclean BIO'!C182,".",","),IFERROR(_xludf.NUMBERVALUE('Procyclean BIO'!C182,",","."),0))))</f>
        <v/>
      </c>
      <c r="AE181" t="str">
        <f>IF(AA181="","",'Procyclean BIO'!J182)</f>
        <v/>
      </c>
      <c r="AF181">
        <f t="shared" si="29"/>
        <v>0</v>
      </c>
      <c r="AG181" t="str">
        <f t="shared" si="30"/>
        <v/>
      </c>
      <c r="AH181" t="str">
        <f t="shared" si="31"/>
        <v/>
      </c>
      <c r="AI181">
        <f t="shared" si="32"/>
        <v>0</v>
      </c>
      <c r="AJ181">
        <f t="shared" si="33"/>
        <v>0</v>
      </c>
      <c r="AK181">
        <v>0</v>
      </c>
      <c r="AL181" t="str">
        <f>IF(AA181="","",IFERROR(IF(ISNUMBER('Procyclean BIO'!D182),'Procyclean BIO'!D182,IF(ISNUMBER(SEARCH("12",'Procyclean BIO'!D182)),EDATE(AB181,12),IF(ISNUMBER(SEARCH("6",'Procyclean BIO'!D182)),EDATE(AB181,6),IF(ISNUMBER(SEARCH("3",'Procyclean BIO'!D182)),EDATE(AB181,3),DATEVALUE('Procyclean BIO'!D182))))),""))</f>
        <v/>
      </c>
      <c r="AM181" t="str">
        <f t="shared" ca="1" si="34"/>
        <v/>
      </c>
    </row>
    <row r="182" spans="27:39" x14ac:dyDescent="0.3">
      <c r="AA182" t="str">
        <f>IF(COUNTA('Procyclean BIO'!A183,'Procyclean BIO'!B183,'Procyclean BIO'!C183)&gt;0,"BIO","")</f>
        <v/>
      </c>
      <c r="AB182" t="str">
        <f>IFERROR(IF(ISNUMBER('Procyclean BIO'!A183),'Procyclean BIO'!A183,DATEVALUE('Procyclean BIO'!A183)),"")</f>
        <v/>
      </c>
      <c r="AC182" t="str">
        <f>IF(AA182="","",'Procyclean BIO'!B183)</f>
        <v/>
      </c>
      <c r="AD182" t="str">
        <f>IF(AA182="","",IFERROR(1*'Procyclean BIO'!C183,IFERROR(_xludf.NUMBERVALUE('Procyclean BIO'!C183,".",","),IFERROR(_xludf.NUMBERVALUE('Procyclean BIO'!C183,",","."),0))))</f>
        <v/>
      </c>
      <c r="AE182" t="str">
        <f>IF(AA182="","",'Procyclean BIO'!J183)</f>
        <v/>
      </c>
      <c r="AF182">
        <f t="shared" si="29"/>
        <v>0</v>
      </c>
      <c r="AG182" t="str">
        <f t="shared" si="30"/>
        <v/>
      </c>
      <c r="AH182" t="str">
        <f t="shared" si="31"/>
        <v/>
      </c>
      <c r="AI182">
        <f t="shared" si="32"/>
        <v>0</v>
      </c>
      <c r="AJ182">
        <f t="shared" si="33"/>
        <v>0</v>
      </c>
      <c r="AK182">
        <v>0</v>
      </c>
      <c r="AL182" t="str">
        <f>IF(AA182="","",IFERROR(IF(ISNUMBER('Procyclean BIO'!D183),'Procyclean BIO'!D183,IF(ISNUMBER(SEARCH("12",'Procyclean BIO'!D183)),EDATE(AB182,12),IF(ISNUMBER(SEARCH("6",'Procyclean BIO'!D183)),EDATE(AB182,6),IF(ISNUMBER(SEARCH("3",'Procyclean BIO'!D183)),EDATE(AB182,3),DATEVALUE('Procyclean BIO'!D183))))),""))</f>
        <v/>
      </c>
      <c r="AM182" t="str">
        <f t="shared" ca="1" si="34"/>
        <v/>
      </c>
    </row>
    <row r="183" spans="27:39" x14ac:dyDescent="0.3">
      <c r="AA183" t="str">
        <f>IF(COUNTA('Procyclean BIO'!A184,'Procyclean BIO'!B184,'Procyclean BIO'!C184)&gt;0,"BIO","")</f>
        <v/>
      </c>
      <c r="AB183" t="str">
        <f>IFERROR(IF(ISNUMBER('Procyclean BIO'!A184),'Procyclean BIO'!A184,DATEVALUE('Procyclean BIO'!A184)),"")</f>
        <v/>
      </c>
      <c r="AC183" t="str">
        <f>IF(AA183="","",'Procyclean BIO'!B184)</f>
        <v/>
      </c>
      <c r="AD183" t="str">
        <f>IF(AA183="","",IFERROR(1*'Procyclean BIO'!C184,IFERROR(_xludf.NUMBERVALUE('Procyclean BIO'!C184,".",","),IFERROR(_xludf.NUMBERVALUE('Procyclean BIO'!C184,",","."),0))))</f>
        <v/>
      </c>
      <c r="AE183" t="str">
        <f>IF(AA183="","",'Procyclean BIO'!J184)</f>
        <v/>
      </c>
      <c r="AF183">
        <f t="shared" si="29"/>
        <v>0</v>
      </c>
      <c r="AG183" t="str">
        <f t="shared" si="30"/>
        <v/>
      </c>
      <c r="AH183" t="str">
        <f t="shared" si="31"/>
        <v/>
      </c>
      <c r="AI183">
        <f t="shared" si="32"/>
        <v>0</v>
      </c>
      <c r="AJ183">
        <f t="shared" si="33"/>
        <v>0</v>
      </c>
      <c r="AK183">
        <v>0</v>
      </c>
      <c r="AL183" t="str">
        <f>IF(AA183="","",IFERROR(IF(ISNUMBER('Procyclean BIO'!D184),'Procyclean BIO'!D184,IF(ISNUMBER(SEARCH("12",'Procyclean BIO'!D184)),EDATE(AB183,12),IF(ISNUMBER(SEARCH("6",'Procyclean BIO'!D184)),EDATE(AB183,6),IF(ISNUMBER(SEARCH("3",'Procyclean BIO'!D184)),EDATE(AB183,3),DATEVALUE('Procyclean BIO'!D184))))),""))</f>
        <v/>
      </c>
      <c r="AM183" t="str">
        <f t="shared" ca="1" si="34"/>
        <v/>
      </c>
    </row>
    <row r="184" spans="27:39" x14ac:dyDescent="0.3">
      <c r="AA184" t="str">
        <f>IF(COUNTA('Procyclean BIO'!A185,'Procyclean BIO'!B185,'Procyclean BIO'!C185)&gt;0,"BIO","")</f>
        <v/>
      </c>
      <c r="AB184" t="str">
        <f>IFERROR(IF(ISNUMBER('Procyclean BIO'!A185),'Procyclean BIO'!A185,DATEVALUE('Procyclean BIO'!A185)),"")</f>
        <v/>
      </c>
      <c r="AC184" t="str">
        <f>IF(AA184="","",'Procyclean BIO'!B185)</f>
        <v/>
      </c>
      <c r="AD184" t="str">
        <f>IF(AA184="","",IFERROR(1*'Procyclean BIO'!C185,IFERROR(_xludf.NUMBERVALUE('Procyclean BIO'!C185,".",","),IFERROR(_xludf.NUMBERVALUE('Procyclean BIO'!C185,",","."),0))))</f>
        <v/>
      </c>
      <c r="AE184" t="str">
        <f>IF(AA184="","",'Procyclean BIO'!J185)</f>
        <v/>
      </c>
      <c r="AF184">
        <f t="shared" si="29"/>
        <v>0</v>
      </c>
      <c r="AG184" t="str">
        <f t="shared" si="30"/>
        <v/>
      </c>
      <c r="AH184" t="str">
        <f t="shared" si="31"/>
        <v/>
      </c>
      <c r="AI184">
        <f t="shared" si="32"/>
        <v>0</v>
      </c>
      <c r="AJ184">
        <f t="shared" si="33"/>
        <v>0</v>
      </c>
      <c r="AK184">
        <v>0</v>
      </c>
      <c r="AL184" t="str">
        <f>IF(AA184="","",IFERROR(IF(ISNUMBER('Procyclean BIO'!D185),'Procyclean BIO'!D185,IF(ISNUMBER(SEARCH("12",'Procyclean BIO'!D185)),EDATE(AB184,12),IF(ISNUMBER(SEARCH("6",'Procyclean BIO'!D185)),EDATE(AB184,6),IF(ISNUMBER(SEARCH("3",'Procyclean BIO'!D185)),EDATE(AB184,3),DATEVALUE('Procyclean BIO'!D185))))),""))</f>
        <v/>
      </c>
      <c r="AM184" t="str">
        <f t="shared" ca="1" si="34"/>
        <v/>
      </c>
    </row>
    <row r="185" spans="27:39" x14ac:dyDescent="0.3">
      <c r="AA185" t="str">
        <f>IF(COUNTA('Procyclean BIO'!A186,'Procyclean BIO'!B186,'Procyclean BIO'!C186)&gt;0,"BIO","")</f>
        <v/>
      </c>
      <c r="AB185" t="str">
        <f>IFERROR(IF(ISNUMBER('Procyclean BIO'!A186),'Procyclean BIO'!A186,DATEVALUE('Procyclean BIO'!A186)),"")</f>
        <v/>
      </c>
      <c r="AC185" t="str">
        <f>IF(AA185="","",'Procyclean BIO'!B186)</f>
        <v/>
      </c>
      <c r="AD185" t="str">
        <f>IF(AA185="","",IFERROR(1*'Procyclean BIO'!C186,IFERROR(_xludf.NUMBERVALUE('Procyclean BIO'!C186,".",","),IFERROR(_xludf.NUMBERVALUE('Procyclean BIO'!C186,",","."),0))))</f>
        <v/>
      </c>
      <c r="AE185" t="str">
        <f>IF(AA185="","",'Procyclean BIO'!J186)</f>
        <v/>
      </c>
      <c r="AF185">
        <f t="shared" si="29"/>
        <v>0</v>
      </c>
      <c r="AG185" t="str">
        <f t="shared" si="30"/>
        <v/>
      </c>
      <c r="AH185" t="str">
        <f t="shared" si="31"/>
        <v/>
      </c>
      <c r="AI185">
        <f t="shared" si="32"/>
        <v>0</v>
      </c>
      <c r="AJ185">
        <f t="shared" si="33"/>
        <v>0</v>
      </c>
      <c r="AK185">
        <v>0</v>
      </c>
      <c r="AL185" t="str">
        <f>IF(AA185="","",IFERROR(IF(ISNUMBER('Procyclean BIO'!D186),'Procyclean BIO'!D186,IF(ISNUMBER(SEARCH("12",'Procyclean BIO'!D186)),EDATE(AB185,12),IF(ISNUMBER(SEARCH("6",'Procyclean BIO'!D186)),EDATE(AB185,6),IF(ISNUMBER(SEARCH("3",'Procyclean BIO'!D186)),EDATE(AB185,3),DATEVALUE('Procyclean BIO'!D186))))),""))</f>
        <v/>
      </c>
      <c r="AM185" t="str">
        <f t="shared" ca="1" si="34"/>
        <v/>
      </c>
    </row>
    <row r="186" spans="27:39" x14ac:dyDescent="0.3">
      <c r="AA186" t="str">
        <f>IF(COUNTA('Procyclean BIO'!A187,'Procyclean BIO'!B187,'Procyclean BIO'!C187)&gt;0,"BIO","")</f>
        <v/>
      </c>
      <c r="AB186" t="str">
        <f>IFERROR(IF(ISNUMBER('Procyclean BIO'!A187),'Procyclean BIO'!A187,DATEVALUE('Procyclean BIO'!A187)),"")</f>
        <v/>
      </c>
      <c r="AC186" t="str">
        <f>IF(AA186="","",'Procyclean BIO'!B187)</f>
        <v/>
      </c>
      <c r="AD186" t="str">
        <f>IF(AA186="","",IFERROR(1*'Procyclean BIO'!C187,IFERROR(_xludf.NUMBERVALUE('Procyclean BIO'!C187,".",","),IFERROR(_xludf.NUMBERVALUE('Procyclean BIO'!C187,",","."),0))))</f>
        <v/>
      </c>
      <c r="AE186" t="str">
        <f>IF(AA186="","",'Procyclean BIO'!J187)</f>
        <v/>
      </c>
      <c r="AF186">
        <f t="shared" si="29"/>
        <v>0</v>
      </c>
      <c r="AG186" t="str">
        <f t="shared" si="30"/>
        <v/>
      </c>
      <c r="AH186" t="str">
        <f t="shared" si="31"/>
        <v/>
      </c>
      <c r="AI186">
        <f t="shared" si="32"/>
        <v>0</v>
      </c>
      <c r="AJ186">
        <f t="shared" si="33"/>
        <v>0</v>
      </c>
      <c r="AK186">
        <v>0</v>
      </c>
      <c r="AL186" t="str">
        <f>IF(AA186="","",IFERROR(IF(ISNUMBER('Procyclean BIO'!D187),'Procyclean BIO'!D187,IF(ISNUMBER(SEARCH("12",'Procyclean BIO'!D187)),EDATE(AB186,12),IF(ISNUMBER(SEARCH("6",'Procyclean BIO'!D187)),EDATE(AB186,6),IF(ISNUMBER(SEARCH("3",'Procyclean BIO'!D187)),EDATE(AB186,3),DATEVALUE('Procyclean BIO'!D187))))),""))</f>
        <v/>
      </c>
      <c r="AM186" t="str">
        <f t="shared" ca="1" si="34"/>
        <v/>
      </c>
    </row>
    <row r="187" spans="27:39" x14ac:dyDescent="0.3">
      <c r="AA187" t="str">
        <f>IF(COUNTA('Procyclean BIO'!A188,'Procyclean BIO'!B188,'Procyclean BIO'!C188)&gt;0,"BIO","")</f>
        <v/>
      </c>
      <c r="AB187" t="str">
        <f>IFERROR(IF(ISNUMBER('Procyclean BIO'!A188),'Procyclean BIO'!A188,DATEVALUE('Procyclean BIO'!A188)),"")</f>
        <v/>
      </c>
      <c r="AC187" t="str">
        <f>IF(AA187="","",'Procyclean BIO'!B188)</f>
        <v/>
      </c>
      <c r="AD187" t="str">
        <f>IF(AA187="","",IFERROR(1*'Procyclean BIO'!C188,IFERROR(_xludf.NUMBERVALUE('Procyclean BIO'!C188,".",","),IFERROR(_xludf.NUMBERVALUE('Procyclean BIO'!C188,",","."),0))))</f>
        <v/>
      </c>
      <c r="AE187" t="str">
        <f>IF(AA187="","",'Procyclean BIO'!J188)</f>
        <v/>
      </c>
      <c r="AF187">
        <f t="shared" si="29"/>
        <v>0</v>
      </c>
      <c r="AG187" t="str">
        <f t="shared" si="30"/>
        <v/>
      </c>
      <c r="AH187" t="str">
        <f t="shared" si="31"/>
        <v/>
      </c>
      <c r="AI187">
        <f t="shared" si="32"/>
        <v>0</v>
      </c>
      <c r="AJ187">
        <f t="shared" si="33"/>
        <v>0</v>
      </c>
      <c r="AK187">
        <v>0</v>
      </c>
      <c r="AL187" t="str">
        <f>IF(AA187="","",IFERROR(IF(ISNUMBER('Procyclean BIO'!D188),'Procyclean BIO'!D188,IF(ISNUMBER(SEARCH("12",'Procyclean BIO'!D188)),EDATE(AB187,12),IF(ISNUMBER(SEARCH("6",'Procyclean BIO'!D188)),EDATE(AB187,6),IF(ISNUMBER(SEARCH("3",'Procyclean BIO'!D188)),EDATE(AB187,3),DATEVALUE('Procyclean BIO'!D188))))),""))</f>
        <v/>
      </c>
      <c r="AM187" t="str">
        <f t="shared" ca="1" si="34"/>
        <v/>
      </c>
    </row>
    <row r="188" spans="27:39" x14ac:dyDescent="0.3">
      <c r="AA188" t="str">
        <f>IF(COUNTA('Procyclean BIO'!A189,'Procyclean BIO'!B189,'Procyclean BIO'!C189)&gt;0,"BIO","")</f>
        <v/>
      </c>
      <c r="AB188" t="str">
        <f>IFERROR(IF(ISNUMBER('Procyclean BIO'!A189),'Procyclean BIO'!A189,DATEVALUE('Procyclean BIO'!A189)),"")</f>
        <v/>
      </c>
      <c r="AC188" t="str">
        <f>IF(AA188="","",'Procyclean BIO'!B189)</f>
        <v/>
      </c>
      <c r="AD188" t="str">
        <f>IF(AA188="","",IFERROR(1*'Procyclean BIO'!C189,IFERROR(_xludf.NUMBERVALUE('Procyclean BIO'!C189,".",","),IFERROR(_xludf.NUMBERVALUE('Procyclean BIO'!C189,",","."),0))))</f>
        <v/>
      </c>
      <c r="AE188" t="str">
        <f>IF(AA188="","",'Procyclean BIO'!J189)</f>
        <v/>
      </c>
      <c r="AF188">
        <f t="shared" si="29"/>
        <v>0</v>
      </c>
      <c r="AG188" t="str">
        <f t="shared" si="30"/>
        <v/>
      </c>
      <c r="AH188" t="str">
        <f t="shared" si="31"/>
        <v/>
      </c>
      <c r="AI188">
        <f t="shared" si="32"/>
        <v>0</v>
      </c>
      <c r="AJ188">
        <f t="shared" si="33"/>
        <v>0</v>
      </c>
      <c r="AK188">
        <v>0</v>
      </c>
      <c r="AL188" t="str">
        <f>IF(AA188="","",IFERROR(IF(ISNUMBER('Procyclean BIO'!D189),'Procyclean BIO'!D189,IF(ISNUMBER(SEARCH("12",'Procyclean BIO'!D189)),EDATE(AB188,12),IF(ISNUMBER(SEARCH("6",'Procyclean BIO'!D189)),EDATE(AB188,6),IF(ISNUMBER(SEARCH("3",'Procyclean BIO'!D189)),EDATE(AB188,3),DATEVALUE('Procyclean BIO'!D189))))),""))</f>
        <v/>
      </c>
      <c r="AM188" t="str">
        <f t="shared" ca="1" si="34"/>
        <v/>
      </c>
    </row>
    <row r="189" spans="27:39" x14ac:dyDescent="0.3">
      <c r="AA189" t="str">
        <f>IF(COUNTA('Procyclean BIO'!A190,'Procyclean BIO'!B190,'Procyclean BIO'!C190)&gt;0,"BIO","")</f>
        <v/>
      </c>
      <c r="AB189" t="str">
        <f>IFERROR(IF(ISNUMBER('Procyclean BIO'!A190),'Procyclean BIO'!A190,DATEVALUE('Procyclean BIO'!A190)),"")</f>
        <v/>
      </c>
      <c r="AC189" t="str">
        <f>IF(AA189="","",'Procyclean BIO'!B190)</f>
        <v/>
      </c>
      <c r="AD189" t="str">
        <f>IF(AA189="","",IFERROR(1*'Procyclean BIO'!C190,IFERROR(_xludf.NUMBERVALUE('Procyclean BIO'!C190,".",","),IFERROR(_xludf.NUMBERVALUE('Procyclean BIO'!C190,",","."),0))))</f>
        <v/>
      </c>
      <c r="AE189" t="str">
        <f>IF(AA189="","",'Procyclean BIO'!J190)</f>
        <v/>
      </c>
      <c r="AF189">
        <f t="shared" si="29"/>
        <v>0</v>
      </c>
      <c r="AG189" t="str">
        <f t="shared" si="30"/>
        <v/>
      </c>
      <c r="AH189" t="str">
        <f t="shared" si="31"/>
        <v/>
      </c>
      <c r="AI189">
        <f t="shared" si="32"/>
        <v>0</v>
      </c>
      <c r="AJ189">
        <f t="shared" si="33"/>
        <v>0</v>
      </c>
      <c r="AK189">
        <v>0</v>
      </c>
      <c r="AL189" t="str">
        <f>IF(AA189="","",IFERROR(IF(ISNUMBER('Procyclean BIO'!D190),'Procyclean BIO'!D190,IF(ISNUMBER(SEARCH("12",'Procyclean BIO'!D190)),EDATE(AB189,12),IF(ISNUMBER(SEARCH("6",'Procyclean BIO'!D190)),EDATE(AB189,6),IF(ISNUMBER(SEARCH("3",'Procyclean BIO'!D190)),EDATE(AB189,3),DATEVALUE('Procyclean BIO'!D190))))),""))</f>
        <v/>
      </c>
      <c r="AM189" t="str">
        <f t="shared" ca="1" si="34"/>
        <v/>
      </c>
    </row>
    <row r="190" spans="27:39" x14ac:dyDescent="0.3">
      <c r="AA190" t="str">
        <f>IF(COUNTA('Procyclean BIO'!A191,'Procyclean BIO'!B191,'Procyclean BIO'!C191)&gt;0,"BIO","")</f>
        <v/>
      </c>
      <c r="AB190" t="str">
        <f>IFERROR(IF(ISNUMBER('Procyclean BIO'!A191),'Procyclean BIO'!A191,DATEVALUE('Procyclean BIO'!A191)),"")</f>
        <v/>
      </c>
      <c r="AC190" t="str">
        <f>IF(AA190="","",'Procyclean BIO'!B191)</f>
        <v/>
      </c>
      <c r="AD190" t="str">
        <f>IF(AA190="","",IFERROR(1*'Procyclean BIO'!C191,IFERROR(_xludf.NUMBERVALUE('Procyclean BIO'!C191,".",","),IFERROR(_xludf.NUMBERVALUE('Procyclean BIO'!C191,",","."),0))))</f>
        <v/>
      </c>
      <c r="AE190" t="str">
        <f>IF(AA190="","",'Procyclean BIO'!J191)</f>
        <v/>
      </c>
      <c r="AF190">
        <f t="shared" si="29"/>
        <v>0</v>
      </c>
      <c r="AG190" t="str">
        <f t="shared" si="30"/>
        <v/>
      </c>
      <c r="AH190" t="str">
        <f t="shared" si="31"/>
        <v/>
      </c>
      <c r="AI190">
        <f t="shared" si="32"/>
        <v>0</v>
      </c>
      <c r="AJ190">
        <f t="shared" si="33"/>
        <v>0</v>
      </c>
      <c r="AK190">
        <v>0</v>
      </c>
      <c r="AL190" t="str">
        <f>IF(AA190="","",IFERROR(IF(ISNUMBER('Procyclean BIO'!D191),'Procyclean BIO'!D191,IF(ISNUMBER(SEARCH("12",'Procyclean BIO'!D191)),EDATE(AB190,12),IF(ISNUMBER(SEARCH("6",'Procyclean BIO'!D191)),EDATE(AB190,6),IF(ISNUMBER(SEARCH("3",'Procyclean BIO'!D191)),EDATE(AB190,3),DATEVALUE('Procyclean BIO'!D191))))),""))</f>
        <v/>
      </c>
      <c r="AM190" t="str">
        <f t="shared" ca="1" si="34"/>
        <v/>
      </c>
    </row>
    <row r="191" spans="27:39" x14ac:dyDescent="0.3">
      <c r="AA191" t="str">
        <f>IF(COUNTA('Procyclean BIO'!A192,'Procyclean BIO'!B192,'Procyclean BIO'!C192)&gt;0,"BIO","")</f>
        <v/>
      </c>
      <c r="AB191" t="str">
        <f>IFERROR(IF(ISNUMBER('Procyclean BIO'!A192),'Procyclean BIO'!A192,DATEVALUE('Procyclean BIO'!A192)),"")</f>
        <v/>
      </c>
      <c r="AC191" t="str">
        <f>IF(AA191="","",'Procyclean BIO'!B192)</f>
        <v/>
      </c>
      <c r="AD191" t="str">
        <f>IF(AA191="","",IFERROR(1*'Procyclean BIO'!C192,IFERROR(_xludf.NUMBERVALUE('Procyclean BIO'!C192,".",","),IFERROR(_xludf.NUMBERVALUE('Procyclean BIO'!C192,",","."),0))))</f>
        <v/>
      </c>
      <c r="AE191" t="str">
        <f>IF(AA191="","",'Procyclean BIO'!J192)</f>
        <v/>
      </c>
      <c r="AF191">
        <f t="shared" si="29"/>
        <v>0</v>
      </c>
      <c r="AG191" t="str">
        <f t="shared" si="30"/>
        <v/>
      </c>
      <c r="AH191" t="str">
        <f t="shared" si="31"/>
        <v/>
      </c>
      <c r="AI191">
        <f t="shared" si="32"/>
        <v>0</v>
      </c>
      <c r="AJ191">
        <f t="shared" si="33"/>
        <v>0</v>
      </c>
      <c r="AK191">
        <v>0</v>
      </c>
      <c r="AL191" t="str">
        <f>IF(AA191="","",IFERROR(IF(ISNUMBER('Procyclean BIO'!D192),'Procyclean BIO'!D192,IF(ISNUMBER(SEARCH("12",'Procyclean BIO'!D192)),EDATE(AB191,12),IF(ISNUMBER(SEARCH("6",'Procyclean BIO'!D192)),EDATE(AB191,6),IF(ISNUMBER(SEARCH("3",'Procyclean BIO'!D192)),EDATE(AB191,3),DATEVALUE('Procyclean BIO'!D192))))),""))</f>
        <v/>
      </c>
      <c r="AM191" t="str">
        <f t="shared" ca="1" si="34"/>
        <v/>
      </c>
    </row>
    <row r="192" spans="27:39" x14ac:dyDescent="0.3">
      <c r="AA192" t="str">
        <f>IF(COUNTA('Procyclean BIO'!A193,'Procyclean BIO'!B193,'Procyclean BIO'!C193)&gt;0,"BIO","")</f>
        <v/>
      </c>
      <c r="AB192" t="str">
        <f>IFERROR(IF(ISNUMBER('Procyclean BIO'!A193),'Procyclean BIO'!A193,DATEVALUE('Procyclean BIO'!A193)),"")</f>
        <v/>
      </c>
      <c r="AC192" t="str">
        <f>IF(AA192="","",'Procyclean BIO'!B193)</f>
        <v/>
      </c>
      <c r="AD192" t="str">
        <f>IF(AA192="","",IFERROR(1*'Procyclean BIO'!C193,IFERROR(_xludf.NUMBERVALUE('Procyclean BIO'!C193,".",","),IFERROR(_xludf.NUMBERVALUE('Procyclean BIO'!C193,",","."),0))))</f>
        <v/>
      </c>
      <c r="AE192" t="str">
        <f>IF(AA192="","",'Procyclean BIO'!J193)</f>
        <v/>
      </c>
      <c r="AF192">
        <f t="shared" si="29"/>
        <v>0</v>
      </c>
      <c r="AG192" t="str">
        <f t="shared" si="30"/>
        <v/>
      </c>
      <c r="AH192" t="str">
        <f t="shared" si="31"/>
        <v/>
      </c>
      <c r="AI192">
        <f t="shared" si="32"/>
        <v>0</v>
      </c>
      <c r="AJ192">
        <f t="shared" si="33"/>
        <v>0</v>
      </c>
      <c r="AK192">
        <v>0</v>
      </c>
      <c r="AL192" t="str">
        <f>IF(AA192="","",IFERROR(IF(ISNUMBER('Procyclean BIO'!D193),'Procyclean BIO'!D193,IF(ISNUMBER(SEARCH("12",'Procyclean BIO'!D193)),EDATE(AB192,12),IF(ISNUMBER(SEARCH("6",'Procyclean BIO'!D193)),EDATE(AB192,6),IF(ISNUMBER(SEARCH("3",'Procyclean BIO'!D193)),EDATE(AB192,3),DATEVALUE('Procyclean BIO'!D193))))),""))</f>
        <v/>
      </c>
      <c r="AM192" t="str">
        <f t="shared" ca="1" si="34"/>
        <v/>
      </c>
    </row>
    <row r="193" spans="27:39" x14ac:dyDescent="0.3">
      <c r="AA193" t="str">
        <f>IF(COUNTA('Procyclean BIO'!A194,'Procyclean BIO'!B194,'Procyclean BIO'!C194)&gt;0,"BIO","")</f>
        <v/>
      </c>
      <c r="AB193" t="str">
        <f>IFERROR(IF(ISNUMBER('Procyclean BIO'!A194),'Procyclean BIO'!A194,DATEVALUE('Procyclean BIO'!A194)),"")</f>
        <v/>
      </c>
      <c r="AC193" t="str">
        <f>IF(AA193="","",'Procyclean BIO'!B194)</f>
        <v/>
      </c>
      <c r="AD193" t="str">
        <f>IF(AA193="","",IFERROR(1*'Procyclean BIO'!C194,IFERROR(_xludf.NUMBERVALUE('Procyclean BIO'!C194,".",","),IFERROR(_xludf.NUMBERVALUE('Procyclean BIO'!C194,",","."),0))))</f>
        <v/>
      </c>
      <c r="AE193" t="str">
        <f>IF(AA193="","",'Procyclean BIO'!J194)</f>
        <v/>
      </c>
      <c r="AF193">
        <f t="shared" si="29"/>
        <v>0</v>
      </c>
      <c r="AG193" t="str">
        <f t="shared" si="30"/>
        <v/>
      </c>
      <c r="AH193" t="str">
        <f t="shared" si="31"/>
        <v/>
      </c>
      <c r="AI193">
        <f t="shared" si="32"/>
        <v>0</v>
      </c>
      <c r="AJ193">
        <f t="shared" si="33"/>
        <v>0</v>
      </c>
      <c r="AK193">
        <v>0</v>
      </c>
      <c r="AL193" t="str">
        <f>IF(AA193="","",IFERROR(IF(ISNUMBER('Procyclean BIO'!D194),'Procyclean BIO'!D194,IF(ISNUMBER(SEARCH("12",'Procyclean BIO'!D194)),EDATE(AB193,12),IF(ISNUMBER(SEARCH("6",'Procyclean BIO'!D194)),EDATE(AB193,6),IF(ISNUMBER(SEARCH("3",'Procyclean BIO'!D194)),EDATE(AB193,3),DATEVALUE('Procyclean BIO'!D194))))),""))</f>
        <v/>
      </c>
      <c r="AM193" t="str">
        <f t="shared" ca="1" si="34"/>
        <v/>
      </c>
    </row>
    <row r="194" spans="27:39" x14ac:dyDescent="0.3">
      <c r="AA194" t="str">
        <f>IF(COUNTA('Procyclean BIO'!A195,'Procyclean BIO'!B195,'Procyclean BIO'!C195)&gt;0,"BIO","")</f>
        <v/>
      </c>
      <c r="AB194" t="str">
        <f>IFERROR(IF(ISNUMBER('Procyclean BIO'!A195),'Procyclean BIO'!A195,DATEVALUE('Procyclean BIO'!A195)),"")</f>
        <v/>
      </c>
      <c r="AC194" t="str">
        <f>IF(AA194="","",'Procyclean BIO'!B195)</f>
        <v/>
      </c>
      <c r="AD194" t="str">
        <f>IF(AA194="","",IFERROR(1*'Procyclean BIO'!C195,IFERROR(_xludf.NUMBERVALUE('Procyclean BIO'!C195,".",","),IFERROR(_xludf.NUMBERVALUE('Procyclean BIO'!C195,",","."),0))))</f>
        <v/>
      </c>
      <c r="AE194" t="str">
        <f>IF(AA194="","",'Procyclean BIO'!J195)</f>
        <v/>
      </c>
      <c r="AF194">
        <f t="shared" ref="AF194:AF257" si="35">IF(AA194="",0,--AND(ISNUMBER(SEARCH("aprov",AE194)),NOT(ISNUMBER(SEARCH("reprov",AE194)))))</f>
        <v>0</v>
      </c>
      <c r="AG194" t="str">
        <f t="shared" ref="AG194:AG257" si="36">IF(AB194="","",YEAR(AB194))</f>
        <v/>
      </c>
      <c r="AH194" t="str">
        <f t="shared" ref="AH194:AH257" si="37">IF(AB194="","",MONTH(AB194))</f>
        <v/>
      </c>
      <c r="AI194">
        <f t="shared" ref="AI194:AI257" si="38">IF(AB194="",0,AB194+ROW()/1000000)</f>
        <v>0</v>
      </c>
      <c r="AJ194">
        <f t="shared" ref="AJ194:AJ257" si="39">--(AA194&lt;&gt;"")</f>
        <v>0</v>
      </c>
      <c r="AK194">
        <v>0</v>
      </c>
      <c r="AL194" t="str">
        <f>IF(AA194="","",IFERROR(IF(ISNUMBER('Procyclean BIO'!D195),'Procyclean BIO'!D195,IF(ISNUMBER(SEARCH("12",'Procyclean BIO'!D195)),EDATE(AB194,12),IF(ISNUMBER(SEARCH("6",'Procyclean BIO'!D195)),EDATE(AB194,6),IF(ISNUMBER(SEARCH("3",'Procyclean BIO'!D195)),EDATE(AB194,3),DATEVALUE('Procyclean BIO'!D195))))),""))</f>
        <v/>
      </c>
      <c r="AM194" t="str">
        <f t="shared" ref="AM194:AM257" ca="1" si="40">IF(AND(AJ194=1,AL194&lt;&gt;"",AL194&gt;=TODAY(),AG194=$W$3),AL194+ROW()/1000000,"")</f>
        <v/>
      </c>
    </row>
    <row r="195" spans="27:39" x14ac:dyDescent="0.3">
      <c r="AA195" t="str">
        <f>IF(COUNTA('Procyclean BIO'!A196,'Procyclean BIO'!B196,'Procyclean BIO'!C196)&gt;0,"BIO","")</f>
        <v/>
      </c>
      <c r="AB195" t="str">
        <f>IFERROR(IF(ISNUMBER('Procyclean BIO'!A196),'Procyclean BIO'!A196,DATEVALUE('Procyclean BIO'!A196)),"")</f>
        <v/>
      </c>
      <c r="AC195" t="str">
        <f>IF(AA195="","",'Procyclean BIO'!B196)</f>
        <v/>
      </c>
      <c r="AD195" t="str">
        <f>IF(AA195="","",IFERROR(1*'Procyclean BIO'!C196,IFERROR(_xludf.NUMBERVALUE('Procyclean BIO'!C196,".",","),IFERROR(_xludf.NUMBERVALUE('Procyclean BIO'!C196,",","."),0))))</f>
        <v/>
      </c>
      <c r="AE195" t="str">
        <f>IF(AA195="","",'Procyclean BIO'!J196)</f>
        <v/>
      </c>
      <c r="AF195">
        <f t="shared" si="35"/>
        <v>0</v>
      </c>
      <c r="AG195" t="str">
        <f t="shared" si="36"/>
        <v/>
      </c>
      <c r="AH195" t="str">
        <f t="shared" si="37"/>
        <v/>
      </c>
      <c r="AI195">
        <f t="shared" si="38"/>
        <v>0</v>
      </c>
      <c r="AJ195">
        <f t="shared" si="39"/>
        <v>0</v>
      </c>
      <c r="AK195">
        <v>0</v>
      </c>
      <c r="AL195" t="str">
        <f>IF(AA195="","",IFERROR(IF(ISNUMBER('Procyclean BIO'!D196),'Procyclean BIO'!D196,IF(ISNUMBER(SEARCH("12",'Procyclean BIO'!D196)),EDATE(AB195,12),IF(ISNUMBER(SEARCH("6",'Procyclean BIO'!D196)),EDATE(AB195,6),IF(ISNUMBER(SEARCH("3",'Procyclean BIO'!D196)),EDATE(AB195,3),DATEVALUE('Procyclean BIO'!D196))))),""))</f>
        <v/>
      </c>
      <c r="AM195" t="str">
        <f t="shared" ca="1" si="40"/>
        <v/>
      </c>
    </row>
    <row r="196" spans="27:39" x14ac:dyDescent="0.3">
      <c r="AA196" t="str">
        <f>IF(COUNTA('Procyclean BIO'!A197,'Procyclean BIO'!B197,'Procyclean BIO'!C197)&gt;0,"BIO","")</f>
        <v/>
      </c>
      <c r="AB196" t="str">
        <f>IFERROR(IF(ISNUMBER('Procyclean BIO'!A197),'Procyclean BIO'!A197,DATEVALUE('Procyclean BIO'!A197)),"")</f>
        <v/>
      </c>
      <c r="AC196" t="str">
        <f>IF(AA196="","",'Procyclean BIO'!B197)</f>
        <v/>
      </c>
      <c r="AD196" t="str">
        <f>IF(AA196="","",IFERROR(1*'Procyclean BIO'!C197,IFERROR(_xludf.NUMBERVALUE('Procyclean BIO'!C197,".",","),IFERROR(_xludf.NUMBERVALUE('Procyclean BIO'!C197,",","."),0))))</f>
        <v/>
      </c>
      <c r="AE196" t="str">
        <f>IF(AA196="","",'Procyclean BIO'!J197)</f>
        <v/>
      </c>
      <c r="AF196">
        <f t="shared" si="35"/>
        <v>0</v>
      </c>
      <c r="AG196" t="str">
        <f t="shared" si="36"/>
        <v/>
      </c>
      <c r="AH196" t="str">
        <f t="shared" si="37"/>
        <v/>
      </c>
      <c r="AI196">
        <f t="shared" si="38"/>
        <v>0</v>
      </c>
      <c r="AJ196">
        <f t="shared" si="39"/>
        <v>0</v>
      </c>
      <c r="AK196">
        <v>0</v>
      </c>
      <c r="AL196" t="str">
        <f>IF(AA196="","",IFERROR(IF(ISNUMBER('Procyclean BIO'!D197),'Procyclean BIO'!D197,IF(ISNUMBER(SEARCH("12",'Procyclean BIO'!D197)),EDATE(AB196,12),IF(ISNUMBER(SEARCH("6",'Procyclean BIO'!D197)),EDATE(AB196,6),IF(ISNUMBER(SEARCH("3",'Procyclean BIO'!D197)),EDATE(AB196,3),DATEVALUE('Procyclean BIO'!D197))))),""))</f>
        <v/>
      </c>
      <c r="AM196" t="str">
        <f t="shared" ca="1" si="40"/>
        <v/>
      </c>
    </row>
    <row r="197" spans="27:39" x14ac:dyDescent="0.3">
      <c r="AA197" t="str">
        <f>IF(COUNTA('Procyclean BIO'!A198,'Procyclean BIO'!B198,'Procyclean BIO'!C198)&gt;0,"BIO","")</f>
        <v/>
      </c>
      <c r="AB197" t="str">
        <f>IFERROR(IF(ISNUMBER('Procyclean BIO'!A198),'Procyclean BIO'!A198,DATEVALUE('Procyclean BIO'!A198)),"")</f>
        <v/>
      </c>
      <c r="AC197" t="str">
        <f>IF(AA197="","",'Procyclean BIO'!B198)</f>
        <v/>
      </c>
      <c r="AD197" t="str">
        <f>IF(AA197="","",IFERROR(1*'Procyclean BIO'!C198,IFERROR(_xludf.NUMBERVALUE('Procyclean BIO'!C198,".",","),IFERROR(_xludf.NUMBERVALUE('Procyclean BIO'!C198,",","."),0))))</f>
        <v/>
      </c>
      <c r="AE197" t="str">
        <f>IF(AA197="","",'Procyclean BIO'!J198)</f>
        <v/>
      </c>
      <c r="AF197">
        <f t="shared" si="35"/>
        <v>0</v>
      </c>
      <c r="AG197" t="str">
        <f t="shared" si="36"/>
        <v/>
      </c>
      <c r="AH197" t="str">
        <f t="shared" si="37"/>
        <v/>
      </c>
      <c r="AI197">
        <f t="shared" si="38"/>
        <v>0</v>
      </c>
      <c r="AJ197">
        <f t="shared" si="39"/>
        <v>0</v>
      </c>
      <c r="AK197">
        <v>0</v>
      </c>
      <c r="AL197" t="str">
        <f>IF(AA197="","",IFERROR(IF(ISNUMBER('Procyclean BIO'!D198),'Procyclean BIO'!D198,IF(ISNUMBER(SEARCH("12",'Procyclean BIO'!D198)),EDATE(AB197,12),IF(ISNUMBER(SEARCH("6",'Procyclean BIO'!D198)),EDATE(AB197,6),IF(ISNUMBER(SEARCH("3",'Procyclean BIO'!D198)),EDATE(AB197,3),DATEVALUE('Procyclean BIO'!D198))))),""))</f>
        <v/>
      </c>
      <c r="AM197" t="str">
        <f t="shared" ca="1" si="40"/>
        <v/>
      </c>
    </row>
    <row r="198" spans="27:39" x14ac:dyDescent="0.3">
      <c r="AA198" t="str">
        <f>IF(COUNTA('Procyclean BIO'!A199,'Procyclean BIO'!B199,'Procyclean BIO'!C199)&gt;0,"BIO","")</f>
        <v/>
      </c>
      <c r="AB198" t="str">
        <f>IFERROR(IF(ISNUMBER('Procyclean BIO'!A199),'Procyclean BIO'!A199,DATEVALUE('Procyclean BIO'!A199)),"")</f>
        <v/>
      </c>
      <c r="AC198" t="str">
        <f>IF(AA198="","",'Procyclean BIO'!B199)</f>
        <v/>
      </c>
      <c r="AD198" t="str">
        <f>IF(AA198="","",IFERROR(1*'Procyclean BIO'!C199,IFERROR(_xludf.NUMBERVALUE('Procyclean BIO'!C199,".",","),IFERROR(_xludf.NUMBERVALUE('Procyclean BIO'!C199,",","."),0))))</f>
        <v/>
      </c>
      <c r="AE198" t="str">
        <f>IF(AA198="","",'Procyclean BIO'!J199)</f>
        <v/>
      </c>
      <c r="AF198">
        <f t="shared" si="35"/>
        <v>0</v>
      </c>
      <c r="AG198" t="str">
        <f t="shared" si="36"/>
        <v/>
      </c>
      <c r="AH198" t="str">
        <f t="shared" si="37"/>
        <v/>
      </c>
      <c r="AI198">
        <f t="shared" si="38"/>
        <v>0</v>
      </c>
      <c r="AJ198">
        <f t="shared" si="39"/>
        <v>0</v>
      </c>
      <c r="AK198">
        <v>0</v>
      </c>
      <c r="AL198" t="str">
        <f>IF(AA198="","",IFERROR(IF(ISNUMBER('Procyclean BIO'!D199),'Procyclean BIO'!D199,IF(ISNUMBER(SEARCH("12",'Procyclean BIO'!D199)),EDATE(AB198,12),IF(ISNUMBER(SEARCH("6",'Procyclean BIO'!D199)),EDATE(AB198,6),IF(ISNUMBER(SEARCH("3",'Procyclean BIO'!D199)),EDATE(AB198,3),DATEVALUE('Procyclean BIO'!D199))))),""))</f>
        <v/>
      </c>
      <c r="AM198" t="str">
        <f t="shared" ca="1" si="40"/>
        <v/>
      </c>
    </row>
    <row r="199" spans="27:39" x14ac:dyDescent="0.3">
      <c r="AA199" t="str">
        <f>IF(COUNTA('Procyclean BIO'!A200,'Procyclean BIO'!B200,'Procyclean BIO'!C200)&gt;0,"BIO","")</f>
        <v/>
      </c>
      <c r="AB199" t="str">
        <f>IFERROR(IF(ISNUMBER('Procyclean BIO'!A200),'Procyclean BIO'!A200,DATEVALUE('Procyclean BIO'!A200)),"")</f>
        <v/>
      </c>
      <c r="AC199" t="str">
        <f>IF(AA199="","",'Procyclean BIO'!B200)</f>
        <v/>
      </c>
      <c r="AD199" t="str">
        <f>IF(AA199="","",IFERROR(1*'Procyclean BIO'!C200,IFERROR(_xludf.NUMBERVALUE('Procyclean BIO'!C200,".",","),IFERROR(_xludf.NUMBERVALUE('Procyclean BIO'!C200,",","."),0))))</f>
        <v/>
      </c>
      <c r="AE199" t="str">
        <f>IF(AA199="","",'Procyclean BIO'!J200)</f>
        <v/>
      </c>
      <c r="AF199">
        <f t="shared" si="35"/>
        <v>0</v>
      </c>
      <c r="AG199" t="str">
        <f t="shared" si="36"/>
        <v/>
      </c>
      <c r="AH199" t="str">
        <f t="shared" si="37"/>
        <v/>
      </c>
      <c r="AI199">
        <f t="shared" si="38"/>
        <v>0</v>
      </c>
      <c r="AJ199">
        <f t="shared" si="39"/>
        <v>0</v>
      </c>
      <c r="AK199">
        <v>0</v>
      </c>
      <c r="AL199" t="str">
        <f>IF(AA199="","",IFERROR(IF(ISNUMBER('Procyclean BIO'!D200),'Procyclean BIO'!D200,IF(ISNUMBER(SEARCH("12",'Procyclean BIO'!D200)),EDATE(AB199,12),IF(ISNUMBER(SEARCH("6",'Procyclean BIO'!D200)),EDATE(AB199,6),IF(ISNUMBER(SEARCH("3",'Procyclean BIO'!D200)),EDATE(AB199,3),DATEVALUE('Procyclean BIO'!D200))))),""))</f>
        <v/>
      </c>
      <c r="AM199" t="str">
        <f t="shared" ca="1" si="40"/>
        <v/>
      </c>
    </row>
    <row r="200" spans="27:39" x14ac:dyDescent="0.3">
      <c r="AA200" t="str">
        <f>IF(COUNTA('Procyclean BIO'!A201,'Procyclean BIO'!B201,'Procyclean BIO'!C201)&gt;0,"BIO","")</f>
        <v/>
      </c>
      <c r="AB200" t="str">
        <f>IFERROR(IF(ISNUMBER('Procyclean BIO'!A201),'Procyclean BIO'!A201,DATEVALUE('Procyclean BIO'!A201)),"")</f>
        <v/>
      </c>
      <c r="AC200" t="str">
        <f>IF(AA200="","",'Procyclean BIO'!B201)</f>
        <v/>
      </c>
      <c r="AD200" t="str">
        <f>IF(AA200="","",IFERROR(1*'Procyclean BIO'!C201,IFERROR(_xludf.NUMBERVALUE('Procyclean BIO'!C201,".",","),IFERROR(_xludf.NUMBERVALUE('Procyclean BIO'!C201,",","."),0))))</f>
        <v/>
      </c>
      <c r="AE200" t="str">
        <f>IF(AA200="","",'Procyclean BIO'!J201)</f>
        <v/>
      </c>
      <c r="AF200">
        <f t="shared" si="35"/>
        <v>0</v>
      </c>
      <c r="AG200" t="str">
        <f t="shared" si="36"/>
        <v/>
      </c>
      <c r="AH200" t="str">
        <f t="shared" si="37"/>
        <v/>
      </c>
      <c r="AI200">
        <f t="shared" si="38"/>
        <v>0</v>
      </c>
      <c r="AJ200">
        <f t="shared" si="39"/>
        <v>0</v>
      </c>
      <c r="AK200">
        <v>0</v>
      </c>
      <c r="AL200" t="str">
        <f>IF(AA200="","",IFERROR(IF(ISNUMBER('Procyclean BIO'!D201),'Procyclean BIO'!D201,IF(ISNUMBER(SEARCH("12",'Procyclean BIO'!D201)),EDATE(AB200,12),IF(ISNUMBER(SEARCH("6",'Procyclean BIO'!D201)),EDATE(AB200,6),IF(ISNUMBER(SEARCH("3",'Procyclean BIO'!D201)),EDATE(AB200,3),DATEVALUE('Procyclean BIO'!D201))))),""))</f>
        <v/>
      </c>
      <c r="AM200" t="str">
        <f t="shared" ca="1" si="40"/>
        <v/>
      </c>
    </row>
    <row r="201" spans="27:39" x14ac:dyDescent="0.3">
      <c r="AA201" t="str">
        <f>IF(COUNTA('Procyclean BIO'!A202,'Procyclean BIO'!B202,'Procyclean BIO'!C202)&gt;0,"BIO","")</f>
        <v/>
      </c>
      <c r="AB201" t="str">
        <f>IFERROR(IF(ISNUMBER('Procyclean BIO'!A202),'Procyclean BIO'!A202,DATEVALUE('Procyclean BIO'!A202)),"")</f>
        <v/>
      </c>
      <c r="AC201" t="str">
        <f>IF(AA201="","",'Procyclean BIO'!B202)</f>
        <v/>
      </c>
      <c r="AD201" t="str">
        <f>IF(AA201="","",IFERROR(1*'Procyclean BIO'!C202,IFERROR(_xludf.NUMBERVALUE('Procyclean BIO'!C202,".",","),IFERROR(_xludf.NUMBERVALUE('Procyclean BIO'!C202,",","."),0))))</f>
        <v/>
      </c>
      <c r="AE201" t="str">
        <f>IF(AA201="","",'Procyclean BIO'!J202)</f>
        <v/>
      </c>
      <c r="AF201">
        <f t="shared" si="35"/>
        <v>0</v>
      </c>
      <c r="AG201" t="str">
        <f t="shared" si="36"/>
        <v/>
      </c>
      <c r="AH201" t="str">
        <f t="shared" si="37"/>
        <v/>
      </c>
      <c r="AI201">
        <f t="shared" si="38"/>
        <v>0</v>
      </c>
      <c r="AJ201">
        <f t="shared" si="39"/>
        <v>0</v>
      </c>
      <c r="AK201">
        <v>0</v>
      </c>
      <c r="AL201" t="str">
        <f>IF(AA201="","",IFERROR(IF(ISNUMBER('Procyclean BIO'!D202),'Procyclean BIO'!D202,IF(ISNUMBER(SEARCH("12",'Procyclean BIO'!D202)),EDATE(AB201,12),IF(ISNUMBER(SEARCH("6",'Procyclean BIO'!D202)),EDATE(AB201,6),IF(ISNUMBER(SEARCH("3",'Procyclean BIO'!D202)),EDATE(AB201,3),DATEVALUE('Procyclean BIO'!D202))))),""))</f>
        <v/>
      </c>
      <c r="AM201" t="str">
        <f t="shared" ca="1" si="40"/>
        <v/>
      </c>
    </row>
    <row r="202" spans="27:39" x14ac:dyDescent="0.3">
      <c r="AA202" t="str">
        <f>IF(COUNTA('Procyclean BIO'!A203,'Procyclean BIO'!B203,'Procyclean BIO'!C203)&gt;0,"BIO","")</f>
        <v/>
      </c>
      <c r="AB202" t="str">
        <f>IFERROR(IF(ISNUMBER('Procyclean BIO'!A203),'Procyclean BIO'!A203,DATEVALUE('Procyclean BIO'!A203)),"")</f>
        <v/>
      </c>
      <c r="AC202" t="str">
        <f>IF(AA202="","",'Procyclean BIO'!B203)</f>
        <v/>
      </c>
      <c r="AD202" t="str">
        <f>IF(AA202="","",IFERROR(1*'Procyclean BIO'!C203,IFERROR(_xludf.NUMBERVALUE('Procyclean BIO'!C203,".",","),IFERROR(_xludf.NUMBERVALUE('Procyclean BIO'!C203,",","."),0))))</f>
        <v/>
      </c>
      <c r="AE202" t="str">
        <f>IF(AA202="","",'Procyclean BIO'!J203)</f>
        <v/>
      </c>
      <c r="AF202">
        <f t="shared" si="35"/>
        <v>0</v>
      </c>
      <c r="AG202" t="str">
        <f t="shared" si="36"/>
        <v/>
      </c>
      <c r="AH202" t="str">
        <f t="shared" si="37"/>
        <v/>
      </c>
      <c r="AI202">
        <f t="shared" si="38"/>
        <v>0</v>
      </c>
      <c r="AJ202">
        <f t="shared" si="39"/>
        <v>0</v>
      </c>
      <c r="AK202">
        <v>0</v>
      </c>
      <c r="AL202" t="str">
        <f>IF(AA202="","",IFERROR(IF(ISNUMBER('Procyclean BIO'!D203),'Procyclean BIO'!D203,IF(ISNUMBER(SEARCH("12",'Procyclean BIO'!D203)),EDATE(AB202,12),IF(ISNUMBER(SEARCH("6",'Procyclean BIO'!D203)),EDATE(AB202,6),IF(ISNUMBER(SEARCH("3",'Procyclean BIO'!D203)),EDATE(AB202,3),DATEVALUE('Procyclean BIO'!D203))))),""))</f>
        <v/>
      </c>
      <c r="AM202" t="str">
        <f t="shared" ca="1" si="40"/>
        <v/>
      </c>
    </row>
    <row r="203" spans="27:39" x14ac:dyDescent="0.3">
      <c r="AA203" t="str">
        <f>IF(COUNTA('Procyclean BIO'!A204,'Procyclean BIO'!B204,'Procyclean BIO'!C204)&gt;0,"BIO","")</f>
        <v/>
      </c>
      <c r="AB203" t="str">
        <f>IFERROR(IF(ISNUMBER('Procyclean BIO'!A204),'Procyclean BIO'!A204,DATEVALUE('Procyclean BIO'!A204)),"")</f>
        <v/>
      </c>
      <c r="AC203" t="str">
        <f>IF(AA203="","",'Procyclean BIO'!B204)</f>
        <v/>
      </c>
      <c r="AD203" t="str">
        <f>IF(AA203="","",IFERROR(1*'Procyclean BIO'!C204,IFERROR(_xludf.NUMBERVALUE('Procyclean BIO'!C204,".",","),IFERROR(_xludf.NUMBERVALUE('Procyclean BIO'!C204,",","."),0))))</f>
        <v/>
      </c>
      <c r="AE203" t="str">
        <f>IF(AA203="","",'Procyclean BIO'!J204)</f>
        <v/>
      </c>
      <c r="AF203">
        <f t="shared" si="35"/>
        <v>0</v>
      </c>
      <c r="AG203" t="str">
        <f t="shared" si="36"/>
        <v/>
      </c>
      <c r="AH203" t="str">
        <f t="shared" si="37"/>
        <v/>
      </c>
      <c r="AI203">
        <f t="shared" si="38"/>
        <v>0</v>
      </c>
      <c r="AJ203">
        <f t="shared" si="39"/>
        <v>0</v>
      </c>
      <c r="AK203">
        <v>0</v>
      </c>
      <c r="AL203" t="str">
        <f>IF(AA203="","",IFERROR(IF(ISNUMBER('Procyclean BIO'!D204),'Procyclean BIO'!D204,IF(ISNUMBER(SEARCH("12",'Procyclean BIO'!D204)),EDATE(AB203,12),IF(ISNUMBER(SEARCH("6",'Procyclean BIO'!D204)),EDATE(AB203,6),IF(ISNUMBER(SEARCH("3",'Procyclean BIO'!D204)),EDATE(AB203,3),DATEVALUE('Procyclean BIO'!D204))))),""))</f>
        <v/>
      </c>
      <c r="AM203" t="str">
        <f t="shared" ca="1" si="40"/>
        <v/>
      </c>
    </row>
    <row r="204" spans="27:39" x14ac:dyDescent="0.3">
      <c r="AA204" t="str">
        <f>IF(COUNTA('Procyclean BIO'!A205,'Procyclean BIO'!B205,'Procyclean BIO'!C205)&gt;0,"BIO","")</f>
        <v/>
      </c>
      <c r="AB204" t="str">
        <f>IFERROR(IF(ISNUMBER('Procyclean BIO'!A205),'Procyclean BIO'!A205,DATEVALUE('Procyclean BIO'!A205)),"")</f>
        <v/>
      </c>
      <c r="AC204" t="str">
        <f>IF(AA204="","",'Procyclean BIO'!B205)</f>
        <v/>
      </c>
      <c r="AD204" t="str">
        <f>IF(AA204="","",IFERROR(1*'Procyclean BIO'!C205,IFERROR(_xludf.NUMBERVALUE('Procyclean BIO'!C205,".",","),IFERROR(_xludf.NUMBERVALUE('Procyclean BIO'!C205,",","."),0))))</f>
        <v/>
      </c>
      <c r="AE204" t="str">
        <f>IF(AA204="","",'Procyclean BIO'!J205)</f>
        <v/>
      </c>
      <c r="AF204">
        <f t="shared" si="35"/>
        <v>0</v>
      </c>
      <c r="AG204" t="str">
        <f t="shared" si="36"/>
        <v/>
      </c>
      <c r="AH204" t="str">
        <f t="shared" si="37"/>
        <v/>
      </c>
      <c r="AI204">
        <f t="shared" si="38"/>
        <v>0</v>
      </c>
      <c r="AJ204">
        <f t="shared" si="39"/>
        <v>0</v>
      </c>
      <c r="AK204">
        <v>0</v>
      </c>
      <c r="AL204" t="str">
        <f>IF(AA204="","",IFERROR(IF(ISNUMBER('Procyclean BIO'!D205),'Procyclean BIO'!D205,IF(ISNUMBER(SEARCH("12",'Procyclean BIO'!D205)),EDATE(AB204,12),IF(ISNUMBER(SEARCH("6",'Procyclean BIO'!D205)),EDATE(AB204,6),IF(ISNUMBER(SEARCH("3",'Procyclean BIO'!D205)),EDATE(AB204,3),DATEVALUE('Procyclean BIO'!D205))))),""))</f>
        <v/>
      </c>
      <c r="AM204" t="str">
        <f t="shared" ca="1" si="40"/>
        <v/>
      </c>
    </row>
    <row r="205" spans="27:39" x14ac:dyDescent="0.3">
      <c r="AA205" t="str">
        <f>IF(COUNTA('Procyclean BIO'!A206,'Procyclean BIO'!B206,'Procyclean BIO'!C206)&gt;0,"BIO","")</f>
        <v/>
      </c>
      <c r="AB205" t="str">
        <f>IFERROR(IF(ISNUMBER('Procyclean BIO'!A206),'Procyclean BIO'!A206,DATEVALUE('Procyclean BIO'!A206)),"")</f>
        <v/>
      </c>
      <c r="AC205" t="str">
        <f>IF(AA205="","",'Procyclean BIO'!B206)</f>
        <v/>
      </c>
      <c r="AD205" t="str">
        <f>IF(AA205="","",IFERROR(1*'Procyclean BIO'!C206,IFERROR(_xludf.NUMBERVALUE('Procyclean BIO'!C206,".",","),IFERROR(_xludf.NUMBERVALUE('Procyclean BIO'!C206,",","."),0))))</f>
        <v/>
      </c>
      <c r="AE205" t="str">
        <f>IF(AA205="","",'Procyclean BIO'!J206)</f>
        <v/>
      </c>
      <c r="AF205">
        <f t="shared" si="35"/>
        <v>0</v>
      </c>
      <c r="AG205" t="str">
        <f t="shared" si="36"/>
        <v/>
      </c>
      <c r="AH205" t="str">
        <f t="shared" si="37"/>
        <v/>
      </c>
      <c r="AI205">
        <f t="shared" si="38"/>
        <v>0</v>
      </c>
      <c r="AJ205">
        <f t="shared" si="39"/>
        <v>0</v>
      </c>
      <c r="AK205">
        <v>0</v>
      </c>
      <c r="AL205" t="str">
        <f>IF(AA205="","",IFERROR(IF(ISNUMBER('Procyclean BIO'!D206),'Procyclean BIO'!D206,IF(ISNUMBER(SEARCH("12",'Procyclean BIO'!D206)),EDATE(AB205,12),IF(ISNUMBER(SEARCH("6",'Procyclean BIO'!D206)),EDATE(AB205,6),IF(ISNUMBER(SEARCH("3",'Procyclean BIO'!D206)),EDATE(AB205,3),DATEVALUE('Procyclean BIO'!D206))))),""))</f>
        <v/>
      </c>
      <c r="AM205" t="str">
        <f t="shared" ca="1" si="40"/>
        <v/>
      </c>
    </row>
    <row r="206" spans="27:39" x14ac:dyDescent="0.3">
      <c r="AA206" t="str">
        <f>IF(COUNTA('Procyclean BIO'!A207,'Procyclean BIO'!B207,'Procyclean BIO'!C207)&gt;0,"BIO","")</f>
        <v/>
      </c>
      <c r="AB206" t="str">
        <f>IFERROR(IF(ISNUMBER('Procyclean BIO'!A207),'Procyclean BIO'!A207,DATEVALUE('Procyclean BIO'!A207)),"")</f>
        <v/>
      </c>
      <c r="AC206" t="str">
        <f>IF(AA206="","",'Procyclean BIO'!B207)</f>
        <v/>
      </c>
      <c r="AD206" t="str">
        <f>IF(AA206="","",IFERROR(1*'Procyclean BIO'!C207,IFERROR(_xludf.NUMBERVALUE('Procyclean BIO'!C207,".",","),IFERROR(_xludf.NUMBERVALUE('Procyclean BIO'!C207,",","."),0))))</f>
        <v/>
      </c>
      <c r="AE206" t="str">
        <f>IF(AA206="","",'Procyclean BIO'!J207)</f>
        <v/>
      </c>
      <c r="AF206">
        <f t="shared" si="35"/>
        <v>0</v>
      </c>
      <c r="AG206" t="str">
        <f t="shared" si="36"/>
        <v/>
      </c>
      <c r="AH206" t="str">
        <f t="shared" si="37"/>
        <v/>
      </c>
      <c r="AI206">
        <f t="shared" si="38"/>
        <v>0</v>
      </c>
      <c r="AJ206">
        <f t="shared" si="39"/>
        <v>0</v>
      </c>
      <c r="AK206">
        <v>0</v>
      </c>
      <c r="AL206" t="str">
        <f>IF(AA206="","",IFERROR(IF(ISNUMBER('Procyclean BIO'!D207),'Procyclean BIO'!D207,IF(ISNUMBER(SEARCH("12",'Procyclean BIO'!D207)),EDATE(AB206,12),IF(ISNUMBER(SEARCH("6",'Procyclean BIO'!D207)),EDATE(AB206,6),IF(ISNUMBER(SEARCH("3",'Procyclean BIO'!D207)),EDATE(AB206,3),DATEVALUE('Procyclean BIO'!D207))))),""))</f>
        <v/>
      </c>
      <c r="AM206" t="str">
        <f t="shared" ca="1" si="40"/>
        <v/>
      </c>
    </row>
    <row r="207" spans="27:39" x14ac:dyDescent="0.3">
      <c r="AA207" t="str">
        <f>IF(COUNTA('Procyclean BIO'!A208,'Procyclean BIO'!B208,'Procyclean BIO'!C208)&gt;0,"BIO","")</f>
        <v/>
      </c>
      <c r="AB207" t="str">
        <f>IFERROR(IF(ISNUMBER('Procyclean BIO'!A208),'Procyclean BIO'!A208,DATEVALUE('Procyclean BIO'!A208)),"")</f>
        <v/>
      </c>
      <c r="AC207" t="str">
        <f>IF(AA207="","",'Procyclean BIO'!B208)</f>
        <v/>
      </c>
      <c r="AD207" t="str">
        <f>IF(AA207="","",IFERROR(1*'Procyclean BIO'!C208,IFERROR(_xludf.NUMBERVALUE('Procyclean BIO'!C208,".",","),IFERROR(_xludf.NUMBERVALUE('Procyclean BIO'!C208,",","."),0))))</f>
        <v/>
      </c>
      <c r="AE207" t="str">
        <f>IF(AA207="","",'Procyclean BIO'!J208)</f>
        <v/>
      </c>
      <c r="AF207">
        <f t="shared" si="35"/>
        <v>0</v>
      </c>
      <c r="AG207" t="str">
        <f t="shared" si="36"/>
        <v/>
      </c>
      <c r="AH207" t="str">
        <f t="shared" si="37"/>
        <v/>
      </c>
      <c r="AI207">
        <f t="shared" si="38"/>
        <v>0</v>
      </c>
      <c r="AJ207">
        <f t="shared" si="39"/>
        <v>0</v>
      </c>
      <c r="AK207">
        <v>0</v>
      </c>
      <c r="AL207" t="str">
        <f>IF(AA207="","",IFERROR(IF(ISNUMBER('Procyclean BIO'!D208),'Procyclean BIO'!D208,IF(ISNUMBER(SEARCH("12",'Procyclean BIO'!D208)),EDATE(AB207,12),IF(ISNUMBER(SEARCH("6",'Procyclean BIO'!D208)),EDATE(AB207,6),IF(ISNUMBER(SEARCH("3",'Procyclean BIO'!D208)),EDATE(AB207,3),DATEVALUE('Procyclean BIO'!D208))))),""))</f>
        <v/>
      </c>
      <c r="AM207" t="str">
        <f t="shared" ca="1" si="40"/>
        <v/>
      </c>
    </row>
    <row r="208" spans="27:39" x14ac:dyDescent="0.3">
      <c r="AA208" t="str">
        <f>IF(COUNTA('Procyclean BIO'!A209,'Procyclean BIO'!B209,'Procyclean BIO'!C209)&gt;0,"BIO","")</f>
        <v/>
      </c>
      <c r="AB208" t="str">
        <f>IFERROR(IF(ISNUMBER('Procyclean BIO'!A209),'Procyclean BIO'!A209,DATEVALUE('Procyclean BIO'!A209)),"")</f>
        <v/>
      </c>
      <c r="AC208" t="str">
        <f>IF(AA208="","",'Procyclean BIO'!B209)</f>
        <v/>
      </c>
      <c r="AD208" t="str">
        <f>IF(AA208="","",IFERROR(1*'Procyclean BIO'!C209,IFERROR(_xludf.NUMBERVALUE('Procyclean BIO'!C209,".",","),IFERROR(_xludf.NUMBERVALUE('Procyclean BIO'!C209,",","."),0))))</f>
        <v/>
      </c>
      <c r="AE208" t="str">
        <f>IF(AA208="","",'Procyclean BIO'!J209)</f>
        <v/>
      </c>
      <c r="AF208">
        <f t="shared" si="35"/>
        <v>0</v>
      </c>
      <c r="AG208" t="str">
        <f t="shared" si="36"/>
        <v/>
      </c>
      <c r="AH208" t="str">
        <f t="shared" si="37"/>
        <v/>
      </c>
      <c r="AI208">
        <f t="shared" si="38"/>
        <v>0</v>
      </c>
      <c r="AJ208">
        <f t="shared" si="39"/>
        <v>0</v>
      </c>
      <c r="AK208">
        <v>0</v>
      </c>
      <c r="AL208" t="str">
        <f>IF(AA208="","",IFERROR(IF(ISNUMBER('Procyclean BIO'!D209),'Procyclean BIO'!D209,IF(ISNUMBER(SEARCH("12",'Procyclean BIO'!D209)),EDATE(AB208,12),IF(ISNUMBER(SEARCH("6",'Procyclean BIO'!D209)),EDATE(AB208,6),IF(ISNUMBER(SEARCH("3",'Procyclean BIO'!D209)),EDATE(AB208,3),DATEVALUE('Procyclean BIO'!D209))))),""))</f>
        <v/>
      </c>
      <c r="AM208" t="str">
        <f t="shared" ca="1" si="40"/>
        <v/>
      </c>
    </row>
    <row r="209" spans="27:39" x14ac:dyDescent="0.3">
      <c r="AA209" t="str">
        <f>IF(COUNTA('Procyclean BIO'!A210,'Procyclean BIO'!B210,'Procyclean BIO'!C210)&gt;0,"BIO","")</f>
        <v/>
      </c>
      <c r="AB209" t="str">
        <f>IFERROR(IF(ISNUMBER('Procyclean BIO'!A210),'Procyclean BIO'!A210,DATEVALUE('Procyclean BIO'!A210)),"")</f>
        <v/>
      </c>
      <c r="AC209" t="str">
        <f>IF(AA209="","",'Procyclean BIO'!B210)</f>
        <v/>
      </c>
      <c r="AD209" t="str">
        <f>IF(AA209="","",IFERROR(1*'Procyclean BIO'!C210,IFERROR(_xludf.NUMBERVALUE('Procyclean BIO'!C210,".",","),IFERROR(_xludf.NUMBERVALUE('Procyclean BIO'!C210,",","."),0))))</f>
        <v/>
      </c>
      <c r="AE209" t="str">
        <f>IF(AA209="","",'Procyclean BIO'!J210)</f>
        <v/>
      </c>
      <c r="AF209">
        <f t="shared" si="35"/>
        <v>0</v>
      </c>
      <c r="AG209" t="str">
        <f t="shared" si="36"/>
        <v/>
      </c>
      <c r="AH209" t="str">
        <f t="shared" si="37"/>
        <v/>
      </c>
      <c r="AI209">
        <f t="shared" si="38"/>
        <v>0</v>
      </c>
      <c r="AJ209">
        <f t="shared" si="39"/>
        <v>0</v>
      </c>
      <c r="AK209">
        <v>0</v>
      </c>
      <c r="AL209" t="str">
        <f>IF(AA209="","",IFERROR(IF(ISNUMBER('Procyclean BIO'!D210),'Procyclean BIO'!D210,IF(ISNUMBER(SEARCH("12",'Procyclean BIO'!D210)),EDATE(AB209,12),IF(ISNUMBER(SEARCH("6",'Procyclean BIO'!D210)),EDATE(AB209,6),IF(ISNUMBER(SEARCH("3",'Procyclean BIO'!D210)),EDATE(AB209,3),DATEVALUE('Procyclean BIO'!D210))))),""))</f>
        <v/>
      </c>
      <c r="AM209" t="str">
        <f t="shared" ca="1" si="40"/>
        <v/>
      </c>
    </row>
    <row r="210" spans="27:39" x14ac:dyDescent="0.3">
      <c r="AA210" t="str">
        <f>IF(COUNTA('Procyclean BIO'!A211,'Procyclean BIO'!B211,'Procyclean BIO'!C211)&gt;0,"BIO","")</f>
        <v/>
      </c>
      <c r="AB210" t="str">
        <f>IFERROR(IF(ISNUMBER('Procyclean BIO'!A211),'Procyclean BIO'!A211,DATEVALUE('Procyclean BIO'!A211)),"")</f>
        <v/>
      </c>
      <c r="AC210" t="str">
        <f>IF(AA210="","",'Procyclean BIO'!B211)</f>
        <v/>
      </c>
      <c r="AD210" t="str">
        <f>IF(AA210="","",IFERROR(1*'Procyclean BIO'!C211,IFERROR(_xludf.NUMBERVALUE('Procyclean BIO'!C211,".",","),IFERROR(_xludf.NUMBERVALUE('Procyclean BIO'!C211,",","."),0))))</f>
        <v/>
      </c>
      <c r="AE210" t="str">
        <f>IF(AA210="","",'Procyclean BIO'!J211)</f>
        <v/>
      </c>
      <c r="AF210">
        <f t="shared" si="35"/>
        <v>0</v>
      </c>
      <c r="AG210" t="str">
        <f t="shared" si="36"/>
        <v/>
      </c>
      <c r="AH210" t="str">
        <f t="shared" si="37"/>
        <v/>
      </c>
      <c r="AI210">
        <f t="shared" si="38"/>
        <v>0</v>
      </c>
      <c r="AJ210">
        <f t="shared" si="39"/>
        <v>0</v>
      </c>
      <c r="AK210">
        <v>0</v>
      </c>
      <c r="AL210" t="str">
        <f>IF(AA210="","",IFERROR(IF(ISNUMBER('Procyclean BIO'!D211),'Procyclean BIO'!D211,IF(ISNUMBER(SEARCH("12",'Procyclean BIO'!D211)),EDATE(AB210,12),IF(ISNUMBER(SEARCH("6",'Procyclean BIO'!D211)),EDATE(AB210,6),IF(ISNUMBER(SEARCH("3",'Procyclean BIO'!D211)),EDATE(AB210,3),DATEVALUE('Procyclean BIO'!D211))))),""))</f>
        <v/>
      </c>
      <c r="AM210" t="str">
        <f t="shared" ca="1" si="40"/>
        <v/>
      </c>
    </row>
    <row r="211" spans="27:39" x14ac:dyDescent="0.3">
      <c r="AA211" t="str">
        <f>IF(COUNTA('Procyclean BIO'!A212,'Procyclean BIO'!B212,'Procyclean BIO'!C212)&gt;0,"BIO","")</f>
        <v/>
      </c>
      <c r="AB211" t="str">
        <f>IFERROR(IF(ISNUMBER('Procyclean BIO'!A212),'Procyclean BIO'!A212,DATEVALUE('Procyclean BIO'!A212)),"")</f>
        <v/>
      </c>
      <c r="AC211" t="str">
        <f>IF(AA211="","",'Procyclean BIO'!B212)</f>
        <v/>
      </c>
      <c r="AD211" t="str">
        <f>IF(AA211="","",IFERROR(1*'Procyclean BIO'!C212,IFERROR(_xludf.NUMBERVALUE('Procyclean BIO'!C212,".",","),IFERROR(_xludf.NUMBERVALUE('Procyclean BIO'!C212,",","."),0))))</f>
        <v/>
      </c>
      <c r="AE211" t="str">
        <f>IF(AA211="","",'Procyclean BIO'!J212)</f>
        <v/>
      </c>
      <c r="AF211">
        <f t="shared" si="35"/>
        <v>0</v>
      </c>
      <c r="AG211" t="str">
        <f t="shared" si="36"/>
        <v/>
      </c>
      <c r="AH211" t="str">
        <f t="shared" si="37"/>
        <v/>
      </c>
      <c r="AI211">
        <f t="shared" si="38"/>
        <v>0</v>
      </c>
      <c r="AJ211">
        <f t="shared" si="39"/>
        <v>0</v>
      </c>
      <c r="AK211">
        <v>0</v>
      </c>
      <c r="AL211" t="str">
        <f>IF(AA211="","",IFERROR(IF(ISNUMBER('Procyclean BIO'!D212),'Procyclean BIO'!D212,IF(ISNUMBER(SEARCH("12",'Procyclean BIO'!D212)),EDATE(AB211,12),IF(ISNUMBER(SEARCH("6",'Procyclean BIO'!D212)),EDATE(AB211,6),IF(ISNUMBER(SEARCH("3",'Procyclean BIO'!D212)),EDATE(AB211,3),DATEVALUE('Procyclean BIO'!D212))))),""))</f>
        <v/>
      </c>
      <c r="AM211" t="str">
        <f t="shared" ca="1" si="40"/>
        <v/>
      </c>
    </row>
    <row r="212" spans="27:39" x14ac:dyDescent="0.3">
      <c r="AA212" t="str">
        <f>IF(COUNTA('Procyclean BIO'!A213,'Procyclean BIO'!B213,'Procyclean BIO'!C213)&gt;0,"BIO","")</f>
        <v/>
      </c>
      <c r="AB212" t="str">
        <f>IFERROR(IF(ISNUMBER('Procyclean BIO'!A213),'Procyclean BIO'!A213,DATEVALUE('Procyclean BIO'!A213)),"")</f>
        <v/>
      </c>
      <c r="AC212" t="str">
        <f>IF(AA212="","",'Procyclean BIO'!B213)</f>
        <v/>
      </c>
      <c r="AD212" t="str">
        <f>IF(AA212="","",IFERROR(1*'Procyclean BIO'!C213,IFERROR(_xludf.NUMBERVALUE('Procyclean BIO'!C213,".",","),IFERROR(_xludf.NUMBERVALUE('Procyclean BIO'!C213,",","."),0))))</f>
        <v/>
      </c>
      <c r="AE212" t="str">
        <f>IF(AA212="","",'Procyclean BIO'!J213)</f>
        <v/>
      </c>
      <c r="AF212">
        <f t="shared" si="35"/>
        <v>0</v>
      </c>
      <c r="AG212" t="str">
        <f t="shared" si="36"/>
        <v/>
      </c>
      <c r="AH212" t="str">
        <f t="shared" si="37"/>
        <v/>
      </c>
      <c r="AI212">
        <f t="shared" si="38"/>
        <v>0</v>
      </c>
      <c r="AJ212">
        <f t="shared" si="39"/>
        <v>0</v>
      </c>
      <c r="AK212">
        <v>0</v>
      </c>
      <c r="AL212" t="str">
        <f>IF(AA212="","",IFERROR(IF(ISNUMBER('Procyclean BIO'!D213),'Procyclean BIO'!D213,IF(ISNUMBER(SEARCH("12",'Procyclean BIO'!D213)),EDATE(AB212,12),IF(ISNUMBER(SEARCH("6",'Procyclean BIO'!D213)),EDATE(AB212,6),IF(ISNUMBER(SEARCH("3",'Procyclean BIO'!D213)),EDATE(AB212,3),DATEVALUE('Procyclean BIO'!D213))))),""))</f>
        <v/>
      </c>
      <c r="AM212" t="str">
        <f t="shared" ca="1" si="40"/>
        <v/>
      </c>
    </row>
    <row r="213" spans="27:39" x14ac:dyDescent="0.3">
      <c r="AA213" t="str">
        <f>IF(COUNTA('Procyclean BIO'!A214,'Procyclean BIO'!B214,'Procyclean BIO'!C214)&gt;0,"BIO","")</f>
        <v/>
      </c>
      <c r="AB213" t="str">
        <f>IFERROR(IF(ISNUMBER('Procyclean BIO'!A214),'Procyclean BIO'!A214,DATEVALUE('Procyclean BIO'!A214)),"")</f>
        <v/>
      </c>
      <c r="AC213" t="str">
        <f>IF(AA213="","",'Procyclean BIO'!B214)</f>
        <v/>
      </c>
      <c r="AD213" t="str">
        <f>IF(AA213="","",IFERROR(1*'Procyclean BIO'!C214,IFERROR(_xludf.NUMBERVALUE('Procyclean BIO'!C214,".",","),IFERROR(_xludf.NUMBERVALUE('Procyclean BIO'!C214,",","."),0))))</f>
        <v/>
      </c>
      <c r="AE213" t="str">
        <f>IF(AA213="","",'Procyclean BIO'!J214)</f>
        <v/>
      </c>
      <c r="AF213">
        <f t="shared" si="35"/>
        <v>0</v>
      </c>
      <c r="AG213" t="str">
        <f t="shared" si="36"/>
        <v/>
      </c>
      <c r="AH213" t="str">
        <f t="shared" si="37"/>
        <v/>
      </c>
      <c r="AI213">
        <f t="shared" si="38"/>
        <v>0</v>
      </c>
      <c r="AJ213">
        <f t="shared" si="39"/>
        <v>0</v>
      </c>
      <c r="AK213">
        <v>0</v>
      </c>
      <c r="AL213" t="str">
        <f>IF(AA213="","",IFERROR(IF(ISNUMBER('Procyclean BIO'!D214),'Procyclean BIO'!D214,IF(ISNUMBER(SEARCH("12",'Procyclean BIO'!D214)),EDATE(AB213,12),IF(ISNUMBER(SEARCH("6",'Procyclean BIO'!D214)),EDATE(AB213,6),IF(ISNUMBER(SEARCH("3",'Procyclean BIO'!D214)),EDATE(AB213,3),DATEVALUE('Procyclean BIO'!D214))))),""))</f>
        <v/>
      </c>
      <c r="AM213" t="str">
        <f t="shared" ca="1" si="40"/>
        <v/>
      </c>
    </row>
    <row r="214" spans="27:39" x14ac:dyDescent="0.3">
      <c r="AA214" t="str">
        <f>IF(COUNTA('Procyclean BIO'!A215,'Procyclean BIO'!B215,'Procyclean BIO'!C215)&gt;0,"BIO","")</f>
        <v/>
      </c>
      <c r="AB214" t="str">
        <f>IFERROR(IF(ISNUMBER('Procyclean BIO'!A215),'Procyclean BIO'!A215,DATEVALUE('Procyclean BIO'!A215)),"")</f>
        <v/>
      </c>
      <c r="AC214" t="str">
        <f>IF(AA214="","",'Procyclean BIO'!B215)</f>
        <v/>
      </c>
      <c r="AD214" t="str">
        <f>IF(AA214="","",IFERROR(1*'Procyclean BIO'!C215,IFERROR(_xludf.NUMBERVALUE('Procyclean BIO'!C215,".",","),IFERROR(_xludf.NUMBERVALUE('Procyclean BIO'!C215,",","."),0))))</f>
        <v/>
      </c>
      <c r="AE214" t="str">
        <f>IF(AA214="","",'Procyclean BIO'!J215)</f>
        <v/>
      </c>
      <c r="AF214">
        <f t="shared" si="35"/>
        <v>0</v>
      </c>
      <c r="AG214" t="str">
        <f t="shared" si="36"/>
        <v/>
      </c>
      <c r="AH214" t="str">
        <f t="shared" si="37"/>
        <v/>
      </c>
      <c r="AI214">
        <f t="shared" si="38"/>
        <v>0</v>
      </c>
      <c r="AJ214">
        <f t="shared" si="39"/>
        <v>0</v>
      </c>
      <c r="AK214">
        <v>0</v>
      </c>
      <c r="AL214" t="str">
        <f>IF(AA214="","",IFERROR(IF(ISNUMBER('Procyclean BIO'!D215),'Procyclean BIO'!D215,IF(ISNUMBER(SEARCH("12",'Procyclean BIO'!D215)),EDATE(AB214,12),IF(ISNUMBER(SEARCH("6",'Procyclean BIO'!D215)),EDATE(AB214,6),IF(ISNUMBER(SEARCH("3",'Procyclean BIO'!D215)),EDATE(AB214,3),DATEVALUE('Procyclean BIO'!D215))))),""))</f>
        <v/>
      </c>
      <c r="AM214" t="str">
        <f t="shared" ca="1" si="40"/>
        <v/>
      </c>
    </row>
    <row r="215" spans="27:39" x14ac:dyDescent="0.3">
      <c r="AA215" t="str">
        <f>IF(COUNTA('Procyclean BIO'!A216,'Procyclean BIO'!B216,'Procyclean BIO'!C216)&gt;0,"BIO","")</f>
        <v/>
      </c>
      <c r="AB215" t="str">
        <f>IFERROR(IF(ISNUMBER('Procyclean BIO'!A216),'Procyclean BIO'!A216,DATEVALUE('Procyclean BIO'!A216)),"")</f>
        <v/>
      </c>
      <c r="AC215" t="str">
        <f>IF(AA215="","",'Procyclean BIO'!B216)</f>
        <v/>
      </c>
      <c r="AD215" t="str">
        <f>IF(AA215="","",IFERROR(1*'Procyclean BIO'!C216,IFERROR(_xludf.NUMBERVALUE('Procyclean BIO'!C216,".",","),IFERROR(_xludf.NUMBERVALUE('Procyclean BIO'!C216,",","."),0))))</f>
        <v/>
      </c>
      <c r="AE215" t="str">
        <f>IF(AA215="","",'Procyclean BIO'!J216)</f>
        <v/>
      </c>
      <c r="AF215">
        <f t="shared" si="35"/>
        <v>0</v>
      </c>
      <c r="AG215" t="str">
        <f t="shared" si="36"/>
        <v/>
      </c>
      <c r="AH215" t="str">
        <f t="shared" si="37"/>
        <v/>
      </c>
      <c r="AI215">
        <f t="shared" si="38"/>
        <v>0</v>
      </c>
      <c r="AJ215">
        <f t="shared" si="39"/>
        <v>0</v>
      </c>
      <c r="AK215">
        <v>0</v>
      </c>
      <c r="AL215" t="str">
        <f>IF(AA215="","",IFERROR(IF(ISNUMBER('Procyclean BIO'!D216),'Procyclean BIO'!D216,IF(ISNUMBER(SEARCH("12",'Procyclean BIO'!D216)),EDATE(AB215,12),IF(ISNUMBER(SEARCH("6",'Procyclean BIO'!D216)),EDATE(AB215,6),IF(ISNUMBER(SEARCH("3",'Procyclean BIO'!D216)),EDATE(AB215,3),DATEVALUE('Procyclean BIO'!D216))))),""))</f>
        <v/>
      </c>
      <c r="AM215" t="str">
        <f t="shared" ca="1" si="40"/>
        <v/>
      </c>
    </row>
    <row r="216" spans="27:39" x14ac:dyDescent="0.3">
      <c r="AA216" t="str">
        <f>IF(COUNTA('Procyclean BIO'!A217,'Procyclean BIO'!B217,'Procyclean BIO'!C217)&gt;0,"BIO","")</f>
        <v/>
      </c>
      <c r="AB216" t="str">
        <f>IFERROR(IF(ISNUMBER('Procyclean BIO'!A217),'Procyclean BIO'!A217,DATEVALUE('Procyclean BIO'!A217)),"")</f>
        <v/>
      </c>
      <c r="AC216" t="str">
        <f>IF(AA216="","",'Procyclean BIO'!B217)</f>
        <v/>
      </c>
      <c r="AD216" t="str">
        <f>IF(AA216="","",IFERROR(1*'Procyclean BIO'!C217,IFERROR(_xludf.NUMBERVALUE('Procyclean BIO'!C217,".",","),IFERROR(_xludf.NUMBERVALUE('Procyclean BIO'!C217,",","."),0))))</f>
        <v/>
      </c>
      <c r="AE216" t="str">
        <f>IF(AA216="","",'Procyclean BIO'!J217)</f>
        <v/>
      </c>
      <c r="AF216">
        <f t="shared" si="35"/>
        <v>0</v>
      </c>
      <c r="AG216" t="str">
        <f t="shared" si="36"/>
        <v/>
      </c>
      <c r="AH216" t="str">
        <f t="shared" si="37"/>
        <v/>
      </c>
      <c r="AI216">
        <f t="shared" si="38"/>
        <v>0</v>
      </c>
      <c r="AJ216">
        <f t="shared" si="39"/>
        <v>0</v>
      </c>
      <c r="AK216">
        <v>0</v>
      </c>
      <c r="AL216" t="str">
        <f>IF(AA216="","",IFERROR(IF(ISNUMBER('Procyclean BIO'!D217),'Procyclean BIO'!D217,IF(ISNUMBER(SEARCH("12",'Procyclean BIO'!D217)),EDATE(AB216,12),IF(ISNUMBER(SEARCH("6",'Procyclean BIO'!D217)),EDATE(AB216,6),IF(ISNUMBER(SEARCH("3",'Procyclean BIO'!D217)),EDATE(AB216,3),DATEVALUE('Procyclean BIO'!D217))))),""))</f>
        <v/>
      </c>
      <c r="AM216" t="str">
        <f t="shared" ca="1" si="40"/>
        <v/>
      </c>
    </row>
    <row r="217" spans="27:39" x14ac:dyDescent="0.3">
      <c r="AA217" t="str">
        <f>IF(COUNTA('Procyclean BIO'!A218,'Procyclean BIO'!B218,'Procyclean BIO'!C218)&gt;0,"BIO","")</f>
        <v/>
      </c>
      <c r="AB217" t="str">
        <f>IFERROR(IF(ISNUMBER('Procyclean BIO'!A218),'Procyclean BIO'!A218,DATEVALUE('Procyclean BIO'!A218)),"")</f>
        <v/>
      </c>
      <c r="AC217" t="str">
        <f>IF(AA217="","",'Procyclean BIO'!B218)</f>
        <v/>
      </c>
      <c r="AD217" t="str">
        <f>IF(AA217="","",IFERROR(1*'Procyclean BIO'!C218,IFERROR(_xludf.NUMBERVALUE('Procyclean BIO'!C218,".",","),IFERROR(_xludf.NUMBERVALUE('Procyclean BIO'!C218,",","."),0))))</f>
        <v/>
      </c>
      <c r="AE217" t="str">
        <f>IF(AA217="","",'Procyclean BIO'!J218)</f>
        <v/>
      </c>
      <c r="AF217">
        <f t="shared" si="35"/>
        <v>0</v>
      </c>
      <c r="AG217" t="str">
        <f t="shared" si="36"/>
        <v/>
      </c>
      <c r="AH217" t="str">
        <f t="shared" si="37"/>
        <v/>
      </c>
      <c r="AI217">
        <f t="shared" si="38"/>
        <v>0</v>
      </c>
      <c r="AJ217">
        <f t="shared" si="39"/>
        <v>0</v>
      </c>
      <c r="AK217">
        <v>0</v>
      </c>
      <c r="AL217" t="str">
        <f>IF(AA217="","",IFERROR(IF(ISNUMBER('Procyclean BIO'!D218),'Procyclean BIO'!D218,IF(ISNUMBER(SEARCH("12",'Procyclean BIO'!D218)),EDATE(AB217,12),IF(ISNUMBER(SEARCH("6",'Procyclean BIO'!D218)),EDATE(AB217,6),IF(ISNUMBER(SEARCH("3",'Procyclean BIO'!D218)),EDATE(AB217,3),DATEVALUE('Procyclean BIO'!D218))))),""))</f>
        <v/>
      </c>
      <c r="AM217" t="str">
        <f t="shared" ca="1" si="40"/>
        <v/>
      </c>
    </row>
    <row r="218" spans="27:39" x14ac:dyDescent="0.3">
      <c r="AA218" t="str">
        <f>IF(COUNTA('Procyclean BIO'!A219,'Procyclean BIO'!B219,'Procyclean BIO'!C219)&gt;0,"BIO","")</f>
        <v/>
      </c>
      <c r="AB218" t="str">
        <f>IFERROR(IF(ISNUMBER('Procyclean BIO'!A219),'Procyclean BIO'!A219,DATEVALUE('Procyclean BIO'!A219)),"")</f>
        <v/>
      </c>
      <c r="AC218" t="str">
        <f>IF(AA218="","",'Procyclean BIO'!B219)</f>
        <v/>
      </c>
      <c r="AD218" t="str">
        <f>IF(AA218="","",IFERROR(1*'Procyclean BIO'!C219,IFERROR(_xludf.NUMBERVALUE('Procyclean BIO'!C219,".",","),IFERROR(_xludf.NUMBERVALUE('Procyclean BIO'!C219,",","."),0))))</f>
        <v/>
      </c>
      <c r="AE218" t="str">
        <f>IF(AA218="","",'Procyclean BIO'!J219)</f>
        <v/>
      </c>
      <c r="AF218">
        <f t="shared" si="35"/>
        <v>0</v>
      </c>
      <c r="AG218" t="str">
        <f t="shared" si="36"/>
        <v/>
      </c>
      <c r="AH218" t="str">
        <f t="shared" si="37"/>
        <v/>
      </c>
      <c r="AI218">
        <f t="shared" si="38"/>
        <v>0</v>
      </c>
      <c r="AJ218">
        <f t="shared" si="39"/>
        <v>0</v>
      </c>
      <c r="AK218">
        <v>0</v>
      </c>
      <c r="AL218" t="str">
        <f>IF(AA218="","",IFERROR(IF(ISNUMBER('Procyclean BIO'!D219),'Procyclean BIO'!D219,IF(ISNUMBER(SEARCH("12",'Procyclean BIO'!D219)),EDATE(AB218,12),IF(ISNUMBER(SEARCH("6",'Procyclean BIO'!D219)),EDATE(AB218,6),IF(ISNUMBER(SEARCH("3",'Procyclean BIO'!D219)),EDATE(AB218,3),DATEVALUE('Procyclean BIO'!D219))))),""))</f>
        <v/>
      </c>
      <c r="AM218" t="str">
        <f t="shared" ca="1" si="40"/>
        <v/>
      </c>
    </row>
    <row r="219" spans="27:39" x14ac:dyDescent="0.3">
      <c r="AA219" t="str">
        <f>IF(COUNTA('Procyclean BIO'!A220,'Procyclean BIO'!B220,'Procyclean BIO'!C220)&gt;0,"BIO","")</f>
        <v/>
      </c>
      <c r="AB219" t="str">
        <f>IFERROR(IF(ISNUMBER('Procyclean BIO'!A220),'Procyclean BIO'!A220,DATEVALUE('Procyclean BIO'!A220)),"")</f>
        <v/>
      </c>
      <c r="AC219" t="str">
        <f>IF(AA219="","",'Procyclean BIO'!B220)</f>
        <v/>
      </c>
      <c r="AD219" t="str">
        <f>IF(AA219="","",IFERROR(1*'Procyclean BIO'!C220,IFERROR(_xludf.NUMBERVALUE('Procyclean BIO'!C220,".",","),IFERROR(_xludf.NUMBERVALUE('Procyclean BIO'!C220,",","."),0))))</f>
        <v/>
      </c>
      <c r="AE219" t="str">
        <f>IF(AA219="","",'Procyclean BIO'!J220)</f>
        <v/>
      </c>
      <c r="AF219">
        <f t="shared" si="35"/>
        <v>0</v>
      </c>
      <c r="AG219" t="str">
        <f t="shared" si="36"/>
        <v/>
      </c>
      <c r="AH219" t="str">
        <f t="shared" si="37"/>
        <v/>
      </c>
      <c r="AI219">
        <f t="shared" si="38"/>
        <v>0</v>
      </c>
      <c r="AJ219">
        <f t="shared" si="39"/>
        <v>0</v>
      </c>
      <c r="AK219">
        <v>0</v>
      </c>
      <c r="AL219" t="str">
        <f>IF(AA219="","",IFERROR(IF(ISNUMBER('Procyclean BIO'!D220),'Procyclean BIO'!D220,IF(ISNUMBER(SEARCH("12",'Procyclean BIO'!D220)),EDATE(AB219,12),IF(ISNUMBER(SEARCH("6",'Procyclean BIO'!D220)),EDATE(AB219,6),IF(ISNUMBER(SEARCH("3",'Procyclean BIO'!D220)),EDATE(AB219,3),DATEVALUE('Procyclean BIO'!D220))))),""))</f>
        <v/>
      </c>
      <c r="AM219" t="str">
        <f t="shared" ca="1" si="40"/>
        <v/>
      </c>
    </row>
    <row r="220" spans="27:39" x14ac:dyDescent="0.3">
      <c r="AA220" t="str">
        <f>IF(COUNTA('Procyclean BIO'!A221,'Procyclean BIO'!B221,'Procyclean BIO'!C221)&gt;0,"BIO","")</f>
        <v/>
      </c>
      <c r="AB220" t="str">
        <f>IFERROR(IF(ISNUMBER('Procyclean BIO'!A221),'Procyclean BIO'!A221,DATEVALUE('Procyclean BIO'!A221)),"")</f>
        <v/>
      </c>
      <c r="AC220" t="str">
        <f>IF(AA220="","",'Procyclean BIO'!B221)</f>
        <v/>
      </c>
      <c r="AD220" t="str">
        <f>IF(AA220="","",IFERROR(1*'Procyclean BIO'!C221,IFERROR(_xludf.NUMBERVALUE('Procyclean BIO'!C221,".",","),IFERROR(_xludf.NUMBERVALUE('Procyclean BIO'!C221,",","."),0))))</f>
        <v/>
      </c>
      <c r="AE220" t="str">
        <f>IF(AA220="","",'Procyclean BIO'!J221)</f>
        <v/>
      </c>
      <c r="AF220">
        <f t="shared" si="35"/>
        <v>0</v>
      </c>
      <c r="AG220" t="str">
        <f t="shared" si="36"/>
        <v/>
      </c>
      <c r="AH220" t="str">
        <f t="shared" si="37"/>
        <v/>
      </c>
      <c r="AI220">
        <f t="shared" si="38"/>
        <v>0</v>
      </c>
      <c r="AJ220">
        <f t="shared" si="39"/>
        <v>0</v>
      </c>
      <c r="AK220">
        <v>0</v>
      </c>
      <c r="AL220" t="str">
        <f>IF(AA220="","",IFERROR(IF(ISNUMBER('Procyclean BIO'!D221),'Procyclean BIO'!D221,IF(ISNUMBER(SEARCH("12",'Procyclean BIO'!D221)),EDATE(AB220,12),IF(ISNUMBER(SEARCH("6",'Procyclean BIO'!D221)),EDATE(AB220,6),IF(ISNUMBER(SEARCH("3",'Procyclean BIO'!D221)),EDATE(AB220,3),DATEVALUE('Procyclean BIO'!D221))))),""))</f>
        <v/>
      </c>
      <c r="AM220" t="str">
        <f t="shared" ca="1" si="40"/>
        <v/>
      </c>
    </row>
    <row r="221" spans="27:39" x14ac:dyDescent="0.3">
      <c r="AA221" t="str">
        <f>IF(COUNTA('Procyclean BIO'!A222,'Procyclean BIO'!B222,'Procyclean BIO'!C222)&gt;0,"BIO","")</f>
        <v/>
      </c>
      <c r="AB221" t="str">
        <f>IFERROR(IF(ISNUMBER('Procyclean BIO'!A222),'Procyclean BIO'!A222,DATEVALUE('Procyclean BIO'!A222)),"")</f>
        <v/>
      </c>
      <c r="AC221" t="str">
        <f>IF(AA221="","",'Procyclean BIO'!B222)</f>
        <v/>
      </c>
      <c r="AD221" t="str">
        <f>IF(AA221="","",IFERROR(1*'Procyclean BIO'!C222,IFERROR(_xludf.NUMBERVALUE('Procyclean BIO'!C222,".",","),IFERROR(_xludf.NUMBERVALUE('Procyclean BIO'!C222,",","."),0))))</f>
        <v/>
      </c>
      <c r="AE221" t="str">
        <f>IF(AA221="","",'Procyclean BIO'!J222)</f>
        <v/>
      </c>
      <c r="AF221">
        <f t="shared" si="35"/>
        <v>0</v>
      </c>
      <c r="AG221" t="str">
        <f t="shared" si="36"/>
        <v/>
      </c>
      <c r="AH221" t="str">
        <f t="shared" si="37"/>
        <v/>
      </c>
      <c r="AI221">
        <f t="shared" si="38"/>
        <v>0</v>
      </c>
      <c r="AJ221">
        <f t="shared" si="39"/>
        <v>0</v>
      </c>
      <c r="AK221">
        <v>0</v>
      </c>
      <c r="AL221" t="str">
        <f>IF(AA221="","",IFERROR(IF(ISNUMBER('Procyclean BIO'!D222),'Procyclean BIO'!D222,IF(ISNUMBER(SEARCH("12",'Procyclean BIO'!D222)),EDATE(AB221,12),IF(ISNUMBER(SEARCH("6",'Procyclean BIO'!D222)),EDATE(AB221,6),IF(ISNUMBER(SEARCH("3",'Procyclean BIO'!D222)),EDATE(AB221,3),DATEVALUE('Procyclean BIO'!D222))))),""))</f>
        <v/>
      </c>
      <c r="AM221" t="str">
        <f t="shared" ca="1" si="40"/>
        <v/>
      </c>
    </row>
    <row r="222" spans="27:39" x14ac:dyDescent="0.3">
      <c r="AA222" t="str">
        <f>IF(COUNTA('Procyclean BIO'!A223,'Procyclean BIO'!B223,'Procyclean BIO'!C223)&gt;0,"BIO","")</f>
        <v/>
      </c>
      <c r="AB222" t="str">
        <f>IFERROR(IF(ISNUMBER('Procyclean BIO'!A223),'Procyclean BIO'!A223,DATEVALUE('Procyclean BIO'!A223)),"")</f>
        <v/>
      </c>
      <c r="AC222" t="str">
        <f>IF(AA222="","",'Procyclean BIO'!B223)</f>
        <v/>
      </c>
      <c r="AD222" t="str">
        <f>IF(AA222="","",IFERROR(1*'Procyclean BIO'!C223,IFERROR(_xludf.NUMBERVALUE('Procyclean BIO'!C223,".",","),IFERROR(_xludf.NUMBERVALUE('Procyclean BIO'!C223,",","."),0))))</f>
        <v/>
      </c>
      <c r="AE222" t="str">
        <f>IF(AA222="","",'Procyclean BIO'!J223)</f>
        <v/>
      </c>
      <c r="AF222">
        <f t="shared" si="35"/>
        <v>0</v>
      </c>
      <c r="AG222" t="str">
        <f t="shared" si="36"/>
        <v/>
      </c>
      <c r="AH222" t="str">
        <f t="shared" si="37"/>
        <v/>
      </c>
      <c r="AI222">
        <f t="shared" si="38"/>
        <v>0</v>
      </c>
      <c r="AJ222">
        <f t="shared" si="39"/>
        <v>0</v>
      </c>
      <c r="AK222">
        <v>0</v>
      </c>
      <c r="AL222" t="str">
        <f>IF(AA222="","",IFERROR(IF(ISNUMBER('Procyclean BIO'!D223),'Procyclean BIO'!D223,IF(ISNUMBER(SEARCH("12",'Procyclean BIO'!D223)),EDATE(AB222,12),IF(ISNUMBER(SEARCH("6",'Procyclean BIO'!D223)),EDATE(AB222,6),IF(ISNUMBER(SEARCH("3",'Procyclean BIO'!D223)),EDATE(AB222,3),DATEVALUE('Procyclean BIO'!D223))))),""))</f>
        <v/>
      </c>
      <c r="AM222" t="str">
        <f t="shared" ca="1" si="40"/>
        <v/>
      </c>
    </row>
    <row r="223" spans="27:39" x14ac:dyDescent="0.3">
      <c r="AA223" t="str">
        <f>IF(COUNTA('Procyclean BIO'!A224,'Procyclean BIO'!B224,'Procyclean BIO'!C224)&gt;0,"BIO","")</f>
        <v/>
      </c>
      <c r="AB223" t="str">
        <f>IFERROR(IF(ISNUMBER('Procyclean BIO'!A224),'Procyclean BIO'!A224,DATEVALUE('Procyclean BIO'!A224)),"")</f>
        <v/>
      </c>
      <c r="AC223" t="str">
        <f>IF(AA223="","",'Procyclean BIO'!B224)</f>
        <v/>
      </c>
      <c r="AD223" t="str">
        <f>IF(AA223="","",IFERROR(1*'Procyclean BIO'!C224,IFERROR(_xludf.NUMBERVALUE('Procyclean BIO'!C224,".",","),IFERROR(_xludf.NUMBERVALUE('Procyclean BIO'!C224,",","."),0))))</f>
        <v/>
      </c>
      <c r="AE223" t="str">
        <f>IF(AA223="","",'Procyclean BIO'!J224)</f>
        <v/>
      </c>
      <c r="AF223">
        <f t="shared" si="35"/>
        <v>0</v>
      </c>
      <c r="AG223" t="str">
        <f t="shared" si="36"/>
        <v/>
      </c>
      <c r="AH223" t="str">
        <f t="shared" si="37"/>
        <v/>
      </c>
      <c r="AI223">
        <f t="shared" si="38"/>
        <v>0</v>
      </c>
      <c r="AJ223">
        <f t="shared" si="39"/>
        <v>0</v>
      </c>
      <c r="AK223">
        <v>0</v>
      </c>
      <c r="AL223" t="str">
        <f>IF(AA223="","",IFERROR(IF(ISNUMBER('Procyclean BIO'!D224),'Procyclean BIO'!D224,IF(ISNUMBER(SEARCH("12",'Procyclean BIO'!D224)),EDATE(AB223,12),IF(ISNUMBER(SEARCH("6",'Procyclean BIO'!D224)),EDATE(AB223,6),IF(ISNUMBER(SEARCH("3",'Procyclean BIO'!D224)),EDATE(AB223,3),DATEVALUE('Procyclean BIO'!D224))))),""))</f>
        <v/>
      </c>
      <c r="AM223" t="str">
        <f t="shared" ca="1" si="40"/>
        <v/>
      </c>
    </row>
    <row r="224" spans="27:39" x14ac:dyDescent="0.3">
      <c r="AA224" t="str">
        <f>IF(COUNTA('Procyclean BIO'!A225,'Procyclean BIO'!B225,'Procyclean BIO'!C225)&gt;0,"BIO","")</f>
        <v/>
      </c>
      <c r="AB224" t="str">
        <f>IFERROR(IF(ISNUMBER('Procyclean BIO'!A225),'Procyclean BIO'!A225,DATEVALUE('Procyclean BIO'!A225)),"")</f>
        <v/>
      </c>
      <c r="AC224" t="str">
        <f>IF(AA224="","",'Procyclean BIO'!B225)</f>
        <v/>
      </c>
      <c r="AD224" t="str">
        <f>IF(AA224="","",IFERROR(1*'Procyclean BIO'!C225,IFERROR(_xludf.NUMBERVALUE('Procyclean BIO'!C225,".",","),IFERROR(_xludf.NUMBERVALUE('Procyclean BIO'!C225,",","."),0))))</f>
        <v/>
      </c>
      <c r="AE224" t="str">
        <f>IF(AA224="","",'Procyclean BIO'!J225)</f>
        <v/>
      </c>
      <c r="AF224">
        <f t="shared" si="35"/>
        <v>0</v>
      </c>
      <c r="AG224" t="str">
        <f t="shared" si="36"/>
        <v/>
      </c>
      <c r="AH224" t="str">
        <f t="shared" si="37"/>
        <v/>
      </c>
      <c r="AI224">
        <f t="shared" si="38"/>
        <v>0</v>
      </c>
      <c r="AJ224">
        <f t="shared" si="39"/>
        <v>0</v>
      </c>
      <c r="AK224">
        <v>0</v>
      </c>
      <c r="AL224" t="str">
        <f>IF(AA224="","",IFERROR(IF(ISNUMBER('Procyclean BIO'!D225),'Procyclean BIO'!D225,IF(ISNUMBER(SEARCH("12",'Procyclean BIO'!D225)),EDATE(AB224,12),IF(ISNUMBER(SEARCH("6",'Procyclean BIO'!D225)),EDATE(AB224,6),IF(ISNUMBER(SEARCH("3",'Procyclean BIO'!D225)),EDATE(AB224,3),DATEVALUE('Procyclean BIO'!D225))))),""))</f>
        <v/>
      </c>
      <c r="AM224" t="str">
        <f t="shared" ca="1" si="40"/>
        <v/>
      </c>
    </row>
    <row r="225" spans="27:39" x14ac:dyDescent="0.3">
      <c r="AA225" t="str">
        <f>IF(COUNTA('Procyclean BIO'!A226,'Procyclean BIO'!B226,'Procyclean BIO'!C226)&gt;0,"BIO","")</f>
        <v/>
      </c>
      <c r="AB225" t="str">
        <f>IFERROR(IF(ISNUMBER('Procyclean BIO'!A226),'Procyclean BIO'!A226,DATEVALUE('Procyclean BIO'!A226)),"")</f>
        <v/>
      </c>
      <c r="AC225" t="str">
        <f>IF(AA225="","",'Procyclean BIO'!B226)</f>
        <v/>
      </c>
      <c r="AD225" t="str">
        <f>IF(AA225="","",IFERROR(1*'Procyclean BIO'!C226,IFERROR(_xludf.NUMBERVALUE('Procyclean BIO'!C226,".",","),IFERROR(_xludf.NUMBERVALUE('Procyclean BIO'!C226,",","."),0))))</f>
        <v/>
      </c>
      <c r="AE225" t="str">
        <f>IF(AA225="","",'Procyclean BIO'!J226)</f>
        <v/>
      </c>
      <c r="AF225">
        <f t="shared" si="35"/>
        <v>0</v>
      </c>
      <c r="AG225" t="str">
        <f t="shared" si="36"/>
        <v/>
      </c>
      <c r="AH225" t="str">
        <f t="shared" si="37"/>
        <v/>
      </c>
      <c r="AI225">
        <f t="shared" si="38"/>
        <v>0</v>
      </c>
      <c r="AJ225">
        <f t="shared" si="39"/>
        <v>0</v>
      </c>
      <c r="AK225">
        <v>0</v>
      </c>
      <c r="AL225" t="str">
        <f>IF(AA225="","",IFERROR(IF(ISNUMBER('Procyclean BIO'!D226),'Procyclean BIO'!D226,IF(ISNUMBER(SEARCH("12",'Procyclean BIO'!D226)),EDATE(AB225,12),IF(ISNUMBER(SEARCH("6",'Procyclean BIO'!D226)),EDATE(AB225,6),IF(ISNUMBER(SEARCH("3",'Procyclean BIO'!D226)),EDATE(AB225,3),DATEVALUE('Procyclean BIO'!D226))))),""))</f>
        <v/>
      </c>
      <c r="AM225" t="str">
        <f t="shared" ca="1" si="40"/>
        <v/>
      </c>
    </row>
    <row r="226" spans="27:39" x14ac:dyDescent="0.3">
      <c r="AA226" t="str">
        <f>IF(COUNTA('Procyclean BIO'!A227,'Procyclean BIO'!B227,'Procyclean BIO'!C227)&gt;0,"BIO","")</f>
        <v/>
      </c>
      <c r="AB226" t="str">
        <f>IFERROR(IF(ISNUMBER('Procyclean BIO'!A227),'Procyclean BIO'!A227,DATEVALUE('Procyclean BIO'!A227)),"")</f>
        <v/>
      </c>
      <c r="AC226" t="str">
        <f>IF(AA226="","",'Procyclean BIO'!B227)</f>
        <v/>
      </c>
      <c r="AD226" t="str">
        <f>IF(AA226="","",IFERROR(1*'Procyclean BIO'!C227,IFERROR(_xludf.NUMBERVALUE('Procyclean BIO'!C227,".",","),IFERROR(_xludf.NUMBERVALUE('Procyclean BIO'!C227,",","."),0))))</f>
        <v/>
      </c>
      <c r="AE226" t="str">
        <f>IF(AA226="","",'Procyclean BIO'!J227)</f>
        <v/>
      </c>
      <c r="AF226">
        <f t="shared" si="35"/>
        <v>0</v>
      </c>
      <c r="AG226" t="str">
        <f t="shared" si="36"/>
        <v/>
      </c>
      <c r="AH226" t="str">
        <f t="shared" si="37"/>
        <v/>
      </c>
      <c r="AI226">
        <f t="shared" si="38"/>
        <v>0</v>
      </c>
      <c r="AJ226">
        <f t="shared" si="39"/>
        <v>0</v>
      </c>
      <c r="AK226">
        <v>0</v>
      </c>
      <c r="AL226" t="str">
        <f>IF(AA226="","",IFERROR(IF(ISNUMBER('Procyclean BIO'!D227),'Procyclean BIO'!D227,IF(ISNUMBER(SEARCH("12",'Procyclean BIO'!D227)),EDATE(AB226,12),IF(ISNUMBER(SEARCH("6",'Procyclean BIO'!D227)),EDATE(AB226,6),IF(ISNUMBER(SEARCH("3",'Procyclean BIO'!D227)),EDATE(AB226,3),DATEVALUE('Procyclean BIO'!D227))))),""))</f>
        <v/>
      </c>
      <c r="AM226" t="str">
        <f t="shared" ca="1" si="40"/>
        <v/>
      </c>
    </row>
    <row r="227" spans="27:39" x14ac:dyDescent="0.3">
      <c r="AA227" t="str">
        <f>IF(COUNTA('Procyclean BIO'!A228,'Procyclean BIO'!B228,'Procyclean BIO'!C228)&gt;0,"BIO","")</f>
        <v/>
      </c>
      <c r="AB227" t="str">
        <f>IFERROR(IF(ISNUMBER('Procyclean BIO'!A228),'Procyclean BIO'!A228,DATEVALUE('Procyclean BIO'!A228)),"")</f>
        <v/>
      </c>
      <c r="AC227" t="str">
        <f>IF(AA227="","",'Procyclean BIO'!B228)</f>
        <v/>
      </c>
      <c r="AD227" t="str">
        <f>IF(AA227="","",IFERROR(1*'Procyclean BIO'!C228,IFERROR(_xludf.NUMBERVALUE('Procyclean BIO'!C228,".",","),IFERROR(_xludf.NUMBERVALUE('Procyclean BIO'!C228,",","."),0))))</f>
        <v/>
      </c>
      <c r="AE227" t="str">
        <f>IF(AA227="","",'Procyclean BIO'!J228)</f>
        <v/>
      </c>
      <c r="AF227">
        <f t="shared" si="35"/>
        <v>0</v>
      </c>
      <c r="AG227" t="str">
        <f t="shared" si="36"/>
        <v/>
      </c>
      <c r="AH227" t="str">
        <f t="shared" si="37"/>
        <v/>
      </c>
      <c r="AI227">
        <f t="shared" si="38"/>
        <v>0</v>
      </c>
      <c r="AJ227">
        <f t="shared" si="39"/>
        <v>0</v>
      </c>
      <c r="AK227">
        <v>0</v>
      </c>
      <c r="AL227" t="str">
        <f>IF(AA227="","",IFERROR(IF(ISNUMBER('Procyclean BIO'!D228),'Procyclean BIO'!D228,IF(ISNUMBER(SEARCH("12",'Procyclean BIO'!D228)),EDATE(AB227,12),IF(ISNUMBER(SEARCH("6",'Procyclean BIO'!D228)),EDATE(AB227,6),IF(ISNUMBER(SEARCH("3",'Procyclean BIO'!D228)),EDATE(AB227,3),DATEVALUE('Procyclean BIO'!D228))))),""))</f>
        <v/>
      </c>
      <c r="AM227" t="str">
        <f t="shared" ca="1" si="40"/>
        <v/>
      </c>
    </row>
    <row r="228" spans="27:39" x14ac:dyDescent="0.3">
      <c r="AA228" t="str">
        <f>IF(COUNTA('Procyclean BIO'!A229,'Procyclean BIO'!B229,'Procyclean BIO'!C229)&gt;0,"BIO","")</f>
        <v/>
      </c>
      <c r="AB228" t="str">
        <f>IFERROR(IF(ISNUMBER('Procyclean BIO'!A229),'Procyclean BIO'!A229,DATEVALUE('Procyclean BIO'!A229)),"")</f>
        <v/>
      </c>
      <c r="AC228" t="str">
        <f>IF(AA228="","",'Procyclean BIO'!B229)</f>
        <v/>
      </c>
      <c r="AD228" t="str">
        <f>IF(AA228="","",IFERROR(1*'Procyclean BIO'!C229,IFERROR(_xludf.NUMBERVALUE('Procyclean BIO'!C229,".",","),IFERROR(_xludf.NUMBERVALUE('Procyclean BIO'!C229,",","."),0))))</f>
        <v/>
      </c>
      <c r="AE228" t="str">
        <f>IF(AA228="","",'Procyclean BIO'!J229)</f>
        <v/>
      </c>
      <c r="AF228">
        <f t="shared" si="35"/>
        <v>0</v>
      </c>
      <c r="AG228" t="str">
        <f t="shared" si="36"/>
        <v/>
      </c>
      <c r="AH228" t="str">
        <f t="shared" si="37"/>
        <v/>
      </c>
      <c r="AI228">
        <f t="shared" si="38"/>
        <v>0</v>
      </c>
      <c r="AJ228">
        <f t="shared" si="39"/>
        <v>0</v>
      </c>
      <c r="AK228">
        <v>0</v>
      </c>
      <c r="AL228" t="str">
        <f>IF(AA228="","",IFERROR(IF(ISNUMBER('Procyclean BIO'!D229),'Procyclean BIO'!D229,IF(ISNUMBER(SEARCH("12",'Procyclean BIO'!D229)),EDATE(AB228,12),IF(ISNUMBER(SEARCH("6",'Procyclean BIO'!D229)),EDATE(AB228,6),IF(ISNUMBER(SEARCH("3",'Procyclean BIO'!D229)),EDATE(AB228,3),DATEVALUE('Procyclean BIO'!D229))))),""))</f>
        <v/>
      </c>
      <c r="AM228" t="str">
        <f t="shared" ca="1" si="40"/>
        <v/>
      </c>
    </row>
    <row r="229" spans="27:39" x14ac:dyDescent="0.3">
      <c r="AA229" t="str">
        <f>IF(COUNTA('Procyclean BIO'!A230,'Procyclean BIO'!B230,'Procyclean BIO'!C230)&gt;0,"BIO","")</f>
        <v/>
      </c>
      <c r="AB229" t="str">
        <f>IFERROR(IF(ISNUMBER('Procyclean BIO'!A230),'Procyclean BIO'!A230,DATEVALUE('Procyclean BIO'!A230)),"")</f>
        <v/>
      </c>
      <c r="AC229" t="str">
        <f>IF(AA229="","",'Procyclean BIO'!B230)</f>
        <v/>
      </c>
      <c r="AD229" t="str">
        <f>IF(AA229="","",IFERROR(1*'Procyclean BIO'!C230,IFERROR(_xludf.NUMBERVALUE('Procyclean BIO'!C230,".",","),IFERROR(_xludf.NUMBERVALUE('Procyclean BIO'!C230,",","."),0))))</f>
        <v/>
      </c>
      <c r="AE229" t="str">
        <f>IF(AA229="","",'Procyclean BIO'!J230)</f>
        <v/>
      </c>
      <c r="AF229">
        <f t="shared" si="35"/>
        <v>0</v>
      </c>
      <c r="AG229" t="str">
        <f t="shared" si="36"/>
        <v/>
      </c>
      <c r="AH229" t="str">
        <f t="shared" si="37"/>
        <v/>
      </c>
      <c r="AI229">
        <f t="shared" si="38"/>
        <v>0</v>
      </c>
      <c r="AJ229">
        <f t="shared" si="39"/>
        <v>0</v>
      </c>
      <c r="AK229">
        <v>0</v>
      </c>
      <c r="AL229" t="str">
        <f>IF(AA229="","",IFERROR(IF(ISNUMBER('Procyclean BIO'!D230),'Procyclean BIO'!D230,IF(ISNUMBER(SEARCH("12",'Procyclean BIO'!D230)),EDATE(AB229,12),IF(ISNUMBER(SEARCH("6",'Procyclean BIO'!D230)),EDATE(AB229,6),IF(ISNUMBER(SEARCH("3",'Procyclean BIO'!D230)),EDATE(AB229,3),DATEVALUE('Procyclean BIO'!D230))))),""))</f>
        <v/>
      </c>
      <c r="AM229" t="str">
        <f t="shared" ca="1" si="40"/>
        <v/>
      </c>
    </row>
    <row r="230" spans="27:39" x14ac:dyDescent="0.3">
      <c r="AA230" t="str">
        <f>IF(COUNTA('Procyclean BIO'!A231,'Procyclean BIO'!B231,'Procyclean BIO'!C231)&gt;0,"BIO","")</f>
        <v/>
      </c>
      <c r="AB230" t="str">
        <f>IFERROR(IF(ISNUMBER('Procyclean BIO'!A231),'Procyclean BIO'!A231,DATEVALUE('Procyclean BIO'!A231)),"")</f>
        <v/>
      </c>
      <c r="AC230" t="str">
        <f>IF(AA230="","",'Procyclean BIO'!B231)</f>
        <v/>
      </c>
      <c r="AD230" t="str">
        <f>IF(AA230="","",IFERROR(1*'Procyclean BIO'!C231,IFERROR(_xludf.NUMBERVALUE('Procyclean BIO'!C231,".",","),IFERROR(_xludf.NUMBERVALUE('Procyclean BIO'!C231,",","."),0))))</f>
        <v/>
      </c>
      <c r="AE230" t="str">
        <f>IF(AA230="","",'Procyclean BIO'!J231)</f>
        <v/>
      </c>
      <c r="AF230">
        <f t="shared" si="35"/>
        <v>0</v>
      </c>
      <c r="AG230" t="str">
        <f t="shared" si="36"/>
        <v/>
      </c>
      <c r="AH230" t="str">
        <f t="shared" si="37"/>
        <v/>
      </c>
      <c r="AI230">
        <f t="shared" si="38"/>
        <v>0</v>
      </c>
      <c r="AJ230">
        <f t="shared" si="39"/>
        <v>0</v>
      </c>
      <c r="AK230">
        <v>0</v>
      </c>
      <c r="AL230" t="str">
        <f>IF(AA230="","",IFERROR(IF(ISNUMBER('Procyclean BIO'!D231),'Procyclean BIO'!D231,IF(ISNUMBER(SEARCH("12",'Procyclean BIO'!D231)),EDATE(AB230,12),IF(ISNUMBER(SEARCH("6",'Procyclean BIO'!D231)),EDATE(AB230,6),IF(ISNUMBER(SEARCH("3",'Procyclean BIO'!D231)),EDATE(AB230,3),DATEVALUE('Procyclean BIO'!D231))))),""))</f>
        <v/>
      </c>
      <c r="AM230" t="str">
        <f t="shared" ca="1" si="40"/>
        <v/>
      </c>
    </row>
    <row r="231" spans="27:39" x14ac:dyDescent="0.3">
      <c r="AA231" t="str">
        <f>IF(COUNTA('Procyclean BIO'!A232,'Procyclean BIO'!B232,'Procyclean BIO'!C232)&gt;0,"BIO","")</f>
        <v/>
      </c>
      <c r="AB231" t="str">
        <f>IFERROR(IF(ISNUMBER('Procyclean BIO'!A232),'Procyclean BIO'!A232,DATEVALUE('Procyclean BIO'!A232)),"")</f>
        <v/>
      </c>
      <c r="AC231" t="str">
        <f>IF(AA231="","",'Procyclean BIO'!B232)</f>
        <v/>
      </c>
      <c r="AD231" t="str">
        <f>IF(AA231="","",IFERROR(1*'Procyclean BIO'!C232,IFERROR(_xludf.NUMBERVALUE('Procyclean BIO'!C232,".",","),IFERROR(_xludf.NUMBERVALUE('Procyclean BIO'!C232,",","."),0))))</f>
        <v/>
      </c>
      <c r="AE231" t="str">
        <f>IF(AA231="","",'Procyclean BIO'!J232)</f>
        <v/>
      </c>
      <c r="AF231">
        <f t="shared" si="35"/>
        <v>0</v>
      </c>
      <c r="AG231" t="str">
        <f t="shared" si="36"/>
        <v/>
      </c>
      <c r="AH231" t="str">
        <f t="shared" si="37"/>
        <v/>
      </c>
      <c r="AI231">
        <f t="shared" si="38"/>
        <v>0</v>
      </c>
      <c r="AJ231">
        <f t="shared" si="39"/>
        <v>0</v>
      </c>
      <c r="AK231">
        <v>0</v>
      </c>
      <c r="AL231" t="str">
        <f>IF(AA231="","",IFERROR(IF(ISNUMBER('Procyclean BIO'!D232),'Procyclean BIO'!D232,IF(ISNUMBER(SEARCH("12",'Procyclean BIO'!D232)),EDATE(AB231,12),IF(ISNUMBER(SEARCH("6",'Procyclean BIO'!D232)),EDATE(AB231,6),IF(ISNUMBER(SEARCH("3",'Procyclean BIO'!D232)),EDATE(AB231,3),DATEVALUE('Procyclean BIO'!D232))))),""))</f>
        <v/>
      </c>
      <c r="AM231" t="str">
        <f t="shared" ca="1" si="40"/>
        <v/>
      </c>
    </row>
    <row r="232" spans="27:39" x14ac:dyDescent="0.3">
      <c r="AA232" t="str">
        <f>IF(COUNTA('Procyclean BIO'!A233,'Procyclean BIO'!B233,'Procyclean BIO'!C233)&gt;0,"BIO","")</f>
        <v/>
      </c>
      <c r="AB232" t="str">
        <f>IFERROR(IF(ISNUMBER('Procyclean BIO'!A233),'Procyclean BIO'!A233,DATEVALUE('Procyclean BIO'!A233)),"")</f>
        <v/>
      </c>
      <c r="AC232" t="str">
        <f>IF(AA232="","",'Procyclean BIO'!B233)</f>
        <v/>
      </c>
      <c r="AD232" t="str">
        <f>IF(AA232="","",IFERROR(1*'Procyclean BIO'!C233,IFERROR(_xludf.NUMBERVALUE('Procyclean BIO'!C233,".",","),IFERROR(_xludf.NUMBERVALUE('Procyclean BIO'!C233,",","."),0))))</f>
        <v/>
      </c>
      <c r="AE232" t="str">
        <f>IF(AA232="","",'Procyclean BIO'!J233)</f>
        <v/>
      </c>
      <c r="AF232">
        <f t="shared" si="35"/>
        <v>0</v>
      </c>
      <c r="AG232" t="str">
        <f t="shared" si="36"/>
        <v/>
      </c>
      <c r="AH232" t="str">
        <f t="shared" si="37"/>
        <v/>
      </c>
      <c r="AI232">
        <f t="shared" si="38"/>
        <v>0</v>
      </c>
      <c r="AJ232">
        <f t="shared" si="39"/>
        <v>0</v>
      </c>
      <c r="AK232">
        <v>0</v>
      </c>
      <c r="AL232" t="str">
        <f>IF(AA232="","",IFERROR(IF(ISNUMBER('Procyclean BIO'!D233),'Procyclean BIO'!D233,IF(ISNUMBER(SEARCH("12",'Procyclean BIO'!D233)),EDATE(AB232,12),IF(ISNUMBER(SEARCH("6",'Procyclean BIO'!D233)),EDATE(AB232,6),IF(ISNUMBER(SEARCH("3",'Procyclean BIO'!D233)),EDATE(AB232,3),DATEVALUE('Procyclean BIO'!D233))))),""))</f>
        <v/>
      </c>
      <c r="AM232" t="str">
        <f t="shared" ca="1" si="40"/>
        <v/>
      </c>
    </row>
    <row r="233" spans="27:39" x14ac:dyDescent="0.3">
      <c r="AA233" t="str">
        <f>IF(COUNTA('Procyclean BIO'!A234,'Procyclean BIO'!B234,'Procyclean BIO'!C234)&gt;0,"BIO","")</f>
        <v/>
      </c>
      <c r="AB233" t="str">
        <f>IFERROR(IF(ISNUMBER('Procyclean BIO'!A234),'Procyclean BIO'!A234,DATEVALUE('Procyclean BIO'!A234)),"")</f>
        <v/>
      </c>
      <c r="AC233" t="str">
        <f>IF(AA233="","",'Procyclean BIO'!B234)</f>
        <v/>
      </c>
      <c r="AD233" t="str">
        <f>IF(AA233="","",IFERROR(1*'Procyclean BIO'!C234,IFERROR(_xludf.NUMBERVALUE('Procyclean BIO'!C234,".",","),IFERROR(_xludf.NUMBERVALUE('Procyclean BIO'!C234,",","."),0))))</f>
        <v/>
      </c>
      <c r="AE233" t="str">
        <f>IF(AA233="","",'Procyclean BIO'!J234)</f>
        <v/>
      </c>
      <c r="AF233">
        <f t="shared" si="35"/>
        <v>0</v>
      </c>
      <c r="AG233" t="str">
        <f t="shared" si="36"/>
        <v/>
      </c>
      <c r="AH233" t="str">
        <f t="shared" si="37"/>
        <v/>
      </c>
      <c r="AI233">
        <f t="shared" si="38"/>
        <v>0</v>
      </c>
      <c r="AJ233">
        <f t="shared" si="39"/>
        <v>0</v>
      </c>
      <c r="AK233">
        <v>0</v>
      </c>
      <c r="AL233" t="str">
        <f>IF(AA233="","",IFERROR(IF(ISNUMBER('Procyclean BIO'!D234),'Procyclean BIO'!D234,IF(ISNUMBER(SEARCH("12",'Procyclean BIO'!D234)),EDATE(AB233,12),IF(ISNUMBER(SEARCH("6",'Procyclean BIO'!D234)),EDATE(AB233,6),IF(ISNUMBER(SEARCH("3",'Procyclean BIO'!D234)),EDATE(AB233,3),DATEVALUE('Procyclean BIO'!D234))))),""))</f>
        <v/>
      </c>
      <c r="AM233" t="str">
        <f t="shared" ca="1" si="40"/>
        <v/>
      </c>
    </row>
    <row r="234" spans="27:39" x14ac:dyDescent="0.3">
      <c r="AA234" t="str">
        <f>IF(COUNTA('Procyclean BIO'!A235,'Procyclean BIO'!B235,'Procyclean BIO'!C235)&gt;0,"BIO","")</f>
        <v/>
      </c>
      <c r="AB234" t="str">
        <f>IFERROR(IF(ISNUMBER('Procyclean BIO'!A235),'Procyclean BIO'!A235,DATEVALUE('Procyclean BIO'!A235)),"")</f>
        <v/>
      </c>
      <c r="AC234" t="str">
        <f>IF(AA234="","",'Procyclean BIO'!B235)</f>
        <v/>
      </c>
      <c r="AD234" t="str">
        <f>IF(AA234="","",IFERROR(1*'Procyclean BIO'!C235,IFERROR(_xludf.NUMBERVALUE('Procyclean BIO'!C235,".",","),IFERROR(_xludf.NUMBERVALUE('Procyclean BIO'!C235,",","."),0))))</f>
        <v/>
      </c>
      <c r="AE234" t="str">
        <f>IF(AA234="","",'Procyclean BIO'!J235)</f>
        <v/>
      </c>
      <c r="AF234">
        <f t="shared" si="35"/>
        <v>0</v>
      </c>
      <c r="AG234" t="str">
        <f t="shared" si="36"/>
        <v/>
      </c>
      <c r="AH234" t="str">
        <f t="shared" si="37"/>
        <v/>
      </c>
      <c r="AI234">
        <f t="shared" si="38"/>
        <v>0</v>
      </c>
      <c r="AJ234">
        <f t="shared" si="39"/>
        <v>0</v>
      </c>
      <c r="AK234">
        <v>0</v>
      </c>
      <c r="AL234" t="str">
        <f>IF(AA234="","",IFERROR(IF(ISNUMBER('Procyclean BIO'!D235),'Procyclean BIO'!D235,IF(ISNUMBER(SEARCH("12",'Procyclean BIO'!D235)),EDATE(AB234,12),IF(ISNUMBER(SEARCH("6",'Procyclean BIO'!D235)),EDATE(AB234,6),IF(ISNUMBER(SEARCH("3",'Procyclean BIO'!D235)),EDATE(AB234,3),DATEVALUE('Procyclean BIO'!D235))))),""))</f>
        <v/>
      </c>
      <c r="AM234" t="str">
        <f t="shared" ca="1" si="40"/>
        <v/>
      </c>
    </row>
    <row r="235" spans="27:39" x14ac:dyDescent="0.3">
      <c r="AA235" t="str">
        <f>IF(COUNTA('Procyclean BIO'!A236,'Procyclean BIO'!B236,'Procyclean BIO'!C236)&gt;0,"BIO","")</f>
        <v/>
      </c>
      <c r="AB235" t="str">
        <f>IFERROR(IF(ISNUMBER('Procyclean BIO'!A236),'Procyclean BIO'!A236,DATEVALUE('Procyclean BIO'!A236)),"")</f>
        <v/>
      </c>
      <c r="AC235" t="str">
        <f>IF(AA235="","",'Procyclean BIO'!B236)</f>
        <v/>
      </c>
      <c r="AD235" t="str">
        <f>IF(AA235="","",IFERROR(1*'Procyclean BIO'!C236,IFERROR(_xludf.NUMBERVALUE('Procyclean BIO'!C236,".",","),IFERROR(_xludf.NUMBERVALUE('Procyclean BIO'!C236,",","."),0))))</f>
        <v/>
      </c>
      <c r="AE235" t="str">
        <f>IF(AA235="","",'Procyclean BIO'!J236)</f>
        <v/>
      </c>
      <c r="AF235">
        <f t="shared" si="35"/>
        <v>0</v>
      </c>
      <c r="AG235" t="str">
        <f t="shared" si="36"/>
        <v/>
      </c>
      <c r="AH235" t="str">
        <f t="shared" si="37"/>
        <v/>
      </c>
      <c r="AI235">
        <f t="shared" si="38"/>
        <v>0</v>
      </c>
      <c r="AJ235">
        <f t="shared" si="39"/>
        <v>0</v>
      </c>
      <c r="AK235">
        <v>0</v>
      </c>
      <c r="AL235" t="str">
        <f>IF(AA235="","",IFERROR(IF(ISNUMBER('Procyclean BIO'!D236),'Procyclean BIO'!D236,IF(ISNUMBER(SEARCH("12",'Procyclean BIO'!D236)),EDATE(AB235,12),IF(ISNUMBER(SEARCH("6",'Procyclean BIO'!D236)),EDATE(AB235,6),IF(ISNUMBER(SEARCH("3",'Procyclean BIO'!D236)),EDATE(AB235,3),DATEVALUE('Procyclean BIO'!D236))))),""))</f>
        <v/>
      </c>
      <c r="AM235" t="str">
        <f t="shared" ca="1" si="40"/>
        <v/>
      </c>
    </row>
    <row r="236" spans="27:39" x14ac:dyDescent="0.3">
      <c r="AA236" t="str">
        <f>IF(COUNTA('Procyclean BIO'!A237,'Procyclean BIO'!B237,'Procyclean BIO'!C237)&gt;0,"BIO","")</f>
        <v/>
      </c>
      <c r="AB236" t="str">
        <f>IFERROR(IF(ISNUMBER('Procyclean BIO'!A237),'Procyclean BIO'!A237,DATEVALUE('Procyclean BIO'!A237)),"")</f>
        <v/>
      </c>
      <c r="AC236" t="str">
        <f>IF(AA236="","",'Procyclean BIO'!B237)</f>
        <v/>
      </c>
      <c r="AD236" t="str">
        <f>IF(AA236="","",IFERROR(1*'Procyclean BIO'!C237,IFERROR(_xludf.NUMBERVALUE('Procyclean BIO'!C237,".",","),IFERROR(_xludf.NUMBERVALUE('Procyclean BIO'!C237,",","."),0))))</f>
        <v/>
      </c>
      <c r="AE236" t="str">
        <f>IF(AA236="","",'Procyclean BIO'!J237)</f>
        <v/>
      </c>
      <c r="AF236">
        <f t="shared" si="35"/>
        <v>0</v>
      </c>
      <c r="AG236" t="str">
        <f t="shared" si="36"/>
        <v/>
      </c>
      <c r="AH236" t="str">
        <f t="shared" si="37"/>
        <v/>
      </c>
      <c r="AI236">
        <f t="shared" si="38"/>
        <v>0</v>
      </c>
      <c r="AJ236">
        <f t="shared" si="39"/>
        <v>0</v>
      </c>
      <c r="AK236">
        <v>0</v>
      </c>
      <c r="AL236" t="str">
        <f>IF(AA236="","",IFERROR(IF(ISNUMBER('Procyclean BIO'!D237),'Procyclean BIO'!D237,IF(ISNUMBER(SEARCH("12",'Procyclean BIO'!D237)),EDATE(AB236,12),IF(ISNUMBER(SEARCH("6",'Procyclean BIO'!D237)),EDATE(AB236,6),IF(ISNUMBER(SEARCH("3",'Procyclean BIO'!D237)),EDATE(AB236,3),DATEVALUE('Procyclean BIO'!D237))))),""))</f>
        <v/>
      </c>
      <c r="AM236" t="str">
        <f t="shared" ca="1" si="40"/>
        <v/>
      </c>
    </row>
    <row r="237" spans="27:39" x14ac:dyDescent="0.3">
      <c r="AA237" t="str">
        <f>IF(COUNTA('Procyclean BIO'!A238,'Procyclean BIO'!B238,'Procyclean BIO'!C238)&gt;0,"BIO","")</f>
        <v/>
      </c>
      <c r="AB237" t="str">
        <f>IFERROR(IF(ISNUMBER('Procyclean BIO'!A238),'Procyclean BIO'!A238,DATEVALUE('Procyclean BIO'!A238)),"")</f>
        <v/>
      </c>
      <c r="AC237" t="str">
        <f>IF(AA237="","",'Procyclean BIO'!B238)</f>
        <v/>
      </c>
      <c r="AD237" t="str">
        <f>IF(AA237="","",IFERROR(1*'Procyclean BIO'!C238,IFERROR(_xludf.NUMBERVALUE('Procyclean BIO'!C238,".",","),IFERROR(_xludf.NUMBERVALUE('Procyclean BIO'!C238,",","."),0))))</f>
        <v/>
      </c>
      <c r="AE237" t="str">
        <f>IF(AA237="","",'Procyclean BIO'!J238)</f>
        <v/>
      </c>
      <c r="AF237">
        <f t="shared" si="35"/>
        <v>0</v>
      </c>
      <c r="AG237" t="str">
        <f t="shared" si="36"/>
        <v/>
      </c>
      <c r="AH237" t="str">
        <f t="shared" si="37"/>
        <v/>
      </c>
      <c r="AI237">
        <f t="shared" si="38"/>
        <v>0</v>
      </c>
      <c r="AJ237">
        <f t="shared" si="39"/>
        <v>0</v>
      </c>
      <c r="AK237">
        <v>0</v>
      </c>
      <c r="AL237" t="str">
        <f>IF(AA237="","",IFERROR(IF(ISNUMBER('Procyclean BIO'!D238),'Procyclean BIO'!D238,IF(ISNUMBER(SEARCH("12",'Procyclean BIO'!D238)),EDATE(AB237,12),IF(ISNUMBER(SEARCH("6",'Procyclean BIO'!D238)),EDATE(AB237,6),IF(ISNUMBER(SEARCH("3",'Procyclean BIO'!D238)),EDATE(AB237,3),DATEVALUE('Procyclean BIO'!D238))))),""))</f>
        <v/>
      </c>
      <c r="AM237" t="str">
        <f t="shared" ca="1" si="40"/>
        <v/>
      </c>
    </row>
    <row r="238" spans="27:39" x14ac:dyDescent="0.3">
      <c r="AA238" t="str">
        <f>IF(COUNTA('Procyclean BIO'!A239,'Procyclean BIO'!B239,'Procyclean BIO'!C239)&gt;0,"BIO","")</f>
        <v/>
      </c>
      <c r="AB238" t="str">
        <f>IFERROR(IF(ISNUMBER('Procyclean BIO'!A239),'Procyclean BIO'!A239,DATEVALUE('Procyclean BIO'!A239)),"")</f>
        <v/>
      </c>
      <c r="AC238" t="str">
        <f>IF(AA238="","",'Procyclean BIO'!B239)</f>
        <v/>
      </c>
      <c r="AD238" t="str">
        <f>IF(AA238="","",IFERROR(1*'Procyclean BIO'!C239,IFERROR(_xludf.NUMBERVALUE('Procyclean BIO'!C239,".",","),IFERROR(_xludf.NUMBERVALUE('Procyclean BIO'!C239,",","."),0))))</f>
        <v/>
      </c>
      <c r="AE238" t="str">
        <f>IF(AA238="","",'Procyclean BIO'!J239)</f>
        <v/>
      </c>
      <c r="AF238">
        <f t="shared" si="35"/>
        <v>0</v>
      </c>
      <c r="AG238" t="str">
        <f t="shared" si="36"/>
        <v/>
      </c>
      <c r="AH238" t="str">
        <f t="shared" si="37"/>
        <v/>
      </c>
      <c r="AI238">
        <f t="shared" si="38"/>
        <v>0</v>
      </c>
      <c r="AJ238">
        <f t="shared" si="39"/>
        <v>0</v>
      </c>
      <c r="AK238">
        <v>0</v>
      </c>
      <c r="AL238" t="str">
        <f>IF(AA238="","",IFERROR(IF(ISNUMBER('Procyclean BIO'!D239),'Procyclean BIO'!D239,IF(ISNUMBER(SEARCH("12",'Procyclean BIO'!D239)),EDATE(AB238,12),IF(ISNUMBER(SEARCH("6",'Procyclean BIO'!D239)),EDATE(AB238,6),IF(ISNUMBER(SEARCH("3",'Procyclean BIO'!D239)),EDATE(AB238,3),DATEVALUE('Procyclean BIO'!D239))))),""))</f>
        <v/>
      </c>
      <c r="AM238" t="str">
        <f t="shared" ca="1" si="40"/>
        <v/>
      </c>
    </row>
    <row r="239" spans="27:39" x14ac:dyDescent="0.3">
      <c r="AA239" t="str">
        <f>IF(COUNTA('Procyclean BIO'!A240,'Procyclean BIO'!B240,'Procyclean BIO'!C240)&gt;0,"BIO","")</f>
        <v/>
      </c>
      <c r="AB239" t="str">
        <f>IFERROR(IF(ISNUMBER('Procyclean BIO'!A240),'Procyclean BIO'!A240,DATEVALUE('Procyclean BIO'!A240)),"")</f>
        <v/>
      </c>
      <c r="AC239" t="str">
        <f>IF(AA239="","",'Procyclean BIO'!B240)</f>
        <v/>
      </c>
      <c r="AD239" t="str">
        <f>IF(AA239="","",IFERROR(1*'Procyclean BIO'!C240,IFERROR(_xludf.NUMBERVALUE('Procyclean BIO'!C240,".",","),IFERROR(_xludf.NUMBERVALUE('Procyclean BIO'!C240,",","."),0))))</f>
        <v/>
      </c>
      <c r="AE239" t="str">
        <f>IF(AA239="","",'Procyclean BIO'!J240)</f>
        <v/>
      </c>
      <c r="AF239">
        <f t="shared" si="35"/>
        <v>0</v>
      </c>
      <c r="AG239" t="str">
        <f t="shared" si="36"/>
        <v/>
      </c>
      <c r="AH239" t="str">
        <f t="shared" si="37"/>
        <v/>
      </c>
      <c r="AI239">
        <f t="shared" si="38"/>
        <v>0</v>
      </c>
      <c r="AJ239">
        <f t="shared" si="39"/>
        <v>0</v>
      </c>
      <c r="AK239">
        <v>0</v>
      </c>
      <c r="AL239" t="str">
        <f>IF(AA239="","",IFERROR(IF(ISNUMBER('Procyclean BIO'!D240),'Procyclean BIO'!D240,IF(ISNUMBER(SEARCH("12",'Procyclean BIO'!D240)),EDATE(AB239,12),IF(ISNUMBER(SEARCH("6",'Procyclean BIO'!D240)),EDATE(AB239,6),IF(ISNUMBER(SEARCH("3",'Procyclean BIO'!D240)),EDATE(AB239,3),DATEVALUE('Procyclean BIO'!D240))))),""))</f>
        <v/>
      </c>
      <c r="AM239" t="str">
        <f t="shared" ca="1" si="40"/>
        <v/>
      </c>
    </row>
    <row r="240" spans="27:39" x14ac:dyDescent="0.3">
      <c r="AA240" t="str">
        <f>IF(COUNTA('Procyclean BIO'!A241,'Procyclean BIO'!B241,'Procyclean BIO'!C241)&gt;0,"BIO","")</f>
        <v/>
      </c>
      <c r="AB240" t="str">
        <f>IFERROR(IF(ISNUMBER('Procyclean BIO'!A241),'Procyclean BIO'!A241,DATEVALUE('Procyclean BIO'!A241)),"")</f>
        <v/>
      </c>
      <c r="AC240" t="str">
        <f>IF(AA240="","",'Procyclean BIO'!B241)</f>
        <v/>
      </c>
      <c r="AD240" t="str">
        <f>IF(AA240="","",IFERROR(1*'Procyclean BIO'!C241,IFERROR(_xludf.NUMBERVALUE('Procyclean BIO'!C241,".",","),IFERROR(_xludf.NUMBERVALUE('Procyclean BIO'!C241,",","."),0))))</f>
        <v/>
      </c>
      <c r="AE240" t="str">
        <f>IF(AA240="","",'Procyclean BIO'!J241)</f>
        <v/>
      </c>
      <c r="AF240">
        <f t="shared" si="35"/>
        <v>0</v>
      </c>
      <c r="AG240" t="str">
        <f t="shared" si="36"/>
        <v/>
      </c>
      <c r="AH240" t="str">
        <f t="shared" si="37"/>
        <v/>
      </c>
      <c r="AI240">
        <f t="shared" si="38"/>
        <v>0</v>
      </c>
      <c r="AJ240">
        <f t="shared" si="39"/>
        <v>0</v>
      </c>
      <c r="AK240">
        <v>0</v>
      </c>
      <c r="AL240" t="str">
        <f>IF(AA240="","",IFERROR(IF(ISNUMBER('Procyclean BIO'!D241),'Procyclean BIO'!D241,IF(ISNUMBER(SEARCH("12",'Procyclean BIO'!D241)),EDATE(AB240,12),IF(ISNUMBER(SEARCH("6",'Procyclean BIO'!D241)),EDATE(AB240,6),IF(ISNUMBER(SEARCH("3",'Procyclean BIO'!D241)),EDATE(AB240,3),DATEVALUE('Procyclean BIO'!D241))))),""))</f>
        <v/>
      </c>
      <c r="AM240" t="str">
        <f t="shared" ca="1" si="40"/>
        <v/>
      </c>
    </row>
    <row r="241" spans="27:39" x14ac:dyDescent="0.3">
      <c r="AA241" t="str">
        <f>IF(COUNTA('Procyclean BIO'!A242,'Procyclean BIO'!B242,'Procyclean BIO'!C242)&gt;0,"BIO","")</f>
        <v/>
      </c>
      <c r="AB241" t="str">
        <f>IFERROR(IF(ISNUMBER('Procyclean BIO'!A242),'Procyclean BIO'!A242,DATEVALUE('Procyclean BIO'!A242)),"")</f>
        <v/>
      </c>
      <c r="AC241" t="str">
        <f>IF(AA241="","",'Procyclean BIO'!B242)</f>
        <v/>
      </c>
      <c r="AD241" t="str">
        <f>IF(AA241="","",IFERROR(1*'Procyclean BIO'!C242,IFERROR(_xludf.NUMBERVALUE('Procyclean BIO'!C242,".",","),IFERROR(_xludf.NUMBERVALUE('Procyclean BIO'!C242,",","."),0))))</f>
        <v/>
      </c>
      <c r="AE241" t="str">
        <f>IF(AA241="","",'Procyclean BIO'!J242)</f>
        <v/>
      </c>
      <c r="AF241">
        <f t="shared" si="35"/>
        <v>0</v>
      </c>
      <c r="AG241" t="str">
        <f t="shared" si="36"/>
        <v/>
      </c>
      <c r="AH241" t="str">
        <f t="shared" si="37"/>
        <v/>
      </c>
      <c r="AI241">
        <f t="shared" si="38"/>
        <v>0</v>
      </c>
      <c r="AJ241">
        <f t="shared" si="39"/>
        <v>0</v>
      </c>
      <c r="AK241">
        <v>0</v>
      </c>
      <c r="AL241" t="str">
        <f>IF(AA241="","",IFERROR(IF(ISNUMBER('Procyclean BIO'!D242),'Procyclean BIO'!D242,IF(ISNUMBER(SEARCH("12",'Procyclean BIO'!D242)),EDATE(AB241,12),IF(ISNUMBER(SEARCH("6",'Procyclean BIO'!D242)),EDATE(AB241,6),IF(ISNUMBER(SEARCH("3",'Procyclean BIO'!D242)),EDATE(AB241,3),DATEVALUE('Procyclean BIO'!D242))))),""))</f>
        <v/>
      </c>
      <c r="AM241" t="str">
        <f t="shared" ca="1" si="40"/>
        <v/>
      </c>
    </row>
    <row r="242" spans="27:39" x14ac:dyDescent="0.3">
      <c r="AA242" t="str">
        <f>IF(COUNTA('Procyclean BIO'!A243,'Procyclean BIO'!B243,'Procyclean BIO'!C243)&gt;0,"BIO","")</f>
        <v/>
      </c>
      <c r="AB242" t="str">
        <f>IFERROR(IF(ISNUMBER('Procyclean BIO'!A243),'Procyclean BIO'!A243,DATEVALUE('Procyclean BIO'!A243)),"")</f>
        <v/>
      </c>
      <c r="AC242" t="str">
        <f>IF(AA242="","",'Procyclean BIO'!B243)</f>
        <v/>
      </c>
      <c r="AD242" t="str">
        <f>IF(AA242="","",IFERROR(1*'Procyclean BIO'!C243,IFERROR(_xludf.NUMBERVALUE('Procyclean BIO'!C243,".",","),IFERROR(_xludf.NUMBERVALUE('Procyclean BIO'!C243,",","."),0))))</f>
        <v/>
      </c>
      <c r="AE242" t="str">
        <f>IF(AA242="","",'Procyclean BIO'!J243)</f>
        <v/>
      </c>
      <c r="AF242">
        <f t="shared" si="35"/>
        <v>0</v>
      </c>
      <c r="AG242" t="str">
        <f t="shared" si="36"/>
        <v/>
      </c>
      <c r="AH242" t="str">
        <f t="shared" si="37"/>
        <v/>
      </c>
      <c r="AI242">
        <f t="shared" si="38"/>
        <v>0</v>
      </c>
      <c r="AJ242">
        <f t="shared" si="39"/>
        <v>0</v>
      </c>
      <c r="AK242">
        <v>0</v>
      </c>
      <c r="AL242" t="str">
        <f>IF(AA242="","",IFERROR(IF(ISNUMBER('Procyclean BIO'!D243),'Procyclean BIO'!D243,IF(ISNUMBER(SEARCH("12",'Procyclean BIO'!D243)),EDATE(AB242,12),IF(ISNUMBER(SEARCH("6",'Procyclean BIO'!D243)),EDATE(AB242,6),IF(ISNUMBER(SEARCH("3",'Procyclean BIO'!D243)),EDATE(AB242,3),DATEVALUE('Procyclean BIO'!D243))))),""))</f>
        <v/>
      </c>
      <c r="AM242" t="str">
        <f t="shared" ca="1" si="40"/>
        <v/>
      </c>
    </row>
    <row r="243" spans="27:39" x14ac:dyDescent="0.3">
      <c r="AA243" t="str">
        <f>IF(COUNTA('Procyclean BIO'!A244,'Procyclean BIO'!B244,'Procyclean BIO'!C244)&gt;0,"BIO","")</f>
        <v/>
      </c>
      <c r="AB243" t="str">
        <f>IFERROR(IF(ISNUMBER('Procyclean BIO'!A244),'Procyclean BIO'!A244,DATEVALUE('Procyclean BIO'!A244)),"")</f>
        <v/>
      </c>
      <c r="AC243" t="str">
        <f>IF(AA243="","",'Procyclean BIO'!B244)</f>
        <v/>
      </c>
      <c r="AD243" t="str">
        <f>IF(AA243="","",IFERROR(1*'Procyclean BIO'!C244,IFERROR(_xludf.NUMBERVALUE('Procyclean BIO'!C244,".",","),IFERROR(_xludf.NUMBERVALUE('Procyclean BIO'!C244,",","."),0))))</f>
        <v/>
      </c>
      <c r="AE243" t="str">
        <f>IF(AA243="","",'Procyclean BIO'!J244)</f>
        <v/>
      </c>
      <c r="AF243">
        <f t="shared" si="35"/>
        <v>0</v>
      </c>
      <c r="AG243" t="str">
        <f t="shared" si="36"/>
        <v/>
      </c>
      <c r="AH243" t="str">
        <f t="shared" si="37"/>
        <v/>
      </c>
      <c r="AI243">
        <f t="shared" si="38"/>
        <v>0</v>
      </c>
      <c r="AJ243">
        <f t="shared" si="39"/>
        <v>0</v>
      </c>
      <c r="AK243">
        <v>0</v>
      </c>
      <c r="AL243" t="str">
        <f>IF(AA243="","",IFERROR(IF(ISNUMBER('Procyclean BIO'!D244),'Procyclean BIO'!D244,IF(ISNUMBER(SEARCH("12",'Procyclean BIO'!D244)),EDATE(AB243,12),IF(ISNUMBER(SEARCH("6",'Procyclean BIO'!D244)),EDATE(AB243,6),IF(ISNUMBER(SEARCH("3",'Procyclean BIO'!D244)),EDATE(AB243,3),DATEVALUE('Procyclean BIO'!D244))))),""))</f>
        <v/>
      </c>
      <c r="AM243" t="str">
        <f t="shared" ca="1" si="40"/>
        <v/>
      </c>
    </row>
    <row r="244" spans="27:39" x14ac:dyDescent="0.3">
      <c r="AA244" t="str">
        <f>IF(COUNTA('Procyclean BIO'!A245,'Procyclean BIO'!B245,'Procyclean BIO'!C245)&gt;0,"BIO","")</f>
        <v/>
      </c>
      <c r="AB244" t="str">
        <f>IFERROR(IF(ISNUMBER('Procyclean BIO'!A245),'Procyclean BIO'!A245,DATEVALUE('Procyclean BIO'!A245)),"")</f>
        <v/>
      </c>
      <c r="AC244" t="str">
        <f>IF(AA244="","",'Procyclean BIO'!B245)</f>
        <v/>
      </c>
      <c r="AD244" t="str">
        <f>IF(AA244="","",IFERROR(1*'Procyclean BIO'!C245,IFERROR(_xludf.NUMBERVALUE('Procyclean BIO'!C245,".",","),IFERROR(_xludf.NUMBERVALUE('Procyclean BIO'!C245,",","."),0))))</f>
        <v/>
      </c>
      <c r="AE244" t="str">
        <f>IF(AA244="","",'Procyclean BIO'!J245)</f>
        <v/>
      </c>
      <c r="AF244">
        <f t="shared" si="35"/>
        <v>0</v>
      </c>
      <c r="AG244" t="str">
        <f t="shared" si="36"/>
        <v/>
      </c>
      <c r="AH244" t="str">
        <f t="shared" si="37"/>
        <v/>
      </c>
      <c r="AI244">
        <f t="shared" si="38"/>
        <v>0</v>
      </c>
      <c r="AJ244">
        <f t="shared" si="39"/>
        <v>0</v>
      </c>
      <c r="AK244">
        <v>0</v>
      </c>
      <c r="AL244" t="str">
        <f>IF(AA244="","",IFERROR(IF(ISNUMBER('Procyclean BIO'!D245),'Procyclean BIO'!D245,IF(ISNUMBER(SEARCH("12",'Procyclean BIO'!D245)),EDATE(AB244,12),IF(ISNUMBER(SEARCH("6",'Procyclean BIO'!D245)),EDATE(AB244,6),IF(ISNUMBER(SEARCH("3",'Procyclean BIO'!D245)),EDATE(AB244,3),DATEVALUE('Procyclean BIO'!D245))))),""))</f>
        <v/>
      </c>
      <c r="AM244" t="str">
        <f t="shared" ca="1" si="40"/>
        <v/>
      </c>
    </row>
    <row r="245" spans="27:39" x14ac:dyDescent="0.3">
      <c r="AA245" t="str">
        <f>IF(COUNTA('Procyclean BIO'!A246,'Procyclean BIO'!B246,'Procyclean BIO'!C246)&gt;0,"BIO","")</f>
        <v/>
      </c>
      <c r="AB245" t="str">
        <f>IFERROR(IF(ISNUMBER('Procyclean BIO'!A246),'Procyclean BIO'!A246,DATEVALUE('Procyclean BIO'!A246)),"")</f>
        <v/>
      </c>
      <c r="AC245" t="str">
        <f>IF(AA245="","",'Procyclean BIO'!B246)</f>
        <v/>
      </c>
      <c r="AD245" t="str">
        <f>IF(AA245="","",IFERROR(1*'Procyclean BIO'!C246,IFERROR(_xludf.NUMBERVALUE('Procyclean BIO'!C246,".",","),IFERROR(_xludf.NUMBERVALUE('Procyclean BIO'!C246,",","."),0))))</f>
        <v/>
      </c>
      <c r="AE245" t="str">
        <f>IF(AA245="","",'Procyclean BIO'!J246)</f>
        <v/>
      </c>
      <c r="AF245">
        <f t="shared" si="35"/>
        <v>0</v>
      </c>
      <c r="AG245" t="str">
        <f t="shared" si="36"/>
        <v/>
      </c>
      <c r="AH245" t="str">
        <f t="shared" si="37"/>
        <v/>
      </c>
      <c r="AI245">
        <f t="shared" si="38"/>
        <v>0</v>
      </c>
      <c r="AJ245">
        <f t="shared" si="39"/>
        <v>0</v>
      </c>
      <c r="AK245">
        <v>0</v>
      </c>
      <c r="AL245" t="str">
        <f>IF(AA245="","",IFERROR(IF(ISNUMBER('Procyclean BIO'!D246),'Procyclean BIO'!D246,IF(ISNUMBER(SEARCH("12",'Procyclean BIO'!D246)),EDATE(AB245,12),IF(ISNUMBER(SEARCH("6",'Procyclean BIO'!D246)),EDATE(AB245,6),IF(ISNUMBER(SEARCH("3",'Procyclean BIO'!D246)),EDATE(AB245,3),DATEVALUE('Procyclean BIO'!D246))))),""))</f>
        <v/>
      </c>
      <c r="AM245" t="str">
        <f t="shared" ca="1" si="40"/>
        <v/>
      </c>
    </row>
    <row r="246" spans="27:39" x14ac:dyDescent="0.3">
      <c r="AA246" t="str">
        <f>IF(COUNTA('Procyclean BIO'!A247,'Procyclean BIO'!B247,'Procyclean BIO'!C247)&gt;0,"BIO","")</f>
        <v/>
      </c>
      <c r="AB246" t="str">
        <f>IFERROR(IF(ISNUMBER('Procyclean BIO'!A247),'Procyclean BIO'!A247,DATEVALUE('Procyclean BIO'!A247)),"")</f>
        <v/>
      </c>
      <c r="AC246" t="str">
        <f>IF(AA246="","",'Procyclean BIO'!B247)</f>
        <v/>
      </c>
      <c r="AD246" t="str">
        <f>IF(AA246="","",IFERROR(1*'Procyclean BIO'!C247,IFERROR(_xludf.NUMBERVALUE('Procyclean BIO'!C247,".",","),IFERROR(_xludf.NUMBERVALUE('Procyclean BIO'!C247,",","."),0))))</f>
        <v/>
      </c>
      <c r="AE246" t="str">
        <f>IF(AA246="","",'Procyclean BIO'!J247)</f>
        <v/>
      </c>
      <c r="AF246">
        <f t="shared" si="35"/>
        <v>0</v>
      </c>
      <c r="AG246" t="str">
        <f t="shared" si="36"/>
        <v/>
      </c>
      <c r="AH246" t="str">
        <f t="shared" si="37"/>
        <v/>
      </c>
      <c r="AI246">
        <f t="shared" si="38"/>
        <v>0</v>
      </c>
      <c r="AJ246">
        <f t="shared" si="39"/>
        <v>0</v>
      </c>
      <c r="AK246">
        <v>0</v>
      </c>
      <c r="AL246" t="str">
        <f>IF(AA246="","",IFERROR(IF(ISNUMBER('Procyclean BIO'!D247),'Procyclean BIO'!D247,IF(ISNUMBER(SEARCH("12",'Procyclean BIO'!D247)),EDATE(AB246,12),IF(ISNUMBER(SEARCH("6",'Procyclean BIO'!D247)),EDATE(AB246,6),IF(ISNUMBER(SEARCH("3",'Procyclean BIO'!D247)),EDATE(AB246,3),DATEVALUE('Procyclean BIO'!D247))))),""))</f>
        <v/>
      </c>
      <c r="AM246" t="str">
        <f t="shared" ca="1" si="40"/>
        <v/>
      </c>
    </row>
    <row r="247" spans="27:39" x14ac:dyDescent="0.3">
      <c r="AA247" t="str">
        <f>IF(COUNTA('Procyclean BIO'!A248,'Procyclean BIO'!B248,'Procyclean BIO'!C248)&gt;0,"BIO","")</f>
        <v/>
      </c>
      <c r="AB247" t="str">
        <f>IFERROR(IF(ISNUMBER('Procyclean BIO'!A248),'Procyclean BIO'!A248,DATEVALUE('Procyclean BIO'!A248)),"")</f>
        <v/>
      </c>
      <c r="AC247" t="str">
        <f>IF(AA247="","",'Procyclean BIO'!B248)</f>
        <v/>
      </c>
      <c r="AD247" t="str">
        <f>IF(AA247="","",IFERROR(1*'Procyclean BIO'!C248,IFERROR(_xludf.NUMBERVALUE('Procyclean BIO'!C248,".",","),IFERROR(_xludf.NUMBERVALUE('Procyclean BIO'!C248,",","."),0))))</f>
        <v/>
      </c>
      <c r="AE247" t="str">
        <f>IF(AA247="","",'Procyclean BIO'!J248)</f>
        <v/>
      </c>
      <c r="AF247">
        <f t="shared" si="35"/>
        <v>0</v>
      </c>
      <c r="AG247" t="str">
        <f t="shared" si="36"/>
        <v/>
      </c>
      <c r="AH247" t="str">
        <f t="shared" si="37"/>
        <v/>
      </c>
      <c r="AI247">
        <f t="shared" si="38"/>
        <v>0</v>
      </c>
      <c r="AJ247">
        <f t="shared" si="39"/>
        <v>0</v>
      </c>
      <c r="AK247">
        <v>0</v>
      </c>
      <c r="AL247" t="str">
        <f>IF(AA247="","",IFERROR(IF(ISNUMBER('Procyclean BIO'!D248),'Procyclean BIO'!D248,IF(ISNUMBER(SEARCH("12",'Procyclean BIO'!D248)),EDATE(AB247,12),IF(ISNUMBER(SEARCH("6",'Procyclean BIO'!D248)),EDATE(AB247,6),IF(ISNUMBER(SEARCH("3",'Procyclean BIO'!D248)),EDATE(AB247,3),DATEVALUE('Procyclean BIO'!D248))))),""))</f>
        <v/>
      </c>
      <c r="AM247" t="str">
        <f t="shared" ca="1" si="40"/>
        <v/>
      </c>
    </row>
    <row r="248" spans="27:39" x14ac:dyDescent="0.3">
      <c r="AA248" t="str">
        <f>IF(COUNTA('Procyclean BIO'!A249,'Procyclean BIO'!B249,'Procyclean BIO'!C249)&gt;0,"BIO","")</f>
        <v/>
      </c>
      <c r="AB248" t="str">
        <f>IFERROR(IF(ISNUMBER('Procyclean BIO'!A249),'Procyclean BIO'!A249,DATEVALUE('Procyclean BIO'!A249)),"")</f>
        <v/>
      </c>
      <c r="AC248" t="str">
        <f>IF(AA248="","",'Procyclean BIO'!B249)</f>
        <v/>
      </c>
      <c r="AD248" t="str">
        <f>IF(AA248="","",IFERROR(1*'Procyclean BIO'!C249,IFERROR(_xludf.NUMBERVALUE('Procyclean BIO'!C249,".",","),IFERROR(_xludf.NUMBERVALUE('Procyclean BIO'!C249,",","."),0))))</f>
        <v/>
      </c>
      <c r="AE248" t="str">
        <f>IF(AA248="","",'Procyclean BIO'!J249)</f>
        <v/>
      </c>
      <c r="AF248">
        <f t="shared" si="35"/>
        <v>0</v>
      </c>
      <c r="AG248" t="str">
        <f t="shared" si="36"/>
        <v/>
      </c>
      <c r="AH248" t="str">
        <f t="shared" si="37"/>
        <v/>
      </c>
      <c r="AI248">
        <f t="shared" si="38"/>
        <v>0</v>
      </c>
      <c r="AJ248">
        <f t="shared" si="39"/>
        <v>0</v>
      </c>
      <c r="AK248">
        <v>0</v>
      </c>
      <c r="AL248" t="str">
        <f>IF(AA248="","",IFERROR(IF(ISNUMBER('Procyclean BIO'!D249),'Procyclean BIO'!D249,IF(ISNUMBER(SEARCH("12",'Procyclean BIO'!D249)),EDATE(AB248,12),IF(ISNUMBER(SEARCH("6",'Procyclean BIO'!D249)),EDATE(AB248,6),IF(ISNUMBER(SEARCH("3",'Procyclean BIO'!D249)),EDATE(AB248,3),DATEVALUE('Procyclean BIO'!D249))))),""))</f>
        <v/>
      </c>
      <c r="AM248" t="str">
        <f t="shared" ca="1" si="40"/>
        <v/>
      </c>
    </row>
    <row r="249" spans="27:39" x14ac:dyDescent="0.3">
      <c r="AA249" t="str">
        <f>IF(COUNTA('Procyclean BIO'!A250,'Procyclean BIO'!B250,'Procyclean BIO'!C250)&gt;0,"BIO","")</f>
        <v/>
      </c>
      <c r="AB249" t="str">
        <f>IFERROR(IF(ISNUMBER('Procyclean BIO'!A250),'Procyclean BIO'!A250,DATEVALUE('Procyclean BIO'!A250)),"")</f>
        <v/>
      </c>
      <c r="AC249" t="str">
        <f>IF(AA249="","",'Procyclean BIO'!B250)</f>
        <v/>
      </c>
      <c r="AD249" t="str">
        <f>IF(AA249="","",IFERROR(1*'Procyclean BIO'!C250,IFERROR(_xludf.NUMBERVALUE('Procyclean BIO'!C250,".",","),IFERROR(_xludf.NUMBERVALUE('Procyclean BIO'!C250,",","."),0))))</f>
        <v/>
      </c>
      <c r="AE249" t="str">
        <f>IF(AA249="","",'Procyclean BIO'!J250)</f>
        <v/>
      </c>
      <c r="AF249">
        <f t="shared" si="35"/>
        <v>0</v>
      </c>
      <c r="AG249" t="str">
        <f t="shared" si="36"/>
        <v/>
      </c>
      <c r="AH249" t="str">
        <f t="shared" si="37"/>
        <v/>
      </c>
      <c r="AI249">
        <f t="shared" si="38"/>
        <v>0</v>
      </c>
      <c r="AJ249">
        <f t="shared" si="39"/>
        <v>0</v>
      </c>
      <c r="AK249">
        <v>0</v>
      </c>
      <c r="AL249" t="str">
        <f>IF(AA249="","",IFERROR(IF(ISNUMBER('Procyclean BIO'!D250),'Procyclean BIO'!D250,IF(ISNUMBER(SEARCH("12",'Procyclean BIO'!D250)),EDATE(AB249,12),IF(ISNUMBER(SEARCH("6",'Procyclean BIO'!D250)),EDATE(AB249,6),IF(ISNUMBER(SEARCH("3",'Procyclean BIO'!D250)),EDATE(AB249,3),DATEVALUE('Procyclean BIO'!D250))))),""))</f>
        <v/>
      </c>
      <c r="AM249" t="str">
        <f t="shared" ca="1" si="40"/>
        <v/>
      </c>
    </row>
    <row r="250" spans="27:39" x14ac:dyDescent="0.3">
      <c r="AA250" t="str">
        <f>IF(COUNTA('Procyclean BIO'!A251,'Procyclean BIO'!B251,'Procyclean BIO'!C251)&gt;0,"BIO","")</f>
        <v/>
      </c>
      <c r="AB250" t="str">
        <f>IFERROR(IF(ISNUMBER('Procyclean BIO'!A251),'Procyclean BIO'!A251,DATEVALUE('Procyclean BIO'!A251)),"")</f>
        <v/>
      </c>
      <c r="AC250" t="str">
        <f>IF(AA250="","",'Procyclean BIO'!B251)</f>
        <v/>
      </c>
      <c r="AD250" t="str">
        <f>IF(AA250="","",IFERROR(1*'Procyclean BIO'!C251,IFERROR(_xludf.NUMBERVALUE('Procyclean BIO'!C251,".",","),IFERROR(_xludf.NUMBERVALUE('Procyclean BIO'!C251,",","."),0))))</f>
        <v/>
      </c>
      <c r="AE250" t="str">
        <f>IF(AA250="","",'Procyclean BIO'!J251)</f>
        <v/>
      </c>
      <c r="AF250">
        <f t="shared" si="35"/>
        <v>0</v>
      </c>
      <c r="AG250" t="str">
        <f t="shared" si="36"/>
        <v/>
      </c>
      <c r="AH250" t="str">
        <f t="shared" si="37"/>
        <v/>
      </c>
      <c r="AI250">
        <f t="shared" si="38"/>
        <v>0</v>
      </c>
      <c r="AJ250">
        <f t="shared" si="39"/>
        <v>0</v>
      </c>
      <c r="AK250">
        <v>0</v>
      </c>
      <c r="AL250" t="str">
        <f>IF(AA250="","",IFERROR(IF(ISNUMBER('Procyclean BIO'!D251),'Procyclean BIO'!D251,IF(ISNUMBER(SEARCH("12",'Procyclean BIO'!D251)),EDATE(AB250,12),IF(ISNUMBER(SEARCH("6",'Procyclean BIO'!D251)),EDATE(AB250,6),IF(ISNUMBER(SEARCH("3",'Procyclean BIO'!D251)),EDATE(AB250,3),DATEVALUE('Procyclean BIO'!D251))))),""))</f>
        <v/>
      </c>
      <c r="AM250" t="str">
        <f t="shared" ca="1" si="40"/>
        <v/>
      </c>
    </row>
    <row r="251" spans="27:39" x14ac:dyDescent="0.3">
      <c r="AA251" t="str">
        <f>IF(COUNTA('Procyclean BIO'!A252,'Procyclean BIO'!B252,'Procyclean BIO'!C252)&gt;0,"BIO","")</f>
        <v/>
      </c>
      <c r="AB251" t="str">
        <f>IFERROR(IF(ISNUMBER('Procyclean BIO'!A252),'Procyclean BIO'!A252,DATEVALUE('Procyclean BIO'!A252)),"")</f>
        <v/>
      </c>
      <c r="AC251" t="str">
        <f>IF(AA251="","",'Procyclean BIO'!B252)</f>
        <v/>
      </c>
      <c r="AD251" t="str">
        <f>IF(AA251="","",IFERROR(1*'Procyclean BIO'!C252,IFERROR(_xludf.NUMBERVALUE('Procyclean BIO'!C252,".",","),IFERROR(_xludf.NUMBERVALUE('Procyclean BIO'!C252,",","."),0))))</f>
        <v/>
      </c>
      <c r="AE251" t="str">
        <f>IF(AA251="","",'Procyclean BIO'!J252)</f>
        <v/>
      </c>
      <c r="AF251">
        <f t="shared" si="35"/>
        <v>0</v>
      </c>
      <c r="AG251" t="str">
        <f t="shared" si="36"/>
        <v/>
      </c>
      <c r="AH251" t="str">
        <f t="shared" si="37"/>
        <v/>
      </c>
      <c r="AI251">
        <f t="shared" si="38"/>
        <v>0</v>
      </c>
      <c r="AJ251">
        <f t="shared" si="39"/>
        <v>0</v>
      </c>
      <c r="AK251">
        <v>0</v>
      </c>
      <c r="AL251" t="str">
        <f>IF(AA251="","",IFERROR(IF(ISNUMBER('Procyclean BIO'!D252),'Procyclean BIO'!D252,IF(ISNUMBER(SEARCH("12",'Procyclean BIO'!D252)),EDATE(AB251,12),IF(ISNUMBER(SEARCH("6",'Procyclean BIO'!D252)),EDATE(AB251,6),IF(ISNUMBER(SEARCH("3",'Procyclean BIO'!D252)),EDATE(AB251,3),DATEVALUE('Procyclean BIO'!D252))))),""))</f>
        <v/>
      </c>
      <c r="AM251" t="str">
        <f t="shared" ca="1" si="40"/>
        <v/>
      </c>
    </row>
    <row r="252" spans="27:39" x14ac:dyDescent="0.3">
      <c r="AA252" t="str">
        <f>IF(COUNTA('Procyclean BIO'!A253,'Procyclean BIO'!B253,'Procyclean BIO'!C253)&gt;0,"BIO","")</f>
        <v/>
      </c>
      <c r="AB252" t="str">
        <f>IFERROR(IF(ISNUMBER('Procyclean BIO'!A253),'Procyclean BIO'!A253,DATEVALUE('Procyclean BIO'!A253)),"")</f>
        <v/>
      </c>
      <c r="AC252" t="str">
        <f>IF(AA252="","",'Procyclean BIO'!B253)</f>
        <v/>
      </c>
      <c r="AD252" t="str">
        <f>IF(AA252="","",IFERROR(1*'Procyclean BIO'!C253,IFERROR(_xludf.NUMBERVALUE('Procyclean BIO'!C253,".",","),IFERROR(_xludf.NUMBERVALUE('Procyclean BIO'!C253,",","."),0))))</f>
        <v/>
      </c>
      <c r="AE252" t="str">
        <f>IF(AA252="","",'Procyclean BIO'!J253)</f>
        <v/>
      </c>
      <c r="AF252">
        <f t="shared" si="35"/>
        <v>0</v>
      </c>
      <c r="AG252" t="str">
        <f t="shared" si="36"/>
        <v/>
      </c>
      <c r="AH252" t="str">
        <f t="shared" si="37"/>
        <v/>
      </c>
      <c r="AI252">
        <f t="shared" si="38"/>
        <v>0</v>
      </c>
      <c r="AJ252">
        <f t="shared" si="39"/>
        <v>0</v>
      </c>
      <c r="AK252">
        <v>0</v>
      </c>
      <c r="AL252" t="str">
        <f>IF(AA252="","",IFERROR(IF(ISNUMBER('Procyclean BIO'!D253),'Procyclean BIO'!D253,IF(ISNUMBER(SEARCH("12",'Procyclean BIO'!D253)),EDATE(AB252,12),IF(ISNUMBER(SEARCH("6",'Procyclean BIO'!D253)),EDATE(AB252,6),IF(ISNUMBER(SEARCH("3",'Procyclean BIO'!D253)),EDATE(AB252,3),DATEVALUE('Procyclean BIO'!D253))))),""))</f>
        <v/>
      </c>
      <c r="AM252" t="str">
        <f t="shared" ca="1" si="40"/>
        <v/>
      </c>
    </row>
    <row r="253" spans="27:39" x14ac:dyDescent="0.3">
      <c r="AA253" t="str">
        <f>IF(COUNTA('Procyclean BIO'!A254,'Procyclean BIO'!B254,'Procyclean BIO'!C254)&gt;0,"BIO","")</f>
        <v/>
      </c>
      <c r="AB253" t="str">
        <f>IFERROR(IF(ISNUMBER('Procyclean BIO'!A254),'Procyclean BIO'!A254,DATEVALUE('Procyclean BIO'!A254)),"")</f>
        <v/>
      </c>
      <c r="AC253" t="str">
        <f>IF(AA253="","",'Procyclean BIO'!B254)</f>
        <v/>
      </c>
      <c r="AD253" t="str">
        <f>IF(AA253="","",IFERROR(1*'Procyclean BIO'!C254,IFERROR(_xludf.NUMBERVALUE('Procyclean BIO'!C254,".",","),IFERROR(_xludf.NUMBERVALUE('Procyclean BIO'!C254,",","."),0))))</f>
        <v/>
      </c>
      <c r="AE253" t="str">
        <f>IF(AA253="","",'Procyclean BIO'!J254)</f>
        <v/>
      </c>
      <c r="AF253">
        <f t="shared" si="35"/>
        <v>0</v>
      </c>
      <c r="AG253" t="str">
        <f t="shared" si="36"/>
        <v/>
      </c>
      <c r="AH253" t="str">
        <f t="shared" si="37"/>
        <v/>
      </c>
      <c r="AI253">
        <f t="shared" si="38"/>
        <v>0</v>
      </c>
      <c r="AJ253">
        <f t="shared" si="39"/>
        <v>0</v>
      </c>
      <c r="AK253">
        <v>0</v>
      </c>
      <c r="AL253" t="str">
        <f>IF(AA253="","",IFERROR(IF(ISNUMBER('Procyclean BIO'!D254),'Procyclean BIO'!D254,IF(ISNUMBER(SEARCH("12",'Procyclean BIO'!D254)),EDATE(AB253,12),IF(ISNUMBER(SEARCH("6",'Procyclean BIO'!D254)),EDATE(AB253,6),IF(ISNUMBER(SEARCH("3",'Procyclean BIO'!D254)),EDATE(AB253,3),DATEVALUE('Procyclean BIO'!D254))))),""))</f>
        <v/>
      </c>
      <c r="AM253" t="str">
        <f t="shared" ca="1" si="40"/>
        <v/>
      </c>
    </row>
    <row r="254" spans="27:39" x14ac:dyDescent="0.3">
      <c r="AA254" t="str">
        <f>IF(COUNTA('Procyclean BIO'!A255,'Procyclean BIO'!B255,'Procyclean BIO'!C255)&gt;0,"BIO","")</f>
        <v/>
      </c>
      <c r="AB254" t="str">
        <f>IFERROR(IF(ISNUMBER('Procyclean BIO'!A255),'Procyclean BIO'!A255,DATEVALUE('Procyclean BIO'!A255)),"")</f>
        <v/>
      </c>
      <c r="AC254" t="str">
        <f>IF(AA254="","",'Procyclean BIO'!B255)</f>
        <v/>
      </c>
      <c r="AD254" t="str">
        <f>IF(AA254="","",IFERROR(1*'Procyclean BIO'!C255,IFERROR(_xludf.NUMBERVALUE('Procyclean BIO'!C255,".",","),IFERROR(_xludf.NUMBERVALUE('Procyclean BIO'!C255,",","."),0))))</f>
        <v/>
      </c>
      <c r="AE254" t="str">
        <f>IF(AA254="","",'Procyclean BIO'!J255)</f>
        <v/>
      </c>
      <c r="AF254">
        <f t="shared" si="35"/>
        <v>0</v>
      </c>
      <c r="AG254" t="str">
        <f t="shared" si="36"/>
        <v/>
      </c>
      <c r="AH254" t="str">
        <f t="shared" si="37"/>
        <v/>
      </c>
      <c r="AI254">
        <f t="shared" si="38"/>
        <v>0</v>
      </c>
      <c r="AJ254">
        <f t="shared" si="39"/>
        <v>0</v>
      </c>
      <c r="AK254">
        <v>0</v>
      </c>
      <c r="AL254" t="str">
        <f>IF(AA254="","",IFERROR(IF(ISNUMBER('Procyclean BIO'!D255),'Procyclean BIO'!D255,IF(ISNUMBER(SEARCH("12",'Procyclean BIO'!D255)),EDATE(AB254,12),IF(ISNUMBER(SEARCH("6",'Procyclean BIO'!D255)),EDATE(AB254,6),IF(ISNUMBER(SEARCH("3",'Procyclean BIO'!D255)),EDATE(AB254,3),DATEVALUE('Procyclean BIO'!D255))))),""))</f>
        <v/>
      </c>
      <c r="AM254" t="str">
        <f t="shared" ca="1" si="40"/>
        <v/>
      </c>
    </row>
    <row r="255" spans="27:39" x14ac:dyDescent="0.3">
      <c r="AA255" t="str">
        <f>IF(COUNTA('Procyclean BIO'!A256,'Procyclean BIO'!B256,'Procyclean BIO'!C256)&gt;0,"BIO","")</f>
        <v/>
      </c>
      <c r="AB255" t="str">
        <f>IFERROR(IF(ISNUMBER('Procyclean BIO'!A256),'Procyclean BIO'!A256,DATEVALUE('Procyclean BIO'!A256)),"")</f>
        <v/>
      </c>
      <c r="AC255" t="str">
        <f>IF(AA255="","",'Procyclean BIO'!B256)</f>
        <v/>
      </c>
      <c r="AD255" t="str">
        <f>IF(AA255="","",IFERROR(1*'Procyclean BIO'!C256,IFERROR(_xludf.NUMBERVALUE('Procyclean BIO'!C256,".",","),IFERROR(_xludf.NUMBERVALUE('Procyclean BIO'!C256,",","."),0))))</f>
        <v/>
      </c>
      <c r="AE255" t="str">
        <f>IF(AA255="","",'Procyclean BIO'!J256)</f>
        <v/>
      </c>
      <c r="AF255">
        <f t="shared" si="35"/>
        <v>0</v>
      </c>
      <c r="AG255" t="str">
        <f t="shared" si="36"/>
        <v/>
      </c>
      <c r="AH255" t="str">
        <f t="shared" si="37"/>
        <v/>
      </c>
      <c r="AI255">
        <f t="shared" si="38"/>
        <v>0</v>
      </c>
      <c r="AJ255">
        <f t="shared" si="39"/>
        <v>0</v>
      </c>
      <c r="AK255">
        <v>0</v>
      </c>
      <c r="AL255" t="str">
        <f>IF(AA255="","",IFERROR(IF(ISNUMBER('Procyclean BIO'!D256),'Procyclean BIO'!D256,IF(ISNUMBER(SEARCH("12",'Procyclean BIO'!D256)),EDATE(AB255,12),IF(ISNUMBER(SEARCH("6",'Procyclean BIO'!D256)),EDATE(AB255,6),IF(ISNUMBER(SEARCH("3",'Procyclean BIO'!D256)),EDATE(AB255,3),DATEVALUE('Procyclean BIO'!D256))))),""))</f>
        <v/>
      </c>
      <c r="AM255" t="str">
        <f t="shared" ca="1" si="40"/>
        <v/>
      </c>
    </row>
    <row r="256" spans="27:39" x14ac:dyDescent="0.3">
      <c r="AA256" t="str">
        <f>IF(COUNTA('Procyclean BIO'!A257,'Procyclean BIO'!B257,'Procyclean BIO'!C257)&gt;0,"BIO","")</f>
        <v/>
      </c>
      <c r="AB256" t="str">
        <f>IFERROR(IF(ISNUMBER('Procyclean BIO'!A257),'Procyclean BIO'!A257,DATEVALUE('Procyclean BIO'!A257)),"")</f>
        <v/>
      </c>
      <c r="AC256" t="str">
        <f>IF(AA256="","",'Procyclean BIO'!B257)</f>
        <v/>
      </c>
      <c r="AD256" t="str">
        <f>IF(AA256="","",IFERROR(1*'Procyclean BIO'!C257,IFERROR(_xludf.NUMBERVALUE('Procyclean BIO'!C257,".",","),IFERROR(_xludf.NUMBERVALUE('Procyclean BIO'!C257,",","."),0))))</f>
        <v/>
      </c>
      <c r="AE256" t="str">
        <f>IF(AA256="","",'Procyclean BIO'!J257)</f>
        <v/>
      </c>
      <c r="AF256">
        <f t="shared" si="35"/>
        <v>0</v>
      </c>
      <c r="AG256" t="str">
        <f t="shared" si="36"/>
        <v/>
      </c>
      <c r="AH256" t="str">
        <f t="shared" si="37"/>
        <v/>
      </c>
      <c r="AI256">
        <f t="shared" si="38"/>
        <v>0</v>
      </c>
      <c r="AJ256">
        <f t="shared" si="39"/>
        <v>0</v>
      </c>
      <c r="AK256">
        <v>0</v>
      </c>
      <c r="AL256" t="str">
        <f>IF(AA256="","",IFERROR(IF(ISNUMBER('Procyclean BIO'!D257),'Procyclean BIO'!D257,IF(ISNUMBER(SEARCH("12",'Procyclean BIO'!D257)),EDATE(AB256,12),IF(ISNUMBER(SEARCH("6",'Procyclean BIO'!D257)),EDATE(AB256,6),IF(ISNUMBER(SEARCH("3",'Procyclean BIO'!D257)),EDATE(AB256,3),DATEVALUE('Procyclean BIO'!D257))))),""))</f>
        <v/>
      </c>
      <c r="AM256" t="str">
        <f t="shared" ca="1" si="40"/>
        <v/>
      </c>
    </row>
    <row r="257" spans="27:39" x14ac:dyDescent="0.3">
      <c r="AA257" t="str">
        <f>IF(COUNTA('Procyclean BIO'!A258,'Procyclean BIO'!B258,'Procyclean BIO'!C258)&gt;0,"BIO","")</f>
        <v/>
      </c>
      <c r="AB257" t="str">
        <f>IFERROR(IF(ISNUMBER('Procyclean BIO'!A258),'Procyclean BIO'!A258,DATEVALUE('Procyclean BIO'!A258)),"")</f>
        <v/>
      </c>
      <c r="AC257" t="str">
        <f>IF(AA257="","",'Procyclean BIO'!B258)</f>
        <v/>
      </c>
      <c r="AD257" t="str">
        <f>IF(AA257="","",IFERROR(1*'Procyclean BIO'!C258,IFERROR(_xludf.NUMBERVALUE('Procyclean BIO'!C258,".",","),IFERROR(_xludf.NUMBERVALUE('Procyclean BIO'!C258,",","."),0))))</f>
        <v/>
      </c>
      <c r="AE257" t="str">
        <f>IF(AA257="","",'Procyclean BIO'!J258)</f>
        <v/>
      </c>
      <c r="AF257">
        <f t="shared" si="35"/>
        <v>0</v>
      </c>
      <c r="AG257" t="str">
        <f t="shared" si="36"/>
        <v/>
      </c>
      <c r="AH257" t="str">
        <f t="shared" si="37"/>
        <v/>
      </c>
      <c r="AI257">
        <f t="shared" si="38"/>
        <v>0</v>
      </c>
      <c r="AJ257">
        <f t="shared" si="39"/>
        <v>0</v>
      </c>
      <c r="AK257">
        <v>0</v>
      </c>
      <c r="AL257" t="str">
        <f>IF(AA257="","",IFERROR(IF(ISNUMBER('Procyclean BIO'!D258),'Procyclean BIO'!D258,IF(ISNUMBER(SEARCH("12",'Procyclean BIO'!D258)),EDATE(AB257,12),IF(ISNUMBER(SEARCH("6",'Procyclean BIO'!D258)),EDATE(AB257,6),IF(ISNUMBER(SEARCH("3",'Procyclean BIO'!D258)),EDATE(AB257,3),DATEVALUE('Procyclean BIO'!D258))))),""))</f>
        <v/>
      </c>
      <c r="AM257" t="str">
        <f t="shared" ca="1" si="40"/>
        <v/>
      </c>
    </row>
    <row r="258" spans="27:39" x14ac:dyDescent="0.3">
      <c r="AA258" t="str">
        <f>IF(COUNTA('Procyclean BIO'!A259,'Procyclean BIO'!B259,'Procyclean BIO'!C259)&gt;0,"BIO","")</f>
        <v/>
      </c>
      <c r="AB258" t="str">
        <f>IFERROR(IF(ISNUMBER('Procyclean BIO'!A259),'Procyclean BIO'!A259,DATEVALUE('Procyclean BIO'!A259)),"")</f>
        <v/>
      </c>
      <c r="AC258" t="str">
        <f>IF(AA258="","",'Procyclean BIO'!B259)</f>
        <v/>
      </c>
      <c r="AD258" t="str">
        <f>IF(AA258="","",IFERROR(1*'Procyclean BIO'!C259,IFERROR(_xludf.NUMBERVALUE('Procyclean BIO'!C259,".",","),IFERROR(_xludf.NUMBERVALUE('Procyclean BIO'!C259,",","."),0))))</f>
        <v/>
      </c>
      <c r="AE258" t="str">
        <f>IF(AA258="","",'Procyclean BIO'!J259)</f>
        <v/>
      </c>
      <c r="AF258">
        <f t="shared" ref="AF258:AF321" si="41">IF(AA258="",0,--AND(ISNUMBER(SEARCH("aprov",AE258)),NOT(ISNUMBER(SEARCH("reprov",AE258)))))</f>
        <v>0</v>
      </c>
      <c r="AG258" t="str">
        <f t="shared" ref="AG258:AG321" si="42">IF(AB258="","",YEAR(AB258))</f>
        <v/>
      </c>
      <c r="AH258" t="str">
        <f t="shared" ref="AH258:AH321" si="43">IF(AB258="","",MONTH(AB258))</f>
        <v/>
      </c>
      <c r="AI258">
        <f t="shared" ref="AI258:AI321" si="44">IF(AB258="",0,AB258+ROW()/1000000)</f>
        <v>0</v>
      </c>
      <c r="AJ258">
        <f t="shared" ref="AJ258:AJ321" si="45">--(AA258&lt;&gt;"")</f>
        <v>0</v>
      </c>
      <c r="AK258">
        <v>0</v>
      </c>
      <c r="AL258" t="str">
        <f>IF(AA258="","",IFERROR(IF(ISNUMBER('Procyclean BIO'!D259),'Procyclean BIO'!D259,IF(ISNUMBER(SEARCH("12",'Procyclean BIO'!D259)),EDATE(AB258,12),IF(ISNUMBER(SEARCH("6",'Procyclean BIO'!D259)),EDATE(AB258,6),IF(ISNUMBER(SEARCH("3",'Procyclean BIO'!D259)),EDATE(AB258,3),DATEVALUE('Procyclean BIO'!D259))))),""))</f>
        <v/>
      </c>
      <c r="AM258" t="str">
        <f t="shared" ref="AM258:AM321" ca="1" si="46">IF(AND(AJ258=1,AL258&lt;&gt;"",AL258&gt;=TODAY(),AG258=$W$3),AL258+ROW()/1000000,"")</f>
        <v/>
      </c>
    </row>
    <row r="259" spans="27:39" x14ac:dyDescent="0.3">
      <c r="AA259" t="str">
        <f>IF(COUNTA('Procyclean BIO'!A260,'Procyclean BIO'!B260,'Procyclean BIO'!C260)&gt;0,"BIO","")</f>
        <v/>
      </c>
      <c r="AB259" t="str">
        <f>IFERROR(IF(ISNUMBER('Procyclean BIO'!A260),'Procyclean BIO'!A260,DATEVALUE('Procyclean BIO'!A260)),"")</f>
        <v/>
      </c>
      <c r="AC259" t="str">
        <f>IF(AA259="","",'Procyclean BIO'!B260)</f>
        <v/>
      </c>
      <c r="AD259" t="str">
        <f>IF(AA259="","",IFERROR(1*'Procyclean BIO'!C260,IFERROR(_xludf.NUMBERVALUE('Procyclean BIO'!C260,".",","),IFERROR(_xludf.NUMBERVALUE('Procyclean BIO'!C260,",","."),0))))</f>
        <v/>
      </c>
      <c r="AE259" t="str">
        <f>IF(AA259="","",'Procyclean BIO'!J260)</f>
        <v/>
      </c>
      <c r="AF259">
        <f t="shared" si="41"/>
        <v>0</v>
      </c>
      <c r="AG259" t="str">
        <f t="shared" si="42"/>
        <v/>
      </c>
      <c r="AH259" t="str">
        <f t="shared" si="43"/>
        <v/>
      </c>
      <c r="AI259">
        <f t="shared" si="44"/>
        <v>0</v>
      </c>
      <c r="AJ259">
        <f t="shared" si="45"/>
        <v>0</v>
      </c>
      <c r="AK259">
        <v>0</v>
      </c>
      <c r="AL259" t="str">
        <f>IF(AA259="","",IFERROR(IF(ISNUMBER('Procyclean BIO'!D260),'Procyclean BIO'!D260,IF(ISNUMBER(SEARCH("12",'Procyclean BIO'!D260)),EDATE(AB259,12),IF(ISNUMBER(SEARCH("6",'Procyclean BIO'!D260)),EDATE(AB259,6),IF(ISNUMBER(SEARCH("3",'Procyclean BIO'!D260)),EDATE(AB259,3),DATEVALUE('Procyclean BIO'!D260))))),""))</f>
        <v/>
      </c>
      <c r="AM259" t="str">
        <f t="shared" ca="1" si="46"/>
        <v/>
      </c>
    </row>
    <row r="260" spans="27:39" x14ac:dyDescent="0.3">
      <c r="AA260" t="str">
        <f>IF(COUNTA('Procyclean BIO'!A261,'Procyclean BIO'!B261,'Procyclean BIO'!C261)&gt;0,"BIO","")</f>
        <v/>
      </c>
      <c r="AB260" t="str">
        <f>IFERROR(IF(ISNUMBER('Procyclean BIO'!A261),'Procyclean BIO'!A261,DATEVALUE('Procyclean BIO'!A261)),"")</f>
        <v/>
      </c>
      <c r="AC260" t="str">
        <f>IF(AA260="","",'Procyclean BIO'!B261)</f>
        <v/>
      </c>
      <c r="AD260" t="str">
        <f>IF(AA260="","",IFERROR(1*'Procyclean BIO'!C261,IFERROR(_xludf.NUMBERVALUE('Procyclean BIO'!C261,".",","),IFERROR(_xludf.NUMBERVALUE('Procyclean BIO'!C261,",","."),0))))</f>
        <v/>
      </c>
      <c r="AE260" t="str">
        <f>IF(AA260="","",'Procyclean BIO'!J261)</f>
        <v/>
      </c>
      <c r="AF260">
        <f t="shared" si="41"/>
        <v>0</v>
      </c>
      <c r="AG260" t="str">
        <f t="shared" si="42"/>
        <v/>
      </c>
      <c r="AH260" t="str">
        <f t="shared" si="43"/>
        <v/>
      </c>
      <c r="AI260">
        <f t="shared" si="44"/>
        <v>0</v>
      </c>
      <c r="AJ260">
        <f t="shared" si="45"/>
        <v>0</v>
      </c>
      <c r="AK260">
        <v>0</v>
      </c>
      <c r="AL260" t="str">
        <f>IF(AA260="","",IFERROR(IF(ISNUMBER('Procyclean BIO'!D261),'Procyclean BIO'!D261,IF(ISNUMBER(SEARCH("12",'Procyclean BIO'!D261)),EDATE(AB260,12),IF(ISNUMBER(SEARCH("6",'Procyclean BIO'!D261)),EDATE(AB260,6),IF(ISNUMBER(SEARCH("3",'Procyclean BIO'!D261)),EDATE(AB260,3),DATEVALUE('Procyclean BIO'!D261))))),""))</f>
        <v/>
      </c>
      <c r="AM260" t="str">
        <f t="shared" ca="1" si="46"/>
        <v/>
      </c>
    </row>
    <row r="261" spans="27:39" x14ac:dyDescent="0.3">
      <c r="AA261" t="str">
        <f>IF(COUNTA('Procyclean BIO'!A262,'Procyclean BIO'!B262,'Procyclean BIO'!C262)&gt;0,"BIO","")</f>
        <v/>
      </c>
      <c r="AB261" t="str">
        <f>IFERROR(IF(ISNUMBER('Procyclean BIO'!A262),'Procyclean BIO'!A262,DATEVALUE('Procyclean BIO'!A262)),"")</f>
        <v/>
      </c>
      <c r="AC261" t="str">
        <f>IF(AA261="","",'Procyclean BIO'!B262)</f>
        <v/>
      </c>
      <c r="AD261" t="str">
        <f>IF(AA261="","",IFERROR(1*'Procyclean BIO'!C262,IFERROR(_xludf.NUMBERVALUE('Procyclean BIO'!C262,".",","),IFERROR(_xludf.NUMBERVALUE('Procyclean BIO'!C262,",","."),0))))</f>
        <v/>
      </c>
      <c r="AE261" t="str">
        <f>IF(AA261="","",'Procyclean BIO'!J262)</f>
        <v/>
      </c>
      <c r="AF261">
        <f t="shared" si="41"/>
        <v>0</v>
      </c>
      <c r="AG261" t="str">
        <f t="shared" si="42"/>
        <v/>
      </c>
      <c r="AH261" t="str">
        <f t="shared" si="43"/>
        <v/>
      </c>
      <c r="AI261">
        <f t="shared" si="44"/>
        <v>0</v>
      </c>
      <c r="AJ261">
        <f t="shared" si="45"/>
        <v>0</v>
      </c>
      <c r="AK261">
        <v>0</v>
      </c>
      <c r="AL261" t="str">
        <f>IF(AA261="","",IFERROR(IF(ISNUMBER('Procyclean BIO'!D262),'Procyclean BIO'!D262,IF(ISNUMBER(SEARCH("12",'Procyclean BIO'!D262)),EDATE(AB261,12),IF(ISNUMBER(SEARCH("6",'Procyclean BIO'!D262)),EDATE(AB261,6),IF(ISNUMBER(SEARCH("3",'Procyclean BIO'!D262)),EDATE(AB261,3),DATEVALUE('Procyclean BIO'!D262))))),""))</f>
        <v/>
      </c>
      <c r="AM261" t="str">
        <f t="shared" ca="1" si="46"/>
        <v/>
      </c>
    </row>
    <row r="262" spans="27:39" x14ac:dyDescent="0.3">
      <c r="AA262" t="str">
        <f>IF(COUNTA('Procyclean BIO'!A263,'Procyclean BIO'!B263,'Procyclean BIO'!C263)&gt;0,"BIO","")</f>
        <v/>
      </c>
      <c r="AB262" t="str">
        <f>IFERROR(IF(ISNUMBER('Procyclean BIO'!A263),'Procyclean BIO'!A263,DATEVALUE('Procyclean BIO'!A263)),"")</f>
        <v/>
      </c>
      <c r="AC262" t="str">
        <f>IF(AA262="","",'Procyclean BIO'!B263)</f>
        <v/>
      </c>
      <c r="AD262" t="str">
        <f>IF(AA262="","",IFERROR(1*'Procyclean BIO'!C263,IFERROR(_xludf.NUMBERVALUE('Procyclean BIO'!C263,".",","),IFERROR(_xludf.NUMBERVALUE('Procyclean BIO'!C263,",","."),0))))</f>
        <v/>
      </c>
      <c r="AE262" t="str">
        <f>IF(AA262="","",'Procyclean BIO'!J263)</f>
        <v/>
      </c>
      <c r="AF262">
        <f t="shared" si="41"/>
        <v>0</v>
      </c>
      <c r="AG262" t="str">
        <f t="shared" si="42"/>
        <v/>
      </c>
      <c r="AH262" t="str">
        <f t="shared" si="43"/>
        <v/>
      </c>
      <c r="AI262">
        <f t="shared" si="44"/>
        <v>0</v>
      </c>
      <c r="AJ262">
        <f t="shared" si="45"/>
        <v>0</v>
      </c>
      <c r="AK262">
        <v>0</v>
      </c>
      <c r="AL262" t="str">
        <f>IF(AA262="","",IFERROR(IF(ISNUMBER('Procyclean BIO'!D263),'Procyclean BIO'!D263,IF(ISNUMBER(SEARCH("12",'Procyclean BIO'!D263)),EDATE(AB262,12),IF(ISNUMBER(SEARCH("6",'Procyclean BIO'!D263)),EDATE(AB262,6),IF(ISNUMBER(SEARCH("3",'Procyclean BIO'!D263)),EDATE(AB262,3),DATEVALUE('Procyclean BIO'!D263))))),""))</f>
        <v/>
      </c>
      <c r="AM262" t="str">
        <f t="shared" ca="1" si="46"/>
        <v/>
      </c>
    </row>
    <row r="263" spans="27:39" x14ac:dyDescent="0.3">
      <c r="AA263" t="str">
        <f>IF(COUNTA('Procyclean BIO'!A264,'Procyclean BIO'!B264,'Procyclean BIO'!C264)&gt;0,"BIO","")</f>
        <v/>
      </c>
      <c r="AB263" t="str">
        <f>IFERROR(IF(ISNUMBER('Procyclean BIO'!A264),'Procyclean BIO'!A264,DATEVALUE('Procyclean BIO'!A264)),"")</f>
        <v/>
      </c>
      <c r="AC263" t="str">
        <f>IF(AA263="","",'Procyclean BIO'!B264)</f>
        <v/>
      </c>
      <c r="AD263" t="str">
        <f>IF(AA263="","",IFERROR(1*'Procyclean BIO'!C264,IFERROR(_xludf.NUMBERVALUE('Procyclean BIO'!C264,".",","),IFERROR(_xludf.NUMBERVALUE('Procyclean BIO'!C264,",","."),0))))</f>
        <v/>
      </c>
      <c r="AE263" t="str">
        <f>IF(AA263="","",'Procyclean BIO'!J264)</f>
        <v/>
      </c>
      <c r="AF263">
        <f t="shared" si="41"/>
        <v>0</v>
      </c>
      <c r="AG263" t="str">
        <f t="shared" si="42"/>
        <v/>
      </c>
      <c r="AH263" t="str">
        <f t="shared" si="43"/>
        <v/>
      </c>
      <c r="AI263">
        <f t="shared" si="44"/>
        <v>0</v>
      </c>
      <c r="AJ263">
        <f t="shared" si="45"/>
        <v>0</v>
      </c>
      <c r="AK263">
        <v>0</v>
      </c>
      <c r="AL263" t="str">
        <f>IF(AA263="","",IFERROR(IF(ISNUMBER('Procyclean BIO'!D264),'Procyclean BIO'!D264,IF(ISNUMBER(SEARCH("12",'Procyclean BIO'!D264)),EDATE(AB263,12),IF(ISNUMBER(SEARCH("6",'Procyclean BIO'!D264)),EDATE(AB263,6),IF(ISNUMBER(SEARCH("3",'Procyclean BIO'!D264)),EDATE(AB263,3),DATEVALUE('Procyclean BIO'!D264))))),""))</f>
        <v/>
      </c>
      <c r="AM263" t="str">
        <f t="shared" ca="1" si="46"/>
        <v/>
      </c>
    </row>
    <row r="264" spans="27:39" x14ac:dyDescent="0.3">
      <c r="AA264" t="str">
        <f>IF(COUNTA('Procyclean BIO'!A265,'Procyclean BIO'!B265,'Procyclean BIO'!C265)&gt;0,"BIO","")</f>
        <v/>
      </c>
      <c r="AB264" t="str">
        <f>IFERROR(IF(ISNUMBER('Procyclean BIO'!A265),'Procyclean BIO'!A265,DATEVALUE('Procyclean BIO'!A265)),"")</f>
        <v/>
      </c>
      <c r="AC264" t="str">
        <f>IF(AA264="","",'Procyclean BIO'!B265)</f>
        <v/>
      </c>
      <c r="AD264" t="str">
        <f>IF(AA264="","",IFERROR(1*'Procyclean BIO'!C265,IFERROR(_xludf.NUMBERVALUE('Procyclean BIO'!C265,".",","),IFERROR(_xludf.NUMBERVALUE('Procyclean BIO'!C265,",","."),0))))</f>
        <v/>
      </c>
      <c r="AE264" t="str">
        <f>IF(AA264="","",'Procyclean BIO'!J265)</f>
        <v/>
      </c>
      <c r="AF264">
        <f t="shared" si="41"/>
        <v>0</v>
      </c>
      <c r="AG264" t="str">
        <f t="shared" si="42"/>
        <v/>
      </c>
      <c r="AH264" t="str">
        <f t="shared" si="43"/>
        <v/>
      </c>
      <c r="AI264">
        <f t="shared" si="44"/>
        <v>0</v>
      </c>
      <c r="AJ264">
        <f t="shared" si="45"/>
        <v>0</v>
      </c>
      <c r="AK264">
        <v>0</v>
      </c>
      <c r="AL264" t="str">
        <f>IF(AA264="","",IFERROR(IF(ISNUMBER('Procyclean BIO'!D265),'Procyclean BIO'!D265,IF(ISNUMBER(SEARCH("12",'Procyclean BIO'!D265)),EDATE(AB264,12),IF(ISNUMBER(SEARCH("6",'Procyclean BIO'!D265)),EDATE(AB264,6),IF(ISNUMBER(SEARCH("3",'Procyclean BIO'!D265)),EDATE(AB264,3),DATEVALUE('Procyclean BIO'!D265))))),""))</f>
        <v/>
      </c>
      <c r="AM264" t="str">
        <f t="shared" ca="1" si="46"/>
        <v/>
      </c>
    </row>
    <row r="265" spans="27:39" x14ac:dyDescent="0.3">
      <c r="AA265" t="str">
        <f>IF(COUNTA('Procyclean BIO'!A266,'Procyclean BIO'!B266,'Procyclean BIO'!C266)&gt;0,"BIO","")</f>
        <v/>
      </c>
      <c r="AB265" t="str">
        <f>IFERROR(IF(ISNUMBER('Procyclean BIO'!A266),'Procyclean BIO'!A266,DATEVALUE('Procyclean BIO'!A266)),"")</f>
        <v/>
      </c>
      <c r="AC265" t="str">
        <f>IF(AA265="","",'Procyclean BIO'!B266)</f>
        <v/>
      </c>
      <c r="AD265" t="str">
        <f>IF(AA265="","",IFERROR(1*'Procyclean BIO'!C266,IFERROR(_xludf.NUMBERVALUE('Procyclean BIO'!C266,".",","),IFERROR(_xludf.NUMBERVALUE('Procyclean BIO'!C266,",","."),0))))</f>
        <v/>
      </c>
      <c r="AE265" t="str">
        <f>IF(AA265="","",'Procyclean BIO'!J266)</f>
        <v/>
      </c>
      <c r="AF265">
        <f t="shared" si="41"/>
        <v>0</v>
      </c>
      <c r="AG265" t="str">
        <f t="shared" si="42"/>
        <v/>
      </c>
      <c r="AH265" t="str">
        <f t="shared" si="43"/>
        <v/>
      </c>
      <c r="AI265">
        <f t="shared" si="44"/>
        <v>0</v>
      </c>
      <c r="AJ265">
        <f t="shared" si="45"/>
        <v>0</v>
      </c>
      <c r="AK265">
        <v>0</v>
      </c>
      <c r="AL265" t="str">
        <f>IF(AA265="","",IFERROR(IF(ISNUMBER('Procyclean BIO'!D266),'Procyclean BIO'!D266,IF(ISNUMBER(SEARCH("12",'Procyclean BIO'!D266)),EDATE(AB265,12),IF(ISNUMBER(SEARCH("6",'Procyclean BIO'!D266)),EDATE(AB265,6),IF(ISNUMBER(SEARCH("3",'Procyclean BIO'!D266)),EDATE(AB265,3),DATEVALUE('Procyclean BIO'!D266))))),""))</f>
        <v/>
      </c>
      <c r="AM265" t="str">
        <f t="shared" ca="1" si="46"/>
        <v/>
      </c>
    </row>
    <row r="266" spans="27:39" x14ac:dyDescent="0.3">
      <c r="AA266" t="str">
        <f>IF(COUNTA('Procyclean BIO'!A267,'Procyclean BIO'!B267,'Procyclean BIO'!C267)&gt;0,"BIO","")</f>
        <v/>
      </c>
      <c r="AB266" t="str">
        <f>IFERROR(IF(ISNUMBER('Procyclean BIO'!A267),'Procyclean BIO'!A267,DATEVALUE('Procyclean BIO'!A267)),"")</f>
        <v/>
      </c>
      <c r="AC266" t="str">
        <f>IF(AA266="","",'Procyclean BIO'!B267)</f>
        <v/>
      </c>
      <c r="AD266" t="str">
        <f>IF(AA266="","",IFERROR(1*'Procyclean BIO'!C267,IFERROR(_xludf.NUMBERVALUE('Procyclean BIO'!C267,".",","),IFERROR(_xludf.NUMBERVALUE('Procyclean BIO'!C267,",","."),0))))</f>
        <v/>
      </c>
      <c r="AE266" t="str">
        <f>IF(AA266="","",'Procyclean BIO'!J267)</f>
        <v/>
      </c>
      <c r="AF266">
        <f t="shared" si="41"/>
        <v>0</v>
      </c>
      <c r="AG266" t="str">
        <f t="shared" si="42"/>
        <v/>
      </c>
      <c r="AH266" t="str">
        <f t="shared" si="43"/>
        <v/>
      </c>
      <c r="AI266">
        <f t="shared" si="44"/>
        <v>0</v>
      </c>
      <c r="AJ266">
        <f t="shared" si="45"/>
        <v>0</v>
      </c>
      <c r="AK266">
        <v>0</v>
      </c>
      <c r="AL266" t="str">
        <f>IF(AA266="","",IFERROR(IF(ISNUMBER('Procyclean BIO'!D267),'Procyclean BIO'!D267,IF(ISNUMBER(SEARCH("12",'Procyclean BIO'!D267)),EDATE(AB266,12),IF(ISNUMBER(SEARCH("6",'Procyclean BIO'!D267)),EDATE(AB266,6),IF(ISNUMBER(SEARCH("3",'Procyclean BIO'!D267)),EDATE(AB266,3),DATEVALUE('Procyclean BIO'!D267))))),""))</f>
        <v/>
      </c>
      <c r="AM266" t="str">
        <f t="shared" ca="1" si="46"/>
        <v/>
      </c>
    </row>
    <row r="267" spans="27:39" x14ac:dyDescent="0.3">
      <c r="AA267" t="str">
        <f>IF(COUNTA('Procyclean BIO'!A268,'Procyclean BIO'!B268,'Procyclean BIO'!C268)&gt;0,"BIO","")</f>
        <v/>
      </c>
      <c r="AB267" t="str">
        <f>IFERROR(IF(ISNUMBER('Procyclean BIO'!A268),'Procyclean BIO'!A268,DATEVALUE('Procyclean BIO'!A268)),"")</f>
        <v/>
      </c>
      <c r="AC267" t="str">
        <f>IF(AA267="","",'Procyclean BIO'!B268)</f>
        <v/>
      </c>
      <c r="AD267" t="str">
        <f>IF(AA267="","",IFERROR(1*'Procyclean BIO'!C268,IFERROR(_xludf.NUMBERVALUE('Procyclean BIO'!C268,".",","),IFERROR(_xludf.NUMBERVALUE('Procyclean BIO'!C268,",","."),0))))</f>
        <v/>
      </c>
      <c r="AE267" t="str">
        <f>IF(AA267="","",'Procyclean BIO'!J268)</f>
        <v/>
      </c>
      <c r="AF267">
        <f t="shared" si="41"/>
        <v>0</v>
      </c>
      <c r="AG267" t="str">
        <f t="shared" si="42"/>
        <v/>
      </c>
      <c r="AH267" t="str">
        <f t="shared" si="43"/>
        <v/>
      </c>
      <c r="AI267">
        <f t="shared" si="44"/>
        <v>0</v>
      </c>
      <c r="AJ267">
        <f t="shared" si="45"/>
        <v>0</v>
      </c>
      <c r="AK267">
        <v>0</v>
      </c>
      <c r="AL267" t="str">
        <f>IF(AA267="","",IFERROR(IF(ISNUMBER('Procyclean BIO'!D268),'Procyclean BIO'!D268,IF(ISNUMBER(SEARCH("12",'Procyclean BIO'!D268)),EDATE(AB267,12),IF(ISNUMBER(SEARCH("6",'Procyclean BIO'!D268)),EDATE(AB267,6),IF(ISNUMBER(SEARCH("3",'Procyclean BIO'!D268)),EDATE(AB267,3),DATEVALUE('Procyclean BIO'!D268))))),""))</f>
        <v/>
      </c>
      <c r="AM267" t="str">
        <f t="shared" ca="1" si="46"/>
        <v/>
      </c>
    </row>
    <row r="268" spans="27:39" x14ac:dyDescent="0.3">
      <c r="AA268" t="str">
        <f>IF(COUNTA('Procyclean BIO'!A269,'Procyclean BIO'!B269,'Procyclean BIO'!C269)&gt;0,"BIO","")</f>
        <v/>
      </c>
      <c r="AB268" t="str">
        <f>IFERROR(IF(ISNUMBER('Procyclean BIO'!A269),'Procyclean BIO'!A269,DATEVALUE('Procyclean BIO'!A269)),"")</f>
        <v/>
      </c>
      <c r="AC268" t="str">
        <f>IF(AA268="","",'Procyclean BIO'!B269)</f>
        <v/>
      </c>
      <c r="AD268" t="str">
        <f>IF(AA268="","",IFERROR(1*'Procyclean BIO'!C269,IFERROR(_xludf.NUMBERVALUE('Procyclean BIO'!C269,".",","),IFERROR(_xludf.NUMBERVALUE('Procyclean BIO'!C269,",","."),0))))</f>
        <v/>
      </c>
      <c r="AE268" t="str">
        <f>IF(AA268="","",'Procyclean BIO'!J269)</f>
        <v/>
      </c>
      <c r="AF268">
        <f t="shared" si="41"/>
        <v>0</v>
      </c>
      <c r="AG268" t="str">
        <f t="shared" si="42"/>
        <v/>
      </c>
      <c r="AH268" t="str">
        <f t="shared" si="43"/>
        <v/>
      </c>
      <c r="AI268">
        <f t="shared" si="44"/>
        <v>0</v>
      </c>
      <c r="AJ268">
        <f t="shared" si="45"/>
        <v>0</v>
      </c>
      <c r="AK268">
        <v>0</v>
      </c>
      <c r="AL268" t="str">
        <f>IF(AA268="","",IFERROR(IF(ISNUMBER('Procyclean BIO'!D269),'Procyclean BIO'!D269,IF(ISNUMBER(SEARCH("12",'Procyclean BIO'!D269)),EDATE(AB268,12),IF(ISNUMBER(SEARCH("6",'Procyclean BIO'!D269)),EDATE(AB268,6),IF(ISNUMBER(SEARCH("3",'Procyclean BIO'!D269)),EDATE(AB268,3),DATEVALUE('Procyclean BIO'!D269))))),""))</f>
        <v/>
      </c>
      <c r="AM268" t="str">
        <f t="shared" ca="1" si="46"/>
        <v/>
      </c>
    </row>
    <row r="269" spans="27:39" x14ac:dyDescent="0.3">
      <c r="AA269" t="str">
        <f>IF(COUNTA('Procyclean BIO'!A270,'Procyclean BIO'!B270,'Procyclean BIO'!C270)&gt;0,"BIO","")</f>
        <v/>
      </c>
      <c r="AB269" t="str">
        <f>IFERROR(IF(ISNUMBER('Procyclean BIO'!A270),'Procyclean BIO'!A270,DATEVALUE('Procyclean BIO'!A270)),"")</f>
        <v/>
      </c>
      <c r="AC269" t="str">
        <f>IF(AA269="","",'Procyclean BIO'!B270)</f>
        <v/>
      </c>
      <c r="AD269" t="str">
        <f>IF(AA269="","",IFERROR(1*'Procyclean BIO'!C270,IFERROR(_xludf.NUMBERVALUE('Procyclean BIO'!C270,".",","),IFERROR(_xludf.NUMBERVALUE('Procyclean BIO'!C270,",","."),0))))</f>
        <v/>
      </c>
      <c r="AE269" t="str">
        <f>IF(AA269="","",'Procyclean BIO'!J270)</f>
        <v/>
      </c>
      <c r="AF269">
        <f t="shared" si="41"/>
        <v>0</v>
      </c>
      <c r="AG269" t="str">
        <f t="shared" si="42"/>
        <v/>
      </c>
      <c r="AH269" t="str">
        <f t="shared" si="43"/>
        <v/>
      </c>
      <c r="AI269">
        <f t="shared" si="44"/>
        <v>0</v>
      </c>
      <c r="AJ269">
        <f t="shared" si="45"/>
        <v>0</v>
      </c>
      <c r="AK269">
        <v>0</v>
      </c>
      <c r="AL269" t="str">
        <f>IF(AA269="","",IFERROR(IF(ISNUMBER('Procyclean BIO'!D270),'Procyclean BIO'!D270,IF(ISNUMBER(SEARCH("12",'Procyclean BIO'!D270)),EDATE(AB269,12),IF(ISNUMBER(SEARCH("6",'Procyclean BIO'!D270)),EDATE(AB269,6),IF(ISNUMBER(SEARCH("3",'Procyclean BIO'!D270)),EDATE(AB269,3),DATEVALUE('Procyclean BIO'!D270))))),""))</f>
        <v/>
      </c>
      <c r="AM269" t="str">
        <f t="shared" ca="1" si="46"/>
        <v/>
      </c>
    </row>
    <row r="270" spans="27:39" x14ac:dyDescent="0.3">
      <c r="AA270" t="str">
        <f>IF(COUNTA('Procyclean BIO'!A271,'Procyclean BIO'!B271,'Procyclean BIO'!C271)&gt;0,"BIO","")</f>
        <v/>
      </c>
      <c r="AB270" t="str">
        <f>IFERROR(IF(ISNUMBER('Procyclean BIO'!A271),'Procyclean BIO'!A271,DATEVALUE('Procyclean BIO'!A271)),"")</f>
        <v/>
      </c>
      <c r="AC270" t="str">
        <f>IF(AA270="","",'Procyclean BIO'!B271)</f>
        <v/>
      </c>
      <c r="AD270" t="str">
        <f>IF(AA270="","",IFERROR(1*'Procyclean BIO'!C271,IFERROR(_xludf.NUMBERVALUE('Procyclean BIO'!C271,".",","),IFERROR(_xludf.NUMBERVALUE('Procyclean BIO'!C271,",","."),0))))</f>
        <v/>
      </c>
      <c r="AE270" t="str">
        <f>IF(AA270="","",'Procyclean BIO'!J271)</f>
        <v/>
      </c>
      <c r="AF270">
        <f t="shared" si="41"/>
        <v>0</v>
      </c>
      <c r="AG270" t="str">
        <f t="shared" si="42"/>
        <v/>
      </c>
      <c r="AH270" t="str">
        <f t="shared" si="43"/>
        <v/>
      </c>
      <c r="AI270">
        <f t="shared" si="44"/>
        <v>0</v>
      </c>
      <c r="AJ270">
        <f t="shared" si="45"/>
        <v>0</v>
      </c>
      <c r="AK270">
        <v>0</v>
      </c>
      <c r="AL270" t="str">
        <f>IF(AA270="","",IFERROR(IF(ISNUMBER('Procyclean BIO'!D271),'Procyclean BIO'!D271,IF(ISNUMBER(SEARCH("12",'Procyclean BIO'!D271)),EDATE(AB270,12),IF(ISNUMBER(SEARCH("6",'Procyclean BIO'!D271)),EDATE(AB270,6),IF(ISNUMBER(SEARCH("3",'Procyclean BIO'!D271)),EDATE(AB270,3),DATEVALUE('Procyclean BIO'!D271))))),""))</f>
        <v/>
      </c>
      <c r="AM270" t="str">
        <f t="shared" ca="1" si="46"/>
        <v/>
      </c>
    </row>
    <row r="271" spans="27:39" x14ac:dyDescent="0.3">
      <c r="AA271" t="str">
        <f>IF(COUNTA('Procyclean BIO'!A272,'Procyclean BIO'!B272,'Procyclean BIO'!C272)&gt;0,"BIO","")</f>
        <v/>
      </c>
      <c r="AB271" t="str">
        <f>IFERROR(IF(ISNUMBER('Procyclean BIO'!A272),'Procyclean BIO'!A272,DATEVALUE('Procyclean BIO'!A272)),"")</f>
        <v/>
      </c>
      <c r="AC271" t="str">
        <f>IF(AA271="","",'Procyclean BIO'!B272)</f>
        <v/>
      </c>
      <c r="AD271" t="str">
        <f>IF(AA271="","",IFERROR(1*'Procyclean BIO'!C272,IFERROR(_xludf.NUMBERVALUE('Procyclean BIO'!C272,".",","),IFERROR(_xludf.NUMBERVALUE('Procyclean BIO'!C272,",","."),0))))</f>
        <v/>
      </c>
      <c r="AE271" t="str">
        <f>IF(AA271="","",'Procyclean BIO'!J272)</f>
        <v/>
      </c>
      <c r="AF271">
        <f t="shared" si="41"/>
        <v>0</v>
      </c>
      <c r="AG271" t="str">
        <f t="shared" si="42"/>
        <v/>
      </c>
      <c r="AH271" t="str">
        <f t="shared" si="43"/>
        <v/>
      </c>
      <c r="AI271">
        <f t="shared" si="44"/>
        <v>0</v>
      </c>
      <c r="AJ271">
        <f t="shared" si="45"/>
        <v>0</v>
      </c>
      <c r="AK271">
        <v>0</v>
      </c>
      <c r="AL271" t="str">
        <f>IF(AA271="","",IFERROR(IF(ISNUMBER('Procyclean BIO'!D272),'Procyclean BIO'!D272,IF(ISNUMBER(SEARCH("12",'Procyclean BIO'!D272)),EDATE(AB271,12),IF(ISNUMBER(SEARCH("6",'Procyclean BIO'!D272)),EDATE(AB271,6),IF(ISNUMBER(SEARCH("3",'Procyclean BIO'!D272)),EDATE(AB271,3),DATEVALUE('Procyclean BIO'!D272))))),""))</f>
        <v/>
      </c>
      <c r="AM271" t="str">
        <f t="shared" ca="1" si="46"/>
        <v/>
      </c>
    </row>
    <row r="272" spans="27:39" x14ac:dyDescent="0.3">
      <c r="AA272" t="str">
        <f>IF(COUNTA('Procyclean BIO'!A273,'Procyclean BIO'!B273,'Procyclean BIO'!C273)&gt;0,"BIO","")</f>
        <v/>
      </c>
      <c r="AB272" t="str">
        <f>IFERROR(IF(ISNUMBER('Procyclean BIO'!A273),'Procyclean BIO'!A273,DATEVALUE('Procyclean BIO'!A273)),"")</f>
        <v/>
      </c>
      <c r="AC272" t="str">
        <f>IF(AA272="","",'Procyclean BIO'!B273)</f>
        <v/>
      </c>
      <c r="AD272" t="str">
        <f>IF(AA272="","",IFERROR(1*'Procyclean BIO'!C273,IFERROR(_xludf.NUMBERVALUE('Procyclean BIO'!C273,".",","),IFERROR(_xludf.NUMBERVALUE('Procyclean BIO'!C273,",","."),0))))</f>
        <v/>
      </c>
      <c r="AE272" t="str">
        <f>IF(AA272="","",'Procyclean BIO'!J273)</f>
        <v/>
      </c>
      <c r="AF272">
        <f t="shared" si="41"/>
        <v>0</v>
      </c>
      <c r="AG272" t="str">
        <f t="shared" si="42"/>
        <v/>
      </c>
      <c r="AH272" t="str">
        <f t="shared" si="43"/>
        <v/>
      </c>
      <c r="AI272">
        <f t="shared" si="44"/>
        <v>0</v>
      </c>
      <c r="AJ272">
        <f t="shared" si="45"/>
        <v>0</v>
      </c>
      <c r="AK272">
        <v>0</v>
      </c>
      <c r="AL272" t="str">
        <f>IF(AA272="","",IFERROR(IF(ISNUMBER('Procyclean BIO'!D273),'Procyclean BIO'!D273,IF(ISNUMBER(SEARCH("12",'Procyclean BIO'!D273)),EDATE(AB272,12),IF(ISNUMBER(SEARCH("6",'Procyclean BIO'!D273)),EDATE(AB272,6),IF(ISNUMBER(SEARCH("3",'Procyclean BIO'!D273)),EDATE(AB272,3),DATEVALUE('Procyclean BIO'!D273))))),""))</f>
        <v/>
      </c>
      <c r="AM272" t="str">
        <f t="shared" ca="1" si="46"/>
        <v/>
      </c>
    </row>
    <row r="273" spans="27:39" x14ac:dyDescent="0.3">
      <c r="AA273" t="str">
        <f>IF(COUNTA('Procyclean BIO'!A274,'Procyclean BIO'!B274,'Procyclean BIO'!C274)&gt;0,"BIO","")</f>
        <v/>
      </c>
      <c r="AB273" t="str">
        <f>IFERROR(IF(ISNUMBER('Procyclean BIO'!A274),'Procyclean BIO'!A274,DATEVALUE('Procyclean BIO'!A274)),"")</f>
        <v/>
      </c>
      <c r="AC273" t="str">
        <f>IF(AA273="","",'Procyclean BIO'!B274)</f>
        <v/>
      </c>
      <c r="AD273" t="str">
        <f>IF(AA273="","",IFERROR(1*'Procyclean BIO'!C274,IFERROR(_xludf.NUMBERVALUE('Procyclean BIO'!C274,".",","),IFERROR(_xludf.NUMBERVALUE('Procyclean BIO'!C274,",","."),0))))</f>
        <v/>
      </c>
      <c r="AE273" t="str">
        <f>IF(AA273="","",'Procyclean BIO'!J274)</f>
        <v/>
      </c>
      <c r="AF273">
        <f t="shared" si="41"/>
        <v>0</v>
      </c>
      <c r="AG273" t="str">
        <f t="shared" si="42"/>
        <v/>
      </c>
      <c r="AH273" t="str">
        <f t="shared" si="43"/>
        <v/>
      </c>
      <c r="AI273">
        <f t="shared" si="44"/>
        <v>0</v>
      </c>
      <c r="AJ273">
        <f t="shared" si="45"/>
        <v>0</v>
      </c>
      <c r="AK273">
        <v>0</v>
      </c>
      <c r="AL273" t="str">
        <f>IF(AA273="","",IFERROR(IF(ISNUMBER('Procyclean BIO'!D274),'Procyclean BIO'!D274,IF(ISNUMBER(SEARCH("12",'Procyclean BIO'!D274)),EDATE(AB273,12),IF(ISNUMBER(SEARCH("6",'Procyclean BIO'!D274)),EDATE(AB273,6),IF(ISNUMBER(SEARCH("3",'Procyclean BIO'!D274)),EDATE(AB273,3),DATEVALUE('Procyclean BIO'!D274))))),""))</f>
        <v/>
      </c>
      <c r="AM273" t="str">
        <f t="shared" ca="1" si="46"/>
        <v/>
      </c>
    </row>
    <row r="274" spans="27:39" x14ac:dyDescent="0.3">
      <c r="AA274" t="str">
        <f>IF(COUNTA('Procyclean BIO'!A275,'Procyclean BIO'!B275,'Procyclean BIO'!C275)&gt;0,"BIO","")</f>
        <v/>
      </c>
      <c r="AB274" t="str">
        <f>IFERROR(IF(ISNUMBER('Procyclean BIO'!A275),'Procyclean BIO'!A275,DATEVALUE('Procyclean BIO'!A275)),"")</f>
        <v/>
      </c>
      <c r="AC274" t="str">
        <f>IF(AA274="","",'Procyclean BIO'!B275)</f>
        <v/>
      </c>
      <c r="AD274" t="str">
        <f>IF(AA274="","",IFERROR(1*'Procyclean BIO'!C275,IFERROR(_xludf.NUMBERVALUE('Procyclean BIO'!C275,".",","),IFERROR(_xludf.NUMBERVALUE('Procyclean BIO'!C275,",","."),0))))</f>
        <v/>
      </c>
      <c r="AE274" t="str">
        <f>IF(AA274="","",'Procyclean BIO'!J275)</f>
        <v/>
      </c>
      <c r="AF274">
        <f t="shared" si="41"/>
        <v>0</v>
      </c>
      <c r="AG274" t="str">
        <f t="shared" si="42"/>
        <v/>
      </c>
      <c r="AH274" t="str">
        <f t="shared" si="43"/>
        <v/>
      </c>
      <c r="AI274">
        <f t="shared" si="44"/>
        <v>0</v>
      </c>
      <c r="AJ274">
        <f t="shared" si="45"/>
        <v>0</v>
      </c>
      <c r="AK274">
        <v>0</v>
      </c>
      <c r="AL274" t="str">
        <f>IF(AA274="","",IFERROR(IF(ISNUMBER('Procyclean BIO'!D275),'Procyclean BIO'!D275,IF(ISNUMBER(SEARCH("12",'Procyclean BIO'!D275)),EDATE(AB274,12),IF(ISNUMBER(SEARCH("6",'Procyclean BIO'!D275)),EDATE(AB274,6),IF(ISNUMBER(SEARCH("3",'Procyclean BIO'!D275)),EDATE(AB274,3),DATEVALUE('Procyclean BIO'!D275))))),""))</f>
        <v/>
      </c>
      <c r="AM274" t="str">
        <f t="shared" ca="1" si="46"/>
        <v/>
      </c>
    </row>
    <row r="275" spans="27:39" x14ac:dyDescent="0.3">
      <c r="AA275" t="str">
        <f>IF(COUNTA('Procyclean BIO'!A276,'Procyclean BIO'!B276,'Procyclean BIO'!C276)&gt;0,"BIO","")</f>
        <v/>
      </c>
      <c r="AB275" t="str">
        <f>IFERROR(IF(ISNUMBER('Procyclean BIO'!A276),'Procyclean BIO'!A276,DATEVALUE('Procyclean BIO'!A276)),"")</f>
        <v/>
      </c>
      <c r="AC275" t="str">
        <f>IF(AA275="","",'Procyclean BIO'!B276)</f>
        <v/>
      </c>
      <c r="AD275" t="str">
        <f>IF(AA275="","",IFERROR(1*'Procyclean BIO'!C276,IFERROR(_xludf.NUMBERVALUE('Procyclean BIO'!C276,".",","),IFERROR(_xludf.NUMBERVALUE('Procyclean BIO'!C276,",","."),0))))</f>
        <v/>
      </c>
      <c r="AE275" t="str">
        <f>IF(AA275="","",'Procyclean BIO'!J276)</f>
        <v/>
      </c>
      <c r="AF275">
        <f t="shared" si="41"/>
        <v>0</v>
      </c>
      <c r="AG275" t="str">
        <f t="shared" si="42"/>
        <v/>
      </c>
      <c r="AH275" t="str">
        <f t="shared" si="43"/>
        <v/>
      </c>
      <c r="AI275">
        <f t="shared" si="44"/>
        <v>0</v>
      </c>
      <c r="AJ275">
        <f t="shared" si="45"/>
        <v>0</v>
      </c>
      <c r="AK275">
        <v>0</v>
      </c>
      <c r="AL275" t="str">
        <f>IF(AA275="","",IFERROR(IF(ISNUMBER('Procyclean BIO'!D276),'Procyclean BIO'!D276,IF(ISNUMBER(SEARCH("12",'Procyclean BIO'!D276)),EDATE(AB275,12),IF(ISNUMBER(SEARCH("6",'Procyclean BIO'!D276)),EDATE(AB275,6),IF(ISNUMBER(SEARCH("3",'Procyclean BIO'!D276)),EDATE(AB275,3),DATEVALUE('Procyclean BIO'!D276))))),""))</f>
        <v/>
      </c>
      <c r="AM275" t="str">
        <f t="shared" ca="1" si="46"/>
        <v/>
      </c>
    </row>
    <row r="276" spans="27:39" x14ac:dyDescent="0.3">
      <c r="AA276" t="str">
        <f>IF(COUNTA('Procyclean BIO'!A277,'Procyclean BIO'!B277,'Procyclean BIO'!C277)&gt;0,"BIO","")</f>
        <v/>
      </c>
      <c r="AB276" t="str">
        <f>IFERROR(IF(ISNUMBER('Procyclean BIO'!A277),'Procyclean BIO'!A277,DATEVALUE('Procyclean BIO'!A277)),"")</f>
        <v/>
      </c>
      <c r="AC276" t="str">
        <f>IF(AA276="","",'Procyclean BIO'!B277)</f>
        <v/>
      </c>
      <c r="AD276" t="str">
        <f>IF(AA276="","",IFERROR(1*'Procyclean BIO'!C277,IFERROR(_xludf.NUMBERVALUE('Procyclean BIO'!C277,".",","),IFERROR(_xludf.NUMBERVALUE('Procyclean BIO'!C277,",","."),0))))</f>
        <v/>
      </c>
      <c r="AE276" t="str">
        <f>IF(AA276="","",'Procyclean BIO'!J277)</f>
        <v/>
      </c>
      <c r="AF276">
        <f t="shared" si="41"/>
        <v>0</v>
      </c>
      <c r="AG276" t="str">
        <f t="shared" si="42"/>
        <v/>
      </c>
      <c r="AH276" t="str">
        <f t="shared" si="43"/>
        <v/>
      </c>
      <c r="AI276">
        <f t="shared" si="44"/>
        <v>0</v>
      </c>
      <c r="AJ276">
        <f t="shared" si="45"/>
        <v>0</v>
      </c>
      <c r="AK276">
        <v>0</v>
      </c>
      <c r="AL276" t="str">
        <f>IF(AA276="","",IFERROR(IF(ISNUMBER('Procyclean BIO'!D277),'Procyclean BIO'!D277,IF(ISNUMBER(SEARCH("12",'Procyclean BIO'!D277)),EDATE(AB276,12),IF(ISNUMBER(SEARCH("6",'Procyclean BIO'!D277)),EDATE(AB276,6),IF(ISNUMBER(SEARCH("3",'Procyclean BIO'!D277)),EDATE(AB276,3),DATEVALUE('Procyclean BIO'!D277))))),""))</f>
        <v/>
      </c>
      <c r="AM276" t="str">
        <f t="shared" ca="1" si="46"/>
        <v/>
      </c>
    </row>
    <row r="277" spans="27:39" x14ac:dyDescent="0.3">
      <c r="AA277" t="str">
        <f>IF(COUNTA('Procyclean BIO'!A278,'Procyclean BIO'!B278,'Procyclean BIO'!C278)&gt;0,"BIO","")</f>
        <v/>
      </c>
      <c r="AB277" t="str">
        <f>IFERROR(IF(ISNUMBER('Procyclean BIO'!A278),'Procyclean BIO'!A278,DATEVALUE('Procyclean BIO'!A278)),"")</f>
        <v/>
      </c>
      <c r="AC277" t="str">
        <f>IF(AA277="","",'Procyclean BIO'!B278)</f>
        <v/>
      </c>
      <c r="AD277" t="str">
        <f>IF(AA277="","",IFERROR(1*'Procyclean BIO'!C278,IFERROR(_xludf.NUMBERVALUE('Procyclean BIO'!C278,".",","),IFERROR(_xludf.NUMBERVALUE('Procyclean BIO'!C278,",","."),0))))</f>
        <v/>
      </c>
      <c r="AE277" t="str">
        <f>IF(AA277="","",'Procyclean BIO'!J278)</f>
        <v/>
      </c>
      <c r="AF277">
        <f t="shared" si="41"/>
        <v>0</v>
      </c>
      <c r="AG277" t="str">
        <f t="shared" si="42"/>
        <v/>
      </c>
      <c r="AH277" t="str">
        <f t="shared" si="43"/>
        <v/>
      </c>
      <c r="AI277">
        <f t="shared" si="44"/>
        <v>0</v>
      </c>
      <c r="AJ277">
        <f t="shared" si="45"/>
        <v>0</v>
      </c>
      <c r="AK277">
        <v>0</v>
      </c>
      <c r="AL277" t="str">
        <f>IF(AA277="","",IFERROR(IF(ISNUMBER('Procyclean BIO'!D278),'Procyclean BIO'!D278,IF(ISNUMBER(SEARCH("12",'Procyclean BIO'!D278)),EDATE(AB277,12),IF(ISNUMBER(SEARCH("6",'Procyclean BIO'!D278)),EDATE(AB277,6),IF(ISNUMBER(SEARCH("3",'Procyclean BIO'!D278)),EDATE(AB277,3),DATEVALUE('Procyclean BIO'!D278))))),""))</f>
        <v/>
      </c>
      <c r="AM277" t="str">
        <f t="shared" ca="1" si="46"/>
        <v/>
      </c>
    </row>
    <row r="278" spans="27:39" x14ac:dyDescent="0.3">
      <c r="AA278" t="str">
        <f>IF(COUNTA('Procyclean BIO'!A279,'Procyclean BIO'!B279,'Procyclean BIO'!C279)&gt;0,"BIO","")</f>
        <v/>
      </c>
      <c r="AB278" t="str">
        <f>IFERROR(IF(ISNUMBER('Procyclean BIO'!A279),'Procyclean BIO'!A279,DATEVALUE('Procyclean BIO'!A279)),"")</f>
        <v/>
      </c>
      <c r="AC278" t="str">
        <f>IF(AA278="","",'Procyclean BIO'!B279)</f>
        <v/>
      </c>
      <c r="AD278" t="str">
        <f>IF(AA278="","",IFERROR(1*'Procyclean BIO'!C279,IFERROR(_xludf.NUMBERVALUE('Procyclean BIO'!C279,".",","),IFERROR(_xludf.NUMBERVALUE('Procyclean BIO'!C279,",","."),0))))</f>
        <v/>
      </c>
      <c r="AE278" t="str">
        <f>IF(AA278="","",'Procyclean BIO'!J279)</f>
        <v/>
      </c>
      <c r="AF278">
        <f t="shared" si="41"/>
        <v>0</v>
      </c>
      <c r="AG278" t="str">
        <f t="shared" si="42"/>
        <v/>
      </c>
      <c r="AH278" t="str">
        <f t="shared" si="43"/>
        <v/>
      </c>
      <c r="AI278">
        <f t="shared" si="44"/>
        <v>0</v>
      </c>
      <c r="AJ278">
        <f t="shared" si="45"/>
        <v>0</v>
      </c>
      <c r="AK278">
        <v>0</v>
      </c>
      <c r="AL278" t="str">
        <f>IF(AA278="","",IFERROR(IF(ISNUMBER('Procyclean BIO'!D279),'Procyclean BIO'!D279,IF(ISNUMBER(SEARCH("12",'Procyclean BIO'!D279)),EDATE(AB278,12),IF(ISNUMBER(SEARCH("6",'Procyclean BIO'!D279)),EDATE(AB278,6),IF(ISNUMBER(SEARCH("3",'Procyclean BIO'!D279)),EDATE(AB278,3),DATEVALUE('Procyclean BIO'!D279))))),""))</f>
        <v/>
      </c>
      <c r="AM278" t="str">
        <f t="shared" ca="1" si="46"/>
        <v/>
      </c>
    </row>
    <row r="279" spans="27:39" x14ac:dyDescent="0.3">
      <c r="AA279" t="str">
        <f>IF(COUNTA('Procyclean BIO'!A280,'Procyclean BIO'!B280,'Procyclean BIO'!C280)&gt;0,"BIO","")</f>
        <v/>
      </c>
      <c r="AB279" t="str">
        <f>IFERROR(IF(ISNUMBER('Procyclean BIO'!A280),'Procyclean BIO'!A280,DATEVALUE('Procyclean BIO'!A280)),"")</f>
        <v/>
      </c>
      <c r="AC279" t="str">
        <f>IF(AA279="","",'Procyclean BIO'!B280)</f>
        <v/>
      </c>
      <c r="AD279" t="str">
        <f>IF(AA279="","",IFERROR(1*'Procyclean BIO'!C280,IFERROR(_xludf.NUMBERVALUE('Procyclean BIO'!C280,".",","),IFERROR(_xludf.NUMBERVALUE('Procyclean BIO'!C280,",","."),0))))</f>
        <v/>
      </c>
      <c r="AE279" t="str">
        <f>IF(AA279="","",'Procyclean BIO'!J280)</f>
        <v/>
      </c>
      <c r="AF279">
        <f t="shared" si="41"/>
        <v>0</v>
      </c>
      <c r="AG279" t="str">
        <f t="shared" si="42"/>
        <v/>
      </c>
      <c r="AH279" t="str">
        <f t="shared" si="43"/>
        <v/>
      </c>
      <c r="AI279">
        <f t="shared" si="44"/>
        <v>0</v>
      </c>
      <c r="AJ279">
        <f t="shared" si="45"/>
        <v>0</v>
      </c>
      <c r="AK279">
        <v>0</v>
      </c>
      <c r="AL279" t="str">
        <f>IF(AA279="","",IFERROR(IF(ISNUMBER('Procyclean BIO'!D280),'Procyclean BIO'!D280,IF(ISNUMBER(SEARCH("12",'Procyclean BIO'!D280)),EDATE(AB279,12),IF(ISNUMBER(SEARCH("6",'Procyclean BIO'!D280)),EDATE(AB279,6),IF(ISNUMBER(SEARCH("3",'Procyclean BIO'!D280)),EDATE(AB279,3),DATEVALUE('Procyclean BIO'!D280))))),""))</f>
        <v/>
      </c>
      <c r="AM279" t="str">
        <f t="shared" ca="1" si="46"/>
        <v/>
      </c>
    </row>
    <row r="280" spans="27:39" x14ac:dyDescent="0.3">
      <c r="AA280" t="str">
        <f>IF(COUNTA('Procyclean BIO'!A281,'Procyclean BIO'!B281,'Procyclean BIO'!C281)&gt;0,"BIO","")</f>
        <v/>
      </c>
      <c r="AB280" t="str">
        <f>IFERROR(IF(ISNUMBER('Procyclean BIO'!A281),'Procyclean BIO'!A281,DATEVALUE('Procyclean BIO'!A281)),"")</f>
        <v/>
      </c>
      <c r="AC280" t="str">
        <f>IF(AA280="","",'Procyclean BIO'!B281)</f>
        <v/>
      </c>
      <c r="AD280" t="str">
        <f>IF(AA280="","",IFERROR(1*'Procyclean BIO'!C281,IFERROR(_xludf.NUMBERVALUE('Procyclean BIO'!C281,".",","),IFERROR(_xludf.NUMBERVALUE('Procyclean BIO'!C281,",","."),0))))</f>
        <v/>
      </c>
      <c r="AE280" t="str">
        <f>IF(AA280="","",'Procyclean BIO'!J281)</f>
        <v/>
      </c>
      <c r="AF280">
        <f t="shared" si="41"/>
        <v>0</v>
      </c>
      <c r="AG280" t="str">
        <f t="shared" si="42"/>
        <v/>
      </c>
      <c r="AH280" t="str">
        <f t="shared" si="43"/>
        <v/>
      </c>
      <c r="AI280">
        <f t="shared" si="44"/>
        <v>0</v>
      </c>
      <c r="AJ280">
        <f t="shared" si="45"/>
        <v>0</v>
      </c>
      <c r="AK280">
        <v>0</v>
      </c>
      <c r="AL280" t="str">
        <f>IF(AA280="","",IFERROR(IF(ISNUMBER('Procyclean BIO'!D281),'Procyclean BIO'!D281,IF(ISNUMBER(SEARCH("12",'Procyclean BIO'!D281)),EDATE(AB280,12),IF(ISNUMBER(SEARCH("6",'Procyclean BIO'!D281)),EDATE(AB280,6),IF(ISNUMBER(SEARCH("3",'Procyclean BIO'!D281)),EDATE(AB280,3),DATEVALUE('Procyclean BIO'!D281))))),""))</f>
        <v/>
      </c>
      <c r="AM280" t="str">
        <f t="shared" ca="1" si="46"/>
        <v/>
      </c>
    </row>
    <row r="281" spans="27:39" x14ac:dyDescent="0.3">
      <c r="AA281" t="str">
        <f>IF(COUNTA('Procyclean BIO'!A282,'Procyclean BIO'!B282,'Procyclean BIO'!C282)&gt;0,"BIO","")</f>
        <v/>
      </c>
      <c r="AB281" t="str">
        <f>IFERROR(IF(ISNUMBER('Procyclean BIO'!A282),'Procyclean BIO'!A282,DATEVALUE('Procyclean BIO'!A282)),"")</f>
        <v/>
      </c>
      <c r="AC281" t="str">
        <f>IF(AA281="","",'Procyclean BIO'!B282)</f>
        <v/>
      </c>
      <c r="AD281" t="str">
        <f>IF(AA281="","",IFERROR(1*'Procyclean BIO'!C282,IFERROR(_xludf.NUMBERVALUE('Procyclean BIO'!C282,".",","),IFERROR(_xludf.NUMBERVALUE('Procyclean BIO'!C282,",","."),0))))</f>
        <v/>
      </c>
      <c r="AE281" t="str">
        <f>IF(AA281="","",'Procyclean BIO'!J282)</f>
        <v/>
      </c>
      <c r="AF281">
        <f t="shared" si="41"/>
        <v>0</v>
      </c>
      <c r="AG281" t="str">
        <f t="shared" si="42"/>
        <v/>
      </c>
      <c r="AH281" t="str">
        <f t="shared" si="43"/>
        <v/>
      </c>
      <c r="AI281">
        <f t="shared" si="44"/>
        <v>0</v>
      </c>
      <c r="AJ281">
        <f t="shared" si="45"/>
        <v>0</v>
      </c>
      <c r="AK281">
        <v>0</v>
      </c>
      <c r="AL281" t="str">
        <f>IF(AA281="","",IFERROR(IF(ISNUMBER('Procyclean BIO'!D282),'Procyclean BIO'!D282,IF(ISNUMBER(SEARCH("12",'Procyclean BIO'!D282)),EDATE(AB281,12),IF(ISNUMBER(SEARCH("6",'Procyclean BIO'!D282)),EDATE(AB281,6),IF(ISNUMBER(SEARCH("3",'Procyclean BIO'!D282)),EDATE(AB281,3),DATEVALUE('Procyclean BIO'!D282))))),""))</f>
        <v/>
      </c>
      <c r="AM281" t="str">
        <f t="shared" ca="1" si="46"/>
        <v/>
      </c>
    </row>
    <row r="282" spans="27:39" x14ac:dyDescent="0.3">
      <c r="AA282" t="str">
        <f>IF(COUNTA('Procyclean BIO'!A283,'Procyclean BIO'!B283,'Procyclean BIO'!C283)&gt;0,"BIO","")</f>
        <v/>
      </c>
      <c r="AB282" t="str">
        <f>IFERROR(IF(ISNUMBER('Procyclean BIO'!A283),'Procyclean BIO'!A283,DATEVALUE('Procyclean BIO'!A283)),"")</f>
        <v/>
      </c>
      <c r="AC282" t="str">
        <f>IF(AA282="","",'Procyclean BIO'!B283)</f>
        <v/>
      </c>
      <c r="AD282" t="str">
        <f>IF(AA282="","",IFERROR(1*'Procyclean BIO'!C283,IFERROR(_xludf.NUMBERVALUE('Procyclean BIO'!C283,".",","),IFERROR(_xludf.NUMBERVALUE('Procyclean BIO'!C283,",","."),0))))</f>
        <v/>
      </c>
      <c r="AE282" t="str">
        <f>IF(AA282="","",'Procyclean BIO'!J283)</f>
        <v/>
      </c>
      <c r="AF282">
        <f t="shared" si="41"/>
        <v>0</v>
      </c>
      <c r="AG282" t="str">
        <f t="shared" si="42"/>
        <v/>
      </c>
      <c r="AH282" t="str">
        <f t="shared" si="43"/>
        <v/>
      </c>
      <c r="AI282">
        <f t="shared" si="44"/>
        <v>0</v>
      </c>
      <c r="AJ282">
        <f t="shared" si="45"/>
        <v>0</v>
      </c>
      <c r="AK282">
        <v>0</v>
      </c>
      <c r="AL282" t="str">
        <f>IF(AA282="","",IFERROR(IF(ISNUMBER('Procyclean BIO'!D283),'Procyclean BIO'!D283,IF(ISNUMBER(SEARCH("12",'Procyclean BIO'!D283)),EDATE(AB282,12),IF(ISNUMBER(SEARCH("6",'Procyclean BIO'!D283)),EDATE(AB282,6),IF(ISNUMBER(SEARCH("3",'Procyclean BIO'!D283)),EDATE(AB282,3),DATEVALUE('Procyclean BIO'!D283))))),""))</f>
        <v/>
      </c>
      <c r="AM282" t="str">
        <f t="shared" ca="1" si="46"/>
        <v/>
      </c>
    </row>
    <row r="283" spans="27:39" x14ac:dyDescent="0.3">
      <c r="AA283" t="str">
        <f>IF(COUNTA('Procyclean BIO'!A284,'Procyclean BIO'!B284,'Procyclean BIO'!C284)&gt;0,"BIO","")</f>
        <v/>
      </c>
      <c r="AB283" t="str">
        <f>IFERROR(IF(ISNUMBER('Procyclean BIO'!A284),'Procyclean BIO'!A284,DATEVALUE('Procyclean BIO'!A284)),"")</f>
        <v/>
      </c>
      <c r="AC283" t="str">
        <f>IF(AA283="","",'Procyclean BIO'!B284)</f>
        <v/>
      </c>
      <c r="AD283" t="str">
        <f>IF(AA283="","",IFERROR(1*'Procyclean BIO'!C284,IFERROR(_xludf.NUMBERVALUE('Procyclean BIO'!C284,".",","),IFERROR(_xludf.NUMBERVALUE('Procyclean BIO'!C284,",","."),0))))</f>
        <v/>
      </c>
      <c r="AE283" t="str">
        <f>IF(AA283="","",'Procyclean BIO'!J284)</f>
        <v/>
      </c>
      <c r="AF283">
        <f t="shared" si="41"/>
        <v>0</v>
      </c>
      <c r="AG283" t="str">
        <f t="shared" si="42"/>
        <v/>
      </c>
      <c r="AH283" t="str">
        <f t="shared" si="43"/>
        <v/>
      </c>
      <c r="AI283">
        <f t="shared" si="44"/>
        <v>0</v>
      </c>
      <c r="AJ283">
        <f t="shared" si="45"/>
        <v>0</v>
      </c>
      <c r="AK283">
        <v>0</v>
      </c>
      <c r="AL283" t="str">
        <f>IF(AA283="","",IFERROR(IF(ISNUMBER('Procyclean BIO'!D284),'Procyclean BIO'!D284,IF(ISNUMBER(SEARCH("12",'Procyclean BIO'!D284)),EDATE(AB283,12),IF(ISNUMBER(SEARCH("6",'Procyclean BIO'!D284)),EDATE(AB283,6),IF(ISNUMBER(SEARCH("3",'Procyclean BIO'!D284)),EDATE(AB283,3),DATEVALUE('Procyclean BIO'!D284))))),""))</f>
        <v/>
      </c>
      <c r="AM283" t="str">
        <f t="shared" ca="1" si="46"/>
        <v/>
      </c>
    </row>
    <row r="284" spans="27:39" x14ac:dyDescent="0.3">
      <c r="AA284" t="str">
        <f>IF(COUNTA('Procyclean BIO'!A285,'Procyclean BIO'!B285,'Procyclean BIO'!C285)&gt;0,"BIO","")</f>
        <v/>
      </c>
      <c r="AB284" t="str">
        <f>IFERROR(IF(ISNUMBER('Procyclean BIO'!A285),'Procyclean BIO'!A285,DATEVALUE('Procyclean BIO'!A285)),"")</f>
        <v/>
      </c>
      <c r="AC284" t="str">
        <f>IF(AA284="","",'Procyclean BIO'!B285)</f>
        <v/>
      </c>
      <c r="AD284" t="str">
        <f>IF(AA284="","",IFERROR(1*'Procyclean BIO'!C285,IFERROR(_xludf.NUMBERVALUE('Procyclean BIO'!C285,".",","),IFERROR(_xludf.NUMBERVALUE('Procyclean BIO'!C285,",","."),0))))</f>
        <v/>
      </c>
      <c r="AE284" t="str">
        <f>IF(AA284="","",'Procyclean BIO'!J285)</f>
        <v/>
      </c>
      <c r="AF284">
        <f t="shared" si="41"/>
        <v>0</v>
      </c>
      <c r="AG284" t="str">
        <f t="shared" si="42"/>
        <v/>
      </c>
      <c r="AH284" t="str">
        <f t="shared" si="43"/>
        <v/>
      </c>
      <c r="AI284">
        <f t="shared" si="44"/>
        <v>0</v>
      </c>
      <c r="AJ284">
        <f t="shared" si="45"/>
        <v>0</v>
      </c>
      <c r="AK284">
        <v>0</v>
      </c>
      <c r="AL284" t="str">
        <f>IF(AA284="","",IFERROR(IF(ISNUMBER('Procyclean BIO'!D285),'Procyclean BIO'!D285,IF(ISNUMBER(SEARCH("12",'Procyclean BIO'!D285)),EDATE(AB284,12),IF(ISNUMBER(SEARCH("6",'Procyclean BIO'!D285)),EDATE(AB284,6),IF(ISNUMBER(SEARCH("3",'Procyclean BIO'!D285)),EDATE(AB284,3),DATEVALUE('Procyclean BIO'!D285))))),""))</f>
        <v/>
      </c>
      <c r="AM284" t="str">
        <f t="shared" ca="1" si="46"/>
        <v/>
      </c>
    </row>
    <row r="285" spans="27:39" x14ac:dyDescent="0.3">
      <c r="AA285" t="str">
        <f>IF(COUNTA('Procyclean BIO'!A286,'Procyclean BIO'!B286,'Procyclean BIO'!C286)&gt;0,"BIO","")</f>
        <v/>
      </c>
      <c r="AB285" t="str">
        <f>IFERROR(IF(ISNUMBER('Procyclean BIO'!A286),'Procyclean BIO'!A286,DATEVALUE('Procyclean BIO'!A286)),"")</f>
        <v/>
      </c>
      <c r="AC285" t="str">
        <f>IF(AA285="","",'Procyclean BIO'!B286)</f>
        <v/>
      </c>
      <c r="AD285" t="str">
        <f>IF(AA285="","",IFERROR(1*'Procyclean BIO'!C286,IFERROR(_xludf.NUMBERVALUE('Procyclean BIO'!C286,".",","),IFERROR(_xludf.NUMBERVALUE('Procyclean BIO'!C286,",","."),0))))</f>
        <v/>
      </c>
      <c r="AE285" t="str">
        <f>IF(AA285="","",'Procyclean BIO'!J286)</f>
        <v/>
      </c>
      <c r="AF285">
        <f t="shared" si="41"/>
        <v>0</v>
      </c>
      <c r="AG285" t="str">
        <f t="shared" si="42"/>
        <v/>
      </c>
      <c r="AH285" t="str">
        <f t="shared" si="43"/>
        <v/>
      </c>
      <c r="AI285">
        <f t="shared" si="44"/>
        <v>0</v>
      </c>
      <c r="AJ285">
        <f t="shared" si="45"/>
        <v>0</v>
      </c>
      <c r="AK285">
        <v>0</v>
      </c>
      <c r="AL285" t="str">
        <f>IF(AA285="","",IFERROR(IF(ISNUMBER('Procyclean BIO'!D286),'Procyclean BIO'!D286,IF(ISNUMBER(SEARCH("12",'Procyclean BIO'!D286)),EDATE(AB285,12),IF(ISNUMBER(SEARCH("6",'Procyclean BIO'!D286)),EDATE(AB285,6),IF(ISNUMBER(SEARCH("3",'Procyclean BIO'!D286)),EDATE(AB285,3),DATEVALUE('Procyclean BIO'!D286))))),""))</f>
        <v/>
      </c>
      <c r="AM285" t="str">
        <f t="shared" ca="1" si="46"/>
        <v/>
      </c>
    </row>
    <row r="286" spans="27:39" x14ac:dyDescent="0.3">
      <c r="AA286" t="str">
        <f>IF(COUNTA('Procyclean BIO'!A287,'Procyclean BIO'!B287,'Procyclean BIO'!C287)&gt;0,"BIO","")</f>
        <v/>
      </c>
      <c r="AB286" t="str">
        <f>IFERROR(IF(ISNUMBER('Procyclean BIO'!A287),'Procyclean BIO'!A287,DATEVALUE('Procyclean BIO'!A287)),"")</f>
        <v/>
      </c>
      <c r="AC286" t="str">
        <f>IF(AA286="","",'Procyclean BIO'!B287)</f>
        <v/>
      </c>
      <c r="AD286" t="str">
        <f>IF(AA286="","",IFERROR(1*'Procyclean BIO'!C287,IFERROR(_xludf.NUMBERVALUE('Procyclean BIO'!C287,".",","),IFERROR(_xludf.NUMBERVALUE('Procyclean BIO'!C287,",","."),0))))</f>
        <v/>
      </c>
      <c r="AE286" t="str">
        <f>IF(AA286="","",'Procyclean BIO'!J287)</f>
        <v/>
      </c>
      <c r="AF286">
        <f t="shared" si="41"/>
        <v>0</v>
      </c>
      <c r="AG286" t="str">
        <f t="shared" si="42"/>
        <v/>
      </c>
      <c r="AH286" t="str">
        <f t="shared" si="43"/>
        <v/>
      </c>
      <c r="AI286">
        <f t="shared" si="44"/>
        <v>0</v>
      </c>
      <c r="AJ286">
        <f t="shared" si="45"/>
        <v>0</v>
      </c>
      <c r="AK286">
        <v>0</v>
      </c>
      <c r="AL286" t="str">
        <f>IF(AA286="","",IFERROR(IF(ISNUMBER('Procyclean BIO'!D287),'Procyclean BIO'!D287,IF(ISNUMBER(SEARCH("12",'Procyclean BIO'!D287)),EDATE(AB286,12),IF(ISNUMBER(SEARCH("6",'Procyclean BIO'!D287)),EDATE(AB286,6),IF(ISNUMBER(SEARCH("3",'Procyclean BIO'!D287)),EDATE(AB286,3),DATEVALUE('Procyclean BIO'!D287))))),""))</f>
        <v/>
      </c>
      <c r="AM286" t="str">
        <f t="shared" ca="1" si="46"/>
        <v/>
      </c>
    </row>
    <row r="287" spans="27:39" x14ac:dyDescent="0.3">
      <c r="AA287" t="str">
        <f>IF(COUNTA('Procyclean BIO'!A288,'Procyclean BIO'!B288,'Procyclean BIO'!C288)&gt;0,"BIO","")</f>
        <v/>
      </c>
      <c r="AB287" t="str">
        <f>IFERROR(IF(ISNUMBER('Procyclean BIO'!A288),'Procyclean BIO'!A288,DATEVALUE('Procyclean BIO'!A288)),"")</f>
        <v/>
      </c>
      <c r="AC287" t="str">
        <f>IF(AA287="","",'Procyclean BIO'!B288)</f>
        <v/>
      </c>
      <c r="AD287" t="str">
        <f>IF(AA287="","",IFERROR(1*'Procyclean BIO'!C288,IFERROR(_xludf.NUMBERVALUE('Procyclean BIO'!C288,".",","),IFERROR(_xludf.NUMBERVALUE('Procyclean BIO'!C288,",","."),0))))</f>
        <v/>
      </c>
      <c r="AE287" t="str">
        <f>IF(AA287="","",'Procyclean BIO'!J288)</f>
        <v/>
      </c>
      <c r="AF287">
        <f t="shared" si="41"/>
        <v>0</v>
      </c>
      <c r="AG287" t="str">
        <f t="shared" si="42"/>
        <v/>
      </c>
      <c r="AH287" t="str">
        <f t="shared" si="43"/>
        <v/>
      </c>
      <c r="AI287">
        <f t="shared" si="44"/>
        <v>0</v>
      </c>
      <c r="AJ287">
        <f t="shared" si="45"/>
        <v>0</v>
      </c>
      <c r="AK287">
        <v>0</v>
      </c>
      <c r="AL287" t="str">
        <f>IF(AA287="","",IFERROR(IF(ISNUMBER('Procyclean BIO'!D288),'Procyclean BIO'!D288,IF(ISNUMBER(SEARCH("12",'Procyclean BIO'!D288)),EDATE(AB287,12),IF(ISNUMBER(SEARCH("6",'Procyclean BIO'!D288)),EDATE(AB287,6),IF(ISNUMBER(SEARCH("3",'Procyclean BIO'!D288)),EDATE(AB287,3),DATEVALUE('Procyclean BIO'!D288))))),""))</f>
        <v/>
      </c>
      <c r="AM287" t="str">
        <f t="shared" ca="1" si="46"/>
        <v/>
      </c>
    </row>
    <row r="288" spans="27:39" x14ac:dyDescent="0.3">
      <c r="AA288" t="str">
        <f>IF(COUNTA('Procyclean BIO'!A289,'Procyclean BIO'!B289,'Procyclean BIO'!C289)&gt;0,"BIO","")</f>
        <v/>
      </c>
      <c r="AB288" t="str">
        <f>IFERROR(IF(ISNUMBER('Procyclean BIO'!A289),'Procyclean BIO'!A289,DATEVALUE('Procyclean BIO'!A289)),"")</f>
        <v/>
      </c>
      <c r="AC288" t="str">
        <f>IF(AA288="","",'Procyclean BIO'!B289)</f>
        <v/>
      </c>
      <c r="AD288" t="str">
        <f>IF(AA288="","",IFERROR(1*'Procyclean BIO'!C289,IFERROR(_xludf.NUMBERVALUE('Procyclean BIO'!C289,".",","),IFERROR(_xludf.NUMBERVALUE('Procyclean BIO'!C289,",","."),0))))</f>
        <v/>
      </c>
      <c r="AE288" t="str">
        <f>IF(AA288="","",'Procyclean BIO'!J289)</f>
        <v/>
      </c>
      <c r="AF288">
        <f t="shared" si="41"/>
        <v>0</v>
      </c>
      <c r="AG288" t="str">
        <f t="shared" si="42"/>
        <v/>
      </c>
      <c r="AH288" t="str">
        <f t="shared" si="43"/>
        <v/>
      </c>
      <c r="AI288">
        <f t="shared" si="44"/>
        <v>0</v>
      </c>
      <c r="AJ288">
        <f t="shared" si="45"/>
        <v>0</v>
      </c>
      <c r="AK288">
        <v>0</v>
      </c>
      <c r="AL288" t="str">
        <f>IF(AA288="","",IFERROR(IF(ISNUMBER('Procyclean BIO'!D289),'Procyclean BIO'!D289,IF(ISNUMBER(SEARCH("12",'Procyclean BIO'!D289)),EDATE(AB288,12),IF(ISNUMBER(SEARCH("6",'Procyclean BIO'!D289)),EDATE(AB288,6),IF(ISNUMBER(SEARCH("3",'Procyclean BIO'!D289)),EDATE(AB288,3),DATEVALUE('Procyclean BIO'!D289))))),""))</f>
        <v/>
      </c>
      <c r="AM288" t="str">
        <f t="shared" ca="1" si="46"/>
        <v/>
      </c>
    </row>
    <row r="289" spans="27:39" x14ac:dyDescent="0.3">
      <c r="AA289" t="str">
        <f>IF(COUNTA('Procyclean BIO'!A290,'Procyclean BIO'!B290,'Procyclean BIO'!C290)&gt;0,"BIO","")</f>
        <v/>
      </c>
      <c r="AB289" t="str">
        <f>IFERROR(IF(ISNUMBER('Procyclean BIO'!A290),'Procyclean BIO'!A290,DATEVALUE('Procyclean BIO'!A290)),"")</f>
        <v/>
      </c>
      <c r="AC289" t="str">
        <f>IF(AA289="","",'Procyclean BIO'!B290)</f>
        <v/>
      </c>
      <c r="AD289" t="str">
        <f>IF(AA289="","",IFERROR(1*'Procyclean BIO'!C290,IFERROR(_xludf.NUMBERVALUE('Procyclean BIO'!C290,".",","),IFERROR(_xludf.NUMBERVALUE('Procyclean BIO'!C290,",","."),0))))</f>
        <v/>
      </c>
      <c r="AE289" t="str">
        <f>IF(AA289="","",'Procyclean BIO'!J290)</f>
        <v/>
      </c>
      <c r="AF289">
        <f t="shared" si="41"/>
        <v>0</v>
      </c>
      <c r="AG289" t="str">
        <f t="shared" si="42"/>
        <v/>
      </c>
      <c r="AH289" t="str">
        <f t="shared" si="43"/>
        <v/>
      </c>
      <c r="AI289">
        <f t="shared" si="44"/>
        <v>0</v>
      </c>
      <c r="AJ289">
        <f t="shared" si="45"/>
        <v>0</v>
      </c>
      <c r="AK289">
        <v>0</v>
      </c>
      <c r="AL289" t="str">
        <f>IF(AA289="","",IFERROR(IF(ISNUMBER('Procyclean BIO'!D290),'Procyclean BIO'!D290,IF(ISNUMBER(SEARCH("12",'Procyclean BIO'!D290)),EDATE(AB289,12),IF(ISNUMBER(SEARCH("6",'Procyclean BIO'!D290)),EDATE(AB289,6),IF(ISNUMBER(SEARCH("3",'Procyclean BIO'!D290)),EDATE(AB289,3),DATEVALUE('Procyclean BIO'!D290))))),""))</f>
        <v/>
      </c>
      <c r="AM289" t="str">
        <f t="shared" ca="1" si="46"/>
        <v/>
      </c>
    </row>
    <row r="290" spans="27:39" x14ac:dyDescent="0.3">
      <c r="AA290" t="str">
        <f>IF(COUNTA('Procyclean BIO'!A291,'Procyclean BIO'!B291,'Procyclean BIO'!C291)&gt;0,"BIO","")</f>
        <v/>
      </c>
      <c r="AB290" t="str">
        <f>IFERROR(IF(ISNUMBER('Procyclean BIO'!A291),'Procyclean BIO'!A291,DATEVALUE('Procyclean BIO'!A291)),"")</f>
        <v/>
      </c>
      <c r="AC290" t="str">
        <f>IF(AA290="","",'Procyclean BIO'!B291)</f>
        <v/>
      </c>
      <c r="AD290" t="str">
        <f>IF(AA290="","",IFERROR(1*'Procyclean BIO'!C291,IFERROR(_xludf.NUMBERVALUE('Procyclean BIO'!C291,".",","),IFERROR(_xludf.NUMBERVALUE('Procyclean BIO'!C291,",","."),0))))</f>
        <v/>
      </c>
      <c r="AE290" t="str">
        <f>IF(AA290="","",'Procyclean BIO'!J291)</f>
        <v/>
      </c>
      <c r="AF290">
        <f t="shared" si="41"/>
        <v>0</v>
      </c>
      <c r="AG290" t="str">
        <f t="shared" si="42"/>
        <v/>
      </c>
      <c r="AH290" t="str">
        <f t="shared" si="43"/>
        <v/>
      </c>
      <c r="AI290">
        <f t="shared" si="44"/>
        <v>0</v>
      </c>
      <c r="AJ290">
        <f t="shared" si="45"/>
        <v>0</v>
      </c>
      <c r="AK290">
        <v>0</v>
      </c>
      <c r="AL290" t="str">
        <f>IF(AA290="","",IFERROR(IF(ISNUMBER('Procyclean BIO'!D291),'Procyclean BIO'!D291,IF(ISNUMBER(SEARCH("12",'Procyclean BIO'!D291)),EDATE(AB290,12),IF(ISNUMBER(SEARCH("6",'Procyclean BIO'!D291)),EDATE(AB290,6),IF(ISNUMBER(SEARCH("3",'Procyclean BIO'!D291)),EDATE(AB290,3),DATEVALUE('Procyclean BIO'!D291))))),""))</f>
        <v/>
      </c>
      <c r="AM290" t="str">
        <f t="shared" ca="1" si="46"/>
        <v/>
      </c>
    </row>
    <row r="291" spans="27:39" x14ac:dyDescent="0.3">
      <c r="AA291" t="str">
        <f>IF(COUNTA('Procyclean BIO'!A292,'Procyclean BIO'!B292,'Procyclean BIO'!C292)&gt;0,"BIO","")</f>
        <v/>
      </c>
      <c r="AB291" t="str">
        <f>IFERROR(IF(ISNUMBER('Procyclean BIO'!A292),'Procyclean BIO'!A292,DATEVALUE('Procyclean BIO'!A292)),"")</f>
        <v/>
      </c>
      <c r="AC291" t="str">
        <f>IF(AA291="","",'Procyclean BIO'!B292)</f>
        <v/>
      </c>
      <c r="AD291" t="str">
        <f>IF(AA291="","",IFERROR(1*'Procyclean BIO'!C292,IFERROR(_xludf.NUMBERVALUE('Procyclean BIO'!C292,".",","),IFERROR(_xludf.NUMBERVALUE('Procyclean BIO'!C292,",","."),0))))</f>
        <v/>
      </c>
      <c r="AE291" t="str">
        <f>IF(AA291="","",'Procyclean BIO'!J292)</f>
        <v/>
      </c>
      <c r="AF291">
        <f t="shared" si="41"/>
        <v>0</v>
      </c>
      <c r="AG291" t="str">
        <f t="shared" si="42"/>
        <v/>
      </c>
      <c r="AH291" t="str">
        <f t="shared" si="43"/>
        <v/>
      </c>
      <c r="AI291">
        <f t="shared" si="44"/>
        <v>0</v>
      </c>
      <c r="AJ291">
        <f t="shared" si="45"/>
        <v>0</v>
      </c>
      <c r="AK291">
        <v>0</v>
      </c>
      <c r="AL291" t="str">
        <f>IF(AA291="","",IFERROR(IF(ISNUMBER('Procyclean BIO'!D292),'Procyclean BIO'!D292,IF(ISNUMBER(SEARCH("12",'Procyclean BIO'!D292)),EDATE(AB291,12),IF(ISNUMBER(SEARCH("6",'Procyclean BIO'!D292)),EDATE(AB291,6),IF(ISNUMBER(SEARCH("3",'Procyclean BIO'!D292)),EDATE(AB291,3),DATEVALUE('Procyclean BIO'!D292))))),""))</f>
        <v/>
      </c>
      <c r="AM291" t="str">
        <f t="shared" ca="1" si="46"/>
        <v/>
      </c>
    </row>
    <row r="292" spans="27:39" x14ac:dyDescent="0.3">
      <c r="AA292" t="str">
        <f>IF(COUNTA('Procyclean BIO'!A293,'Procyclean BIO'!B293,'Procyclean BIO'!C293)&gt;0,"BIO","")</f>
        <v/>
      </c>
      <c r="AB292" t="str">
        <f>IFERROR(IF(ISNUMBER('Procyclean BIO'!A293),'Procyclean BIO'!A293,DATEVALUE('Procyclean BIO'!A293)),"")</f>
        <v/>
      </c>
      <c r="AC292" t="str">
        <f>IF(AA292="","",'Procyclean BIO'!B293)</f>
        <v/>
      </c>
      <c r="AD292" t="str">
        <f>IF(AA292="","",IFERROR(1*'Procyclean BIO'!C293,IFERROR(_xludf.NUMBERVALUE('Procyclean BIO'!C293,".",","),IFERROR(_xludf.NUMBERVALUE('Procyclean BIO'!C293,",","."),0))))</f>
        <v/>
      </c>
      <c r="AE292" t="str">
        <f>IF(AA292="","",'Procyclean BIO'!J293)</f>
        <v/>
      </c>
      <c r="AF292">
        <f t="shared" si="41"/>
        <v>0</v>
      </c>
      <c r="AG292" t="str">
        <f t="shared" si="42"/>
        <v/>
      </c>
      <c r="AH292" t="str">
        <f t="shared" si="43"/>
        <v/>
      </c>
      <c r="AI292">
        <f t="shared" si="44"/>
        <v>0</v>
      </c>
      <c r="AJ292">
        <f t="shared" si="45"/>
        <v>0</v>
      </c>
      <c r="AK292">
        <v>0</v>
      </c>
      <c r="AL292" t="str">
        <f>IF(AA292="","",IFERROR(IF(ISNUMBER('Procyclean BIO'!D293),'Procyclean BIO'!D293,IF(ISNUMBER(SEARCH("12",'Procyclean BIO'!D293)),EDATE(AB292,12),IF(ISNUMBER(SEARCH("6",'Procyclean BIO'!D293)),EDATE(AB292,6),IF(ISNUMBER(SEARCH("3",'Procyclean BIO'!D293)),EDATE(AB292,3),DATEVALUE('Procyclean BIO'!D293))))),""))</f>
        <v/>
      </c>
      <c r="AM292" t="str">
        <f t="shared" ca="1" si="46"/>
        <v/>
      </c>
    </row>
    <row r="293" spans="27:39" x14ac:dyDescent="0.3">
      <c r="AA293" t="str">
        <f>IF(COUNTA('Procyclean BIO'!A294,'Procyclean BIO'!B294,'Procyclean BIO'!C294)&gt;0,"BIO","")</f>
        <v/>
      </c>
      <c r="AB293" t="str">
        <f>IFERROR(IF(ISNUMBER('Procyclean BIO'!A294),'Procyclean BIO'!A294,DATEVALUE('Procyclean BIO'!A294)),"")</f>
        <v/>
      </c>
      <c r="AC293" t="str">
        <f>IF(AA293="","",'Procyclean BIO'!B294)</f>
        <v/>
      </c>
      <c r="AD293" t="str">
        <f>IF(AA293="","",IFERROR(1*'Procyclean BIO'!C294,IFERROR(_xludf.NUMBERVALUE('Procyclean BIO'!C294,".",","),IFERROR(_xludf.NUMBERVALUE('Procyclean BIO'!C294,",","."),0))))</f>
        <v/>
      </c>
      <c r="AE293" t="str">
        <f>IF(AA293="","",'Procyclean BIO'!J294)</f>
        <v/>
      </c>
      <c r="AF293">
        <f t="shared" si="41"/>
        <v>0</v>
      </c>
      <c r="AG293" t="str">
        <f t="shared" si="42"/>
        <v/>
      </c>
      <c r="AH293" t="str">
        <f t="shared" si="43"/>
        <v/>
      </c>
      <c r="AI293">
        <f t="shared" si="44"/>
        <v>0</v>
      </c>
      <c r="AJ293">
        <f t="shared" si="45"/>
        <v>0</v>
      </c>
      <c r="AK293">
        <v>0</v>
      </c>
      <c r="AL293" t="str">
        <f>IF(AA293="","",IFERROR(IF(ISNUMBER('Procyclean BIO'!D294),'Procyclean BIO'!D294,IF(ISNUMBER(SEARCH("12",'Procyclean BIO'!D294)),EDATE(AB293,12),IF(ISNUMBER(SEARCH("6",'Procyclean BIO'!D294)),EDATE(AB293,6),IF(ISNUMBER(SEARCH("3",'Procyclean BIO'!D294)),EDATE(AB293,3),DATEVALUE('Procyclean BIO'!D294))))),""))</f>
        <v/>
      </c>
      <c r="AM293" t="str">
        <f t="shared" ca="1" si="46"/>
        <v/>
      </c>
    </row>
    <row r="294" spans="27:39" x14ac:dyDescent="0.3">
      <c r="AA294" t="str">
        <f>IF(COUNTA('Procyclean BIO'!A295,'Procyclean BIO'!B295,'Procyclean BIO'!C295)&gt;0,"BIO","")</f>
        <v/>
      </c>
      <c r="AB294" t="str">
        <f>IFERROR(IF(ISNUMBER('Procyclean BIO'!A295),'Procyclean BIO'!A295,DATEVALUE('Procyclean BIO'!A295)),"")</f>
        <v/>
      </c>
      <c r="AC294" t="str">
        <f>IF(AA294="","",'Procyclean BIO'!B295)</f>
        <v/>
      </c>
      <c r="AD294" t="str">
        <f>IF(AA294="","",IFERROR(1*'Procyclean BIO'!C295,IFERROR(_xludf.NUMBERVALUE('Procyclean BIO'!C295,".",","),IFERROR(_xludf.NUMBERVALUE('Procyclean BIO'!C295,",","."),0))))</f>
        <v/>
      </c>
      <c r="AE294" t="str">
        <f>IF(AA294="","",'Procyclean BIO'!J295)</f>
        <v/>
      </c>
      <c r="AF294">
        <f t="shared" si="41"/>
        <v>0</v>
      </c>
      <c r="AG294" t="str">
        <f t="shared" si="42"/>
        <v/>
      </c>
      <c r="AH294" t="str">
        <f t="shared" si="43"/>
        <v/>
      </c>
      <c r="AI294">
        <f t="shared" si="44"/>
        <v>0</v>
      </c>
      <c r="AJ294">
        <f t="shared" si="45"/>
        <v>0</v>
      </c>
      <c r="AK294">
        <v>0</v>
      </c>
      <c r="AL294" t="str">
        <f>IF(AA294="","",IFERROR(IF(ISNUMBER('Procyclean BIO'!D295),'Procyclean BIO'!D295,IF(ISNUMBER(SEARCH("12",'Procyclean BIO'!D295)),EDATE(AB294,12),IF(ISNUMBER(SEARCH("6",'Procyclean BIO'!D295)),EDATE(AB294,6),IF(ISNUMBER(SEARCH("3",'Procyclean BIO'!D295)),EDATE(AB294,3),DATEVALUE('Procyclean BIO'!D295))))),""))</f>
        <v/>
      </c>
      <c r="AM294" t="str">
        <f t="shared" ca="1" si="46"/>
        <v/>
      </c>
    </row>
    <row r="295" spans="27:39" x14ac:dyDescent="0.3">
      <c r="AA295" t="str">
        <f>IF(COUNTA('Procyclean BIO'!A296,'Procyclean BIO'!B296,'Procyclean BIO'!C296)&gt;0,"BIO","")</f>
        <v/>
      </c>
      <c r="AB295" t="str">
        <f>IFERROR(IF(ISNUMBER('Procyclean BIO'!A296),'Procyclean BIO'!A296,DATEVALUE('Procyclean BIO'!A296)),"")</f>
        <v/>
      </c>
      <c r="AC295" t="str">
        <f>IF(AA295="","",'Procyclean BIO'!B296)</f>
        <v/>
      </c>
      <c r="AD295" t="str">
        <f>IF(AA295="","",IFERROR(1*'Procyclean BIO'!C296,IFERROR(_xludf.NUMBERVALUE('Procyclean BIO'!C296,".",","),IFERROR(_xludf.NUMBERVALUE('Procyclean BIO'!C296,",","."),0))))</f>
        <v/>
      </c>
      <c r="AE295" t="str">
        <f>IF(AA295="","",'Procyclean BIO'!J296)</f>
        <v/>
      </c>
      <c r="AF295">
        <f t="shared" si="41"/>
        <v>0</v>
      </c>
      <c r="AG295" t="str">
        <f t="shared" si="42"/>
        <v/>
      </c>
      <c r="AH295" t="str">
        <f t="shared" si="43"/>
        <v/>
      </c>
      <c r="AI295">
        <f t="shared" si="44"/>
        <v>0</v>
      </c>
      <c r="AJ295">
        <f t="shared" si="45"/>
        <v>0</v>
      </c>
      <c r="AK295">
        <v>0</v>
      </c>
      <c r="AL295" t="str">
        <f>IF(AA295="","",IFERROR(IF(ISNUMBER('Procyclean BIO'!D296),'Procyclean BIO'!D296,IF(ISNUMBER(SEARCH("12",'Procyclean BIO'!D296)),EDATE(AB295,12),IF(ISNUMBER(SEARCH("6",'Procyclean BIO'!D296)),EDATE(AB295,6),IF(ISNUMBER(SEARCH("3",'Procyclean BIO'!D296)),EDATE(AB295,3),DATEVALUE('Procyclean BIO'!D296))))),""))</f>
        <v/>
      </c>
      <c r="AM295" t="str">
        <f t="shared" ca="1" si="46"/>
        <v/>
      </c>
    </row>
    <row r="296" spans="27:39" x14ac:dyDescent="0.3">
      <c r="AA296" t="str">
        <f>IF(COUNTA('Procyclean BIO'!A297,'Procyclean BIO'!B297,'Procyclean BIO'!C297)&gt;0,"BIO","")</f>
        <v/>
      </c>
      <c r="AB296" t="str">
        <f>IFERROR(IF(ISNUMBER('Procyclean BIO'!A297),'Procyclean BIO'!A297,DATEVALUE('Procyclean BIO'!A297)),"")</f>
        <v/>
      </c>
      <c r="AC296" t="str">
        <f>IF(AA296="","",'Procyclean BIO'!B297)</f>
        <v/>
      </c>
      <c r="AD296" t="str">
        <f>IF(AA296="","",IFERROR(1*'Procyclean BIO'!C297,IFERROR(_xludf.NUMBERVALUE('Procyclean BIO'!C297,".",","),IFERROR(_xludf.NUMBERVALUE('Procyclean BIO'!C297,",","."),0))))</f>
        <v/>
      </c>
      <c r="AE296" t="str">
        <f>IF(AA296="","",'Procyclean BIO'!J297)</f>
        <v/>
      </c>
      <c r="AF296">
        <f t="shared" si="41"/>
        <v>0</v>
      </c>
      <c r="AG296" t="str">
        <f t="shared" si="42"/>
        <v/>
      </c>
      <c r="AH296" t="str">
        <f t="shared" si="43"/>
        <v/>
      </c>
      <c r="AI296">
        <f t="shared" si="44"/>
        <v>0</v>
      </c>
      <c r="AJ296">
        <f t="shared" si="45"/>
        <v>0</v>
      </c>
      <c r="AK296">
        <v>0</v>
      </c>
      <c r="AL296" t="str">
        <f>IF(AA296="","",IFERROR(IF(ISNUMBER('Procyclean BIO'!D297),'Procyclean BIO'!D297,IF(ISNUMBER(SEARCH("12",'Procyclean BIO'!D297)),EDATE(AB296,12),IF(ISNUMBER(SEARCH("6",'Procyclean BIO'!D297)),EDATE(AB296,6),IF(ISNUMBER(SEARCH("3",'Procyclean BIO'!D297)),EDATE(AB296,3),DATEVALUE('Procyclean BIO'!D297))))),""))</f>
        <v/>
      </c>
      <c r="AM296" t="str">
        <f t="shared" ca="1" si="46"/>
        <v/>
      </c>
    </row>
    <row r="297" spans="27:39" x14ac:dyDescent="0.3">
      <c r="AA297" t="str">
        <f>IF(COUNTA('Procyclean BIO'!A298,'Procyclean BIO'!B298,'Procyclean BIO'!C298)&gt;0,"BIO","")</f>
        <v/>
      </c>
      <c r="AB297" t="str">
        <f>IFERROR(IF(ISNUMBER('Procyclean BIO'!A298),'Procyclean BIO'!A298,DATEVALUE('Procyclean BIO'!A298)),"")</f>
        <v/>
      </c>
      <c r="AC297" t="str">
        <f>IF(AA297="","",'Procyclean BIO'!B298)</f>
        <v/>
      </c>
      <c r="AD297" t="str">
        <f>IF(AA297="","",IFERROR(1*'Procyclean BIO'!C298,IFERROR(_xludf.NUMBERVALUE('Procyclean BIO'!C298,".",","),IFERROR(_xludf.NUMBERVALUE('Procyclean BIO'!C298,",","."),0))))</f>
        <v/>
      </c>
      <c r="AE297" t="str">
        <f>IF(AA297="","",'Procyclean BIO'!J298)</f>
        <v/>
      </c>
      <c r="AF297">
        <f t="shared" si="41"/>
        <v>0</v>
      </c>
      <c r="AG297" t="str">
        <f t="shared" si="42"/>
        <v/>
      </c>
      <c r="AH297" t="str">
        <f t="shared" si="43"/>
        <v/>
      </c>
      <c r="AI297">
        <f t="shared" si="44"/>
        <v>0</v>
      </c>
      <c r="AJ297">
        <f t="shared" si="45"/>
        <v>0</v>
      </c>
      <c r="AK297">
        <v>0</v>
      </c>
      <c r="AL297" t="str">
        <f>IF(AA297="","",IFERROR(IF(ISNUMBER('Procyclean BIO'!D298),'Procyclean BIO'!D298,IF(ISNUMBER(SEARCH("12",'Procyclean BIO'!D298)),EDATE(AB297,12),IF(ISNUMBER(SEARCH("6",'Procyclean BIO'!D298)),EDATE(AB297,6),IF(ISNUMBER(SEARCH("3",'Procyclean BIO'!D298)),EDATE(AB297,3),DATEVALUE('Procyclean BIO'!D298))))),""))</f>
        <v/>
      </c>
      <c r="AM297" t="str">
        <f t="shared" ca="1" si="46"/>
        <v/>
      </c>
    </row>
    <row r="298" spans="27:39" x14ac:dyDescent="0.3">
      <c r="AA298" t="str">
        <f>IF(COUNTA('Procyclean BIO'!A299,'Procyclean BIO'!B299,'Procyclean BIO'!C299)&gt;0,"BIO","")</f>
        <v/>
      </c>
      <c r="AB298" t="str">
        <f>IFERROR(IF(ISNUMBER('Procyclean BIO'!A299),'Procyclean BIO'!A299,DATEVALUE('Procyclean BIO'!A299)),"")</f>
        <v/>
      </c>
      <c r="AC298" t="str">
        <f>IF(AA298="","",'Procyclean BIO'!B299)</f>
        <v/>
      </c>
      <c r="AD298" t="str">
        <f>IF(AA298="","",IFERROR(1*'Procyclean BIO'!C299,IFERROR(_xludf.NUMBERVALUE('Procyclean BIO'!C299,".",","),IFERROR(_xludf.NUMBERVALUE('Procyclean BIO'!C299,",","."),0))))</f>
        <v/>
      </c>
      <c r="AE298" t="str">
        <f>IF(AA298="","",'Procyclean BIO'!J299)</f>
        <v/>
      </c>
      <c r="AF298">
        <f t="shared" si="41"/>
        <v>0</v>
      </c>
      <c r="AG298" t="str">
        <f t="shared" si="42"/>
        <v/>
      </c>
      <c r="AH298" t="str">
        <f t="shared" si="43"/>
        <v/>
      </c>
      <c r="AI298">
        <f t="shared" si="44"/>
        <v>0</v>
      </c>
      <c r="AJ298">
        <f t="shared" si="45"/>
        <v>0</v>
      </c>
      <c r="AK298">
        <v>0</v>
      </c>
      <c r="AL298" t="str">
        <f>IF(AA298="","",IFERROR(IF(ISNUMBER('Procyclean BIO'!D299),'Procyclean BIO'!D299,IF(ISNUMBER(SEARCH("12",'Procyclean BIO'!D299)),EDATE(AB298,12),IF(ISNUMBER(SEARCH("6",'Procyclean BIO'!D299)),EDATE(AB298,6),IF(ISNUMBER(SEARCH("3",'Procyclean BIO'!D299)),EDATE(AB298,3),DATEVALUE('Procyclean BIO'!D299))))),""))</f>
        <v/>
      </c>
      <c r="AM298" t="str">
        <f t="shared" ca="1" si="46"/>
        <v/>
      </c>
    </row>
    <row r="299" spans="27:39" x14ac:dyDescent="0.3">
      <c r="AA299" t="str">
        <f>IF(COUNTA('Procyclean BIO'!A300,'Procyclean BIO'!B300,'Procyclean BIO'!C300)&gt;0,"BIO","")</f>
        <v/>
      </c>
      <c r="AB299" t="str">
        <f>IFERROR(IF(ISNUMBER('Procyclean BIO'!A300),'Procyclean BIO'!A300,DATEVALUE('Procyclean BIO'!A300)),"")</f>
        <v/>
      </c>
      <c r="AC299" t="str">
        <f>IF(AA299="","",'Procyclean BIO'!B300)</f>
        <v/>
      </c>
      <c r="AD299" t="str">
        <f>IF(AA299="","",IFERROR(1*'Procyclean BIO'!C300,IFERROR(_xludf.NUMBERVALUE('Procyclean BIO'!C300,".",","),IFERROR(_xludf.NUMBERVALUE('Procyclean BIO'!C300,",","."),0))))</f>
        <v/>
      </c>
      <c r="AE299" t="str">
        <f>IF(AA299="","",'Procyclean BIO'!J300)</f>
        <v/>
      </c>
      <c r="AF299">
        <f t="shared" si="41"/>
        <v>0</v>
      </c>
      <c r="AG299" t="str">
        <f t="shared" si="42"/>
        <v/>
      </c>
      <c r="AH299" t="str">
        <f t="shared" si="43"/>
        <v/>
      </c>
      <c r="AI299">
        <f t="shared" si="44"/>
        <v>0</v>
      </c>
      <c r="AJ299">
        <f t="shared" si="45"/>
        <v>0</v>
      </c>
      <c r="AK299">
        <v>0</v>
      </c>
      <c r="AL299" t="str">
        <f>IF(AA299="","",IFERROR(IF(ISNUMBER('Procyclean BIO'!D300),'Procyclean BIO'!D300,IF(ISNUMBER(SEARCH("12",'Procyclean BIO'!D300)),EDATE(AB299,12),IF(ISNUMBER(SEARCH("6",'Procyclean BIO'!D300)),EDATE(AB299,6),IF(ISNUMBER(SEARCH("3",'Procyclean BIO'!D300)),EDATE(AB299,3),DATEVALUE('Procyclean BIO'!D300))))),""))</f>
        <v/>
      </c>
      <c r="AM299" t="str">
        <f t="shared" ca="1" si="46"/>
        <v/>
      </c>
    </row>
    <row r="300" spans="27:39" x14ac:dyDescent="0.3">
      <c r="AA300" t="str">
        <f>IF(COUNTA('Procyclean BIO'!A301,'Procyclean BIO'!B301,'Procyclean BIO'!C301)&gt;0,"BIO","")</f>
        <v/>
      </c>
      <c r="AB300" t="str">
        <f>IFERROR(IF(ISNUMBER('Procyclean BIO'!A301),'Procyclean BIO'!A301,DATEVALUE('Procyclean BIO'!A301)),"")</f>
        <v/>
      </c>
      <c r="AC300" t="str">
        <f>IF(AA300="","",'Procyclean BIO'!B301)</f>
        <v/>
      </c>
      <c r="AD300" t="str">
        <f>IF(AA300="","",IFERROR(1*'Procyclean BIO'!C301,IFERROR(_xludf.NUMBERVALUE('Procyclean BIO'!C301,".",","),IFERROR(_xludf.NUMBERVALUE('Procyclean BIO'!C301,",","."),0))))</f>
        <v/>
      </c>
      <c r="AE300" t="str">
        <f>IF(AA300="","",'Procyclean BIO'!J301)</f>
        <v/>
      </c>
      <c r="AF300">
        <f t="shared" si="41"/>
        <v>0</v>
      </c>
      <c r="AG300" t="str">
        <f t="shared" si="42"/>
        <v/>
      </c>
      <c r="AH300" t="str">
        <f t="shared" si="43"/>
        <v/>
      </c>
      <c r="AI300">
        <f t="shared" si="44"/>
        <v>0</v>
      </c>
      <c r="AJ300">
        <f t="shared" si="45"/>
        <v>0</v>
      </c>
      <c r="AK300">
        <v>0</v>
      </c>
      <c r="AL300" t="str">
        <f>IF(AA300="","",IFERROR(IF(ISNUMBER('Procyclean BIO'!D301),'Procyclean BIO'!D301,IF(ISNUMBER(SEARCH("12",'Procyclean BIO'!D301)),EDATE(AB300,12),IF(ISNUMBER(SEARCH("6",'Procyclean BIO'!D301)),EDATE(AB300,6),IF(ISNUMBER(SEARCH("3",'Procyclean BIO'!D301)),EDATE(AB300,3),DATEVALUE('Procyclean BIO'!D301))))),""))</f>
        <v/>
      </c>
      <c r="AM300" t="str">
        <f t="shared" ca="1" si="46"/>
        <v/>
      </c>
    </row>
    <row r="301" spans="27:39" x14ac:dyDescent="0.3">
      <c r="AA301" t="str">
        <f>IF(COUNTA('Procyclean BIO'!A302,'Procyclean BIO'!B302,'Procyclean BIO'!C302)&gt;0,"BIO","")</f>
        <v/>
      </c>
      <c r="AB301" t="str">
        <f>IFERROR(IF(ISNUMBER('Procyclean BIO'!A302),'Procyclean BIO'!A302,DATEVALUE('Procyclean BIO'!A302)),"")</f>
        <v/>
      </c>
      <c r="AC301" t="str">
        <f>IF(AA301="","",'Procyclean BIO'!B302)</f>
        <v/>
      </c>
      <c r="AD301" t="str">
        <f>IF(AA301="","",IFERROR(1*'Procyclean BIO'!C302,IFERROR(_xludf.NUMBERVALUE('Procyclean BIO'!C302,".",","),IFERROR(_xludf.NUMBERVALUE('Procyclean BIO'!C302,",","."),0))))</f>
        <v/>
      </c>
      <c r="AE301" t="str">
        <f>IF(AA301="","",'Procyclean BIO'!J302)</f>
        <v/>
      </c>
      <c r="AF301">
        <f t="shared" si="41"/>
        <v>0</v>
      </c>
      <c r="AG301" t="str">
        <f t="shared" si="42"/>
        <v/>
      </c>
      <c r="AH301" t="str">
        <f t="shared" si="43"/>
        <v/>
      </c>
      <c r="AI301">
        <f t="shared" si="44"/>
        <v>0</v>
      </c>
      <c r="AJ301">
        <f t="shared" si="45"/>
        <v>0</v>
      </c>
      <c r="AK301">
        <v>0</v>
      </c>
      <c r="AL301" t="str">
        <f>IF(AA301="","",IFERROR(IF(ISNUMBER('Procyclean BIO'!D302),'Procyclean BIO'!D302,IF(ISNUMBER(SEARCH("12",'Procyclean BIO'!D302)),EDATE(AB301,12),IF(ISNUMBER(SEARCH("6",'Procyclean BIO'!D302)),EDATE(AB301,6),IF(ISNUMBER(SEARCH("3",'Procyclean BIO'!D302)),EDATE(AB301,3),DATEVALUE('Procyclean BIO'!D302))))),""))</f>
        <v/>
      </c>
      <c r="AM301" t="str">
        <f t="shared" ca="1" si="46"/>
        <v/>
      </c>
    </row>
    <row r="302" spans="27:39" x14ac:dyDescent="0.3">
      <c r="AA302" t="str">
        <f>IF(COUNTA('Procyclean BIO'!A303,'Procyclean BIO'!B303,'Procyclean BIO'!C303)&gt;0,"BIO","")</f>
        <v/>
      </c>
      <c r="AB302" t="str">
        <f>IFERROR(IF(ISNUMBER('Procyclean BIO'!A303),'Procyclean BIO'!A303,DATEVALUE('Procyclean BIO'!A303)),"")</f>
        <v/>
      </c>
      <c r="AC302" t="str">
        <f>IF(AA302="","",'Procyclean BIO'!B303)</f>
        <v/>
      </c>
      <c r="AD302" t="str">
        <f>IF(AA302="","",IFERROR(1*'Procyclean BIO'!C303,IFERROR(_xludf.NUMBERVALUE('Procyclean BIO'!C303,".",","),IFERROR(_xludf.NUMBERVALUE('Procyclean BIO'!C303,",","."),0))))</f>
        <v/>
      </c>
      <c r="AE302" t="str">
        <f>IF(AA302="","",'Procyclean BIO'!J303)</f>
        <v/>
      </c>
      <c r="AF302">
        <f t="shared" si="41"/>
        <v>0</v>
      </c>
      <c r="AG302" t="str">
        <f t="shared" si="42"/>
        <v/>
      </c>
      <c r="AH302" t="str">
        <f t="shared" si="43"/>
        <v/>
      </c>
      <c r="AI302">
        <f t="shared" si="44"/>
        <v>0</v>
      </c>
      <c r="AJ302">
        <f t="shared" si="45"/>
        <v>0</v>
      </c>
      <c r="AK302">
        <v>0</v>
      </c>
      <c r="AL302" t="str">
        <f>IF(AA302="","",IFERROR(IF(ISNUMBER('Procyclean BIO'!D303),'Procyclean BIO'!D303,IF(ISNUMBER(SEARCH("12",'Procyclean BIO'!D303)),EDATE(AB302,12),IF(ISNUMBER(SEARCH("6",'Procyclean BIO'!D303)),EDATE(AB302,6),IF(ISNUMBER(SEARCH("3",'Procyclean BIO'!D303)),EDATE(AB302,3),DATEVALUE('Procyclean BIO'!D303))))),""))</f>
        <v/>
      </c>
      <c r="AM302" t="str">
        <f t="shared" ca="1" si="46"/>
        <v/>
      </c>
    </row>
    <row r="303" spans="27:39" x14ac:dyDescent="0.3">
      <c r="AA303" t="str">
        <f>IF(COUNTA('Procyclean BIO'!A304,'Procyclean BIO'!B304,'Procyclean BIO'!C304)&gt;0,"BIO","")</f>
        <v/>
      </c>
      <c r="AB303" t="str">
        <f>IFERROR(IF(ISNUMBER('Procyclean BIO'!A304),'Procyclean BIO'!A304,DATEVALUE('Procyclean BIO'!A304)),"")</f>
        <v/>
      </c>
      <c r="AC303" t="str">
        <f>IF(AA303="","",'Procyclean BIO'!B304)</f>
        <v/>
      </c>
      <c r="AD303" t="str">
        <f>IF(AA303="","",IFERROR(1*'Procyclean BIO'!C304,IFERROR(_xludf.NUMBERVALUE('Procyclean BIO'!C304,".",","),IFERROR(_xludf.NUMBERVALUE('Procyclean BIO'!C304,",","."),0))))</f>
        <v/>
      </c>
      <c r="AE303" t="str">
        <f>IF(AA303="","",'Procyclean BIO'!J304)</f>
        <v/>
      </c>
      <c r="AF303">
        <f t="shared" si="41"/>
        <v>0</v>
      </c>
      <c r="AG303" t="str">
        <f t="shared" si="42"/>
        <v/>
      </c>
      <c r="AH303" t="str">
        <f t="shared" si="43"/>
        <v/>
      </c>
      <c r="AI303">
        <f t="shared" si="44"/>
        <v>0</v>
      </c>
      <c r="AJ303">
        <f t="shared" si="45"/>
        <v>0</v>
      </c>
      <c r="AK303">
        <v>0</v>
      </c>
      <c r="AL303" t="str">
        <f>IF(AA303="","",IFERROR(IF(ISNUMBER('Procyclean BIO'!D304),'Procyclean BIO'!D304,IF(ISNUMBER(SEARCH("12",'Procyclean BIO'!D304)),EDATE(AB303,12),IF(ISNUMBER(SEARCH("6",'Procyclean BIO'!D304)),EDATE(AB303,6),IF(ISNUMBER(SEARCH("3",'Procyclean BIO'!D304)),EDATE(AB303,3),DATEVALUE('Procyclean BIO'!D304))))),""))</f>
        <v/>
      </c>
      <c r="AM303" t="str">
        <f t="shared" ca="1" si="46"/>
        <v/>
      </c>
    </row>
    <row r="304" spans="27:39" x14ac:dyDescent="0.3">
      <c r="AA304" t="str">
        <f>IF(COUNTA('Procyclean BIO'!A305,'Procyclean BIO'!B305,'Procyclean BIO'!C305)&gt;0,"BIO","")</f>
        <v/>
      </c>
      <c r="AB304" t="str">
        <f>IFERROR(IF(ISNUMBER('Procyclean BIO'!A305),'Procyclean BIO'!A305,DATEVALUE('Procyclean BIO'!A305)),"")</f>
        <v/>
      </c>
      <c r="AC304" t="str">
        <f>IF(AA304="","",'Procyclean BIO'!B305)</f>
        <v/>
      </c>
      <c r="AD304" t="str">
        <f>IF(AA304="","",IFERROR(1*'Procyclean BIO'!C305,IFERROR(_xludf.NUMBERVALUE('Procyclean BIO'!C305,".",","),IFERROR(_xludf.NUMBERVALUE('Procyclean BIO'!C305,",","."),0))))</f>
        <v/>
      </c>
      <c r="AE304" t="str">
        <f>IF(AA304="","",'Procyclean BIO'!J305)</f>
        <v/>
      </c>
      <c r="AF304">
        <f t="shared" si="41"/>
        <v>0</v>
      </c>
      <c r="AG304" t="str">
        <f t="shared" si="42"/>
        <v/>
      </c>
      <c r="AH304" t="str">
        <f t="shared" si="43"/>
        <v/>
      </c>
      <c r="AI304">
        <f t="shared" si="44"/>
        <v>0</v>
      </c>
      <c r="AJ304">
        <f t="shared" si="45"/>
        <v>0</v>
      </c>
      <c r="AK304">
        <v>0</v>
      </c>
      <c r="AL304" t="str">
        <f>IF(AA304="","",IFERROR(IF(ISNUMBER('Procyclean BIO'!D305),'Procyclean BIO'!D305,IF(ISNUMBER(SEARCH("12",'Procyclean BIO'!D305)),EDATE(AB304,12),IF(ISNUMBER(SEARCH("6",'Procyclean BIO'!D305)),EDATE(AB304,6),IF(ISNUMBER(SEARCH("3",'Procyclean BIO'!D305)),EDATE(AB304,3),DATEVALUE('Procyclean BIO'!D305))))),""))</f>
        <v/>
      </c>
      <c r="AM304" t="str">
        <f t="shared" ca="1" si="46"/>
        <v/>
      </c>
    </row>
    <row r="305" spans="27:39" x14ac:dyDescent="0.3">
      <c r="AA305" t="str">
        <f>IF(COUNTA('Procyclean BIO'!A306,'Procyclean BIO'!B306,'Procyclean BIO'!C306)&gt;0,"BIO","")</f>
        <v/>
      </c>
      <c r="AB305" t="str">
        <f>IFERROR(IF(ISNUMBER('Procyclean BIO'!A306),'Procyclean BIO'!A306,DATEVALUE('Procyclean BIO'!A306)),"")</f>
        <v/>
      </c>
      <c r="AC305" t="str">
        <f>IF(AA305="","",'Procyclean BIO'!B306)</f>
        <v/>
      </c>
      <c r="AD305" t="str">
        <f>IF(AA305="","",IFERROR(1*'Procyclean BIO'!C306,IFERROR(_xludf.NUMBERVALUE('Procyclean BIO'!C306,".",","),IFERROR(_xludf.NUMBERVALUE('Procyclean BIO'!C306,",","."),0))))</f>
        <v/>
      </c>
      <c r="AE305" t="str">
        <f>IF(AA305="","",'Procyclean BIO'!J306)</f>
        <v/>
      </c>
      <c r="AF305">
        <f t="shared" si="41"/>
        <v>0</v>
      </c>
      <c r="AG305" t="str">
        <f t="shared" si="42"/>
        <v/>
      </c>
      <c r="AH305" t="str">
        <f t="shared" si="43"/>
        <v/>
      </c>
      <c r="AI305">
        <f t="shared" si="44"/>
        <v>0</v>
      </c>
      <c r="AJ305">
        <f t="shared" si="45"/>
        <v>0</v>
      </c>
      <c r="AK305">
        <v>0</v>
      </c>
      <c r="AL305" t="str">
        <f>IF(AA305="","",IFERROR(IF(ISNUMBER('Procyclean BIO'!D306),'Procyclean BIO'!D306,IF(ISNUMBER(SEARCH("12",'Procyclean BIO'!D306)),EDATE(AB305,12),IF(ISNUMBER(SEARCH("6",'Procyclean BIO'!D306)),EDATE(AB305,6),IF(ISNUMBER(SEARCH("3",'Procyclean BIO'!D306)),EDATE(AB305,3),DATEVALUE('Procyclean BIO'!D306))))),""))</f>
        <v/>
      </c>
      <c r="AM305" t="str">
        <f t="shared" ca="1" si="46"/>
        <v/>
      </c>
    </row>
    <row r="306" spans="27:39" x14ac:dyDescent="0.3">
      <c r="AA306" t="str">
        <f>IF(COUNTA('Procyclean BIO'!A307,'Procyclean BIO'!B307,'Procyclean BIO'!C307)&gt;0,"BIO","")</f>
        <v/>
      </c>
      <c r="AB306" t="str">
        <f>IFERROR(IF(ISNUMBER('Procyclean BIO'!A307),'Procyclean BIO'!A307,DATEVALUE('Procyclean BIO'!A307)),"")</f>
        <v/>
      </c>
      <c r="AC306" t="str">
        <f>IF(AA306="","",'Procyclean BIO'!B307)</f>
        <v/>
      </c>
      <c r="AD306" t="str">
        <f>IF(AA306="","",IFERROR(1*'Procyclean BIO'!C307,IFERROR(_xludf.NUMBERVALUE('Procyclean BIO'!C307,".",","),IFERROR(_xludf.NUMBERVALUE('Procyclean BIO'!C307,",","."),0))))</f>
        <v/>
      </c>
      <c r="AE306" t="str">
        <f>IF(AA306="","",'Procyclean BIO'!J307)</f>
        <v/>
      </c>
      <c r="AF306">
        <f t="shared" si="41"/>
        <v>0</v>
      </c>
      <c r="AG306" t="str">
        <f t="shared" si="42"/>
        <v/>
      </c>
      <c r="AH306" t="str">
        <f t="shared" si="43"/>
        <v/>
      </c>
      <c r="AI306">
        <f t="shared" si="44"/>
        <v>0</v>
      </c>
      <c r="AJ306">
        <f t="shared" si="45"/>
        <v>0</v>
      </c>
      <c r="AK306">
        <v>0</v>
      </c>
      <c r="AL306" t="str">
        <f>IF(AA306="","",IFERROR(IF(ISNUMBER('Procyclean BIO'!D307),'Procyclean BIO'!D307,IF(ISNUMBER(SEARCH("12",'Procyclean BIO'!D307)),EDATE(AB306,12),IF(ISNUMBER(SEARCH("6",'Procyclean BIO'!D307)),EDATE(AB306,6),IF(ISNUMBER(SEARCH("3",'Procyclean BIO'!D307)),EDATE(AB306,3),DATEVALUE('Procyclean BIO'!D307))))),""))</f>
        <v/>
      </c>
      <c r="AM306" t="str">
        <f t="shared" ca="1" si="46"/>
        <v/>
      </c>
    </row>
    <row r="307" spans="27:39" x14ac:dyDescent="0.3">
      <c r="AA307" t="str">
        <f>IF(COUNTA('Procyclean BIO'!A308,'Procyclean BIO'!B308,'Procyclean BIO'!C308)&gt;0,"BIO","")</f>
        <v/>
      </c>
      <c r="AB307" t="str">
        <f>IFERROR(IF(ISNUMBER('Procyclean BIO'!A308),'Procyclean BIO'!A308,DATEVALUE('Procyclean BIO'!A308)),"")</f>
        <v/>
      </c>
      <c r="AC307" t="str">
        <f>IF(AA307="","",'Procyclean BIO'!B308)</f>
        <v/>
      </c>
      <c r="AD307" t="str">
        <f>IF(AA307="","",IFERROR(1*'Procyclean BIO'!C308,IFERROR(_xludf.NUMBERVALUE('Procyclean BIO'!C308,".",","),IFERROR(_xludf.NUMBERVALUE('Procyclean BIO'!C308,",","."),0))))</f>
        <v/>
      </c>
      <c r="AE307" t="str">
        <f>IF(AA307="","",'Procyclean BIO'!J308)</f>
        <v/>
      </c>
      <c r="AF307">
        <f t="shared" si="41"/>
        <v>0</v>
      </c>
      <c r="AG307" t="str">
        <f t="shared" si="42"/>
        <v/>
      </c>
      <c r="AH307" t="str">
        <f t="shared" si="43"/>
        <v/>
      </c>
      <c r="AI307">
        <f t="shared" si="44"/>
        <v>0</v>
      </c>
      <c r="AJ307">
        <f t="shared" si="45"/>
        <v>0</v>
      </c>
      <c r="AK307">
        <v>0</v>
      </c>
      <c r="AL307" t="str">
        <f>IF(AA307="","",IFERROR(IF(ISNUMBER('Procyclean BIO'!D308),'Procyclean BIO'!D308,IF(ISNUMBER(SEARCH("12",'Procyclean BIO'!D308)),EDATE(AB307,12),IF(ISNUMBER(SEARCH("6",'Procyclean BIO'!D308)),EDATE(AB307,6),IF(ISNUMBER(SEARCH("3",'Procyclean BIO'!D308)),EDATE(AB307,3),DATEVALUE('Procyclean BIO'!D308))))),""))</f>
        <v/>
      </c>
      <c r="AM307" t="str">
        <f t="shared" ca="1" si="46"/>
        <v/>
      </c>
    </row>
    <row r="308" spans="27:39" x14ac:dyDescent="0.3">
      <c r="AA308" t="str">
        <f>IF(COUNTA('Procyclean BIO'!A309,'Procyclean BIO'!B309,'Procyclean BIO'!C309)&gt;0,"BIO","")</f>
        <v/>
      </c>
      <c r="AB308" t="str">
        <f>IFERROR(IF(ISNUMBER('Procyclean BIO'!A309),'Procyclean BIO'!A309,DATEVALUE('Procyclean BIO'!A309)),"")</f>
        <v/>
      </c>
      <c r="AC308" t="str">
        <f>IF(AA308="","",'Procyclean BIO'!B309)</f>
        <v/>
      </c>
      <c r="AD308" t="str">
        <f>IF(AA308="","",IFERROR(1*'Procyclean BIO'!C309,IFERROR(_xludf.NUMBERVALUE('Procyclean BIO'!C309,".",","),IFERROR(_xludf.NUMBERVALUE('Procyclean BIO'!C309,",","."),0))))</f>
        <v/>
      </c>
      <c r="AE308" t="str">
        <f>IF(AA308="","",'Procyclean BIO'!J309)</f>
        <v/>
      </c>
      <c r="AF308">
        <f t="shared" si="41"/>
        <v>0</v>
      </c>
      <c r="AG308" t="str">
        <f t="shared" si="42"/>
        <v/>
      </c>
      <c r="AH308" t="str">
        <f t="shared" si="43"/>
        <v/>
      </c>
      <c r="AI308">
        <f t="shared" si="44"/>
        <v>0</v>
      </c>
      <c r="AJ308">
        <f t="shared" si="45"/>
        <v>0</v>
      </c>
      <c r="AK308">
        <v>0</v>
      </c>
      <c r="AL308" t="str">
        <f>IF(AA308="","",IFERROR(IF(ISNUMBER('Procyclean BIO'!D309),'Procyclean BIO'!D309,IF(ISNUMBER(SEARCH("12",'Procyclean BIO'!D309)),EDATE(AB308,12),IF(ISNUMBER(SEARCH("6",'Procyclean BIO'!D309)),EDATE(AB308,6),IF(ISNUMBER(SEARCH("3",'Procyclean BIO'!D309)),EDATE(AB308,3),DATEVALUE('Procyclean BIO'!D309))))),""))</f>
        <v/>
      </c>
      <c r="AM308" t="str">
        <f t="shared" ca="1" si="46"/>
        <v/>
      </c>
    </row>
    <row r="309" spans="27:39" x14ac:dyDescent="0.3">
      <c r="AA309" t="str">
        <f>IF(COUNTA('Procyclean BIO'!A310,'Procyclean BIO'!B310,'Procyclean BIO'!C310)&gt;0,"BIO","")</f>
        <v/>
      </c>
      <c r="AB309" t="str">
        <f>IFERROR(IF(ISNUMBER('Procyclean BIO'!A310),'Procyclean BIO'!A310,DATEVALUE('Procyclean BIO'!A310)),"")</f>
        <v/>
      </c>
      <c r="AC309" t="str">
        <f>IF(AA309="","",'Procyclean BIO'!B310)</f>
        <v/>
      </c>
      <c r="AD309" t="str">
        <f>IF(AA309="","",IFERROR(1*'Procyclean BIO'!C310,IFERROR(_xludf.NUMBERVALUE('Procyclean BIO'!C310,".",","),IFERROR(_xludf.NUMBERVALUE('Procyclean BIO'!C310,",","."),0))))</f>
        <v/>
      </c>
      <c r="AE309" t="str">
        <f>IF(AA309="","",'Procyclean BIO'!J310)</f>
        <v/>
      </c>
      <c r="AF309">
        <f t="shared" si="41"/>
        <v>0</v>
      </c>
      <c r="AG309" t="str">
        <f t="shared" si="42"/>
        <v/>
      </c>
      <c r="AH309" t="str">
        <f t="shared" si="43"/>
        <v/>
      </c>
      <c r="AI309">
        <f t="shared" si="44"/>
        <v>0</v>
      </c>
      <c r="AJ309">
        <f t="shared" si="45"/>
        <v>0</v>
      </c>
      <c r="AK309">
        <v>0</v>
      </c>
      <c r="AL309" t="str">
        <f>IF(AA309="","",IFERROR(IF(ISNUMBER('Procyclean BIO'!D310),'Procyclean BIO'!D310,IF(ISNUMBER(SEARCH("12",'Procyclean BIO'!D310)),EDATE(AB309,12),IF(ISNUMBER(SEARCH("6",'Procyclean BIO'!D310)),EDATE(AB309,6),IF(ISNUMBER(SEARCH("3",'Procyclean BIO'!D310)),EDATE(AB309,3),DATEVALUE('Procyclean BIO'!D310))))),""))</f>
        <v/>
      </c>
      <c r="AM309" t="str">
        <f t="shared" ca="1" si="46"/>
        <v/>
      </c>
    </row>
    <row r="310" spans="27:39" x14ac:dyDescent="0.3">
      <c r="AA310" t="str">
        <f>IF(COUNTA('Procyclean BIO'!A311,'Procyclean BIO'!B311,'Procyclean BIO'!C311)&gt;0,"BIO","")</f>
        <v/>
      </c>
      <c r="AB310" t="str">
        <f>IFERROR(IF(ISNUMBER('Procyclean BIO'!A311),'Procyclean BIO'!A311,DATEVALUE('Procyclean BIO'!A311)),"")</f>
        <v/>
      </c>
      <c r="AC310" t="str">
        <f>IF(AA310="","",'Procyclean BIO'!B311)</f>
        <v/>
      </c>
      <c r="AD310" t="str">
        <f>IF(AA310="","",IFERROR(1*'Procyclean BIO'!C311,IFERROR(_xludf.NUMBERVALUE('Procyclean BIO'!C311,".",","),IFERROR(_xludf.NUMBERVALUE('Procyclean BIO'!C311,",","."),0))))</f>
        <v/>
      </c>
      <c r="AE310" t="str">
        <f>IF(AA310="","",'Procyclean BIO'!J311)</f>
        <v/>
      </c>
      <c r="AF310">
        <f t="shared" si="41"/>
        <v>0</v>
      </c>
      <c r="AG310" t="str">
        <f t="shared" si="42"/>
        <v/>
      </c>
      <c r="AH310" t="str">
        <f t="shared" si="43"/>
        <v/>
      </c>
      <c r="AI310">
        <f t="shared" si="44"/>
        <v>0</v>
      </c>
      <c r="AJ310">
        <f t="shared" si="45"/>
        <v>0</v>
      </c>
      <c r="AK310">
        <v>0</v>
      </c>
      <c r="AL310" t="str">
        <f>IF(AA310="","",IFERROR(IF(ISNUMBER('Procyclean BIO'!D311),'Procyclean BIO'!D311,IF(ISNUMBER(SEARCH("12",'Procyclean BIO'!D311)),EDATE(AB310,12),IF(ISNUMBER(SEARCH("6",'Procyclean BIO'!D311)),EDATE(AB310,6),IF(ISNUMBER(SEARCH("3",'Procyclean BIO'!D311)),EDATE(AB310,3),DATEVALUE('Procyclean BIO'!D311))))),""))</f>
        <v/>
      </c>
      <c r="AM310" t="str">
        <f t="shared" ca="1" si="46"/>
        <v/>
      </c>
    </row>
    <row r="311" spans="27:39" x14ac:dyDescent="0.3">
      <c r="AA311" t="str">
        <f>IF(COUNTA('Procyclean BIO'!A312,'Procyclean BIO'!B312,'Procyclean BIO'!C312)&gt;0,"BIO","")</f>
        <v/>
      </c>
      <c r="AB311" t="str">
        <f>IFERROR(IF(ISNUMBER('Procyclean BIO'!A312),'Procyclean BIO'!A312,DATEVALUE('Procyclean BIO'!A312)),"")</f>
        <v/>
      </c>
      <c r="AC311" t="str">
        <f>IF(AA311="","",'Procyclean BIO'!B312)</f>
        <v/>
      </c>
      <c r="AD311" t="str">
        <f>IF(AA311="","",IFERROR(1*'Procyclean BIO'!C312,IFERROR(_xludf.NUMBERVALUE('Procyclean BIO'!C312,".",","),IFERROR(_xludf.NUMBERVALUE('Procyclean BIO'!C312,",","."),0))))</f>
        <v/>
      </c>
      <c r="AE311" t="str">
        <f>IF(AA311="","",'Procyclean BIO'!J312)</f>
        <v/>
      </c>
      <c r="AF311">
        <f t="shared" si="41"/>
        <v>0</v>
      </c>
      <c r="AG311" t="str">
        <f t="shared" si="42"/>
        <v/>
      </c>
      <c r="AH311" t="str">
        <f t="shared" si="43"/>
        <v/>
      </c>
      <c r="AI311">
        <f t="shared" si="44"/>
        <v>0</v>
      </c>
      <c r="AJ311">
        <f t="shared" si="45"/>
        <v>0</v>
      </c>
      <c r="AK311">
        <v>0</v>
      </c>
      <c r="AL311" t="str">
        <f>IF(AA311="","",IFERROR(IF(ISNUMBER('Procyclean BIO'!D312),'Procyclean BIO'!D312,IF(ISNUMBER(SEARCH("12",'Procyclean BIO'!D312)),EDATE(AB311,12),IF(ISNUMBER(SEARCH("6",'Procyclean BIO'!D312)),EDATE(AB311,6),IF(ISNUMBER(SEARCH("3",'Procyclean BIO'!D312)),EDATE(AB311,3),DATEVALUE('Procyclean BIO'!D312))))),""))</f>
        <v/>
      </c>
      <c r="AM311" t="str">
        <f t="shared" ca="1" si="46"/>
        <v/>
      </c>
    </row>
    <row r="312" spans="27:39" x14ac:dyDescent="0.3">
      <c r="AA312" t="str">
        <f>IF(COUNTA('Procyclean BIO'!A313,'Procyclean BIO'!B313,'Procyclean BIO'!C313)&gt;0,"BIO","")</f>
        <v/>
      </c>
      <c r="AB312" t="str">
        <f>IFERROR(IF(ISNUMBER('Procyclean BIO'!A313),'Procyclean BIO'!A313,DATEVALUE('Procyclean BIO'!A313)),"")</f>
        <v/>
      </c>
      <c r="AC312" t="str">
        <f>IF(AA312="","",'Procyclean BIO'!B313)</f>
        <v/>
      </c>
      <c r="AD312" t="str">
        <f>IF(AA312="","",IFERROR(1*'Procyclean BIO'!C313,IFERROR(_xludf.NUMBERVALUE('Procyclean BIO'!C313,".",","),IFERROR(_xludf.NUMBERVALUE('Procyclean BIO'!C313,",","."),0))))</f>
        <v/>
      </c>
      <c r="AE312" t="str">
        <f>IF(AA312="","",'Procyclean BIO'!J313)</f>
        <v/>
      </c>
      <c r="AF312">
        <f t="shared" si="41"/>
        <v>0</v>
      </c>
      <c r="AG312" t="str">
        <f t="shared" si="42"/>
        <v/>
      </c>
      <c r="AH312" t="str">
        <f t="shared" si="43"/>
        <v/>
      </c>
      <c r="AI312">
        <f t="shared" si="44"/>
        <v>0</v>
      </c>
      <c r="AJ312">
        <f t="shared" si="45"/>
        <v>0</v>
      </c>
      <c r="AK312">
        <v>0</v>
      </c>
      <c r="AL312" t="str">
        <f>IF(AA312="","",IFERROR(IF(ISNUMBER('Procyclean BIO'!D313),'Procyclean BIO'!D313,IF(ISNUMBER(SEARCH("12",'Procyclean BIO'!D313)),EDATE(AB312,12),IF(ISNUMBER(SEARCH("6",'Procyclean BIO'!D313)),EDATE(AB312,6),IF(ISNUMBER(SEARCH("3",'Procyclean BIO'!D313)),EDATE(AB312,3),DATEVALUE('Procyclean BIO'!D313))))),""))</f>
        <v/>
      </c>
      <c r="AM312" t="str">
        <f t="shared" ca="1" si="46"/>
        <v/>
      </c>
    </row>
    <row r="313" spans="27:39" x14ac:dyDescent="0.3">
      <c r="AA313" t="str">
        <f>IF(COUNTA('Procyclean BIO'!A314,'Procyclean BIO'!B314,'Procyclean BIO'!C314)&gt;0,"BIO","")</f>
        <v/>
      </c>
      <c r="AB313" t="str">
        <f>IFERROR(IF(ISNUMBER('Procyclean BIO'!A314),'Procyclean BIO'!A314,DATEVALUE('Procyclean BIO'!A314)),"")</f>
        <v/>
      </c>
      <c r="AC313" t="str">
        <f>IF(AA313="","",'Procyclean BIO'!B314)</f>
        <v/>
      </c>
      <c r="AD313" t="str">
        <f>IF(AA313="","",IFERROR(1*'Procyclean BIO'!C314,IFERROR(_xludf.NUMBERVALUE('Procyclean BIO'!C314,".",","),IFERROR(_xludf.NUMBERVALUE('Procyclean BIO'!C314,",","."),0))))</f>
        <v/>
      </c>
      <c r="AE313" t="str">
        <f>IF(AA313="","",'Procyclean BIO'!J314)</f>
        <v/>
      </c>
      <c r="AF313">
        <f t="shared" si="41"/>
        <v>0</v>
      </c>
      <c r="AG313" t="str">
        <f t="shared" si="42"/>
        <v/>
      </c>
      <c r="AH313" t="str">
        <f t="shared" si="43"/>
        <v/>
      </c>
      <c r="AI313">
        <f t="shared" si="44"/>
        <v>0</v>
      </c>
      <c r="AJ313">
        <f t="shared" si="45"/>
        <v>0</v>
      </c>
      <c r="AK313">
        <v>0</v>
      </c>
      <c r="AL313" t="str">
        <f>IF(AA313="","",IFERROR(IF(ISNUMBER('Procyclean BIO'!D314),'Procyclean BIO'!D314,IF(ISNUMBER(SEARCH("12",'Procyclean BIO'!D314)),EDATE(AB313,12),IF(ISNUMBER(SEARCH("6",'Procyclean BIO'!D314)),EDATE(AB313,6),IF(ISNUMBER(SEARCH("3",'Procyclean BIO'!D314)),EDATE(AB313,3),DATEVALUE('Procyclean BIO'!D314))))),""))</f>
        <v/>
      </c>
      <c r="AM313" t="str">
        <f t="shared" ca="1" si="46"/>
        <v/>
      </c>
    </row>
    <row r="314" spans="27:39" x14ac:dyDescent="0.3">
      <c r="AA314" t="str">
        <f>IF(COUNTA('Procyclean BIO'!A315,'Procyclean BIO'!B315,'Procyclean BIO'!C315)&gt;0,"BIO","")</f>
        <v/>
      </c>
      <c r="AB314" t="str">
        <f>IFERROR(IF(ISNUMBER('Procyclean BIO'!A315),'Procyclean BIO'!A315,DATEVALUE('Procyclean BIO'!A315)),"")</f>
        <v/>
      </c>
      <c r="AC314" t="str">
        <f>IF(AA314="","",'Procyclean BIO'!B315)</f>
        <v/>
      </c>
      <c r="AD314" t="str">
        <f>IF(AA314="","",IFERROR(1*'Procyclean BIO'!C315,IFERROR(_xludf.NUMBERVALUE('Procyclean BIO'!C315,".",","),IFERROR(_xludf.NUMBERVALUE('Procyclean BIO'!C315,",","."),0))))</f>
        <v/>
      </c>
      <c r="AE314" t="str">
        <f>IF(AA314="","",'Procyclean BIO'!J315)</f>
        <v/>
      </c>
      <c r="AF314">
        <f t="shared" si="41"/>
        <v>0</v>
      </c>
      <c r="AG314" t="str">
        <f t="shared" si="42"/>
        <v/>
      </c>
      <c r="AH314" t="str">
        <f t="shared" si="43"/>
        <v/>
      </c>
      <c r="AI314">
        <f t="shared" si="44"/>
        <v>0</v>
      </c>
      <c r="AJ314">
        <f t="shared" si="45"/>
        <v>0</v>
      </c>
      <c r="AK314">
        <v>0</v>
      </c>
      <c r="AL314" t="str">
        <f>IF(AA314="","",IFERROR(IF(ISNUMBER('Procyclean BIO'!D315),'Procyclean BIO'!D315,IF(ISNUMBER(SEARCH("12",'Procyclean BIO'!D315)),EDATE(AB314,12),IF(ISNUMBER(SEARCH("6",'Procyclean BIO'!D315)),EDATE(AB314,6),IF(ISNUMBER(SEARCH("3",'Procyclean BIO'!D315)),EDATE(AB314,3),DATEVALUE('Procyclean BIO'!D315))))),""))</f>
        <v/>
      </c>
      <c r="AM314" t="str">
        <f t="shared" ca="1" si="46"/>
        <v/>
      </c>
    </row>
    <row r="315" spans="27:39" x14ac:dyDescent="0.3">
      <c r="AA315" t="str">
        <f>IF(COUNTA('Procyclean BIO'!A316,'Procyclean BIO'!B316,'Procyclean BIO'!C316)&gt;0,"BIO","")</f>
        <v/>
      </c>
      <c r="AB315" t="str">
        <f>IFERROR(IF(ISNUMBER('Procyclean BIO'!A316),'Procyclean BIO'!A316,DATEVALUE('Procyclean BIO'!A316)),"")</f>
        <v/>
      </c>
      <c r="AC315" t="str">
        <f>IF(AA315="","",'Procyclean BIO'!B316)</f>
        <v/>
      </c>
      <c r="AD315" t="str">
        <f>IF(AA315="","",IFERROR(1*'Procyclean BIO'!C316,IFERROR(_xludf.NUMBERVALUE('Procyclean BIO'!C316,".",","),IFERROR(_xludf.NUMBERVALUE('Procyclean BIO'!C316,",","."),0))))</f>
        <v/>
      </c>
      <c r="AE315" t="str">
        <f>IF(AA315="","",'Procyclean BIO'!J316)</f>
        <v/>
      </c>
      <c r="AF315">
        <f t="shared" si="41"/>
        <v>0</v>
      </c>
      <c r="AG315" t="str">
        <f t="shared" si="42"/>
        <v/>
      </c>
      <c r="AH315" t="str">
        <f t="shared" si="43"/>
        <v/>
      </c>
      <c r="AI315">
        <f t="shared" si="44"/>
        <v>0</v>
      </c>
      <c r="AJ315">
        <f t="shared" si="45"/>
        <v>0</v>
      </c>
      <c r="AK315">
        <v>0</v>
      </c>
      <c r="AL315" t="str">
        <f>IF(AA315="","",IFERROR(IF(ISNUMBER('Procyclean BIO'!D316),'Procyclean BIO'!D316,IF(ISNUMBER(SEARCH("12",'Procyclean BIO'!D316)),EDATE(AB315,12),IF(ISNUMBER(SEARCH("6",'Procyclean BIO'!D316)),EDATE(AB315,6),IF(ISNUMBER(SEARCH("3",'Procyclean BIO'!D316)),EDATE(AB315,3),DATEVALUE('Procyclean BIO'!D316))))),""))</f>
        <v/>
      </c>
      <c r="AM315" t="str">
        <f t="shared" ca="1" si="46"/>
        <v/>
      </c>
    </row>
    <row r="316" spans="27:39" x14ac:dyDescent="0.3">
      <c r="AA316" t="str">
        <f>IF(COUNTA('Procyclean BIO'!A317,'Procyclean BIO'!B317,'Procyclean BIO'!C317)&gt;0,"BIO","")</f>
        <v/>
      </c>
      <c r="AB316" t="str">
        <f>IFERROR(IF(ISNUMBER('Procyclean BIO'!A317),'Procyclean BIO'!A317,DATEVALUE('Procyclean BIO'!A317)),"")</f>
        <v/>
      </c>
      <c r="AC316" t="str">
        <f>IF(AA316="","",'Procyclean BIO'!B317)</f>
        <v/>
      </c>
      <c r="AD316" t="str">
        <f>IF(AA316="","",IFERROR(1*'Procyclean BIO'!C317,IFERROR(_xludf.NUMBERVALUE('Procyclean BIO'!C317,".",","),IFERROR(_xludf.NUMBERVALUE('Procyclean BIO'!C317,",","."),0))))</f>
        <v/>
      </c>
      <c r="AE316" t="str">
        <f>IF(AA316="","",'Procyclean BIO'!J317)</f>
        <v/>
      </c>
      <c r="AF316">
        <f t="shared" si="41"/>
        <v>0</v>
      </c>
      <c r="AG316" t="str">
        <f t="shared" si="42"/>
        <v/>
      </c>
      <c r="AH316" t="str">
        <f t="shared" si="43"/>
        <v/>
      </c>
      <c r="AI316">
        <f t="shared" si="44"/>
        <v>0</v>
      </c>
      <c r="AJ316">
        <f t="shared" si="45"/>
        <v>0</v>
      </c>
      <c r="AK316">
        <v>0</v>
      </c>
      <c r="AL316" t="str">
        <f>IF(AA316="","",IFERROR(IF(ISNUMBER('Procyclean BIO'!D317),'Procyclean BIO'!D317,IF(ISNUMBER(SEARCH("12",'Procyclean BIO'!D317)),EDATE(AB316,12),IF(ISNUMBER(SEARCH("6",'Procyclean BIO'!D317)),EDATE(AB316,6),IF(ISNUMBER(SEARCH("3",'Procyclean BIO'!D317)),EDATE(AB316,3),DATEVALUE('Procyclean BIO'!D317))))),""))</f>
        <v/>
      </c>
      <c r="AM316" t="str">
        <f t="shared" ca="1" si="46"/>
        <v/>
      </c>
    </row>
    <row r="317" spans="27:39" x14ac:dyDescent="0.3">
      <c r="AA317" t="str">
        <f>IF(COUNTA('Procyclean BIO'!A318,'Procyclean BIO'!B318,'Procyclean BIO'!C318)&gt;0,"BIO","")</f>
        <v/>
      </c>
      <c r="AB317" t="str">
        <f>IFERROR(IF(ISNUMBER('Procyclean BIO'!A318),'Procyclean BIO'!A318,DATEVALUE('Procyclean BIO'!A318)),"")</f>
        <v/>
      </c>
      <c r="AC317" t="str">
        <f>IF(AA317="","",'Procyclean BIO'!B318)</f>
        <v/>
      </c>
      <c r="AD317" t="str">
        <f>IF(AA317="","",IFERROR(1*'Procyclean BIO'!C318,IFERROR(_xludf.NUMBERVALUE('Procyclean BIO'!C318,".",","),IFERROR(_xludf.NUMBERVALUE('Procyclean BIO'!C318,",","."),0))))</f>
        <v/>
      </c>
      <c r="AE317" t="str">
        <f>IF(AA317="","",'Procyclean BIO'!J318)</f>
        <v/>
      </c>
      <c r="AF317">
        <f t="shared" si="41"/>
        <v>0</v>
      </c>
      <c r="AG317" t="str">
        <f t="shared" si="42"/>
        <v/>
      </c>
      <c r="AH317" t="str">
        <f t="shared" si="43"/>
        <v/>
      </c>
      <c r="AI317">
        <f t="shared" si="44"/>
        <v>0</v>
      </c>
      <c r="AJ317">
        <f t="shared" si="45"/>
        <v>0</v>
      </c>
      <c r="AK317">
        <v>0</v>
      </c>
      <c r="AL317" t="str">
        <f>IF(AA317="","",IFERROR(IF(ISNUMBER('Procyclean BIO'!D318),'Procyclean BIO'!D318,IF(ISNUMBER(SEARCH("12",'Procyclean BIO'!D318)),EDATE(AB317,12),IF(ISNUMBER(SEARCH("6",'Procyclean BIO'!D318)),EDATE(AB317,6),IF(ISNUMBER(SEARCH("3",'Procyclean BIO'!D318)),EDATE(AB317,3),DATEVALUE('Procyclean BIO'!D318))))),""))</f>
        <v/>
      </c>
      <c r="AM317" t="str">
        <f t="shared" ca="1" si="46"/>
        <v/>
      </c>
    </row>
    <row r="318" spans="27:39" x14ac:dyDescent="0.3">
      <c r="AA318" t="str">
        <f>IF(COUNTA('Procyclean BIO'!A319,'Procyclean BIO'!B319,'Procyclean BIO'!C319)&gt;0,"BIO","")</f>
        <v/>
      </c>
      <c r="AB318" t="str">
        <f>IFERROR(IF(ISNUMBER('Procyclean BIO'!A319),'Procyclean BIO'!A319,DATEVALUE('Procyclean BIO'!A319)),"")</f>
        <v/>
      </c>
      <c r="AC318" t="str">
        <f>IF(AA318="","",'Procyclean BIO'!B319)</f>
        <v/>
      </c>
      <c r="AD318" t="str">
        <f>IF(AA318="","",IFERROR(1*'Procyclean BIO'!C319,IFERROR(_xludf.NUMBERVALUE('Procyclean BIO'!C319,".",","),IFERROR(_xludf.NUMBERVALUE('Procyclean BIO'!C319,",","."),0))))</f>
        <v/>
      </c>
      <c r="AE318" t="str">
        <f>IF(AA318="","",'Procyclean BIO'!J319)</f>
        <v/>
      </c>
      <c r="AF318">
        <f t="shared" si="41"/>
        <v>0</v>
      </c>
      <c r="AG318" t="str">
        <f t="shared" si="42"/>
        <v/>
      </c>
      <c r="AH318" t="str">
        <f t="shared" si="43"/>
        <v/>
      </c>
      <c r="AI318">
        <f t="shared" si="44"/>
        <v>0</v>
      </c>
      <c r="AJ318">
        <f t="shared" si="45"/>
        <v>0</v>
      </c>
      <c r="AK318">
        <v>0</v>
      </c>
      <c r="AL318" t="str">
        <f>IF(AA318="","",IFERROR(IF(ISNUMBER('Procyclean BIO'!D319),'Procyclean BIO'!D319,IF(ISNUMBER(SEARCH("12",'Procyclean BIO'!D319)),EDATE(AB318,12),IF(ISNUMBER(SEARCH("6",'Procyclean BIO'!D319)),EDATE(AB318,6),IF(ISNUMBER(SEARCH("3",'Procyclean BIO'!D319)),EDATE(AB318,3),DATEVALUE('Procyclean BIO'!D319))))),""))</f>
        <v/>
      </c>
      <c r="AM318" t="str">
        <f t="shared" ca="1" si="46"/>
        <v/>
      </c>
    </row>
    <row r="319" spans="27:39" x14ac:dyDescent="0.3">
      <c r="AA319" t="str">
        <f>IF(COUNTA('Procyclean BIO'!A320,'Procyclean BIO'!B320,'Procyclean BIO'!C320)&gt;0,"BIO","")</f>
        <v/>
      </c>
      <c r="AB319" t="str">
        <f>IFERROR(IF(ISNUMBER('Procyclean BIO'!A320),'Procyclean BIO'!A320,DATEVALUE('Procyclean BIO'!A320)),"")</f>
        <v/>
      </c>
      <c r="AC319" t="str">
        <f>IF(AA319="","",'Procyclean BIO'!B320)</f>
        <v/>
      </c>
      <c r="AD319" t="str">
        <f>IF(AA319="","",IFERROR(1*'Procyclean BIO'!C320,IFERROR(_xludf.NUMBERVALUE('Procyclean BIO'!C320,".",","),IFERROR(_xludf.NUMBERVALUE('Procyclean BIO'!C320,",","."),0))))</f>
        <v/>
      </c>
      <c r="AE319" t="str">
        <f>IF(AA319="","",'Procyclean BIO'!J320)</f>
        <v/>
      </c>
      <c r="AF319">
        <f t="shared" si="41"/>
        <v>0</v>
      </c>
      <c r="AG319" t="str">
        <f t="shared" si="42"/>
        <v/>
      </c>
      <c r="AH319" t="str">
        <f t="shared" si="43"/>
        <v/>
      </c>
      <c r="AI319">
        <f t="shared" si="44"/>
        <v>0</v>
      </c>
      <c r="AJ319">
        <f t="shared" si="45"/>
        <v>0</v>
      </c>
      <c r="AK319">
        <v>0</v>
      </c>
      <c r="AL319" t="str">
        <f>IF(AA319="","",IFERROR(IF(ISNUMBER('Procyclean BIO'!D320),'Procyclean BIO'!D320,IF(ISNUMBER(SEARCH("12",'Procyclean BIO'!D320)),EDATE(AB319,12),IF(ISNUMBER(SEARCH("6",'Procyclean BIO'!D320)),EDATE(AB319,6),IF(ISNUMBER(SEARCH("3",'Procyclean BIO'!D320)),EDATE(AB319,3),DATEVALUE('Procyclean BIO'!D320))))),""))</f>
        <v/>
      </c>
      <c r="AM319" t="str">
        <f t="shared" ca="1" si="46"/>
        <v/>
      </c>
    </row>
    <row r="320" spans="27:39" x14ac:dyDescent="0.3">
      <c r="AA320" t="str">
        <f>IF(COUNTA('Procyclean BIO'!A321,'Procyclean BIO'!B321,'Procyclean BIO'!C321)&gt;0,"BIO","")</f>
        <v/>
      </c>
      <c r="AB320" t="str">
        <f>IFERROR(IF(ISNUMBER('Procyclean BIO'!A321),'Procyclean BIO'!A321,DATEVALUE('Procyclean BIO'!A321)),"")</f>
        <v/>
      </c>
      <c r="AC320" t="str">
        <f>IF(AA320="","",'Procyclean BIO'!B321)</f>
        <v/>
      </c>
      <c r="AD320" t="str">
        <f>IF(AA320="","",IFERROR(1*'Procyclean BIO'!C321,IFERROR(_xludf.NUMBERVALUE('Procyclean BIO'!C321,".",","),IFERROR(_xludf.NUMBERVALUE('Procyclean BIO'!C321,",","."),0))))</f>
        <v/>
      </c>
      <c r="AE320" t="str">
        <f>IF(AA320="","",'Procyclean BIO'!J321)</f>
        <v/>
      </c>
      <c r="AF320">
        <f t="shared" si="41"/>
        <v>0</v>
      </c>
      <c r="AG320" t="str">
        <f t="shared" si="42"/>
        <v/>
      </c>
      <c r="AH320" t="str">
        <f t="shared" si="43"/>
        <v/>
      </c>
      <c r="AI320">
        <f t="shared" si="44"/>
        <v>0</v>
      </c>
      <c r="AJ320">
        <f t="shared" si="45"/>
        <v>0</v>
      </c>
      <c r="AK320">
        <v>0</v>
      </c>
      <c r="AL320" t="str">
        <f>IF(AA320="","",IFERROR(IF(ISNUMBER('Procyclean BIO'!D321),'Procyclean BIO'!D321,IF(ISNUMBER(SEARCH("12",'Procyclean BIO'!D321)),EDATE(AB320,12),IF(ISNUMBER(SEARCH("6",'Procyclean BIO'!D321)),EDATE(AB320,6),IF(ISNUMBER(SEARCH("3",'Procyclean BIO'!D321)),EDATE(AB320,3),DATEVALUE('Procyclean BIO'!D321))))),""))</f>
        <v/>
      </c>
      <c r="AM320" t="str">
        <f t="shared" ca="1" si="46"/>
        <v/>
      </c>
    </row>
    <row r="321" spans="27:39" x14ac:dyDescent="0.3">
      <c r="AA321" t="str">
        <f>IF(COUNTA('Procyclean BIO'!A322,'Procyclean BIO'!B322,'Procyclean BIO'!C322)&gt;0,"BIO","")</f>
        <v/>
      </c>
      <c r="AB321" t="str">
        <f>IFERROR(IF(ISNUMBER('Procyclean BIO'!A322),'Procyclean BIO'!A322,DATEVALUE('Procyclean BIO'!A322)),"")</f>
        <v/>
      </c>
      <c r="AC321" t="str">
        <f>IF(AA321="","",'Procyclean BIO'!B322)</f>
        <v/>
      </c>
      <c r="AD321" t="str">
        <f>IF(AA321="","",IFERROR(1*'Procyclean BIO'!C322,IFERROR(_xludf.NUMBERVALUE('Procyclean BIO'!C322,".",","),IFERROR(_xludf.NUMBERVALUE('Procyclean BIO'!C322,",","."),0))))</f>
        <v/>
      </c>
      <c r="AE321" t="str">
        <f>IF(AA321="","",'Procyclean BIO'!J322)</f>
        <v/>
      </c>
      <c r="AF321">
        <f t="shared" si="41"/>
        <v>0</v>
      </c>
      <c r="AG321" t="str">
        <f t="shared" si="42"/>
        <v/>
      </c>
      <c r="AH321" t="str">
        <f t="shared" si="43"/>
        <v/>
      </c>
      <c r="AI321">
        <f t="shared" si="44"/>
        <v>0</v>
      </c>
      <c r="AJ321">
        <f t="shared" si="45"/>
        <v>0</v>
      </c>
      <c r="AK321">
        <v>0</v>
      </c>
      <c r="AL321" t="str">
        <f>IF(AA321="","",IFERROR(IF(ISNUMBER('Procyclean BIO'!D322),'Procyclean BIO'!D322,IF(ISNUMBER(SEARCH("12",'Procyclean BIO'!D322)),EDATE(AB321,12),IF(ISNUMBER(SEARCH("6",'Procyclean BIO'!D322)),EDATE(AB321,6),IF(ISNUMBER(SEARCH("3",'Procyclean BIO'!D322)),EDATE(AB321,3),DATEVALUE('Procyclean BIO'!D322))))),""))</f>
        <v/>
      </c>
      <c r="AM321" t="str">
        <f t="shared" ca="1" si="46"/>
        <v/>
      </c>
    </row>
    <row r="322" spans="27:39" x14ac:dyDescent="0.3">
      <c r="AA322" t="str">
        <f>IF(COUNTA('Procyclean BIO'!A323,'Procyclean BIO'!B323,'Procyclean BIO'!C323)&gt;0,"BIO","")</f>
        <v/>
      </c>
      <c r="AB322" t="str">
        <f>IFERROR(IF(ISNUMBER('Procyclean BIO'!A323),'Procyclean BIO'!A323,DATEVALUE('Procyclean BIO'!A323)),"")</f>
        <v/>
      </c>
      <c r="AC322" t="str">
        <f>IF(AA322="","",'Procyclean BIO'!B323)</f>
        <v/>
      </c>
      <c r="AD322" t="str">
        <f>IF(AA322="","",IFERROR(1*'Procyclean BIO'!C323,IFERROR(_xludf.NUMBERVALUE('Procyclean BIO'!C323,".",","),IFERROR(_xludf.NUMBERVALUE('Procyclean BIO'!C323,",","."),0))))</f>
        <v/>
      </c>
      <c r="AE322" t="str">
        <f>IF(AA322="","",'Procyclean BIO'!J323)</f>
        <v/>
      </c>
      <c r="AF322">
        <f t="shared" ref="AF322:AF385" si="47">IF(AA322="",0,--AND(ISNUMBER(SEARCH("aprov",AE322)),NOT(ISNUMBER(SEARCH("reprov",AE322)))))</f>
        <v>0</v>
      </c>
      <c r="AG322" t="str">
        <f t="shared" ref="AG322:AG385" si="48">IF(AB322="","",YEAR(AB322))</f>
        <v/>
      </c>
      <c r="AH322" t="str">
        <f t="shared" ref="AH322:AH385" si="49">IF(AB322="","",MONTH(AB322))</f>
        <v/>
      </c>
      <c r="AI322">
        <f t="shared" ref="AI322:AI385" si="50">IF(AB322="",0,AB322+ROW()/1000000)</f>
        <v>0</v>
      </c>
      <c r="AJ322">
        <f t="shared" ref="AJ322:AJ385" si="51">--(AA322&lt;&gt;"")</f>
        <v>0</v>
      </c>
      <c r="AK322">
        <v>0</v>
      </c>
      <c r="AL322" t="str">
        <f>IF(AA322="","",IFERROR(IF(ISNUMBER('Procyclean BIO'!D323),'Procyclean BIO'!D323,IF(ISNUMBER(SEARCH("12",'Procyclean BIO'!D323)),EDATE(AB322,12),IF(ISNUMBER(SEARCH("6",'Procyclean BIO'!D323)),EDATE(AB322,6),IF(ISNUMBER(SEARCH("3",'Procyclean BIO'!D323)),EDATE(AB322,3),DATEVALUE('Procyclean BIO'!D323))))),""))</f>
        <v/>
      </c>
      <c r="AM322" t="str">
        <f t="shared" ref="AM322:AM385" ca="1" si="52">IF(AND(AJ322=1,AL322&lt;&gt;"",AL322&gt;=TODAY(),AG322=$W$3),AL322+ROW()/1000000,"")</f>
        <v/>
      </c>
    </row>
    <row r="323" spans="27:39" x14ac:dyDescent="0.3">
      <c r="AA323" t="str">
        <f>IF(COUNTA('Procyclean BIO'!A324,'Procyclean BIO'!B324,'Procyclean BIO'!C324)&gt;0,"BIO","")</f>
        <v/>
      </c>
      <c r="AB323" t="str">
        <f>IFERROR(IF(ISNUMBER('Procyclean BIO'!A324),'Procyclean BIO'!A324,DATEVALUE('Procyclean BIO'!A324)),"")</f>
        <v/>
      </c>
      <c r="AC323" t="str">
        <f>IF(AA323="","",'Procyclean BIO'!B324)</f>
        <v/>
      </c>
      <c r="AD323" t="str">
        <f>IF(AA323="","",IFERROR(1*'Procyclean BIO'!C324,IFERROR(_xludf.NUMBERVALUE('Procyclean BIO'!C324,".",","),IFERROR(_xludf.NUMBERVALUE('Procyclean BIO'!C324,",","."),0))))</f>
        <v/>
      </c>
      <c r="AE323" t="str">
        <f>IF(AA323="","",'Procyclean BIO'!J324)</f>
        <v/>
      </c>
      <c r="AF323">
        <f t="shared" si="47"/>
        <v>0</v>
      </c>
      <c r="AG323" t="str">
        <f t="shared" si="48"/>
        <v/>
      </c>
      <c r="AH323" t="str">
        <f t="shared" si="49"/>
        <v/>
      </c>
      <c r="AI323">
        <f t="shared" si="50"/>
        <v>0</v>
      </c>
      <c r="AJ323">
        <f t="shared" si="51"/>
        <v>0</v>
      </c>
      <c r="AK323">
        <v>0</v>
      </c>
      <c r="AL323" t="str">
        <f>IF(AA323="","",IFERROR(IF(ISNUMBER('Procyclean BIO'!D324),'Procyclean BIO'!D324,IF(ISNUMBER(SEARCH("12",'Procyclean BIO'!D324)),EDATE(AB323,12),IF(ISNUMBER(SEARCH("6",'Procyclean BIO'!D324)),EDATE(AB323,6),IF(ISNUMBER(SEARCH("3",'Procyclean BIO'!D324)),EDATE(AB323,3),DATEVALUE('Procyclean BIO'!D324))))),""))</f>
        <v/>
      </c>
      <c r="AM323" t="str">
        <f t="shared" ca="1" si="52"/>
        <v/>
      </c>
    </row>
    <row r="324" spans="27:39" x14ac:dyDescent="0.3">
      <c r="AA324" t="str">
        <f>IF(COUNTA('Procyclean BIO'!A325,'Procyclean BIO'!B325,'Procyclean BIO'!C325)&gt;0,"BIO","")</f>
        <v/>
      </c>
      <c r="AB324" t="str">
        <f>IFERROR(IF(ISNUMBER('Procyclean BIO'!A325),'Procyclean BIO'!A325,DATEVALUE('Procyclean BIO'!A325)),"")</f>
        <v/>
      </c>
      <c r="AC324" t="str">
        <f>IF(AA324="","",'Procyclean BIO'!B325)</f>
        <v/>
      </c>
      <c r="AD324" t="str">
        <f>IF(AA324="","",IFERROR(1*'Procyclean BIO'!C325,IFERROR(_xludf.NUMBERVALUE('Procyclean BIO'!C325,".",","),IFERROR(_xludf.NUMBERVALUE('Procyclean BIO'!C325,",","."),0))))</f>
        <v/>
      </c>
      <c r="AE324" t="str">
        <f>IF(AA324="","",'Procyclean BIO'!J325)</f>
        <v/>
      </c>
      <c r="AF324">
        <f t="shared" si="47"/>
        <v>0</v>
      </c>
      <c r="AG324" t="str">
        <f t="shared" si="48"/>
        <v/>
      </c>
      <c r="AH324" t="str">
        <f t="shared" si="49"/>
        <v/>
      </c>
      <c r="AI324">
        <f t="shared" si="50"/>
        <v>0</v>
      </c>
      <c r="AJ324">
        <f t="shared" si="51"/>
        <v>0</v>
      </c>
      <c r="AK324">
        <v>0</v>
      </c>
      <c r="AL324" t="str">
        <f>IF(AA324="","",IFERROR(IF(ISNUMBER('Procyclean BIO'!D325),'Procyclean BIO'!D325,IF(ISNUMBER(SEARCH("12",'Procyclean BIO'!D325)),EDATE(AB324,12),IF(ISNUMBER(SEARCH("6",'Procyclean BIO'!D325)),EDATE(AB324,6),IF(ISNUMBER(SEARCH("3",'Procyclean BIO'!D325)),EDATE(AB324,3),DATEVALUE('Procyclean BIO'!D325))))),""))</f>
        <v/>
      </c>
      <c r="AM324" t="str">
        <f t="shared" ca="1" si="52"/>
        <v/>
      </c>
    </row>
    <row r="325" spans="27:39" x14ac:dyDescent="0.3">
      <c r="AA325" t="str">
        <f>IF(COUNTA('Procyclean BIO'!A326,'Procyclean BIO'!B326,'Procyclean BIO'!C326)&gt;0,"BIO","")</f>
        <v/>
      </c>
      <c r="AB325" t="str">
        <f>IFERROR(IF(ISNUMBER('Procyclean BIO'!A326),'Procyclean BIO'!A326,DATEVALUE('Procyclean BIO'!A326)),"")</f>
        <v/>
      </c>
      <c r="AC325" t="str">
        <f>IF(AA325="","",'Procyclean BIO'!B326)</f>
        <v/>
      </c>
      <c r="AD325" t="str">
        <f>IF(AA325="","",IFERROR(1*'Procyclean BIO'!C326,IFERROR(_xludf.NUMBERVALUE('Procyclean BIO'!C326,".",","),IFERROR(_xludf.NUMBERVALUE('Procyclean BIO'!C326,",","."),0))))</f>
        <v/>
      </c>
      <c r="AE325" t="str">
        <f>IF(AA325="","",'Procyclean BIO'!J326)</f>
        <v/>
      </c>
      <c r="AF325">
        <f t="shared" si="47"/>
        <v>0</v>
      </c>
      <c r="AG325" t="str">
        <f t="shared" si="48"/>
        <v/>
      </c>
      <c r="AH325" t="str">
        <f t="shared" si="49"/>
        <v/>
      </c>
      <c r="AI325">
        <f t="shared" si="50"/>
        <v>0</v>
      </c>
      <c r="AJ325">
        <f t="shared" si="51"/>
        <v>0</v>
      </c>
      <c r="AK325">
        <v>0</v>
      </c>
      <c r="AL325" t="str">
        <f>IF(AA325="","",IFERROR(IF(ISNUMBER('Procyclean BIO'!D326),'Procyclean BIO'!D326,IF(ISNUMBER(SEARCH("12",'Procyclean BIO'!D326)),EDATE(AB325,12),IF(ISNUMBER(SEARCH("6",'Procyclean BIO'!D326)),EDATE(AB325,6),IF(ISNUMBER(SEARCH("3",'Procyclean BIO'!D326)),EDATE(AB325,3),DATEVALUE('Procyclean BIO'!D326))))),""))</f>
        <v/>
      </c>
      <c r="AM325" t="str">
        <f t="shared" ca="1" si="52"/>
        <v/>
      </c>
    </row>
    <row r="326" spans="27:39" x14ac:dyDescent="0.3">
      <c r="AA326" t="str">
        <f>IF(COUNTA('Procyclean BIO'!A327,'Procyclean BIO'!B327,'Procyclean BIO'!C327)&gt;0,"BIO","")</f>
        <v/>
      </c>
      <c r="AB326" t="str">
        <f>IFERROR(IF(ISNUMBER('Procyclean BIO'!A327),'Procyclean BIO'!A327,DATEVALUE('Procyclean BIO'!A327)),"")</f>
        <v/>
      </c>
      <c r="AC326" t="str">
        <f>IF(AA326="","",'Procyclean BIO'!B327)</f>
        <v/>
      </c>
      <c r="AD326" t="str">
        <f>IF(AA326="","",IFERROR(1*'Procyclean BIO'!C327,IFERROR(_xludf.NUMBERVALUE('Procyclean BIO'!C327,".",","),IFERROR(_xludf.NUMBERVALUE('Procyclean BIO'!C327,",","."),0))))</f>
        <v/>
      </c>
      <c r="AE326" t="str">
        <f>IF(AA326="","",'Procyclean BIO'!J327)</f>
        <v/>
      </c>
      <c r="AF326">
        <f t="shared" si="47"/>
        <v>0</v>
      </c>
      <c r="AG326" t="str">
        <f t="shared" si="48"/>
        <v/>
      </c>
      <c r="AH326" t="str">
        <f t="shared" si="49"/>
        <v/>
      </c>
      <c r="AI326">
        <f t="shared" si="50"/>
        <v>0</v>
      </c>
      <c r="AJ326">
        <f t="shared" si="51"/>
        <v>0</v>
      </c>
      <c r="AK326">
        <v>0</v>
      </c>
      <c r="AL326" t="str">
        <f>IF(AA326="","",IFERROR(IF(ISNUMBER('Procyclean BIO'!D327),'Procyclean BIO'!D327,IF(ISNUMBER(SEARCH("12",'Procyclean BIO'!D327)),EDATE(AB326,12),IF(ISNUMBER(SEARCH("6",'Procyclean BIO'!D327)),EDATE(AB326,6),IF(ISNUMBER(SEARCH("3",'Procyclean BIO'!D327)),EDATE(AB326,3),DATEVALUE('Procyclean BIO'!D327))))),""))</f>
        <v/>
      </c>
      <c r="AM326" t="str">
        <f t="shared" ca="1" si="52"/>
        <v/>
      </c>
    </row>
    <row r="327" spans="27:39" x14ac:dyDescent="0.3">
      <c r="AA327" t="str">
        <f>IF(COUNTA('Procyclean BIO'!A328,'Procyclean BIO'!B328,'Procyclean BIO'!C328)&gt;0,"BIO","")</f>
        <v/>
      </c>
      <c r="AB327" t="str">
        <f>IFERROR(IF(ISNUMBER('Procyclean BIO'!A328),'Procyclean BIO'!A328,DATEVALUE('Procyclean BIO'!A328)),"")</f>
        <v/>
      </c>
      <c r="AC327" t="str">
        <f>IF(AA327="","",'Procyclean BIO'!B328)</f>
        <v/>
      </c>
      <c r="AD327" t="str">
        <f>IF(AA327="","",IFERROR(1*'Procyclean BIO'!C328,IFERROR(_xludf.NUMBERVALUE('Procyclean BIO'!C328,".",","),IFERROR(_xludf.NUMBERVALUE('Procyclean BIO'!C328,",","."),0))))</f>
        <v/>
      </c>
      <c r="AE327" t="str">
        <f>IF(AA327="","",'Procyclean BIO'!J328)</f>
        <v/>
      </c>
      <c r="AF327">
        <f t="shared" si="47"/>
        <v>0</v>
      </c>
      <c r="AG327" t="str">
        <f t="shared" si="48"/>
        <v/>
      </c>
      <c r="AH327" t="str">
        <f t="shared" si="49"/>
        <v/>
      </c>
      <c r="AI327">
        <f t="shared" si="50"/>
        <v>0</v>
      </c>
      <c r="AJ327">
        <f t="shared" si="51"/>
        <v>0</v>
      </c>
      <c r="AK327">
        <v>0</v>
      </c>
      <c r="AL327" t="str">
        <f>IF(AA327="","",IFERROR(IF(ISNUMBER('Procyclean BIO'!D328),'Procyclean BIO'!D328,IF(ISNUMBER(SEARCH("12",'Procyclean BIO'!D328)),EDATE(AB327,12),IF(ISNUMBER(SEARCH("6",'Procyclean BIO'!D328)),EDATE(AB327,6),IF(ISNUMBER(SEARCH("3",'Procyclean BIO'!D328)),EDATE(AB327,3),DATEVALUE('Procyclean BIO'!D328))))),""))</f>
        <v/>
      </c>
      <c r="AM327" t="str">
        <f t="shared" ca="1" si="52"/>
        <v/>
      </c>
    </row>
    <row r="328" spans="27:39" x14ac:dyDescent="0.3">
      <c r="AA328" t="str">
        <f>IF(COUNTA('Procyclean BIO'!A329,'Procyclean BIO'!B329,'Procyclean BIO'!C329)&gt;0,"BIO","")</f>
        <v/>
      </c>
      <c r="AB328" t="str">
        <f>IFERROR(IF(ISNUMBER('Procyclean BIO'!A329),'Procyclean BIO'!A329,DATEVALUE('Procyclean BIO'!A329)),"")</f>
        <v/>
      </c>
      <c r="AC328" t="str">
        <f>IF(AA328="","",'Procyclean BIO'!B329)</f>
        <v/>
      </c>
      <c r="AD328" t="str">
        <f>IF(AA328="","",IFERROR(1*'Procyclean BIO'!C329,IFERROR(_xludf.NUMBERVALUE('Procyclean BIO'!C329,".",","),IFERROR(_xludf.NUMBERVALUE('Procyclean BIO'!C329,",","."),0))))</f>
        <v/>
      </c>
      <c r="AE328" t="str">
        <f>IF(AA328="","",'Procyclean BIO'!J329)</f>
        <v/>
      </c>
      <c r="AF328">
        <f t="shared" si="47"/>
        <v>0</v>
      </c>
      <c r="AG328" t="str">
        <f t="shared" si="48"/>
        <v/>
      </c>
      <c r="AH328" t="str">
        <f t="shared" si="49"/>
        <v/>
      </c>
      <c r="AI328">
        <f t="shared" si="50"/>
        <v>0</v>
      </c>
      <c r="AJ328">
        <f t="shared" si="51"/>
        <v>0</v>
      </c>
      <c r="AK328">
        <v>0</v>
      </c>
      <c r="AL328" t="str">
        <f>IF(AA328="","",IFERROR(IF(ISNUMBER('Procyclean BIO'!D329),'Procyclean BIO'!D329,IF(ISNUMBER(SEARCH("12",'Procyclean BIO'!D329)),EDATE(AB328,12),IF(ISNUMBER(SEARCH("6",'Procyclean BIO'!D329)),EDATE(AB328,6),IF(ISNUMBER(SEARCH("3",'Procyclean BIO'!D329)),EDATE(AB328,3),DATEVALUE('Procyclean BIO'!D329))))),""))</f>
        <v/>
      </c>
      <c r="AM328" t="str">
        <f t="shared" ca="1" si="52"/>
        <v/>
      </c>
    </row>
    <row r="329" spans="27:39" x14ac:dyDescent="0.3">
      <c r="AA329" t="str">
        <f>IF(COUNTA('Procyclean BIO'!A330,'Procyclean BIO'!B330,'Procyclean BIO'!C330)&gt;0,"BIO","")</f>
        <v/>
      </c>
      <c r="AB329" t="str">
        <f>IFERROR(IF(ISNUMBER('Procyclean BIO'!A330),'Procyclean BIO'!A330,DATEVALUE('Procyclean BIO'!A330)),"")</f>
        <v/>
      </c>
      <c r="AC329" t="str">
        <f>IF(AA329="","",'Procyclean BIO'!B330)</f>
        <v/>
      </c>
      <c r="AD329" t="str">
        <f>IF(AA329="","",IFERROR(1*'Procyclean BIO'!C330,IFERROR(_xludf.NUMBERVALUE('Procyclean BIO'!C330,".",","),IFERROR(_xludf.NUMBERVALUE('Procyclean BIO'!C330,",","."),0))))</f>
        <v/>
      </c>
      <c r="AE329" t="str">
        <f>IF(AA329="","",'Procyclean BIO'!J330)</f>
        <v/>
      </c>
      <c r="AF329">
        <f t="shared" si="47"/>
        <v>0</v>
      </c>
      <c r="AG329" t="str">
        <f t="shared" si="48"/>
        <v/>
      </c>
      <c r="AH329" t="str">
        <f t="shared" si="49"/>
        <v/>
      </c>
      <c r="AI329">
        <f t="shared" si="50"/>
        <v>0</v>
      </c>
      <c r="AJ329">
        <f t="shared" si="51"/>
        <v>0</v>
      </c>
      <c r="AK329">
        <v>0</v>
      </c>
      <c r="AL329" t="str">
        <f>IF(AA329="","",IFERROR(IF(ISNUMBER('Procyclean BIO'!D330),'Procyclean BIO'!D330,IF(ISNUMBER(SEARCH("12",'Procyclean BIO'!D330)),EDATE(AB329,12),IF(ISNUMBER(SEARCH("6",'Procyclean BIO'!D330)),EDATE(AB329,6),IF(ISNUMBER(SEARCH("3",'Procyclean BIO'!D330)),EDATE(AB329,3),DATEVALUE('Procyclean BIO'!D330))))),""))</f>
        <v/>
      </c>
      <c r="AM329" t="str">
        <f t="shared" ca="1" si="52"/>
        <v/>
      </c>
    </row>
    <row r="330" spans="27:39" x14ac:dyDescent="0.3">
      <c r="AA330" t="str">
        <f>IF(COUNTA('Procyclean BIO'!A331,'Procyclean BIO'!B331,'Procyclean BIO'!C331)&gt;0,"BIO","")</f>
        <v/>
      </c>
      <c r="AB330" t="str">
        <f>IFERROR(IF(ISNUMBER('Procyclean BIO'!A331),'Procyclean BIO'!A331,DATEVALUE('Procyclean BIO'!A331)),"")</f>
        <v/>
      </c>
      <c r="AC330" t="str">
        <f>IF(AA330="","",'Procyclean BIO'!B331)</f>
        <v/>
      </c>
      <c r="AD330" t="str">
        <f>IF(AA330="","",IFERROR(1*'Procyclean BIO'!C331,IFERROR(_xludf.NUMBERVALUE('Procyclean BIO'!C331,".",","),IFERROR(_xludf.NUMBERVALUE('Procyclean BIO'!C331,",","."),0))))</f>
        <v/>
      </c>
      <c r="AE330" t="str">
        <f>IF(AA330="","",'Procyclean BIO'!J331)</f>
        <v/>
      </c>
      <c r="AF330">
        <f t="shared" si="47"/>
        <v>0</v>
      </c>
      <c r="AG330" t="str">
        <f t="shared" si="48"/>
        <v/>
      </c>
      <c r="AH330" t="str">
        <f t="shared" si="49"/>
        <v/>
      </c>
      <c r="AI330">
        <f t="shared" si="50"/>
        <v>0</v>
      </c>
      <c r="AJ330">
        <f t="shared" si="51"/>
        <v>0</v>
      </c>
      <c r="AK330">
        <v>0</v>
      </c>
      <c r="AL330" t="str">
        <f>IF(AA330="","",IFERROR(IF(ISNUMBER('Procyclean BIO'!D331),'Procyclean BIO'!D331,IF(ISNUMBER(SEARCH("12",'Procyclean BIO'!D331)),EDATE(AB330,12),IF(ISNUMBER(SEARCH("6",'Procyclean BIO'!D331)),EDATE(AB330,6),IF(ISNUMBER(SEARCH("3",'Procyclean BIO'!D331)),EDATE(AB330,3),DATEVALUE('Procyclean BIO'!D331))))),""))</f>
        <v/>
      </c>
      <c r="AM330" t="str">
        <f t="shared" ca="1" si="52"/>
        <v/>
      </c>
    </row>
    <row r="331" spans="27:39" x14ac:dyDescent="0.3">
      <c r="AA331" t="str">
        <f>IF(COUNTA('Procyclean BIO'!A332,'Procyclean BIO'!B332,'Procyclean BIO'!C332)&gt;0,"BIO","")</f>
        <v/>
      </c>
      <c r="AB331" t="str">
        <f>IFERROR(IF(ISNUMBER('Procyclean BIO'!A332),'Procyclean BIO'!A332,DATEVALUE('Procyclean BIO'!A332)),"")</f>
        <v/>
      </c>
      <c r="AC331" t="str">
        <f>IF(AA331="","",'Procyclean BIO'!B332)</f>
        <v/>
      </c>
      <c r="AD331" t="str">
        <f>IF(AA331="","",IFERROR(1*'Procyclean BIO'!C332,IFERROR(_xludf.NUMBERVALUE('Procyclean BIO'!C332,".",","),IFERROR(_xludf.NUMBERVALUE('Procyclean BIO'!C332,",","."),0))))</f>
        <v/>
      </c>
      <c r="AE331" t="str">
        <f>IF(AA331="","",'Procyclean BIO'!J332)</f>
        <v/>
      </c>
      <c r="AF331">
        <f t="shared" si="47"/>
        <v>0</v>
      </c>
      <c r="AG331" t="str">
        <f t="shared" si="48"/>
        <v/>
      </c>
      <c r="AH331" t="str">
        <f t="shared" si="49"/>
        <v/>
      </c>
      <c r="AI331">
        <f t="shared" si="50"/>
        <v>0</v>
      </c>
      <c r="AJ331">
        <f t="shared" si="51"/>
        <v>0</v>
      </c>
      <c r="AK331">
        <v>0</v>
      </c>
      <c r="AL331" t="str">
        <f>IF(AA331="","",IFERROR(IF(ISNUMBER('Procyclean BIO'!D332),'Procyclean BIO'!D332,IF(ISNUMBER(SEARCH("12",'Procyclean BIO'!D332)),EDATE(AB331,12),IF(ISNUMBER(SEARCH("6",'Procyclean BIO'!D332)),EDATE(AB331,6),IF(ISNUMBER(SEARCH("3",'Procyclean BIO'!D332)),EDATE(AB331,3),DATEVALUE('Procyclean BIO'!D332))))),""))</f>
        <v/>
      </c>
      <c r="AM331" t="str">
        <f t="shared" ca="1" si="52"/>
        <v/>
      </c>
    </row>
    <row r="332" spans="27:39" x14ac:dyDescent="0.3">
      <c r="AA332" t="str">
        <f>IF(COUNTA('Procyclean BIO'!A333,'Procyclean BIO'!B333,'Procyclean BIO'!C333)&gt;0,"BIO","")</f>
        <v/>
      </c>
      <c r="AB332" t="str">
        <f>IFERROR(IF(ISNUMBER('Procyclean BIO'!A333),'Procyclean BIO'!A333,DATEVALUE('Procyclean BIO'!A333)),"")</f>
        <v/>
      </c>
      <c r="AC332" t="str">
        <f>IF(AA332="","",'Procyclean BIO'!B333)</f>
        <v/>
      </c>
      <c r="AD332" t="str">
        <f>IF(AA332="","",IFERROR(1*'Procyclean BIO'!C333,IFERROR(_xludf.NUMBERVALUE('Procyclean BIO'!C333,".",","),IFERROR(_xludf.NUMBERVALUE('Procyclean BIO'!C333,",","."),0))))</f>
        <v/>
      </c>
      <c r="AE332" t="str">
        <f>IF(AA332="","",'Procyclean BIO'!J333)</f>
        <v/>
      </c>
      <c r="AF332">
        <f t="shared" si="47"/>
        <v>0</v>
      </c>
      <c r="AG332" t="str">
        <f t="shared" si="48"/>
        <v/>
      </c>
      <c r="AH332" t="str">
        <f t="shared" si="49"/>
        <v/>
      </c>
      <c r="AI332">
        <f t="shared" si="50"/>
        <v>0</v>
      </c>
      <c r="AJ332">
        <f t="shared" si="51"/>
        <v>0</v>
      </c>
      <c r="AK332">
        <v>0</v>
      </c>
      <c r="AL332" t="str">
        <f>IF(AA332="","",IFERROR(IF(ISNUMBER('Procyclean BIO'!D333),'Procyclean BIO'!D333,IF(ISNUMBER(SEARCH("12",'Procyclean BIO'!D333)),EDATE(AB332,12),IF(ISNUMBER(SEARCH("6",'Procyclean BIO'!D333)),EDATE(AB332,6),IF(ISNUMBER(SEARCH("3",'Procyclean BIO'!D333)),EDATE(AB332,3),DATEVALUE('Procyclean BIO'!D333))))),""))</f>
        <v/>
      </c>
      <c r="AM332" t="str">
        <f t="shared" ca="1" si="52"/>
        <v/>
      </c>
    </row>
    <row r="333" spans="27:39" x14ac:dyDescent="0.3">
      <c r="AA333" t="str">
        <f>IF(COUNTA('Procyclean BIO'!A334,'Procyclean BIO'!B334,'Procyclean BIO'!C334)&gt;0,"BIO","")</f>
        <v/>
      </c>
      <c r="AB333" t="str">
        <f>IFERROR(IF(ISNUMBER('Procyclean BIO'!A334),'Procyclean BIO'!A334,DATEVALUE('Procyclean BIO'!A334)),"")</f>
        <v/>
      </c>
      <c r="AC333" t="str">
        <f>IF(AA333="","",'Procyclean BIO'!B334)</f>
        <v/>
      </c>
      <c r="AD333" t="str">
        <f>IF(AA333="","",IFERROR(1*'Procyclean BIO'!C334,IFERROR(_xludf.NUMBERVALUE('Procyclean BIO'!C334,".",","),IFERROR(_xludf.NUMBERVALUE('Procyclean BIO'!C334,",","."),0))))</f>
        <v/>
      </c>
      <c r="AE333" t="str">
        <f>IF(AA333="","",'Procyclean BIO'!J334)</f>
        <v/>
      </c>
      <c r="AF333">
        <f t="shared" si="47"/>
        <v>0</v>
      </c>
      <c r="AG333" t="str">
        <f t="shared" si="48"/>
        <v/>
      </c>
      <c r="AH333" t="str">
        <f t="shared" si="49"/>
        <v/>
      </c>
      <c r="AI333">
        <f t="shared" si="50"/>
        <v>0</v>
      </c>
      <c r="AJ333">
        <f t="shared" si="51"/>
        <v>0</v>
      </c>
      <c r="AK333">
        <v>0</v>
      </c>
      <c r="AL333" t="str">
        <f>IF(AA333="","",IFERROR(IF(ISNUMBER('Procyclean BIO'!D334),'Procyclean BIO'!D334,IF(ISNUMBER(SEARCH("12",'Procyclean BIO'!D334)),EDATE(AB333,12),IF(ISNUMBER(SEARCH("6",'Procyclean BIO'!D334)),EDATE(AB333,6),IF(ISNUMBER(SEARCH("3",'Procyclean BIO'!D334)),EDATE(AB333,3),DATEVALUE('Procyclean BIO'!D334))))),""))</f>
        <v/>
      </c>
      <c r="AM333" t="str">
        <f t="shared" ca="1" si="52"/>
        <v/>
      </c>
    </row>
    <row r="334" spans="27:39" x14ac:dyDescent="0.3">
      <c r="AA334" t="str">
        <f>IF(COUNTA('Procyclean BIO'!A335,'Procyclean BIO'!B335,'Procyclean BIO'!C335)&gt;0,"BIO","")</f>
        <v/>
      </c>
      <c r="AB334" t="str">
        <f>IFERROR(IF(ISNUMBER('Procyclean BIO'!A335),'Procyclean BIO'!A335,DATEVALUE('Procyclean BIO'!A335)),"")</f>
        <v/>
      </c>
      <c r="AC334" t="str">
        <f>IF(AA334="","",'Procyclean BIO'!B335)</f>
        <v/>
      </c>
      <c r="AD334" t="str">
        <f>IF(AA334="","",IFERROR(1*'Procyclean BIO'!C335,IFERROR(_xludf.NUMBERVALUE('Procyclean BIO'!C335,".",","),IFERROR(_xludf.NUMBERVALUE('Procyclean BIO'!C335,",","."),0))))</f>
        <v/>
      </c>
      <c r="AE334" t="str">
        <f>IF(AA334="","",'Procyclean BIO'!J335)</f>
        <v/>
      </c>
      <c r="AF334">
        <f t="shared" si="47"/>
        <v>0</v>
      </c>
      <c r="AG334" t="str">
        <f t="shared" si="48"/>
        <v/>
      </c>
      <c r="AH334" t="str">
        <f t="shared" si="49"/>
        <v/>
      </c>
      <c r="AI334">
        <f t="shared" si="50"/>
        <v>0</v>
      </c>
      <c r="AJ334">
        <f t="shared" si="51"/>
        <v>0</v>
      </c>
      <c r="AK334">
        <v>0</v>
      </c>
      <c r="AL334" t="str">
        <f>IF(AA334="","",IFERROR(IF(ISNUMBER('Procyclean BIO'!D335),'Procyclean BIO'!D335,IF(ISNUMBER(SEARCH("12",'Procyclean BIO'!D335)),EDATE(AB334,12),IF(ISNUMBER(SEARCH("6",'Procyclean BIO'!D335)),EDATE(AB334,6),IF(ISNUMBER(SEARCH("3",'Procyclean BIO'!D335)),EDATE(AB334,3),DATEVALUE('Procyclean BIO'!D335))))),""))</f>
        <v/>
      </c>
      <c r="AM334" t="str">
        <f t="shared" ca="1" si="52"/>
        <v/>
      </c>
    </row>
    <row r="335" spans="27:39" x14ac:dyDescent="0.3">
      <c r="AA335" t="str">
        <f>IF(COUNTA('Procyclean BIO'!A336,'Procyclean BIO'!B336,'Procyclean BIO'!C336)&gt;0,"BIO","")</f>
        <v/>
      </c>
      <c r="AB335" t="str">
        <f>IFERROR(IF(ISNUMBER('Procyclean BIO'!A336),'Procyclean BIO'!A336,DATEVALUE('Procyclean BIO'!A336)),"")</f>
        <v/>
      </c>
      <c r="AC335" t="str">
        <f>IF(AA335="","",'Procyclean BIO'!B336)</f>
        <v/>
      </c>
      <c r="AD335" t="str">
        <f>IF(AA335="","",IFERROR(1*'Procyclean BIO'!C336,IFERROR(_xludf.NUMBERVALUE('Procyclean BIO'!C336,".",","),IFERROR(_xludf.NUMBERVALUE('Procyclean BIO'!C336,",","."),0))))</f>
        <v/>
      </c>
      <c r="AE335" t="str">
        <f>IF(AA335="","",'Procyclean BIO'!J336)</f>
        <v/>
      </c>
      <c r="AF335">
        <f t="shared" si="47"/>
        <v>0</v>
      </c>
      <c r="AG335" t="str">
        <f t="shared" si="48"/>
        <v/>
      </c>
      <c r="AH335" t="str">
        <f t="shared" si="49"/>
        <v/>
      </c>
      <c r="AI335">
        <f t="shared" si="50"/>
        <v>0</v>
      </c>
      <c r="AJ335">
        <f t="shared" si="51"/>
        <v>0</v>
      </c>
      <c r="AK335">
        <v>0</v>
      </c>
      <c r="AL335" t="str">
        <f>IF(AA335="","",IFERROR(IF(ISNUMBER('Procyclean BIO'!D336),'Procyclean BIO'!D336,IF(ISNUMBER(SEARCH("12",'Procyclean BIO'!D336)),EDATE(AB335,12),IF(ISNUMBER(SEARCH("6",'Procyclean BIO'!D336)),EDATE(AB335,6),IF(ISNUMBER(SEARCH("3",'Procyclean BIO'!D336)),EDATE(AB335,3),DATEVALUE('Procyclean BIO'!D336))))),""))</f>
        <v/>
      </c>
      <c r="AM335" t="str">
        <f t="shared" ca="1" si="52"/>
        <v/>
      </c>
    </row>
    <row r="336" spans="27:39" x14ac:dyDescent="0.3">
      <c r="AA336" t="str">
        <f>IF(COUNTA('Procyclean BIO'!A337,'Procyclean BIO'!B337,'Procyclean BIO'!C337)&gt;0,"BIO","")</f>
        <v/>
      </c>
      <c r="AB336" t="str">
        <f>IFERROR(IF(ISNUMBER('Procyclean BIO'!A337),'Procyclean BIO'!A337,DATEVALUE('Procyclean BIO'!A337)),"")</f>
        <v/>
      </c>
      <c r="AC336" t="str">
        <f>IF(AA336="","",'Procyclean BIO'!B337)</f>
        <v/>
      </c>
      <c r="AD336" t="str">
        <f>IF(AA336="","",IFERROR(1*'Procyclean BIO'!C337,IFERROR(_xludf.NUMBERVALUE('Procyclean BIO'!C337,".",","),IFERROR(_xludf.NUMBERVALUE('Procyclean BIO'!C337,",","."),0))))</f>
        <v/>
      </c>
      <c r="AE336" t="str">
        <f>IF(AA336="","",'Procyclean BIO'!J337)</f>
        <v/>
      </c>
      <c r="AF336">
        <f t="shared" si="47"/>
        <v>0</v>
      </c>
      <c r="AG336" t="str">
        <f t="shared" si="48"/>
        <v/>
      </c>
      <c r="AH336" t="str">
        <f t="shared" si="49"/>
        <v/>
      </c>
      <c r="AI336">
        <f t="shared" si="50"/>
        <v>0</v>
      </c>
      <c r="AJ336">
        <f t="shared" si="51"/>
        <v>0</v>
      </c>
      <c r="AK336">
        <v>0</v>
      </c>
      <c r="AL336" t="str">
        <f>IF(AA336="","",IFERROR(IF(ISNUMBER('Procyclean BIO'!D337),'Procyclean BIO'!D337,IF(ISNUMBER(SEARCH("12",'Procyclean BIO'!D337)),EDATE(AB336,12),IF(ISNUMBER(SEARCH("6",'Procyclean BIO'!D337)),EDATE(AB336,6),IF(ISNUMBER(SEARCH("3",'Procyclean BIO'!D337)),EDATE(AB336,3),DATEVALUE('Procyclean BIO'!D337))))),""))</f>
        <v/>
      </c>
      <c r="AM336" t="str">
        <f t="shared" ca="1" si="52"/>
        <v/>
      </c>
    </row>
    <row r="337" spans="27:39" x14ac:dyDescent="0.3">
      <c r="AA337" t="str">
        <f>IF(COUNTA('Procyclean BIO'!A338,'Procyclean BIO'!B338,'Procyclean BIO'!C338)&gt;0,"BIO","")</f>
        <v/>
      </c>
      <c r="AB337" t="str">
        <f>IFERROR(IF(ISNUMBER('Procyclean BIO'!A338),'Procyclean BIO'!A338,DATEVALUE('Procyclean BIO'!A338)),"")</f>
        <v/>
      </c>
      <c r="AC337" t="str">
        <f>IF(AA337="","",'Procyclean BIO'!B338)</f>
        <v/>
      </c>
      <c r="AD337" t="str">
        <f>IF(AA337="","",IFERROR(1*'Procyclean BIO'!C338,IFERROR(_xludf.NUMBERVALUE('Procyclean BIO'!C338,".",","),IFERROR(_xludf.NUMBERVALUE('Procyclean BIO'!C338,",","."),0))))</f>
        <v/>
      </c>
      <c r="AE337" t="str">
        <f>IF(AA337="","",'Procyclean BIO'!J338)</f>
        <v/>
      </c>
      <c r="AF337">
        <f t="shared" si="47"/>
        <v>0</v>
      </c>
      <c r="AG337" t="str">
        <f t="shared" si="48"/>
        <v/>
      </c>
      <c r="AH337" t="str">
        <f t="shared" si="49"/>
        <v/>
      </c>
      <c r="AI337">
        <f t="shared" si="50"/>
        <v>0</v>
      </c>
      <c r="AJ337">
        <f t="shared" si="51"/>
        <v>0</v>
      </c>
      <c r="AK337">
        <v>0</v>
      </c>
      <c r="AL337" t="str">
        <f>IF(AA337="","",IFERROR(IF(ISNUMBER('Procyclean BIO'!D338),'Procyclean BIO'!D338,IF(ISNUMBER(SEARCH("12",'Procyclean BIO'!D338)),EDATE(AB337,12),IF(ISNUMBER(SEARCH("6",'Procyclean BIO'!D338)),EDATE(AB337,6),IF(ISNUMBER(SEARCH("3",'Procyclean BIO'!D338)),EDATE(AB337,3),DATEVALUE('Procyclean BIO'!D338))))),""))</f>
        <v/>
      </c>
      <c r="AM337" t="str">
        <f t="shared" ca="1" si="52"/>
        <v/>
      </c>
    </row>
    <row r="338" spans="27:39" x14ac:dyDescent="0.3">
      <c r="AA338" t="str">
        <f>IF(COUNTA('Procyclean BIO'!A339,'Procyclean BIO'!B339,'Procyclean BIO'!C339)&gt;0,"BIO","")</f>
        <v/>
      </c>
      <c r="AB338" t="str">
        <f>IFERROR(IF(ISNUMBER('Procyclean BIO'!A339),'Procyclean BIO'!A339,DATEVALUE('Procyclean BIO'!A339)),"")</f>
        <v/>
      </c>
      <c r="AC338" t="str">
        <f>IF(AA338="","",'Procyclean BIO'!B339)</f>
        <v/>
      </c>
      <c r="AD338" t="str">
        <f>IF(AA338="","",IFERROR(1*'Procyclean BIO'!C339,IFERROR(_xludf.NUMBERVALUE('Procyclean BIO'!C339,".",","),IFERROR(_xludf.NUMBERVALUE('Procyclean BIO'!C339,",","."),0))))</f>
        <v/>
      </c>
      <c r="AE338" t="str">
        <f>IF(AA338="","",'Procyclean BIO'!J339)</f>
        <v/>
      </c>
      <c r="AF338">
        <f t="shared" si="47"/>
        <v>0</v>
      </c>
      <c r="AG338" t="str">
        <f t="shared" si="48"/>
        <v/>
      </c>
      <c r="AH338" t="str">
        <f t="shared" si="49"/>
        <v/>
      </c>
      <c r="AI338">
        <f t="shared" si="50"/>
        <v>0</v>
      </c>
      <c r="AJ338">
        <f t="shared" si="51"/>
        <v>0</v>
      </c>
      <c r="AK338">
        <v>0</v>
      </c>
      <c r="AL338" t="str">
        <f>IF(AA338="","",IFERROR(IF(ISNUMBER('Procyclean BIO'!D339),'Procyclean BIO'!D339,IF(ISNUMBER(SEARCH("12",'Procyclean BIO'!D339)),EDATE(AB338,12),IF(ISNUMBER(SEARCH("6",'Procyclean BIO'!D339)),EDATE(AB338,6),IF(ISNUMBER(SEARCH("3",'Procyclean BIO'!D339)),EDATE(AB338,3),DATEVALUE('Procyclean BIO'!D339))))),""))</f>
        <v/>
      </c>
      <c r="AM338" t="str">
        <f t="shared" ca="1" si="52"/>
        <v/>
      </c>
    </row>
    <row r="339" spans="27:39" x14ac:dyDescent="0.3">
      <c r="AA339" t="str">
        <f>IF(COUNTA('Procyclean BIO'!A340,'Procyclean BIO'!B340,'Procyclean BIO'!C340)&gt;0,"BIO","")</f>
        <v/>
      </c>
      <c r="AB339" t="str">
        <f>IFERROR(IF(ISNUMBER('Procyclean BIO'!A340),'Procyclean BIO'!A340,DATEVALUE('Procyclean BIO'!A340)),"")</f>
        <v/>
      </c>
      <c r="AC339" t="str">
        <f>IF(AA339="","",'Procyclean BIO'!B340)</f>
        <v/>
      </c>
      <c r="AD339" t="str">
        <f>IF(AA339="","",IFERROR(1*'Procyclean BIO'!C340,IFERROR(_xludf.NUMBERVALUE('Procyclean BIO'!C340,".",","),IFERROR(_xludf.NUMBERVALUE('Procyclean BIO'!C340,",","."),0))))</f>
        <v/>
      </c>
      <c r="AE339" t="str">
        <f>IF(AA339="","",'Procyclean BIO'!J340)</f>
        <v/>
      </c>
      <c r="AF339">
        <f t="shared" si="47"/>
        <v>0</v>
      </c>
      <c r="AG339" t="str">
        <f t="shared" si="48"/>
        <v/>
      </c>
      <c r="AH339" t="str">
        <f t="shared" si="49"/>
        <v/>
      </c>
      <c r="AI339">
        <f t="shared" si="50"/>
        <v>0</v>
      </c>
      <c r="AJ339">
        <f t="shared" si="51"/>
        <v>0</v>
      </c>
      <c r="AK339">
        <v>0</v>
      </c>
      <c r="AL339" t="str">
        <f>IF(AA339="","",IFERROR(IF(ISNUMBER('Procyclean BIO'!D340),'Procyclean BIO'!D340,IF(ISNUMBER(SEARCH("12",'Procyclean BIO'!D340)),EDATE(AB339,12),IF(ISNUMBER(SEARCH("6",'Procyclean BIO'!D340)),EDATE(AB339,6),IF(ISNUMBER(SEARCH("3",'Procyclean BIO'!D340)),EDATE(AB339,3),DATEVALUE('Procyclean BIO'!D340))))),""))</f>
        <v/>
      </c>
      <c r="AM339" t="str">
        <f t="shared" ca="1" si="52"/>
        <v/>
      </c>
    </row>
    <row r="340" spans="27:39" x14ac:dyDescent="0.3">
      <c r="AA340" t="str">
        <f>IF(COUNTA('Procyclean BIO'!A341,'Procyclean BIO'!B341,'Procyclean BIO'!C341)&gt;0,"BIO","")</f>
        <v/>
      </c>
      <c r="AB340" t="str">
        <f>IFERROR(IF(ISNUMBER('Procyclean BIO'!A341),'Procyclean BIO'!A341,DATEVALUE('Procyclean BIO'!A341)),"")</f>
        <v/>
      </c>
      <c r="AC340" t="str">
        <f>IF(AA340="","",'Procyclean BIO'!B341)</f>
        <v/>
      </c>
      <c r="AD340" t="str">
        <f>IF(AA340="","",IFERROR(1*'Procyclean BIO'!C341,IFERROR(_xludf.NUMBERVALUE('Procyclean BIO'!C341,".",","),IFERROR(_xludf.NUMBERVALUE('Procyclean BIO'!C341,",","."),0))))</f>
        <v/>
      </c>
      <c r="AE340" t="str">
        <f>IF(AA340="","",'Procyclean BIO'!J341)</f>
        <v/>
      </c>
      <c r="AF340">
        <f t="shared" si="47"/>
        <v>0</v>
      </c>
      <c r="AG340" t="str">
        <f t="shared" si="48"/>
        <v/>
      </c>
      <c r="AH340" t="str">
        <f t="shared" si="49"/>
        <v/>
      </c>
      <c r="AI340">
        <f t="shared" si="50"/>
        <v>0</v>
      </c>
      <c r="AJ340">
        <f t="shared" si="51"/>
        <v>0</v>
      </c>
      <c r="AK340">
        <v>0</v>
      </c>
      <c r="AL340" t="str">
        <f>IF(AA340="","",IFERROR(IF(ISNUMBER('Procyclean BIO'!D341),'Procyclean BIO'!D341,IF(ISNUMBER(SEARCH("12",'Procyclean BIO'!D341)),EDATE(AB340,12),IF(ISNUMBER(SEARCH("6",'Procyclean BIO'!D341)),EDATE(AB340,6),IF(ISNUMBER(SEARCH("3",'Procyclean BIO'!D341)),EDATE(AB340,3),DATEVALUE('Procyclean BIO'!D341))))),""))</f>
        <v/>
      </c>
      <c r="AM340" t="str">
        <f t="shared" ca="1" si="52"/>
        <v/>
      </c>
    </row>
    <row r="341" spans="27:39" x14ac:dyDescent="0.3">
      <c r="AA341" t="str">
        <f>IF(COUNTA('Procyclean BIO'!A342,'Procyclean BIO'!B342,'Procyclean BIO'!C342)&gt;0,"BIO","")</f>
        <v/>
      </c>
      <c r="AB341" t="str">
        <f>IFERROR(IF(ISNUMBER('Procyclean BIO'!A342),'Procyclean BIO'!A342,DATEVALUE('Procyclean BIO'!A342)),"")</f>
        <v/>
      </c>
      <c r="AC341" t="str">
        <f>IF(AA341="","",'Procyclean BIO'!B342)</f>
        <v/>
      </c>
      <c r="AD341" t="str">
        <f>IF(AA341="","",IFERROR(1*'Procyclean BIO'!C342,IFERROR(_xludf.NUMBERVALUE('Procyclean BIO'!C342,".",","),IFERROR(_xludf.NUMBERVALUE('Procyclean BIO'!C342,",","."),0))))</f>
        <v/>
      </c>
      <c r="AE341" t="str">
        <f>IF(AA341="","",'Procyclean BIO'!J342)</f>
        <v/>
      </c>
      <c r="AF341">
        <f t="shared" si="47"/>
        <v>0</v>
      </c>
      <c r="AG341" t="str">
        <f t="shared" si="48"/>
        <v/>
      </c>
      <c r="AH341" t="str">
        <f t="shared" si="49"/>
        <v/>
      </c>
      <c r="AI341">
        <f t="shared" si="50"/>
        <v>0</v>
      </c>
      <c r="AJ341">
        <f t="shared" si="51"/>
        <v>0</v>
      </c>
      <c r="AK341">
        <v>0</v>
      </c>
      <c r="AL341" t="str">
        <f>IF(AA341="","",IFERROR(IF(ISNUMBER('Procyclean BIO'!D342),'Procyclean BIO'!D342,IF(ISNUMBER(SEARCH("12",'Procyclean BIO'!D342)),EDATE(AB341,12),IF(ISNUMBER(SEARCH("6",'Procyclean BIO'!D342)),EDATE(AB341,6),IF(ISNUMBER(SEARCH("3",'Procyclean BIO'!D342)),EDATE(AB341,3),DATEVALUE('Procyclean BIO'!D342))))),""))</f>
        <v/>
      </c>
      <c r="AM341" t="str">
        <f t="shared" ca="1" si="52"/>
        <v/>
      </c>
    </row>
    <row r="342" spans="27:39" x14ac:dyDescent="0.3">
      <c r="AA342" t="str">
        <f>IF(COUNTA('Procyclean BIO'!A343,'Procyclean BIO'!B343,'Procyclean BIO'!C343)&gt;0,"BIO","")</f>
        <v/>
      </c>
      <c r="AB342" t="str">
        <f>IFERROR(IF(ISNUMBER('Procyclean BIO'!A343),'Procyclean BIO'!A343,DATEVALUE('Procyclean BIO'!A343)),"")</f>
        <v/>
      </c>
      <c r="AC342" t="str">
        <f>IF(AA342="","",'Procyclean BIO'!B343)</f>
        <v/>
      </c>
      <c r="AD342" t="str">
        <f>IF(AA342="","",IFERROR(1*'Procyclean BIO'!C343,IFERROR(_xludf.NUMBERVALUE('Procyclean BIO'!C343,".",","),IFERROR(_xludf.NUMBERVALUE('Procyclean BIO'!C343,",","."),0))))</f>
        <v/>
      </c>
      <c r="AE342" t="str">
        <f>IF(AA342="","",'Procyclean BIO'!J343)</f>
        <v/>
      </c>
      <c r="AF342">
        <f t="shared" si="47"/>
        <v>0</v>
      </c>
      <c r="AG342" t="str">
        <f t="shared" si="48"/>
        <v/>
      </c>
      <c r="AH342" t="str">
        <f t="shared" si="49"/>
        <v/>
      </c>
      <c r="AI342">
        <f t="shared" si="50"/>
        <v>0</v>
      </c>
      <c r="AJ342">
        <f t="shared" si="51"/>
        <v>0</v>
      </c>
      <c r="AK342">
        <v>0</v>
      </c>
      <c r="AL342" t="str">
        <f>IF(AA342="","",IFERROR(IF(ISNUMBER('Procyclean BIO'!D343),'Procyclean BIO'!D343,IF(ISNUMBER(SEARCH("12",'Procyclean BIO'!D343)),EDATE(AB342,12),IF(ISNUMBER(SEARCH("6",'Procyclean BIO'!D343)),EDATE(AB342,6),IF(ISNUMBER(SEARCH("3",'Procyclean BIO'!D343)),EDATE(AB342,3),DATEVALUE('Procyclean BIO'!D343))))),""))</f>
        <v/>
      </c>
      <c r="AM342" t="str">
        <f t="shared" ca="1" si="52"/>
        <v/>
      </c>
    </row>
    <row r="343" spans="27:39" x14ac:dyDescent="0.3">
      <c r="AA343" t="str">
        <f>IF(COUNTA('Procyclean BIO'!A344,'Procyclean BIO'!B344,'Procyclean BIO'!C344)&gt;0,"BIO","")</f>
        <v/>
      </c>
      <c r="AB343" t="str">
        <f>IFERROR(IF(ISNUMBER('Procyclean BIO'!A344),'Procyclean BIO'!A344,DATEVALUE('Procyclean BIO'!A344)),"")</f>
        <v/>
      </c>
      <c r="AC343" t="str">
        <f>IF(AA343="","",'Procyclean BIO'!B344)</f>
        <v/>
      </c>
      <c r="AD343" t="str">
        <f>IF(AA343="","",IFERROR(1*'Procyclean BIO'!C344,IFERROR(_xludf.NUMBERVALUE('Procyclean BIO'!C344,".",","),IFERROR(_xludf.NUMBERVALUE('Procyclean BIO'!C344,",","."),0))))</f>
        <v/>
      </c>
      <c r="AE343" t="str">
        <f>IF(AA343="","",'Procyclean BIO'!J344)</f>
        <v/>
      </c>
      <c r="AF343">
        <f t="shared" si="47"/>
        <v>0</v>
      </c>
      <c r="AG343" t="str">
        <f t="shared" si="48"/>
        <v/>
      </c>
      <c r="AH343" t="str">
        <f t="shared" si="49"/>
        <v/>
      </c>
      <c r="AI343">
        <f t="shared" si="50"/>
        <v>0</v>
      </c>
      <c r="AJ343">
        <f t="shared" si="51"/>
        <v>0</v>
      </c>
      <c r="AK343">
        <v>0</v>
      </c>
      <c r="AL343" t="str">
        <f>IF(AA343="","",IFERROR(IF(ISNUMBER('Procyclean BIO'!D344),'Procyclean BIO'!D344,IF(ISNUMBER(SEARCH("12",'Procyclean BIO'!D344)),EDATE(AB343,12),IF(ISNUMBER(SEARCH("6",'Procyclean BIO'!D344)),EDATE(AB343,6),IF(ISNUMBER(SEARCH("3",'Procyclean BIO'!D344)),EDATE(AB343,3),DATEVALUE('Procyclean BIO'!D344))))),""))</f>
        <v/>
      </c>
      <c r="AM343" t="str">
        <f t="shared" ca="1" si="52"/>
        <v/>
      </c>
    </row>
    <row r="344" spans="27:39" x14ac:dyDescent="0.3">
      <c r="AA344" t="str">
        <f>IF(COUNTA('Procyclean BIO'!A345,'Procyclean BIO'!B345,'Procyclean BIO'!C345)&gt;0,"BIO","")</f>
        <v/>
      </c>
      <c r="AB344" t="str">
        <f>IFERROR(IF(ISNUMBER('Procyclean BIO'!A345),'Procyclean BIO'!A345,DATEVALUE('Procyclean BIO'!A345)),"")</f>
        <v/>
      </c>
      <c r="AC344" t="str">
        <f>IF(AA344="","",'Procyclean BIO'!B345)</f>
        <v/>
      </c>
      <c r="AD344" t="str">
        <f>IF(AA344="","",IFERROR(1*'Procyclean BIO'!C345,IFERROR(_xludf.NUMBERVALUE('Procyclean BIO'!C345,".",","),IFERROR(_xludf.NUMBERVALUE('Procyclean BIO'!C345,",","."),0))))</f>
        <v/>
      </c>
      <c r="AE344" t="str">
        <f>IF(AA344="","",'Procyclean BIO'!J345)</f>
        <v/>
      </c>
      <c r="AF344">
        <f t="shared" si="47"/>
        <v>0</v>
      </c>
      <c r="AG344" t="str">
        <f t="shared" si="48"/>
        <v/>
      </c>
      <c r="AH344" t="str">
        <f t="shared" si="49"/>
        <v/>
      </c>
      <c r="AI344">
        <f t="shared" si="50"/>
        <v>0</v>
      </c>
      <c r="AJ344">
        <f t="shared" si="51"/>
        <v>0</v>
      </c>
      <c r="AK344">
        <v>0</v>
      </c>
      <c r="AL344" t="str">
        <f>IF(AA344="","",IFERROR(IF(ISNUMBER('Procyclean BIO'!D345),'Procyclean BIO'!D345,IF(ISNUMBER(SEARCH("12",'Procyclean BIO'!D345)),EDATE(AB344,12),IF(ISNUMBER(SEARCH("6",'Procyclean BIO'!D345)),EDATE(AB344,6),IF(ISNUMBER(SEARCH("3",'Procyclean BIO'!D345)),EDATE(AB344,3),DATEVALUE('Procyclean BIO'!D345))))),""))</f>
        <v/>
      </c>
      <c r="AM344" t="str">
        <f t="shared" ca="1" si="52"/>
        <v/>
      </c>
    </row>
    <row r="345" spans="27:39" x14ac:dyDescent="0.3">
      <c r="AA345" t="str">
        <f>IF(COUNTA('Procyclean BIO'!A346,'Procyclean BIO'!B346,'Procyclean BIO'!C346)&gt;0,"BIO","")</f>
        <v/>
      </c>
      <c r="AB345" t="str">
        <f>IFERROR(IF(ISNUMBER('Procyclean BIO'!A346),'Procyclean BIO'!A346,DATEVALUE('Procyclean BIO'!A346)),"")</f>
        <v/>
      </c>
      <c r="AC345" t="str">
        <f>IF(AA345="","",'Procyclean BIO'!B346)</f>
        <v/>
      </c>
      <c r="AD345" t="str">
        <f>IF(AA345="","",IFERROR(1*'Procyclean BIO'!C346,IFERROR(_xludf.NUMBERVALUE('Procyclean BIO'!C346,".",","),IFERROR(_xludf.NUMBERVALUE('Procyclean BIO'!C346,",","."),0))))</f>
        <v/>
      </c>
      <c r="AE345" t="str">
        <f>IF(AA345="","",'Procyclean BIO'!J346)</f>
        <v/>
      </c>
      <c r="AF345">
        <f t="shared" si="47"/>
        <v>0</v>
      </c>
      <c r="AG345" t="str">
        <f t="shared" si="48"/>
        <v/>
      </c>
      <c r="AH345" t="str">
        <f t="shared" si="49"/>
        <v/>
      </c>
      <c r="AI345">
        <f t="shared" si="50"/>
        <v>0</v>
      </c>
      <c r="AJ345">
        <f t="shared" si="51"/>
        <v>0</v>
      </c>
      <c r="AK345">
        <v>0</v>
      </c>
      <c r="AL345" t="str">
        <f>IF(AA345="","",IFERROR(IF(ISNUMBER('Procyclean BIO'!D346),'Procyclean BIO'!D346,IF(ISNUMBER(SEARCH("12",'Procyclean BIO'!D346)),EDATE(AB345,12),IF(ISNUMBER(SEARCH("6",'Procyclean BIO'!D346)),EDATE(AB345,6),IF(ISNUMBER(SEARCH("3",'Procyclean BIO'!D346)),EDATE(AB345,3),DATEVALUE('Procyclean BIO'!D346))))),""))</f>
        <v/>
      </c>
      <c r="AM345" t="str">
        <f t="shared" ca="1" si="52"/>
        <v/>
      </c>
    </row>
    <row r="346" spans="27:39" x14ac:dyDescent="0.3">
      <c r="AA346" t="str">
        <f>IF(COUNTA('Procyclean BIO'!A347,'Procyclean BIO'!B347,'Procyclean BIO'!C347)&gt;0,"BIO","")</f>
        <v/>
      </c>
      <c r="AB346" t="str">
        <f>IFERROR(IF(ISNUMBER('Procyclean BIO'!A347),'Procyclean BIO'!A347,DATEVALUE('Procyclean BIO'!A347)),"")</f>
        <v/>
      </c>
      <c r="AC346" t="str">
        <f>IF(AA346="","",'Procyclean BIO'!B347)</f>
        <v/>
      </c>
      <c r="AD346" t="str">
        <f>IF(AA346="","",IFERROR(1*'Procyclean BIO'!C347,IFERROR(_xludf.NUMBERVALUE('Procyclean BIO'!C347,".",","),IFERROR(_xludf.NUMBERVALUE('Procyclean BIO'!C347,",","."),0))))</f>
        <v/>
      </c>
      <c r="AE346" t="str">
        <f>IF(AA346="","",'Procyclean BIO'!J347)</f>
        <v/>
      </c>
      <c r="AF346">
        <f t="shared" si="47"/>
        <v>0</v>
      </c>
      <c r="AG346" t="str">
        <f t="shared" si="48"/>
        <v/>
      </c>
      <c r="AH346" t="str">
        <f t="shared" si="49"/>
        <v/>
      </c>
      <c r="AI346">
        <f t="shared" si="50"/>
        <v>0</v>
      </c>
      <c r="AJ346">
        <f t="shared" si="51"/>
        <v>0</v>
      </c>
      <c r="AK346">
        <v>0</v>
      </c>
      <c r="AL346" t="str">
        <f>IF(AA346="","",IFERROR(IF(ISNUMBER('Procyclean BIO'!D347),'Procyclean BIO'!D347,IF(ISNUMBER(SEARCH("12",'Procyclean BIO'!D347)),EDATE(AB346,12),IF(ISNUMBER(SEARCH("6",'Procyclean BIO'!D347)),EDATE(AB346,6),IF(ISNUMBER(SEARCH("3",'Procyclean BIO'!D347)),EDATE(AB346,3),DATEVALUE('Procyclean BIO'!D347))))),""))</f>
        <v/>
      </c>
      <c r="AM346" t="str">
        <f t="shared" ca="1" si="52"/>
        <v/>
      </c>
    </row>
    <row r="347" spans="27:39" x14ac:dyDescent="0.3">
      <c r="AA347" t="str">
        <f>IF(COUNTA('Procyclean BIO'!A348,'Procyclean BIO'!B348,'Procyclean BIO'!C348)&gt;0,"BIO","")</f>
        <v/>
      </c>
      <c r="AB347" t="str">
        <f>IFERROR(IF(ISNUMBER('Procyclean BIO'!A348),'Procyclean BIO'!A348,DATEVALUE('Procyclean BIO'!A348)),"")</f>
        <v/>
      </c>
      <c r="AC347" t="str">
        <f>IF(AA347="","",'Procyclean BIO'!B348)</f>
        <v/>
      </c>
      <c r="AD347" t="str">
        <f>IF(AA347="","",IFERROR(1*'Procyclean BIO'!C348,IFERROR(_xludf.NUMBERVALUE('Procyclean BIO'!C348,".",","),IFERROR(_xludf.NUMBERVALUE('Procyclean BIO'!C348,",","."),0))))</f>
        <v/>
      </c>
      <c r="AE347" t="str">
        <f>IF(AA347="","",'Procyclean BIO'!J348)</f>
        <v/>
      </c>
      <c r="AF347">
        <f t="shared" si="47"/>
        <v>0</v>
      </c>
      <c r="AG347" t="str">
        <f t="shared" si="48"/>
        <v/>
      </c>
      <c r="AH347" t="str">
        <f t="shared" si="49"/>
        <v/>
      </c>
      <c r="AI347">
        <f t="shared" si="50"/>
        <v>0</v>
      </c>
      <c r="AJ347">
        <f t="shared" si="51"/>
        <v>0</v>
      </c>
      <c r="AK347">
        <v>0</v>
      </c>
      <c r="AL347" t="str">
        <f>IF(AA347="","",IFERROR(IF(ISNUMBER('Procyclean BIO'!D348),'Procyclean BIO'!D348,IF(ISNUMBER(SEARCH("12",'Procyclean BIO'!D348)),EDATE(AB347,12),IF(ISNUMBER(SEARCH("6",'Procyclean BIO'!D348)),EDATE(AB347,6),IF(ISNUMBER(SEARCH("3",'Procyclean BIO'!D348)),EDATE(AB347,3),DATEVALUE('Procyclean BIO'!D348))))),""))</f>
        <v/>
      </c>
      <c r="AM347" t="str">
        <f t="shared" ca="1" si="52"/>
        <v/>
      </c>
    </row>
    <row r="348" spans="27:39" x14ac:dyDescent="0.3">
      <c r="AA348" t="str">
        <f>IF(COUNTA('Procyclean BIO'!A349,'Procyclean BIO'!B349,'Procyclean BIO'!C349)&gt;0,"BIO","")</f>
        <v/>
      </c>
      <c r="AB348" t="str">
        <f>IFERROR(IF(ISNUMBER('Procyclean BIO'!A349),'Procyclean BIO'!A349,DATEVALUE('Procyclean BIO'!A349)),"")</f>
        <v/>
      </c>
      <c r="AC348" t="str">
        <f>IF(AA348="","",'Procyclean BIO'!B349)</f>
        <v/>
      </c>
      <c r="AD348" t="str">
        <f>IF(AA348="","",IFERROR(1*'Procyclean BIO'!C349,IFERROR(_xludf.NUMBERVALUE('Procyclean BIO'!C349,".",","),IFERROR(_xludf.NUMBERVALUE('Procyclean BIO'!C349,",","."),0))))</f>
        <v/>
      </c>
      <c r="AE348" t="str">
        <f>IF(AA348="","",'Procyclean BIO'!J349)</f>
        <v/>
      </c>
      <c r="AF348">
        <f t="shared" si="47"/>
        <v>0</v>
      </c>
      <c r="AG348" t="str">
        <f t="shared" si="48"/>
        <v/>
      </c>
      <c r="AH348" t="str">
        <f t="shared" si="49"/>
        <v/>
      </c>
      <c r="AI348">
        <f t="shared" si="50"/>
        <v>0</v>
      </c>
      <c r="AJ348">
        <f t="shared" si="51"/>
        <v>0</v>
      </c>
      <c r="AK348">
        <v>0</v>
      </c>
      <c r="AL348" t="str">
        <f>IF(AA348="","",IFERROR(IF(ISNUMBER('Procyclean BIO'!D349),'Procyclean BIO'!D349,IF(ISNUMBER(SEARCH("12",'Procyclean BIO'!D349)),EDATE(AB348,12),IF(ISNUMBER(SEARCH("6",'Procyclean BIO'!D349)),EDATE(AB348,6),IF(ISNUMBER(SEARCH("3",'Procyclean BIO'!D349)),EDATE(AB348,3),DATEVALUE('Procyclean BIO'!D349))))),""))</f>
        <v/>
      </c>
      <c r="AM348" t="str">
        <f t="shared" ca="1" si="52"/>
        <v/>
      </c>
    </row>
    <row r="349" spans="27:39" x14ac:dyDescent="0.3">
      <c r="AA349" t="str">
        <f>IF(COUNTA('Procyclean BIO'!A350,'Procyclean BIO'!B350,'Procyclean BIO'!C350)&gt;0,"BIO","")</f>
        <v/>
      </c>
      <c r="AB349" t="str">
        <f>IFERROR(IF(ISNUMBER('Procyclean BIO'!A350),'Procyclean BIO'!A350,DATEVALUE('Procyclean BIO'!A350)),"")</f>
        <v/>
      </c>
      <c r="AC349" t="str">
        <f>IF(AA349="","",'Procyclean BIO'!B350)</f>
        <v/>
      </c>
      <c r="AD349" t="str">
        <f>IF(AA349="","",IFERROR(1*'Procyclean BIO'!C350,IFERROR(_xludf.NUMBERVALUE('Procyclean BIO'!C350,".",","),IFERROR(_xludf.NUMBERVALUE('Procyclean BIO'!C350,",","."),0))))</f>
        <v/>
      </c>
      <c r="AE349" t="str">
        <f>IF(AA349="","",'Procyclean BIO'!J350)</f>
        <v/>
      </c>
      <c r="AF349">
        <f t="shared" si="47"/>
        <v>0</v>
      </c>
      <c r="AG349" t="str">
        <f t="shared" si="48"/>
        <v/>
      </c>
      <c r="AH349" t="str">
        <f t="shared" si="49"/>
        <v/>
      </c>
      <c r="AI349">
        <f t="shared" si="50"/>
        <v>0</v>
      </c>
      <c r="AJ349">
        <f t="shared" si="51"/>
        <v>0</v>
      </c>
      <c r="AK349">
        <v>0</v>
      </c>
      <c r="AL349" t="str">
        <f>IF(AA349="","",IFERROR(IF(ISNUMBER('Procyclean BIO'!D350),'Procyclean BIO'!D350,IF(ISNUMBER(SEARCH("12",'Procyclean BIO'!D350)),EDATE(AB349,12),IF(ISNUMBER(SEARCH("6",'Procyclean BIO'!D350)),EDATE(AB349,6),IF(ISNUMBER(SEARCH("3",'Procyclean BIO'!D350)),EDATE(AB349,3),DATEVALUE('Procyclean BIO'!D350))))),""))</f>
        <v/>
      </c>
      <c r="AM349" t="str">
        <f t="shared" ca="1" si="52"/>
        <v/>
      </c>
    </row>
    <row r="350" spans="27:39" x14ac:dyDescent="0.3">
      <c r="AA350" t="str">
        <f>IF(COUNTA('Procyclean BIO'!A351,'Procyclean BIO'!B351,'Procyclean BIO'!C351)&gt;0,"BIO","")</f>
        <v/>
      </c>
      <c r="AB350" t="str">
        <f>IFERROR(IF(ISNUMBER('Procyclean BIO'!A351),'Procyclean BIO'!A351,DATEVALUE('Procyclean BIO'!A351)),"")</f>
        <v/>
      </c>
      <c r="AC350" t="str">
        <f>IF(AA350="","",'Procyclean BIO'!B351)</f>
        <v/>
      </c>
      <c r="AD350" t="str">
        <f>IF(AA350="","",IFERROR(1*'Procyclean BIO'!C351,IFERROR(_xludf.NUMBERVALUE('Procyclean BIO'!C351,".",","),IFERROR(_xludf.NUMBERVALUE('Procyclean BIO'!C351,",","."),0))))</f>
        <v/>
      </c>
      <c r="AE350" t="str">
        <f>IF(AA350="","",'Procyclean BIO'!J351)</f>
        <v/>
      </c>
      <c r="AF350">
        <f t="shared" si="47"/>
        <v>0</v>
      </c>
      <c r="AG350" t="str">
        <f t="shared" si="48"/>
        <v/>
      </c>
      <c r="AH350" t="str">
        <f t="shared" si="49"/>
        <v/>
      </c>
      <c r="AI350">
        <f t="shared" si="50"/>
        <v>0</v>
      </c>
      <c r="AJ350">
        <f t="shared" si="51"/>
        <v>0</v>
      </c>
      <c r="AK350">
        <v>0</v>
      </c>
      <c r="AL350" t="str">
        <f>IF(AA350="","",IFERROR(IF(ISNUMBER('Procyclean BIO'!D351),'Procyclean BIO'!D351,IF(ISNUMBER(SEARCH("12",'Procyclean BIO'!D351)),EDATE(AB350,12),IF(ISNUMBER(SEARCH("6",'Procyclean BIO'!D351)),EDATE(AB350,6),IF(ISNUMBER(SEARCH("3",'Procyclean BIO'!D351)),EDATE(AB350,3),DATEVALUE('Procyclean BIO'!D351))))),""))</f>
        <v/>
      </c>
      <c r="AM350" t="str">
        <f t="shared" ca="1" si="52"/>
        <v/>
      </c>
    </row>
    <row r="351" spans="27:39" x14ac:dyDescent="0.3">
      <c r="AA351" t="str">
        <f>IF(COUNTA('Procyclean BIO'!A352,'Procyclean BIO'!B352,'Procyclean BIO'!C352)&gt;0,"BIO","")</f>
        <v/>
      </c>
      <c r="AB351" t="str">
        <f>IFERROR(IF(ISNUMBER('Procyclean BIO'!A352),'Procyclean BIO'!A352,DATEVALUE('Procyclean BIO'!A352)),"")</f>
        <v/>
      </c>
      <c r="AC351" t="str">
        <f>IF(AA351="","",'Procyclean BIO'!B352)</f>
        <v/>
      </c>
      <c r="AD351" t="str">
        <f>IF(AA351="","",IFERROR(1*'Procyclean BIO'!C352,IFERROR(_xludf.NUMBERVALUE('Procyclean BIO'!C352,".",","),IFERROR(_xludf.NUMBERVALUE('Procyclean BIO'!C352,",","."),0))))</f>
        <v/>
      </c>
      <c r="AE351" t="str">
        <f>IF(AA351="","",'Procyclean BIO'!J352)</f>
        <v/>
      </c>
      <c r="AF351">
        <f t="shared" si="47"/>
        <v>0</v>
      </c>
      <c r="AG351" t="str">
        <f t="shared" si="48"/>
        <v/>
      </c>
      <c r="AH351" t="str">
        <f t="shared" si="49"/>
        <v/>
      </c>
      <c r="AI351">
        <f t="shared" si="50"/>
        <v>0</v>
      </c>
      <c r="AJ351">
        <f t="shared" si="51"/>
        <v>0</v>
      </c>
      <c r="AK351">
        <v>0</v>
      </c>
      <c r="AL351" t="str">
        <f>IF(AA351="","",IFERROR(IF(ISNUMBER('Procyclean BIO'!D352),'Procyclean BIO'!D352,IF(ISNUMBER(SEARCH("12",'Procyclean BIO'!D352)),EDATE(AB351,12),IF(ISNUMBER(SEARCH("6",'Procyclean BIO'!D352)),EDATE(AB351,6),IF(ISNUMBER(SEARCH("3",'Procyclean BIO'!D352)),EDATE(AB351,3),DATEVALUE('Procyclean BIO'!D352))))),""))</f>
        <v/>
      </c>
      <c r="AM351" t="str">
        <f t="shared" ca="1" si="52"/>
        <v/>
      </c>
    </row>
    <row r="352" spans="27:39" x14ac:dyDescent="0.3">
      <c r="AA352" t="str">
        <f>IF(COUNTA('Procyclean BIO'!A353,'Procyclean BIO'!B353,'Procyclean BIO'!C353)&gt;0,"BIO","")</f>
        <v/>
      </c>
      <c r="AB352" t="str">
        <f>IFERROR(IF(ISNUMBER('Procyclean BIO'!A353),'Procyclean BIO'!A353,DATEVALUE('Procyclean BIO'!A353)),"")</f>
        <v/>
      </c>
      <c r="AC352" t="str">
        <f>IF(AA352="","",'Procyclean BIO'!B353)</f>
        <v/>
      </c>
      <c r="AD352" t="str">
        <f>IF(AA352="","",IFERROR(1*'Procyclean BIO'!C353,IFERROR(_xludf.NUMBERVALUE('Procyclean BIO'!C353,".",","),IFERROR(_xludf.NUMBERVALUE('Procyclean BIO'!C353,",","."),0))))</f>
        <v/>
      </c>
      <c r="AE352" t="str">
        <f>IF(AA352="","",'Procyclean BIO'!J353)</f>
        <v/>
      </c>
      <c r="AF352">
        <f t="shared" si="47"/>
        <v>0</v>
      </c>
      <c r="AG352" t="str">
        <f t="shared" si="48"/>
        <v/>
      </c>
      <c r="AH352" t="str">
        <f t="shared" si="49"/>
        <v/>
      </c>
      <c r="AI352">
        <f t="shared" si="50"/>
        <v>0</v>
      </c>
      <c r="AJ352">
        <f t="shared" si="51"/>
        <v>0</v>
      </c>
      <c r="AK352">
        <v>0</v>
      </c>
      <c r="AL352" t="str">
        <f>IF(AA352="","",IFERROR(IF(ISNUMBER('Procyclean BIO'!D353),'Procyclean BIO'!D353,IF(ISNUMBER(SEARCH("12",'Procyclean BIO'!D353)),EDATE(AB352,12),IF(ISNUMBER(SEARCH("6",'Procyclean BIO'!D353)),EDATE(AB352,6),IF(ISNUMBER(SEARCH("3",'Procyclean BIO'!D353)),EDATE(AB352,3),DATEVALUE('Procyclean BIO'!D353))))),""))</f>
        <v/>
      </c>
      <c r="AM352" t="str">
        <f t="shared" ca="1" si="52"/>
        <v/>
      </c>
    </row>
    <row r="353" spans="27:39" x14ac:dyDescent="0.3">
      <c r="AA353" t="str">
        <f>IF(COUNTA('Procyclean BIO'!A354,'Procyclean BIO'!B354,'Procyclean BIO'!C354)&gt;0,"BIO","")</f>
        <v/>
      </c>
      <c r="AB353" t="str">
        <f>IFERROR(IF(ISNUMBER('Procyclean BIO'!A354),'Procyclean BIO'!A354,DATEVALUE('Procyclean BIO'!A354)),"")</f>
        <v/>
      </c>
      <c r="AC353" t="str">
        <f>IF(AA353="","",'Procyclean BIO'!B354)</f>
        <v/>
      </c>
      <c r="AD353" t="str">
        <f>IF(AA353="","",IFERROR(1*'Procyclean BIO'!C354,IFERROR(_xludf.NUMBERVALUE('Procyclean BIO'!C354,".",","),IFERROR(_xludf.NUMBERVALUE('Procyclean BIO'!C354,",","."),0))))</f>
        <v/>
      </c>
      <c r="AE353" t="str">
        <f>IF(AA353="","",'Procyclean BIO'!J354)</f>
        <v/>
      </c>
      <c r="AF353">
        <f t="shared" si="47"/>
        <v>0</v>
      </c>
      <c r="AG353" t="str">
        <f t="shared" si="48"/>
        <v/>
      </c>
      <c r="AH353" t="str">
        <f t="shared" si="49"/>
        <v/>
      </c>
      <c r="AI353">
        <f t="shared" si="50"/>
        <v>0</v>
      </c>
      <c r="AJ353">
        <f t="shared" si="51"/>
        <v>0</v>
      </c>
      <c r="AK353">
        <v>0</v>
      </c>
      <c r="AL353" t="str">
        <f>IF(AA353="","",IFERROR(IF(ISNUMBER('Procyclean BIO'!D354),'Procyclean BIO'!D354,IF(ISNUMBER(SEARCH("12",'Procyclean BIO'!D354)),EDATE(AB353,12),IF(ISNUMBER(SEARCH("6",'Procyclean BIO'!D354)),EDATE(AB353,6),IF(ISNUMBER(SEARCH("3",'Procyclean BIO'!D354)),EDATE(AB353,3),DATEVALUE('Procyclean BIO'!D354))))),""))</f>
        <v/>
      </c>
      <c r="AM353" t="str">
        <f t="shared" ca="1" si="52"/>
        <v/>
      </c>
    </row>
    <row r="354" spans="27:39" x14ac:dyDescent="0.3">
      <c r="AA354" t="str">
        <f>IF(COUNTA('Procyclean BIO'!A355,'Procyclean BIO'!B355,'Procyclean BIO'!C355)&gt;0,"BIO","")</f>
        <v/>
      </c>
      <c r="AB354" t="str">
        <f>IFERROR(IF(ISNUMBER('Procyclean BIO'!A355),'Procyclean BIO'!A355,DATEVALUE('Procyclean BIO'!A355)),"")</f>
        <v/>
      </c>
      <c r="AC354" t="str">
        <f>IF(AA354="","",'Procyclean BIO'!B355)</f>
        <v/>
      </c>
      <c r="AD354" t="str">
        <f>IF(AA354="","",IFERROR(1*'Procyclean BIO'!C355,IFERROR(_xludf.NUMBERVALUE('Procyclean BIO'!C355,".",","),IFERROR(_xludf.NUMBERVALUE('Procyclean BIO'!C355,",","."),0))))</f>
        <v/>
      </c>
      <c r="AE354" t="str">
        <f>IF(AA354="","",'Procyclean BIO'!J355)</f>
        <v/>
      </c>
      <c r="AF354">
        <f t="shared" si="47"/>
        <v>0</v>
      </c>
      <c r="AG354" t="str">
        <f t="shared" si="48"/>
        <v/>
      </c>
      <c r="AH354" t="str">
        <f t="shared" si="49"/>
        <v/>
      </c>
      <c r="AI354">
        <f t="shared" si="50"/>
        <v>0</v>
      </c>
      <c r="AJ354">
        <f t="shared" si="51"/>
        <v>0</v>
      </c>
      <c r="AK354">
        <v>0</v>
      </c>
      <c r="AL354" t="str">
        <f>IF(AA354="","",IFERROR(IF(ISNUMBER('Procyclean BIO'!D355),'Procyclean BIO'!D355,IF(ISNUMBER(SEARCH("12",'Procyclean BIO'!D355)),EDATE(AB354,12),IF(ISNUMBER(SEARCH("6",'Procyclean BIO'!D355)),EDATE(AB354,6),IF(ISNUMBER(SEARCH("3",'Procyclean BIO'!D355)),EDATE(AB354,3),DATEVALUE('Procyclean BIO'!D355))))),""))</f>
        <v/>
      </c>
      <c r="AM354" t="str">
        <f t="shared" ca="1" si="52"/>
        <v/>
      </c>
    </row>
    <row r="355" spans="27:39" x14ac:dyDescent="0.3">
      <c r="AA355" t="str">
        <f>IF(COUNTA('Procyclean BIO'!A356,'Procyclean BIO'!B356,'Procyclean BIO'!C356)&gt;0,"BIO","")</f>
        <v/>
      </c>
      <c r="AB355" t="str">
        <f>IFERROR(IF(ISNUMBER('Procyclean BIO'!A356),'Procyclean BIO'!A356,DATEVALUE('Procyclean BIO'!A356)),"")</f>
        <v/>
      </c>
      <c r="AC355" t="str">
        <f>IF(AA355="","",'Procyclean BIO'!B356)</f>
        <v/>
      </c>
      <c r="AD355" t="str">
        <f>IF(AA355="","",IFERROR(1*'Procyclean BIO'!C356,IFERROR(_xludf.NUMBERVALUE('Procyclean BIO'!C356,".",","),IFERROR(_xludf.NUMBERVALUE('Procyclean BIO'!C356,",","."),0))))</f>
        <v/>
      </c>
      <c r="AE355" t="str">
        <f>IF(AA355="","",'Procyclean BIO'!J356)</f>
        <v/>
      </c>
      <c r="AF355">
        <f t="shared" si="47"/>
        <v>0</v>
      </c>
      <c r="AG355" t="str">
        <f t="shared" si="48"/>
        <v/>
      </c>
      <c r="AH355" t="str">
        <f t="shared" si="49"/>
        <v/>
      </c>
      <c r="AI355">
        <f t="shared" si="50"/>
        <v>0</v>
      </c>
      <c r="AJ355">
        <f t="shared" si="51"/>
        <v>0</v>
      </c>
      <c r="AK355">
        <v>0</v>
      </c>
      <c r="AL355" t="str">
        <f>IF(AA355="","",IFERROR(IF(ISNUMBER('Procyclean BIO'!D356),'Procyclean BIO'!D356,IF(ISNUMBER(SEARCH("12",'Procyclean BIO'!D356)),EDATE(AB355,12),IF(ISNUMBER(SEARCH("6",'Procyclean BIO'!D356)),EDATE(AB355,6),IF(ISNUMBER(SEARCH("3",'Procyclean BIO'!D356)),EDATE(AB355,3),DATEVALUE('Procyclean BIO'!D356))))),""))</f>
        <v/>
      </c>
      <c r="AM355" t="str">
        <f t="shared" ca="1" si="52"/>
        <v/>
      </c>
    </row>
    <row r="356" spans="27:39" x14ac:dyDescent="0.3">
      <c r="AA356" t="str">
        <f>IF(COUNTA('Procyclean BIO'!A357,'Procyclean BIO'!B357,'Procyclean BIO'!C357)&gt;0,"BIO","")</f>
        <v/>
      </c>
      <c r="AB356" t="str">
        <f>IFERROR(IF(ISNUMBER('Procyclean BIO'!A357),'Procyclean BIO'!A357,DATEVALUE('Procyclean BIO'!A357)),"")</f>
        <v/>
      </c>
      <c r="AC356" t="str">
        <f>IF(AA356="","",'Procyclean BIO'!B357)</f>
        <v/>
      </c>
      <c r="AD356" t="str">
        <f>IF(AA356="","",IFERROR(1*'Procyclean BIO'!C357,IFERROR(_xludf.NUMBERVALUE('Procyclean BIO'!C357,".",","),IFERROR(_xludf.NUMBERVALUE('Procyclean BIO'!C357,",","."),0))))</f>
        <v/>
      </c>
      <c r="AE356" t="str">
        <f>IF(AA356="","",'Procyclean BIO'!J357)</f>
        <v/>
      </c>
      <c r="AF356">
        <f t="shared" si="47"/>
        <v>0</v>
      </c>
      <c r="AG356" t="str">
        <f t="shared" si="48"/>
        <v/>
      </c>
      <c r="AH356" t="str">
        <f t="shared" si="49"/>
        <v/>
      </c>
      <c r="AI356">
        <f t="shared" si="50"/>
        <v>0</v>
      </c>
      <c r="AJ356">
        <f t="shared" si="51"/>
        <v>0</v>
      </c>
      <c r="AK356">
        <v>0</v>
      </c>
      <c r="AL356" t="str">
        <f>IF(AA356="","",IFERROR(IF(ISNUMBER('Procyclean BIO'!D357),'Procyclean BIO'!D357,IF(ISNUMBER(SEARCH("12",'Procyclean BIO'!D357)),EDATE(AB356,12),IF(ISNUMBER(SEARCH("6",'Procyclean BIO'!D357)),EDATE(AB356,6),IF(ISNUMBER(SEARCH("3",'Procyclean BIO'!D357)),EDATE(AB356,3),DATEVALUE('Procyclean BIO'!D357))))),""))</f>
        <v/>
      </c>
      <c r="AM356" t="str">
        <f t="shared" ca="1" si="52"/>
        <v/>
      </c>
    </row>
    <row r="357" spans="27:39" x14ac:dyDescent="0.3">
      <c r="AA357" t="str">
        <f>IF(COUNTA('Procyclean BIO'!A358,'Procyclean BIO'!B358,'Procyclean BIO'!C358)&gt;0,"BIO","")</f>
        <v/>
      </c>
      <c r="AB357" t="str">
        <f>IFERROR(IF(ISNUMBER('Procyclean BIO'!A358),'Procyclean BIO'!A358,DATEVALUE('Procyclean BIO'!A358)),"")</f>
        <v/>
      </c>
      <c r="AC357" t="str">
        <f>IF(AA357="","",'Procyclean BIO'!B358)</f>
        <v/>
      </c>
      <c r="AD357" t="str">
        <f>IF(AA357="","",IFERROR(1*'Procyclean BIO'!C358,IFERROR(_xludf.NUMBERVALUE('Procyclean BIO'!C358,".",","),IFERROR(_xludf.NUMBERVALUE('Procyclean BIO'!C358,",","."),0))))</f>
        <v/>
      </c>
      <c r="AE357" t="str">
        <f>IF(AA357="","",'Procyclean BIO'!J358)</f>
        <v/>
      </c>
      <c r="AF357">
        <f t="shared" si="47"/>
        <v>0</v>
      </c>
      <c r="AG357" t="str">
        <f t="shared" si="48"/>
        <v/>
      </c>
      <c r="AH357" t="str">
        <f t="shared" si="49"/>
        <v/>
      </c>
      <c r="AI357">
        <f t="shared" si="50"/>
        <v>0</v>
      </c>
      <c r="AJ357">
        <f t="shared" si="51"/>
        <v>0</v>
      </c>
      <c r="AK357">
        <v>0</v>
      </c>
      <c r="AL357" t="str">
        <f>IF(AA357="","",IFERROR(IF(ISNUMBER('Procyclean BIO'!D358),'Procyclean BIO'!D358,IF(ISNUMBER(SEARCH("12",'Procyclean BIO'!D358)),EDATE(AB357,12),IF(ISNUMBER(SEARCH("6",'Procyclean BIO'!D358)),EDATE(AB357,6),IF(ISNUMBER(SEARCH("3",'Procyclean BIO'!D358)),EDATE(AB357,3),DATEVALUE('Procyclean BIO'!D358))))),""))</f>
        <v/>
      </c>
      <c r="AM357" t="str">
        <f t="shared" ca="1" si="52"/>
        <v/>
      </c>
    </row>
    <row r="358" spans="27:39" x14ac:dyDescent="0.3">
      <c r="AA358" t="str">
        <f>IF(COUNTA('Procyclean BIO'!A359,'Procyclean BIO'!B359,'Procyclean BIO'!C359)&gt;0,"BIO","")</f>
        <v/>
      </c>
      <c r="AB358" t="str">
        <f>IFERROR(IF(ISNUMBER('Procyclean BIO'!A359),'Procyclean BIO'!A359,DATEVALUE('Procyclean BIO'!A359)),"")</f>
        <v/>
      </c>
      <c r="AC358" t="str">
        <f>IF(AA358="","",'Procyclean BIO'!B359)</f>
        <v/>
      </c>
      <c r="AD358" t="str">
        <f>IF(AA358="","",IFERROR(1*'Procyclean BIO'!C359,IFERROR(_xludf.NUMBERVALUE('Procyclean BIO'!C359,".",","),IFERROR(_xludf.NUMBERVALUE('Procyclean BIO'!C359,",","."),0))))</f>
        <v/>
      </c>
      <c r="AE358" t="str">
        <f>IF(AA358="","",'Procyclean BIO'!J359)</f>
        <v/>
      </c>
      <c r="AF358">
        <f t="shared" si="47"/>
        <v>0</v>
      </c>
      <c r="AG358" t="str">
        <f t="shared" si="48"/>
        <v/>
      </c>
      <c r="AH358" t="str">
        <f t="shared" si="49"/>
        <v/>
      </c>
      <c r="AI358">
        <f t="shared" si="50"/>
        <v>0</v>
      </c>
      <c r="AJ358">
        <f t="shared" si="51"/>
        <v>0</v>
      </c>
      <c r="AK358">
        <v>0</v>
      </c>
      <c r="AL358" t="str">
        <f>IF(AA358="","",IFERROR(IF(ISNUMBER('Procyclean BIO'!D359),'Procyclean BIO'!D359,IF(ISNUMBER(SEARCH("12",'Procyclean BIO'!D359)),EDATE(AB358,12),IF(ISNUMBER(SEARCH("6",'Procyclean BIO'!D359)),EDATE(AB358,6),IF(ISNUMBER(SEARCH("3",'Procyclean BIO'!D359)),EDATE(AB358,3),DATEVALUE('Procyclean BIO'!D359))))),""))</f>
        <v/>
      </c>
      <c r="AM358" t="str">
        <f t="shared" ca="1" si="52"/>
        <v/>
      </c>
    </row>
    <row r="359" spans="27:39" x14ac:dyDescent="0.3">
      <c r="AA359" t="str">
        <f>IF(COUNTA('Procyclean BIO'!A360,'Procyclean BIO'!B360,'Procyclean BIO'!C360)&gt;0,"BIO","")</f>
        <v/>
      </c>
      <c r="AB359" t="str">
        <f>IFERROR(IF(ISNUMBER('Procyclean BIO'!A360),'Procyclean BIO'!A360,DATEVALUE('Procyclean BIO'!A360)),"")</f>
        <v/>
      </c>
      <c r="AC359" t="str">
        <f>IF(AA359="","",'Procyclean BIO'!B360)</f>
        <v/>
      </c>
      <c r="AD359" t="str">
        <f>IF(AA359="","",IFERROR(1*'Procyclean BIO'!C360,IFERROR(_xludf.NUMBERVALUE('Procyclean BIO'!C360,".",","),IFERROR(_xludf.NUMBERVALUE('Procyclean BIO'!C360,",","."),0))))</f>
        <v/>
      </c>
      <c r="AE359" t="str">
        <f>IF(AA359="","",'Procyclean BIO'!J360)</f>
        <v/>
      </c>
      <c r="AF359">
        <f t="shared" si="47"/>
        <v>0</v>
      </c>
      <c r="AG359" t="str">
        <f t="shared" si="48"/>
        <v/>
      </c>
      <c r="AH359" t="str">
        <f t="shared" si="49"/>
        <v/>
      </c>
      <c r="AI359">
        <f t="shared" si="50"/>
        <v>0</v>
      </c>
      <c r="AJ359">
        <f t="shared" si="51"/>
        <v>0</v>
      </c>
      <c r="AK359">
        <v>0</v>
      </c>
      <c r="AL359" t="str">
        <f>IF(AA359="","",IFERROR(IF(ISNUMBER('Procyclean BIO'!D360),'Procyclean BIO'!D360,IF(ISNUMBER(SEARCH("12",'Procyclean BIO'!D360)),EDATE(AB359,12),IF(ISNUMBER(SEARCH("6",'Procyclean BIO'!D360)),EDATE(AB359,6),IF(ISNUMBER(SEARCH("3",'Procyclean BIO'!D360)),EDATE(AB359,3),DATEVALUE('Procyclean BIO'!D360))))),""))</f>
        <v/>
      </c>
      <c r="AM359" t="str">
        <f t="shared" ca="1" si="52"/>
        <v/>
      </c>
    </row>
    <row r="360" spans="27:39" x14ac:dyDescent="0.3">
      <c r="AA360" t="str">
        <f>IF(COUNTA('Procyclean BIO'!A361,'Procyclean BIO'!B361,'Procyclean BIO'!C361)&gt;0,"BIO","")</f>
        <v/>
      </c>
      <c r="AB360" t="str">
        <f>IFERROR(IF(ISNUMBER('Procyclean BIO'!A361),'Procyclean BIO'!A361,DATEVALUE('Procyclean BIO'!A361)),"")</f>
        <v/>
      </c>
      <c r="AC360" t="str">
        <f>IF(AA360="","",'Procyclean BIO'!B361)</f>
        <v/>
      </c>
      <c r="AD360" t="str">
        <f>IF(AA360="","",IFERROR(1*'Procyclean BIO'!C361,IFERROR(_xludf.NUMBERVALUE('Procyclean BIO'!C361,".",","),IFERROR(_xludf.NUMBERVALUE('Procyclean BIO'!C361,",","."),0))))</f>
        <v/>
      </c>
      <c r="AE360" t="str">
        <f>IF(AA360="","",'Procyclean BIO'!J361)</f>
        <v/>
      </c>
      <c r="AF360">
        <f t="shared" si="47"/>
        <v>0</v>
      </c>
      <c r="AG360" t="str">
        <f t="shared" si="48"/>
        <v/>
      </c>
      <c r="AH360" t="str">
        <f t="shared" si="49"/>
        <v/>
      </c>
      <c r="AI360">
        <f t="shared" si="50"/>
        <v>0</v>
      </c>
      <c r="AJ360">
        <f t="shared" si="51"/>
        <v>0</v>
      </c>
      <c r="AK360">
        <v>0</v>
      </c>
      <c r="AL360" t="str">
        <f>IF(AA360="","",IFERROR(IF(ISNUMBER('Procyclean BIO'!D361),'Procyclean BIO'!D361,IF(ISNUMBER(SEARCH("12",'Procyclean BIO'!D361)),EDATE(AB360,12),IF(ISNUMBER(SEARCH("6",'Procyclean BIO'!D361)),EDATE(AB360,6),IF(ISNUMBER(SEARCH("3",'Procyclean BIO'!D361)),EDATE(AB360,3),DATEVALUE('Procyclean BIO'!D361))))),""))</f>
        <v/>
      </c>
      <c r="AM360" t="str">
        <f t="shared" ca="1" si="52"/>
        <v/>
      </c>
    </row>
    <row r="361" spans="27:39" x14ac:dyDescent="0.3">
      <c r="AA361" t="str">
        <f>IF(COUNTA('Procyclean BIO'!A362,'Procyclean BIO'!B362,'Procyclean BIO'!C362)&gt;0,"BIO","")</f>
        <v/>
      </c>
      <c r="AB361" t="str">
        <f>IFERROR(IF(ISNUMBER('Procyclean BIO'!A362),'Procyclean BIO'!A362,DATEVALUE('Procyclean BIO'!A362)),"")</f>
        <v/>
      </c>
      <c r="AC361" t="str">
        <f>IF(AA361="","",'Procyclean BIO'!B362)</f>
        <v/>
      </c>
      <c r="AD361" t="str">
        <f>IF(AA361="","",IFERROR(1*'Procyclean BIO'!C362,IFERROR(_xludf.NUMBERVALUE('Procyclean BIO'!C362,".",","),IFERROR(_xludf.NUMBERVALUE('Procyclean BIO'!C362,",","."),0))))</f>
        <v/>
      </c>
      <c r="AE361" t="str">
        <f>IF(AA361="","",'Procyclean BIO'!J362)</f>
        <v/>
      </c>
      <c r="AF361">
        <f t="shared" si="47"/>
        <v>0</v>
      </c>
      <c r="AG361" t="str">
        <f t="shared" si="48"/>
        <v/>
      </c>
      <c r="AH361" t="str">
        <f t="shared" si="49"/>
        <v/>
      </c>
      <c r="AI361">
        <f t="shared" si="50"/>
        <v>0</v>
      </c>
      <c r="AJ361">
        <f t="shared" si="51"/>
        <v>0</v>
      </c>
      <c r="AK361">
        <v>0</v>
      </c>
      <c r="AL361" t="str">
        <f>IF(AA361="","",IFERROR(IF(ISNUMBER('Procyclean BIO'!D362),'Procyclean BIO'!D362,IF(ISNUMBER(SEARCH("12",'Procyclean BIO'!D362)),EDATE(AB361,12),IF(ISNUMBER(SEARCH("6",'Procyclean BIO'!D362)),EDATE(AB361,6),IF(ISNUMBER(SEARCH("3",'Procyclean BIO'!D362)),EDATE(AB361,3),DATEVALUE('Procyclean BIO'!D362))))),""))</f>
        <v/>
      </c>
      <c r="AM361" t="str">
        <f t="shared" ca="1" si="52"/>
        <v/>
      </c>
    </row>
    <row r="362" spans="27:39" x14ac:dyDescent="0.3">
      <c r="AA362" t="str">
        <f>IF(COUNTA('Procyclean BIO'!A363,'Procyclean BIO'!B363,'Procyclean BIO'!C363)&gt;0,"BIO","")</f>
        <v/>
      </c>
      <c r="AB362" t="str">
        <f>IFERROR(IF(ISNUMBER('Procyclean BIO'!A363),'Procyclean BIO'!A363,DATEVALUE('Procyclean BIO'!A363)),"")</f>
        <v/>
      </c>
      <c r="AC362" t="str">
        <f>IF(AA362="","",'Procyclean BIO'!B363)</f>
        <v/>
      </c>
      <c r="AD362" t="str">
        <f>IF(AA362="","",IFERROR(1*'Procyclean BIO'!C363,IFERROR(_xludf.NUMBERVALUE('Procyclean BIO'!C363,".",","),IFERROR(_xludf.NUMBERVALUE('Procyclean BIO'!C363,",","."),0))))</f>
        <v/>
      </c>
      <c r="AE362" t="str">
        <f>IF(AA362="","",'Procyclean BIO'!J363)</f>
        <v/>
      </c>
      <c r="AF362">
        <f t="shared" si="47"/>
        <v>0</v>
      </c>
      <c r="AG362" t="str">
        <f t="shared" si="48"/>
        <v/>
      </c>
      <c r="AH362" t="str">
        <f t="shared" si="49"/>
        <v/>
      </c>
      <c r="AI362">
        <f t="shared" si="50"/>
        <v>0</v>
      </c>
      <c r="AJ362">
        <f t="shared" si="51"/>
        <v>0</v>
      </c>
      <c r="AK362">
        <v>0</v>
      </c>
      <c r="AL362" t="str">
        <f>IF(AA362="","",IFERROR(IF(ISNUMBER('Procyclean BIO'!D363),'Procyclean BIO'!D363,IF(ISNUMBER(SEARCH("12",'Procyclean BIO'!D363)),EDATE(AB362,12),IF(ISNUMBER(SEARCH("6",'Procyclean BIO'!D363)),EDATE(AB362,6),IF(ISNUMBER(SEARCH("3",'Procyclean BIO'!D363)),EDATE(AB362,3),DATEVALUE('Procyclean BIO'!D363))))),""))</f>
        <v/>
      </c>
      <c r="AM362" t="str">
        <f t="shared" ca="1" si="52"/>
        <v/>
      </c>
    </row>
    <row r="363" spans="27:39" x14ac:dyDescent="0.3">
      <c r="AA363" t="str">
        <f>IF(COUNTA('Procyclean BIO'!A364,'Procyclean BIO'!B364,'Procyclean BIO'!C364)&gt;0,"BIO","")</f>
        <v/>
      </c>
      <c r="AB363" t="str">
        <f>IFERROR(IF(ISNUMBER('Procyclean BIO'!A364),'Procyclean BIO'!A364,DATEVALUE('Procyclean BIO'!A364)),"")</f>
        <v/>
      </c>
      <c r="AC363" t="str">
        <f>IF(AA363="","",'Procyclean BIO'!B364)</f>
        <v/>
      </c>
      <c r="AD363" t="str">
        <f>IF(AA363="","",IFERROR(1*'Procyclean BIO'!C364,IFERROR(_xludf.NUMBERVALUE('Procyclean BIO'!C364,".",","),IFERROR(_xludf.NUMBERVALUE('Procyclean BIO'!C364,",","."),0))))</f>
        <v/>
      </c>
      <c r="AE363" t="str">
        <f>IF(AA363="","",'Procyclean BIO'!J364)</f>
        <v/>
      </c>
      <c r="AF363">
        <f t="shared" si="47"/>
        <v>0</v>
      </c>
      <c r="AG363" t="str">
        <f t="shared" si="48"/>
        <v/>
      </c>
      <c r="AH363" t="str">
        <f t="shared" si="49"/>
        <v/>
      </c>
      <c r="AI363">
        <f t="shared" si="50"/>
        <v>0</v>
      </c>
      <c r="AJ363">
        <f t="shared" si="51"/>
        <v>0</v>
      </c>
      <c r="AK363">
        <v>0</v>
      </c>
      <c r="AL363" t="str">
        <f>IF(AA363="","",IFERROR(IF(ISNUMBER('Procyclean BIO'!D364),'Procyclean BIO'!D364,IF(ISNUMBER(SEARCH("12",'Procyclean BIO'!D364)),EDATE(AB363,12),IF(ISNUMBER(SEARCH("6",'Procyclean BIO'!D364)),EDATE(AB363,6),IF(ISNUMBER(SEARCH("3",'Procyclean BIO'!D364)),EDATE(AB363,3),DATEVALUE('Procyclean BIO'!D364))))),""))</f>
        <v/>
      </c>
      <c r="AM363" t="str">
        <f t="shared" ca="1" si="52"/>
        <v/>
      </c>
    </row>
    <row r="364" spans="27:39" x14ac:dyDescent="0.3">
      <c r="AA364" t="str">
        <f>IF(COUNTA('Procyclean BIO'!A365,'Procyclean BIO'!B365,'Procyclean BIO'!C365)&gt;0,"BIO","")</f>
        <v/>
      </c>
      <c r="AB364" t="str">
        <f>IFERROR(IF(ISNUMBER('Procyclean BIO'!A365),'Procyclean BIO'!A365,DATEVALUE('Procyclean BIO'!A365)),"")</f>
        <v/>
      </c>
      <c r="AC364" t="str">
        <f>IF(AA364="","",'Procyclean BIO'!B365)</f>
        <v/>
      </c>
      <c r="AD364" t="str">
        <f>IF(AA364="","",IFERROR(1*'Procyclean BIO'!C365,IFERROR(_xludf.NUMBERVALUE('Procyclean BIO'!C365,".",","),IFERROR(_xludf.NUMBERVALUE('Procyclean BIO'!C365,",","."),0))))</f>
        <v/>
      </c>
      <c r="AE364" t="str">
        <f>IF(AA364="","",'Procyclean BIO'!J365)</f>
        <v/>
      </c>
      <c r="AF364">
        <f t="shared" si="47"/>
        <v>0</v>
      </c>
      <c r="AG364" t="str">
        <f t="shared" si="48"/>
        <v/>
      </c>
      <c r="AH364" t="str">
        <f t="shared" si="49"/>
        <v/>
      </c>
      <c r="AI364">
        <f t="shared" si="50"/>
        <v>0</v>
      </c>
      <c r="AJ364">
        <f t="shared" si="51"/>
        <v>0</v>
      </c>
      <c r="AK364">
        <v>0</v>
      </c>
      <c r="AL364" t="str">
        <f>IF(AA364="","",IFERROR(IF(ISNUMBER('Procyclean BIO'!D365),'Procyclean BIO'!D365,IF(ISNUMBER(SEARCH("12",'Procyclean BIO'!D365)),EDATE(AB364,12),IF(ISNUMBER(SEARCH("6",'Procyclean BIO'!D365)),EDATE(AB364,6),IF(ISNUMBER(SEARCH("3",'Procyclean BIO'!D365)),EDATE(AB364,3),DATEVALUE('Procyclean BIO'!D365))))),""))</f>
        <v/>
      </c>
      <c r="AM364" t="str">
        <f t="shared" ca="1" si="52"/>
        <v/>
      </c>
    </row>
    <row r="365" spans="27:39" x14ac:dyDescent="0.3">
      <c r="AA365" t="str">
        <f>IF(COUNTA('Procyclean BIO'!A366,'Procyclean BIO'!B366,'Procyclean BIO'!C366)&gt;0,"BIO","")</f>
        <v/>
      </c>
      <c r="AB365" t="str">
        <f>IFERROR(IF(ISNUMBER('Procyclean BIO'!A366),'Procyclean BIO'!A366,DATEVALUE('Procyclean BIO'!A366)),"")</f>
        <v/>
      </c>
      <c r="AC365" t="str">
        <f>IF(AA365="","",'Procyclean BIO'!B366)</f>
        <v/>
      </c>
      <c r="AD365" t="str">
        <f>IF(AA365="","",IFERROR(1*'Procyclean BIO'!C366,IFERROR(_xludf.NUMBERVALUE('Procyclean BIO'!C366,".",","),IFERROR(_xludf.NUMBERVALUE('Procyclean BIO'!C366,",","."),0))))</f>
        <v/>
      </c>
      <c r="AE365" t="str">
        <f>IF(AA365="","",'Procyclean BIO'!J366)</f>
        <v/>
      </c>
      <c r="AF365">
        <f t="shared" si="47"/>
        <v>0</v>
      </c>
      <c r="AG365" t="str">
        <f t="shared" si="48"/>
        <v/>
      </c>
      <c r="AH365" t="str">
        <f t="shared" si="49"/>
        <v/>
      </c>
      <c r="AI365">
        <f t="shared" si="50"/>
        <v>0</v>
      </c>
      <c r="AJ365">
        <f t="shared" si="51"/>
        <v>0</v>
      </c>
      <c r="AK365">
        <v>0</v>
      </c>
      <c r="AL365" t="str">
        <f>IF(AA365="","",IFERROR(IF(ISNUMBER('Procyclean BIO'!D366),'Procyclean BIO'!D366,IF(ISNUMBER(SEARCH("12",'Procyclean BIO'!D366)),EDATE(AB365,12),IF(ISNUMBER(SEARCH("6",'Procyclean BIO'!D366)),EDATE(AB365,6),IF(ISNUMBER(SEARCH("3",'Procyclean BIO'!D366)),EDATE(AB365,3),DATEVALUE('Procyclean BIO'!D366))))),""))</f>
        <v/>
      </c>
      <c r="AM365" t="str">
        <f t="shared" ca="1" si="52"/>
        <v/>
      </c>
    </row>
    <row r="366" spans="27:39" x14ac:dyDescent="0.3">
      <c r="AA366" t="str">
        <f>IF(COUNTA('Procyclean BIO'!A367,'Procyclean BIO'!B367,'Procyclean BIO'!C367)&gt;0,"BIO","")</f>
        <v/>
      </c>
      <c r="AB366" t="str">
        <f>IFERROR(IF(ISNUMBER('Procyclean BIO'!A367),'Procyclean BIO'!A367,DATEVALUE('Procyclean BIO'!A367)),"")</f>
        <v/>
      </c>
      <c r="AC366" t="str">
        <f>IF(AA366="","",'Procyclean BIO'!B367)</f>
        <v/>
      </c>
      <c r="AD366" t="str">
        <f>IF(AA366="","",IFERROR(1*'Procyclean BIO'!C367,IFERROR(_xludf.NUMBERVALUE('Procyclean BIO'!C367,".",","),IFERROR(_xludf.NUMBERVALUE('Procyclean BIO'!C367,",","."),0))))</f>
        <v/>
      </c>
      <c r="AE366" t="str">
        <f>IF(AA366="","",'Procyclean BIO'!J367)</f>
        <v/>
      </c>
      <c r="AF366">
        <f t="shared" si="47"/>
        <v>0</v>
      </c>
      <c r="AG366" t="str">
        <f t="shared" si="48"/>
        <v/>
      </c>
      <c r="AH366" t="str">
        <f t="shared" si="49"/>
        <v/>
      </c>
      <c r="AI366">
        <f t="shared" si="50"/>
        <v>0</v>
      </c>
      <c r="AJ366">
        <f t="shared" si="51"/>
        <v>0</v>
      </c>
      <c r="AK366">
        <v>0</v>
      </c>
      <c r="AL366" t="str">
        <f>IF(AA366="","",IFERROR(IF(ISNUMBER('Procyclean BIO'!D367),'Procyclean BIO'!D367,IF(ISNUMBER(SEARCH("12",'Procyclean BIO'!D367)),EDATE(AB366,12),IF(ISNUMBER(SEARCH("6",'Procyclean BIO'!D367)),EDATE(AB366,6),IF(ISNUMBER(SEARCH("3",'Procyclean BIO'!D367)),EDATE(AB366,3),DATEVALUE('Procyclean BIO'!D367))))),""))</f>
        <v/>
      </c>
      <c r="AM366" t="str">
        <f t="shared" ca="1" si="52"/>
        <v/>
      </c>
    </row>
    <row r="367" spans="27:39" x14ac:dyDescent="0.3">
      <c r="AA367" t="str">
        <f>IF(COUNTA('Procyclean BIO'!A368,'Procyclean BIO'!B368,'Procyclean BIO'!C368)&gt;0,"BIO","")</f>
        <v/>
      </c>
      <c r="AB367" t="str">
        <f>IFERROR(IF(ISNUMBER('Procyclean BIO'!A368),'Procyclean BIO'!A368,DATEVALUE('Procyclean BIO'!A368)),"")</f>
        <v/>
      </c>
      <c r="AC367" t="str">
        <f>IF(AA367="","",'Procyclean BIO'!B368)</f>
        <v/>
      </c>
      <c r="AD367" t="str">
        <f>IF(AA367="","",IFERROR(1*'Procyclean BIO'!C368,IFERROR(_xludf.NUMBERVALUE('Procyclean BIO'!C368,".",","),IFERROR(_xludf.NUMBERVALUE('Procyclean BIO'!C368,",","."),0))))</f>
        <v/>
      </c>
      <c r="AE367" t="str">
        <f>IF(AA367="","",'Procyclean BIO'!J368)</f>
        <v/>
      </c>
      <c r="AF367">
        <f t="shared" si="47"/>
        <v>0</v>
      </c>
      <c r="AG367" t="str">
        <f t="shared" si="48"/>
        <v/>
      </c>
      <c r="AH367" t="str">
        <f t="shared" si="49"/>
        <v/>
      </c>
      <c r="AI367">
        <f t="shared" si="50"/>
        <v>0</v>
      </c>
      <c r="AJ367">
        <f t="shared" si="51"/>
        <v>0</v>
      </c>
      <c r="AK367">
        <v>0</v>
      </c>
      <c r="AL367" t="str">
        <f>IF(AA367="","",IFERROR(IF(ISNUMBER('Procyclean BIO'!D368),'Procyclean BIO'!D368,IF(ISNUMBER(SEARCH("12",'Procyclean BIO'!D368)),EDATE(AB367,12),IF(ISNUMBER(SEARCH("6",'Procyclean BIO'!D368)),EDATE(AB367,6),IF(ISNUMBER(SEARCH("3",'Procyclean BIO'!D368)),EDATE(AB367,3),DATEVALUE('Procyclean BIO'!D368))))),""))</f>
        <v/>
      </c>
      <c r="AM367" t="str">
        <f t="shared" ca="1" si="52"/>
        <v/>
      </c>
    </row>
    <row r="368" spans="27:39" x14ac:dyDescent="0.3">
      <c r="AA368" t="str">
        <f>IF(COUNTA('Procyclean BIO'!A369,'Procyclean BIO'!B369,'Procyclean BIO'!C369)&gt;0,"BIO","")</f>
        <v/>
      </c>
      <c r="AB368" t="str">
        <f>IFERROR(IF(ISNUMBER('Procyclean BIO'!A369),'Procyclean BIO'!A369,DATEVALUE('Procyclean BIO'!A369)),"")</f>
        <v/>
      </c>
      <c r="AC368" t="str">
        <f>IF(AA368="","",'Procyclean BIO'!B369)</f>
        <v/>
      </c>
      <c r="AD368" t="str">
        <f>IF(AA368="","",IFERROR(1*'Procyclean BIO'!C369,IFERROR(_xludf.NUMBERVALUE('Procyclean BIO'!C369,".",","),IFERROR(_xludf.NUMBERVALUE('Procyclean BIO'!C369,",","."),0))))</f>
        <v/>
      </c>
      <c r="AE368" t="str">
        <f>IF(AA368="","",'Procyclean BIO'!J369)</f>
        <v/>
      </c>
      <c r="AF368">
        <f t="shared" si="47"/>
        <v>0</v>
      </c>
      <c r="AG368" t="str">
        <f t="shared" si="48"/>
        <v/>
      </c>
      <c r="AH368" t="str">
        <f t="shared" si="49"/>
        <v/>
      </c>
      <c r="AI368">
        <f t="shared" si="50"/>
        <v>0</v>
      </c>
      <c r="AJ368">
        <f t="shared" si="51"/>
        <v>0</v>
      </c>
      <c r="AK368">
        <v>0</v>
      </c>
      <c r="AL368" t="str">
        <f>IF(AA368="","",IFERROR(IF(ISNUMBER('Procyclean BIO'!D369),'Procyclean BIO'!D369,IF(ISNUMBER(SEARCH("12",'Procyclean BIO'!D369)),EDATE(AB368,12),IF(ISNUMBER(SEARCH("6",'Procyclean BIO'!D369)),EDATE(AB368,6),IF(ISNUMBER(SEARCH("3",'Procyclean BIO'!D369)),EDATE(AB368,3),DATEVALUE('Procyclean BIO'!D369))))),""))</f>
        <v/>
      </c>
      <c r="AM368" t="str">
        <f t="shared" ca="1" si="52"/>
        <v/>
      </c>
    </row>
    <row r="369" spans="27:39" x14ac:dyDescent="0.3">
      <c r="AA369" t="str">
        <f>IF(COUNTA('Procyclean BIO'!A370,'Procyclean BIO'!B370,'Procyclean BIO'!C370)&gt;0,"BIO","")</f>
        <v/>
      </c>
      <c r="AB369" t="str">
        <f>IFERROR(IF(ISNUMBER('Procyclean BIO'!A370),'Procyclean BIO'!A370,DATEVALUE('Procyclean BIO'!A370)),"")</f>
        <v/>
      </c>
      <c r="AC369" t="str">
        <f>IF(AA369="","",'Procyclean BIO'!B370)</f>
        <v/>
      </c>
      <c r="AD369" t="str">
        <f>IF(AA369="","",IFERROR(1*'Procyclean BIO'!C370,IFERROR(_xludf.NUMBERVALUE('Procyclean BIO'!C370,".",","),IFERROR(_xludf.NUMBERVALUE('Procyclean BIO'!C370,",","."),0))))</f>
        <v/>
      </c>
      <c r="AE369" t="str">
        <f>IF(AA369="","",'Procyclean BIO'!J370)</f>
        <v/>
      </c>
      <c r="AF369">
        <f t="shared" si="47"/>
        <v>0</v>
      </c>
      <c r="AG369" t="str">
        <f t="shared" si="48"/>
        <v/>
      </c>
      <c r="AH369" t="str">
        <f t="shared" si="49"/>
        <v/>
      </c>
      <c r="AI369">
        <f t="shared" si="50"/>
        <v>0</v>
      </c>
      <c r="AJ369">
        <f t="shared" si="51"/>
        <v>0</v>
      </c>
      <c r="AK369">
        <v>0</v>
      </c>
      <c r="AL369" t="str">
        <f>IF(AA369="","",IFERROR(IF(ISNUMBER('Procyclean BIO'!D370),'Procyclean BIO'!D370,IF(ISNUMBER(SEARCH("12",'Procyclean BIO'!D370)),EDATE(AB369,12),IF(ISNUMBER(SEARCH("6",'Procyclean BIO'!D370)),EDATE(AB369,6),IF(ISNUMBER(SEARCH("3",'Procyclean BIO'!D370)),EDATE(AB369,3),DATEVALUE('Procyclean BIO'!D370))))),""))</f>
        <v/>
      </c>
      <c r="AM369" t="str">
        <f t="shared" ca="1" si="52"/>
        <v/>
      </c>
    </row>
    <row r="370" spans="27:39" x14ac:dyDescent="0.3">
      <c r="AA370" t="str">
        <f>IF(COUNTA('Procyclean BIO'!A371,'Procyclean BIO'!B371,'Procyclean BIO'!C371)&gt;0,"BIO","")</f>
        <v/>
      </c>
      <c r="AB370" t="str">
        <f>IFERROR(IF(ISNUMBER('Procyclean BIO'!A371),'Procyclean BIO'!A371,DATEVALUE('Procyclean BIO'!A371)),"")</f>
        <v/>
      </c>
      <c r="AC370" t="str">
        <f>IF(AA370="","",'Procyclean BIO'!B371)</f>
        <v/>
      </c>
      <c r="AD370" t="str">
        <f>IF(AA370="","",IFERROR(1*'Procyclean BIO'!C371,IFERROR(_xludf.NUMBERVALUE('Procyclean BIO'!C371,".",","),IFERROR(_xludf.NUMBERVALUE('Procyclean BIO'!C371,",","."),0))))</f>
        <v/>
      </c>
      <c r="AE370" t="str">
        <f>IF(AA370="","",'Procyclean BIO'!J371)</f>
        <v/>
      </c>
      <c r="AF370">
        <f t="shared" si="47"/>
        <v>0</v>
      </c>
      <c r="AG370" t="str">
        <f t="shared" si="48"/>
        <v/>
      </c>
      <c r="AH370" t="str">
        <f t="shared" si="49"/>
        <v/>
      </c>
      <c r="AI370">
        <f t="shared" si="50"/>
        <v>0</v>
      </c>
      <c r="AJ370">
        <f t="shared" si="51"/>
        <v>0</v>
      </c>
      <c r="AK370">
        <v>0</v>
      </c>
      <c r="AL370" t="str">
        <f>IF(AA370="","",IFERROR(IF(ISNUMBER('Procyclean BIO'!D371),'Procyclean BIO'!D371,IF(ISNUMBER(SEARCH("12",'Procyclean BIO'!D371)),EDATE(AB370,12),IF(ISNUMBER(SEARCH("6",'Procyclean BIO'!D371)),EDATE(AB370,6),IF(ISNUMBER(SEARCH("3",'Procyclean BIO'!D371)),EDATE(AB370,3),DATEVALUE('Procyclean BIO'!D371))))),""))</f>
        <v/>
      </c>
      <c r="AM370" t="str">
        <f t="shared" ca="1" si="52"/>
        <v/>
      </c>
    </row>
    <row r="371" spans="27:39" x14ac:dyDescent="0.3">
      <c r="AA371" t="str">
        <f>IF(COUNTA('Procyclean BIO'!A372,'Procyclean BIO'!B372,'Procyclean BIO'!C372)&gt;0,"BIO","")</f>
        <v/>
      </c>
      <c r="AB371" t="str">
        <f>IFERROR(IF(ISNUMBER('Procyclean BIO'!A372),'Procyclean BIO'!A372,DATEVALUE('Procyclean BIO'!A372)),"")</f>
        <v/>
      </c>
      <c r="AC371" t="str">
        <f>IF(AA371="","",'Procyclean BIO'!B372)</f>
        <v/>
      </c>
      <c r="AD371" t="str">
        <f>IF(AA371="","",IFERROR(1*'Procyclean BIO'!C372,IFERROR(_xludf.NUMBERVALUE('Procyclean BIO'!C372,".",","),IFERROR(_xludf.NUMBERVALUE('Procyclean BIO'!C372,",","."),0))))</f>
        <v/>
      </c>
      <c r="AE371" t="str">
        <f>IF(AA371="","",'Procyclean BIO'!J372)</f>
        <v/>
      </c>
      <c r="AF371">
        <f t="shared" si="47"/>
        <v>0</v>
      </c>
      <c r="AG371" t="str">
        <f t="shared" si="48"/>
        <v/>
      </c>
      <c r="AH371" t="str">
        <f t="shared" si="49"/>
        <v/>
      </c>
      <c r="AI371">
        <f t="shared" si="50"/>
        <v>0</v>
      </c>
      <c r="AJ371">
        <f t="shared" si="51"/>
        <v>0</v>
      </c>
      <c r="AK371">
        <v>0</v>
      </c>
      <c r="AL371" t="str">
        <f>IF(AA371="","",IFERROR(IF(ISNUMBER('Procyclean BIO'!D372),'Procyclean BIO'!D372,IF(ISNUMBER(SEARCH("12",'Procyclean BIO'!D372)),EDATE(AB371,12),IF(ISNUMBER(SEARCH("6",'Procyclean BIO'!D372)),EDATE(AB371,6),IF(ISNUMBER(SEARCH("3",'Procyclean BIO'!D372)),EDATE(AB371,3),DATEVALUE('Procyclean BIO'!D372))))),""))</f>
        <v/>
      </c>
      <c r="AM371" t="str">
        <f t="shared" ca="1" si="52"/>
        <v/>
      </c>
    </row>
    <row r="372" spans="27:39" x14ac:dyDescent="0.3">
      <c r="AA372" t="str">
        <f>IF(COUNTA('Procyclean BIO'!A373,'Procyclean BIO'!B373,'Procyclean BIO'!C373)&gt;0,"BIO","")</f>
        <v/>
      </c>
      <c r="AB372" t="str">
        <f>IFERROR(IF(ISNUMBER('Procyclean BIO'!A373),'Procyclean BIO'!A373,DATEVALUE('Procyclean BIO'!A373)),"")</f>
        <v/>
      </c>
      <c r="AC372" t="str">
        <f>IF(AA372="","",'Procyclean BIO'!B373)</f>
        <v/>
      </c>
      <c r="AD372" t="str">
        <f>IF(AA372="","",IFERROR(1*'Procyclean BIO'!C373,IFERROR(_xludf.NUMBERVALUE('Procyclean BIO'!C373,".",","),IFERROR(_xludf.NUMBERVALUE('Procyclean BIO'!C373,",","."),0))))</f>
        <v/>
      </c>
      <c r="AE372" t="str">
        <f>IF(AA372="","",'Procyclean BIO'!J373)</f>
        <v/>
      </c>
      <c r="AF372">
        <f t="shared" si="47"/>
        <v>0</v>
      </c>
      <c r="AG372" t="str">
        <f t="shared" si="48"/>
        <v/>
      </c>
      <c r="AH372" t="str">
        <f t="shared" si="49"/>
        <v/>
      </c>
      <c r="AI372">
        <f t="shared" si="50"/>
        <v>0</v>
      </c>
      <c r="AJ372">
        <f t="shared" si="51"/>
        <v>0</v>
      </c>
      <c r="AK372">
        <v>0</v>
      </c>
      <c r="AL372" t="str">
        <f>IF(AA372="","",IFERROR(IF(ISNUMBER('Procyclean BIO'!D373),'Procyclean BIO'!D373,IF(ISNUMBER(SEARCH("12",'Procyclean BIO'!D373)),EDATE(AB372,12),IF(ISNUMBER(SEARCH("6",'Procyclean BIO'!D373)),EDATE(AB372,6),IF(ISNUMBER(SEARCH("3",'Procyclean BIO'!D373)),EDATE(AB372,3),DATEVALUE('Procyclean BIO'!D373))))),""))</f>
        <v/>
      </c>
      <c r="AM372" t="str">
        <f t="shared" ca="1" si="52"/>
        <v/>
      </c>
    </row>
    <row r="373" spans="27:39" x14ac:dyDescent="0.3">
      <c r="AA373" t="str">
        <f>IF(COUNTA('Procyclean BIO'!A374,'Procyclean BIO'!B374,'Procyclean BIO'!C374)&gt;0,"BIO","")</f>
        <v/>
      </c>
      <c r="AB373" t="str">
        <f>IFERROR(IF(ISNUMBER('Procyclean BIO'!A374),'Procyclean BIO'!A374,DATEVALUE('Procyclean BIO'!A374)),"")</f>
        <v/>
      </c>
      <c r="AC373" t="str">
        <f>IF(AA373="","",'Procyclean BIO'!B374)</f>
        <v/>
      </c>
      <c r="AD373" t="str">
        <f>IF(AA373="","",IFERROR(1*'Procyclean BIO'!C374,IFERROR(_xludf.NUMBERVALUE('Procyclean BIO'!C374,".",","),IFERROR(_xludf.NUMBERVALUE('Procyclean BIO'!C374,",","."),0))))</f>
        <v/>
      </c>
      <c r="AE373" t="str">
        <f>IF(AA373="","",'Procyclean BIO'!J374)</f>
        <v/>
      </c>
      <c r="AF373">
        <f t="shared" si="47"/>
        <v>0</v>
      </c>
      <c r="AG373" t="str">
        <f t="shared" si="48"/>
        <v/>
      </c>
      <c r="AH373" t="str">
        <f t="shared" si="49"/>
        <v/>
      </c>
      <c r="AI373">
        <f t="shared" si="50"/>
        <v>0</v>
      </c>
      <c r="AJ373">
        <f t="shared" si="51"/>
        <v>0</v>
      </c>
      <c r="AK373">
        <v>0</v>
      </c>
      <c r="AL373" t="str">
        <f>IF(AA373="","",IFERROR(IF(ISNUMBER('Procyclean BIO'!D374),'Procyclean BIO'!D374,IF(ISNUMBER(SEARCH("12",'Procyclean BIO'!D374)),EDATE(AB373,12),IF(ISNUMBER(SEARCH("6",'Procyclean BIO'!D374)),EDATE(AB373,6),IF(ISNUMBER(SEARCH("3",'Procyclean BIO'!D374)),EDATE(AB373,3),DATEVALUE('Procyclean BIO'!D374))))),""))</f>
        <v/>
      </c>
      <c r="AM373" t="str">
        <f t="shared" ca="1" si="52"/>
        <v/>
      </c>
    </row>
    <row r="374" spans="27:39" x14ac:dyDescent="0.3">
      <c r="AA374" t="str">
        <f>IF(COUNTA('Procyclean BIO'!A375,'Procyclean BIO'!B375,'Procyclean BIO'!C375)&gt;0,"BIO","")</f>
        <v/>
      </c>
      <c r="AB374" t="str">
        <f>IFERROR(IF(ISNUMBER('Procyclean BIO'!A375),'Procyclean BIO'!A375,DATEVALUE('Procyclean BIO'!A375)),"")</f>
        <v/>
      </c>
      <c r="AC374" t="str">
        <f>IF(AA374="","",'Procyclean BIO'!B375)</f>
        <v/>
      </c>
      <c r="AD374" t="str">
        <f>IF(AA374="","",IFERROR(1*'Procyclean BIO'!C375,IFERROR(_xludf.NUMBERVALUE('Procyclean BIO'!C375,".",","),IFERROR(_xludf.NUMBERVALUE('Procyclean BIO'!C375,",","."),0))))</f>
        <v/>
      </c>
      <c r="AE374" t="str">
        <f>IF(AA374="","",'Procyclean BIO'!J375)</f>
        <v/>
      </c>
      <c r="AF374">
        <f t="shared" si="47"/>
        <v>0</v>
      </c>
      <c r="AG374" t="str">
        <f t="shared" si="48"/>
        <v/>
      </c>
      <c r="AH374" t="str">
        <f t="shared" si="49"/>
        <v/>
      </c>
      <c r="AI374">
        <f t="shared" si="50"/>
        <v>0</v>
      </c>
      <c r="AJ374">
        <f t="shared" si="51"/>
        <v>0</v>
      </c>
      <c r="AK374">
        <v>0</v>
      </c>
      <c r="AL374" t="str">
        <f>IF(AA374="","",IFERROR(IF(ISNUMBER('Procyclean BIO'!D375),'Procyclean BIO'!D375,IF(ISNUMBER(SEARCH("12",'Procyclean BIO'!D375)),EDATE(AB374,12),IF(ISNUMBER(SEARCH("6",'Procyclean BIO'!D375)),EDATE(AB374,6),IF(ISNUMBER(SEARCH("3",'Procyclean BIO'!D375)),EDATE(AB374,3),DATEVALUE('Procyclean BIO'!D375))))),""))</f>
        <v/>
      </c>
      <c r="AM374" t="str">
        <f t="shared" ca="1" si="52"/>
        <v/>
      </c>
    </row>
    <row r="375" spans="27:39" x14ac:dyDescent="0.3">
      <c r="AA375" t="str">
        <f>IF(COUNTA('Procyclean BIO'!A376,'Procyclean BIO'!B376,'Procyclean BIO'!C376)&gt;0,"BIO","")</f>
        <v/>
      </c>
      <c r="AB375" t="str">
        <f>IFERROR(IF(ISNUMBER('Procyclean BIO'!A376),'Procyclean BIO'!A376,DATEVALUE('Procyclean BIO'!A376)),"")</f>
        <v/>
      </c>
      <c r="AC375" t="str">
        <f>IF(AA375="","",'Procyclean BIO'!B376)</f>
        <v/>
      </c>
      <c r="AD375" t="str">
        <f>IF(AA375="","",IFERROR(1*'Procyclean BIO'!C376,IFERROR(_xludf.NUMBERVALUE('Procyclean BIO'!C376,".",","),IFERROR(_xludf.NUMBERVALUE('Procyclean BIO'!C376,",","."),0))))</f>
        <v/>
      </c>
      <c r="AE375" t="str">
        <f>IF(AA375="","",'Procyclean BIO'!J376)</f>
        <v/>
      </c>
      <c r="AF375">
        <f t="shared" si="47"/>
        <v>0</v>
      </c>
      <c r="AG375" t="str">
        <f t="shared" si="48"/>
        <v/>
      </c>
      <c r="AH375" t="str">
        <f t="shared" si="49"/>
        <v/>
      </c>
      <c r="AI375">
        <f t="shared" si="50"/>
        <v>0</v>
      </c>
      <c r="AJ375">
        <f t="shared" si="51"/>
        <v>0</v>
      </c>
      <c r="AK375">
        <v>0</v>
      </c>
      <c r="AL375" t="str">
        <f>IF(AA375="","",IFERROR(IF(ISNUMBER('Procyclean BIO'!D376),'Procyclean BIO'!D376,IF(ISNUMBER(SEARCH("12",'Procyclean BIO'!D376)),EDATE(AB375,12),IF(ISNUMBER(SEARCH("6",'Procyclean BIO'!D376)),EDATE(AB375,6),IF(ISNUMBER(SEARCH("3",'Procyclean BIO'!D376)),EDATE(AB375,3),DATEVALUE('Procyclean BIO'!D376))))),""))</f>
        <v/>
      </c>
      <c r="AM375" t="str">
        <f t="shared" ca="1" si="52"/>
        <v/>
      </c>
    </row>
    <row r="376" spans="27:39" x14ac:dyDescent="0.3">
      <c r="AA376" t="str">
        <f>IF(COUNTA('Procyclean BIO'!A377,'Procyclean BIO'!B377,'Procyclean BIO'!C377)&gt;0,"BIO","")</f>
        <v/>
      </c>
      <c r="AB376" t="str">
        <f>IFERROR(IF(ISNUMBER('Procyclean BIO'!A377),'Procyclean BIO'!A377,DATEVALUE('Procyclean BIO'!A377)),"")</f>
        <v/>
      </c>
      <c r="AC376" t="str">
        <f>IF(AA376="","",'Procyclean BIO'!B377)</f>
        <v/>
      </c>
      <c r="AD376" t="str">
        <f>IF(AA376="","",IFERROR(1*'Procyclean BIO'!C377,IFERROR(_xludf.NUMBERVALUE('Procyclean BIO'!C377,".",","),IFERROR(_xludf.NUMBERVALUE('Procyclean BIO'!C377,",","."),0))))</f>
        <v/>
      </c>
      <c r="AE376" t="str">
        <f>IF(AA376="","",'Procyclean BIO'!J377)</f>
        <v/>
      </c>
      <c r="AF376">
        <f t="shared" si="47"/>
        <v>0</v>
      </c>
      <c r="AG376" t="str">
        <f t="shared" si="48"/>
        <v/>
      </c>
      <c r="AH376" t="str">
        <f t="shared" si="49"/>
        <v/>
      </c>
      <c r="AI376">
        <f t="shared" si="50"/>
        <v>0</v>
      </c>
      <c r="AJ376">
        <f t="shared" si="51"/>
        <v>0</v>
      </c>
      <c r="AK376">
        <v>0</v>
      </c>
      <c r="AL376" t="str">
        <f>IF(AA376="","",IFERROR(IF(ISNUMBER('Procyclean BIO'!D377),'Procyclean BIO'!D377,IF(ISNUMBER(SEARCH("12",'Procyclean BIO'!D377)),EDATE(AB376,12),IF(ISNUMBER(SEARCH("6",'Procyclean BIO'!D377)),EDATE(AB376,6),IF(ISNUMBER(SEARCH("3",'Procyclean BIO'!D377)),EDATE(AB376,3),DATEVALUE('Procyclean BIO'!D377))))),""))</f>
        <v/>
      </c>
      <c r="AM376" t="str">
        <f t="shared" ca="1" si="52"/>
        <v/>
      </c>
    </row>
    <row r="377" spans="27:39" x14ac:dyDescent="0.3">
      <c r="AA377" t="str">
        <f>IF(COUNTA('Procyclean BIO'!A378,'Procyclean BIO'!B378,'Procyclean BIO'!C378)&gt;0,"BIO","")</f>
        <v/>
      </c>
      <c r="AB377" t="str">
        <f>IFERROR(IF(ISNUMBER('Procyclean BIO'!A378),'Procyclean BIO'!A378,DATEVALUE('Procyclean BIO'!A378)),"")</f>
        <v/>
      </c>
      <c r="AC377" t="str">
        <f>IF(AA377="","",'Procyclean BIO'!B378)</f>
        <v/>
      </c>
      <c r="AD377" t="str">
        <f>IF(AA377="","",IFERROR(1*'Procyclean BIO'!C378,IFERROR(_xludf.NUMBERVALUE('Procyclean BIO'!C378,".",","),IFERROR(_xludf.NUMBERVALUE('Procyclean BIO'!C378,",","."),0))))</f>
        <v/>
      </c>
      <c r="AE377" t="str">
        <f>IF(AA377="","",'Procyclean BIO'!J378)</f>
        <v/>
      </c>
      <c r="AF377">
        <f t="shared" si="47"/>
        <v>0</v>
      </c>
      <c r="AG377" t="str">
        <f t="shared" si="48"/>
        <v/>
      </c>
      <c r="AH377" t="str">
        <f t="shared" si="49"/>
        <v/>
      </c>
      <c r="AI377">
        <f t="shared" si="50"/>
        <v>0</v>
      </c>
      <c r="AJ377">
        <f t="shared" si="51"/>
        <v>0</v>
      </c>
      <c r="AK377">
        <v>0</v>
      </c>
      <c r="AL377" t="str">
        <f>IF(AA377="","",IFERROR(IF(ISNUMBER('Procyclean BIO'!D378),'Procyclean BIO'!D378,IF(ISNUMBER(SEARCH("12",'Procyclean BIO'!D378)),EDATE(AB377,12),IF(ISNUMBER(SEARCH("6",'Procyclean BIO'!D378)),EDATE(AB377,6),IF(ISNUMBER(SEARCH("3",'Procyclean BIO'!D378)),EDATE(AB377,3),DATEVALUE('Procyclean BIO'!D378))))),""))</f>
        <v/>
      </c>
      <c r="AM377" t="str">
        <f t="shared" ca="1" si="52"/>
        <v/>
      </c>
    </row>
    <row r="378" spans="27:39" x14ac:dyDescent="0.3">
      <c r="AA378" t="str">
        <f>IF(COUNTA('Procyclean BIO'!A379,'Procyclean BIO'!B379,'Procyclean BIO'!C379)&gt;0,"BIO","")</f>
        <v/>
      </c>
      <c r="AB378" t="str">
        <f>IFERROR(IF(ISNUMBER('Procyclean BIO'!A379),'Procyclean BIO'!A379,DATEVALUE('Procyclean BIO'!A379)),"")</f>
        <v/>
      </c>
      <c r="AC378" t="str">
        <f>IF(AA378="","",'Procyclean BIO'!B379)</f>
        <v/>
      </c>
      <c r="AD378" t="str">
        <f>IF(AA378="","",IFERROR(1*'Procyclean BIO'!C379,IFERROR(_xludf.NUMBERVALUE('Procyclean BIO'!C379,".",","),IFERROR(_xludf.NUMBERVALUE('Procyclean BIO'!C379,",","."),0))))</f>
        <v/>
      </c>
      <c r="AE378" t="str">
        <f>IF(AA378="","",'Procyclean BIO'!J379)</f>
        <v/>
      </c>
      <c r="AF378">
        <f t="shared" si="47"/>
        <v>0</v>
      </c>
      <c r="AG378" t="str">
        <f t="shared" si="48"/>
        <v/>
      </c>
      <c r="AH378" t="str">
        <f t="shared" si="49"/>
        <v/>
      </c>
      <c r="AI378">
        <f t="shared" si="50"/>
        <v>0</v>
      </c>
      <c r="AJ378">
        <f t="shared" si="51"/>
        <v>0</v>
      </c>
      <c r="AK378">
        <v>0</v>
      </c>
      <c r="AL378" t="str">
        <f>IF(AA378="","",IFERROR(IF(ISNUMBER('Procyclean BIO'!D379),'Procyclean BIO'!D379,IF(ISNUMBER(SEARCH("12",'Procyclean BIO'!D379)),EDATE(AB378,12),IF(ISNUMBER(SEARCH("6",'Procyclean BIO'!D379)),EDATE(AB378,6),IF(ISNUMBER(SEARCH("3",'Procyclean BIO'!D379)),EDATE(AB378,3),DATEVALUE('Procyclean BIO'!D379))))),""))</f>
        <v/>
      </c>
      <c r="AM378" t="str">
        <f t="shared" ca="1" si="52"/>
        <v/>
      </c>
    </row>
    <row r="379" spans="27:39" x14ac:dyDescent="0.3">
      <c r="AA379" t="str">
        <f>IF(COUNTA('Procyclean BIO'!A380,'Procyclean BIO'!B380,'Procyclean BIO'!C380)&gt;0,"BIO","")</f>
        <v/>
      </c>
      <c r="AB379" t="str">
        <f>IFERROR(IF(ISNUMBER('Procyclean BIO'!A380),'Procyclean BIO'!A380,DATEVALUE('Procyclean BIO'!A380)),"")</f>
        <v/>
      </c>
      <c r="AC379" t="str">
        <f>IF(AA379="","",'Procyclean BIO'!B380)</f>
        <v/>
      </c>
      <c r="AD379" t="str">
        <f>IF(AA379="","",IFERROR(1*'Procyclean BIO'!C380,IFERROR(_xludf.NUMBERVALUE('Procyclean BIO'!C380,".",","),IFERROR(_xludf.NUMBERVALUE('Procyclean BIO'!C380,",","."),0))))</f>
        <v/>
      </c>
      <c r="AE379" t="str">
        <f>IF(AA379="","",'Procyclean BIO'!J380)</f>
        <v/>
      </c>
      <c r="AF379">
        <f t="shared" si="47"/>
        <v>0</v>
      </c>
      <c r="AG379" t="str">
        <f t="shared" si="48"/>
        <v/>
      </c>
      <c r="AH379" t="str">
        <f t="shared" si="49"/>
        <v/>
      </c>
      <c r="AI379">
        <f t="shared" si="50"/>
        <v>0</v>
      </c>
      <c r="AJ379">
        <f t="shared" si="51"/>
        <v>0</v>
      </c>
      <c r="AK379">
        <v>0</v>
      </c>
      <c r="AL379" t="str">
        <f>IF(AA379="","",IFERROR(IF(ISNUMBER('Procyclean BIO'!D380),'Procyclean BIO'!D380,IF(ISNUMBER(SEARCH("12",'Procyclean BIO'!D380)),EDATE(AB379,12),IF(ISNUMBER(SEARCH("6",'Procyclean BIO'!D380)),EDATE(AB379,6),IF(ISNUMBER(SEARCH("3",'Procyclean BIO'!D380)),EDATE(AB379,3),DATEVALUE('Procyclean BIO'!D380))))),""))</f>
        <v/>
      </c>
      <c r="AM379" t="str">
        <f t="shared" ca="1" si="52"/>
        <v/>
      </c>
    </row>
    <row r="380" spans="27:39" x14ac:dyDescent="0.3">
      <c r="AA380" t="str">
        <f>IF(COUNTA('Procyclean BIO'!A381,'Procyclean BIO'!B381,'Procyclean BIO'!C381)&gt;0,"BIO","")</f>
        <v/>
      </c>
      <c r="AB380" t="str">
        <f>IFERROR(IF(ISNUMBER('Procyclean BIO'!A381),'Procyclean BIO'!A381,DATEVALUE('Procyclean BIO'!A381)),"")</f>
        <v/>
      </c>
      <c r="AC380" t="str">
        <f>IF(AA380="","",'Procyclean BIO'!B381)</f>
        <v/>
      </c>
      <c r="AD380" t="str">
        <f>IF(AA380="","",IFERROR(1*'Procyclean BIO'!C381,IFERROR(_xludf.NUMBERVALUE('Procyclean BIO'!C381,".",","),IFERROR(_xludf.NUMBERVALUE('Procyclean BIO'!C381,",","."),0))))</f>
        <v/>
      </c>
      <c r="AE380" t="str">
        <f>IF(AA380="","",'Procyclean BIO'!J381)</f>
        <v/>
      </c>
      <c r="AF380">
        <f t="shared" si="47"/>
        <v>0</v>
      </c>
      <c r="AG380" t="str">
        <f t="shared" si="48"/>
        <v/>
      </c>
      <c r="AH380" t="str">
        <f t="shared" si="49"/>
        <v/>
      </c>
      <c r="AI380">
        <f t="shared" si="50"/>
        <v>0</v>
      </c>
      <c r="AJ380">
        <f t="shared" si="51"/>
        <v>0</v>
      </c>
      <c r="AK380">
        <v>0</v>
      </c>
      <c r="AL380" t="str">
        <f>IF(AA380="","",IFERROR(IF(ISNUMBER('Procyclean BIO'!D381),'Procyclean BIO'!D381,IF(ISNUMBER(SEARCH("12",'Procyclean BIO'!D381)),EDATE(AB380,12),IF(ISNUMBER(SEARCH("6",'Procyclean BIO'!D381)),EDATE(AB380,6),IF(ISNUMBER(SEARCH("3",'Procyclean BIO'!D381)),EDATE(AB380,3),DATEVALUE('Procyclean BIO'!D381))))),""))</f>
        <v/>
      </c>
      <c r="AM380" t="str">
        <f t="shared" ca="1" si="52"/>
        <v/>
      </c>
    </row>
    <row r="381" spans="27:39" x14ac:dyDescent="0.3">
      <c r="AA381" t="str">
        <f>IF(COUNTA('Procyclean BIO'!A382,'Procyclean BIO'!B382,'Procyclean BIO'!C382)&gt;0,"BIO","")</f>
        <v/>
      </c>
      <c r="AB381" t="str">
        <f>IFERROR(IF(ISNUMBER('Procyclean BIO'!A382),'Procyclean BIO'!A382,DATEVALUE('Procyclean BIO'!A382)),"")</f>
        <v/>
      </c>
      <c r="AC381" t="str">
        <f>IF(AA381="","",'Procyclean BIO'!B382)</f>
        <v/>
      </c>
      <c r="AD381" t="str">
        <f>IF(AA381="","",IFERROR(1*'Procyclean BIO'!C382,IFERROR(_xludf.NUMBERVALUE('Procyclean BIO'!C382,".",","),IFERROR(_xludf.NUMBERVALUE('Procyclean BIO'!C382,",","."),0))))</f>
        <v/>
      </c>
      <c r="AE381" t="str">
        <f>IF(AA381="","",'Procyclean BIO'!J382)</f>
        <v/>
      </c>
      <c r="AF381">
        <f t="shared" si="47"/>
        <v>0</v>
      </c>
      <c r="AG381" t="str">
        <f t="shared" si="48"/>
        <v/>
      </c>
      <c r="AH381" t="str">
        <f t="shared" si="49"/>
        <v/>
      </c>
      <c r="AI381">
        <f t="shared" si="50"/>
        <v>0</v>
      </c>
      <c r="AJ381">
        <f t="shared" si="51"/>
        <v>0</v>
      </c>
      <c r="AK381">
        <v>0</v>
      </c>
      <c r="AL381" t="str">
        <f>IF(AA381="","",IFERROR(IF(ISNUMBER('Procyclean BIO'!D382),'Procyclean BIO'!D382,IF(ISNUMBER(SEARCH("12",'Procyclean BIO'!D382)),EDATE(AB381,12),IF(ISNUMBER(SEARCH("6",'Procyclean BIO'!D382)),EDATE(AB381,6),IF(ISNUMBER(SEARCH("3",'Procyclean BIO'!D382)),EDATE(AB381,3),DATEVALUE('Procyclean BIO'!D382))))),""))</f>
        <v/>
      </c>
      <c r="AM381" t="str">
        <f t="shared" ca="1" si="52"/>
        <v/>
      </c>
    </row>
    <row r="382" spans="27:39" x14ac:dyDescent="0.3">
      <c r="AA382" t="str">
        <f>IF(COUNTA('Procyclean BIO'!A383,'Procyclean BIO'!B383,'Procyclean BIO'!C383)&gt;0,"BIO","")</f>
        <v/>
      </c>
      <c r="AB382" t="str">
        <f>IFERROR(IF(ISNUMBER('Procyclean BIO'!A383),'Procyclean BIO'!A383,DATEVALUE('Procyclean BIO'!A383)),"")</f>
        <v/>
      </c>
      <c r="AC382" t="str">
        <f>IF(AA382="","",'Procyclean BIO'!B383)</f>
        <v/>
      </c>
      <c r="AD382" t="str">
        <f>IF(AA382="","",IFERROR(1*'Procyclean BIO'!C383,IFERROR(_xludf.NUMBERVALUE('Procyclean BIO'!C383,".",","),IFERROR(_xludf.NUMBERVALUE('Procyclean BIO'!C383,",","."),0))))</f>
        <v/>
      </c>
      <c r="AE382" t="str">
        <f>IF(AA382="","",'Procyclean BIO'!J383)</f>
        <v/>
      </c>
      <c r="AF382">
        <f t="shared" si="47"/>
        <v>0</v>
      </c>
      <c r="AG382" t="str">
        <f t="shared" si="48"/>
        <v/>
      </c>
      <c r="AH382" t="str">
        <f t="shared" si="49"/>
        <v/>
      </c>
      <c r="AI382">
        <f t="shared" si="50"/>
        <v>0</v>
      </c>
      <c r="AJ382">
        <f t="shared" si="51"/>
        <v>0</v>
      </c>
      <c r="AK382">
        <v>0</v>
      </c>
      <c r="AL382" t="str">
        <f>IF(AA382="","",IFERROR(IF(ISNUMBER('Procyclean BIO'!D383),'Procyclean BIO'!D383,IF(ISNUMBER(SEARCH("12",'Procyclean BIO'!D383)),EDATE(AB382,12),IF(ISNUMBER(SEARCH("6",'Procyclean BIO'!D383)),EDATE(AB382,6),IF(ISNUMBER(SEARCH("3",'Procyclean BIO'!D383)),EDATE(AB382,3),DATEVALUE('Procyclean BIO'!D383))))),""))</f>
        <v/>
      </c>
      <c r="AM382" t="str">
        <f t="shared" ca="1" si="52"/>
        <v/>
      </c>
    </row>
    <row r="383" spans="27:39" x14ac:dyDescent="0.3">
      <c r="AA383" t="str">
        <f>IF(COUNTA('Procyclean BIO'!A384,'Procyclean BIO'!B384,'Procyclean BIO'!C384)&gt;0,"BIO","")</f>
        <v/>
      </c>
      <c r="AB383" t="str">
        <f>IFERROR(IF(ISNUMBER('Procyclean BIO'!A384),'Procyclean BIO'!A384,DATEVALUE('Procyclean BIO'!A384)),"")</f>
        <v/>
      </c>
      <c r="AC383" t="str">
        <f>IF(AA383="","",'Procyclean BIO'!B384)</f>
        <v/>
      </c>
      <c r="AD383" t="str">
        <f>IF(AA383="","",IFERROR(1*'Procyclean BIO'!C384,IFERROR(_xludf.NUMBERVALUE('Procyclean BIO'!C384,".",","),IFERROR(_xludf.NUMBERVALUE('Procyclean BIO'!C384,",","."),0))))</f>
        <v/>
      </c>
      <c r="AE383" t="str">
        <f>IF(AA383="","",'Procyclean BIO'!J384)</f>
        <v/>
      </c>
      <c r="AF383">
        <f t="shared" si="47"/>
        <v>0</v>
      </c>
      <c r="AG383" t="str">
        <f t="shared" si="48"/>
        <v/>
      </c>
      <c r="AH383" t="str">
        <f t="shared" si="49"/>
        <v/>
      </c>
      <c r="AI383">
        <f t="shared" si="50"/>
        <v>0</v>
      </c>
      <c r="AJ383">
        <f t="shared" si="51"/>
        <v>0</v>
      </c>
      <c r="AK383">
        <v>0</v>
      </c>
      <c r="AL383" t="str">
        <f>IF(AA383="","",IFERROR(IF(ISNUMBER('Procyclean BIO'!D384),'Procyclean BIO'!D384,IF(ISNUMBER(SEARCH("12",'Procyclean BIO'!D384)),EDATE(AB383,12),IF(ISNUMBER(SEARCH("6",'Procyclean BIO'!D384)),EDATE(AB383,6),IF(ISNUMBER(SEARCH("3",'Procyclean BIO'!D384)),EDATE(AB383,3),DATEVALUE('Procyclean BIO'!D384))))),""))</f>
        <v/>
      </c>
      <c r="AM383" t="str">
        <f t="shared" ca="1" si="52"/>
        <v/>
      </c>
    </row>
    <row r="384" spans="27:39" x14ac:dyDescent="0.3">
      <c r="AA384" t="str">
        <f>IF(COUNTA('Procyclean BIO'!A385,'Procyclean BIO'!B385,'Procyclean BIO'!C385)&gt;0,"BIO","")</f>
        <v/>
      </c>
      <c r="AB384" t="str">
        <f>IFERROR(IF(ISNUMBER('Procyclean BIO'!A385),'Procyclean BIO'!A385,DATEVALUE('Procyclean BIO'!A385)),"")</f>
        <v/>
      </c>
      <c r="AC384" t="str">
        <f>IF(AA384="","",'Procyclean BIO'!B385)</f>
        <v/>
      </c>
      <c r="AD384" t="str">
        <f>IF(AA384="","",IFERROR(1*'Procyclean BIO'!C385,IFERROR(_xludf.NUMBERVALUE('Procyclean BIO'!C385,".",","),IFERROR(_xludf.NUMBERVALUE('Procyclean BIO'!C385,",","."),0))))</f>
        <v/>
      </c>
      <c r="AE384" t="str">
        <f>IF(AA384="","",'Procyclean BIO'!J385)</f>
        <v/>
      </c>
      <c r="AF384">
        <f t="shared" si="47"/>
        <v>0</v>
      </c>
      <c r="AG384" t="str">
        <f t="shared" si="48"/>
        <v/>
      </c>
      <c r="AH384" t="str">
        <f t="shared" si="49"/>
        <v/>
      </c>
      <c r="AI384">
        <f t="shared" si="50"/>
        <v>0</v>
      </c>
      <c r="AJ384">
        <f t="shared" si="51"/>
        <v>0</v>
      </c>
      <c r="AK384">
        <v>0</v>
      </c>
      <c r="AL384" t="str">
        <f>IF(AA384="","",IFERROR(IF(ISNUMBER('Procyclean BIO'!D385),'Procyclean BIO'!D385,IF(ISNUMBER(SEARCH("12",'Procyclean BIO'!D385)),EDATE(AB384,12),IF(ISNUMBER(SEARCH("6",'Procyclean BIO'!D385)),EDATE(AB384,6),IF(ISNUMBER(SEARCH("3",'Procyclean BIO'!D385)),EDATE(AB384,3),DATEVALUE('Procyclean BIO'!D385))))),""))</f>
        <v/>
      </c>
      <c r="AM384" t="str">
        <f t="shared" ca="1" si="52"/>
        <v/>
      </c>
    </row>
    <row r="385" spans="27:39" x14ac:dyDescent="0.3">
      <c r="AA385" t="str">
        <f>IF(COUNTA('Procyclean BIO'!A386,'Procyclean BIO'!B386,'Procyclean BIO'!C386)&gt;0,"BIO","")</f>
        <v/>
      </c>
      <c r="AB385" t="str">
        <f>IFERROR(IF(ISNUMBER('Procyclean BIO'!A386),'Procyclean BIO'!A386,DATEVALUE('Procyclean BIO'!A386)),"")</f>
        <v/>
      </c>
      <c r="AC385" t="str">
        <f>IF(AA385="","",'Procyclean BIO'!B386)</f>
        <v/>
      </c>
      <c r="AD385" t="str">
        <f>IF(AA385="","",IFERROR(1*'Procyclean BIO'!C386,IFERROR(_xludf.NUMBERVALUE('Procyclean BIO'!C386,".",","),IFERROR(_xludf.NUMBERVALUE('Procyclean BIO'!C386,",","."),0))))</f>
        <v/>
      </c>
      <c r="AE385" t="str">
        <f>IF(AA385="","",'Procyclean BIO'!J386)</f>
        <v/>
      </c>
      <c r="AF385">
        <f t="shared" si="47"/>
        <v>0</v>
      </c>
      <c r="AG385" t="str">
        <f t="shared" si="48"/>
        <v/>
      </c>
      <c r="AH385" t="str">
        <f t="shared" si="49"/>
        <v/>
      </c>
      <c r="AI385">
        <f t="shared" si="50"/>
        <v>0</v>
      </c>
      <c r="AJ385">
        <f t="shared" si="51"/>
        <v>0</v>
      </c>
      <c r="AK385">
        <v>0</v>
      </c>
      <c r="AL385" t="str">
        <f>IF(AA385="","",IFERROR(IF(ISNUMBER('Procyclean BIO'!D386),'Procyclean BIO'!D386,IF(ISNUMBER(SEARCH("12",'Procyclean BIO'!D386)),EDATE(AB385,12),IF(ISNUMBER(SEARCH("6",'Procyclean BIO'!D386)),EDATE(AB385,6),IF(ISNUMBER(SEARCH("3",'Procyclean BIO'!D386)),EDATE(AB385,3),DATEVALUE('Procyclean BIO'!D386))))),""))</f>
        <v/>
      </c>
      <c r="AM385" t="str">
        <f t="shared" ca="1" si="52"/>
        <v/>
      </c>
    </row>
    <row r="386" spans="27:39" x14ac:dyDescent="0.3">
      <c r="AA386" t="str">
        <f>IF(COUNTA('Procyclean BIO'!A387,'Procyclean BIO'!B387,'Procyclean BIO'!C387)&gt;0,"BIO","")</f>
        <v/>
      </c>
      <c r="AB386" t="str">
        <f>IFERROR(IF(ISNUMBER('Procyclean BIO'!A387),'Procyclean BIO'!A387,DATEVALUE('Procyclean BIO'!A387)),"")</f>
        <v/>
      </c>
      <c r="AC386" t="str">
        <f>IF(AA386="","",'Procyclean BIO'!B387)</f>
        <v/>
      </c>
      <c r="AD386" t="str">
        <f>IF(AA386="","",IFERROR(1*'Procyclean BIO'!C387,IFERROR(_xludf.NUMBERVALUE('Procyclean BIO'!C387,".",","),IFERROR(_xludf.NUMBERVALUE('Procyclean BIO'!C387,",","."),0))))</f>
        <v/>
      </c>
      <c r="AE386" t="str">
        <f>IF(AA386="","",'Procyclean BIO'!J387)</f>
        <v/>
      </c>
      <c r="AF386">
        <f t="shared" ref="AF386:AF449" si="53">IF(AA386="",0,--AND(ISNUMBER(SEARCH("aprov",AE386)),NOT(ISNUMBER(SEARCH("reprov",AE386)))))</f>
        <v>0</v>
      </c>
      <c r="AG386" t="str">
        <f t="shared" ref="AG386:AG449" si="54">IF(AB386="","",YEAR(AB386))</f>
        <v/>
      </c>
      <c r="AH386" t="str">
        <f t="shared" ref="AH386:AH449" si="55">IF(AB386="","",MONTH(AB386))</f>
        <v/>
      </c>
      <c r="AI386">
        <f t="shared" ref="AI386:AI449" si="56">IF(AB386="",0,AB386+ROW()/1000000)</f>
        <v>0</v>
      </c>
      <c r="AJ386">
        <f t="shared" ref="AJ386:AJ449" si="57">--(AA386&lt;&gt;"")</f>
        <v>0</v>
      </c>
      <c r="AK386">
        <v>0</v>
      </c>
      <c r="AL386" t="str">
        <f>IF(AA386="","",IFERROR(IF(ISNUMBER('Procyclean BIO'!D387),'Procyclean BIO'!D387,IF(ISNUMBER(SEARCH("12",'Procyclean BIO'!D387)),EDATE(AB386,12),IF(ISNUMBER(SEARCH("6",'Procyclean BIO'!D387)),EDATE(AB386,6),IF(ISNUMBER(SEARCH("3",'Procyclean BIO'!D387)),EDATE(AB386,3),DATEVALUE('Procyclean BIO'!D387))))),""))</f>
        <v/>
      </c>
      <c r="AM386" t="str">
        <f t="shared" ref="AM386:AM449" ca="1" si="58">IF(AND(AJ386=1,AL386&lt;&gt;"",AL386&gt;=TODAY(),AG386=$W$3),AL386+ROW()/1000000,"")</f>
        <v/>
      </c>
    </row>
    <row r="387" spans="27:39" x14ac:dyDescent="0.3">
      <c r="AA387" t="str">
        <f>IF(COUNTA('Procyclean BIO'!A388,'Procyclean BIO'!B388,'Procyclean BIO'!C388)&gt;0,"BIO","")</f>
        <v/>
      </c>
      <c r="AB387" t="str">
        <f>IFERROR(IF(ISNUMBER('Procyclean BIO'!A388),'Procyclean BIO'!A388,DATEVALUE('Procyclean BIO'!A388)),"")</f>
        <v/>
      </c>
      <c r="AC387" t="str">
        <f>IF(AA387="","",'Procyclean BIO'!B388)</f>
        <v/>
      </c>
      <c r="AD387" t="str">
        <f>IF(AA387="","",IFERROR(1*'Procyclean BIO'!C388,IFERROR(_xludf.NUMBERVALUE('Procyclean BIO'!C388,".",","),IFERROR(_xludf.NUMBERVALUE('Procyclean BIO'!C388,",","."),0))))</f>
        <v/>
      </c>
      <c r="AE387" t="str">
        <f>IF(AA387="","",'Procyclean BIO'!J388)</f>
        <v/>
      </c>
      <c r="AF387">
        <f t="shared" si="53"/>
        <v>0</v>
      </c>
      <c r="AG387" t="str">
        <f t="shared" si="54"/>
        <v/>
      </c>
      <c r="AH387" t="str">
        <f t="shared" si="55"/>
        <v/>
      </c>
      <c r="AI387">
        <f t="shared" si="56"/>
        <v>0</v>
      </c>
      <c r="AJ387">
        <f t="shared" si="57"/>
        <v>0</v>
      </c>
      <c r="AK387">
        <v>0</v>
      </c>
      <c r="AL387" t="str">
        <f>IF(AA387="","",IFERROR(IF(ISNUMBER('Procyclean BIO'!D388),'Procyclean BIO'!D388,IF(ISNUMBER(SEARCH("12",'Procyclean BIO'!D388)),EDATE(AB387,12),IF(ISNUMBER(SEARCH("6",'Procyclean BIO'!D388)),EDATE(AB387,6),IF(ISNUMBER(SEARCH("3",'Procyclean BIO'!D388)),EDATE(AB387,3),DATEVALUE('Procyclean BIO'!D388))))),""))</f>
        <v/>
      </c>
      <c r="AM387" t="str">
        <f t="shared" ca="1" si="58"/>
        <v/>
      </c>
    </row>
    <row r="388" spans="27:39" x14ac:dyDescent="0.3">
      <c r="AA388" t="str">
        <f>IF(COUNTA('Procyclean BIO'!A389,'Procyclean BIO'!B389,'Procyclean BIO'!C389)&gt;0,"BIO","")</f>
        <v/>
      </c>
      <c r="AB388" t="str">
        <f>IFERROR(IF(ISNUMBER('Procyclean BIO'!A389),'Procyclean BIO'!A389,DATEVALUE('Procyclean BIO'!A389)),"")</f>
        <v/>
      </c>
      <c r="AC388" t="str">
        <f>IF(AA388="","",'Procyclean BIO'!B389)</f>
        <v/>
      </c>
      <c r="AD388" t="str">
        <f>IF(AA388="","",IFERROR(1*'Procyclean BIO'!C389,IFERROR(_xludf.NUMBERVALUE('Procyclean BIO'!C389,".",","),IFERROR(_xludf.NUMBERVALUE('Procyclean BIO'!C389,",","."),0))))</f>
        <v/>
      </c>
      <c r="AE388" t="str">
        <f>IF(AA388="","",'Procyclean BIO'!J389)</f>
        <v/>
      </c>
      <c r="AF388">
        <f t="shared" si="53"/>
        <v>0</v>
      </c>
      <c r="AG388" t="str">
        <f t="shared" si="54"/>
        <v/>
      </c>
      <c r="AH388" t="str">
        <f t="shared" si="55"/>
        <v/>
      </c>
      <c r="AI388">
        <f t="shared" si="56"/>
        <v>0</v>
      </c>
      <c r="AJ388">
        <f t="shared" si="57"/>
        <v>0</v>
      </c>
      <c r="AK388">
        <v>0</v>
      </c>
      <c r="AL388" t="str">
        <f>IF(AA388="","",IFERROR(IF(ISNUMBER('Procyclean BIO'!D389),'Procyclean BIO'!D389,IF(ISNUMBER(SEARCH("12",'Procyclean BIO'!D389)),EDATE(AB388,12),IF(ISNUMBER(SEARCH("6",'Procyclean BIO'!D389)),EDATE(AB388,6),IF(ISNUMBER(SEARCH("3",'Procyclean BIO'!D389)),EDATE(AB388,3),DATEVALUE('Procyclean BIO'!D389))))),""))</f>
        <v/>
      </c>
      <c r="AM388" t="str">
        <f t="shared" ca="1" si="58"/>
        <v/>
      </c>
    </row>
    <row r="389" spans="27:39" x14ac:dyDescent="0.3">
      <c r="AA389" t="str">
        <f>IF(COUNTA('Procyclean BIO'!A390,'Procyclean BIO'!B390,'Procyclean BIO'!C390)&gt;0,"BIO","")</f>
        <v/>
      </c>
      <c r="AB389" t="str">
        <f>IFERROR(IF(ISNUMBER('Procyclean BIO'!A390),'Procyclean BIO'!A390,DATEVALUE('Procyclean BIO'!A390)),"")</f>
        <v/>
      </c>
      <c r="AC389" t="str">
        <f>IF(AA389="","",'Procyclean BIO'!B390)</f>
        <v/>
      </c>
      <c r="AD389" t="str">
        <f>IF(AA389="","",IFERROR(1*'Procyclean BIO'!C390,IFERROR(_xludf.NUMBERVALUE('Procyclean BIO'!C390,".",","),IFERROR(_xludf.NUMBERVALUE('Procyclean BIO'!C390,",","."),0))))</f>
        <v/>
      </c>
      <c r="AE389" t="str">
        <f>IF(AA389="","",'Procyclean BIO'!J390)</f>
        <v/>
      </c>
      <c r="AF389">
        <f t="shared" si="53"/>
        <v>0</v>
      </c>
      <c r="AG389" t="str">
        <f t="shared" si="54"/>
        <v/>
      </c>
      <c r="AH389" t="str">
        <f t="shared" si="55"/>
        <v/>
      </c>
      <c r="AI389">
        <f t="shared" si="56"/>
        <v>0</v>
      </c>
      <c r="AJ389">
        <f t="shared" si="57"/>
        <v>0</v>
      </c>
      <c r="AK389">
        <v>0</v>
      </c>
      <c r="AL389" t="str">
        <f>IF(AA389="","",IFERROR(IF(ISNUMBER('Procyclean BIO'!D390),'Procyclean BIO'!D390,IF(ISNUMBER(SEARCH("12",'Procyclean BIO'!D390)),EDATE(AB389,12),IF(ISNUMBER(SEARCH("6",'Procyclean BIO'!D390)),EDATE(AB389,6),IF(ISNUMBER(SEARCH("3",'Procyclean BIO'!D390)),EDATE(AB389,3),DATEVALUE('Procyclean BIO'!D390))))),""))</f>
        <v/>
      </c>
      <c r="AM389" t="str">
        <f t="shared" ca="1" si="58"/>
        <v/>
      </c>
    </row>
    <row r="390" spans="27:39" x14ac:dyDescent="0.3">
      <c r="AA390" t="str">
        <f>IF(COUNTA('Procyclean BIO'!A391,'Procyclean BIO'!B391,'Procyclean BIO'!C391)&gt;0,"BIO","")</f>
        <v/>
      </c>
      <c r="AB390" t="str">
        <f>IFERROR(IF(ISNUMBER('Procyclean BIO'!A391),'Procyclean BIO'!A391,DATEVALUE('Procyclean BIO'!A391)),"")</f>
        <v/>
      </c>
      <c r="AC390" t="str">
        <f>IF(AA390="","",'Procyclean BIO'!B391)</f>
        <v/>
      </c>
      <c r="AD390" t="str">
        <f>IF(AA390="","",IFERROR(1*'Procyclean BIO'!C391,IFERROR(_xludf.NUMBERVALUE('Procyclean BIO'!C391,".",","),IFERROR(_xludf.NUMBERVALUE('Procyclean BIO'!C391,",","."),0))))</f>
        <v/>
      </c>
      <c r="AE390" t="str">
        <f>IF(AA390="","",'Procyclean BIO'!J391)</f>
        <v/>
      </c>
      <c r="AF390">
        <f t="shared" si="53"/>
        <v>0</v>
      </c>
      <c r="AG390" t="str">
        <f t="shared" si="54"/>
        <v/>
      </c>
      <c r="AH390" t="str">
        <f t="shared" si="55"/>
        <v/>
      </c>
      <c r="AI390">
        <f t="shared" si="56"/>
        <v>0</v>
      </c>
      <c r="AJ390">
        <f t="shared" si="57"/>
        <v>0</v>
      </c>
      <c r="AK390">
        <v>0</v>
      </c>
      <c r="AL390" t="str">
        <f>IF(AA390="","",IFERROR(IF(ISNUMBER('Procyclean BIO'!D391),'Procyclean BIO'!D391,IF(ISNUMBER(SEARCH("12",'Procyclean BIO'!D391)),EDATE(AB390,12),IF(ISNUMBER(SEARCH("6",'Procyclean BIO'!D391)),EDATE(AB390,6),IF(ISNUMBER(SEARCH("3",'Procyclean BIO'!D391)),EDATE(AB390,3),DATEVALUE('Procyclean BIO'!D391))))),""))</f>
        <v/>
      </c>
      <c r="AM390" t="str">
        <f t="shared" ca="1" si="58"/>
        <v/>
      </c>
    </row>
    <row r="391" spans="27:39" x14ac:dyDescent="0.3">
      <c r="AA391" t="str">
        <f>IF(COUNTA('Procyclean BIO'!A392,'Procyclean BIO'!B392,'Procyclean BIO'!C392)&gt;0,"BIO","")</f>
        <v/>
      </c>
      <c r="AB391" t="str">
        <f>IFERROR(IF(ISNUMBER('Procyclean BIO'!A392),'Procyclean BIO'!A392,DATEVALUE('Procyclean BIO'!A392)),"")</f>
        <v/>
      </c>
      <c r="AC391" t="str">
        <f>IF(AA391="","",'Procyclean BIO'!B392)</f>
        <v/>
      </c>
      <c r="AD391" t="str">
        <f>IF(AA391="","",IFERROR(1*'Procyclean BIO'!C392,IFERROR(_xludf.NUMBERVALUE('Procyclean BIO'!C392,".",","),IFERROR(_xludf.NUMBERVALUE('Procyclean BIO'!C392,",","."),0))))</f>
        <v/>
      </c>
      <c r="AE391" t="str">
        <f>IF(AA391="","",'Procyclean BIO'!J392)</f>
        <v/>
      </c>
      <c r="AF391">
        <f t="shared" si="53"/>
        <v>0</v>
      </c>
      <c r="AG391" t="str">
        <f t="shared" si="54"/>
        <v/>
      </c>
      <c r="AH391" t="str">
        <f t="shared" si="55"/>
        <v/>
      </c>
      <c r="AI391">
        <f t="shared" si="56"/>
        <v>0</v>
      </c>
      <c r="AJ391">
        <f t="shared" si="57"/>
        <v>0</v>
      </c>
      <c r="AK391">
        <v>0</v>
      </c>
      <c r="AL391" t="str">
        <f>IF(AA391="","",IFERROR(IF(ISNUMBER('Procyclean BIO'!D392),'Procyclean BIO'!D392,IF(ISNUMBER(SEARCH("12",'Procyclean BIO'!D392)),EDATE(AB391,12),IF(ISNUMBER(SEARCH("6",'Procyclean BIO'!D392)),EDATE(AB391,6),IF(ISNUMBER(SEARCH("3",'Procyclean BIO'!D392)),EDATE(AB391,3),DATEVALUE('Procyclean BIO'!D392))))),""))</f>
        <v/>
      </c>
      <c r="AM391" t="str">
        <f t="shared" ca="1" si="58"/>
        <v/>
      </c>
    </row>
    <row r="392" spans="27:39" x14ac:dyDescent="0.3">
      <c r="AA392" t="str">
        <f>IF(COUNTA('Procyclean BIO'!A393,'Procyclean BIO'!B393,'Procyclean BIO'!C393)&gt;0,"BIO","")</f>
        <v/>
      </c>
      <c r="AB392" t="str">
        <f>IFERROR(IF(ISNUMBER('Procyclean BIO'!A393),'Procyclean BIO'!A393,DATEVALUE('Procyclean BIO'!A393)),"")</f>
        <v/>
      </c>
      <c r="AC392" t="str">
        <f>IF(AA392="","",'Procyclean BIO'!B393)</f>
        <v/>
      </c>
      <c r="AD392" t="str">
        <f>IF(AA392="","",IFERROR(1*'Procyclean BIO'!C393,IFERROR(_xludf.NUMBERVALUE('Procyclean BIO'!C393,".",","),IFERROR(_xludf.NUMBERVALUE('Procyclean BIO'!C393,",","."),0))))</f>
        <v/>
      </c>
      <c r="AE392" t="str">
        <f>IF(AA392="","",'Procyclean BIO'!J393)</f>
        <v/>
      </c>
      <c r="AF392">
        <f t="shared" si="53"/>
        <v>0</v>
      </c>
      <c r="AG392" t="str">
        <f t="shared" si="54"/>
        <v/>
      </c>
      <c r="AH392" t="str">
        <f t="shared" si="55"/>
        <v/>
      </c>
      <c r="AI392">
        <f t="shared" si="56"/>
        <v>0</v>
      </c>
      <c r="AJ392">
        <f t="shared" si="57"/>
        <v>0</v>
      </c>
      <c r="AK392">
        <v>0</v>
      </c>
      <c r="AL392" t="str">
        <f>IF(AA392="","",IFERROR(IF(ISNUMBER('Procyclean BIO'!D393),'Procyclean BIO'!D393,IF(ISNUMBER(SEARCH("12",'Procyclean BIO'!D393)),EDATE(AB392,12),IF(ISNUMBER(SEARCH("6",'Procyclean BIO'!D393)),EDATE(AB392,6),IF(ISNUMBER(SEARCH("3",'Procyclean BIO'!D393)),EDATE(AB392,3),DATEVALUE('Procyclean BIO'!D393))))),""))</f>
        <v/>
      </c>
      <c r="AM392" t="str">
        <f t="shared" ca="1" si="58"/>
        <v/>
      </c>
    </row>
    <row r="393" spans="27:39" x14ac:dyDescent="0.3">
      <c r="AA393" t="str">
        <f>IF(COUNTA('Procyclean BIO'!A394,'Procyclean BIO'!B394,'Procyclean BIO'!C394)&gt;0,"BIO","")</f>
        <v/>
      </c>
      <c r="AB393" t="str">
        <f>IFERROR(IF(ISNUMBER('Procyclean BIO'!A394),'Procyclean BIO'!A394,DATEVALUE('Procyclean BIO'!A394)),"")</f>
        <v/>
      </c>
      <c r="AC393" t="str">
        <f>IF(AA393="","",'Procyclean BIO'!B394)</f>
        <v/>
      </c>
      <c r="AD393" t="str">
        <f>IF(AA393="","",IFERROR(1*'Procyclean BIO'!C394,IFERROR(_xludf.NUMBERVALUE('Procyclean BIO'!C394,".",","),IFERROR(_xludf.NUMBERVALUE('Procyclean BIO'!C394,",","."),0))))</f>
        <v/>
      </c>
      <c r="AE393" t="str">
        <f>IF(AA393="","",'Procyclean BIO'!J394)</f>
        <v/>
      </c>
      <c r="AF393">
        <f t="shared" si="53"/>
        <v>0</v>
      </c>
      <c r="AG393" t="str">
        <f t="shared" si="54"/>
        <v/>
      </c>
      <c r="AH393" t="str">
        <f t="shared" si="55"/>
        <v/>
      </c>
      <c r="AI393">
        <f t="shared" si="56"/>
        <v>0</v>
      </c>
      <c r="AJ393">
        <f t="shared" si="57"/>
        <v>0</v>
      </c>
      <c r="AK393">
        <v>0</v>
      </c>
      <c r="AL393" t="str">
        <f>IF(AA393="","",IFERROR(IF(ISNUMBER('Procyclean BIO'!D394),'Procyclean BIO'!D394,IF(ISNUMBER(SEARCH("12",'Procyclean BIO'!D394)),EDATE(AB393,12),IF(ISNUMBER(SEARCH("6",'Procyclean BIO'!D394)),EDATE(AB393,6),IF(ISNUMBER(SEARCH("3",'Procyclean BIO'!D394)),EDATE(AB393,3),DATEVALUE('Procyclean BIO'!D394))))),""))</f>
        <v/>
      </c>
      <c r="AM393" t="str">
        <f t="shared" ca="1" si="58"/>
        <v/>
      </c>
    </row>
    <row r="394" spans="27:39" x14ac:dyDescent="0.3">
      <c r="AA394" t="str">
        <f>IF(COUNTA('Procyclean BIO'!A395,'Procyclean BIO'!B395,'Procyclean BIO'!C395)&gt;0,"BIO","")</f>
        <v/>
      </c>
      <c r="AB394" t="str">
        <f>IFERROR(IF(ISNUMBER('Procyclean BIO'!A395),'Procyclean BIO'!A395,DATEVALUE('Procyclean BIO'!A395)),"")</f>
        <v/>
      </c>
      <c r="AC394" t="str">
        <f>IF(AA394="","",'Procyclean BIO'!B395)</f>
        <v/>
      </c>
      <c r="AD394" t="str">
        <f>IF(AA394="","",IFERROR(1*'Procyclean BIO'!C395,IFERROR(_xludf.NUMBERVALUE('Procyclean BIO'!C395,".",","),IFERROR(_xludf.NUMBERVALUE('Procyclean BIO'!C395,",","."),0))))</f>
        <v/>
      </c>
      <c r="AE394" t="str">
        <f>IF(AA394="","",'Procyclean BIO'!J395)</f>
        <v/>
      </c>
      <c r="AF394">
        <f t="shared" si="53"/>
        <v>0</v>
      </c>
      <c r="AG394" t="str">
        <f t="shared" si="54"/>
        <v/>
      </c>
      <c r="AH394" t="str">
        <f t="shared" si="55"/>
        <v/>
      </c>
      <c r="AI394">
        <f t="shared" si="56"/>
        <v>0</v>
      </c>
      <c r="AJ394">
        <f t="shared" si="57"/>
        <v>0</v>
      </c>
      <c r="AK394">
        <v>0</v>
      </c>
      <c r="AL394" t="str">
        <f>IF(AA394="","",IFERROR(IF(ISNUMBER('Procyclean BIO'!D395),'Procyclean BIO'!D395,IF(ISNUMBER(SEARCH("12",'Procyclean BIO'!D395)),EDATE(AB394,12),IF(ISNUMBER(SEARCH("6",'Procyclean BIO'!D395)),EDATE(AB394,6),IF(ISNUMBER(SEARCH("3",'Procyclean BIO'!D395)),EDATE(AB394,3),DATEVALUE('Procyclean BIO'!D395))))),""))</f>
        <v/>
      </c>
      <c r="AM394" t="str">
        <f t="shared" ca="1" si="58"/>
        <v/>
      </c>
    </row>
    <row r="395" spans="27:39" x14ac:dyDescent="0.3">
      <c r="AA395" t="str">
        <f>IF(COUNTA('Procyclean BIO'!A396,'Procyclean BIO'!B396,'Procyclean BIO'!C396)&gt;0,"BIO","")</f>
        <v/>
      </c>
      <c r="AB395" t="str">
        <f>IFERROR(IF(ISNUMBER('Procyclean BIO'!A396),'Procyclean BIO'!A396,DATEVALUE('Procyclean BIO'!A396)),"")</f>
        <v/>
      </c>
      <c r="AC395" t="str">
        <f>IF(AA395="","",'Procyclean BIO'!B396)</f>
        <v/>
      </c>
      <c r="AD395" t="str">
        <f>IF(AA395="","",IFERROR(1*'Procyclean BIO'!C396,IFERROR(_xludf.NUMBERVALUE('Procyclean BIO'!C396,".",","),IFERROR(_xludf.NUMBERVALUE('Procyclean BIO'!C396,",","."),0))))</f>
        <v/>
      </c>
      <c r="AE395" t="str">
        <f>IF(AA395="","",'Procyclean BIO'!J396)</f>
        <v/>
      </c>
      <c r="AF395">
        <f t="shared" si="53"/>
        <v>0</v>
      </c>
      <c r="AG395" t="str">
        <f t="shared" si="54"/>
        <v/>
      </c>
      <c r="AH395" t="str">
        <f t="shared" si="55"/>
        <v/>
      </c>
      <c r="AI395">
        <f t="shared" si="56"/>
        <v>0</v>
      </c>
      <c r="AJ395">
        <f t="shared" si="57"/>
        <v>0</v>
      </c>
      <c r="AK395">
        <v>0</v>
      </c>
      <c r="AL395" t="str">
        <f>IF(AA395="","",IFERROR(IF(ISNUMBER('Procyclean BIO'!D396),'Procyclean BIO'!D396,IF(ISNUMBER(SEARCH("12",'Procyclean BIO'!D396)),EDATE(AB395,12),IF(ISNUMBER(SEARCH("6",'Procyclean BIO'!D396)),EDATE(AB395,6),IF(ISNUMBER(SEARCH("3",'Procyclean BIO'!D396)),EDATE(AB395,3),DATEVALUE('Procyclean BIO'!D396))))),""))</f>
        <v/>
      </c>
      <c r="AM395" t="str">
        <f t="shared" ca="1" si="58"/>
        <v/>
      </c>
    </row>
    <row r="396" spans="27:39" x14ac:dyDescent="0.3">
      <c r="AA396" t="str">
        <f>IF(COUNTA('Procyclean BIO'!A397,'Procyclean BIO'!B397,'Procyclean BIO'!C397)&gt;0,"BIO","")</f>
        <v/>
      </c>
      <c r="AB396" t="str">
        <f>IFERROR(IF(ISNUMBER('Procyclean BIO'!A397),'Procyclean BIO'!A397,DATEVALUE('Procyclean BIO'!A397)),"")</f>
        <v/>
      </c>
      <c r="AC396" t="str">
        <f>IF(AA396="","",'Procyclean BIO'!B397)</f>
        <v/>
      </c>
      <c r="AD396" t="str">
        <f>IF(AA396="","",IFERROR(1*'Procyclean BIO'!C397,IFERROR(_xludf.NUMBERVALUE('Procyclean BIO'!C397,".",","),IFERROR(_xludf.NUMBERVALUE('Procyclean BIO'!C397,",","."),0))))</f>
        <v/>
      </c>
      <c r="AE396" t="str">
        <f>IF(AA396="","",'Procyclean BIO'!J397)</f>
        <v/>
      </c>
      <c r="AF396">
        <f t="shared" si="53"/>
        <v>0</v>
      </c>
      <c r="AG396" t="str">
        <f t="shared" si="54"/>
        <v/>
      </c>
      <c r="AH396" t="str">
        <f t="shared" si="55"/>
        <v/>
      </c>
      <c r="AI396">
        <f t="shared" si="56"/>
        <v>0</v>
      </c>
      <c r="AJ396">
        <f t="shared" si="57"/>
        <v>0</v>
      </c>
      <c r="AK396">
        <v>0</v>
      </c>
      <c r="AL396" t="str">
        <f>IF(AA396="","",IFERROR(IF(ISNUMBER('Procyclean BIO'!D397),'Procyclean BIO'!D397,IF(ISNUMBER(SEARCH("12",'Procyclean BIO'!D397)),EDATE(AB396,12),IF(ISNUMBER(SEARCH("6",'Procyclean BIO'!D397)),EDATE(AB396,6),IF(ISNUMBER(SEARCH("3",'Procyclean BIO'!D397)),EDATE(AB396,3),DATEVALUE('Procyclean BIO'!D397))))),""))</f>
        <v/>
      </c>
      <c r="AM396" t="str">
        <f t="shared" ca="1" si="58"/>
        <v/>
      </c>
    </row>
    <row r="397" spans="27:39" x14ac:dyDescent="0.3">
      <c r="AA397" t="str">
        <f>IF(COUNTA('Procyclean BIO'!A398,'Procyclean BIO'!B398,'Procyclean BIO'!C398)&gt;0,"BIO","")</f>
        <v/>
      </c>
      <c r="AB397" t="str">
        <f>IFERROR(IF(ISNUMBER('Procyclean BIO'!A398),'Procyclean BIO'!A398,DATEVALUE('Procyclean BIO'!A398)),"")</f>
        <v/>
      </c>
      <c r="AC397" t="str">
        <f>IF(AA397="","",'Procyclean BIO'!B398)</f>
        <v/>
      </c>
      <c r="AD397" t="str">
        <f>IF(AA397="","",IFERROR(1*'Procyclean BIO'!C398,IFERROR(_xludf.NUMBERVALUE('Procyclean BIO'!C398,".",","),IFERROR(_xludf.NUMBERVALUE('Procyclean BIO'!C398,",","."),0))))</f>
        <v/>
      </c>
      <c r="AE397" t="str">
        <f>IF(AA397="","",'Procyclean BIO'!J398)</f>
        <v/>
      </c>
      <c r="AF397">
        <f t="shared" si="53"/>
        <v>0</v>
      </c>
      <c r="AG397" t="str">
        <f t="shared" si="54"/>
        <v/>
      </c>
      <c r="AH397" t="str">
        <f t="shared" si="55"/>
        <v/>
      </c>
      <c r="AI397">
        <f t="shared" si="56"/>
        <v>0</v>
      </c>
      <c r="AJ397">
        <f t="shared" si="57"/>
        <v>0</v>
      </c>
      <c r="AK397">
        <v>0</v>
      </c>
      <c r="AL397" t="str">
        <f>IF(AA397="","",IFERROR(IF(ISNUMBER('Procyclean BIO'!D398),'Procyclean BIO'!D398,IF(ISNUMBER(SEARCH("12",'Procyclean BIO'!D398)),EDATE(AB397,12),IF(ISNUMBER(SEARCH("6",'Procyclean BIO'!D398)),EDATE(AB397,6),IF(ISNUMBER(SEARCH("3",'Procyclean BIO'!D398)),EDATE(AB397,3),DATEVALUE('Procyclean BIO'!D398))))),""))</f>
        <v/>
      </c>
      <c r="AM397" t="str">
        <f t="shared" ca="1" si="58"/>
        <v/>
      </c>
    </row>
    <row r="398" spans="27:39" x14ac:dyDescent="0.3">
      <c r="AA398" t="str">
        <f>IF(COUNTA('Procyclean BIO'!A399,'Procyclean BIO'!B399,'Procyclean BIO'!C399)&gt;0,"BIO","")</f>
        <v/>
      </c>
      <c r="AB398" t="str">
        <f>IFERROR(IF(ISNUMBER('Procyclean BIO'!A399),'Procyclean BIO'!A399,DATEVALUE('Procyclean BIO'!A399)),"")</f>
        <v/>
      </c>
      <c r="AC398" t="str">
        <f>IF(AA398="","",'Procyclean BIO'!B399)</f>
        <v/>
      </c>
      <c r="AD398" t="str">
        <f>IF(AA398="","",IFERROR(1*'Procyclean BIO'!C399,IFERROR(_xludf.NUMBERVALUE('Procyclean BIO'!C399,".",","),IFERROR(_xludf.NUMBERVALUE('Procyclean BIO'!C399,",","."),0))))</f>
        <v/>
      </c>
      <c r="AE398" t="str">
        <f>IF(AA398="","",'Procyclean BIO'!J399)</f>
        <v/>
      </c>
      <c r="AF398">
        <f t="shared" si="53"/>
        <v>0</v>
      </c>
      <c r="AG398" t="str">
        <f t="shared" si="54"/>
        <v/>
      </c>
      <c r="AH398" t="str">
        <f t="shared" si="55"/>
        <v/>
      </c>
      <c r="AI398">
        <f t="shared" si="56"/>
        <v>0</v>
      </c>
      <c r="AJ398">
        <f t="shared" si="57"/>
        <v>0</v>
      </c>
      <c r="AK398">
        <v>0</v>
      </c>
      <c r="AL398" t="str">
        <f>IF(AA398="","",IFERROR(IF(ISNUMBER('Procyclean BIO'!D399),'Procyclean BIO'!D399,IF(ISNUMBER(SEARCH("12",'Procyclean BIO'!D399)),EDATE(AB398,12),IF(ISNUMBER(SEARCH("6",'Procyclean BIO'!D399)),EDATE(AB398,6),IF(ISNUMBER(SEARCH("3",'Procyclean BIO'!D399)),EDATE(AB398,3),DATEVALUE('Procyclean BIO'!D399))))),""))</f>
        <v/>
      </c>
      <c r="AM398" t="str">
        <f t="shared" ca="1" si="58"/>
        <v/>
      </c>
    </row>
    <row r="399" spans="27:39" x14ac:dyDescent="0.3">
      <c r="AA399" t="str">
        <f>IF(COUNTA('Procyclean BIO'!A400,'Procyclean BIO'!B400,'Procyclean BIO'!C400)&gt;0,"BIO","")</f>
        <v/>
      </c>
      <c r="AB399" t="str">
        <f>IFERROR(IF(ISNUMBER('Procyclean BIO'!A400),'Procyclean BIO'!A400,DATEVALUE('Procyclean BIO'!A400)),"")</f>
        <v/>
      </c>
      <c r="AC399" t="str">
        <f>IF(AA399="","",'Procyclean BIO'!B400)</f>
        <v/>
      </c>
      <c r="AD399" t="str">
        <f>IF(AA399="","",IFERROR(1*'Procyclean BIO'!C400,IFERROR(_xludf.NUMBERVALUE('Procyclean BIO'!C400,".",","),IFERROR(_xludf.NUMBERVALUE('Procyclean BIO'!C400,",","."),0))))</f>
        <v/>
      </c>
      <c r="AE399" t="str">
        <f>IF(AA399="","",'Procyclean BIO'!J400)</f>
        <v/>
      </c>
      <c r="AF399">
        <f t="shared" si="53"/>
        <v>0</v>
      </c>
      <c r="AG399" t="str">
        <f t="shared" si="54"/>
        <v/>
      </c>
      <c r="AH399" t="str">
        <f t="shared" si="55"/>
        <v/>
      </c>
      <c r="AI399">
        <f t="shared" si="56"/>
        <v>0</v>
      </c>
      <c r="AJ399">
        <f t="shared" si="57"/>
        <v>0</v>
      </c>
      <c r="AK399">
        <v>0</v>
      </c>
      <c r="AL399" t="str">
        <f>IF(AA399="","",IFERROR(IF(ISNUMBER('Procyclean BIO'!D400),'Procyclean BIO'!D400,IF(ISNUMBER(SEARCH("12",'Procyclean BIO'!D400)),EDATE(AB399,12),IF(ISNUMBER(SEARCH("6",'Procyclean BIO'!D400)),EDATE(AB399,6),IF(ISNUMBER(SEARCH("3",'Procyclean BIO'!D400)),EDATE(AB399,3),DATEVALUE('Procyclean BIO'!D400))))),""))</f>
        <v/>
      </c>
      <c r="AM399" t="str">
        <f t="shared" ca="1" si="58"/>
        <v/>
      </c>
    </row>
    <row r="400" spans="27:39" x14ac:dyDescent="0.3">
      <c r="AA400" t="str">
        <f>IF(COUNTA('Procyclean BIO'!A401,'Procyclean BIO'!B401,'Procyclean BIO'!C401)&gt;0,"BIO","")</f>
        <v/>
      </c>
      <c r="AB400" t="str">
        <f>IFERROR(IF(ISNUMBER('Procyclean BIO'!A401),'Procyclean BIO'!A401,DATEVALUE('Procyclean BIO'!A401)),"")</f>
        <v/>
      </c>
      <c r="AC400" t="str">
        <f>IF(AA400="","",'Procyclean BIO'!B401)</f>
        <v/>
      </c>
      <c r="AD400" t="str">
        <f>IF(AA400="","",IFERROR(1*'Procyclean BIO'!C401,IFERROR(_xludf.NUMBERVALUE('Procyclean BIO'!C401,".",","),IFERROR(_xludf.NUMBERVALUE('Procyclean BIO'!C401,",","."),0))))</f>
        <v/>
      </c>
      <c r="AE400" t="str">
        <f>IF(AA400="","",'Procyclean BIO'!J401)</f>
        <v/>
      </c>
      <c r="AF400">
        <f t="shared" si="53"/>
        <v>0</v>
      </c>
      <c r="AG400" t="str">
        <f t="shared" si="54"/>
        <v/>
      </c>
      <c r="AH400" t="str">
        <f t="shared" si="55"/>
        <v/>
      </c>
      <c r="AI400">
        <f t="shared" si="56"/>
        <v>0</v>
      </c>
      <c r="AJ400">
        <f t="shared" si="57"/>
        <v>0</v>
      </c>
      <c r="AK400">
        <v>0</v>
      </c>
      <c r="AL400" t="str">
        <f>IF(AA400="","",IFERROR(IF(ISNUMBER('Procyclean BIO'!D401),'Procyclean BIO'!D401,IF(ISNUMBER(SEARCH("12",'Procyclean BIO'!D401)),EDATE(AB400,12),IF(ISNUMBER(SEARCH("6",'Procyclean BIO'!D401)),EDATE(AB400,6),IF(ISNUMBER(SEARCH("3",'Procyclean BIO'!D401)),EDATE(AB400,3),DATEVALUE('Procyclean BIO'!D401))))),""))</f>
        <v/>
      </c>
      <c r="AM400" t="str">
        <f t="shared" ca="1" si="58"/>
        <v/>
      </c>
    </row>
    <row r="401" spans="27:39" x14ac:dyDescent="0.3">
      <c r="AA401" t="str">
        <f>IF(COUNTA('Procyclean BIO'!A402,'Procyclean BIO'!B402,'Procyclean BIO'!C402)&gt;0,"BIO","")</f>
        <v/>
      </c>
      <c r="AB401" t="str">
        <f>IFERROR(IF(ISNUMBER('Procyclean BIO'!A402),'Procyclean BIO'!A402,DATEVALUE('Procyclean BIO'!A402)),"")</f>
        <v/>
      </c>
      <c r="AC401" t="str">
        <f>IF(AA401="","",'Procyclean BIO'!B402)</f>
        <v/>
      </c>
      <c r="AD401" t="str">
        <f>IF(AA401="","",IFERROR(1*'Procyclean BIO'!C402,IFERROR(_xludf.NUMBERVALUE('Procyclean BIO'!C402,".",","),IFERROR(_xludf.NUMBERVALUE('Procyclean BIO'!C402,",","."),0))))</f>
        <v/>
      </c>
      <c r="AE401" t="str">
        <f>IF(AA401="","",'Procyclean BIO'!J402)</f>
        <v/>
      </c>
      <c r="AF401">
        <f t="shared" si="53"/>
        <v>0</v>
      </c>
      <c r="AG401" t="str">
        <f t="shared" si="54"/>
        <v/>
      </c>
      <c r="AH401" t="str">
        <f t="shared" si="55"/>
        <v/>
      </c>
      <c r="AI401">
        <f t="shared" si="56"/>
        <v>0</v>
      </c>
      <c r="AJ401">
        <f t="shared" si="57"/>
        <v>0</v>
      </c>
      <c r="AK401">
        <v>0</v>
      </c>
      <c r="AL401" t="str">
        <f>IF(AA401="","",IFERROR(IF(ISNUMBER('Procyclean BIO'!D402),'Procyclean BIO'!D402,IF(ISNUMBER(SEARCH("12",'Procyclean BIO'!D402)),EDATE(AB401,12),IF(ISNUMBER(SEARCH("6",'Procyclean BIO'!D402)),EDATE(AB401,6),IF(ISNUMBER(SEARCH("3",'Procyclean BIO'!D402)),EDATE(AB401,3),DATEVALUE('Procyclean BIO'!D402))))),""))</f>
        <v/>
      </c>
      <c r="AM401" t="str">
        <f t="shared" ca="1" si="58"/>
        <v/>
      </c>
    </row>
    <row r="402" spans="27:39" x14ac:dyDescent="0.3">
      <c r="AA402" t="str">
        <f>IF(COUNTA('Procyclean BIO'!A403,'Procyclean BIO'!B403,'Procyclean BIO'!C403)&gt;0,"BIO","")</f>
        <v/>
      </c>
      <c r="AB402" t="str">
        <f>IFERROR(IF(ISNUMBER('Procyclean BIO'!A403),'Procyclean BIO'!A403,DATEVALUE('Procyclean BIO'!A403)),"")</f>
        <v/>
      </c>
      <c r="AC402" t="str">
        <f>IF(AA402="","",'Procyclean BIO'!B403)</f>
        <v/>
      </c>
      <c r="AD402" t="str">
        <f>IF(AA402="","",IFERROR(1*'Procyclean BIO'!C403,IFERROR(_xludf.NUMBERVALUE('Procyclean BIO'!C403,".",","),IFERROR(_xludf.NUMBERVALUE('Procyclean BIO'!C403,",","."),0))))</f>
        <v/>
      </c>
      <c r="AE402" t="str">
        <f>IF(AA402="","",'Procyclean BIO'!J403)</f>
        <v/>
      </c>
      <c r="AF402">
        <f t="shared" si="53"/>
        <v>0</v>
      </c>
      <c r="AG402" t="str">
        <f t="shared" si="54"/>
        <v/>
      </c>
      <c r="AH402" t="str">
        <f t="shared" si="55"/>
        <v/>
      </c>
      <c r="AI402">
        <f t="shared" si="56"/>
        <v>0</v>
      </c>
      <c r="AJ402">
        <f t="shared" si="57"/>
        <v>0</v>
      </c>
      <c r="AK402">
        <v>0</v>
      </c>
      <c r="AL402" t="str">
        <f>IF(AA402="","",IFERROR(IF(ISNUMBER('Procyclean BIO'!D403),'Procyclean BIO'!D403,IF(ISNUMBER(SEARCH("12",'Procyclean BIO'!D403)),EDATE(AB402,12),IF(ISNUMBER(SEARCH("6",'Procyclean BIO'!D403)),EDATE(AB402,6),IF(ISNUMBER(SEARCH("3",'Procyclean BIO'!D403)),EDATE(AB402,3),DATEVALUE('Procyclean BIO'!D403))))),""))</f>
        <v/>
      </c>
      <c r="AM402" t="str">
        <f t="shared" ca="1" si="58"/>
        <v/>
      </c>
    </row>
    <row r="403" spans="27:39" x14ac:dyDescent="0.3">
      <c r="AA403" t="str">
        <f>IF(COUNTA('Procyclean BIO'!A404,'Procyclean BIO'!B404,'Procyclean BIO'!C404)&gt;0,"BIO","")</f>
        <v/>
      </c>
      <c r="AB403" t="str">
        <f>IFERROR(IF(ISNUMBER('Procyclean BIO'!A404),'Procyclean BIO'!A404,DATEVALUE('Procyclean BIO'!A404)),"")</f>
        <v/>
      </c>
      <c r="AC403" t="str">
        <f>IF(AA403="","",'Procyclean BIO'!B404)</f>
        <v/>
      </c>
      <c r="AD403" t="str">
        <f>IF(AA403="","",IFERROR(1*'Procyclean BIO'!C404,IFERROR(_xludf.NUMBERVALUE('Procyclean BIO'!C404,".",","),IFERROR(_xludf.NUMBERVALUE('Procyclean BIO'!C404,",","."),0))))</f>
        <v/>
      </c>
      <c r="AE403" t="str">
        <f>IF(AA403="","",'Procyclean BIO'!J404)</f>
        <v/>
      </c>
      <c r="AF403">
        <f t="shared" si="53"/>
        <v>0</v>
      </c>
      <c r="AG403" t="str">
        <f t="shared" si="54"/>
        <v/>
      </c>
      <c r="AH403" t="str">
        <f t="shared" si="55"/>
        <v/>
      </c>
      <c r="AI403">
        <f t="shared" si="56"/>
        <v>0</v>
      </c>
      <c r="AJ403">
        <f t="shared" si="57"/>
        <v>0</v>
      </c>
      <c r="AK403">
        <v>0</v>
      </c>
      <c r="AL403" t="str">
        <f>IF(AA403="","",IFERROR(IF(ISNUMBER('Procyclean BIO'!D404),'Procyclean BIO'!D404,IF(ISNUMBER(SEARCH("12",'Procyclean BIO'!D404)),EDATE(AB403,12),IF(ISNUMBER(SEARCH("6",'Procyclean BIO'!D404)),EDATE(AB403,6),IF(ISNUMBER(SEARCH("3",'Procyclean BIO'!D404)),EDATE(AB403,3),DATEVALUE('Procyclean BIO'!D404))))),""))</f>
        <v/>
      </c>
      <c r="AM403" t="str">
        <f t="shared" ca="1" si="58"/>
        <v/>
      </c>
    </row>
    <row r="404" spans="27:39" x14ac:dyDescent="0.3">
      <c r="AA404" t="str">
        <f>IF(COUNTA('Procyclean BIO'!A405,'Procyclean BIO'!B405,'Procyclean BIO'!C405)&gt;0,"BIO","")</f>
        <v/>
      </c>
      <c r="AB404" t="str">
        <f>IFERROR(IF(ISNUMBER('Procyclean BIO'!A405),'Procyclean BIO'!A405,DATEVALUE('Procyclean BIO'!A405)),"")</f>
        <v/>
      </c>
      <c r="AC404" t="str">
        <f>IF(AA404="","",'Procyclean BIO'!B405)</f>
        <v/>
      </c>
      <c r="AD404" t="str">
        <f>IF(AA404="","",IFERROR(1*'Procyclean BIO'!C405,IFERROR(_xludf.NUMBERVALUE('Procyclean BIO'!C405,".",","),IFERROR(_xludf.NUMBERVALUE('Procyclean BIO'!C405,",","."),0))))</f>
        <v/>
      </c>
      <c r="AE404" t="str">
        <f>IF(AA404="","",'Procyclean BIO'!J405)</f>
        <v/>
      </c>
      <c r="AF404">
        <f t="shared" si="53"/>
        <v>0</v>
      </c>
      <c r="AG404" t="str">
        <f t="shared" si="54"/>
        <v/>
      </c>
      <c r="AH404" t="str">
        <f t="shared" si="55"/>
        <v/>
      </c>
      <c r="AI404">
        <f t="shared" si="56"/>
        <v>0</v>
      </c>
      <c r="AJ404">
        <f t="shared" si="57"/>
        <v>0</v>
      </c>
      <c r="AK404">
        <v>0</v>
      </c>
      <c r="AL404" t="str">
        <f>IF(AA404="","",IFERROR(IF(ISNUMBER('Procyclean BIO'!D405),'Procyclean BIO'!D405,IF(ISNUMBER(SEARCH("12",'Procyclean BIO'!D405)),EDATE(AB404,12),IF(ISNUMBER(SEARCH("6",'Procyclean BIO'!D405)),EDATE(AB404,6),IF(ISNUMBER(SEARCH("3",'Procyclean BIO'!D405)),EDATE(AB404,3),DATEVALUE('Procyclean BIO'!D405))))),""))</f>
        <v/>
      </c>
      <c r="AM404" t="str">
        <f t="shared" ca="1" si="58"/>
        <v/>
      </c>
    </row>
    <row r="405" spans="27:39" x14ac:dyDescent="0.3">
      <c r="AA405" t="str">
        <f>IF(COUNTA('Procyclean BIO'!A406,'Procyclean BIO'!B406,'Procyclean BIO'!C406)&gt;0,"BIO","")</f>
        <v/>
      </c>
      <c r="AB405" t="str">
        <f>IFERROR(IF(ISNUMBER('Procyclean BIO'!A406),'Procyclean BIO'!A406,DATEVALUE('Procyclean BIO'!A406)),"")</f>
        <v/>
      </c>
      <c r="AC405" t="str">
        <f>IF(AA405="","",'Procyclean BIO'!B406)</f>
        <v/>
      </c>
      <c r="AD405" t="str">
        <f>IF(AA405="","",IFERROR(1*'Procyclean BIO'!C406,IFERROR(_xludf.NUMBERVALUE('Procyclean BIO'!C406,".",","),IFERROR(_xludf.NUMBERVALUE('Procyclean BIO'!C406,",","."),0))))</f>
        <v/>
      </c>
      <c r="AE405" t="str">
        <f>IF(AA405="","",'Procyclean BIO'!J406)</f>
        <v/>
      </c>
      <c r="AF405">
        <f t="shared" si="53"/>
        <v>0</v>
      </c>
      <c r="AG405" t="str">
        <f t="shared" si="54"/>
        <v/>
      </c>
      <c r="AH405" t="str">
        <f t="shared" si="55"/>
        <v/>
      </c>
      <c r="AI405">
        <f t="shared" si="56"/>
        <v>0</v>
      </c>
      <c r="AJ405">
        <f t="shared" si="57"/>
        <v>0</v>
      </c>
      <c r="AK405">
        <v>0</v>
      </c>
      <c r="AL405" t="str">
        <f>IF(AA405="","",IFERROR(IF(ISNUMBER('Procyclean BIO'!D406),'Procyclean BIO'!D406,IF(ISNUMBER(SEARCH("12",'Procyclean BIO'!D406)),EDATE(AB405,12),IF(ISNUMBER(SEARCH("6",'Procyclean BIO'!D406)),EDATE(AB405,6),IF(ISNUMBER(SEARCH("3",'Procyclean BIO'!D406)),EDATE(AB405,3),DATEVALUE('Procyclean BIO'!D406))))),""))</f>
        <v/>
      </c>
      <c r="AM405" t="str">
        <f t="shared" ca="1" si="58"/>
        <v/>
      </c>
    </row>
    <row r="406" spans="27:39" x14ac:dyDescent="0.3">
      <c r="AA406" t="str">
        <f>IF(COUNTA('Procyclean BIO'!A407,'Procyclean BIO'!B407,'Procyclean BIO'!C407)&gt;0,"BIO","")</f>
        <v/>
      </c>
      <c r="AB406" t="str">
        <f>IFERROR(IF(ISNUMBER('Procyclean BIO'!A407),'Procyclean BIO'!A407,DATEVALUE('Procyclean BIO'!A407)),"")</f>
        <v/>
      </c>
      <c r="AC406" t="str">
        <f>IF(AA406="","",'Procyclean BIO'!B407)</f>
        <v/>
      </c>
      <c r="AD406" t="str">
        <f>IF(AA406="","",IFERROR(1*'Procyclean BIO'!C407,IFERROR(_xludf.NUMBERVALUE('Procyclean BIO'!C407,".",","),IFERROR(_xludf.NUMBERVALUE('Procyclean BIO'!C407,",","."),0))))</f>
        <v/>
      </c>
      <c r="AE406" t="str">
        <f>IF(AA406="","",'Procyclean BIO'!J407)</f>
        <v/>
      </c>
      <c r="AF406">
        <f t="shared" si="53"/>
        <v>0</v>
      </c>
      <c r="AG406" t="str">
        <f t="shared" si="54"/>
        <v/>
      </c>
      <c r="AH406" t="str">
        <f t="shared" si="55"/>
        <v/>
      </c>
      <c r="AI406">
        <f t="shared" si="56"/>
        <v>0</v>
      </c>
      <c r="AJ406">
        <f t="shared" si="57"/>
        <v>0</v>
      </c>
      <c r="AK406">
        <v>0</v>
      </c>
      <c r="AL406" t="str">
        <f>IF(AA406="","",IFERROR(IF(ISNUMBER('Procyclean BIO'!D407),'Procyclean BIO'!D407,IF(ISNUMBER(SEARCH("12",'Procyclean BIO'!D407)),EDATE(AB406,12),IF(ISNUMBER(SEARCH("6",'Procyclean BIO'!D407)),EDATE(AB406,6),IF(ISNUMBER(SEARCH("3",'Procyclean BIO'!D407)),EDATE(AB406,3),DATEVALUE('Procyclean BIO'!D407))))),""))</f>
        <v/>
      </c>
      <c r="AM406" t="str">
        <f t="shared" ca="1" si="58"/>
        <v/>
      </c>
    </row>
    <row r="407" spans="27:39" x14ac:dyDescent="0.3">
      <c r="AA407" t="str">
        <f>IF(COUNTA('Procyclean BIO'!A408,'Procyclean BIO'!B408,'Procyclean BIO'!C408)&gt;0,"BIO","")</f>
        <v/>
      </c>
      <c r="AB407" t="str">
        <f>IFERROR(IF(ISNUMBER('Procyclean BIO'!A408),'Procyclean BIO'!A408,DATEVALUE('Procyclean BIO'!A408)),"")</f>
        <v/>
      </c>
      <c r="AC407" t="str">
        <f>IF(AA407="","",'Procyclean BIO'!B408)</f>
        <v/>
      </c>
      <c r="AD407" t="str">
        <f>IF(AA407="","",IFERROR(1*'Procyclean BIO'!C408,IFERROR(_xludf.NUMBERVALUE('Procyclean BIO'!C408,".",","),IFERROR(_xludf.NUMBERVALUE('Procyclean BIO'!C408,",","."),0))))</f>
        <v/>
      </c>
      <c r="AE407" t="str">
        <f>IF(AA407="","",'Procyclean BIO'!J408)</f>
        <v/>
      </c>
      <c r="AF407">
        <f t="shared" si="53"/>
        <v>0</v>
      </c>
      <c r="AG407" t="str">
        <f t="shared" si="54"/>
        <v/>
      </c>
      <c r="AH407" t="str">
        <f t="shared" si="55"/>
        <v/>
      </c>
      <c r="AI407">
        <f t="shared" si="56"/>
        <v>0</v>
      </c>
      <c r="AJ407">
        <f t="shared" si="57"/>
        <v>0</v>
      </c>
      <c r="AK407">
        <v>0</v>
      </c>
      <c r="AL407" t="str">
        <f>IF(AA407="","",IFERROR(IF(ISNUMBER('Procyclean BIO'!D408),'Procyclean BIO'!D408,IF(ISNUMBER(SEARCH("12",'Procyclean BIO'!D408)),EDATE(AB407,12),IF(ISNUMBER(SEARCH("6",'Procyclean BIO'!D408)),EDATE(AB407,6),IF(ISNUMBER(SEARCH("3",'Procyclean BIO'!D408)),EDATE(AB407,3),DATEVALUE('Procyclean BIO'!D408))))),""))</f>
        <v/>
      </c>
      <c r="AM407" t="str">
        <f t="shared" ca="1" si="58"/>
        <v/>
      </c>
    </row>
    <row r="408" spans="27:39" x14ac:dyDescent="0.3">
      <c r="AA408" t="str">
        <f>IF(COUNTA('Procyclean BIO'!A409,'Procyclean BIO'!B409,'Procyclean BIO'!C409)&gt;0,"BIO","")</f>
        <v/>
      </c>
      <c r="AB408" t="str">
        <f>IFERROR(IF(ISNUMBER('Procyclean BIO'!A409),'Procyclean BIO'!A409,DATEVALUE('Procyclean BIO'!A409)),"")</f>
        <v/>
      </c>
      <c r="AC408" t="str">
        <f>IF(AA408="","",'Procyclean BIO'!B409)</f>
        <v/>
      </c>
      <c r="AD408" t="str">
        <f>IF(AA408="","",IFERROR(1*'Procyclean BIO'!C409,IFERROR(_xludf.NUMBERVALUE('Procyclean BIO'!C409,".",","),IFERROR(_xludf.NUMBERVALUE('Procyclean BIO'!C409,",","."),0))))</f>
        <v/>
      </c>
      <c r="AE408" t="str">
        <f>IF(AA408="","",'Procyclean BIO'!J409)</f>
        <v/>
      </c>
      <c r="AF408">
        <f t="shared" si="53"/>
        <v>0</v>
      </c>
      <c r="AG408" t="str">
        <f t="shared" si="54"/>
        <v/>
      </c>
      <c r="AH408" t="str">
        <f t="shared" si="55"/>
        <v/>
      </c>
      <c r="AI408">
        <f t="shared" si="56"/>
        <v>0</v>
      </c>
      <c r="AJ408">
        <f t="shared" si="57"/>
        <v>0</v>
      </c>
      <c r="AK408">
        <v>0</v>
      </c>
      <c r="AL408" t="str">
        <f>IF(AA408="","",IFERROR(IF(ISNUMBER('Procyclean BIO'!D409),'Procyclean BIO'!D409,IF(ISNUMBER(SEARCH("12",'Procyclean BIO'!D409)),EDATE(AB408,12),IF(ISNUMBER(SEARCH("6",'Procyclean BIO'!D409)),EDATE(AB408,6),IF(ISNUMBER(SEARCH("3",'Procyclean BIO'!D409)),EDATE(AB408,3),DATEVALUE('Procyclean BIO'!D409))))),""))</f>
        <v/>
      </c>
      <c r="AM408" t="str">
        <f t="shared" ca="1" si="58"/>
        <v/>
      </c>
    </row>
    <row r="409" spans="27:39" x14ac:dyDescent="0.3">
      <c r="AA409" t="str">
        <f>IF(COUNTA('Procyclean BIO'!A410,'Procyclean BIO'!B410,'Procyclean BIO'!C410)&gt;0,"BIO","")</f>
        <v/>
      </c>
      <c r="AB409" t="str">
        <f>IFERROR(IF(ISNUMBER('Procyclean BIO'!A410),'Procyclean BIO'!A410,DATEVALUE('Procyclean BIO'!A410)),"")</f>
        <v/>
      </c>
      <c r="AC409" t="str">
        <f>IF(AA409="","",'Procyclean BIO'!B410)</f>
        <v/>
      </c>
      <c r="AD409" t="str">
        <f>IF(AA409="","",IFERROR(1*'Procyclean BIO'!C410,IFERROR(_xludf.NUMBERVALUE('Procyclean BIO'!C410,".",","),IFERROR(_xludf.NUMBERVALUE('Procyclean BIO'!C410,",","."),0))))</f>
        <v/>
      </c>
      <c r="AE409" t="str">
        <f>IF(AA409="","",'Procyclean BIO'!J410)</f>
        <v/>
      </c>
      <c r="AF409">
        <f t="shared" si="53"/>
        <v>0</v>
      </c>
      <c r="AG409" t="str">
        <f t="shared" si="54"/>
        <v/>
      </c>
      <c r="AH409" t="str">
        <f t="shared" si="55"/>
        <v/>
      </c>
      <c r="AI409">
        <f t="shared" si="56"/>
        <v>0</v>
      </c>
      <c r="AJ409">
        <f t="shared" si="57"/>
        <v>0</v>
      </c>
      <c r="AK409">
        <v>0</v>
      </c>
      <c r="AL409" t="str">
        <f>IF(AA409="","",IFERROR(IF(ISNUMBER('Procyclean BIO'!D410),'Procyclean BIO'!D410,IF(ISNUMBER(SEARCH("12",'Procyclean BIO'!D410)),EDATE(AB409,12),IF(ISNUMBER(SEARCH("6",'Procyclean BIO'!D410)),EDATE(AB409,6),IF(ISNUMBER(SEARCH("3",'Procyclean BIO'!D410)),EDATE(AB409,3),DATEVALUE('Procyclean BIO'!D410))))),""))</f>
        <v/>
      </c>
      <c r="AM409" t="str">
        <f t="shared" ca="1" si="58"/>
        <v/>
      </c>
    </row>
    <row r="410" spans="27:39" x14ac:dyDescent="0.3">
      <c r="AA410" t="str">
        <f>IF(COUNTA('Procyclean BIO'!A411,'Procyclean BIO'!B411,'Procyclean BIO'!C411)&gt;0,"BIO","")</f>
        <v/>
      </c>
      <c r="AB410" t="str">
        <f>IFERROR(IF(ISNUMBER('Procyclean BIO'!A411),'Procyclean BIO'!A411,DATEVALUE('Procyclean BIO'!A411)),"")</f>
        <v/>
      </c>
      <c r="AC410" t="str">
        <f>IF(AA410="","",'Procyclean BIO'!B411)</f>
        <v/>
      </c>
      <c r="AD410" t="str">
        <f>IF(AA410="","",IFERROR(1*'Procyclean BIO'!C411,IFERROR(_xludf.NUMBERVALUE('Procyclean BIO'!C411,".",","),IFERROR(_xludf.NUMBERVALUE('Procyclean BIO'!C411,",","."),0))))</f>
        <v/>
      </c>
      <c r="AE410" t="str">
        <f>IF(AA410="","",'Procyclean BIO'!J411)</f>
        <v/>
      </c>
      <c r="AF410">
        <f t="shared" si="53"/>
        <v>0</v>
      </c>
      <c r="AG410" t="str">
        <f t="shared" si="54"/>
        <v/>
      </c>
      <c r="AH410" t="str">
        <f t="shared" si="55"/>
        <v/>
      </c>
      <c r="AI410">
        <f t="shared" si="56"/>
        <v>0</v>
      </c>
      <c r="AJ410">
        <f t="shared" si="57"/>
        <v>0</v>
      </c>
      <c r="AK410">
        <v>0</v>
      </c>
      <c r="AL410" t="str">
        <f>IF(AA410="","",IFERROR(IF(ISNUMBER('Procyclean BIO'!D411),'Procyclean BIO'!D411,IF(ISNUMBER(SEARCH("12",'Procyclean BIO'!D411)),EDATE(AB410,12),IF(ISNUMBER(SEARCH("6",'Procyclean BIO'!D411)),EDATE(AB410,6),IF(ISNUMBER(SEARCH("3",'Procyclean BIO'!D411)),EDATE(AB410,3),DATEVALUE('Procyclean BIO'!D411))))),""))</f>
        <v/>
      </c>
      <c r="AM410" t="str">
        <f t="shared" ca="1" si="58"/>
        <v/>
      </c>
    </row>
    <row r="411" spans="27:39" x14ac:dyDescent="0.3">
      <c r="AA411" t="str">
        <f>IF(COUNTA('Procyclean BIO'!A412,'Procyclean BIO'!B412,'Procyclean BIO'!C412)&gt;0,"BIO","")</f>
        <v/>
      </c>
      <c r="AB411" t="str">
        <f>IFERROR(IF(ISNUMBER('Procyclean BIO'!A412),'Procyclean BIO'!A412,DATEVALUE('Procyclean BIO'!A412)),"")</f>
        <v/>
      </c>
      <c r="AC411" t="str">
        <f>IF(AA411="","",'Procyclean BIO'!B412)</f>
        <v/>
      </c>
      <c r="AD411" t="str">
        <f>IF(AA411="","",IFERROR(1*'Procyclean BIO'!C412,IFERROR(_xludf.NUMBERVALUE('Procyclean BIO'!C412,".",","),IFERROR(_xludf.NUMBERVALUE('Procyclean BIO'!C412,",","."),0))))</f>
        <v/>
      </c>
      <c r="AE411" t="str">
        <f>IF(AA411="","",'Procyclean BIO'!J412)</f>
        <v/>
      </c>
      <c r="AF411">
        <f t="shared" si="53"/>
        <v>0</v>
      </c>
      <c r="AG411" t="str">
        <f t="shared" si="54"/>
        <v/>
      </c>
      <c r="AH411" t="str">
        <f t="shared" si="55"/>
        <v/>
      </c>
      <c r="AI411">
        <f t="shared" si="56"/>
        <v>0</v>
      </c>
      <c r="AJ411">
        <f t="shared" si="57"/>
        <v>0</v>
      </c>
      <c r="AK411">
        <v>0</v>
      </c>
      <c r="AL411" t="str">
        <f>IF(AA411="","",IFERROR(IF(ISNUMBER('Procyclean BIO'!D412),'Procyclean BIO'!D412,IF(ISNUMBER(SEARCH("12",'Procyclean BIO'!D412)),EDATE(AB411,12),IF(ISNUMBER(SEARCH("6",'Procyclean BIO'!D412)),EDATE(AB411,6),IF(ISNUMBER(SEARCH("3",'Procyclean BIO'!D412)),EDATE(AB411,3),DATEVALUE('Procyclean BIO'!D412))))),""))</f>
        <v/>
      </c>
      <c r="AM411" t="str">
        <f t="shared" ca="1" si="58"/>
        <v/>
      </c>
    </row>
    <row r="412" spans="27:39" x14ac:dyDescent="0.3">
      <c r="AA412" t="str">
        <f>IF(COUNTA('Procyclean BIO'!A413,'Procyclean BIO'!B413,'Procyclean BIO'!C413)&gt;0,"BIO","")</f>
        <v/>
      </c>
      <c r="AB412" t="str">
        <f>IFERROR(IF(ISNUMBER('Procyclean BIO'!A413),'Procyclean BIO'!A413,DATEVALUE('Procyclean BIO'!A413)),"")</f>
        <v/>
      </c>
      <c r="AC412" t="str">
        <f>IF(AA412="","",'Procyclean BIO'!B413)</f>
        <v/>
      </c>
      <c r="AD412" t="str">
        <f>IF(AA412="","",IFERROR(1*'Procyclean BIO'!C413,IFERROR(_xludf.NUMBERVALUE('Procyclean BIO'!C413,".",","),IFERROR(_xludf.NUMBERVALUE('Procyclean BIO'!C413,",","."),0))))</f>
        <v/>
      </c>
      <c r="AE412" t="str">
        <f>IF(AA412="","",'Procyclean BIO'!J413)</f>
        <v/>
      </c>
      <c r="AF412">
        <f t="shared" si="53"/>
        <v>0</v>
      </c>
      <c r="AG412" t="str">
        <f t="shared" si="54"/>
        <v/>
      </c>
      <c r="AH412" t="str">
        <f t="shared" si="55"/>
        <v/>
      </c>
      <c r="AI412">
        <f t="shared" si="56"/>
        <v>0</v>
      </c>
      <c r="AJ412">
        <f t="shared" si="57"/>
        <v>0</v>
      </c>
      <c r="AK412">
        <v>0</v>
      </c>
      <c r="AL412" t="str">
        <f>IF(AA412="","",IFERROR(IF(ISNUMBER('Procyclean BIO'!D413),'Procyclean BIO'!D413,IF(ISNUMBER(SEARCH("12",'Procyclean BIO'!D413)),EDATE(AB412,12),IF(ISNUMBER(SEARCH("6",'Procyclean BIO'!D413)),EDATE(AB412,6),IF(ISNUMBER(SEARCH("3",'Procyclean BIO'!D413)),EDATE(AB412,3),DATEVALUE('Procyclean BIO'!D413))))),""))</f>
        <v/>
      </c>
      <c r="AM412" t="str">
        <f t="shared" ca="1" si="58"/>
        <v/>
      </c>
    </row>
    <row r="413" spans="27:39" x14ac:dyDescent="0.3">
      <c r="AA413" t="str">
        <f>IF(COUNTA('Procyclean BIO'!A414,'Procyclean BIO'!B414,'Procyclean BIO'!C414)&gt;0,"BIO","")</f>
        <v/>
      </c>
      <c r="AB413" t="str">
        <f>IFERROR(IF(ISNUMBER('Procyclean BIO'!A414),'Procyclean BIO'!A414,DATEVALUE('Procyclean BIO'!A414)),"")</f>
        <v/>
      </c>
      <c r="AC413" t="str">
        <f>IF(AA413="","",'Procyclean BIO'!B414)</f>
        <v/>
      </c>
      <c r="AD413" t="str">
        <f>IF(AA413="","",IFERROR(1*'Procyclean BIO'!C414,IFERROR(_xludf.NUMBERVALUE('Procyclean BIO'!C414,".",","),IFERROR(_xludf.NUMBERVALUE('Procyclean BIO'!C414,",","."),0))))</f>
        <v/>
      </c>
      <c r="AE413" t="str">
        <f>IF(AA413="","",'Procyclean BIO'!J414)</f>
        <v/>
      </c>
      <c r="AF413">
        <f t="shared" si="53"/>
        <v>0</v>
      </c>
      <c r="AG413" t="str">
        <f t="shared" si="54"/>
        <v/>
      </c>
      <c r="AH413" t="str">
        <f t="shared" si="55"/>
        <v/>
      </c>
      <c r="AI413">
        <f t="shared" si="56"/>
        <v>0</v>
      </c>
      <c r="AJ413">
        <f t="shared" si="57"/>
        <v>0</v>
      </c>
      <c r="AK413">
        <v>0</v>
      </c>
      <c r="AL413" t="str">
        <f>IF(AA413="","",IFERROR(IF(ISNUMBER('Procyclean BIO'!D414),'Procyclean BIO'!D414,IF(ISNUMBER(SEARCH("12",'Procyclean BIO'!D414)),EDATE(AB413,12),IF(ISNUMBER(SEARCH("6",'Procyclean BIO'!D414)),EDATE(AB413,6),IF(ISNUMBER(SEARCH("3",'Procyclean BIO'!D414)),EDATE(AB413,3),DATEVALUE('Procyclean BIO'!D414))))),""))</f>
        <v/>
      </c>
      <c r="AM413" t="str">
        <f t="shared" ca="1" si="58"/>
        <v/>
      </c>
    </row>
    <row r="414" spans="27:39" x14ac:dyDescent="0.3">
      <c r="AA414" t="str">
        <f>IF(COUNTA('Procyclean BIO'!A415,'Procyclean BIO'!B415,'Procyclean BIO'!C415)&gt;0,"BIO","")</f>
        <v/>
      </c>
      <c r="AB414" t="str">
        <f>IFERROR(IF(ISNUMBER('Procyclean BIO'!A415),'Procyclean BIO'!A415,DATEVALUE('Procyclean BIO'!A415)),"")</f>
        <v/>
      </c>
      <c r="AC414" t="str">
        <f>IF(AA414="","",'Procyclean BIO'!B415)</f>
        <v/>
      </c>
      <c r="AD414" t="str">
        <f>IF(AA414="","",IFERROR(1*'Procyclean BIO'!C415,IFERROR(_xludf.NUMBERVALUE('Procyclean BIO'!C415,".",","),IFERROR(_xludf.NUMBERVALUE('Procyclean BIO'!C415,",","."),0))))</f>
        <v/>
      </c>
      <c r="AE414" t="str">
        <f>IF(AA414="","",'Procyclean BIO'!J415)</f>
        <v/>
      </c>
      <c r="AF414">
        <f t="shared" si="53"/>
        <v>0</v>
      </c>
      <c r="AG414" t="str">
        <f t="shared" si="54"/>
        <v/>
      </c>
      <c r="AH414" t="str">
        <f t="shared" si="55"/>
        <v/>
      </c>
      <c r="AI414">
        <f t="shared" si="56"/>
        <v>0</v>
      </c>
      <c r="AJ414">
        <f t="shared" si="57"/>
        <v>0</v>
      </c>
      <c r="AK414">
        <v>0</v>
      </c>
      <c r="AL414" t="str">
        <f>IF(AA414="","",IFERROR(IF(ISNUMBER('Procyclean BIO'!D415),'Procyclean BIO'!D415,IF(ISNUMBER(SEARCH("12",'Procyclean BIO'!D415)),EDATE(AB414,12),IF(ISNUMBER(SEARCH("6",'Procyclean BIO'!D415)),EDATE(AB414,6),IF(ISNUMBER(SEARCH("3",'Procyclean BIO'!D415)),EDATE(AB414,3),DATEVALUE('Procyclean BIO'!D415))))),""))</f>
        <v/>
      </c>
      <c r="AM414" t="str">
        <f t="shared" ca="1" si="58"/>
        <v/>
      </c>
    </row>
    <row r="415" spans="27:39" x14ac:dyDescent="0.3">
      <c r="AA415" t="str">
        <f>IF(COUNTA('Procyclean BIO'!A416,'Procyclean BIO'!B416,'Procyclean BIO'!C416)&gt;0,"BIO","")</f>
        <v/>
      </c>
      <c r="AB415" t="str">
        <f>IFERROR(IF(ISNUMBER('Procyclean BIO'!A416),'Procyclean BIO'!A416,DATEVALUE('Procyclean BIO'!A416)),"")</f>
        <v/>
      </c>
      <c r="AC415" t="str">
        <f>IF(AA415="","",'Procyclean BIO'!B416)</f>
        <v/>
      </c>
      <c r="AD415" t="str">
        <f>IF(AA415="","",IFERROR(1*'Procyclean BIO'!C416,IFERROR(_xludf.NUMBERVALUE('Procyclean BIO'!C416,".",","),IFERROR(_xludf.NUMBERVALUE('Procyclean BIO'!C416,",","."),0))))</f>
        <v/>
      </c>
      <c r="AE415" t="str">
        <f>IF(AA415="","",'Procyclean BIO'!J416)</f>
        <v/>
      </c>
      <c r="AF415">
        <f t="shared" si="53"/>
        <v>0</v>
      </c>
      <c r="AG415" t="str">
        <f t="shared" si="54"/>
        <v/>
      </c>
      <c r="AH415" t="str">
        <f t="shared" si="55"/>
        <v/>
      </c>
      <c r="AI415">
        <f t="shared" si="56"/>
        <v>0</v>
      </c>
      <c r="AJ415">
        <f t="shared" si="57"/>
        <v>0</v>
      </c>
      <c r="AK415">
        <v>0</v>
      </c>
      <c r="AL415" t="str">
        <f>IF(AA415="","",IFERROR(IF(ISNUMBER('Procyclean BIO'!D416),'Procyclean BIO'!D416,IF(ISNUMBER(SEARCH("12",'Procyclean BIO'!D416)),EDATE(AB415,12),IF(ISNUMBER(SEARCH("6",'Procyclean BIO'!D416)),EDATE(AB415,6),IF(ISNUMBER(SEARCH("3",'Procyclean BIO'!D416)),EDATE(AB415,3),DATEVALUE('Procyclean BIO'!D416))))),""))</f>
        <v/>
      </c>
      <c r="AM415" t="str">
        <f t="shared" ca="1" si="58"/>
        <v/>
      </c>
    </row>
    <row r="416" spans="27:39" x14ac:dyDescent="0.3">
      <c r="AA416" t="str">
        <f>IF(COUNTA('Procyclean BIO'!A417,'Procyclean BIO'!B417,'Procyclean BIO'!C417)&gt;0,"BIO","")</f>
        <v/>
      </c>
      <c r="AB416" t="str">
        <f>IFERROR(IF(ISNUMBER('Procyclean BIO'!A417),'Procyclean BIO'!A417,DATEVALUE('Procyclean BIO'!A417)),"")</f>
        <v/>
      </c>
      <c r="AC416" t="str">
        <f>IF(AA416="","",'Procyclean BIO'!B417)</f>
        <v/>
      </c>
      <c r="AD416" t="str">
        <f>IF(AA416="","",IFERROR(1*'Procyclean BIO'!C417,IFERROR(_xludf.NUMBERVALUE('Procyclean BIO'!C417,".",","),IFERROR(_xludf.NUMBERVALUE('Procyclean BIO'!C417,",","."),0))))</f>
        <v/>
      </c>
      <c r="AE416" t="str">
        <f>IF(AA416="","",'Procyclean BIO'!J417)</f>
        <v/>
      </c>
      <c r="AF416">
        <f t="shared" si="53"/>
        <v>0</v>
      </c>
      <c r="AG416" t="str">
        <f t="shared" si="54"/>
        <v/>
      </c>
      <c r="AH416" t="str">
        <f t="shared" si="55"/>
        <v/>
      </c>
      <c r="AI416">
        <f t="shared" si="56"/>
        <v>0</v>
      </c>
      <c r="AJ416">
        <f t="shared" si="57"/>
        <v>0</v>
      </c>
      <c r="AK416">
        <v>0</v>
      </c>
      <c r="AL416" t="str">
        <f>IF(AA416="","",IFERROR(IF(ISNUMBER('Procyclean BIO'!D417),'Procyclean BIO'!D417,IF(ISNUMBER(SEARCH("12",'Procyclean BIO'!D417)),EDATE(AB416,12),IF(ISNUMBER(SEARCH("6",'Procyclean BIO'!D417)),EDATE(AB416,6),IF(ISNUMBER(SEARCH("3",'Procyclean BIO'!D417)),EDATE(AB416,3),DATEVALUE('Procyclean BIO'!D417))))),""))</f>
        <v/>
      </c>
      <c r="AM416" t="str">
        <f t="shared" ca="1" si="58"/>
        <v/>
      </c>
    </row>
    <row r="417" spans="27:39" x14ac:dyDescent="0.3">
      <c r="AA417" t="str">
        <f>IF(COUNTA('Procyclean BIO'!A418,'Procyclean BIO'!B418,'Procyclean BIO'!C418)&gt;0,"BIO","")</f>
        <v/>
      </c>
      <c r="AB417" t="str">
        <f>IFERROR(IF(ISNUMBER('Procyclean BIO'!A418),'Procyclean BIO'!A418,DATEVALUE('Procyclean BIO'!A418)),"")</f>
        <v/>
      </c>
      <c r="AC417" t="str">
        <f>IF(AA417="","",'Procyclean BIO'!B418)</f>
        <v/>
      </c>
      <c r="AD417" t="str">
        <f>IF(AA417="","",IFERROR(1*'Procyclean BIO'!C418,IFERROR(_xludf.NUMBERVALUE('Procyclean BIO'!C418,".",","),IFERROR(_xludf.NUMBERVALUE('Procyclean BIO'!C418,",","."),0))))</f>
        <v/>
      </c>
      <c r="AE417" t="str">
        <f>IF(AA417="","",'Procyclean BIO'!J418)</f>
        <v/>
      </c>
      <c r="AF417">
        <f t="shared" si="53"/>
        <v>0</v>
      </c>
      <c r="AG417" t="str">
        <f t="shared" si="54"/>
        <v/>
      </c>
      <c r="AH417" t="str">
        <f t="shared" si="55"/>
        <v/>
      </c>
      <c r="AI417">
        <f t="shared" si="56"/>
        <v>0</v>
      </c>
      <c r="AJ417">
        <f t="shared" si="57"/>
        <v>0</v>
      </c>
      <c r="AK417">
        <v>0</v>
      </c>
      <c r="AL417" t="str">
        <f>IF(AA417="","",IFERROR(IF(ISNUMBER('Procyclean BIO'!D418),'Procyclean BIO'!D418,IF(ISNUMBER(SEARCH("12",'Procyclean BIO'!D418)),EDATE(AB417,12),IF(ISNUMBER(SEARCH("6",'Procyclean BIO'!D418)),EDATE(AB417,6),IF(ISNUMBER(SEARCH("3",'Procyclean BIO'!D418)),EDATE(AB417,3),DATEVALUE('Procyclean BIO'!D418))))),""))</f>
        <v/>
      </c>
      <c r="AM417" t="str">
        <f t="shared" ca="1" si="58"/>
        <v/>
      </c>
    </row>
    <row r="418" spans="27:39" x14ac:dyDescent="0.3">
      <c r="AA418" t="str">
        <f>IF(COUNTA('Procyclean BIO'!A419,'Procyclean BIO'!B419,'Procyclean BIO'!C419)&gt;0,"BIO","")</f>
        <v/>
      </c>
      <c r="AB418" t="str">
        <f>IFERROR(IF(ISNUMBER('Procyclean BIO'!A419),'Procyclean BIO'!A419,DATEVALUE('Procyclean BIO'!A419)),"")</f>
        <v/>
      </c>
      <c r="AC418" t="str">
        <f>IF(AA418="","",'Procyclean BIO'!B419)</f>
        <v/>
      </c>
      <c r="AD418" t="str">
        <f>IF(AA418="","",IFERROR(1*'Procyclean BIO'!C419,IFERROR(_xludf.NUMBERVALUE('Procyclean BIO'!C419,".",","),IFERROR(_xludf.NUMBERVALUE('Procyclean BIO'!C419,",","."),0))))</f>
        <v/>
      </c>
      <c r="AE418" t="str">
        <f>IF(AA418="","",'Procyclean BIO'!J419)</f>
        <v/>
      </c>
      <c r="AF418">
        <f t="shared" si="53"/>
        <v>0</v>
      </c>
      <c r="AG418" t="str">
        <f t="shared" si="54"/>
        <v/>
      </c>
      <c r="AH418" t="str">
        <f t="shared" si="55"/>
        <v/>
      </c>
      <c r="AI418">
        <f t="shared" si="56"/>
        <v>0</v>
      </c>
      <c r="AJ418">
        <f t="shared" si="57"/>
        <v>0</v>
      </c>
      <c r="AK418">
        <v>0</v>
      </c>
      <c r="AL418" t="str">
        <f>IF(AA418="","",IFERROR(IF(ISNUMBER('Procyclean BIO'!D419),'Procyclean BIO'!D419,IF(ISNUMBER(SEARCH("12",'Procyclean BIO'!D419)),EDATE(AB418,12),IF(ISNUMBER(SEARCH("6",'Procyclean BIO'!D419)),EDATE(AB418,6),IF(ISNUMBER(SEARCH("3",'Procyclean BIO'!D419)),EDATE(AB418,3),DATEVALUE('Procyclean BIO'!D419))))),""))</f>
        <v/>
      </c>
      <c r="AM418" t="str">
        <f t="shared" ca="1" si="58"/>
        <v/>
      </c>
    </row>
    <row r="419" spans="27:39" x14ac:dyDescent="0.3">
      <c r="AA419" t="str">
        <f>IF(COUNTA('Procyclean BIO'!A420,'Procyclean BIO'!B420,'Procyclean BIO'!C420)&gt;0,"BIO","")</f>
        <v/>
      </c>
      <c r="AB419" t="str">
        <f>IFERROR(IF(ISNUMBER('Procyclean BIO'!A420),'Procyclean BIO'!A420,DATEVALUE('Procyclean BIO'!A420)),"")</f>
        <v/>
      </c>
      <c r="AC419" t="str">
        <f>IF(AA419="","",'Procyclean BIO'!B420)</f>
        <v/>
      </c>
      <c r="AD419" t="str">
        <f>IF(AA419="","",IFERROR(1*'Procyclean BIO'!C420,IFERROR(_xludf.NUMBERVALUE('Procyclean BIO'!C420,".",","),IFERROR(_xludf.NUMBERVALUE('Procyclean BIO'!C420,",","."),0))))</f>
        <v/>
      </c>
      <c r="AE419" t="str">
        <f>IF(AA419="","",'Procyclean BIO'!J420)</f>
        <v/>
      </c>
      <c r="AF419">
        <f t="shared" si="53"/>
        <v>0</v>
      </c>
      <c r="AG419" t="str">
        <f t="shared" si="54"/>
        <v/>
      </c>
      <c r="AH419" t="str">
        <f t="shared" si="55"/>
        <v/>
      </c>
      <c r="AI419">
        <f t="shared" si="56"/>
        <v>0</v>
      </c>
      <c r="AJ419">
        <f t="shared" si="57"/>
        <v>0</v>
      </c>
      <c r="AK419">
        <v>0</v>
      </c>
      <c r="AL419" t="str">
        <f>IF(AA419="","",IFERROR(IF(ISNUMBER('Procyclean BIO'!D420),'Procyclean BIO'!D420,IF(ISNUMBER(SEARCH("12",'Procyclean BIO'!D420)),EDATE(AB419,12),IF(ISNUMBER(SEARCH("6",'Procyclean BIO'!D420)),EDATE(AB419,6),IF(ISNUMBER(SEARCH("3",'Procyclean BIO'!D420)),EDATE(AB419,3),DATEVALUE('Procyclean BIO'!D420))))),""))</f>
        <v/>
      </c>
      <c r="AM419" t="str">
        <f t="shared" ca="1" si="58"/>
        <v/>
      </c>
    </row>
    <row r="420" spans="27:39" x14ac:dyDescent="0.3">
      <c r="AA420" t="str">
        <f>IF(COUNTA('Procyclean BIO'!A421,'Procyclean BIO'!B421,'Procyclean BIO'!C421)&gt;0,"BIO","")</f>
        <v/>
      </c>
      <c r="AB420" t="str">
        <f>IFERROR(IF(ISNUMBER('Procyclean BIO'!A421),'Procyclean BIO'!A421,DATEVALUE('Procyclean BIO'!A421)),"")</f>
        <v/>
      </c>
      <c r="AC420" t="str">
        <f>IF(AA420="","",'Procyclean BIO'!B421)</f>
        <v/>
      </c>
      <c r="AD420" t="str">
        <f>IF(AA420="","",IFERROR(1*'Procyclean BIO'!C421,IFERROR(_xludf.NUMBERVALUE('Procyclean BIO'!C421,".",","),IFERROR(_xludf.NUMBERVALUE('Procyclean BIO'!C421,",","."),0))))</f>
        <v/>
      </c>
      <c r="AE420" t="str">
        <f>IF(AA420="","",'Procyclean BIO'!J421)</f>
        <v/>
      </c>
      <c r="AF420">
        <f t="shared" si="53"/>
        <v>0</v>
      </c>
      <c r="AG420" t="str">
        <f t="shared" si="54"/>
        <v/>
      </c>
      <c r="AH420" t="str">
        <f t="shared" si="55"/>
        <v/>
      </c>
      <c r="AI420">
        <f t="shared" si="56"/>
        <v>0</v>
      </c>
      <c r="AJ420">
        <f t="shared" si="57"/>
        <v>0</v>
      </c>
      <c r="AK420">
        <v>0</v>
      </c>
      <c r="AL420" t="str">
        <f>IF(AA420="","",IFERROR(IF(ISNUMBER('Procyclean BIO'!D421),'Procyclean BIO'!D421,IF(ISNUMBER(SEARCH("12",'Procyclean BIO'!D421)),EDATE(AB420,12),IF(ISNUMBER(SEARCH("6",'Procyclean BIO'!D421)),EDATE(AB420,6),IF(ISNUMBER(SEARCH("3",'Procyclean BIO'!D421)),EDATE(AB420,3),DATEVALUE('Procyclean BIO'!D421))))),""))</f>
        <v/>
      </c>
      <c r="AM420" t="str">
        <f t="shared" ca="1" si="58"/>
        <v/>
      </c>
    </row>
    <row r="421" spans="27:39" x14ac:dyDescent="0.3">
      <c r="AA421" t="str">
        <f>IF(COUNTA('Procyclean BIO'!A422,'Procyclean BIO'!B422,'Procyclean BIO'!C422)&gt;0,"BIO","")</f>
        <v/>
      </c>
      <c r="AB421" t="str">
        <f>IFERROR(IF(ISNUMBER('Procyclean BIO'!A422),'Procyclean BIO'!A422,DATEVALUE('Procyclean BIO'!A422)),"")</f>
        <v/>
      </c>
      <c r="AC421" t="str">
        <f>IF(AA421="","",'Procyclean BIO'!B422)</f>
        <v/>
      </c>
      <c r="AD421" t="str">
        <f>IF(AA421="","",IFERROR(1*'Procyclean BIO'!C422,IFERROR(_xludf.NUMBERVALUE('Procyclean BIO'!C422,".",","),IFERROR(_xludf.NUMBERVALUE('Procyclean BIO'!C422,",","."),0))))</f>
        <v/>
      </c>
      <c r="AE421" t="str">
        <f>IF(AA421="","",'Procyclean BIO'!J422)</f>
        <v/>
      </c>
      <c r="AF421">
        <f t="shared" si="53"/>
        <v>0</v>
      </c>
      <c r="AG421" t="str">
        <f t="shared" si="54"/>
        <v/>
      </c>
      <c r="AH421" t="str">
        <f t="shared" si="55"/>
        <v/>
      </c>
      <c r="AI421">
        <f t="shared" si="56"/>
        <v>0</v>
      </c>
      <c r="AJ421">
        <f t="shared" si="57"/>
        <v>0</v>
      </c>
      <c r="AK421">
        <v>0</v>
      </c>
      <c r="AL421" t="str">
        <f>IF(AA421="","",IFERROR(IF(ISNUMBER('Procyclean BIO'!D422),'Procyclean BIO'!D422,IF(ISNUMBER(SEARCH("12",'Procyclean BIO'!D422)),EDATE(AB421,12),IF(ISNUMBER(SEARCH("6",'Procyclean BIO'!D422)),EDATE(AB421,6),IF(ISNUMBER(SEARCH("3",'Procyclean BIO'!D422)),EDATE(AB421,3),DATEVALUE('Procyclean BIO'!D422))))),""))</f>
        <v/>
      </c>
      <c r="AM421" t="str">
        <f t="shared" ca="1" si="58"/>
        <v/>
      </c>
    </row>
    <row r="422" spans="27:39" x14ac:dyDescent="0.3">
      <c r="AA422" t="str">
        <f>IF(COUNTA('Procyclean BIO'!A423,'Procyclean BIO'!B423,'Procyclean BIO'!C423)&gt;0,"BIO","")</f>
        <v/>
      </c>
      <c r="AB422" t="str">
        <f>IFERROR(IF(ISNUMBER('Procyclean BIO'!A423),'Procyclean BIO'!A423,DATEVALUE('Procyclean BIO'!A423)),"")</f>
        <v/>
      </c>
      <c r="AC422" t="str">
        <f>IF(AA422="","",'Procyclean BIO'!B423)</f>
        <v/>
      </c>
      <c r="AD422" t="str">
        <f>IF(AA422="","",IFERROR(1*'Procyclean BIO'!C423,IFERROR(_xludf.NUMBERVALUE('Procyclean BIO'!C423,".",","),IFERROR(_xludf.NUMBERVALUE('Procyclean BIO'!C423,",","."),0))))</f>
        <v/>
      </c>
      <c r="AE422" t="str">
        <f>IF(AA422="","",'Procyclean BIO'!J423)</f>
        <v/>
      </c>
      <c r="AF422">
        <f t="shared" si="53"/>
        <v>0</v>
      </c>
      <c r="AG422" t="str">
        <f t="shared" si="54"/>
        <v/>
      </c>
      <c r="AH422" t="str">
        <f t="shared" si="55"/>
        <v/>
      </c>
      <c r="AI422">
        <f t="shared" si="56"/>
        <v>0</v>
      </c>
      <c r="AJ422">
        <f t="shared" si="57"/>
        <v>0</v>
      </c>
      <c r="AK422">
        <v>0</v>
      </c>
      <c r="AL422" t="str">
        <f>IF(AA422="","",IFERROR(IF(ISNUMBER('Procyclean BIO'!D423),'Procyclean BIO'!D423,IF(ISNUMBER(SEARCH("12",'Procyclean BIO'!D423)),EDATE(AB422,12),IF(ISNUMBER(SEARCH("6",'Procyclean BIO'!D423)),EDATE(AB422,6),IF(ISNUMBER(SEARCH("3",'Procyclean BIO'!D423)),EDATE(AB422,3),DATEVALUE('Procyclean BIO'!D423))))),""))</f>
        <v/>
      </c>
      <c r="AM422" t="str">
        <f t="shared" ca="1" si="58"/>
        <v/>
      </c>
    </row>
    <row r="423" spans="27:39" x14ac:dyDescent="0.3">
      <c r="AA423" t="str">
        <f>IF(COUNTA('Procyclean BIO'!A424,'Procyclean BIO'!B424,'Procyclean BIO'!C424)&gt;0,"BIO","")</f>
        <v/>
      </c>
      <c r="AB423" t="str">
        <f>IFERROR(IF(ISNUMBER('Procyclean BIO'!A424),'Procyclean BIO'!A424,DATEVALUE('Procyclean BIO'!A424)),"")</f>
        <v/>
      </c>
      <c r="AC423" t="str">
        <f>IF(AA423="","",'Procyclean BIO'!B424)</f>
        <v/>
      </c>
      <c r="AD423" t="str">
        <f>IF(AA423="","",IFERROR(1*'Procyclean BIO'!C424,IFERROR(_xludf.NUMBERVALUE('Procyclean BIO'!C424,".",","),IFERROR(_xludf.NUMBERVALUE('Procyclean BIO'!C424,",","."),0))))</f>
        <v/>
      </c>
      <c r="AE423" t="str">
        <f>IF(AA423="","",'Procyclean BIO'!J424)</f>
        <v/>
      </c>
      <c r="AF423">
        <f t="shared" si="53"/>
        <v>0</v>
      </c>
      <c r="AG423" t="str">
        <f t="shared" si="54"/>
        <v/>
      </c>
      <c r="AH423" t="str">
        <f t="shared" si="55"/>
        <v/>
      </c>
      <c r="AI423">
        <f t="shared" si="56"/>
        <v>0</v>
      </c>
      <c r="AJ423">
        <f t="shared" si="57"/>
        <v>0</v>
      </c>
      <c r="AK423">
        <v>0</v>
      </c>
      <c r="AL423" t="str">
        <f>IF(AA423="","",IFERROR(IF(ISNUMBER('Procyclean BIO'!D424),'Procyclean BIO'!D424,IF(ISNUMBER(SEARCH("12",'Procyclean BIO'!D424)),EDATE(AB423,12),IF(ISNUMBER(SEARCH("6",'Procyclean BIO'!D424)),EDATE(AB423,6),IF(ISNUMBER(SEARCH("3",'Procyclean BIO'!D424)),EDATE(AB423,3),DATEVALUE('Procyclean BIO'!D424))))),""))</f>
        <v/>
      </c>
      <c r="AM423" t="str">
        <f t="shared" ca="1" si="58"/>
        <v/>
      </c>
    </row>
    <row r="424" spans="27:39" x14ac:dyDescent="0.3">
      <c r="AA424" t="str">
        <f>IF(COUNTA('Procyclean BIO'!A425,'Procyclean BIO'!B425,'Procyclean BIO'!C425)&gt;0,"BIO","")</f>
        <v/>
      </c>
      <c r="AB424" t="str">
        <f>IFERROR(IF(ISNUMBER('Procyclean BIO'!A425),'Procyclean BIO'!A425,DATEVALUE('Procyclean BIO'!A425)),"")</f>
        <v/>
      </c>
      <c r="AC424" t="str">
        <f>IF(AA424="","",'Procyclean BIO'!B425)</f>
        <v/>
      </c>
      <c r="AD424" t="str">
        <f>IF(AA424="","",IFERROR(1*'Procyclean BIO'!C425,IFERROR(_xludf.NUMBERVALUE('Procyclean BIO'!C425,".",","),IFERROR(_xludf.NUMBERVALUE('Procyclean BIO'!C425,",","."),0))))</f>
        <v/>
      </c>
      <c r="AE424" t="str">
        <f>IF(AA424="","",'Procyclean BIO'!J425)</f>
        <v/>
      </c>
      <c r="AF424">
        <f t="shared" si="53"/>
        <v>0</v>
      </c>
      <c r="AG424" t="str">
        <f t="shared" si="54"/>
        <v/>
      </c>
      <c r="AH424" t="str">
        <f t="shared" si="55"/>
        <v/>
      </c>
      <c r="AI424">
        <f t="shared" si="56"/>
        <v>0</v>
      </c>
      <c r="AJ424">
        <f t="shared" si="57"/>
        <v>0</v>
      </c>
      <c r="AK424">
        <v>0</v>
      </c>
      <c r="AL424" t="str">
        <f>IF(AA424="","",IFERROR(IF(ISNUMBER('Procyclean BIO'!D425),'Procyclean BIO'!D425,IF(ISNUMBER(SEARCH("12",'Procyclean BIO'!D425)),EDATE(AB424,12),IF(ISNUMBER(SEARCH("6",'Procyclean BIO'!D425)),EDATE(AB424,6),IF(ISNUMBER(SEARCH("3",'Procyclean BIO'!D425)),EDATE(AB424,3),DATEVALUE('Procyclean BIO'!D425))))),""))</f>
        <v/>
      </c>
      <c r="AM424" t="str">
        <f t="shared" ca="1" si="58"/>
        <v/>
      </c>
    </row>
    <row r="425" spans="27:39" x14ac:dyDescent="0.3">
      <c r="AA425" t="str">
        <f>IF(COUNTA('Procyclean BIO'!A426,'Procyclean BIO'!B426,'Procyclean BIO'!C426)&gt;0,"BIO","")</f>
        <v/>
      </c>
      <c r="AB425" t="str">
        <f>IFERROR(IF(ISNUMBER('Procyclean BIO'!A426),'Procyclean BIO'!A426,DATEVALUE('Procyclean BIO'!A426)),"")</f>
        <v/>
      </c>
      <c r="AC425" t="str">
        <f>IF(AA425="","",'Procyclean BIO'!B426)</f>
        <v/>
      </c>
      <c r="AD425" t="str">
        <f>IF(AA425="","",IFERROR(1*'Procyclean BIO'!C426,IFERROR(_xludf.NUMBERVALUE('Procyclean BIO'!C426,".",","),IFERROR(_xludf.NUMBERVALUE('Procyclean BIO'!C426,",","."),0))))</f>
        <v/>
      </c>
      <c r="AE425" t="str">
        <f>IF(AA425="","",'Procyclean BIO'!J426)</f>
        <v/>
      </c>
      <c r="AF425">
        <f t="shared" si="53"/>
        <v>0</v>
      </c>
      <c r="AG425" t="str">
        <f t="shared" si="54"/>
        <v/>
      </c>
      <c r="AH425" t="str">
        <f t="shared" si="55"/>
        <v/>
      </c>
      <c r="AI425">
        <f t="shared" si="56"/>
        <v>0</v>
      </c>
      <c r="AJ425">
        <f t="shared" si="57"/>
        <v>0</v>
      </c>
      <c r="AK425">
        <v>0</v>
      </c>
      <c r="AL425" t="str">
        <f>IF(AA425="","",IFERROR(IF(ISNUMBER('Procyclean BIO'!D426),'Procyclean BIO'!D426,IF(ISNUMBER(SEARCH("12",'Procyclean BIO'!D426)),EDATE(AB425,12),IF(ISNUMBER(SEARCH("6",'Procyclean BIO'!D426)),EDATE(AB425,6),IF(ISNUMBER(SEARCH("3",'Procyclean BIO'!D426)),EDATE(AB425,3),DATEVALUE('Procyclean BIO'!D426))))),""))</f>
        <v/>
      </c>
      <c r="AM425" t="str">
        <f t="shared" ca="1" si="58"/>
        <v/>
      </c>
    </row>
    <row r="426" spans="27:39" x14ac:dyDescent="0.3">
      <c r="AA426" t="str">
        <f>IF(COUNTA('Procyclean BIO'!A427,'Procyclean BIO'!B427,'Procyclean BIO'!C427)&gt;0,"BIO","")</f>
        <v/>
      </c>
      <c r="AB426" t="str">
        <f>IFERROR(IF(ISNUMBER('Procyclean BIO'!A427),'Procyclean BIO'!A427,DATEVALUE('Procyclean BIO'!A427)),"")</f>
        <v/>
      </c>
      <c r="AC426" t="str">
        <f>IF(AA426="","",'Procyclean BIO'!B427)</f>
        <v/>
      </c>
      <c r="AD426" t="str">
        <f>IF(AA426="","",IFERROR(1*'Procyclean BIO'!C427,IFERROR(_xludf.NUMBERVALUE('Procyclean BIO'!C427,".",","),IFERROR(_xludf.NUMBERVALUE('Procyclean BIO'!C427,",","."),0))))</f>
        <v/>
      </c>
      <c r="AE426" t="str">
        <f>IF(AA426="","",'Procyclean BIO'!J427)</f>
        <v/>
      </c>
      <c r="AF426">
        <f t="shared" si="53"/>
        <v>0</v>
      </c>
      <c r="AG426" t="str">
        <f t="shared" si="54"/>
        <v/>
      </c>
      <c r="AH426" t="str">
        <f t="shared" si="55"/>
        <v/>
      </c>
      <c r="AI426">
        <f t="shared" si="56"/>
        <v>0</v>
      </c>
      <c r="AJ426">
        <f t="shared" si="57"/>
        <v>0</v>
      </c>
      <c r="AK426">
        <v>0</v>
      </c>
      <c r="AL426" t="str">
        <f>IF(AA426="","",IFERROR(IF(ISNUMBER('Procyclean BIO'!D427),'Procyclean BIO'!D427,IF(ISNUMBER(SEARCH("12",'Procyclean BIO'!D427)),EDATE(AB426,12),IF(ISNUMBER(SEARCH("6",'Procyclean BIO'!D427)),EDATE(AB426,6),IF(ISNUMBER(SEARCH("3",'Procyclean BIO'!D427)),EDATE(AB426,3),DATEVALUE('Procyclean BIO'!D427))))),""))</f>
        <v/>
      </c>
      <c r="AM426" t="str">
        <f t="shared" ca="1" si="58"/>
        <v/>
      </c>
    </row>
    <row r="427" spans="27:39" x14ac:dyDescent="0.3">
      <c r="AA427" t="str">
        <f>IF(COUNTA('Procyclean BIO'!A428,'Procyclean BIO'!B428,'Procyclean BIO'!C428)&gt;0,"BIO","")</f>
        <v/>
      </c>
      <c r="AB427" t="str">
        <f>IFERROR(IF(ISNUMBER('Procyclean BIO'!A428),'Procyclean BIO'!A428,DATEVALUE('Procyclean BIO'!A428)),"")</f>
        <v/>
      </c>
      <c r="AC427" t="str">
        <f>IF(AA427="","",'Procyclean BIO'!B428)</f>
        <v/>
      </c>
      <c r="AD427" t="str">
        <f>IF(AA427="","",IFERROR(1*'Procyclean BIO'!C428,IFERROR(_xludf.NUMBERVALUE('Procyclean BIO'!C428,".",","),IFERROR(_xludf.NUMBERVALUE('Procyclean BIO'!C428,",","."),0))))</f>
        <v/>
      </c>
      <c r="AE427" t="str">
        <f>IF(AA427="","",'Procyclean BIO'!J428)</f>
        <v/>
      </c>
      <c r="AF427">
        <f t="shared" si="53"/>
        <v>0</v>
      </c>
      <c r="AG427" t="str">
        <f t="shared" si="54"/>
        <v/>
      </c>
      <c r="AH427" t="str">
        <f t="shared" si="55"/>
        <v/>
      </c>
      <c r="AI427">
        <f t="shared" si="56"/>
        <v>0</v>
      </c>
      <c r="AJ427">
        <f t="shared" si="57"/>
        <v>0</v>
      </c>
      <c r="AK427">
        <v>0</v>
      </c>
      <c r="AL427" t="str">
        <f>IF(AA427="","",IFERROR(IF(ISNUMBER('Procyclean BIO'!D428),'Procyclean BIO'!D428,IF(ISNUMBER(SEARCH("12",'Procyclean BIO'!D428)),EDATE(AB427,12),IF(ISNUMBER(SEARCH("6",'Procyclean BIO'!D428)),EDATE(AB427,6),IF(ISNUMBER(SEARCH("3",'Procyclean BIO'!D428)),EDATE(AB427,3),DATEVALUE('Procyclean BIO'!D428))))),""))</f>
        <v/>
      </c>
      <c r="AM427" t="str">
        <f t="shared" ca="1" si="58"/>
        <v/>
      </c>
    </row>
    <row r="428" spans="27:39" x14ac:dyDescent="0.3">
      <c r="AA428" t="str">
        <f>IF(COUNTA('Procyclean BIO'!A429,'Procyclean BIO'!B429,'Procyclean BIO'!C429)&gt;0,"BIO","")</f>
        <v/>
      </c>
      <c r="AB428" t="str">
        <f>IFERROR(IF(ISNUMBER('Procyclean BIO'!A429),'Procyclean BIO'!A429,DATEVALUE('Procyclean BIO'!A429)),"")</f>
        <v/>
      </c>
      <c r="AC428" t="str">
        <f>IF(AA428="","",'Procyclean BIO'!B429)</f>
        <v/>
      </c>
      <c r="AD428" t="str">
        <f>IF(AA428="","",IFERROR(1*'Procyclean BIO'!C429,IFERROR(_xludf.NUMBERVALUE('Procyclean BIO'!C429,".",","),IFERROR(_xludf.NUMBERVALUE('Procyclean BIO'!C429,",","."),0))))</f>
        <v/>
      </c>
      <c r="AE428" t="str">
        <f>IF(AA428="","",'Procyclean BIO'!J429)</f>
        <v/>
      </c>
      <c r="AF428">
        <f t="shared" si="53"/>
        <v>0</v>
      </c>
      <c r="AG428" t="str">
        <f t="shared" si="54"/>
        <v/>
      </c>
      <c r="AH428" t="str">
        <f t="shared" si="55"/>
        <v/>
      </c>
      <c r="AI428">
        <f t="shared" si="56"/>
        <v>0</v>
      </c>
      <c r="AJ428">
        <f t="shared" si="57"/>
        <v>0</v>
      </c>
      <c r="AK428">
        <v>0</v>
      </c>
      <c r="AL428" t="str">
        <f>IF(AA428="","",IFERROR(IF(ISNUMBER('Procyclean BIO'!D429),'Procyclean BIO'!D429,IF(ISNUMBER(SEARCH("12",'Procyclean BIO'!D429)),EDATE(AB428,12),IF(ISNUMBER(SEARCH("6",'Procyclean BIO'!D429)),EDATE(AB428,6),IF(ISNUMBER(SEARCH("3",'Procyclean BIO'!D429)),EDATE(AB428,3),DATEVALUE('Procyclean BIO'!D429))))),""))</f>
        <v/>
      </c>
      <c r="AM428" t="str">
        <f t="shared" ca="1" si="58"/>
        <v/>
      </c>
    </row>
    <row r="429" spans="27:39" x14ac:dyDescent="0.3">
      <c r="AA429" t="str">
        <f>IF(COUNTA('Procyclean BIO'!A430,'Procyclean BIO'!B430,'Procyclean BIO'!C430)&gt;0,"BIO","")</f>
        <v/>
      </c>
      <c r="AB429" t="str">
        <f>IFERROR(IF(ISNUMBER('Procyclean BIO'!A430),'Procyclean BIO'!A430,DATEVALUE('Procyclean BIO'!A430)),"")</f>
        <v/>
      </c>
      <c r="AC429" t="str">
        <f>IF(AA429="","",'Procyclean BIO'!B430)</f>
        <v/>
      </c>
      <c r="AD429" t="str">
        <f>IF(AA429="","",IFERROR(1*'Procyclean BIO'!C430,IFERROR(_xludf.NUMBERVALUE('Procyclean BIO'!C430,".",","),IFERROR(_xludf.NUMBERVALUE('Procyclean BIO'!C430,",","."),0))))</f>
        <v/>
      </c>
      <c r="AE429" t="str">
        <f>IF(AA429="","",'Procyclean BIO'!J430)</f>
        <v/>
      </c>
      <c r="AF429">
        <f t="shared" si="53"/>
        <v>0</v>
      </c>
      <c r="AG429" t="str">
        <f t="shared" si="54"/>
        <v/>
      </c>
      <c r="AH429" t="str">
        <f t="shared" si="55"/>
        <v/>
      </c>
      <c r="AI429">
        <f t="shared" si="56"/>
        <v>0</v>
      </c>
      <c r="AJ429">
        <f t="shared" si="57"/>
        <v>0</v>
      </c>
      <c r="AK429">
        <v>0</v>
      </c>
      <c r="AL429" t="str">
        <f>IF(AA429="","",IFERROR(IF(ISNUMBER('Procyclean BIO'!D430),'Procyclean BIO'!D430,IF(ISNUMBER(SEARCH("12",'Procyclean BIO'!D430)),EDATE(AB429,12),IF(ISNUMBER(SEARCH("6",'Procyclean BIO'!D430)),EDATE(AB429,6),IF(ISNUMBER(SEARCH("3",'Procyclean BIO'!D430)),EDATE(AB429,3),DATEVALUE('Procyclean BIO'!D430))))),""))</f>
        <v/>
      </c>
      <c r="AM429" t="str">
        <f t="shared" ca="1" si="58"/>
        <v/>
      </c>
    </row>
    <row r="430" spans="27:39" x14ac:dyDescent="0.3">
      <c r="AA430" t="str">
        <f>IF(COUNTA('Procyclean BIO'!A431,'Procyclean BIO'!B431,'Procyclean BIO'!C431)&gt;0,"BIO","")</f>
        <v/>
      </c>
      <c r="AB430" t="str">
        <f>IFERROR(IF(ISNUMBER('Procyclean BIO'!A431),'Procyclean BIO'!A431,DATEVALUE('Procyclean BIO'!A431)),"")</f>
        <v/>
      </c>
      <c r="AC430" t="str">
        <f>IF(AA430="","",'Procyclean BIO'!B431)</f>
        <v/>
      </c>
      <c r="AD430" t="str">
        <f>IF(AA430="","",IFERROR(1*'Procyclean BIO'!C431,IFERROR(_xludf.NUMBERVALUE('Procyclean BIO'!C431,".",","),IFERROR(_xludf.NUMBERVALUE('Procyclean BIO'!C431,",","."),0))))</f>
        <v/>
      </c>
      <c r="AE430" t="str">
        <f>IF(AA430="","",'Procyclean BIO'!J431)</f>
        <v/>
      </c>
      <c r="AF430">
        <f t="shared" si="53"/>
        <v>0</v>
      </c>
      <c r="AG430" t="str">
        <f t="shared" si="54"/>
        <v/>
      </c>
      <c r="AH430" t="str">
        <f t="shared" si="55"/>
        <v/>
      </c>
      <c r="AI430">
        <f t="shared" si="56"/>
        <v>0</v>
      </c>
      <c r="AJ430">
        <f t="shared" si="57"/>
        <v>0</v>
      </c>
      <c r="AK430">
        <v>0</v>
      </c>
      <c r="AL430" t="str">
        <f>IF(AA430="","",IFERROR(IF(ISNUMBER('Procyclean BIO'!D431),'Procyclean BIO'!D431,IF(ISNUMBER(SEARCH("12",'Procyclean BIO'!D431)),EDATE(AB430,12),IF(ISNUMBER(SEARCH("6",'Procyclean BIO'!D431)),EDATE(AB430,6),IF(ISNUMBER(SEARCH("3",'Procyclean BIO'!D431)),EDATE(AB430,3),DATEVALUE('Procyclean BIO'!D431))))),""))</f>
        <v/>
      </c>
      <c r="AM430" t="str">
        <f t="shared" ca="1" si="58"/>
        <v/>
      </c>
    </row>
    <row r="431" spans="27:39" x14ac:dyDescent="0.3">
      <c r="AA431" t="str">
        <f>IF(COUNTA('Procyclean BIO'!A432,'Procyclean BIO'!B432,'Procyclean BIO'!C432)&gt;0,"BIO","")</f>
        <v/>
      </c>
      <c r="AB431" t="str">
        <f>IFERROR(IF(ISNUMBER('Procyclean BIO'!A432),'Procyclean BIO'!A432,DATEVALUE('Procyclean BIO'!A432)),"")</f>
        <v/>
      </c>
      <c r="AC431" t="str">
        <f>IF(AA431="","",'Procyclean BIO'!B432)</f>
        <v/>
      </c>
      <c r="AD431" t="str">
        <f>IF(AA431="","",IFERROR(1*'Procyclean BIO'!C432,IFERROR(_xludf.NUMBERVALUE('Procyclean BIO'!C432,".",","),IFERROR(_xludf.NUMBERVALUE('Procyclean BIO'!C432,",","."),0))))</f>
        <v/>
      </c>
      <c r="AE431" t="str">
        <f>IF(AA431="","",'Procyclean BIO'!J432)</f>
        <v/>
      </c>
      <c r="AF431">
        <f t="shared" si="53"/>
        <v>0</v>
      </c>
      <c r="AG431" t="str">
        <f t="shared" si="54"/>
        <v/>
      </c>
      <c r="AH431" t="str">
        <f t="shared" si="55"/>
        <v/>
      </c>
      <c r="AI431">
        <f t="shared" si="56"/>
        <v>0</v>
      </c>
      <c r="AJ431">
        <f t="shared" si="57"/>
        <v>0</v>
      </c>
      <c r="AK431">
        <v>0</v>
      </c>
      <c r="AL431" t="str">
        <f>IF(AA431="","",IFERROR(IF(ISNUMBER('Procyclean BIO'!D432),'Procyclean BIO'!D432,IF(ISNUMBER(SEARCH("12",'Procyclean BIO'!D432)),EDATE(AB431,12),IF(ISNUMBER(SEARCH("6",'Procyclean BIO'!D432)),EDATE(AB431,6),IF(ISNUMBER(SEARCH("3",'Procyclean BIO'!D432)),EDATE(AB431,3),DATEVALUE('Procyclean BIO'!D432))))),""))</f>
        <v/>
      </c>
      <c r="AM431" t="str">
        <f t="shared" ca="1" si="58"/>
        <v/>
      </c>
    </row>
    <row r="432" spans="27:39" x14ac:dyDescent="0.3">
      <c r="AA432" t="str">
        <f>IF(COUNTA('Procyclean BIO'!A433,'Procyclean BIO'!B433,'Procyclean BIO'!C433)&gt;0,"BIO","")</f>
        <v/>
      </c>
      <c r="AB432" t="str">
        <f>IFERROR(IF(ISNUMBER('Procyclean BIO'!A433),'Procyclean BIO'!A433,DATEVALUE('Procyclean BIO'!A433)),"")</f>
        <v/>
      </c>
      <c r="AC432" t="str">
        <f>IF(AA432="","",'Procyclean BIO'!B433)</f>
        <v/>
      </c>
      <c r="AD432" t="str">
        <f>IF(AA432="","",IFERROR(1*'Procyclean BIO'!C433,IFERROR(_xludf.NUMBERVALUE('Procyclean BIO'!C433,".",","),IFERROR(_xludf.NUMBERVALUE('Procyclean BIO'!C433,",","."),0))))</f>
        <v/>
      </c>
      <c r="AE432" t="str">
        <f>IF(AA432="","",'Procyclean BIO'!J433)</f>
        <v/>
      </c>
      <c r="AF432">
        <f t="shared" si="53"/>
        <v>0</v>
      </c>
      <c r="AG432" t="str">
        <f t="shared" si="54"/>
        <v/>
      </c>
      <c r="AH432" t="str">
        <f t="shared" si="55"/>
        <v/>
      </c>
      <c r="AI432">
        <f t="shared" si="56"/>
        <v>0</v>
      </c>
      <c r="AJ432">
        <f t="shared" si="57"/>
        <v>0</v>
      </c>
      <c r="AK432">
        <v>0</v>
      </c>
      <c r="AL432" t="str">
        <f>IF(AA432="","",IFERROR(IF(ISNUMBER('Procyclean BIO'!D433),'Procyclean BIO'!D433,IF(ISNUMBER(SEARCH("12",'Procyclean BIO'!D433)),EDATE(AB432,12),IF(ISNUMBER(SEARCH("6",'Procyclean BIO'!D433)),EDATE(AB432,6),IF(ISNUMBER(SEARCH("3",'Procyclean BIO'!D433)),EDATE(AB432,3),DATEVALUE('Procyclean BIO'!D433))))),""))</f>
        <v/>
      </c>
      <c r="AM432" t="str">
        <f t="shared" ca="1" si="58"/>
        <v/>
      </c>
    </row>
    <row r="433" spans="27:39" x14ac:dyDescent="0.3">
      <c r="AA433" t="str">
        <f>IF(COUNTA('Procyclean BIO'!A434,'Procyclean BIO'!B434,'Procyclean BIO'!C434)&gt;0,"BIO","")</f>
        <v/>
      </c>
      <c r="AB433" t="str">
        <f>IFERROR(IF(ISNUMBER('Procyclean BIO'!A434),'Procyclean BIO'!A434,DATEVALUE('Procyclean BIO'!A434)),"")</f>
        <v/>
      </c>
      <c r="AC433" t="str">
        <f>IF(AA433="","",'Procyclean BIO'!B434)</f>
        <v/>
      </c>
      <c r="AD433" t="str">
        <f>IF(AA433="","",IFERROR(1*'Procyclean BIO'!C434,IFERROR(_xludf.NUMBERVALUE('Procyclean BIO'!C434,".",","),IFERROR(_xludf.NUMBERVALUE('Procyclean BIO'!C434,",","."),0))))</f>
        <v/>
      </c>
      <c r="AE433" t="str">
        <f>IF(AA433="","",'Procyclean BIO'!J434)</f>
        <v/>
      </c>
      <c r="AF433">
        <f t="shared" si="53"/>
        <v>0</v>
      </c>
      <c r="AG433" t="str">
        <f t="shared" si="54"/>
        <v/>
      </c>
      <c r="AH433" t="str">
        <f t="shared" si="55"/>
        <v/>
      </c>
      <c r="AI433">
        <f t="shared" si="56"/>
        <v>0</v>
      </c>
      <c r="AJ433">
        <f t="shared" si="57"/>
        <v>0</v>
      </c>
      <c r="AK433">
        <v>0</v>
      </c>
      <c r="AL433" t="str">
        <f>IF(AA433="","",IFERROR(IF(ISNUMBER('Procyclean BIO'!D434),'Procyclean BIO'!D434,IF(ISNUMBER(SEARCH("12",'Procyclean BIO'!D434)),EDATE(AB433,12),IF(ISNUMBER(SEARCH("6",'Procyclean BIO'!D434)),EDATE(AB433,6),IF(ISNUMBER(SEARCH("3",'Procyclean BIO'!D434)),EDATE(AB433,3),DATEVALUE('Procyclean BIO'!D434))))),""))</f>
        <v/>
      </c>
      <c r="AM433" t="str">
        <f t="shared" ca="1" si="58"/>
        <v/>
      </c>
    </row>
    <row r="434" spans="27:39" x14ac:dyDescent="0.3">
      <c r="AA434" t="str">
        <f>IF(COUNTA('Procyclean BIO'!A435,'Procyclean BIO'!B435,'Procyclean BIO'!C435)&gt;0,"BIO","")</f>
        <v/>
      </c>
      <c r="AB434" t="str">
        <f>IFERROR(IF(ISNUMBER('Procyclean BIO'!A435),'Procyclean BIO'!A435,DATEVALUE('Procyclean BIO'!A435)),"")</f>
        <v/>
      </c>
      <c r="AC434" t="str">
        <f>IF(AA434="","",'Procyclean BIO'!B435)</f>
        <v/>
      </c>
      <c r="AD434" t="str">
        <f>IF(AA434="","",IFERROR(1*'Procyclean BIO'!C435,IFERROR(_xludf.NUMBERVALUE('Procyclean BIO'!C435,".",","),IFERROR(_xludf.NUMBERVALUE('Procyclean BIO'!C435,",","."),0))))</f>
        <v/>
      </c>
      <c r="AE434" t="str">
        <f>IF(AA434="","",'Procyclean BIO'!J435)</f>
        <v/>
      </c>
      <c r="AF434">
        <f t="shared" si="53"/>
        <v>0</v>
      </c>
      <c r="AG434" t="str">
        <f t="shared" si="54"/>
        <v/>
      </c>
      <c r="AH434" t="str">
        <f t="shared" si="55"/>
        <v/>
      </c>
      <c r="AI434">
        <f t="shared" si="56"/>
        <v>0</v>
      </c>
      <c r="AJ434">
        <f t="shared" si="57"/>
        <v>0</v>
      </c>
      <c r="AK434">
        <v>0</v>
      </c>
      <c r="AL434" t="str">
        <f>IF(AA434="","",IFERROR(IF(ISNUMBER('Procyclean BIO'!D435),'Procyclean BIO'!D435,IF(ISNUMBER(SEARCH("12",'Procyclean BIO'!D435)),EDATE(AB434,12),IF(ISNUMBER(SEARCH("6",'Procyclean BIO'!D435)),EDATE(AB434,6),IF(ISNUMBER(SEARCH("3",'Procyclean BIO'!D435)),EDATE(AB434,3),DATEVALUE('Procyclean BIO'!D435))))),""))</f>
        <v/>
      </c>
      <c r="AM434" t="str">
        <f t="shared" ca="1" si="58"/>
        <v/>
      </c>
    </row>
    <row r="435" spans="27:39" x14ac:dyDescent="0.3">
      <c r="AA435" t="str">
        <f>IF(COUNTA('Procyclean BIO'!A436,'Procyclean BIO'!B436,'Procyclean BIO'!C436)&gt;0,"BIO","")</f>
        <v/>
      </c>
      <c r="AB435" t="str">
        <f>IFERROR(IF(ISNUMBER('Procyclean BIO'!A436),'Procyclean BIO'!A436,DATEVALUE('Procyclean BIO'!A436)),"")</f>
        <v/>
      </c>
      <c r="AC435" t="str">
        <f>IF(AA435="","",'Procyclean BIO'!B436)</f>
        <v/>
      </c>
      <c r="AD435" t="str">
        <f>IF(AA435="","",IFERROR(1*'Procyclean BIO'!C436,IFERROR(_xludf.NUMBERVALUE('Procyclean BIO'!C436,".",","),IFERROR(_xludf.NUMBERVALUE('Procyclean BIO'!C436,",","."),0))))</f>
        <v/>
      </c>
      <c r="AE435" t="str">
        <f>IF(AA435="","",'Procyclean BIO'!J436)</f>
        <v/>
      </c>
      <c r="AF435">
        <f t="shared" si="53"/>
        <v>0</v>
      </c>
      <c r="AG435" t="str">
        <f t="shared" si="54"/>
        <v/>
      </c>
      <c r="AH435" t="str">
        <f t="shared" si="55"/>
        <v/>
      </c>
      <c r="AI435">
        <f t="shared" si="56"/>
        <v>0</v>
      </c>
      <c r="AJ435">
        <f t="shared" si="57"/>
        <v>0</v>
      </c>
      <c r="AK435">
        <v>0</v>
      </c>
      <c r="AL435" t="str">
        <f>IF(AA435="","",IFERROR(IF(ISNUMBER('Procyclean BIO'!D436),'Procyclean BIO'!D436,IF(ISNUMBER(SEARCH("12",'Procyclean BIO'!D436)),EDATE(AB435,12),IF(ISNUMBER(SEARCH("6",'Procyclean BIO'!D436)),EDATE(AB435,6),IF(ISNUMBER(SEARCH("3",'Procyclean BIO'!D436)),EDATE(AB435,3),DATEVALUE('Procyclean BIO'!D436))))),""))</f>
        <v/>
      </c>
      <c r="AM435" t="str">
        <f t="shared" ca="1" si="58"/>
        <v/>
      </c>
    </row>
    <row r="436" spans="27:39" x14ac:dyDescent="0.3">
      <c r="AA436" t="str">
        <f>IF(COUNTA('Procyclean BIO'!A437,'Procyclean BIO'!B437,'Procyclean BIO'!C437)&gt;0,"BIO","")</f>
        <v/>
      </c>
      <c r="AB436" t="str">
        <f>IFERROR(IF(ISNUMBER('Procyclean BIO'!A437),'Procyclean BIO'!A437,DATEVALUE('Procyclean BIO'!A437)),"")</f>
        <v/>
      </c>
      <c r="AC436" t="str">
        <f>IF(AA436="","",'Procyclean BIO'!B437)</f>
        <v/>
      </c>
      <c r="AD436" t="str">
        <f>IF(AA436="","",IFERROR(1*'Procyclean BIO'!C437,IFERROR(_xludf.NUMBERVALUE('Procyclean BIO'!C437,".",","),IFERROR(_xludf.NUMBERVALUE('Procyclean BIO'!C437,",","."),0))))</f>
        <v/>
      </c>
      <c r="AE436" t="str">
        <f>IF(AA436="","",'Procyclean BIO'!J437)</f>
        <v/>
      </c>
      <c r="AF436">
        <f t="shared" si="53"/>
        <v>0</v>
      </c>
      <c r="AG436" t="str">
        <f t="shared" si="54"/>
        <v/>
      </c>
      <c r="AH436" t="str">
        <f t="shared" si="55"/>
        <v/>
      </c>
      <c r="AI436">
        <f t="shared" si="56"/>
        <v>0</v>
      </c>
      <c r="AJ436">
        <f t="shared" si="57"/>
        <v>0</v>
      </c>
      <c r="AK436">
        <v>0</v>
      </c>
      <c r="AL436" t="str">
        <f>IF(AA436="","",IFERROR(IF(ISNUMBER('Procyclean BIO'!D437),'Procyclean BIO'!D437,IF(ISNUMBER(SEARCH("12",'Procyclean BIO'!D437)),EDATE(AB436,12),IF(ISNUMBER(SEARCH("6",'Procyclean BIO'!D437)),EDATE(AB436,6),IF(ISNUMBER(SEARCH("3",'Procyclean BIO'!D437)),EDATE(AB436,3),DATEVALUE('Procyclean BIO'!D437))))),""))</f>
        <v/>
      </c>
      <c r="AM436" t="str">
        <f t="shared" ca="1" si="58"/>
        <v/>
      </c>
    </row>
    <row r="437" spans="27:39" x14ac:dyDescent="0.3">
      <c r="AA437" t="str">
        <f>IF(COUNTA('Procyclean BIO'!A438,'Procyclean BIO'!B438,'Procyclean BIO'!C438)&gt;0,"BIO","")</f>
        <v/>
      </c>
      <c r="AB437" t="str">
        <f>IFERROR(IF(ISNUMBER('Procyclean BIO'!A438),'Procyclean BIO'!A438,DATEVALUE('Procyclean BIO'!A438)),"")</f>
        <v/>
      </c>
      <c r="AC437" t="str">
        <f>IF(AA437="","",'Procyclean BIO'!B438)</f>
        <v/>
      </c>
      <c r="AD437" t="str">
        <f>IF(AA437="","",IFERROR(1*'Procyclean BIO'!C438,IFERROR(_xludf.NUMBERVALUE('Procyclean BIO'!C438,".",","),IFERROR(_xludf.NUMBERVALUE('Procyclean BIO'!C438,",","."),0))))</f>
        <v/>
      </c>
      <c r="AE437" t="str">
        <f>IF(AA437="","",'Procyclean BIO'!J438)</f>
        <v/>
      </c>
      <c r="AF437">
        <f t="shared" si="53"/>
        <v>0</v>
      </c>
      <c r="AG437" t="str">
        <f t="shared" si="54"/>
        <v/>
      </c>
      <c r="AH437" t="str">
        <f t="shared" si="55"/>
        <v/>
      </c>
      <c r="AI437">
        <f t="shared" si="56"/>
        <v>0</v>
      </c>
      <c r="AJ437">
        <f t="shared" si="57"/>
        <v>0</v>
      </c>
      <c r="AK437">
        <v>0</v>
      </c>
      <c r="AL437" t="str">
        <f>IF(AA437="","",IFERROR(IF(ISNUMBER('Procyclean BIO'!D438),'Procyclean BIO'!D438,IF(ISNUMBER(SEARCH("12",'Procyclean BIO'!D438)),EDATE(AB437,12),IF(ISNUMBER(SEARCH("6",'Procyclean BIO'!D438)),EDATE(AB437,6),IF(ISNUMBER(SEARCH("3",'Procyclean BIO'!D438)),EDATE(AB437,3),DATEVALUE('Procyclean BIO'!D438))))),""))</f>
        <v/>
      </c>
      <c r="AM437" t="str">
        <f t="shared" ca="1" si="58"/>
        <v/>
      </c>
    </row>
    <row r="438" spans="27:39" x14ac:dyDescent="0.3">
      <c r="AA438" t="str">
        <f>IF(COUNTA('Procyclean BIO'!A439,'Procyclean BIO'!B439,'Procyclean BIO'!C439)&gt;0,"BIO","")</f>
        <v/>
      </c>
      <c r="AB438" t="str">
        <f>IFERROR(IF(ISNUMBER('Procyclean BIO'!A439),'Procyclean BIO'!A439,DATEVALUE('Procyclean BIO'!A439)),"")</f>
        <v/>
      </c>
      <c r="AC438" t="str">
        <f>IF(AA438="","",'Procyclean BIO'!B439)</f>
        <v/>
      </c>
      <c r="AD438" t="str">
        <f>IF(AA438="","",IFERROR(1*'Procyclean BIO'!C439,IFERROR(_xludf.NUMBERVALUE('Procyclean BIO'!C439,".",","),IFERROR(_xludf.NUMBERVALUE('Procyclean BIO'!C439,",","."),0))))</f>
        <v/>
      </c>
      <c r="AE438" t="str">
        <f>IF(AA438="","",'Procyclean BIO'!J439)</f>
        <v/>
      </c>
      <c r="AF438">
        <f t="shared" si="53"/>
        <v>0</v>
      </c>
      <c r="AG438" t="str">
        <f t="shared" si="54"/>
        <v/>
      </c>
      <c r="AH438" t="str">
        <f t="shared" si="55"/>
        <v/>
      </c>
      <c r="AI438">
        <f t="shared" si="56"/>
        <v>0</v>
      </c>
      <c r="AJ438">
        <f t="shared" si="57"/>
        <v>0</v>
      </c>
      <c r="AK438">
        <v>0</v>
      </c>
      <c r="AL438" t="str">
        <f>IF(AA438="","",IFERROR(IF(ISNUMBER('Procyclean BIO'!D439),'Procyclean BIO'!D439,IF(ISNUMBER(SEARCH("12",'Procyclean BIO'!D439)),EDATE(AB438,12),IF(ISNUMBER(SEARCH("6",'Procyclean BIO'!D439)),EDATE(AB438,6),IF(ISNUMBER(SEARCH("3",'Procyclean BIO'!D439)),EDATE(AB438,3),DATEVALUE('Procyclean BIO'!D439))))),""))</f>
        <v/>
      </c>
      <c r="AM438" t="str">
        <f t="shared" ca="1" si="58"/>
        <v/>
      </c>
    </row>
    <row r="439" spans="27:39" x14ac:dyDescent="0.3">
      <c r="AA439" t="str">
        <f>IF(COUNTA('Procyclean BIO'!A440,'Procyclean BIO'!B440,'Procyclean BIO'!C440)&gt;0,"BIO","")</f>
        <v/>
      </c>
      <c r="AB439" t="str">
        <f>IFERROR(IF(ISNUMBER('Procyclean BIO'!A440),'Procyclean BIO'!A440,DATEVALUE('Procyclean BIO'!A440)),"")</f>
        <v/>
      </c>
      <c r="AC439" t="str">
        <f>IF(AA439="","",'Procyclean BIO'!B440)</f>
        <v/>
      </c>
      <c r="AD439" t="str">
        <f>IF(AA439="","",IFERROR(1*'Procyclean BIO'!C440,IFERROR(_xludf.NUMBERVALUE('Procyclean BIO'!C440,".",","),IFERROR(_xludf.NUMBERVALUE('Procyclean BIO'!C440,",","."),0))))</f>
        <v/>
      </c>
      <c r="AE439" t="str">
        <f>IF(AA439="","",'Procyclean BIO'!J440)</f>
        <v/>
      </c>
      <c r="AF439">
        <f t="shared" si="53"/>
        <v>0</v>
      </c>
      <c r="AG439" t="str">
        <f t="shared" si="54"/>
        <v/>
      </c>
      <c r="AH439" t="str">
        <f t="shared" si="55"/>
        <v/>
      </c>
      <c r="AI439">
        <f t="shared" si="56"/>
        <v>0</v>
      </c>
      <c r="AJ439">
        <f t="shared" si="57"/>
        <v>0</v>
      </c>
      <c r="AK439">
        <v>0</v>
      </c>
      <c r="AL439" t="str">
        <f>IF(AA439="","",IFERROR(IF(ISNUMBER('Procyclean BIO'!D440),'Procyclean BIO'!D440,IF(ISNUMBER(SEARCH("12",'Procyclean BIO'!D440)),EDATE(AB439,12),IF(ISNUMBER(SEARCH("6",'Procyclean BIO'!D440)),EDATE(AB439,6),IF(ISNUMBER(SEARCH("3",'Procyclean BIO'!D440)),EDATE(AB439,3),DATEVALUE('Procyclean BIO'!D440))))),""))</f>
        <v/>
      </c>
      <c r="AM439" t="str">
        <f t="shared" ca="1" si="58"/>
        <v/>
      </c>
    </row>
    <row r="440" spans="27:39" x14ac:dyDescent="0.3">
      <c r="AA440" t="str">
        <f>IF(COUNTA('Procyclean BIO'!A441,'Procyclean BIO'!B441,'Procyclean BIO'!C441)&gt;0,"BIO","")</f>
        <v/>
      </c>
      <c r="AB440" t="str">
        <f>IFERROR(IF(ISNUMBER('Procyclean BIO'!A441),'Procyclean BIO'!A441,DATEVALUE('Procyclean BIO'!A441)),"")</f>
        <v/>
      </c>
      <c r="AC440" t="str">
        <f>IF(AA440="","",'Procyclean BIO'!B441)</f>
        <v/>
      </c>
      <c r="AD440" t="str">
        <f>IF(AA440="","",IFERROR(1*'Procyclean BIO'!C441,IFERROR(_xludf.NUMBERVALUE('Procyclean BIO'!C441,".",","),IFERROR(_xludf.NUMBERVALUE('Procyclean BIO'!C441,",","."),0))))</f>
        <v/>
      </c>
      <c r="AE440" t="str">
        <f>IF(AA440="","",'Procyclean BIO'!J441)</f>
        <v/>
      </c>
      <c r="AF440">
        <f t="shared" si="53"/>
        <v>0</v>
      </c>
      <c r="AG440" t="str">
        <f t="shared" si="54"/>
        <v/>
      </c>
      <c r="AH440" t="str">
        <f t="shared" si="55"/>
        <v/>
      </c>
      <c r="AI440">
        <f t="shared" si="56"/>
        <v>0</v>
      </c>
      <c r="AJ440">
        <f t="shared" si="57"/>
        <v>0</v>
      </c>
      <c r="AK440">
        <v>0</v>
      </c>
      <c r="AL440" t="str">
        <f>IF(AA440="","",IFERROR(IF(ISNUMBER('Procyclean BIO'!D441),'Procyclean BIO'!D441,IF(ISNUMBER(SEARCH("12",'Procyclean BIO'!D441)),EDATE(AB440,12),IF(ISNUMBER(SEARCH("6",'Procyclean BIO'!D441)),EDATE(AB440,6),IF(ISNUMBER(SEARCH("3",'Procyclean BIO'!D441)),EDATE(AB440,3),DATEVALUE('Procyclean BIO'!D441))))),""))</f>
        <v/>
      </c>
      <c r="AM440" t="str">
        <f t="shared" ca="1" si="58"/>
        <v/>
      </c>
    </row>
    <row r="441" spans="27:39" x14ac:dyDescent="0.3">
      <c r="AA441" t="str">
        <f>IF(COUNTA('Procyclean BIO'!A442,'Procyclean BIO'!B442,'Procyclean BIO'!C442)&gt;0,"BIO","")</f>
        <v/>
      </c>
      <c r="AB441" t="str">
        <f>IFERROR(IF(ISNUMBER('Procyclean BIO'!A442),'Procyclean BIO'!A442,DATEVALUE('Procyclean BIO'!A442)),"")</f>
        <v/>
      </c>
      <c r="AC441" t="str">
        <f>IF(AA441="","",'Procyclean BIO'!B442)</f>
        <v/>
      </c>
      <c r="AD441" t="str">
        <f>IF(AA441="","",IFERROR(1*'Procyclean BIO'!C442,IFERROR(_xludf.NUMBERVALUE('Procyclean BIO'!C442,".",","),IFERROR(_xludf.NUMBERVALUE('Procyclean BIO'!C442,",","."),0))))</f>
        <v/>
      </c>
      <c r="AE441" t="str">
        <f>IF(AA441="","",'Procyclean BIO'!J442)</f>
        <v/>
      </c>
      <c r="AF441">
        <f t="shared" si="53"/>
        <v>0</v>
      </c>
      <c r="AG441" t="str">
        <f t="shared" si="54"/>
        <v/>
      </c>
      <c r="AH441" t="str">
        <f t="shared" si="55"/>
        <v/>
      </c>
      <c r="AI441">
        <f t="shared" si="56"/>
        <v>0</v>
      </c>
      <c r="AJ441">
        <f t="shared" si="57"/>
        <v>0</v>
      </c>
      <c r="AK441">
        <v>0</v>
      </c>
      <c r="AL441" t="str">
        <f>IF(AA441="","",IFERROR(IF(ISNUMBER('Procyclean BIO'!D442),'Procyclean BIO'!D442,IF(ISNUMBER(SEARCH("12",'Procyclean BIO'!D442)),EDATE(AB441,12),IF(ISNUMBER(SEARCH("6",'Procyclean BIO'!D442)),EDATE(AB441,6),IF(ISNUMBER(SEARCH("3",'Procyclean BIO'!D442)),EDATE(AB441,3),DATEVALUE('Procyclean BIO'!D442))))),""))</f>
        <v/>
      </c>
      <c r="AM441" t="str">
        <f t="shared" ca="1" si="58"/>
        <v/>
      </c>
    </row>
    <row r="442" spans="27:39" x14ac:dyDescent="0.3">
      <c r="AA442" t="str">
        <f>IF(COUNTA('Procyclean BIO'!A443,'Procyclean BIO'!B443,'Procyclean BIO'!C443)&gt;0,"BIO","")</f>
        <v/>
      </c>
      <c r="AB442" t="str">
        <f>IFERROR(IF(ISNUMBER('Procyclean BIO'!A443),'Procyclean BIO'!A443,DATEVALUE('Procyclean BIO'!A443)),"")</f>
        <v/>
      </c>
      <c r="AC442" t="str">
        <f>IF(AA442="","",'Procyclean BIO'!B443)</f>
        <v/>
      </c>
      <c r="AD442" t="str">
        <f>IF(AA442="","",IFERROR(1*'Procyclean BIO'!C443,IFERROR(_xludf.NUMBERVALUE('Procyclean BIO'!C443,".",","),IFERROR(_xludf.NUMBERVALUE('Procyclean BIO'!C443,",","."),0))))</f>
        <v/>
      </c>
      <c r="AE442" t="str">
        <f>IF(AA442="","",'Procyclean BIO'!J443)</f>
        <v/>
      </c>
      <c r="AF442">
        <f t="shared" si="53"/>
        <v>0</v>
      </c>
      <c r="AG442" t="str">
        <f t="shared" si="54"/>
        <v/>
      </c>
      <c r="AH442" t="str">
        <f t="shared" si="55"/>
        <v/>
      </c>
      <c r="AI442">
        <f t="shared" si="56"/>
        <v>0</v>
      </c>
      <c r="AJ442">
        <f t="shared" si="57"/>
        <v>0</v>
      </c>
      <c r="AK442">
        <v>0</v>
      </c>
      <c r="AL442" t="str">
        <f>IF(AA442="","",IFERROR(IF(ISNUMBER('Procyclean BIO'!D443),'Procyclean BIO'!D443,IF(ISNUMBER(SEARCH("12",'Procyclean BIO'!D443)),EDATE(AB442,12),IF(ISNUMBER(SEARCH("6",'Procyclean BIO'!D443)),EDATE(AB442,6),IF(ISNUMBER(SEARCH("3",'Procyclean BIO'!D443)),EDATE(AB442,3),DATEVALUE('Procyclean BIO'!D443))))),""))</f>
        <v/>
      </c>
      <c r="AM442" t="str">
        <f t="shared" ca="1" si="58"/>
        <v/>
      </c>
    </row>
    <row r="443" spans="27:39" x14ac:dyDescent="0.3">
      <c r="AA443" t="str">
        <f>IF(COUNTA('Procyclean BIO'!A444,'Procyclean BIO'!B444,'Procyclean BIO'!C444)&gt;0,"BIO","")</f>
        <v/>
      </c>
      <c r="AB443" t="str">
        <f>IFERROR(IF(ISNUMBER('Procyclean BIO'!A444),'Procyclean BIO'!A444,DATEVALUE('Procyclean BIO'!A444)),"")</f>
        <v/>
      </c>
      <c r="AC443" t="str">
        <f>IF(AA443="","",'Procyclean BIO'!B444)</f>
        <v/>
      </c>
      <c r="AD443" t="str">
        <f>IF(AA443="","",IFERROR(1*'Procyclean BIO'!C444,IFERROR(_xludf.NUMBERVALUE('Procyclean BIO'!C444,".",","),IFERROR(_xludf.NUMBERVALUE('Procyclean BIO'!C444,",","."),0))))</f>
        <v/>
      </c>
      <c r="AE443" t="str">
        <f>IF(AA443="","",'Procyclean BIO'!J444)</f>
        <v/>
      </c>
      <c r="AF443">
        <f t="shared" si="53"/>
        <v>0</v>
      </c>
      <c r="AG443" t="str">
        <f t="shared" si="54"/>
        <v/>
      </c>
      <c r="AH443" t="str">
        <f t="shared" si="55"/>
        <v/>
      </c>
      <c r="AI443">
        <f t="shared" si="56"/>
        <v>0</v>
      </c>
      <c r="AJ443">
        <f t="shared" si="57"/>
        <v>0</v>
      </c>
      <c r="AK443">
        <v>0</v>
      </c>
      <c r="AL443" t="str">
        <f>IF(AA443="","",IFERROR(IF(ISNUMBER('Procyclean BIO'!D444),'Procyclean BIO'!D444,IF(ISNUMBER(SEARCH("12",'Procyclean BIO'!D444)),EDATE(AB443,12),IF(ISNUMBER(SEARCH("6",'Procyclean BIO'!D444)),EDATE(AB443,6),IF(ISNUMBER(SEARCH("3",'Procyclean BIO'!D444)),EDATE(AB443,3),DATEVALUE('Procyclean BIO'!D444))))),""))</f>
        <v/>
      </c>
      <c r="AM443" t="str">
        <f t="shared" ca="1" si="58"/>
        <v/>
      </c>
    </row>
    <row r="444" spans="27:39" x14ac:dyDescent="0.3">
      <c r="AA444" t="str">
        <f>IF(COUNTA('Procyclean BIO'!A445,'Procyclean BIO'!B445,'Procyclean BIO'!C445)&gt;0,"BIO","")</f>
        <v/>
      </c>
      <c r="AB444" t="str">
        <f>IFERROR(IF(ISNUMBER('Procyclean BIO'!A445),'Procyclean BIO'!A445,DATEVALUE('Procyclean BIO'!A445)),"")</f>
        <v/>
      </c>
      <c r="AC444" t="str">
        <f>IF(AA444="","",'Procyclean BIO'!B445)</f>
        <v/>
      </c>
      <c r="AD444" t="str">
        <f>IF(AA444="","",IFERROR(1*'Procyclean BIO'!C445,IFERROR(_xludf.NUMBERVALUE('Procyclean BIO'!C445,".",","),IFERROR(_xludf.NUMBERVALUE('Procyclean BIO'!C445,",","."),0))))</f>
        <v/>
      </c>
      <c r="AE444" t="str">
        <f>IF(AA444="","",'Procyclean BIO'!J445)</f>
        <v/>
      </c>
      <c r="AF444">
        <f t="shared" si="53"/>
        <v>0</v>
      </c>
      <c r="AG444" t="str">
        <f t="shared" si="54"/>
        <v/>
      </c>
      <c r="AH444" t="str">
        <f t="shared" si="55"/>
        <v/>
      </c>
      <c r="AI444">
        <f t="shared" si="56"/>
        <v>0</v>
      </c>
      <c r="AJ444">
        <f t="shared" si="57"/>
        <v>0</v>
      </c>
      <c r="AK444">
        <v>0</v>
      </c>
      <c r="AL444" t="str">
        <f>IF(AA444="","",IFERROR(IF(ISNUMBER('Procyclean BIO'!D445),'Procyclean BIO'!D445,IF(ISNUMBER(SEARCH("12",'Procyclean BIO'!D445)),EDATE(AB444,12),IF(ISNUMBER(SEARCH("6",'Procyclean BIO'!D445)),EDATE(AB444,6),IF(ISNUMBER(SEARCH("3",'Procyclean BIO'!D445)),EDATE(AB444,3),DATEVALUE('Procyclean BIO'!D445))))),""))</f>
        <v/>
      </c>
      <c r="AM444" t="str">
        <f t="shared" ca="1" si="58"/>
        <v/>
      </c>
    </row>
    <row r="445" spans="27:39" x14ac:dyDescent="0.3">
      <c r="AA445" t="str">
        <f>IF(COUNTA('Procyclean BIO'!A446,'Procyclean BIO'!B446,'Procyclean BIO'!C446)&gt;0,"BIO","")</f>
        <v/>
      </c>
      <c r="AB445" t="str">
        <f>IFERROR(IF(ISNUMBER('Procyclean BIO'!A446),'Procyclean BIO'!A446,DATEVALUE('Procyclean BIO'!A446)),"")</f>
        <v/>
      </c>
      <c r="AC445" t="str">
        <f>IF(AA445="","",'Procyclean BIO'!B446)</f>
        <v/>
      </c>
      <c r="AD445" t="str">
        <f>IF(AA445="","",IFERROR(1*'Procyclean BIO'!C446,IFERROR(_xludf.NUMBERVALUE('Procyclean BIO'!C446,".",","),IFERROR(_xludf.NUMBERVALUE('Procyclean BIO'!C446,",","."),0))))</f>
        <v/>
      </c>
      <c r="AE445" t="str">
        <f>IF(AA445="","",'Procyclean BIO'!J446)</f>
        <v/>
      </c>
      <c r="AF445">
        <f t="shared" si="53"/>
        <v>0</v>
      </c>
      <c r="AG445" t="str">
        <f t="shared" si="54"/>
        <v/>
      </c>
      <c r="AH445" t="str">
        <f t="shared" si="55"/>
        <v/>
      </c>
      <c r="AI445">
        <f t="shared" si="56"/>
        <v>0</v>
      </c>
      <c r="AJ445">
        <f t="shared" si="57"/>
        <v>0</v>
      </c>
      <c r="AK445">
        <v>0</v>
      </c>
      <c r="AL445" t="str">
        <f>IF(AA445="","",IFERROR(IF(ISNUMBER('Procyclean BIO'!D446),'Procyclean BIO'!D446,IF(ISNUMBER(SEARCH("12",'Procyclean BIO'!D446)),EDATE(AB445,12),IF(ISNUMBER(SEARCH("6",'Procyclean BIO'!D446)),EDATE(AB445,6),IF(ISNUMBER(SEARCH("3",'Procyclean BIO'!D446)),EDATE(AB445,3),DATEVALUE('Procyclean BIO'!D446))))),""))</f>
        <v/>
      </c>
      <c r="AM445" t="str">
        <f t="shared" ca="1" si="58"/>
        <v/>
      </c>
    </row>
    <row r="446" spans="27:39" x14ac:dyDescent="0.3">
      <c r="AA446" t="str">
        <f>IF(COUNTA('Procyclean BIO'!A447,'Procyclean BIO'!B447,'Procyclean BIO'!C447)&gt;0,"BIO","")</f>
        <v/>
      </c>
      <c r="AB446" t="str">
        <f>IFERROR(IF(ISNUMBER('Procyclean BIO'!A447),'Procyclean BIO'!A447,DATEVALUE('Procyclean BIO'!A447)),"")</f>
        <v/>
      </c>
      <c r="AC446" t="str">
        <f>IF(AA446="","",'Procyclean BIO'!B447)</f>
        <v/>
      </c>
      <c r="AD446" t="str">
        <f>IF(AA446="","",IFERROR(1*'Procyclean BIO'!C447,IFERROR(_xludf.NUMBERVALUE('Procyclean BIO'!C447,".",","),IFERROR(_xludf.NUMBERVALUE('Procyclean BIO'!C447,",","."),0))))</f>
        <v/>
      </c>
      <c r="AE446" t="str">
        <f>IF(AA446="","",'Procyclean BIO'!J447)</f>
        <v/>
      </c>
      <c r="AF446">
        <f t="shared" si="53"/>
        <v>0</v>
      </c>
      <c r="AG446" t="str">
        <f t="shared" si="54"/>
        <v/>
      </c>
      <c r="AH446" t="str">
        <f t="shared" si="55"/>
        <v/>
      </c>
      <c r="AI446">
        <f t="shared" si="56"/>
        <v>0</v>
      </c>
      <c r="AJ446">
        <f t="shared" si="57"/>
        <v>0</v>
      </c>
      <c r="AK446">
        <v>0</v>
      </c>
      <c r="AL446" t="str">
        <f>IF(AA446="","",IFERROR(IF(ISNUMBER('Procyclean BIO'!D447),'Procyclean BIO'!D447,IF(ISNUMBER(SEARCH("12",'Procyclean BIO'!D447)),EDATE(AB446,12),IF(ISNUMBER(SEARCH("6",'Procyclean BIO'!D447)),EDATE(AB446,6),IF(ISNUMBER(SEARCH("3",'Procyclean BIO'!D447)),EDATE(AB446,3),DATEVALUE('Procyclean BIO'!D447))))),""))</f>
        <v/>
      </c>
      <c r="AM446" t="str">
        <f t="shared" ca="1" si="58"/>
        <v/>
      </c>
    </row>
    <row r="447" spans="27:39" x14ac:dyDescent="0.3">
      <c r="AA447" t="str">
        <f>IF(COUNTA('Procyclean BIO'!A448,'Procyclean BIO'!B448,'Procyclean BIO'!C448)&gt;0,"BIO","")</f>
        <v/>
      </c>
      <c r="AB447" t="str">
        <f>IFERROR(IF(ISNUMBER('Procyclean BIO'!A448),'Procyclean BIO'!A448,DATEVALUE('Procyclean BIO'!A448)),"")</f>
        <v/>
      </c>
      <c r="AC447" t="str">
        <f>IF(AA447="","",'Procyclean BIO'!B448)</f>
        <v/>
      </c>
      <c r="AD447" t="str">
        <f>IF(AA447="","",IFERROR(1*'Procyclean BIO'!C448,IFERROR(_xludf.NUMBERVALUE('Procyclean BIO'!C448,".",","),IFERROR(_xludf.NUMBERVALUE('Procyclean BIO'!C448,",","."),0))))</f>
        <v/>
      </c>
      <c r="AE447" t="str">
        <f>IF(AA447="","",'Procyclean BIO'!J448)</f>
        <v/>
      </c>
      <c r="AF447">
        <f t="shared" si="53"/>
        <v>0</v>
      </c>
      <c r="AG447" t="str">
        <f t="shared" si="54"/>
        <v/>
      </c>
      <c r="AH447" t="str">
        <f t="shared" si="55"/>
        <v/>
      </c>
      <c r="AI447">
        <f t="shared" si="56"/>
        <v>0</v>
      </c>
      <c r="AJ447">
        <f t="shared" si="57"/>
        <v>0</v>
      </c>
      <c r="AK447">
        <v>0</v>
      </c>
      <c r="AL447" t="str">
        <f>IF(AA447="","",IFERROR(IF(ISNUMBER('Procyclean BIO'!D448),'Procyclean BIO'!D448,IF(ISNUMBER(SEARCH("12",'Procyclean BIO'!D448)),EDATE(AB447,12),IF(ISNUMBER(SEARCH("6",'Procyclean BIO'!D448)),EDATE(AB447,6),IF(ISNUMBER(SEARCH("3",'Procyclean BIO'!D448)),EDATE(AB447,3),DATEVALUE('Procyclean BIO'!D448))))),""))</f>
        <v/>
      </c>
      <c r="AM447" t="str">
        <f t="shared" ca="1" si="58"/>
        <v/>
      </c>
    </row>
    <row r="448" spans="27:39" x14ac:dyDescent="0.3">
      <c r="AA448" t="str">
        <f>IF(COUNTA('Procyclean BIO'!A449,'Procyclean BIO'!B449,'Procyclean BIO'!C449)&gt;0,"BIO","")</f>
        <v/>
      </c>
      <c r="AB448" t="str">
        <f>IFERROR(IF(ISNUMBER('Procyclean BIO'!A449),'Procyclean BIO'!A449,DATEVALUE('Procyclean BIO'!A449)),"")</f>
        <v/>
      </c>
      <c r="AC448" t="str">
        <f>IF(AA448="","",'Procyclean BIO'!B449)</f>
        <v/>
      </c>
      <c r="AD448" t="str">
        <f>IF(AA448="","",IFERROR(1*'Procyclean BIO'!C449,IFERROR(_xludf.NUMBERVALUE('Procyclean BIO'!C449,".",","),IFERROR(_xludf.NUMBERVALUE('Procyclean BIO'!C449,",","."),0))))</f>
        <v/>
      </c>
      <c r="AE448" t="str">
        <f>IF(AA448="","",'Procyclean BIO'!J449)</f>
        <v/>
      </c>
      <c r="AF448">
        <f t="shared" si="53"/>
        <v>0</v>
      </c>
      <c r="AG448" t="str">
        <f t="shared" si="54"/>
        <v/>
      </c>
      <c r="AH448" t="str">
        <f t="shared" si="55"/>
        <v/>
      </c>
      <c r="AI448">
        <f t="shared" si="56"/>
        <v>0</v>
      </c>
      <c r="AJ448">
        <f t="shared" si="57"/>
        <v>0</v>
      </c>
      <c r="AK448">
        <v>0</v>
      </c>
      <c r="AL448" t="str">
        <f>IF(AA448="","",IFERROR(IF(ISNUMBER('Procyclean BIO'!D449),'Procyclean BIO'!D449,IF(ISNUMBER(SEARCH("12",'Procyclean BIO'!D449)),EDATE(AB448,12),IF(ISNUMBER(SEARCH("6",'Procyclean BIO'!D449)),EDATE(AB448,6),IF(ISNUMBER(SEARCH("3",'Procyclean BIO'!D449)),EDATE(AB448,3),DATEVALUE('Procyclean BIO'!D449))))),""))</f>
        <v/>
      </c>
      <c r="AM448" t="str">
        <f t="shared" ca="1" si="58"/>
        <v/>
      </c>
    </row>
    <row r="449" spans="27:39" x14ac:dyDescent="0.3">
      <c r="AA449" t="str">
        <f>IF(COUNTA('Procyclean BIO'!A450,'Procyclean BIO'!B450,'Procyclean BIO'!C450)&gt;0,"BIO","")</f>
        <v/>
      </c>
      <c r="AB449" t="str">
        <f>IFERROR(IF(ISNUMBER('Procyclean BIO'!A450),'Procyclean BIO'!A450,DATEVALUE('Procyclean BIO'!A450)),"")</f>
        <v/>
      </c>
      <c r="AC449" t="str">
        <f>IF(AA449="","",'Procyclean BIO'!B450)</f>
        <v/>
      </c>
      <c r="AD449" t="str">
        <f>IF(AA449="","",IFERROR(1*'Procyclean BIO'!C450,IFERROR(_xludf.NUMBERVALUE('Procyclean BIO'!C450,".",","),IFERROR(_xludf.NUMBERVALUE('Procyclean BIO'!C450,",","."),0))))</f>
        <v/>
      </c>
      <c r="AE449" t="str">
        <f>IF(AA449="","",'Procyclean BIO'!J450)</f>
        <v/>
      </c>
      <c r="AF449">
        <f t="shared" si="53"/>
        <v>0</v>
      </c>
      <c r="AG449" t="str">
        <f t="shared" si="54"/>
        <v/>
      </c>
      <c r="AH449" t="str">
        <f t="shared" si="55"/>
        <v/>
      </c>
      <c r="AI449">
        <f t="shared" si="56"/>
        <v>0</v>
      </c>
      <c r="AJ449">
        <f t="shared" si="57"/>
        <v>0</v>
      </c>
      <c r="AK449">
        <v>0</v>
      </c>
      <c r="AL449" t="str">
        <f>IF(AA449="","",IFERROR(IF(ISNUMBER('Procyclean BIO'!D450),'Procyclean BIO'!D450,IF(ISNUMBER(SEARCH("12",'Procyclean BIO'!D450)),EDATE(AB449,12),IF(ISNUMBER(SEARCH("6",'Procyclean BIO'!D450)),EDATE(AB449,6),IF(ISNUMBER(SEARCH("3",'Procyclean BIO'!D450)),EDATE(AB449,3),DATEVALUE('Procyclean BIO'!D450))))),""))</f>
        <v/>
      </c>
      <c r="AM449" t="str">
        <f t="shared" ca="1" si="58"/>
        <v/>
      </c>
    </row>
    <row r="450" spans="27:39" x14ac:dyDescent="0.3">
      <c r="AA450" t="str">
        <f>IF(COUNTA('Procyclean BIO'!A451,'Procyclean BIO'!B451,'Procyclean BIO'!C451)&gt;0,"BIO","")</f>
        <v/>
      </c>
      <c r="AB450" t="str">
        <f>IFERROR(IF(ISNUMBER('Procyclean BIO'!A451),'Procyclean BIO'!A451,DATEVALUE('Procyclean BIO'!A451)),"")</f>
        <v/>
      </c>
      <c r="AC450" t="str">
        <f>IF(AA450="","",'Procyclean BIO'!B451)</f>
        <v/>
      </c>
      <c r="AD450" t="str">
        <f>IF(AA450="","",IFERROR(1*'Procyclean BIO'!C451,IFERROR(_xludf.NUMBERVALUE('Procyclean BIO'!C451,".",","),IFERROR(_xludf.NUMBERVALUE('Procyclean BIO'!C451,",","."),0))))</f>
        <v/>
      </c>
      <c r="AE450" t="str">
        <f>IF(AA450="","",'Procyclean BIO'!J451)</f>
        <v/>
      </c>
      <c r="AF450">
        <f t="shared" ref="AF450:AF513" si="59">IF(AA450="",0,--AND(ISNUMBER(SEARCH("aprov",AE450)),NOT(ISNUMBER(SEARCH("reprov",AE450)))))</f>
        <v>0</v>
      </c>
      <c r="AG450" t="str">
        <f t="shared" ref="AG450:AG513" si="60">IF(AB450="","",YEAR(AB450))</f>
        <v/>
      </c>
      <c r="AH450" t="str">
        <f t="shared" ref="AH450:AH513" si="61">IF(AB450="","",MONTH(AB450))</f>
        <v/>
      </c>
      <c r="AI450">
        <f t="shared" ref="AI450:AI513" si="62">IF(AB450="",0,AB450+ROW()/1000000)</f>
        <v>0</v>
      </c>
      <c r="AJ450">
        <f t="shared" ref="AJ450:AJ513" si="63">--(AA450&lt;&gt;"")</f>
        <v>0</v>
      </c>
      <c r="AK450">
        <v>0</v>
      </c>
      <c r="AL450" t="str">
        <f>IF(AA450="","",IFERROR(IF(ISNUMBER('Procyclean BIO'!D451),'Procyclean BIO'!D451,IF(ISNUMBER(SEARCH("12",'Procyclean BIO'!D451)),EDATE(AB450,12),IF(ISNUMBER(SEARCH("6",'Procyclean BIO'!D451)),EDATE(AB450,6),IF(ISNUMBER(SEARCH("3",'Procyclean BIO'!D451)),EDATE(AB450,3),DATEVALUE('Procyclean BIO'!D451))))),""))</f>
        <v/>
      </c>
      <c r="AM450" t="str">
        <f t="shared" ref="AM450:AM513" ca="1" si="64">IF(AND(AJ450=1,AL450&lt;&gt;"",AL450&gt;=TODAY(),AG450=$W$3),AL450+ROW()/1000000,"")</f>
        <v/>
      </c>
    </row>
    <row r="451" spans="27:39" x14ac:dyDescent="0.3">
      <c r="AA451" t="str">
        <f>IF(COUNTA('Procyclean BIO'!A452,'Procyclean BIO'!B452,'Procyclean BIO'!C452)&gt;0,"BIO","")</f>
        <v/>
      </c>
      <c r="AB451" t="str">
        <f>IFERROR(IF(ISNUMBER('Procyclean BIO'!A452),'Procyclean BIO'!A452,DATEVALUE('Procyclean BIO'!A452)),"")</f>
        <v/>
      </c>
      <c r="AC451" t="str">
        <f>IF(AA451="","",'Procyclean BIO'!B452)</f>
        <v/>
      </c>
      <c r="AD451" t="str">
        <f>IF(AA451="","",IFERROR(1*'Procyclean BIO'!C452,IFERROR(_xludf.NUMBERVALUE('Procyclean BIO'!C452,".",","),IFERROR(_xludf.NUMBERVALUE('Procyclean BIO'!C452,",","."),0))))</f>
        <v/>
      </c>
      <c r="AE451" t="str">
        <f>IF(AA451="","",'Procyclean BIO'!J452)</f>
        <v/>
      </c>
      <c r="AF451">
        <f t="shared" si="59"/>
        <v>0</v>
      </c>
      <c r="AG451" t="str">
        <f t="shared" si="60"/>
        <v/>
      </c>
      <c r="AH451" t="str">
        <f t="shared" si="61"/>
        <v/>
      </c>
      <c r="AI451">
        <f t="shared" si="62"/>
        <v>0</v>
      </c>
      <c r="AJ451">
        <f t="shared" si="63"/>
        <v>0</v>
      </c>
      <c r="AK451">
        <v>0</v>
      </c>
      <c r="AL451" t="str">
        <f>IF(AA451="","",IFERROR(IF(ISNUMBER('Procyclean BIO'!D452),'Procyclean BIO'!D452,IF(ISNUMBER(SEARCH("12",'Procyclean BIO'!D452)),EDATE(AB451,12),IF(ISNUMBER(SEARCH("6",'Procyclean BIO'!D452)),EDATE(AB451,6),IF(ISNUMBER(SEARCH("3",'Procyclean BIO'!D452)),EDATE(AB451,3),DATEVALUE('Procyclean BIO'!D452))))),""))</f>
        <v/>
      </c>
      <c r="AM451" t="str">
        <f t="shared" ca="1" si="64"/>
        <v/>
      </c>
    </row>
    <row r="452" spans="27:39" x14ac:dyDescent="0.3">
      <c r="AA452" t="str">
        <f>IF(COUNTA('Procyclean BIO'!A453,'Procyclean BIO'!B453,'Procyclean BIO'!C453)&gt;0,"BIO","")</f>
        <v/>
      </c>
      <c r="AB452" t="str">
        <f>IFERROR(IF(ISNUMBER('Procyclean BIO'!A453),'Procyclean BIO'!A453,DATEVALUE('Procyclean BIO'!A453)),"")</f>
        <v/>
      </c>
      <c r="AC452" t="str">
        <f>IF(AA452="","",'Procyclean BIO'!B453)</f>
        <v/>
      </c>
      <c r="AD452" t="str">
        <f>IF(AA452="","",IFERROR(1*'Procyclean BIO'!C453,IFERROR(_xludf.NUMBERVALUE('Procyclean BIO'!C453,".",","),IFERROR(_xludf.NUMBERVALUE('Procyclean BIO'!C453,",","."),0))))</f>
        <v/>
      </c>
      <c r="AE452" t="str">
        <f>IF(AA452="","",'Procyclean BIO'!J453)</f>
        <v/>
      </c>
      <c r="AF452">
        <f t="shared" si="59"/>
        <v>0</v>
      </c>
      <c r="AG452" t="str">
        <f t="shared" si="60"/>
        <v/>
      </c>
      <c r="AH452" t="str">
        <f t="shared" si="61"/>
        <v/>
      </c>
      <c r="AI452">
        <f t="shared" si="62"/>
        <v>0</v>
      </c>
      <c r="AJ452">
        <f t="shared" si="63"/>
        <v>0</v>
      </c>
      <c r="AK452">
        <v>0</v>
      </c>
      <c r="AL452" t="str">
        <f>IF(AA452="","",IFERROR(IF(ISNUMBER('Procyclean BIO'!D453),'Procyclean BIO'!D453,IF(ISNUMBER(SEARCH("12",'Procyclean BIO'!D453)),EDATE(AB452,12),IF(ISNUMBER(SEARCH("6",'Procyclean BIO'!D453)),EDATE(AB452,6),IF(ISNUMBER(SEARCH("3",'Procyclean BIO'!D453)),EDATE(AB452,3),DATEVALUE('Procyclean BIO'!D453))))),""))</f>
        <v/>
      </c>
      <c r="AM452" t="str">
        <f t="shared" ca="1" si="64"/>
        <v/>
      </c>
    </row>
    <row r="453" spans="27:39" x14ac:dyDescent="0.3">
      <c r="AA453" t="str">
        <f>IF(COUNTA('Procyclean BIO'!A454,'Procyclean BIO'!B454,'Procyclean BIO'!C454)&gt;0,"BIO","")</f>
        <v/>
      </c>
      <c r="AB453" t="str">
        <f>IFERROR(IF(ISNUMBER('Procyclean BIO'!A454),'Procyclean BIO'!A454,DATEVALUE('Procyclean BIO'!A454)),"")</f>
        <v/>
      </c>
      <c r="AC453" t="str">
        <f>IF(AA453="","",'Procyclean BIO'!B454)</f>
        <v/>
      </c>
      <c r="AD453" t="str">
        <f>IF(AA453="","",IFERROR(1*'Procyclean BIO'!C454,IFERROR(_xludf.NUMBERVALUE('Procyclean BIO'!C454,".",","),IFERROR(_xludf.NUMBERVALUE('Procyclean BIO'!C454,",","."),0))))</f>
        <v/>
      </c>
      <c r="AE453" t="str">
        <f>IF(AA453="","",'Procyclean BIO'!J454)</f>
        <v/>
      </c>
      <c r="AF453">
        <f t="shared" si="59"/>
        <v>0</v>
      </c>
      <c r="AG453" t="str">
        <f t="shared" si="60"/>
        <v/>
      </c>
      <c r="AH453" t="str">
        <f t="shared" si="61"/>
        <v/>
      </c>
      <c r="AI453">
        <f t="shared" si="62"/>
        <v>0</v>
      </c>
      <c r="AJ453">
        <f t="shared" si="63"/>
        <v>0</v>
      </c>
      <c r="AK453">
        <v>0</v>
      </c>
      <c r="AL453" t="str">
        <f>IF(AA453="","",IFERROR(IF(ISNUMBER('Procyclean BIO'!D454),'Procyclean BIO'!D454,IF(ISNUMBER(SEARCH("12",'Procyclean BIO'!D454)),EDATE(AB453,12),IF(ISNUMBER(SEARCH("6",'Procyclean BIO'!D454)),EDATE(AB453,6),IF(ISNUMBER(SEARCH("3",'Procyclean BIO'!D454)),EDATE(AB453,3),DATEVALUE('Procyclean BIO'!D454))))),""))</f>
        <v/>
      </c>
      <c r="AM453" t="str">
        <f t="shared" ca="1" si="64"/>
        <v/>
      </c>
    </row>
    <row r="454" spans="27:39" x14ac:dyDescent="0.3">
      <c r="AA454" t="str">
        <f>IF(COUNTA('Procyclean BIO'!A455,'Procyclean BIO'!B455,'Procyclean BIO'!C455)&gt;0,"BIO","")</f>
        <v/>
      </c>
      <c r="AB454" t="str">
        <f>IFERROR(IF(ISNUMBER('Procyclean BIO'!A455),'Procyclean BIO'!A455,DATEVALUE('Procyclean BIO'!A455)),"")</f>
        <v/>
      </c>
      <c r="AC454" t="str">
        <f>IF(AA454="","",'Procyclean BIO'!B455)</f>
        <v/>
      </c>
      <c r="AD454" t="str">
        <f>IF(AA454="","",IFERROR(1*'Procyclean BIO'!C455,IFERROR(_xludf.NUMBERVALUE('Procyclean BIO'!C455,".",","),IFERROR(_xludf.NUMBERVALUE('Procyclean BIO'!C455,",","."),0))))</f>
        <v/>
      </c>
      <c r="AE454" t="str">
        <f>IF(AA454="","",'Procyclean BIO'!J455)</f>
        <v/>
      </c>
      <c r="AF454">
        <f t="shared" si="59"/>
        <v>0</v>
      </c>
      <c r="AG454" t="str">
        <f t="shared" si="60"/>
        <v/>
      </c>
      <c r="AH454" t="str">
        <f t="shared" si="61"/>
        <v/>
      </c>
      <c r="AI454">
        <f t="shared" si="62"/>
        <v>0</v>
      </c>
      <c r="AJ454">
        <f t="shared" si="63"/>
        <v>0</v>
      </c>
      <c r="AK454">
        <v>0</v>
      </c>
      <c r="AL454" t="str">
        <f>IF(AA454="","",IFERROR(IF(ISNUMBER('Procyclean BIO'!D455),'Procyclean BIO'!D455,IF(ISNUMBER(SEARCH("12",'Procyclean BIO'!D455)),EDATE(AB454,12),IF(ISNUMBER(SEARCH("6",'Procyclean BIO'!D455)),EDATE(AB454,6),IF(ISNUMBER(SEARCH("3",'Procyclean BIO'!D455)),EDATE(AB454,3),DATEVALUE('Procyclean BIO'!D455))))),""))</f>
        <v/>
      </c>
      <c r="AM454" t="str">
        <f t="shared" ca="1" si="64"/>
        <v/>
      </c>
    </row>
    <row r="455" spans="27:39" x14ac:dyDescent="0.3">
      <c r="AA455" t="str">
        <f>IF(COUNTA('Procyclean BIO'!A456,'Procyclean BIO'!B456,'Procyclean BIO'!C456)&gt;0,"BIO","")</f>
        <v/>
      </c>
      <c r="AB455" t="str">
        <f>IFERROR(IF(ISNUMBER('Procyclean BIO'!A456),'Procyclean BIO'!A456,DATEVALUE('Procyclean BIO'!A456)),"")</f>
        <v/>
      </c>
      <c r="AC455" t="str">
        <f>IF(AA455="","",'Procyclean BIO'!B456)</f>
        <v/>
      </c>
      <c r="AD455" t="str">
        <f>IF(AA455="","",IFERROR(1*'Procyclean BIO'!C456,IFERROR(_xludf.NUMBERVALUE('Procyclean BIO'!C456,".",","),IFERROR(_xludf.NUMBERVALUE('Procyclean BIO'!C456,",","."),0))))</f>
        <v/>
      </c>
      <c r="AE455" t="str">
        <f>IF(AA455="","",'Procyclean BIO'!J456)</f>
        <v/>
      </c>
      <c r="AF455">
        <f t="shared" si="59"/>
        <v>0</v>
      </c>
      <c r="AG455" t="str">
        <f t="shared" si="60"/>
        <v/>
      </c>
      <c r="AH455" t="str">
        <f t="shared" si="61"/>
        <v/>
      </c>
      <c r="AI455">
        <f t="shared" si="62"/>
        <v>0</v>
      </c>
      <c r="AJ455">
        <f t="shared" si="63"/>
        <v>0</v>
      </c>
      <c r="AK455">
        <v>0</v>
      </c>
      <c r="AL455" t="str">
        <f>IF(AA455="","",IFERROR(IF(ISNUMBER('Procyclean BIO'!D456),'Procyclean BIO'!D456,IF(ISNUMBER(SEARCH("12",'Procyclean BIO'!D456)),EDATE(AB455,12),IF(ISNUMBER(SEARCH("6",'Procyclean BIO'!D456)),EDATE(AB455,6),IF(ISNUMBER(SEARCH("3",'Procyclean BIO'!D456)),EDATE(AB455,3),DATEVALUE('Procyclean BIO'!D456))))),""))</f>
        <v/>
      </c>
      <c r="AM455" t="str">
        <f t="shared" ca="1" si="64"/>
        <v/>
      </c>
    </row>
    <row r="456" spans="27:39" x14ac:dyDescent="0.3">
      <c r="AA456" t="str">
        <f>IF(COUNTA('Procyclean BIO'!A457,'Procyclean BIO'!B457,'Procyclean BIO'!C457)&gt;0,"BIO","")</f>
        <v/>
      </c>
      <c r="AB456" t="str">
        <f>IFERROR(IF(ISNUMBER('Procyclean BIO'!A457),'Procyclean BIO'!A457,DATEVALUE('Procyclean BIO'!A457)),"")</f>
        <v/>
      </c>
      <c r="AC456" t="str">
        <f>IF(AA456="","",'Procyclean BIO'!B457)</f>
        <v/>
      </c>
      <c r="AD456" t="str">
        <f>IF(AA456="","",IFERROR(1*'Procyclean BIO'!C457,IFERROR(_xludf.NUMBERVALUE('Procyclean BIO'!C457,".",","),IFERROR(_xludf.NUMBERVALUE('Procyclean BIO'!C457,",","."),0))))</f>
        <v/>
      </c>
      <c r="AE456" t="str">
        <f>IF(AA456="","",'Procyclean BIO'!J457)</f>
        <v/>
      </c>
      <c r="AF456">
        <f t="shared" si="59"/>
        <v>0</v>
      </c>
      <c r="AG456" t="str">
        <f t="shared" si="60"/>
        <v/>
      </c>
      <c r="AH456" t="str">
        <f t="shared" si="61"/>
        <v/>
      </c>
      <c r="AI456">
        <f t="shared" si="62"/>
        <v>0</v>
      </c>
      <c r="AJ456">
        <f t="shared" si="63"/>
        <v>0</v>
      </c>
      <c r="AK456">
        <v>0</v>
      </c>
      <c r="AL456" t="str">
        <f>IF(AA456="","",IFERROR(IF(ISNUMBER('Procyclean BIO'!D457),'Procyclean BIO'!D457,IF(ISNUMBER(SEARCH("12",'Procyclean BIO'!D457)),EDATE(AB456,12),IF(ISNUMBER(SEARCH("6",'Procyclean BIO'!D457)),EDATE(AB456,6),IF(ISNUMBER(SEARCH("3",'Procyclean BIO'!D457)),EDATE(AB456,3),DATEVALUE('Procyclean BIO'!D457))))),""))</f>
        <v/>
      </c>
      <c r="AM456" t="str">
        <f t="shared" ca="1" si="64"/>
        <v/>
      </c>
    </row>
    <row r="457" spans="27:39" x14ac:dyDescent="0.3">
      <c r="AA457" t="str">
        <f>IF(COUNTA('Procyclean BIO'!A458,'Procyclean BIO'!B458,'Procyclean BIO'!C458)&gt;0,"BIO","")</f>
        <v/>
      </c>
      <c r="AB457" t="str">
        <f>IFERROR(IF(ISNUMBER('Procyclean BIO'!A458),'Procyclean BIO'!A458,DATEVALUE('Procyclean BIO'!A458)),"")</f>
        <v/>
      </c>
      <c r="AC457" t="str">
        <f>IF(AA457="","",'Procyclean BIO'!B458)</f>
        <v/>
      </c>
      <c r="AD457" t="str">
        <f>IF(AA457="","",IFERROR(1*'Procyclean BIO'!C458,IFERROR(_xludf.NUMBERVALUE('Procyclean BIO'!C458,".",","),IFERROR(_xludf.NUMBERVALUE('Procyclean BIO'!C458,",","."),0))))</f>
        <v/>
      </c>
      <c r="AE457" t="str">
        <f>IF(AA457="","",'Procyclean BIO'!J458)</f>
        <v/>
      </c>
      <c r="AF457">
        <f t="shared" si="59"/>
        <v>0</v>
      </c>
      <c r="AG457" t="str">
        <f t="shared" si="60"/>
        <v/>
      </c>
      <c r="AH457" t="str">
        <f t="shared" si="61"/>
        <v/>
      </c>
      <c r="AI457">
        <f t="shared" si="62"/>
        <v>0</v>
      </c>
      <c r="AJ457">
        <f t="shared" si="63"/>
        <v>0</v>
      </c>
      <c r="AK457">
        <v>0</v>
      </c>
      <c r="AL457" t="str">
        <f>IF(AA457="","",IFERROR(IF(ISNUMBER('Procyclean BIO'!D458),'Procyclean BIO'!D458,IF(ISNUMBER(SEARCH("12",'Procyclean BIO'!D458)),EDATE(AB457,12),IF(ISNUMBER(SEARCH("6",'Procyclean BIO'!D458)),EDATE(AB457,6),IF(ISNUMBER(SEARCH("3",'Procyclean BIO'!D458)),EDATE(AB457,3),DATEVALUE('Procyclean BIO'!D458))))),""))</f>
        <v/>
      </c>
      <c r="AM457" t="str">
        <f t="shared" ca="1" si="64"/>
        <v/>
      </c>
    </row>
    <row r="458" spans="27:39" x14ac:dyDescent="0.3">
      <c r="AA458" t="str">
        <f>IF(COUNTA('Procyclean BIO'!A459,'Procyclean BIO'!B459,'Procyclean BIO'!C459)&gt;0,"BIO","")</f>
        <v/>
      </c>
      <c r="AB458" t="str">
        <f>IFERROR(IF(ISNUMBER('Procyclean BIO'!A459),'Procyclean BIO'!A459,DATEVALUE('Procyclean BIO'!A459)),"")</f>
        <v/>
      </c>
      <c r="AC458" t="str">
        <f>IF(AA458="","",'Procyclean BIO'!B459)</f>
        <v/>
      </c>
      <c r="AD458" t="str">
        <f>IF(AA458="","",IFERROR(1*'Procyclean BIO'!C459,IFERROR(_xludf.NUMBERVALUE('Procyclean BIO'!C459,".",","),IFERROR(_xludf.NUMBERVALUE('Procyclean BIO'!C459,",","."),0))))</f>
        <v/>
      </c>
      <c r="AE458" t="str">
        <f>IF(AA458="","",'Procyclean BIO'!J459)</f>
        <v/>
      </c>
      <c r="AF458">
        <f t="shared" si="59"/>
        <v>0</v>
      </c>
      <c r="AG458" t="str">
        <f t="shared" si="60"/>
        <v/>
      </c>
      <c r="AH458" t="str">
        <f t="shared" si="61"/>
        <v/>
      </c>
      <c r="AI458">
        <f t="shared" si="62"/>
        <v>0</v>
      </c>
      <c r="AJ458">
        <f t="shared" si="63"/>
        <v>0</v>
      </c>
      <c r="AK458">
        <v>0</v>
      </c>
      <c r="AL458" t="str">
        <f>IF(AA458="","",IFERROR(IF(ISNUMBER('Procyclean BIO'!D459),'Procyclean BIO'!D459,IF(ISNUMBER(SEARCH("12",'Procyclean BIO'!D459)),EDATE(AB458,12),IF(ISNUMBER(SEARCH("6",'Procyclean BIO'!D459)),EDATE(AB458,6),IF(ISNUMBER(SEARCH("3",'Procyclean BIO'!D459)),EDATE(AB458,3),DATEVALUE('Procyclean BIO'!D459))))),""))</f>
        <v/>
      </c>
      <c r="AM458" t="str">
        <f t="shared" ca="1" si="64"/>
        <v/>
      </c>
    </row>
    <row r="459" spans="27:39" x14ac:dyDescent="0.3">
      <c r="AA459" t="str">
        <f>IF(COUNTA('Procyclean BIO'!A460,'Procyclean BIO'!B460,'Procyclean BIO'!C460)&gt;0,"BIO","")</f>
        <v/>
      </c>
      <c r="AB459" t="str">
        <f>IFERROR(IF(ISNUMBER('Procyclean BIO'!A460),'Procyclean BIO'!A460,DATEVALUE('Procyclean BIO'!A460)),"")</f>
        <v/>
      </c>
      <c r="AC459" t="str">
        <f>IF(AA459="","",'Procyclean BIO'!B460)</f>
        <v/>
      </c>
      <c r="AD459" t="str">
        <f>IF(AA459="","",IFERROR(1*'Procyclean BIO'!C460,IFERROR(_xludf.NUMBERVALUE('Procyclean BIO'!C460,".",","),IFERROR(_xludf.NUMBERVALUE('Procyclean BIO'!C460,",","."),0))))</f>
        <v/>
      </c>
      <c r="AE459" t="str">
        <f>IF(AA459="","",'Procyclean BIO'!J460)</f>
        <v/>
      </c>
      <c r="AF459">
        <f t="shared" si="59"/>
        <v>0</v>
      </c>
      <c r="AG459" t="str">
        <f t="shared" si="60"/>
        <v/>
      </c>
      <c r="AH459" t="str">
        <f t="shared" si="61"/>
        <v/>
      </c>
      <c r="AI459">
        <f t="shared" si="62"/>
        <v>0</v>
      </c>
      <c r="AJ459">
        <f t="shared" si="63"/>
        <v>0</v>
      </c>
      <c r="AK459">
        <v>0</v>
      </c>
      <c r="AL459" t="str">
        <f>IF(AA459="","",IFERROR(IF(ISNUMBER('Procyclean BIO'!D460),'Procyclean BIO'!D460,IF(ISNUMBER(SEARCH("12",'Procyclean BIO'!D460)),EDATE(AB459,12),IF(ISNUMBER(SEARCH("6",'Procyclean BIO'!D460)),EDATE(AB459,6),IF(ISNUMBER(SEARCH("3",'Procyclean BIO'!D460)),EDATE(AB459,3),DATEVALUE('Procyclean BIO'!D460))))),""))</f>
        <v/>
      </c>
      <c r="AM459" t="str">
        <f t="shared" ca="1" si="64"/>
        <v/>
      </c>
    </row>
    <row r="460" spans="27:39" x14ac:dyDescent="0.3">
      <c r="AA460" t="str">
        <f>IF(COUNTA('Procyclean BIO'!A461,'Procyclean BIO'!B461,'Procyclean BIO'!C461)&gt;0,"BIO","")</f>
        <v/>
      </c>
      <c r="AB460" t="str">
        <f>IFERROR(IF(ISNUMBER('Procyclean BIO'!A461),'Procyclean BIO'!A461,DATEVALUE('Procyclean BIO'!A461)),"")</f>
        <v/>
      </c>
      <c r="AC460" t="str">
        <f>IF(AA460="","",'Procyclean BIO'!B461)</f>
        <v/>
      </c>
      <c r="AD460" t="str">
        <f>IF(AA460="","",IFERROR(1*'Procyclean BIO'!C461,IFERROR(_xludf.NUMBERVALUE('Procyclean BIO'!C461,".",","),IFERROR(_xludf.NUMBERVALUE('Procyclean BIO'!C461,",","."),0))))</f>
        <v/>
      </c>
      <c r="AE460" t="str">
        <f>IF(AA460="","",'Procyclean BIO'!J461)</f>
        <v/>
      </c>
      <c r="AF460">
        <f t="shared" si="59"/>
        <v>0</v>
      </c>
      <c r="AG460" t="str">
        <f t="shared" si="60"/>
        <v/>
      </c>
      <c r="AH460" t="str">
        <f t="shared" si="61"/>
        <v/>
      </c>
      <c r="AI460">
        <f t="shared" si="62"/>
        <v>0</v>
      </c>
      <c r="AJ460">
        <f t="shared" si="63"/>
        <v>0</v>
      </c>
      <c r="AK460">
        <v>0</v>
      </c>
      <c r="AL460" t="str">
        <f>IF(AA460="","",IFERROR(IF(ISNUMBER('Procyclean BIO'!D461),'Procyclean BIO'!D461,IF(ISNUMBER(SEARCH("12",'Procyclean BIO'!D461)),EDATE(AB460,12),IF(ISNUMBER(SEARCH("6",'Procyclean BIO'!D461)),EDATE(AB460,6),IF(ISNUMBER(SEARCH("3",'Procyclean BIO'!D461)),EDATE(AB460,3),DATEVALUE('Procyclean BIO'!D461))))),""))</f>
        <v/>
      </c>
      <c r="AM460" t="str">
        <f t="shared" ca="1" si="64"/>
        <v/>
      </c>
    </row>
    <row r="461" spans="27:39" x14ac:dyDescent="0.3">
      <c r="AA461" t="str">
        <f>IF(COUNTA('Procyclean BIO'!A462,'Procyclean BIO'!B462,'Procyclean BIO'!C462)&gt;0,"BIO","")</f>
        <v/>
      </c>
      <c r="AB461" t="str">
        <f>IFERROR(IF(ISNUMBER('Procyclean BIO'!A462),'Procyclean BIO'!A462,DATEVALUE('Procyclean BIO'!A462)),"")</f>
        <v/>
      </c>
      <c r="AC461" t="str">
        <f>IF(AA461="","",'Procyclean BIO'!B462)</f>
        <v/>
      </c>
      <c r="AD461" t="str">
        <f>IF(AA461="","",IFERROR(1*'Procyclean BIO'!C462,IFERROR(_xludf.NUMBERVALUE('Procyclean BIO'!C462,".",","),IFERROR(_xludf.NUMBERVALUE('Procyclean BIO'!C462,",","."),0))))</f>
        <v/>
      </c>
      <c r="AE461" t="str">
        <f>IF(AA461="","",'Procyclean BIO'!J462)</f>
        <v/>
      </c>
      <c r="AF461">
        <f t="shared" si="59"/>
        <v>0</v>
      </c>
      <c r="AG461" t="str">
        <f t="shared" si="60"/>
        <v/>
      </c>
      <c r="AH461" t="str">
        <f t="shared" si="61"/>
        <v/>
      </c>
      <c r="AI461">
        <f t="shared" si="62"/>
        <v>0</v>
      </c>
      <c r="AJ461">
        <f t="shared" si="63"/>
        <v>0</v>
      </c>
      <c r="AK461">
        <v>0</v>
      </c>
      <c r="AL461" t="str">
        <f>IF(AA461="","",IFERROR(IF(ISNUMBER('Procyclean BIO'!D462),'Procyclean BIO'!D462,IF(ISNUMBER(SEARCH("12",'Procyclean BIO'!D462)),EDATE(AB461,12),IF(ISNUMBER(SEARCH("6",'Procyclean BIO'!D462)),EDATE(AB461,6),IF(ISNUMBER(SEARCH("3",'Procyclean BIO'!D462)),EDATE(AB461,3),DATEVALUE('Procyclean BIO'!D462))))),""))</f>
        <v/>
      </c>
      <c r="AM461" t="str">
        <f t="shared" ca="1" si="64"/>
        <v/>
      </c>
    </row>
    <row r="462" spans="27:39" x14ac:dyDescent="0.3">
      <c r="AA462" t="str">
        <f>IF(COUNTA('Procyclean BIO'!A463,'Procyclean BIO'!B463,'Procyclean BIO'!C463)&gt;0,"BIO","")</f>
        <v/>
      </c>
      <c r="AB462" t="str">
        <f>IFERROR(IF(ISNUMBER('Procyclean BIO'!A463),'Procyclean BIO'!A463,DATEVALUE('Procyclean BIO'!A463)),"")</f>
        <v/>
      </c>
      <c r="AC462" t="str">
        <f>IF(AA462="","",'Procyclean BIO'!B463)</f>
        <v/>
      </c>
      <c r="AD462" t="str">
        <f>IF(AA462="","",IFERROR(1*'Procyclean BIO'!C463,IFERROR(_xludf.NUMBERVALUE('Procyclean BIO'!C463,".",","),IFERROR(_xludf.NUMBERVALUE('Procyclean BIO'!C463,",","."),0))))</f>
        <v/>
      </c>
      <c r="AE462" t="str">
        <f>IF(AA462="","",'Procyclean BIO'!J463)</f>
        <v/>
      </c>
      <c r="AF462">
        <f t="shared" si="59"/>
        <v>0</v>
      </c>
      <c r="AG462" t="str">
        <f t="shared" si="60"/>
        <v/>
      </c>
      <c r="AH462" t="str">
        <f t="shared" si="61"/>
        <v/>
      </c>
      <c r="AI462">
        <f t="shared" si="62"/>
        <v>0</v>
      </c>
      <c r="AJ462">
        <f t="shared" si="63"/>
        <v>0</v>
      </c>
      <c r="AK462">
        <v>0</v>
      </c>
      <c r="AL462" t="str">
        <f>IF(AA462="","",IFERROR(IF(ISNUMBER('Procyclean BIO'!D463),'Procyclean BIO'!D463,IF(ISNUMBER(SEARCH("12",'Procyclean BIO'!D463)),EDATE(AB462,12),IF(ISNUMBER(SEARCH("6",'Procyclean BIO'!D463)),EDATE(AB462,6),IF(ISNUMBER(SEARCH("3",'Procyclean BIO'!D463)),EDATE(AB462,3),DATEVALUE('Procyclean BIO'!D463))))),""))</f>
        <v/>
      </c>
      <c r="AM462" t="str">
        <f t="shared" ca="1" si="64"/>
        <v/>
      </c>
    </row>
    <row r="463" spans="27:39" x14ac:dyDescent="0.3">
      <c r="AA463" t="str">
        <f>IF(COUNTA('Procyclean BIO'!A464,'Procyclean BIO'!B464,'Procyclean BIO'!C464)&gt;0,"BIO","")</f>
        <v/>
      </c>
      <c r="AB463" t="str">
        <f>IFERROR(IF(ISNUMBER('Procyclean BIO'!A464),'Procyclean BIO'!A464,DATEVALUE('Procyclean BIO'!A464)),"")</f>
        <v/>
      </c>
      <c r="AC463" t="str">
        <f>IF(AA463="","",'Procyclean BIO'!B464)</f>
        <v/>
      </c>
      <c r="AD463" t="str">
        <f>IF(AA463="","",IFERROR(1*'Procyclean BIO'!C464,IFERROR(_xludf.NUMBERVALUE('Procyclean BIO'!C464,".",","),IFERROR(_xludf.NUMBERVALUE('Procyclean BIO'!C464,",","."),0))))</f>
        <v/>
      </c>
      <c r="AE463" t="str">
        <f>IF(AA463="","",'Procyclean BIO'!J464)</f>
        <v/>
      </c>
      <c r="AF463">
        <f t="shared" si="59"/>
        <v>0</v>
      </c>
      <c r="AG463" t="str">
        <f t="shared" si="60"/>
        <v/>
      </c>
      <c r="AH463" t="str">
        <f t="shared" si="61"/>
        <v/>
      </c>
      <c r="AI463">
        <f t="shared" si="62"/>
        <v>0</v>
      </c>
      <c r="AJ463">
        <f t="shared" si="63"/>
        <v>0</v>
      </c>
      <c r="AK463">
        <v>0</v>
      </c>
      <c r="AL463" t="str">
        <f>IF(AA463="","",IFERROR(IF(ISNUMBER('Procyclean BIO'!D464),'Procyclean BIO'!D464,IF(ISNUMBER(SEARCH("12",'Procyclean BIO'!D464)),EDATE(AB463,12),IF(ISNUMBER(SEARCH("6",'Procyclean BIO'!D464)),EDATE(AB463,6),IF(ISNUMBER(SEARCH("3",'Procyclean BIO'!D464)),EDATE(AB463,3),DATEVALUE('Procyclean BIO'!D464))))),""))</f>
        <v/>
      </c>
      <c r="AM463" t="str">
        <f t="shared" ca="1" si="64"/>
        <v/>
      </c>
    </row>
    <row r="464" spans="27:39" x14ac:dyDescent="0.3">
      <c r="AA464" t="str">
        <f>IF(COUNTA('Procyclean BIO'!A465,'Procyclean BIO'!B465,'Procyclean BIO'!C465)&gt;0,"BIO","")</f>
        <v/>
      </c>
      <c r="AB464" t="str">
        <f>IFERROR(IF(ISNUMBER('Procyclean BIO'!A465),'Procyclean BIO'!A465,DATEVALUE('Procyclean BIO'!A465)),"")</f>
        <v/>
      </c>
      <c r="AC464" t="str">
        <f>IF(AA464="","",'Procyclean BIO'!B465)</f>
        <v/>
      </c>
      <c r="AD464" t="str">
        <f>IF(AA464="","",IFERROR(1*'Procyclean BIO'!C465,IFERROR(_xludf.NUMBERVALUE('Procyclean BIO'!C465,".",","),IFERROR(_xludf.NUMBERVALUE('Procyclean BIO'!C465,",","."),0))))</f>
        <v/>
      </c>
      <c r="AE464" t="str">
        <f>IF(AA464="","",'Procyclean BIO'!J465)</f>
        <v/>
      </c>
      <c r="AF464">
        <f t="shared" si="59"/>
        <v>0</v>
      </c>
      <c r="AG464" t="str">
        <f t="shared" si="60"/>
        <v/>
      </c>
      <c r="AH464" t="str">
        <f t="shared" si="61"/>
        <v/>
      </c>
      <c r="AI464">
        <f t="shared" si="62"/>
        <v>0</v>
      </c>
      <c r="AJ464">
        <f t="shared" si="63"/>
        <v>0</v>
      </c>
      <c r="AK464">
        <v>0</v>
      </c>
      <c r="AL464" t="str">
        <f>IF(AA464="","",IFERROR(IF(ISNUMBER('Procyclean BIO'!D465),'Procyclean BIO'!D465,IF(ISNUMBER(SEARCH("12",'Procyclean BIO'!D465)),EDATE(AB464,12),IF(ISNUMBER(SEARCH("6",'Procyclean BIO'!D465)),EDATE(AB464,6),IF(ISNUMBER(SEARCH("3",'Procyclean BIO'!D465)),EDATE(AB464,3),DATEVALUE('Procyclean BIO'!D465))))),""))</f>
        <v/>
      </c>
      <c r="AM464" t="str">
        <f t="shared" ca="1" si="64"/>
        <v/>
      </c>
    </row>
    <row r="465" spans="27:39" x14ac:dyDescent="0.3">
      <c r="AA465" t="str">
        <f>IF(COUNTA('Procyclean BIO'!A466,'Procyclean BIO'!B466,'Procyclean BIO'!C466)&gt;0,"BIO","")</f>
        <v/>
      </c>
      <c r="AB465" t="str">
        <f>IFERROR(IF(ISNUMBER('Procyclean BIO'!A466),'Procyclean BIO'!A466,DATEVALUE('Procyclean BIO'!A466)),"")</f>
        <v/>
      </c>
      <c r="AC465" t="str">
        <f>IF(AA465="","",'Procyclean BIO'!B466)</f>
        <v/>
      </c>
      <c r="AD465" t="str">
        <f>IF(AA465="","",IFERROR(1*'Procyclean BIO'!C466,IFERROR(_xludf.NUMBERVALUE('Procyclean BIO'!C466,".",","),IFERROR(_xludf.NUMBERVALUE('Procyclean BIO'!C466,",","."),0))))</f>
        <v/>
      </c>
      <c r="AE465" t="str">
        <f>IF(AA465="","",'Procyclean BIO'!J466)</f>
        <v/>
      </c>
      <c r="AF465">
        <f t="shared" si="59"/>
        <v>0</v>
      </c>
      <c r="AG465" t="str">
        <f t="shared" si="60"/>
        <v/>
      </c>
      <c r="AH465" t="str">
        <f t="shared" si="61"/>
        <v/>
      </c>
      <c r="AI465">
        <f t="shared" si="62"/>
        <v>0</v>
      </c>
      <c r="AJ465">
        <f t="shared" si="63"/>
        <v>0</v>
      </c>
      <c r="AK465">
        <v>0</v>
      </c>
      <c r="AL465" t="str">
        <f>IF(AA465="","",IFERROR(IF(ISNUMBER('Procyclean BIO'!D466),'Procyclean BIO'!D466,IF(ISNUMBER(SEARCH("12",'Procyclean BIO'!D466)),EDATE(AB465,12),IF(ISNUMBER(SEARCH("6",'Procyclean BIO'!D466)),EDATE(AB465,6),IF(ISNUMBER(SEARCH("3",'Procyclean BIO'!D466)),EDATE(AB465,3),DATEVALUE('Procyclean BIO'!D466))))),""))</f>
        <v/>
      </c>
      <c r="AM465" t="str">
        <f t="shared" ca="1" si="64"/>
        <v/>
      </c>
    </row>
    <row r="466" spans="27:39" x14ac:dyDescent="0.3">
      <c r="AA466" t="str">
        <f>IF(COUNTA('Procyclean BIO'!A467,'Procyclean BIO'!B467,'Procyclean BIO'!C467)&gt;0,"BIO","")</f>
        <v/>
      </c>
      <c r="AB466" t="str">
        <f>IFERROR(IF(ISNUMBER('Procyclean BIO'!A467),'Procyclean BIO'!A467,DATEVALUE('Procyclean BIO'!A467)),"")</f>
        <v/>
      </c>
      <c r="AC466" t="str">
        <f>IF(AA466="","",'Procyclean BIO'!B467)</f>
        <v/>
      </c>
      <c r="AD466" t="str">
        <f>IF(AA466="","",IFERROR(1*'Procyclean BIO'!C467,IFERROR(_xludf.NUMBERVALUE('Procyclean BIO'!C467,".",","),IFERROR(_xludf.NUMBERVALUE('Procyclean BIO'!C467,",","."),0))))</f>
        <v/>
      </c>
      <c r="AE466" t="str">
        <f>IF(AA466="","",'Procyclean BIO'!J467)</f>
        <v/>
      </c>
      <c r="AF466">
        <f t="shared" si="59"/>
        <v>0</v>
      </c>
      <c r="AG466" t="str">
        <f t="shared" si="60"/>
        <v/>
      </c>
      <c r="AH466" t="str">
        <f t="shared" si="61"/>
        <v/>
      </c>
      <c r="AI466">
        <f t="shared" si="62"/>
        <v>0</v>
      </c>
      <c r="AJ466">
        <f t="shared" si="63"/>
        <v>0</v>
      </c>
      <c r="AK466">
        <v>0</v>
      </c>
      <c r="AL466" t="str">
        <f>IF(AA466="","",IFERROR(IF(ISNUMBER('Procyclean BIO'!D467),'Procyclean BIO'!D467,IF(ISNUMBER(SEARCH("12",'Procyclean BIO'!D467)),EDATE(AB466,12),IF(ISNUMBER(SEARCH("6",'Procyclean BIO'!D467)),EDATE(AB466,6),IF(ISNUMBER(SEARCH("3",'Procyclean BIO'!D467)),EDATE(AB466,3),DATEVALUE('Procyclean BIO'!D467))))),""))</f>
        <v/>
      </c>
      <c r="AM466" t="str">
        <f t="shared" ca="1" si="64"/>
        <v/>
      </c>
    </row>
    <row r="467" spans="27:39" x14ac:dyDescent="0.3">
      <c r="AA467" t="str">
        <f>IF(COUNTA('Procyclean BIO'!A468,'Procyclean BIO'!B468,'Procyclean BIO'!C468)&gt;0,"BIO","")</f>
        <v/>
      </c>
      <c r="AB467" t="str">
        <f>IFERROR(IF(ISNUMBER('Procyclean BIO'!A468),'Procyclean BIO'!A468,DATEVALUE('Procyclean BIO'!A468)),"")</f>
        <v/>
      </c>
      <c r="AC467" t="str">
        <f>IF(AA467="","",'Procyclean BIO'!B468)</f>
        <v/>
      </c>
      <c r="AD467" t="str">
        <f>IF(AA467="","",IFERROR(1*'Procyclean BIO'!C468,IFERROR(_xludf.NUMBERVALUE('Procyclean BIO'!C468,".",","),IFERROR(_xludf.NUMBERVALUE('Procyclean BIO'!C468,",","."),0))))</f>
        <v/>
      </c>
      <c r="AE467" t="str">
        <f>IF(AA467="","",'Procyclean BIO'!J468)</f>
        <v/>
      </c>
      <c r="AF467">
        <f t="shared" si="59"/>
        <v>0</v>
      </c>
      <c r="AG467" t="str">
        <f t="shared" si="60"/>
        <v/>
      </c>
      <c r="AH467" t="str">
        <f t="shared" si="61"/>
        <v/>
      </c>
      <c r="AI467">
        <f t="shared" si="62"/>
        <v>0</v>
      </c>
      <c r="AJ467">
        <f t="shared" si="63"/>
        <v>0</v>
      </c>
      <c r="AK467">
        <v>0</v>
      </c>
      <c r="AL467" t="str">
        <f>IF(AA467="","",IFERROR(IF(ISNUMBER('Procyclean BIO'!D468),'Procyclean BIO'!D468,IF(ISNUMBER(SEARCH("12",'Procyclean BIO'!D468)),EDATE(AB467,12),IF(ISNUMBER(SEARCH("6",'Procyclean BIO'!D468)),EDATE(AB467,6),IF(ISNUMBER(SEARCH("3",'Procyclean BIO'!D468)),EDATE(AB467,3),DATEVALUE('Procyclean BIO'!D468))))),""))</f>
        <v/>
      </c>
      <c r="AM467" t="str">
        <f t="shared" ca="1" si="64"/>
        <v/>
      </c>
    </row>
    <row r="468" spans="27:39" x14ac:dyDescent="0.3">
      <c r="AA468" t="str">
        <f>IF(COUNTA('Procyclean BIO'!A469,'Procyclean BIO'!B469,'Procyclean BIO'!C469)&gt;0,"BIO","")</f>
        <v/>
      </c>
      <c r="AB468" t="str">
        <f>IFERROR(IF(ISNUMBER('Procyclean BIO'!A469),'Procyclean BIO'!A469,DATEVALUE('Procyclean BIO'!A469)),"")</f>
        <v/>
      </c>
      <c r="AC468" t="str">
        <f>IF(AA468="","",'Procyclean BIO'!B469)</f>
        <v/>
      </c>
      <c r="AD468" t="str">
        <f>IF(AA468="","",IFERROR(1*'Procyclean BIO'!C469,IFERROR(_xludf.NUMBERVALUE('Procyclean BIO'!C469,".",","),IFERROR(_xludf.NUMBERVALUE('Procyclean BIO'!C469,",","."),0))))</f>
        <v/>
      </c>
      <c r="AE468" t="str">
        <f>IF(AA468="","",'Procyclean BIO'!J469)</f>
        <v/>
      </c>
      <c r="AF468">
        <f t="shared" si="59"/>
        <v>0</v>
      </c>
      <c r="AG468" t="str">
        <f t="shared" si="60"/>
        <v/>
      </c>
      <c r="AH468" t="str">
        <f t="shared" si="61"/>
        <v/>
      </c>
      <c r="AI468">
        <f t="shared" si="62"/>
        <v>0</v>
      </c>
      <c r="AJ468">
        <f t="shared" si="63"/>
        <v>0</v>
      </c>
      <c r="AK468">
        <v>0</v>
      </c>
      <c r="AL468" t="str">
        <f>IF(AA468="","",IFERROR(IF(ISNUMBER('Procyclean BIO'!D469),'Procyclean BIO'!D469,IF(ISNUMBER(SEARCH("12",'Procyclean BIO'!D469)),EDATE(AB468,12),IF(ISNUMBER(SEARCH("6",'Procyclean BIO'!D469)),EDATE(AB468,6),IF(ISNUMBER(SEARCH("3",'Procyclean BIO'!D469)),EDATE(AB468,3),DATEVALUE('Procyclean BIO'!D469))))),""))</f>
        <v/>
      </c>
      <c r="AM468" t="str">
        <f t="shared" ca="1" si="64"/>
        <v/>
      </c>
    </row>
    <row r="469" spans="27:39" x14ac:dyDescent="0.3">
      <c r="AA469" t="str">
        <f>IF(COUNTA('Procyclean BIO'!A470,'Procyclean BIO'!B470,'Procyclean BIO'!C470)&gt;0,"BIO","")</f>
        <v/>
      </c>
      <c r="AB469" t="str">
        <f>IFERROR(IF(ISNUMBER('Procyclean BIO'!A470),'Procyclean BIO'!A470,DATEVALUE('Procyclean BIO'!A470)),"")</f>
        <v/>
      </c>
      <c r="AC469" t="str">
        <f>IF(AA469="","",'Procyclean BIO'!B470)</f>
        <v/>
      </c>
      <c r="AD469" t="str">
        <f>IF(AA469="","",IFERROR(1*'Procyclean BIO'!C470,IFERROR(_xludf.NUMBERVALUE('Procyclean BIO'!C470,".",","),IFERROR(_xludf.NUMBERVALUE('Procyclean BIO'!C470,",","."),0))))</f>
        <v/>
      </c>
      <c r="AE469" t="str">
        <f>IF(AA469="","",'Procyclean BIO'!J470)</f>
        <v/>
      </c>
      <c r="AF469">
        <f t="shared" si="59"/>
        <v>0</v>
      </c>
      <c r="AG469" t="str">
        <f t="shared" si="60"/>
        <v/>
      </c>
      <c r="AH469" t="str">
        <f t="shared" si="61"/>
        <v/>
      </c>
      <c r="AI469">
        <f t="shared" si="62"/>
        <v>0</v>
      </c>
      <c r="AJ469">
        <f t="shared" si="63"/>
        <v>0</v>
      </c>
      <c r="AK469">
        <v>0</v>
      </c>
      <c r="AL469" t="str">
        <f>IF(AA469="","",IFERROR(IF(ISNUMBER('Procyclean BIO'!D470),'Procyclean BIO'!D470,IF(ISNUMBER(SEARCH("12",'Procyclean BIO'!D470)),EDATE(AB469,12),IF(ISNUMBER(SEARCH("6",'Procyclean BIO'!D470)),EDATE(AB469,6),IF(ISNUMBER(SEARCH("3",'Procyclean BIO'!D470)),EDATE(AB469,3),DATEVALUE('Procyclean BIO'!D470))))),""))</f>
        <v/>
      </c>
      <c r="AM469" t="str">
        <f t="shared" ca="1" si="64"/>
        <v/>
      </c>
    </row>
    <row r="470" spans="27:39" x14ac:dyDescent="0.3">
      <c r="AA470" t="str">
        <f>IF(COUNTA('Procyclean BIO'!A471,'Procyclean BIO'!B471,'Procyclean BIO'!C471)&gt;0,"BIO","")</f>
        <v/>
      </c>
      <c r="AB470" t="str">
        <f>IFERROR(IF(ISNUMBER('Procyclean BIO'!A471),'Procyclean BIO'!A471,DATEVALUE('Procyclean BIO'!A471)),"")</f>
        <v/>
      </c>
      <c r="AC470" t="str">
        <f>IF(AA470="","",'Procyclean BIO'!B471)</f>
        <v/>
      </c>
      <c r="AD470" t="str">
        <f>IF(AA470="","",IFERROR(1*'Procyclean BIO'!C471,IFERROR(_xludf.NUMBERVALUE('Procyclean BIO'!C471,".",","),IFERROR(_xludf.NUMBERVALUE('Procyclean BIO'!C471,",","."),0))))</f>
        <v/>
      </c>
      <c r="AE470" t="str">
        <f>IF(AA470="","",'Procyclean BIO'!J471)</f>
        <v/>
      </c>
      <c r="AF470">
        <f t="shared" si="59"/>
        <v>0</v>
      </c>
      <c r="AG470" t="str">
        <f t="shared" si="60"/>
        <v/>
      </c>
      <c r="AH470" t="str">
        <f t="shared" si="61"/>
        <v/>
      </c>
      <c r="AI470">
        <f t="shared" si="62"/>
        <v>0</v>
      </c>
      <c r="AJ470">
        <f t="shared" si="63"/>
        <v>0</v>
      </c>
      <c r="AK470">
        <v>0</v>
      </c>
      <c r="AL470" t="str">
        <f>IF(AA470="","",IFERROR(IF(ISNUMBER('Procyclean BIO'!D471),'Procyclean BIO'!D471,IF(ISNUMBER(SEARCH("12",'Procyclean BIO'!D471)),EDATE(AB470,12),IF(ISNUMBER(SEARCH("6",'Procyclean BIO'!D471)),EDATE(AB470,6),IF(ISNUMBER(SEARCH("3",'Procyclean BIO'!D471)),EDATE(AB470,3),DATEVALUE('Procyclean BIO'!D471))))),""))</f>
        <v/>
      </c>
      <c r="AM470" t="str">
        <f t="shared" ca="1" si="64"/>
        <v/>
      </c>
    </row>
    <row r="471" spans="27:39" x14ac:dyDescent="0.3">
      <c r="AA471" t="str">
        <f>IF(COUNTA('Procyclean BIO'!A472,'Procyclean BIO'!B472,'Procyclean BIO'!C472)&gt;0,"BIO","")</f>
        <v/>
      </c>
      <c r="AB471" t="str">
        <f>IFERROR(IF(ISNUMBER('Procyclean BIO'!A472),'Procyclean BIO'!A472,DATEVALUE('Procyclean BIO'!A472)),"")</f>
        <v/>
      </c>
      <c r="AC471" t="str">
        <f>IF(AA471="","",'Procyclean BIO'!B472)</f>
        <v/>
      </c>
      <c r="AD471" t="str">
        <f>IF(AA471="","",IFERROR(1*'Procyclean BIO'!C472,IFERROR(_xludf.NUMBERVALUE('Procyclean BIO'!C472,".",","),IFERROR(_xludf.NUMBERVALUE('Procyclean BIO'!C472,",","."),0))))</f>
        <v/>
      </c>
      <c r="AE471" t="str">
        <f>IF(AA471="","",'Procyclean BIO'!J472)</f>
        <v/>
      </c>
      <c r="AF471">
        <f t="shared" si="59"/>
        <v>0</v>
      </c>
      <c r="AG471" t="str">
        <f t="shared" si="60"/>
        <v/>
      </c>
      <c r="AH471" t="str">
        <f t="shared" si="61"/>
        <v/>
      </c>
      <c r="AI471">
        <f t="shared" si="62"/>
        <v>0</v>
      </c>
      <c r="AJ471">
        <f t="shared" si="63"/>
        <v>0</v>
      </c>
      <c r="AK471">
        <v>0</v>
      </c>
      <c r="AL471" t="str">
        <f>IF(AA471="","",IFERROR(IF(ISNUMBER('Procyclean BIO'!D472),'Procyclean BIO'!D472,IF(ISNUMBER(SEARCH("12",'Procyclean BIO'!D472)),EDATE(AB471,12),IF(ISNUMBER(SEARCH("6",'Procyclean BIO'!D472)),EDATE(AB471,6),IF(ISNUMBER(SEARCH("3",'Procyclean BIO'!D472)),EDATE(AB471,3),DATEVALUE('Procyclean BIO'!D472))))),""))</f>
        <v/>
      </c>
      <c r="AM471" t="str">
        <f t="shared" ca="1" si="64"/>
        <v/>
      </c>
    </row>
    <row r="472" spans="27:39" x14ac:dyDescent="0.3">
      <c r="AA472" t="str">
        <f>IF(COUNTA('Procyclean BIO'!A473,'Procyclean BIO'!B473,'Procyclean BIO'!C473)&gt;0,"BIO","")</f>
        <v/>
      </c>
      <c r="AB472" t="str">
        <f>IFERROR(IF(ISNUMBER('Procyclean BIO'!A473),'Procyclean BIO'!A473,DATEVALUE('Procyclean BIO'!A473)),"")</f>
        <v/>
      </c>
      <c r="AC472" t="str">
        <f>IF(AA472="","",'Procyclean BIO'!B473)</f>
        <v/>
      </c>
      <c r="AD472" t="str">
        <f>IF(AA472="","",IFERROR(1*'Procyclean BIO'!C473,IFERROR(_xludf.NUMBERVALUE('Procyclean BIO'!C473,".",","),IFERROR(_xludf.NUMBERVALUE('Procyclean BIO'!C473,",","."),0))))</f>
        <v/>
      </c>
      <c r="AE472" t="str">
        <f>IF(AA472="","",'Procyclean BIO'!J473)</f>
        <v/>
      </c>
      <c r="AF472">
        <f t="shared" si="59"/>
        <v>0</v>
      </c>
      <c r="AG472" t="str">
        <f t="shared" si="60"/>
        <v/>
      </c>
      <c r="AH472" t="str">
        <f t="shared" si="61"/>
        <v/>
      </c>
      <c r="AI472">
        <f t="shared" si="62"/>
        <v>0</v>
      </c>
      <c r="AJ472">
        <f t="shared" si="63"/>
        <v>0</v>
      </c>
      <c r="AK472">
        <v>0</v>
      </c>
      <c r="AL472" t="str">
        <f>IF(AA472="","",IFERROR(IF(ISNUMBER('Procyclean BIO'!D473),'Procyclean BIO'!D473,IF(ISNUMBER(SEARCH("12",'Procyclean BIO'!D473)),EDATE(AB472,12),IF(ISNUMBER(SEARCH("6",'Procyclean BIO'!D473)),EDATE(AB472,6),IF(ISNUMBER(SEARCH("3",'Procyclean BIO'!D473)),EDATE(AB472,3),DATEVALUE('Procyclean BIO'!D473))))),""))</f>
        <v/>
      </c>
      <c r="AM472" t="str">
        <f t="shared" ca="1" si="64"/>
        <v/>
      </c>
    </row>
    <row r="473" spans="27:39" x14ac:dyDescent="0.3">
      <c r="AA473" t="str">
        <f>IF(COUNTA('Procyclean BIO'!A474,'Procyclean BIO'!B474,'Procyclean BIO'!C474)&gt;0,"BIO","")</f>
        <v/>
      </c>
      <c r="AB473" t="str">
        <f>IFERROR(IF(ISNUMBER('Procyclean BIO'!A474),'Procyclean BIO'!A474,DATEVALUE('Procyclean BIO'!A474)),"")</f>
        <v/>
      </c>
      <c r="AC473" t="str">
        <f>IF(AA473="","",'Procyclean BIO'!B474)</f>
        <v/>
      </c>
      <c r="AD473" t="str">
        <f>IF(AA473="","",IFERROR(1*'Procyclean BIO'!C474,IFERROR(_xludf.NUMBERVALUE('Procyclean BIO'!C474,".",","),IFERROR(_xludf.NUMBERVALUE('Procyclean BIO'!C474,",","."),0))))</f>
        <v/>
      </c>
      <c r="AE473" t="str">
        <f>IF(AA473="","",'Procyclean BIO'!J474)</f>
        <v/>
      </c>
      <c r="AF473">
        <f t="shared" si="59"/>
        <v>0</v>
      </c>
      <c r="AG473" t="str">
        <f t="shared" si="60"/>
        <v/>
      </c>
      <c r="AH473" t="str">
        <f t="shared" si="61"/>
        <v/>
      </c>
      <c r="AI473">
        <f t="shared" si="62"/>
        <v>0</v>
      </c>
      <c r="AJ473">
        <f t="shared" si="63"/>
        <v>0</v>
      </c>
      <c r="AK473">
        <v>0</v>
      </c>
      <c r="AL473" t="str">
        <f>IF(AA473="","",IFERROR(IF(ISNUMBER('Procyclean BIO'!D474),'Procyclean BIO'!D474,IF(ISNUMBER(SEARCH("12",'Procyclean BIO'!D474)),EDATE(AB473,12),IF(ISNUMBER(SEARCH("6",'Procyclean BIO'!D474)),EDATE(AB473,6),IF(ISNUMBER(SEARCH("3",'Procyclean BIO'!D474)),EDATE(AB473,3),DATEVALUE('Procyclean BIO'!D474))))),""))</f>
        <v/>
      </c>
      <c r="AM473" t="str">
        <f t="shared" ca="1" si="64"/>
        <v/>
      </c>
    </row>
    <row r="474" spans="27:39" x14ac:dyDescent="0.3">
      <c r="AA474" t="str">
        <f>IF(COUNTA('Procyclean BIO'!A475,'Procyclean BIO'!B475,'Procyclean BIO'!C475)&gt;0,"BIO","")</f>
        <v/>
      </c>
      <c r="AB474" t="str">
        <f>IFERROR(IF(ISNUMBER('Procyclean BIO'!A475),'Procyclean BIO'!A475,DATEVALUE('Procyclean BIO'!A475)),"")</f>
        <v/>
      </c>
      <c r="AC474" t="str">
        <f>IF(AA474="","",'Procyclean BIO'!B475)</f>
        <v/>
      </c>
      <c r="AD474" t="str">
        <f>IF(AA474="","",IFERROR(1*'Procyclean BIO'!C475,IFERROR(_xludf.NUMBERVALUE('Procyclean BIO'!C475,".",","),IFERROR(_xludf.NUMBERVALUE('Procyclean BIO'!C475,",","."),0))))</f>
        <v/>
      </c>
      <c r="AE474" t="str">
        <f>IF(AA474="","",'Procyclean BIO'!J475)</f>
        <v/>
      </c>
      <c r="AF474">
        <f t="shared" si="59"/>
        <v>0</v>
      </c>
      <c r="AG474" t="str">
        <f t="shared" si="60"/>
        <v/>
      </c>
      <c r="AH474" t="str">
        <f t="shared" si="61"/>
        <v/>
      </c>
      <c r="AI474">
        <f t="shared" si="62"/>
        <v>0</v>
      </c>
      <c r="AJ474">
        <f t="shared" si="63"/>
        <v>0</v>
      </c>
      <c r="AK474">
        <v>0</v>
      </c>
      <c r="AL474" t="str">
        <f>IF(AA474="","",IFERROR(IF(ISNUMBER('Procyclean BIO'!D475),'Procyclean BIO'!D475,IF(ISNUMBER(SEARCH("12",'Procyclean BIO'!D475)),EDATE(AB474,12),IF(ISNUMBER(SEARCH("6",'Procyclean BIO'!D475)),EDATE(AB474,6),IF(ISNUMBER(SEARCH("3",'Procyclean BIO'!D475)),EDATE(AB474,3),DATEVALUE('Procyclean BIO'!D475))))),""))</f>
        <v/>
      </c>
      <c r="AM474" t="str">
        <f t="shared" ca="1" si="64"/>
        <v/>
      </c>
    </row>
    <row r="475" spans="27:39" x14ac:dyDescent="0.3">
      <c r="AA475" t="str">
        <f>IF(COUNTA('Procyclean BIO'!A476,'Procyclean BIO'!B476,'Procyclean BIO'!C476)&gt;0,"BIO","")</f>
        <v/>
      </c>
      <c r="AB475" t="str">
        <f>IFERROR(IF(ISNUMBER('Procyclean BIO'!A476),'Procyclean BIO'!A476,DATEVALUE('Procyclean BIO'!A476)),"")</f>
        <v/>
      </c>
      <c r="AC475" t="str">
        <f>IF(AA475="","",'Procyclean BIO'!B476)</f>
        <v/>
      </c>
      <c r="AD475" t="str">
        <f>IF(AA475="","",IFERROR(1*'Procyclean BIO'!C476,IFERROR(_xludf.NUMBERVALUE('Procyclean BIO'!C476,".",","),IFERROR(_xludf.NUMBERVALUE('Procyclean BIO'!C476,",","."),0))))</f>
        <v/>
      </c>
      <c r="AE475" t="str">
        <f>IF(AA475="","",'Procyclean BIO'!J476)</f>
        <v/>
      </c>
      <c r="AF475">
        <f t="shared" si="59"/>
        <v>0</v>
      </c>
      <c r="AG475" t="str">
        <f t="shared" si="60"/>
        <v/>
      </c>
      <c r="AH475" t="str">
        <f t="shared" si="61"/>
        <v/>
      </c>
      <c r="AI475">
        <f t="shared" si="62"/>
        <v>0</v>
      </c>
      <c r="AJ475">
        <f t="shared" si="63"/>
        <v>0</v>
      </c>
      <c r="AK475">
        <v>0</v>
      </c>
      <c r="AL475" t="str">
        <f>IF(AA475="","",IFERROR(IF(ISNUMBER('Procyclean BIO'!D476),'Procyclean BIO'!D476,IF(ISNUMBER(SEARCH("12",'Procyclean BIO'!D476)),EDATE(AB475,12),IF(ISNUMBER(SEARCH("6",'Procyclean BIO'!D476)),EDATE(AB475,6),IF(ISNUMBER(SEARCH("3",'Procyclean BIO'!D476)),EDATE(AB475,3),DATEVALUE('Procyclean BIO'!D476))))),""))</f>
        <v/>
      </c>
      <c r="AM475" t="str">
        <f t="shared" ca="1" si="64"/>
        <v/>
      </c>
    </row>
    <row r="476" spans="27:39" x14ac:dyDescent="0.3">
      <c r="AA476" t="str">
        <f>IF(COUNTA('Procyclean BIO'!A477,'Procyclean BIO'!B477,'Procyclean BIO'!C477)&gt;0,"BIO","")</f>
        <v/>
      </c>
      <c r="AB476" t="str">
        <f>IFERROR(IF(ISNUMBER('Procyclean BIO'!A477),'Procyclean BIO'!A477,DATEVALUE('Procyclean BIO'!A477)),"")</f>
        <v/>
      </c>
      <c r="AC476" t="str">
        <f>IF(AA476="","",'Procyclean BIO'!B477)</f>
        <v/>
      </c>
      <c r="AD476" t="str">
        <f>IF(AA476="","",IFERROR(1*'Procyclean BIO'!C477,IFERROR(_xludf.NUMBERVALUE('Procyclean BIO'!C477,".",","),IFERROR(_xludf.NUMBERVALUE('Procyclean BIO'!C477,",","."),0))))</f>
        <v/>
      </c>
      <c r="AE476" t="str">
        <f>IF(AA476="","",'Procyclean BIO'!J477)</f>
        <v/>
      </c>
      <c r="AF476">
        <f t="shared" si="59"/>
        <v>0</v>
      </c>
      <c r="AG476" t="str">
        <f t="shared" si="60"/>
        <v/>
      </c>
      <c r="AH476" t="str">
        <f t="shared" si="61"/>
        <v/>
      </c>
      <c r="AI476">
        <f t="shared" si="62"/>
        <v>0</v>
      </c>
      <c r="AJ476">
        <f t="shared" si="63"/>
        <v>0</v>
      </c>
      <c r="AK476">
        <v>0</v>
      </c>
      <c r="AL476" t="str">
        <f>IF(AA476="","",IFERROR(IF(ISNUMBER('Procyclean BIO'!D477),'Procyclean BIO'!D477,IF(ISNUMBER(SEARCH("12",'Procyclean BIO'!D477)),EDATE(AB476,12),IF(ISNUMBER(SEARCH("6",'Procyclean BIO'!D477)),EDATE(AB476,6),IF(ISNUMBER(SEARCH("3",'Procyclean BIO'!D477)),EDATE(AB476,3),DATEVALUE('Procyclean BIO'!D477))))),""))</f>
        <v/>
      </c>
      <c r="AM476" t="str">
        <f t="shared" ca="1" si="64"/>
        <v/>
      </c>
    </row>
    <row r="477" spans="27:39" x14ac:dyDescent="0.3">
      <c r="AA477" t="str">
        <f>IF(COUNTA('Procyclean BIO'!A478,'Procyclean BIO'!B478,'Procyclean BIO'!C478)&gt;0,"BIO","")</f>
        <v/>
      </c>
      <c r="AB477" t="str">
        <f>IFERROR(IF(ISNUMBER('Procyclean BIO'!A478),'Procyclean BIO'!A478,DATEVALUE('Procyclean BIO'!A478)),"")</f>
        <v/>
      </c>
      <c r="AC477" t="str">
        <f>IF(AA477="","",'Procyclean BIO'!B478)</f>
        <v/>
      </c>
      <c r="AD477" t="str">
        <f>IF(AA477="","",IFERROR(1*'Procyclean BIO'!C478,IFERROR(_xludf.NUMBERVALUE('Procyclean BIO'!C478,".",","),IFERROR(_xludf.NUMBERVALUE('Procyclean BIO'!C478,",","."),0))))</f>
        <v/>
      </c>
      <c r="AE477" t="str">
        <f>IF(AA477="","",'Procyclean BIO'!J478)</f>
        <v/>
      </c>
      <c r="AF477">
        <f t="shared" si="59"/>
        <v>0</v>
      </c>
      <c r="AG477" t="str">
        <f t="shared" si="60"/>
        <v/>
      </c>
      <c r="AH477" t="str">
        <f t="shared" si="61"/>
        <v/>
      </c>
      <c r="AI477">
        <f t="shared" si="62"/>
        <v>0</v>
      </c>
      <c r="AJ477">
        <f t="shared" si="63"/>
        <v>0</v>
      </c>
      <c r="AK477">
        <v>0</v>
      </c>
      <c r="AL477" t="str">
        <f>IF(AA477="","",IFERROR(IF(ISNUMBER('Procyclean BIO'!D478),'Procyclean BIO'!D478,IF(ISNUMBER(SEARCH("12",'Procyclean BIO'!D478)),EDATE(AB477,12),IF(ISNUMBER(SEARCH("6",'Procyclean BIO'!D478)),EDATE(AB477,6),IF(ISNUMBER(SEARCH("3",'Procyclean BIO'!D478)),EDATE(AB477,3),DATEVALUE('Procyclean BIO'!D478))))),""))</f>
        <v/>
      </c>
      <c r="AM477" t="str">
        <f t="shared" ca="1" si="64"/>
        <v/>
      </c>
    </row>
    <row r="478" spans="27:39" x14ac:dyDescent="0.3">
      <c r="AA478" t="str">
        <f>IF(COUNTA('Procyclean BIO'!A479,'Procyclean BIO'!B479,'Procyclean BIO'!C479)&gt;0,"BIO","")</f>
        <v/>
      </c>
      <c r="AB478" t="str">
        <f>IFERROR(IF(ISNUMBER('Procyclean BIO'!A479),'Procyclean BIO'!A479,DATEVALUE('Procyclean BIO'!A479)),"")</f>
        <v/>
      </c>
      <c r="AC478" t="str">
        <f>IF(AA478="","",'Procyclean BIO'!B479)</f>
        <v/>
      </c>
      <c r="AD478" t="str">
        <f>IF(AA478="","",IFERROR(1*'Procyclean BIO'!C479,IFERROR(_xludf.NUMBERVALUE('Procyclean BIO'!C479,".",","),IFERROR(_xludf.NUMBERVALUE('Procyclean BIO'!C479,",","."),0))))</f>
        <v/>
      </c>
      <c r="AE478" t="str">
        <f>IF(AA478="","",'Procyclean BIO'!J479)</f>
        <v/>
      </c>
      <c r="AF478">
        <f t="shared" si="59"/>
        <v>0</v>
      </c>
      <c r="AG478" t="str">
        <f t="shared" si="60"/>
        <v/>
      </c>
      <c r="AH478" t="str">
        <f t="shared" si="61"/>
        <v/>
      </c>
      <c r="AI478">
        <f t="shared" si="62"/>
        <v>0</v>
      </c>
      <c r="AJ478">
        <f t="shared" si="63"/>
        <v>0</v>
      </c>
      <c r="AK478">
        <v>0</v>
      </c>
      <c r="AL478" t="str">
        <f>IF(AA478="","",IFERROR(IF(ISNUMBER('Procyclean BIO'!D479),'Procyclean BIO'!D479,IF(ISNUMBER(SEARCH("12",'Procyclean BIO'!D479)),EDATE(AB478,12),IF(ISNUMBER(SEARCH("6",'Procyclean BIO'!D479)),EDATE(AB478,6),IF(ISNUMBER(SEARCH("3",'Procyclean BIO'!D479)),EDATE(AB478,3),DATEVALUE('Procyclean BIO'!D479))))),""))</f>
        <v/>
      </c>
      <c r="AM478" t="str">
        <f t="shared" ca="1" si="64"/>
        <v/>
      </c>
    </row>
    <row r="479" spans="27:39" x14ac:dyDescent="0.3">
      <c r="AA479" t="str">
        <f>IF(COUNTA('Procyclean BIO'!A480,'Procyclean BIO'!B480,'Procyclean BIO'!C480)&gt;0,"BIO","")</f>
        <v/>
      </c>
      <c r="AB479" t="str">
        <f>IFERROR(IF(ISNUMBER('Procyclean BIO'!A480),'Procyclean BIO'!A480,DATEVALUE('Procyclean BIO'!A480)),"")</f>
        <v/>
      </c>
      <c r="AC479" t="str">
        <f>IF(AA479="","",'Procyclean BIO'!B480)</f>
        <v/>
      </c>
      <c r="AD479" t="str">
        <f>IF(AA479="","",IFERROR(1*'Procyclean BIO'!C480,IFERROR(_xludf.NUMBERVALUE('Procyclean BIO'!C480,".",","),IFERROR(_xludf.NUMBERVALUE('Procyclean BIO'!C480,",","."),0))))</f>
        <v/>
      </c>
      <c r="AE479" t="str">
        <f>IF(AA479="","",'Procyclean BIO'!J480)</f>
        <v/>
      </c>
      <c r="AF479">
        <f t="shared" si="59"/>
        <v>0</v>
      </c>
      <c r="AG479" t="str">
        <f t="shared" si="60"/>
        <v/>
      </c>
      <c r="AH479" t="str">
        <f t="shared" si="61"/>
        <v/>
      </c>
      <c r="AI479">
        <f t="shared" si="62"/>
        <v>0</v>
      </c>
      <c r="AJ479">
        <f t="shared" si="63"/>
        <v>0</v>
      </c>
      <c r="AK479">
        <v>0</v>
      </c>
      <c r="AL479" t="str">
        <f>IF(AA479="","",IFERROR(IF(ISNUMBER('Procyclean BIO'!D480),'Procyclean BIO'!D480,IF(ISNUMBER(SEARCH("12",'Procyclean BIO'!D480)),EDATE(AB479,12),IF(ISNUMBER(SEARCH("6",'Procyclean BIO'!D480)),EDATE(AB479,6),IF(ISNUMBER(SEARCH("3",'Procyclean BIO'!D480)),EDATE(AB479,3),DATEVALUE('Procyclean BIO'!D480))))),""))</f>
        <v/>
      </c>
      <c r="AM479" t="str">
        <f t="shared" ca="1" si="64"/>
        <v/>
      </c>
    </row>
    <row r="480" spans="27:39" x14ac:dyDescent="0.3">
      <c r="AA480" t="str">
        <f>IF(COUNTA('Procyclean BIO'!A481,'Procyclean BIO'!B481,'Procyclean BIO'!C481)&gt;0,"BIO","")</f>
        <v/>
      </c>
      <c r="AB480" t="str">
        <f>IFERROR(IF(ISNUMBER('Procyclean BIO'!A481),'Procyclean BIO'!A481,DATEVALUE('Procyclean BIO'!A481)),"")</f>
        <v/>
      </c>
      <c r="AC480" t="str">
        <f>IF(AA480="","",'Procyclean BIO'!B481)</f>
        <v/>
      </c>
      <c r="AD480" t="str">
        <f>IF(AA480="","",IFERROR(1*'Procyclean BIO'!C481,IFERROR(_xludf.NUMBERVALUE('Procyclean BIO'!C481,".",","),IFERROR(_xludf.NUMBERVALUE('Procyclean BIO'!C481,",","."),0))))</f>
        <v/>
      </c>
      <c r="AE480" t="str">
        <f>IF(AA480="","",'Procyclean BIO'!J481)</f>
        <v/>
      </c>
      <c r="AF480">
        <f t="shared" si="59"/>
        <v>0</v>
      </c>
      <c r="AG480" t="str">
        <f t="shared" si="60"/>
        <v/>
      </c>
      <c r="AH480" t="str">
        <f t="shared" si="61"/>
        <v/>
      </c>
      <c r="AI480">
        <f t="shared" si="62"/>
        <v>0</v>
      </c>
      <c r="AJ480">
        <f t="shared" si="63"/>
        <v>0</v>
      </c>
      <c r="AK480">
        <v>0</v>
      </c>
      <c r="AL480" t="str">
        <f>IF(AA480="","",IFERROR(IF(ISNUMBER('Procyclean BIO'!D481),'Procyclean BIO'!D481,IF(ISNUMBER(SEARCH("12",'Procyclean BIO'!D481)),EDATE(AB480,12),IF(ISNUMBER(SEARCH("6",'Procyclean BIO'!D481)),EDATE(AB480,6),IF(ISNUMBER(SEARCH("3",'Procyclean BIO'!D481)),EDATE(AB480,3),DATEVALUE('Procyclean BIO'!D481))))),""))</f>
        <v/>
      </c>
      <c r="AM480" t="str">
        <f t="shared" ca="1" si="64"/>
        <v/>
      </c>
    </row>
    <row r="481" spans="27:39" x14ac:dyDescent="0.3">
      <c r="AA481" t="str">
        <f>IF(COUNTA('Procyclean BIO'!A482,'Procyclean BIO'!B482,'Procyclean BIO'!C482)&gt;0,"BIO","")</f>
        <v/>
      </c>
      <c r="AB481" t="str">
        <f>IFERROR(IF(ISNUMBER('Procyclean BIO'!A482),'Procyclean BIO'!A482,DATEVALUE('Procyclean BIO'!A482)),"")</f>
        <v/>
      </c>
      <c r="AC481" t="str">
        <f>IF(AA481="","",'Procyclean BIO'!B482)</f>
        <v/>
      </c>
      <c r="AD481" t="str">
        <f>IF(AA481="","",IFERROR(1*'Procyclean BIO'!C482,IFERROR(_xludf.NUMBERVALUE('Procyclean BIO'!C482,".",","),IFERROR(_xludf.NUMBERVALUE('Procyclean BIO'!C482,",","."),0))))</f>
        <v/>
      </c>
      <c r="AE481" t="str">
        <f>IF(AA481="","",'Procyclean BIO'!J482)</f>
        <v/>
      </c>
      <c r="AF481">
        <f t="shared" si="59"/>
        <v>0</v>
      </c>
      <c r="AG481" t="str">
        <f t="shared" si="60"/>
        <v/>
      </c>
      <c r="AH481" t="str">
        <f t="shared" si="61"/>
        <v/>
      </c>
      <c r="AI481">
        <f t="shared" si="62"/>
        <v>0</v>
      </c>
      <c r="AJ481">
        <f t="shared" si="63"/>
        <v>0</v>
      </c>
      <c r="AK481">
        <v>0</v>
      </c>
      <c r="AL481" t="str">
        <f>IF(AA481="","",IFERROR(IF(ISNUMBER('Procyclean BIO'!D482),'Procyclean BIO'!D482,IF(ISNUMBER(SEARCH("12",'Procyclean BIO'!D482)),EDATE(AB481,12),IF(ISNUMBER(SEARCH("6",'Procyclean BIO'!D482)),EDATE(AB481,6),IF(ISNUMBER(SEARCH("3",'Procyclean BIO'!D482)),EDATE(AB481,3),DATEVALUE('Procyclean BIO'!D482))))),""))</f>
        <v/>
      </c>
      <c r="AM481" t="str">
        <f t="shared" ca="1" si="64"/>
        <v/>
      </c>
    </row>
    <row r="482" spans="27:39" x14ac:dyDescent="0.3">
      <c r="AA482" t="str">
        <f>IF(COUNTA('Procyclean BIO'!A483,'Procyclean BIO'!B483,'Procyclean BIO'!C483)&gt;0,"BIO","")</f>
        <v/>
      </c>
      <c r="AB482" t="str">
        <f>IFERROR(IF(ISNUMBER('Procyclean BIO'!A483),'Procyclean BIO'!A483,DATEVALUE('Procyclean BIO'!A483)),"")</f>
        <v/>
      </c>
      <c r="AC482" t="str">
        <f>IF(AA482="","",'Procyclean BIO'!B483)</f>
        <v/>
      </c>
      <c r="AD482" t="str">
        <f>IF(AA482="","",IFERROR(1*'Procyclean BIO'!C483,IFERROR(_xludf.NUMBERVALUE('Procyclean BIO'!C483,".",","),IFERROR(_xludf.NUMBERVALUE('Procyclean BIO'!C483,",","."),0))))</f>
        <v/>
      </c>
      <c r="AE482" t="str">
        <f>IF(AA482="","",'Procyclean BIO'!J483)</f>
        <v/>
      </c>
      <c r="AF482">
        <f t="shared" si="59"/>
        <v>0</v>
      </c>
      <c r="AG482" t="str">
        <f t="shared" si="60"/>
        <v/>
      </c>
      <c r="AH482" t="str">
        <f t="shared" si="61"/>
        <v/>
      </c>
      <c r="AI482">
        <f t="shared" si="62"/>
        <v>0</v>
      </c>
      <c r="AJ482">
        <f t="shared" si="63"/>
        <v>0</v>
      </c>
      <c r="AK482">
        <v>0</v>
      </c>
      <c r="AL482" t="str">
        <f>IF(AA482="","",IFERROR(IF(ISNUMBER('Procyclean BIO'!D483),'Procyclean BIO'!D483,IF(ISNUMBER(SEARCH("12",'Procyclean BIO'!D483)),EDATE(AB482,12),IF(ISNUMBER(SEARCH("6",'Procyclean BIO'!D483)),EDATE(AB482,6),IF(ISNUMBER(SEARCH("3",'Procyclean BIO'!D483)),EDATE(AB482,3),DATEVALUE('Procyclean BIO'!D483))))),""))</f>
        <v/>
      </c>
      <c r="AM482" t="str">
        <f t="shared" ca="1" si="64"/>
        <v/>
      </c>
    </row>
    <row r="483" spans="27:39" x14ac:dyDescent="0.3">
      <c r="AA483" t="str">
        <f>IF(COUNTA('Procyclean BIO'!A484,'Procyclean BIO'!B484,'Procyclean BIO'!C484)&gt;0,"BIO","")</f>
        <v/>
      </c>
      <c r="AB483" t="str">
        <f>IFERROR(IF(ISNUMBER('Procyclean BIO'!A484),'Procyclean BIO'!A484,DATEVALUE('Procyclean BIO'!A484)),"")</f>
        <v/>
      </c>
      <c r="AC483" t="str">
        <f>IF(AA483="","",'Procyclean BIO'!B484)</f>
        <v/>
      </c>
      <c r="AD483" t="str">
        <f>IF(AA483="","",IFERROR(1*'Procyclean BIO'!C484,IFERROR(_xludf.NUMBERVALUE('Procyclean BIO'!C484,".",","),IFERROR(_xludf.NUMBERVALUE('Procyclean BIO'!C484,",","."),0))))</f>
        <v/>
      </c>
      <c r="AE483" t="str">
        <f>IF(AA483="","",'Procyclean BIO'!J484)</f>
        <v/>
      </c>
      <c r="AF483">
        <f t="shared" si="59"/>
        <v>0</v>
      </c>
      <c r="AG483" t="str">
        <f t="shared" si="60"/>
        <v/>
      </c>
      <c r="AH483" t="str">
        <f t="shared" si="61"/>
        <v/>
      </c>
      <c r="AI483">
        <f t="shared" si="62"/>
        <v>0</v>
      </c>
      <c r="AJ483">
        <f t="shared" si="63"/>
        <v>0</v>
      </c>
      <c r="AK483">
        <v>0</v>
      </c>
      <c r="AL483" t="str">
        <f>IF(AA483="","",IFERROR(IF(ISNUMBER('Procyclean BIO'!D484),'Procyclean BIO'!D484,IF(ISNUMBER(SEARCH("12",'Procyclean BIO'!D484)),EDATE(AB483,12),IF(ISNUMBER(SEARCH("6",'Procyclean BIO'!D484)),EDATE(AB483,6),IF(ISNUMBER(SEARCH("3",'Procyclean BIO'!D484)),EDATE(AB483,3),DATEVALUE('Procyclean BIO'!D484))))),""))</f>
        <v/>
      </c>
      <c r="AM483" t="str">
        <f t="shared" ca="1" si="64"/>
        <v/>
      </c>
    </row>
    <row r="484" spans="27:39" x14ac:dyDescent="0.3">
      <c r="AA484" t="str">
        <f>IF(COUNTA('Procyclean BIO'!A485,'Procyclean BIO'!B485,'Procyclean BIO'!C485)&gt;0,"BIO","")</f>
        <v/>
      </c>
      <c r="AB484" t="str">
        <f>IFERROR(IF(ISNUMBER('Procyclean BIO'!A485),'Procyclean BIO'!A485,DATEVALUE('Procyclean BIO'!A485)),"")</f>
        <v/>
      </c>
      <c r="AC484" t="str">
        <f>IF(AA484="","",'Procyclean BIO'!B485)</f>
        <v/>
      </c>
      <c r="AD484" t="str">
        <f>IF(AA484="","",IFERROR(1*'Procyclean BIO'!C485,IFERROR(_xludf.NUMBERVALUE('Procyclean BIO'!C485,".",","),IFERROR(_xludf.NUMBERVALUE('Procyclean BIO'!C485,",","."),0))))</f>
        <v/>
      </c>
      <c r="AE484" t="str">
        <f>IF(AA484="","",'Procyclean BIO'!J485)</f>
        <v/>
      </c>
      <c r="AF484">
        <f t="shared" si="59"/>
        <v>0</v>
      </c>
      <c r="AG484" t="str">
        <f t="shared" si="60"/>
        <v/>
      </c>
      <c r="AH484" t="str">
        <f t="shared" si="61"/>
        <v/>
      </c>
      <c r="AI484">
        <f t="shared" si="62"/>
        <v>0</v>
      </c>
      <c r="AJ484">
        <f t="shared" si="63"/>
        <v>0</v>
      </c>
      <c r="AK484">
        <v>0</v>
      </c>
      <c r="AL484" t="str">
        <f>IF(AA484="","",IFERROR(IF(ISNUMBER('Procyclean BIO'!D485),'Procyclean BIO'!D485,IF(ISNUMBER(SEARCH("12",'Procyclean BIO'!D485)),EDATE(AB484,12),IF(ISNUMBER(SEARCH("6",'Procyclean BIO'!D485)),EDATE(AB484,6),IF(ISNUMBER(SEARCH("3",'Procyclean BIO'!D485)),EDATE(AB484,3),DATEVALUE('Procyclean BIO'!D485))))),""))</f>
        <v/>
      </c>
      <c r="AM484" t="str">
        <f t="shared" ca="1" si="64"/>
        <v/>
      </c>
    </row>
    <row r="485" spans="27:39" x14ac:dyDescent="0.3">
      <c r="AA485" t="str">
        <f>IF(COUNTA('Procyclean BIO'!A486,'Procyclean BIO'!B486,'Procyclean BIO'!C486)&gt;0,"BIO","")</f>
        <v/>
      </c>
      <c r="AB485" t="str">
        <f>IFERROR(IF(ISNUMBER('Procyclean BIO'!A486),'Procyclean BIO'!A486,DATEVALUE('Procyclean BIO'!A486)),"")</f>
        <v/>
      </c>
      <c r="AC485" t="str">
        <f>IF(AA485="","",'Procyclean BIO'!B486)</f>
        <v/>
      </c>
      <c r="AD485" t="str">
        <f>IF(AA485="","",IFERROR(1*'Procyclean BIO'!C486,IFERROR(_xludf.NUMBERVALUE('Procyclean BIO'!C486,".",","),IFERROR(_xludf.NUMBERVALUE('Procyclean BIO'!C486,",","."),0))))</f>
        <v/>
      </c>
      <c r="AE485" t="str">
        <f>IF(AA485="","",'Procyclean BIO'!J486)</f>
        <v/>
      </c>
      <c r="AF485">
        <f t="shared" si="59"/>
        <v>0</v>
      </c>
      <c r="AG485" t="str">
        <f t="shared" si="60"/>
        <v/>
      </c>
      <c r="AH485" t="str">
        <f t="shared" si="61"/>
        <v/>
      </c>
      <c r="AI485">
        <f t="shared" si="62"/>
        <v>0</v>
      </c>
      <c r="AJ485">
        <f t="shared" si="63"/>
        <v>0</v>
      </c>
      <c r="AK485">
        <v>0</v>
      </c>
      <c r="AL485" t="str">
        <f>IF(AA485="","",IFERROR(IF(ISNUMBER('Procyclean BIO'!D486),'Procyclean BIO'!D486,IF(ISNUMBER(SEARCH("12",'Procyclean BIO'!D486)),EDATE(AB485,12),IF(ISNUMBER(SEARCH("6",'Procyclean BIO'!D486)),EDATE(AB485,6),IF(ISNUMBER(SEARCH("3",'Procyclean BIO'!D486)),EDATE(AB485,3),DATEVALUE('Procyclean BIO'!D486))))),""))</f>
        <v/>
      </c>
      <c r="AM485" t="str">
        <f t="shared" ca="1" si="64"/>
        <v/>
      </c>
    </row>
    <row r="486" spans="27:39" x14ac:dyDescent="0.3">
      <c r="AA486" t="str">
        <f>IF(COUNTA('Procyclean BIO'!A487,'Procyclean BIO'!B487,'Procyclean BIO'!C487)&gt;0,"BIO","")</f>
        <v/>
      </c>
      <c r="AB486" t="str">
        <f>IFERROR(IF(ISNUMBER('Procyclean BIO'!A487),'Procyclean BIO'!A487,DATEVALUE('Procyclean BIO'!A487)),"")</f>
        <v/>
      </c>
      <c r="AC486" t="str">
        <f>IF(AA486="","",'Procyclean BIO'!B487)</f>
        <v/>
      </c>
      <c r="AD486" t="str">
        <f>IF(AA486="","",IFERROR(1*'Procyclean BIO'!C487,IFERROR(_xludf.NUMBERVALUE('Procyclean BIO'!C487,".",","),IFERROR(_xludf.NUMBERVALUE('Procyclean BIO'!C487,",","."),0))))</f>
        <v/>
      </c>
      <c r="AE486" t="str">
        <f>IF(AA486="","",'Procyclean BIO'!J487)</f>
        <v/>
      </c>
      <c r="AF486">
        <f t="shared" si="59"/>
        <v>0</v>
      </c>
      <c r="AG486" t="str">
        <f t="shared" si="60"/>
        <v/>
      </c>
      <c r="AH486" t="str">
        <f t="shared" si="61"/>
        <v/>
      </c>
      <c r="AI486">
        <f t="shared" si="62"/>
        <v>0</v>
      </c>
      <c r="AJ486">
        <f t="shared" si="63"/>
        <v>0</v>
      </c>
      <c r="AK486">
        <v>0</v>
      </c>
      <c r="AL486" t="str">
        <f>IF(AA486="","",IFERROR(IF(ISNUMBER('Procyclean BIO'!D487),'Procyclean BIO'!D487,IF(ISNUMBER(SEARCH("12",'Procyclean BIO'!D487)),EDATE(AB486,12),IF(ISNUMBER(SEARCH("6",'Procyclean BIO'!D487)),EDATE(AB486,6),IF(ISNUMBER(SEARCH("3",'Procyclean BIO'!D487)),EDATE(AB486,3),DATEVALUE('Procyclean BIO'!D487))))),""))</f>
        <v/>
      </c>
      <c r="AM486" t="str">
        <f t="shared" ca="1" si="64"/>
        <v/>
      </c>
    </row>
    <row r="487" spans="27:39" x14ac:dyDescent="0.3">
      <c r="AA487" t="str">
        <f>IF(COUNTA('Procyclean BIO'!A488,'Procyclean BIO'!B488,'Procyclean BIO'!C488)&gt;0,"BIO","")</f>
        <v/>
      </c>
      <c r="AB487" t="str">
        <f>IFERROR(IF(ISNUMBER('Procyclean BIO'!A488),'Procyclean BIO'!A488,DATEVALUE('Procyclean BIO'!A488)),"")</f>
        <v/>
      </c>
      <c r="AC487" t="str">
        <f>IF(AA487="","",'Procyclean BIO'!B488)</f>
        <v/>
      </c>
      <c r="AD487" t="str">
        <f>IF(AA487="","",IFERROR(1*'Procyclean BIO'!C488,IFERROR(_xludf.NUMBERVALUE('Procyclean BIO'!C488,".",","),IFERROR(_xludf.NUMBERVALUE('Procyclean BIO'!C488,",","."),0))))</f>
        <v/>
      </c>
      <c r="AE487" t="str">
        <f>IF(AA487="","",'Procyclean BIO'!J488)</f>
        <v/>
      </c>
      <c r="AF487">
        <f t="shared" si="59"/>
        <v>0</v>
      </c>
      <c r="AG487" t="str">
        <f t="shared" si="60"/>
        <v/>
      </c>
      <c r="AH487" t="str">
        <f t="shared" si="61"/>
        <v/>
      </c>
      <c r="AI487">
        <f t="shared" si="62"/>
        <v>0</v>
      </c>
      <c r="AJ487">
        <f t="shared" si="63"/>
        <v>0</v>
      </c>
      <c r="AK487">
        <v>0</v>
      </c>
      <c r="AL487" t="str">
        <f>IF(AA487="","",IFERROR(IF(ISNUMBER('Procyclean BIO'!D488),'Procyclean BIO'!D488,IF(ISNUMBER(SEARCH("12",'Procyclean BIO'!D488)),EDATE(AB487,12),IF(ISNUMBER(SEARCH("6",'Procyclean BIO'!D488)),EDATE(AB487,6),IF(ISNUMBER(SEARCH("3",'Procyclean BIO'!D488)),EDATE(AB487,3),DATEVALUE('Procyclean BIO'!D488))))),""))</f>
        <v/>
      </c>
      <c r="AM487" t="str">
        <f t="shared" ca="1" si="64"/>
        <v/>
      </c>
    </row>
    <row r="488" spans="27:39" x14ac:dyDescent="0.3">
      <c r="AA488" t="str">
        <f>IF(COUNTA('Procyclean BIO'!A489,'Procyclean BIO'!B489,'Procyclean BIO'!C489)&gt;0,"BIO","")</f>
        <v/>
      </c>
      <c r="AB488" t="str">
        <f>IFERROR(IF(ISNUMBER('Procyclean BIO'!A489),'Procyclean BIO'!A489,DATEVALUE('Procyclean BIO'!A489)),"")</f>
        <v/>
      </c>
      <c r="AC488" t="str">
        <f>IF(AA488="","",'Procyclean BIO'!B489)</f>
        <v/>
      </c>
      <c r="AD488" t="str">
        <f>IF(AA488="","",IFERROR(1*'Procyclean BIO'!C489,IFERROR(_xludf.NUMBERVALUE('Procyclean BIO'!C489,".",","),IFERROR(_xludf.NUMBERVALUE('Procyclean BIO'!C489,",","."),0))))</f>
        <v/>
      </c>
      <c r="AE488" t="str">
        <f>IF(AA488="","",'Procyclean BIO'!J489)</f>
        <v/>
      </c>
      <c r="AF488">
        <f t="shared" si="59"/>
        <v>0</v>
      </c>
      <c r="AG488" t="str">
        <f t="shared" si="60"/>
        <v/>
      </c>
      <c r="AH488" t="str">
        <f t="shared" si="61"/>
        <v/>
      </c>
      <c r="AI488">
        <f t="shared" si="62"/>
        <v>0</v>
      </c>
      <c r="AJ488">
        <f t="shared" si="63"/>
        <v>0</v>
      </c>
      <c r="AK488">
        <v>0</v>
      </c>
      <c r="AL488" t="str">
        <f>IF(AA488="","",IFERROR(IF(ISNUMBER('Procyclean BIO'!D489),'Procyclean BIO'!D489,IF(ISNUMBER(SEARCH("12",'Procyclean BIO'!D489)),EDATE(AB488,12),IF(ISNUMBER(SEARCH("6",'Procyclean BIO'!D489)),EDATE(AB488,6),IF(ISNUMBER(SEARCH("3",'Procyclean BIO'!D489)),EDATE(AB488,3),DATEVALUE('Procyclean BIO'!D489))))),""))</f>
        <v/>
      </c>
      <c r="AM488" t="str">
        <f t="shared" ca="1" si="64"/>
        <v/>
      </c>
    </row>
    <row r="489" spans="27:39" x14ac:dyDescent="0.3">
      <c r="AA489" t="str">
        <f>IF(COUNTA('Procyclean BIO'!A490,'Procyclean BIO'!B490,'Procyclean BIO'!C490)&gt;0,"BIO","")</f>
        <v/>
      </c>
      <c r="AB489" t="str">
        <f>IFERROR(IF(ISNUMBER('Procyclean BIO'!A490),'Procyclean BIO'!A490,DATEVALUE('Procyclean BIO'!A490)),"")</f>
        <v/>
      </c>
      <c r="AC489" t="str">
        <f>IF(AA489="","",'Procyclean BIO'!B490)</f>
        <v/>
      </c>
      <c r="AD489" t="str">
        <f>IF(AA489="","",IFERROR(1*'Procyclean BIO'!C490,IFERROR(_xludf.NUMBERVALUE('Procyclean BIO'!C490,".",","),IFERROR(_xludf.NUMBERVALUE('Procyclean BIO'!C490,",","."),0))))</f>
        <v/>
      </c>
      <c r="AE489" t="str">
        <f>IF(AA489="","",'Procyclean BIO'!J490)</f>
        <v/>
      </c>
      <c r="AF489">
        <f t="shared" si="59"/>
        <v>0</v>
      </c>
      <c r="AG489" t="str">
        <f t="shared" si="60"/>
        <v/>
      </c>
      <c r="AH489" t="str">
        <f t="shared" si="61"/>
        <v/>
      </c>
      <c r="AI489">
        <f t="shared" si="62"/>
        <v>0</v>
      </c>
      <c r="AJ489">
        <f t="shared" si="63"/>
        <v>0</v>
      </c>
      <c r="AK489">
        <v>0</v>
      </c>
      <c r="AL489" t="str">
        <f>IF(AA489="","",IFERROR(IF(ISNUMBER('Procyclean BIO'!D490),'Procyclean BIO'!D490,IF(ISNUMBER(SEARCH("12",'Procyclean BIO'!D490)),EDATE(AB489,12),IF(ISNUMBER(SEARCH("6",'Procyclean BIO'!D490)),EDATE(AB489,6),IF(ISNUMBER(SEARCH("3",'Procyclean BIO'!D490)),EDATE(AB489,3),DATEVALUE('Procyclean BIO'!D490))))),""))</f>
        <v/>
      </c>
      <c r="AM489" t="str">
        <f t="shared" ca="1" si="64"/>
        <v/>
      </c>
    </row>
    <row r="490" spans="27:39" x14ac:dyDescent="0.3">
      <c r="AA490" t="str">
        <f>IF(COUNTA('Procyclean BIO'!A491,'Procyclean BIO'!B491,'Procyclean BIO'!C491)&gt;0,"BIO","")</f>
        <v/>
      </c>
      <c r="AB490" t="str">
        <f>IFERROR(IF(ISNUMBER('Procyclean BIO'!A491),'Procyclean BIO'!A491,DATEVALUE('Procyclean BIO'!A491)),"")</f>
        <v/>
      </c>
      <c r="AC490" t="str">
        <f>IF(AA490="","",'Procyclean BIO'!B491)</f>
        <v/>
      </c>
      <c r="AD490" t="str">
        <f>IF(AA490="","",IFERROR(1*'Procyclean BIO'!C491,IFERROR(_xludf.NUMBERVALUE('Procyclean BIO'!C491,".",","),IFERROR(_xludf.NUMBERVALUE('Procyclean BIO'!C491,",","."),0))))</f>
        <v/>
      </c>
      <c r="AE490" t="str">
        <f>IF(AA490="","",'Procyclean BIO'!J491)</f>
        <v/>
      </c>
      <c r="AF490">
        <f t="shared" si="59"/>
        <v>0</v>
      </c>
      <c r="AG490" t="str">
        <f t="shared" si="60"/>
        <v/>
      </c>
      <c r="AH490" t="str">
        <f t="shared" si="61"/>
        <v/>
      </c>
      <c r="AI490">
        <f t="shared" si="62"/>
        <v>0</v>
      </c>
      <c r="AJ490">
        <f t="shared" si="63"/>
        <v>0</v>
      </c>
      <c r="AK490">
        <v>0</v>
      </c>
      <c r="AL490" t="str">
        <f>IF(AA490="","",IFERROR(IF(ISNUMBER('Procyclean BIO'!D491),'Procyclean BIO'!D491,IF(ISNUMBER(SEARCH("12",'Procyclean BIO'!D491)),EDATE(AB490,12),IF(ISNUMBER(SEARCH("6",'Procyclean BIO'!D491)),EDATE(AB490,6),IF(ISNUMBER(SEARCH("3",'Procyclean BIO'!D491)),EDATE(AB490,3),DATEVALUE('Procyclean BIO'!D491))))),""))</f>
        <v/>
      </c>
      <c r="AM490" t="str">
        <f t="shared" ca="1" si="64"/>
        <v/>
      </c>
    </row>
    <row r="491" spans="27:39" x14ac:dyDescent="0.3">
      <c r="AA491" t="str">
        <f>IF(COUNTA('Procyclean BIO'!A492,'Procyclean BIO'!B492,'Procyclean BIO'!C492)&gt;0,"BIO","")</f>
        <v/>
      </c>
      <c r="AB491" t="str">
        <f>IFERROR(IF(ISNUMBER('Procyclean BIO'!A492),'Procyclean BIO'!A492,DATEVALUE('Procyclean BIO'!A492)),"")</f>
        <v/>
      </c>
      <c r="AC491" t="str">
        <f>IF(AA491="","",'Procyclean BIO'!B492)</f>
        <v/>
      </c>
      <c r="AD491" t="str">
        <f>IF(AA491="","",IFERROR(1*'Procyclean BIO'!C492,IFERROR(_xludf.NUMBERVALUE('Procyclean BIO'!C492,".",","),IFERROR(_xludf.NUMBERVALUE('Procyclean BIO'!C492,",","."),0))))</f>
        <v/>
      </c>
      <c r="AE491" t="str">
        <f>IF(AA491="","",'Procyclean BIO'!J492)</f>
        <v/>
      </c>
      <c r="AF491">
        <f t="shared" si="59"/>
        <v>0</v>
      </c>
      <c r="AG491" t="str">
        <f t="shared" si="60"/>
        <v/>
      </c>
      <c r="AH491" t="str">
        <f t="shared" si="61"/>
        <v/>
      </c>
      <c r="AI491">
        <f t="shared" si="62"/>
        <v>0</v>
      </c>
      <c r="AJ491">
        <f t="shared" si="63"/>
        <v>0</v>
      </c>
      <c r="AK491">
        <v>0</v>
      </c>
      <c r="AL491" t="str">
        <f>IF(AA491="","",IFERROR(IF(ISNUMBER('Procyclean BIO'!D492),'Procyclean BIO'!D492,IF(ISNUMBER(SEARCH("12",'Procyclean BIO'!D492)),EDATE(AB491,12),IF(ISNUMBER(SEARCH("6",'Procyclean BIO'!D492)),EDATE(AB491,6),IF(ISNUMBER(SEARCH("3",'Procyclean BIO'!D492)),EDATE(AB491,3),DATEVALUE('Procyclean BIO'!D492))))),""))</f>
        <v/>
      </c>
      <c r="AM491" t="str">
        <f t="shared" ca="1" si="64"/>
        <v/>
      </c>
    </row>
    <row r="492" spans="27:39" x14ac:dyDescent="0.3">
      <c r="AA492" t="str">
        <f>IF(COUNTA('Procyclean BIO'!A493,'Procyclean BIO'!B493,'Procyclean BIO'!C493)&gt;0,"BIO","")</f>
        <v/>
      </c>
      <c r="AB492" t="str">
        <f>IFERROR(IF(ISNUMBER('Procyclean BIO'!A493),'Procyclean BIO'!A493,DATEVALUE('Procyclean BIO'!A493)),"")</f>
        <v/>
      </c>
      <c r="AC492" t="str">
        <f>IF(AA492="","",'Procyclean BIO'!B493)</f>
        <v/>
      </c>
      <c r="AD492" t="str">
        <f>IF(AA492="","",IFERROR(1*'Procyclean BIO'!C493,IFERROR(_xludf.NUMBERVALUE('Procyclean BIO'!C493,".",","),IFERROR(_xludf.NUMBERVALUE('Procyclean BIO'!C493,",","."),0))))</f>
        <v/>
      </c>
      <c r="AE492" t="str">
        <f>IF(AA492="","",'Procyclean BIO'!J493)</f>
        <v/>
      </c>
      <c r="AF492">
        <f t="shared" si="59"/>
        <v>0</v>
      </c>
      <c r="AG492" t="str">
        <f t="shared" si="60"/>
        <v/>
      </c>
      <c r="AH492" t="str">
        <f t="shared" si="61"/>
        <v/>
      </c>
      <c r="AI492">
        <f t="shared" si="62"/>
        <v>0</v>
      </c>
      <c r="AJ492">
        <f t="shared" si="63"/>
        <v>0</v>
      </c>
      <c r="AK492">
        <v>0</v>
      </c>
      <c r="AL492" t="str">
        <f>IF(AA492="","",IFERROR(IF(ISNUMBER('Procyclean BIO'!D493),'Procyclean BIO'!D493,IF(ISNUMBER(SEARCH("12",'Procyclean BIO'!D493)),EDATE(AB492,12),IF(ISNUMBER(SEARCH("6",'Procyclean BIO'!D493)),EDATE(AB492,6),IF(ISNUMBER(SEARCH("3",'Procyclean BIO'!D493)),EDATE(AB492,3),DATEVALUE('Procyclean BIO'!D493))))),""))</f>
        <v/>
      </c>
      <c r="AM492" t="str">
        <f t="shared" ca="1" si="64"/>
        <v/>
      </c>
    </row>
    <row r="493" spans="27:39" x14ac:dyDescent="0.3">
      <c r="AA493" t="str">
        <f>IF(COUNTA('Procyclean BIO'!A494,'Procyclean BIO'!B494,'Procyclean BIO'!C494)&gt;0,"BIO","")</f>
        <v/>
      </c>
      <c r="AB493" t="str">
        <f>IFERROR(IF(ISNUMBER('Procyclean BIO'!A494),'Procyclean BIO'!A494,DATEVALUE('Procyclean BIO'!A494)),"")</f>
        <v/>
      </c>
      <c r="AC493" t="str">
        <f>IF(AA493="","",'Procyclean BIO'!B494)</f>
        <v/>
      </c>
      <c r="AD493" t="str">
        <f>IF(AA493="","",IFERROR(1*'Procyclean BIO'!C494,IFERROR(_xludf.NUMBERVALUE('Procyclean BIO'!C494,".",","),IFERROR(_xludf.NUMBERVALUE('Procyclean BIO'!C494,",","."),0))))</f>
        <v/>
      </c>
      <c r="AE493" t="str">
        <f>IF(AA493="","",'Procyclean BIO'!J494)</f>
        <v/>
      </c>
      <c r="AF493">
        <f t="shared" si="59"/>
        <v>0</v>
      </c>
      <c r="AG493" t="str">
        <f t="shared" si="60"/>
        <v/>
      </c>
      <c r="AH493" t="str">
        <f t="shared" si="61"/>
        <v/>
      </c>
      <c r="AI493">
        <f t="shared" si="62"/>
        <v>0</v>
      </c>
      <c r="AJ493">
        <f t="shared" si="63"/>
        <v>0</v>
      </c>
      <c r="AK493">
        <v>0</v>
      </c>
      <c r="AL493" t="str">
        <f>IF(AA493="","",IFERROR(IF(ISNUMBER('Procyclean BIO'!D494),'Procyclean BIO'!D494,IF(ISNUMBER(SEARCH("12",'Procyclean BIO'!D494)),EDATE(AB493,12),IF(ISNUMBER(SEARCH("6",'Procyclean BIO'!D494)),EDATE(AB493,6),IF(ISNUMBER(SEARCH("3",'Procyclean BIO'!D494)),EDATE(AB493,3),DATEVALUE('Procyclean BIO'!D494))))),""))</f>
        <v/>
      </c>
      <c r="AM493" t="str">
        <f t="shared" ca="1" si="64"/>
        <v/>
      </c>
    </row>
    <row r="494" spans="27:39" x14ac:dyDescent="0.3">
      <c r="AA494" t="str">
        <f>IF(COUNTA('Procyclean BIO'!A495,'Procyclean BIO'!B495,'Procyclean BIO'!C495)&gt;0,"BIO","")</f>
        <v/>
      </c>
      <c r="AB494" t="str">
        <f>IFERROR(IF(ISNUMBER('Procyclean BIO'!A495),'Procyclean BIO'!A495,DATEVALUE('Procyclean BIO'!A495)),"")</f>
        <v/>
      </c>
      <c r="AC494" t="str">
        <f>IF(AA494="","",'Procyclean BIO'!B495)</f>
        <v/>
      </c>
      <c r="AD494" t="str">
        <f>IF(AA494="","",IFERROR(1*'Procyclean BIO'!C495,IFERROR(_xludf.NUMBERVALUE('Procyclean BIO'!C495,".",","),IFERROR(_xludf.NUMBERVALUE('Procyclean BIO'!C495,",","."),0))))</f>
        <v/>
      </c>
      <c r="AE494" t="str">
        <f>IF(AA494="","",'Procyclean BIO'!J495)</f>
        <v/>
      </c>
      <c r="AF494">
        <f t="shared" si="59"/>
        <v>0</v>
      </c>
      <c r="AG494" t="str">
        <f t="shared" si="60"/>
        <v/>
      </c>
      <c r="AH494" t="str">
        <f t="shared" si="61"/>
        <v/>
      </c>
      <c r="AI494">
        <f t="shared" si="62"/>
        <v>0</v>
      </c>
      <c r="AJ494">
        <f t="shared" si="63"/>
        <v>0</v>
      </c>
      <c r="AK494">
        <v>0</v>
      </c>
      <c r="AL494" t="str">
        <f>IF(AA494="","",IFERROR(IF(ISNUMBER('Procyclean BIO'!D495),'Procyclean BIO'!D495,IF(ISNUMBER(SEARCH("12",'Procyclean BIO'!D495)),EDATE(AB494,12),IF(ISNUMBER(SEARCH("6",'Procyclean BIO'!D495)),EDATE(AB494,6),IF(ISNUMBER(SEARCH("3",'Procyclean BIO'!D495)),EDATE(AB494,3),DATEVALUE('Procyclean BIO'!D495))))),""))</f>
        <v/>
      </c>
      <c r="AM494" t="str">
        <f t="shared" ca="1" si="64"/>
        <v/>
      </c>
    </row>
    <row r="495" spans="27:39" x14ac:dyDescent="0.3">
      <c r="AA495" t="str">
        <f>IF(COUNTA('Procyclean BIO'!A496,'Procyclean BIO'!B496,'Procyclean BIO'!C496)&gt;0,"BIO","")</f>
        <v/>
      </c>
      <c r="AB495" t="str">
        <f>IFERROR(IF(ISNUMBER('Procyclean BIO'!A496),'Procyclean BIO'!A496,DATEVALUE('Procyclean BIO'!A496)),"")</f>
        <v/>
      </c>
      <c r="AC495" t="str">
        <f>IF(AA495="","",'Procyclean BIO'!B496)</f>
        <v/>
      </c>
      <c r="AD495" t="str">
        <f>IF(AA495="","",IFERROR(1*'Procyclean BIO'!C496,IFERROR(_xludf.NUMBERVALUE('Procyclean BIO'!C496,".",","),IFERROR(_xludf.NUMBERVALUE('Procyclean BIO'!C496,",","."),0))))</f>
        <v/>
      </c>
      <c r="AE495" t="str">
        <f>IF(AA495="","",'Procyclean BIO'!J496)</f>
        <v/>
      </c>
      <c r="AF495">
        <f t="shared" si="59"/>
        <v>0</v>
      </c>
      <c r="AG495" t="str">
        <f t="shared" si="60"/>
        <v/>
      </c>
      <c r="AH495" t="str">
        <f t="shared" si="61"/>
        <v/>
      </c>
      <c r="AI495">
        <f t="shared" si="62"/>
        <v>0</v>
      </c>
      <c r="AJ495">
        <f t="shared" si="63"/>
        <v>0</v>
      </c>
      <c r="AK495">
        <v>0</v>
      </c>
      <c r="AL495" t="str">
        <f>IF(AA495="","",IFERROR(IF(ISNUMBER('Procyclean BIO'!D496),'Procyclean BIO'!D496,IF(ISNUMBER(SEARCH("12",'Procyclean BIO'!D496)),EDATE(AB495,12),IF(ISNUMBER(SEARCH("6",'Procyclean BIO'!D496)),EDATE(AB495,6),IF(ISNUMBER(SEARCH("3",'Procyclean BIO'!D496)),EDATE(AB495,3),DATEVALUE('Procyclean BIO'!D496))))),""))</f>
        <v/>
      </c>
      <c r="AM495" t="str">
        <f t="shared" ca="1" si="64"/>
        <v/>
      </c>
    </row>
    <row r="496" spans="27:39" x14ac:dyDescent="0.3">
      <c r="AA496" t="str">
        <f>IF(COUNTA('Procyclean BIO'!A497,'Procyclean BIO'!B497,'Procyclean BIO'!C497)&gt;0,"BIO","")</f>
        <v/>
      </c>
      <c r="AB496" t="str">
        <f>IFERROR(IF(ISNUMBER('Procyclean BIO'!A497),'Procyclean BIO'!A497,DATEVALUE('Procyclean BIO'!A497)),"")</f>
        <v/>
      </c>
      <c r="AC496" t="str">
        <f>IF(AA496="","",'Procyclean BIO'!B497)</f>
        <v/>
      </c>
      <c r="AD496" t="str">
        <f>IF(AA496="","",IFERROR(1*'Procyclean BIO'!C497,IFERROR(_xludf.NUMBERVALUE('Procyclean BIO'!C497,".",","),IFERROR(_xludf.NUMBERVALUE('Procyclean BIO'!C497,",","."),0))))</f>
        <v/>
      </c>
      <c r="AE496" t="str">
        <f>IF(AA496="","",'Procyclean BIO'!J497)</f>
        <v/>
      </c>
      <c r="AF496">
        <f t="shared" si="59"/>
        <v>0</v>
      </c>
      <c r="AG496" t="str">
        <f t="shared" si="60"/>
        <v/>
      </c>
      <c r="AH496" t="str">
        <f t="shared" si="61"/>
        <v/>
      </c>
      <c r="AI496">
        <f t="shared" si="62"/>
        <v>0</v>
      </c>
      <c r="AJ496">
        <f t="shared" si="63"/>
        <v>0</v>
      </c>
      <c r="AK496">
        <v>0</v>
      </c>
      <c r="AL496" t="str">
        <f>IF(AA496="","",IFERROR(IF(ISNUMBER('Procyclean BIO'!D497),'Procyclean BIO'!D497,IF(ISNUMBER(SEARCH("12",'Procyclean BIO'!D497)),EDATE(AB496,12),IF(ISNUMBER(SEARCH("6",'Procyclean BIO'!D497)),EDATE(AB496,6),IF(ISNUMBER(SEARCH("3",'Procyclean BIO'!D497)),EDATE(AB496,3),DATEVALUE('Procyclean BIO'!D497))))),""))</f>
        <v/>
      </c>
      <c r="AM496" t="str">
        <f t="shared" ca="1" si="64"/>
        <v/>
      </c>
    </row>
    <row r="497" spans="27:39" x14ac:dyDescent="0.3">
      <c r="AA497" t="str">
        <f>IF(COUNTA('Procyclean BIO'!A498,'Procyclean BIO'!B498,'Procyclean BIO'!C498)&gt;0,"BIO","")</f>
        <v/>
      </c>
      <c r="AB497" t="str">
        <f>IFERROR(IF(ISNUMBER('Procyclean BIO'!A498),'Procyclean BIO'!A498,DATEVALUE('Procyclean BIO'!A498)),"")</f>
        <v/>
      </c>
      <c r="AC497" t="str">
        <f>IF(AA497="","",'Procyclean BIO'!B498)</f>
        <v/>
      </c>
      <c r="AD497" t="str">
        <f>IF(AA497="","",IFERROR(1*'Procyclean BIO'!C498,IFERROR(_xludf.NUMBERVALUE('Procyclean BIO'!C498,".",","),IFERROR(_xludf.NUMBERVALUE('Procyclean BIO'!C498,",","."),0))))</f>
        <v/>
      </c>
      <c r="AE497" t="str">
        <f>IF(AA497="","",'Procyclean BIO'!J498)</f>
        <v/>
      </c>
      <c r="AF497">
        <f t="shared" si="59"/>
        <v>0</v>
      </c>
      <c r="AG497" t="str">
        <f t="shared" si="60"/>
        <v/>
      </c>
      <c r="AH497" t="str">
        <f t="shared" si="61"/>
        <v/>
      </c>
      <c r="AI497">
        <f t="shared" si="62"/>
        <v>0</v>
      </c>
      <c r="AJ497">
        <f t="shared" si="63"/>
        <v>0</v>
      </c>
      <c r="AK497">
        <v>0</v>
      </c>
      <c r="AL497" t="str">
        <f>IF(AA497="","",IFERROR(IF(ISNUMBER('Procyclean BIO'!D498),'Procyclean BIO'!D498,IF(ISNUMBER(SEARCH("12",'Procyclean BIO'!D498)),EDATE(AB497,12),IF(ISNUMBER(SEARCH("6",'Procyclean BIO'!D498)),EDATE(AB497,6),IF(ISNUMBER(SEARCH("3",'Procyclean BIO'!D498)),EDATE(AB497,3),DATEVALUE('Procyclean BIO'!D498))))),""))</f>
        <v/>
      </c>
      <c r="AM497" t="str">
        <f t="shared" ca="1" si="64"/>
        <v/>
      </c>
    </row>
    <row r="498" spans="27:39" x14ac:dyDescent="0.3">
      <c r="AA498" t="str">
        <f>IF(COUNTA('Procyclean BIO'!A499,'Procyclean BIO'!B499,'Procyclean BIO'!C499)&gt;0,"BIO","")</f>
        <v/>
      </c>
      <c r="AB498" t="str">
        <f>IFERROR(IF(ISNUMBER('Procyclean BIO'!A499),'Procyclean BIO'!A499,DATEVALUE('Procyclean BIO'!A499)),"")</f>
        <v/>
      </c>
      <c r="AC498" t="str">
        <f>IF(AA498="","",'Procyclean BIO'!B499)</f>
        <v/>
      </c>
      <c r="AD498" t="str">
        <f>IF(AA498="","",IFERROR(1*'Procyclean BIO'!C499,IFERROR(_xludf.NUMBERVALUE('Procyclean BIO'!C499,".",","),IFERROR(_xludf.NUMBERVALUE('Procyclean BIO'!C499,",","."),0))))</f>
        <v/>
      </c>
      <c r="AE498" t="str">
        <f>IF(AA498="","",'Procyclean BIO'!J499)</f>
        <v/>
      </c>
      <c r="AF498">
        <f t="shared" si="59"/>
        <v>0</v>
      </c>
      <c r="AG498" t="str">
        <f t="shared" si="60"/>
        <v/>
      </c>
      <c r="AH498" t="str">
        <f t="shared" si="61"/>
        <v/>
      </c>
      <c r="AI498">
        <f t="shared" si="62"/>
        <v>0</v>
      </c>
      <c r="AJ498">
        <f t="shared" si="63"/>
        <v>0</v>
      </c>
      <c r="AK498">
        <v>0</v>
      </c>
      <c r="AL498" t="str">
        <f>IF(AA498="","",IFERROR(IF(ISNUMBER('Procyclean BIO'!D499),'Procyclean BIO'!D499,IF(ISNUMBER(SEARCH("12",'Procyclean BIO'!D499)),EDATE(AB498,12),IF(ISNUMBER(SEARCH("6",'Procyclean BIO'!D499)),EDATE(AB498,6),IF(ISNUMBER(SEARCH("3",'Procyclean BIO'!D499)),EDATE(AB498,3),DATEVALUE('Procyclean BIO'!D499))))),""))</f>
        <v/>
      </c>
      <c r="AM498" t="str">
        <f t="shared" ca="1" si="64"/>
        <v/>
      </c>
    </row>
    <row r="499" spans="27:39" x14ac:dyDescent="0.3">
      <c r="AA499" t="str">
        <f>IF(COUNTA('Procyclean BIO'!A500,'Procyclean BIO'!B500,'Procyclean BIO'!C500)&gt;0,"BIO","")</f>
        <v/>
      </c>
      <c r="AB499" t="str">
        <f>IFERROR(IF(ISNUMBER('Procyclean BIO'!A500),'Procyclean BIO'!A500,DATEVALUE('Procyclean BIO'!A500)),"")</f>
        <v/>
      </c>
      <c r="AC499" t="str">
        <f>IF(AA499="","",'Procyclean BIO'!B500)</f>
        <v/>
      </c>
      <c r="AD499" t="str">
        <f>IF(AA499="","",IFERROR(1*'Procyclean BIO'!C500,IFERROR(_xludf.NUMBERVALUE('Procyclean BIO'!C500,".",","),IFERROR(_xludf.NUMBERVALUE('Procyclean BIO'!C500,",","."),0))))</f>
        <v/>
      </c>
      <c r="AE499" t="str">
        <f>IF(AA499="","",'Procyclean BIO'!J500)</f>
        <v/>
      </c>
      <c r="AF499">
        <f t="shared" si="59"/>
        <v>0</v>
      </c>
      <c r="AG499" t="str">
        <f t="shared" si="60"/>
        <v/>
      </c>
      <c r="AH499" t="str">
        <f t="shared" si="61"/>
        <v/>
      </c>
      <c r="AI499">
        <f t="shared" si="62"/>
        <v>0</v>
      </c>
      <c r="AJ499">
        <f t="shared" si="63"/>
        <v>0</v>
      </c>
      <c r="AK499">
        <v>0</v>
      </c>
      <c r="AL499" t="str">
        <f>IF(AA499="","",IFERROR(IF(ISNUMBER('Procyclean BIO'!D500),'Procyclean BIO'!D500,IF(ISNUMBER(SEARCH("12",'Procyclean BIO'!D500)),EDATE(AB499,12),IF(ISNUMBER(SEARCH("6",'Procyclean BIO'!D500)),EDATE(AB499,6),IF(ISNUMBER(SEARCH("3",'Procyclean BIO'!D500)),EDATE(AB499,3),DATEVALUE('Procyclean BIO'!D500))))),""))</f>
        <v/>
      </c>
      <c r="AM499" t="str">
        <f t="shared" ca="1" si="64"/>
        <v/>
      </c>
    </row>
    <row r="500" spans="27:39" x14ac:dyDescent="0.3">
      <c r="AA500" t="str">
        <f>IF(COUNTA('Procyclean BIO'!A501,'Procyclean BIO'!B501,'Procyclean BIO'!C501)&gt;0,"BIO","")</f>
        <v/>
      </c>
      <c r="AB500" t="str">
        <f>IFERROR(IF(ISNUMBER('Procyclean BIO'!A501),'Procyclean BIO'!A501,DATEVALUE('Procyclean BIO'!A501)),"")</f>
        <v/>
      </c>
      <c r="AC500" t="str">
        <f>IF(AA500="","",'Procyclean BIO'!B501)</f>
        <v/>
      </c>
      <c r="AD500" t="str">
        <f>IF(AA500="","",IFERROR(1*'Procyclean BIO'!C501,IFERROR(_xludf.NUMBERVALUE('Procyclean BIO'!C501,".",","),IFERROR(_xludf.NUMBERVALUE('Procyclean BIO'!C501,",","."),0))))</f>
        <v/>
      </c>
      <c r="AE500" t="str">
        <f>IF(AA500="","",'Procyclean BIO'!J501)</f>
        <v/>
      </c>
      <c r="AF500">
        <f t="shared" si="59"/>
        <v>0</v>
      </c>
      <c r="AG500" t="str">
        <f t="shared" si="60"/>
        <v/>
      </c>
      <c r="AH500" t="str">
        <f t="shared" si="61"/>
        <v/>
      </c>
      <c r="AI500">
        <f t="shared" si="62"/>
        <v>0</v>
      </c>
      <c r="AJ500">
        <f t="shared" si="63"/>
        <v>0</v>
      </c>
      <c r="AK500">
        <v>0</v>
      </c>
      <c r="AL500" t="str">
        <f>IF(AA500="","",IFERROR(IF(ISNUMBER('Procyclean BIO'!D501),'Procyclean BIO'!D501,IF(ISNUMBER(SEARCH("12",'Procyclean BIO'!D501)),EDATE(AB500,12),IF(ISNUMBER(SEARCH("6",'Procyclean BIO'!D501)),EDATE(AB500,6),IF(ISNUMBER(SEARCH("3",'Procyclean BIO'!D501)),EDATE(AB500,3),DATEVALUE('Procyclean BIO'!D501))))),""))</f>
        <v/>
      </c>
      <c r="AM500" t="str">
        <f t="shared" ca="1" si="64"/>
        <v/>
      </c>
    </row>
    <row r="501" spans="27:39" x14ac:dyDescent="0.3">
      <c r="AA501" t="str">
        <f>IF(COUNTA('Procyclean BIO'!A502,'Procyclean BIO'!B502,'Procyclean BIO'!C502)&gt;0,"BIO","")</f>
        <v/>
      </c>
      <c r="AB501" t="str">
        <f>IFERROR(IF(ISNUMBER('Procyclean BIO'!A502),'Procyclean BIO'!A502,DATEVALUE('Procyclean BIO'!A502)),"")</f>
        <v/>
      </c>
      <c r="AC501" t="str">
        <f>IF(AA501="","",'Procyclean BIO'!B502)</f>
        <v/>
      </c>
      <c r="AD501" t="str">
        <f>IF(AA501="","",IFERROR(1*'Procyclean BIO'!C502,IFERROR(_xludf.NUMBERVALUE('Procyclean BIO'!C502,".",","),IFERROR(_xludf.NUMBERVALUE('Procyclean BIO'!C502,",","."),0))))</f>
        <v/>
      </c>
      <c r="AE501" t="str">
        <f>IF(AA501="","",'Procyclean BIO'!J502)</f>
        <v/>
      </c>
      <c r="AF501">
        <f t="shared" si="59"/>
        <v>0</v>
      </c>
      <c r="AG501" t="str">
        <f t="shared" si="60"/>
        <v/>
      </c>
      <c r="AH501" t="str">
        <f t="shared" si="61"/>
        <v/>
      </c>
      <c r="AI501">
        <f t="shared" si="62"/>
        <v>0</v>
      </c>
      <c r="AJ501">
        <f t="shared" si="63"/>
        <v>0</v>
      </c>
      <c r="AK501">
        <v>0</v>
      </c>
      <c r="AL501" t="str">
        <f>IF(AA501="","",IFERROR(IF(ISNUMBER('Procyclean BIO'!D502),'Procyclean BIO'!D502,IF(ISNUMBER(SEARCH("12",'Procyclean BIO'!D502)),EDATE(AB501,12),IF(ISNUMBER(SEARCH("6",'Procyclean BIO'!D502)),EDATE(AB501,6),IF(ISNUMBER(SEARCH("3",'Procyclean BIO'!D502)),EDATE(AB501,3),DATEVALUE('Procyclean BIO'!D502))))),""))</f>
        <v/>
      </c>
      <c r="AM501" t="str">
        <f t="shared" ca="1" si="64"/>
        <v/>
      </c>
    </row>
    <row r="502" spans="27:39" x14ac:dyDescent="0.3">
      <c r="AA502" t="str">
        <f>IF(COUNTA('Procyclean MG'!A3,'Procyclean MG'!B3,'Procyclean MG'!C3)&gt;0,"MG","")</f>
        <v>MG</v>
      </c>
      <c r="AB502">
        <f>IFERROR(IF(ISNUMBER('Procyclean MG'!A3),'Procyclean MG'!A3,DATEVALUE('Procyclean MG'!A3)),"")</f>
        <v>44579</v>
      </c>
      <c r="AC502" t="str">
        <f>IF(AA502="","",'Procyclean MG'!B3)</f>
        <v>6167/22</v>
      </c>
      <c r="AD502">
        <f>IF(AA502="","",IFERROR(1*'Procyclean MG'!C3,IFERROR(_xludf.NUMBERVALUE('Procyclean MG'!C3,".",","),IFERROR(_xludf.NUMBERVALUE('Procyclean MG'!C3,",","."),0))))</f>
        <v>1500</v>
      </c>
      <c r="AE502" t="str">
        <f>IF(AA502="","",'Procyclean MG'!I3)</f>
        <v>APROVADO</v>
      </c>
      <c r="AF502">
        <f t="shared" si="59"/>
        <v>1</v>
      </c>
      <c r="AG502">
        <f t="shared" si="60"/>
        <v>2022</v>
      </c>
      <c r="AH502">
        <f t="shared" si="61"/>
        <v>1</v>
      </c>
      <c r="AI502">
        <f t="shared" si="62"/>
        <v>44579.000502000003</v>
      </c>
      <c r="AJ502">
        <f t="shared" si="63"/>
        <v>1</v>
      </c>
      <c r="AK502">
        <v>0</v>
      </c>
      <c r="AL502">
        <f>IF(AA502="","",IFERROR(IF(ISNUMBER('Procyclean MG'!D3),'Procyclean MG'!D3,IF(ISNUMBER(SEARCH("12",'Procyclean MG'!D3)),EDATE(AB502,12),IF(ISNUMBER(SEARCH("6",'Procyclean MG'!D3)),EDATE(AB502,6),IF(ISNUMBER(SEARCH("3",'Procyclean MG'!D3)),EDATE(AB502,3),DATEVALUE('Procyclean MG'!D3))))),""))</f>
        <v>44944</v>
      </c>
      <c r="AM502" t="str">
        <f t="shared" ca="1" si="64"/>
        <v/>
      </c>
    </row>
    <row r="503" spans="27:39" x14ac:dyDescent="0.3">
      <c r="AA503" t="str">
        <f>IF(COUNTA('Procyclean MG'!A4,'Procyclean MG'!B4,'Procyclean MG'!C4)&gt;0,"MG","")</f>
        <v/>
      </c>
      <c r="AB503" t="str">
        <f>IFERROR(IF(ISNUMBER('Procyclean MG'!A4),'Procyclean MG'!A4,DATEVALUE('Procyclean MG'!A4)),"")</f>
        <v/>
      </c>
      <c r="AC503" t="str">
        <f>IF(AA503="","",'Procyclean MG'!B4)</f>
        <v/>
      </c>
      <c r="AD503" t="str">
        <f>IF(AA503="","",IFERROR(1*'Procyclean MG'!C4,IFERROR(_xludf.NUMBERVALUE('Procyclean MG'!C4,".",","),IFERROR(_xludf.NUMBERVALUE('Procyclean MG'!C4,",","."),0))))</f>
        <v/>
      </c>
      <c r="AE503" t="str">
        <f>IF(AA503="","",'Procyclean MG'!I4)</f>
        <v/>
      </c>
      <c r="AF503">
        <f t="shared" si="59"/>
        <v>0</v>
      </c>
      <c r="AG503" t="str">
        <f t="shared" si="60"/>
        <v/>
      </c>
      <c r="AH503" t="str">
        <f t="shared" si="61"/>
        <v/>
      </c>
      <c r="AI503">
        <f t="shared" si="62"/>
        <v>0</v>
      </c>
      <c r="AJ503">
        <f t="shared" si="63"/>
        <v>0</v>
      </c>
      <c r="AK503">
        <v>0</v>
      </c>
      <c r="AL503" t="str">
        <f>IF(AA503="","",IFERROR(IF(ISNUMBER('Procyclean MG'!D4),'Procyclean MG'!D4,IF(ISNUMBER(SEARCH("12",'Procyclean MG'!D4)),EDATE(AB503,12),IF(ISNUMBER(SEARCH("6",'Procyclean MG'!D4)),EDATE(AB503,6),IF(ISNUMBER(SEARCH("3",'Procyclean MG'!D4)),EDATE(AB503,3),DATEVALUE('Procyclean MG'!D4))))),""))</f>
        <v/>
      </c>
      <c r="AM503" t="str">
        <f t="shared" ca="1" si="64"/>
        <v/>
      </c>
    </row>
    <row r="504" spans="27:39" x14ac:dyDescent="0.3">
      <c r="AA504" t="str">
        <f>IF(COUNTA('Procyclean MG'!A5,'Procyclean MG'!B5,'Procyclean MG'!C5)&gt;0,"MG","")</f>
        <v/>
      </c>
      <c r="AB504" t="str">
        <f>IFERROR(IF(ISNUMBER('Procyclean MG'!A5),'Procyclean MG'!A5,DATEVALUE('Procyclean MG'!A5)),"")</f>
        <v/>
      </c>
      <c r="AC504" t="str">
        <f>IF(AA504="","",'Procyclean MG'!B5)</f>
        <v/>
      </c>
      <c r="AD504" t="str">
        <f>IF(AA504="","",IFERROR(1*'Procyclean MG'!C5,IFERROR(_xludf.NUMBERVALUE('Procyclean MG'!C5,".",","),IFERROR(_xludf.NUMBERVALUE('Procyclean MG'!C5,",","."),0))))</f>
        <v/>
      </c>
      <c r="AE504" t="str">
        <f>IF(AA504="","",'Procyclean MG'!I5)</f>
        <v/>
      </c>
      <c r="AF504">
        <f t="shared" si="59"/>
        <v>0</v>
      </c>
      <c r="AG504" t="str">
        <f t="shared" si="60"/>
        <v/>
      </c>
      <c r="AH504" t="str">
        <f t="shared" si="61"/>
        <v/>
      </c>
      <c r="AI504">
        <f t="shared" si="62"/>
        <v>0</v>
      </c>
      <c r="AJ504">
        <f t="shared" si="63"/>
        <v>0</v>
      </c>
      <c r="AK504">
        <v>0</v>
      </c>
      <c r="AL504" t="str">
        <f>IF(AA504="","",IFERROR(IF(ISNUMBER('Procyclean MG'!D5),'Procyclean MG'!D5,IF(ISNUMBER(SEARCH("12",'Procyclean MG'!D5)),EDATE(AB504,12),IF(ISNUMBER(SEARCH("6",'Procyclean MG'!D5)),EDATE(AB504,6),IF(ISNUMBER(SEARCH("3",'Procyclean MG'!D5)),EDATE(AB504,3),DATEVALUE('Procyclean MG'!D5))))),""))</f>
        <v/>
      </c>
      <c r="AM504" t="str">
        <f t="shared" ca="1" si="64"/>
        <v/>
      </c>
    </row>
    <row r="505" spans="27:39" x14ac:dyDescent="0.3">
      <c r="AA505" t="str">
        <f>IF(COUNTA('Procyclean MG'!A6,'Procyclean MG'!B6,'Procyclean MG'!C6)&gt;0,"MG","")</f>
        <v/>
      </c>
      <c r="AB505" t="str">
        <f>IFERROR(IF(ISNUMBER('Procyclean MG'!A6),'Procyclean MG'!A6,DATEVALUE('Procyclean MG'!A6)),"")</f>
        <v/>
      </c>
      <c r="AC505" t="str">
        <f>IF(AA505="","",'Procyclean MG'!B6)</f>
        <v/>
      </c>
      <c r="AD505" t="str">
        <f>IF(AA505="","",IFERROR(1*'Procyclean MG'!C6,IFERROR(_xludf.NUMBERVALUE('Procyclean MG'!C6,".",","),IFERROR(_xludf.NUMBERVALUE('Procyclean MG'!C6,",","."),0))))</f>
        <v/>
      </c>
      <c r="AE505" t="str">
        <f>IF(AA505="","",'Procyclean MG'!I6)</f>
        <v/>
      </c>
      <c r="AF505">
        <f t="shared" si="59"/>
        <v>0</v>
      </c>
      <c r="AG505" t="str">
        <f t="shared" si="60"/>
        <v/>
      </c>
      <c r="AH505" t="str">
        <f t="shared" si="61"/>
        <v/>
      </c>
      <c r="AI505">
        <f t="shared" si="62"/>
        <v>0</v>
      </c>
      <c r="AJ505">
        <f t="shared" si="63"/>
        <v>0</v>
      </c>
      <c r="AK505">
        <v>0</v>
      </c>
      <c r="AL505" t="str">
        <f>IF(AA505="","",IFERROR(IF(ISNUMBER('Procyclean MG'!D6),'Procyclean MG'!D6,IF(ISNUMBER(SEARCH("12",'Procyclean MG'!D6)),EDATE(AB505,12),IF(ISNUMBER(SEARCH("6",'Procyclean MG'!D6)),EDATE(AB505,6),IF(ISNUMBER(SEARCH("3",'Procyclean MG'!D6)),EDATE(AB505,3),DATEVALUE('Procyclean MG'!D6))))),""))</f>
        <v/>
      </c>
      <c r="AM505" t="str">
        <f t="shared" ca="1" si="64"/>
        <v/>
      </c>
    </row>
    <row r="506" spans="27:39" x14ac:dyDescent="0.3">
      <c r="AA506" t="str">
        <f>IF(COUNTA('Procyclean MG'!A7,'Procyclean MG'!B7,'Procyclean MG'!C7)&gt;0,"MG","")</f>
        <v/>
      </c>
      <c r="AB506" t="str">
        <f>IFERROR(IF(ISNUMBER('Procyclean MG'!A7),'Procyclean MG'!A7,DATEVALUE('Procyclean MG'!A7)),"")</f>
        <v/>
      </c>
      <c r="AC506" t="str">
        <f>IF(AA506="","",'Procyclean MG'!B7)</f>
        <v/>
      </c>
      <c r="AD506" t="str">
        <f>IF(AA506="","",IFERROR(1*'Procyclean MG'!C7,IFERROR(_xludf.NUMBERVALUE('Procyclean MG'!C7,".",","),IFERROR(_xludf.NUMBERVALUE('Procyclean MG'!C7,",","."),0))))</f>
        <v/>
      </c>
      <c r="AE506" t="str">
        <f>IF(AA506="","",'Procyclean MG'!I7)</f>
        <v/>
      </c>
      <c r="AF506">
        <f t="shared" si="59"/>
        <v>0</v>
      </c>
      <c r="AG506" t="str">
        <f t="shared" si="60"/>
        <v/>
      </c>
      <c r="AH506" t="str">
        <f t="shared" si="61"/>
        <v/>
      </c>
      <c r="AI506">
        <f t="shared" si="62"/>
        <v>0</v>
      </c>
      <c r="AJ506">
        <f t="shared" si="63"/>
        <v>0</v>
      </c>
      <c r="AK506">
        <v>0</v>
      </c>
      <c r="AL506" t="str">
        <f>IF(AA506="","",IFERROR(IF(ISNUMBER('Procyclean MG'!D7),'Procyclean MG'!D7,IF(ISNUMBER(SEARCH("12",'Procyclean MG'!D7)),EDATE(AB506,12),IF(ISNUMBER(SEARCH("6",'Procyclean MG'!D7)),EDATE(AB506,6),IF(ISNUMBER(SEARCH("3",'Procyclean MG'!D7)),EDATE(AB506,3),DATEVALUE('Procyclean MG'!D7))))),""))</f>
        <v/>
      </c>
      <c r="AM506" t="str">
        <f t="shared" ca="1" si="64"/>
        <v/>
      </c>
    </row>
    <row r="507" spans="27:39" x14ac:dyDescent="0.3">
      <c r="AA507" t="str">
        <f>IF(COUNTA('Procyclean MG'!A8,'Procyclean MG'!B8,'Procyclean MG'!C8)&gt;0,"MG","")</f>
        <v/>
      </c>
      <c r="AB507" t="str">
        <f>IFERROR(IF(ISNUMBER('Procyclean MG'!A8),'Procyclean MG'!A8,DATEVALUE('Procyclean MG'!A8)),"")</f>
        <v/>
      </c>
      <c r="AC507" t="str">
        <f>IF(AA507="","",'Procyclean MG'!B8)</f>
        <v/>
      </c>
      <c r="AD507" t="str">
        <f>IF(AA507="","",IFERROR(1*'Procyclean MG'!C8,IFERROR(_xludf.NUMBERVALUE('Procyclean MG'!C8,".",","),IFERROR(_xludf.NUMBERVALUE('Procyclean MG'!C8,",","."),0))))</f>
        <v/>
      </c>
      <c r="AE507" t="str">
        <f>IF(AA507="","",'Procyclean MG'!I8)</f>
        <v/>
      </c>
      <c r="AF507">
        <f t="shared" si="59"/>
        <v>0</v>
      </c>
      <c r="AG507" t="str">
        <f t="shared" si="60"/>
        <v/>
      </c>
      <c r="AH507" t="str">
        <f t="shared" si="61"/>
        <v/>
      </c>
      <c r="AI507">
        <f t="shared" si="62"/>
        <v>0</v>
      </c>
      <c r="AJ507">
        <f t="shared" si="63"/>
        <v>0</v>
      </c>
      <c r="AK507">
        <v>0</v>
      </c>
      <c r="AL507" t="str">
        <f>IF(AA507="","",IFERROR(IF(ISNUMBER('Procyclean MG'!D8),'Procyclean MG'!D8,IF(ISNUMBER(SEARCH("12",'Procyclean MG'!D8)),EDATE(AB507,12),IF(ISNUMBER(SEARCH("6",'Procyclean MG'!D8)),EDATE(AB507,6),IF(ISNUMBER(SEARCH("3",'Procyclean MG'!D8)),EDATE(AB507,3),DATEVALUE('Procyclean MG'!D8))))),""))</f>
        <v/>
      </c>
      <c r="AM507" t="str">
        <f t="shared" ca="1" si="64"/>
        <v/>
      </c>
    </row>
    <row r="508" spans="27:39" x14ac:dyDescent="0.3">
      <c r="AA508" t="str">
        <f>IF(COUNTA('Procyclean MG'!A9,'Procyclean MG'!B9,'Procyclean MG'!C9)&gt;0,"MG","")</f>
        <v/>
      </c>
      <c r="AB508" t="str">
        <f>IFERROR(IF(ISNUMBER('Procyclean MG'!A9),'Procyclean MG'!A9,DATEVALUE('Procyclean MG'!A9)),"")</f>
        <v/>
      </c>
      <c r="AC508" t="str">
        <f>IF(AA508="","",'Procyclean MG'!B9)</f>
        <v/>
      </c>
      <c r="AD508" t="str">
        <f>IF(AA508="","",IFERROR(1*'Procyclean MG'!C9,IFERROR(_xludf.NUMBERVALUE('Procyclean MG'!C9,".",","),IFERROR(_xludf.NUMBERVALUE('Procyclean MG'!C9,",","."),0))))</f>
        <v/>
      </c>
      <c r="AE508" t="str">
        <f>IF(AA508="","",'Procyclean MG'!I9)</f>
        <v/>
      </c>
      <c r="AF508">
        <f t="shared" si="59"/>
        <v>0</v>
      </c>
      <c r="AG508" t="str">
        <f t="shared" si="60"/>
        <v/>
      </c>
      <c r="AH508" t="str">
        <f t="shared" si="61"/>
        <v/>
      </c>
      <c r="AI508">
        <f t="shared" si="62"/>
        <v>0</v>
      </c>
      <c r="AJ508">
        <f t="shared" si="63"/>
        <v>0</v>
      </c>
      <c r="AK508">
        <v>0</v>
      </c>
      <c r="AL508" t="str">
        <f>IF(AA508="","",IFERROR(IF(ISNUMBER('Procyclean MG'!D9),'Procyclean MG'!D9,IF(ISNUMBER(SEARCH("12",'Procyclean MG'!D9)),EDATE(AB508,12),IF(ISNUMBER(SEARCH("6",'Procyclean MG'!D9)),EDATE(AB508,6),IF(ISNUMBER(SEARCH("3",'Procyclean MG'!D9)),EDATE(AB508,3),DATEVALUE('Procyclean MG'!D9))))),""))</f>
        <v/>
      </c>
      <c r="AM508" t="str">
        <f t="shared" ca="1" si="64"/>
        <v/>
      </c>
    </row>
    <row r="509" spans="27:39" x14ac:dyDescent="0.3">
      <c r="AA509" t="str">
        <f>IF(COUNTA('Procyclean MG'!A10,'Procyclean MG'!B10,'Procyclean MG'!C10)&gt;0,"MG","")</f>
        <v/>
      </c>
      <c r="AB509" t="str">
        <f>IFERROR(IF(ISNUMBER('Procyclean MG'!A10),'Procyclean MG'!A10,DATEVALUE('Procyclean MG'!A10)),"")</f>
        <v/>
      </c>
      <c r="AC509" t="str">
        <f>IF(AA509="","",'Procyclean MG'!B10)</f>
        <v/>
      </c>
      <c r="AD509" t="str">
        <f>IF(AA509="","",IFERROR(1*'Procyclean MG'!C10,IFERROR(_xludf.NUMBERVALUE('Procyclean MG'!C10,".",","),IFERROR(_xludf.NUMBERVALUE('Procyclean MG'!C10,",","."),0))))</f>
        <v/>
      </c>
      <c r="AE509" t="str">
        <f>IF(AA509="","",'Procyclean MG'!I10)</f>
        <v/>
      </c>
      <c r="AF509">
        <f t="shared" si="59"/>
        <v>0</v>
      </c>
      <c r="AG509" t="str">
        <f t="shared" si="60"/>
        <v/>
      </c>
      <c r="AH509" t="str">
        <f t="shared" si="61"/>
        <v/>
      </c>
      <c r="AI509">
        <f t="shared" si="62"/>
        <v>0</v>
      </c>
      <c r="AJ509">
        <f t="shared" si="63"/>
        <v>0</v>
      </c>
      <c r="AK509">
        <v>0</v>
      </c>
      <c r="AL509" t="str">
        <f>IF(AA509="","",IFERROR(IF(ISNUMBER('Procyclean MG'!D10),'Procyclean MG'!D10,IF(ISNUMBER(SEARCH("12",'Procyclean MG'!D10)),EDATE(AB509,12),IF(ISNUMBER(SEARCH("6",'Procyclean MG'!D10)),EDATE(AB509,6),IF(ISNUMBER(SEARCH("3",'Procyclean MG'!D10)),EDATE(AB509,3),DATEVALUE('Procyclean MG'!D10))))),""))</f>
        <v/>
      </c>
      <c r="AM509" t="str">
        <f t="shared" ca="1" si="64"/>
        <v/>
      </c>
    </row>
    <row r="510" spans="27:39" x14ac:dyDescent="0.3">
      <c r="AA510" t="str">
        <f>IF(COUNTA('Procyclean MG'!A11,'Procyclean MG'!B11,'Procyclean MG'!C11)&gt;0,"MG","")</f>
        <v/>
      </c>
      <c r="AB510" t="str">
        <f>IFERROR(IF(ISNUMBER('Procyclean MG'!A11),'Procyclean MG'!A11,DATEVALUE('Procyclean MG'!A11)),"")</f>
        <v/>
      </c>
      <c r="AC510" t="str">
        <f>IF(AA510="","",'Procyclean MG'!B11)</f>
        <v/>
      </c>
      <c r="AD510" t="str">
        <f>IF(AA510="","",IFERROR(1*'Procyclean MG'!C11,IFERROR(_xludf.NUMBERVALUE('Procyclean MG'!C11,".",","),IFERROR(_xludf.NUMBERVALUE('Procyclean MG'!C11,",","."),0))))</f>
        <v/>
      </c>
      <c r="AE510" t="str">
        <f>IF(AA510="","",'Procyclean MG'!I11)</f>
        <v/>
      </c>
      <c r="AF510">
        <f t="shared" si="59"/>
        <v>0</v>
      </c>
      <c r="AG510" t="str">
        <f t="shared" si="60"/>
        <v/>
      </c>
      <c r="AH510" t="str">
        <f t="shared" si="61"/>
        <v/>
      </c>
      <c r="AI510">
        <f t="shared" si="62"/>
        <v>0</v>
      </c>
      <c r="AJ510">
        <f t="shared" si="63"/>
        <v>0</v>
      </c>
      <c r="AK510">
        <v>0</v>
      </c>
      <c r="AL510" t="str">
        <f>IF(AA510="","",IFERROR(IF(ISNUMBER('Procyclean MG'!D11),'Procyclean MG'!D11,IF(ISNUMBER(SEARCH("12",'Procyclean MG'!D11)),EDATE(AB510,12),IF(ISNUMBER(SEARCH("6",'Procyclean MG'!D11)),EDATE(AB510,6),IF(ISNUMBER(SEARCH("3",'Procyclean MG'!D11)),EDATE(AB510,3),DATEVALUE('Procyclean MG'!D11))))),""))</f>
        <v/>
      </c>
      <c r="AM510" t="str">
        <f t="shared" ca="1" si="64"/>
        <v/>
      </c>
    </row>
    <row r="511" spans="27:39" x14ac:dyDescent="0.3">
      <c r="AA511" t="str">
        <f>IF(COUNTA('Procyclean MG'!A12,'Procyclean MG'!B12,'Procyclean MG'!C12)&gt;0,"MG","")</f>
        <v/>
      </c>
      <c r="AB511" t="str">
        <f>IFERROR(IF(ISNUMBER('Procyclean MG'!A12),'Procyclean MG'!A12,DATEVALUE('Procyclean MG'!A12)),"")</f>
        <v/>
      </c>
      <c r="AC511" t="str">
        <f>IF(AA511="","",'Procyclean MG'!B12)</f>
        <v/>
      </c>
      <c r="AD511" t="str">
        <f>IF(AA511="","",IFERROR(1*'Procyclean MG'!C12,IFERROR(_xludf.NUMBERVALUE('Procyclean MG'!C12,".",","),IFERROR(_xludf.NUMBERVALUE('Procyclean MG'!C12,",","."),0))))</f>
        <v/>
      </c>
      <c r="AE511" t="str">
        <f>IF(AA511="","",'Procyclean MG'!I12)</f>
        <v/>
      </c>
      <c r="AF511">
        <f t="shared" si="59"/>
        <v>0</v>
      </c>
      <c r="AG511" t="str">
        <f t="shared" si="60"/>
        <v/>
      </c>
      <c r="AH511" t="str">
        <f t="shared" si="61"/>
        <v/>
      </c>
      <c r="AI511">
        <f t="shared" si="62"/>
        <v>0</v>
      </c>
      <c r="AJ511">
        <f t="shared" si="63"/>
        <v>0</v>
      </c>
      <c r="AK511">
        <v>0</v>
      </c>
      <c r="AL511" t="str">
        <f>IF(AA511="","",IFERROR(IF(ISNUMBER('Procyclean MG'!D12),'Procyclean MG'!D12,IF(ISNUMBER(SEARCH("12",'Procyclean MG'!D12)),EDATE(AB511,12),IF(ISNUMBER(SEARCH("6",'Procyclean MG'!D12)),EDATE(AB511,6),IF(ISNUMBER(SEARCH("3",'Procyclean MG'!D12)),EDATE(AB511,3),DATEVALUE('Procyclean MG'!D12))))),""))</f>
        <v/>
      </c>
      <c r="AM511" t="str">
        <f t="shared" ca="1" si="64"/>
        <v/>
      </c>
    </row>
    <row r="512" spans="27:39" x14ac:dyDescent="0.3">
      <c r="AA512" t="str">
        <f>IF(COUNTA('Procyclean MG'!A13,'Procyclean MG'!B13,'Procyclean MG'!C13)&gt;0,"MG","")</f>
        <v/>
      </c>
      <c r="AB512" t="str">
        <f>IFERROR(IF(ISNUMBER('Procyclean MG'!A13),'Procyclean MG'!A13,DATEVALUE('Procyclean MG'!A13)),"")</f>
        <v/>
      </c>
      <c r="AC512" t="str">
        <f>IF(AA512="","",'Procyclean MG'!B13)</f>
        <v/>
      </c>
      <c r="AD512" t="str">
        <f>IF(AA512="","",IFERROR(1*'Procyclean MG'!C13,IFERROR(_xludf.NUMBERVALUE('Procyclean MG'!C13,".",","),IFERROR(_xludf.NUMBERVALUE('Procyclean MG'!C13,",","."),0))))</f>
        <v/>
      </c>
      <c r="AE512" t="str">
        <f>IF(AA512="","",'Procyclean MG'!I13)</f>
        <v/>
      </c>
      <c r="AF512">
        <f t="shared" si="59"/>
        <v>0</v>
      </c>
      <c r="AG512" t="str">
        <f t="shared" si="60"/>
        <v/>
      </c>
      <c r="AH512" t="str">
        <f t="shared" si="61"/>
        <v/>
      </c>
      <c r="AI512">
        <f t="shared" si="62"/>
        <v>0</v>
      </c>
      <c r="AJ512">
        <f t="shared" si="63"/>
        <v>0</v>
      </c>
      <c r="AK512">
        <v>0</v>
      </c>
      <c r="AL512" t="str">
        <f>IF(AA512="","",IFERROR(IF(ISNUMBER('Procyclean MG'!D13),'Procyclean MG'!D13,IF(ISNUMBER(SEARCH("12",'Procyclean MG'!D13)),EDATE(AB512,12),IF(ISNUMBER(SEARCH("6",'Procyclean MG'!D13)),EDATE(AB512,6),IF(ISNUMBER(SEARCH("3",'Procyclean MG'!D13)),EDATE(AB512,3),DATEVALUE('Procyclean MG'!D13))))),""))</f>
        <v/>
      </c>
      <c r="AM512" t="str">
        <f t="shared" ca="1" si="64"/>
        <v/>
      </c>
    </row>
    <row r="513" spans="27:39" x14ac:dyDescent="0.3">
      <c r="AA513" t="str">
        <f>IF(COUNTA('Procyclean MG'!A14,'Procyclean MG'!B14,'Procyclean MG'!C14)&gt;0,"MG","")</f>
        <v/>
      </c>
      <c r="AB513" t="str">
        <f>IFERROR(IF(ISNUMBER('Procyclean MG'!A14),'Procyclean MG'!A14,DATEVALUE('Procyclean MG'!A14)),"")</f>
        <v/>
      </c>
      <c r="AC513" t="str">
        <f>IF(AA513="","",'Procyclean MG'!B14)</f>
        <v/>
      </c>
      <c r="AD513" t="str">
        <f>IF(AA513="","",IFERROR(1*'Procyclean MG'!C14,IFERROR(_xludf.NUMBERVALUE('Procyclean MG'!C14,".",","),IFERROR(_xludf.NUMBERVALUE('Procyclean MG'!C14,",","."),0))))</f>
        <v/>
      </c>
      <c r="AE513" t="str">
        <f>IF(AA513="","",'Procyclean MG'!I14)</f>
        <v/>
      </c>
      <c r="AF513">
        <f t="shared" si="59"/>
        <v>0</v>
      </c>
      <c r="AG513" t="str">
        <f t="shared" si="60"/>
        <v/>
      </c>
      <c r="AH513" t="str">
        <f t="shared" si="61"/>
        <v/>
      </c>
      <c r="AI513">
        <f t="shared" si="62"/>
        <v>0</v>
      </c>
      <c r="AJ513">
        <f t="shared" si="63"/>
        <v>0</v>
      </c>
      <c r="AK513">
        <v>0</v>
      </c>
      <c r="AL513" t="str">
        <f>IF(AA513="","",IFERROR(IF(ISNUMBER('Procyclean MG'!D14),'Procyclean MG'!D14,IF(ISNUMBER(SEARCH("12",'Procyclean MG'!D14)),EDATE(AB513,12),IF(ISNUMBER(SEARCH("6",'Procyclean MG'!D14)),EDATE(AB513,6),IF(ISNUMBER(SEARCH("3",'Procyclean MG'!D14)),EDATE(AB513,3),DATEVALUE('Procyclean MG'!D14))))),""))</f>
        <v/>
      </c>
      <c r="AM513" t="str">
        <f t="shared" ca="1" si="64"/>
        <v/>
      </c>
    </row>
    <row r="514" spans="27:39" x14ac:dyDescent="0.3">
      <c r="AA514" t="str">
        <f>IF(COUNTA('Procyclean MG'!A15,'Procyclean MG'!B15,'Procyclean MG'!C15)&gt;0,"MG","")</f>
        <v/>
      </c>
      <c r="AB514" t="str">
        <f>IFERROR(IF(ISNUMBER('Procyclean MG'!A15),'Procyclean MG'!A15,DATEVALUE('Procyclean MG'!A15)),"")</f>
        <v/>
      </c>
      <c r="AC514" t="str">
        <f>IF(AA514="","",'Procyclean MG'!B15)</f>
        <v/>
      </c>
      <c r="AD514" t="str">
        <f>IF(AA514="","",IFERROR(1*'Procyclean MG'!C15,IFERROR(_xludf.NUMBERVALUE('Procyclean MG'!C15,".",","),IFERROR(_xludf.NUMBERVALUE('Procyclean MG'!C15,",","."),0))))</f>
        <v/>
      </c>
      <c r="AE514" t="str">
        <f>IF(AA514="","",'Procyclean MG'!I15)</f>
        <v/>
      </c>
      <c r="AF514">
        <f t="shared" ref="AF514:AF577" si="65">IF(AA514="",0,--AND(ISNUMBER(SEARCH("aprov",AE514)),NOT(ISNUMBER(SEARCH("reprov",AE514)))))</f>
        <v>0</v>
      </c>
      <c r="AG514" t="str">
        <f t="shared" ref="AG514:AG577" si="66">IF(AB514="","",YEAR(AB514))</f>
        <v/>
      </c>
      <c r="AH514" t="str">
        <f t="shared" ref="AH514:AH577" si="67">IF(AB514="","",MONTH(AB514))</f>
        <v/>
      </c>
      <c r="AI514">
        <f t="shared" ref="AI514:AI577" si="68">IF(AB514="",0,AB514+ROW()/1000000)</f>
        <v>0</v>
      </c>
      <c r="AJ514">
        <f t="shared" ref="AJ514:AJ577" si="69">--(AA514&lt;&gt;"")</f>
        <v>0</v>
      </c>
      <c r="AK514">
        <v>0</v>
      </c>
      <c r="AL514" t="str">
        <f>IF(AA514="","",IFERROR(IF(ISNUMBER('Procyclean MG'!D15),'Procyclean MG'!D15,IF(ISNUMBER(SEARCH("12",'Procyclean MG'!D15)),EDATE(AB514,12),IF(ISNUMBER(SEARCH("6",'Procyclean MG'!D15)),EDATE(AB514,6),IF(ISNUMBER(SEARCH("3",'Procyclean MG'!D15)),EDATE(AB514,3),DATEVALUE('Procyclean MG'!D15))))),""))</f>
        <v/>
      </c>
      <c r="AM514" t="str">
        <f t="shared" ref="AM514:AM577" ca="1" si="70">IF(AND(AJ514=1,AL514&lt;&gt;"",AL514&gt;=TODAY(),AG514=$W$3),AL514+ROW()/1000000,"")</f>
        <v/>
      </c>
    </row>
    <row r="515" spans="27:39" x14ac:dyDescent="0.3">
      <c r="AA515" t="str">
        <f>IF(COUNTA('Procyclean MG'!A16,'Procyclean MG'!B16,'Procyclean MG'!C16)&gt;0,"MG","")</f>
        <v/>
      </c>
      <c r="AB515" t="str">
        <f>IFERROR(IF(ISNUMBER('Procyclean MG'!A16),'Procyclean MG'!A16,DATEVALUE('Procyclean MG'!A16)),"")</f>
        <v/>
      </c>
      <c r="AC515" t="str">
        <f>IF(AA515="","",'Procyclean MG'!B16)</f>
        <v/>
      </c>
      <c r="AD515" t="str">
        <f>IF(AA515="","",IFERROR(1*'Procyclean MG'!C16,IFERROR(_xludf.NUMBERVALUE('Procyclean MG'!C16,".",","),IFERROR(_xludf.NUMBERVALUE('Procyclean MG'!C16,",","."),0))))</f>
        <v/>
      </c>
      <c r="AE515" t="str">
        <f>IF(AA515="","",'Procyclean MG'!I16)</f>
        <v/>
      </c>
      <c r="AF515">
        <f t="shared" si="65"/>
        <v>0</v>
      </c>
      <c r="AG515" t="str">
        <f t="shared" si="66"/>
        <v/>
      </c>
      <c r="AH515" t="str">
        <f t="shared" si="67"/>
        <v/>
      </c>
      <c r="AI515">
        <f t="shared" si="68"/>
        <v>0</v>
      </c>
      <c r="AJ515">
        <f t="shared" si="69"/>
        <v>0</v>
      </c>
      <c r="AK515">
        <v>0</v>
      </c>
      <c r="AL515" t="str">
        <f>IF(AA515="","",IFERROR(IF(ISNUMBER('Procyclean MG'!D16),'Procyclean MG'!D16,IF(ISNUMBER(SEARCH("12",'Procyclean MG'!D16)),EDATE(AB515,12),IF(ISNUMBER(SEARCH("6",'Procyclean MG'!D16)),EDATE(AB515,6),IF(ISNUMBER(SEARCH("3",'Procyclean MG'!D16)),EDATE(AB515,3),DATEVALUE('Procyclean MG'!D16))))),""))</f>
        <v/>
      </c>
      <c r="AM515" t="str">
        <f t="shared" ca="1" si="70"/>
        <v/>
      </c>
    </row>
    <row r="516" spans="27:39" x14ac:dyDescent="0.3">
      <c r="AA516" t="str">
        <f>IF(COUNTA('Procyclean MG'!A17,'Procyclean MG'!B17,'Procyclean MG'!C17)&gt;0,"MG","")</f>
        <v/>
      </c>
      <c r="AB516" t="str">
        <f>IFERROR(IF(ISNUMBER('Procyclean MG'!A17),'Procyclean MG'!A17,DATEVALUE('Procyclean MG'!A17)),"")</f>
        <v/>
      </c>
      <c r="AC516" t="str">
        <f>IF(AA516="","",'Procyclean MG'!B17)</f>
        <v/>
      </c>
      <c r="AD516" t="str">
        <f>IF(AA516="","",IFERROR(1*'Procyclean MG'!C17,IFERROR(_xludf.NUMBERVALUE('Procyclean MG'!C17,".",","),IFERROR(_xludf.NUMBERVALUE('Procyclean MG'!C17,",","."),0))))</f>
        <v/>
      </c>
      <c r="AE516" t="str">
        <f>IF(AA516="","",'Procyclean MG'!I17)</f>
        <v/>
      </c>
      <c r="AF516">
        <f t="shared" si="65"/>
        <v>0</v>
      </c>
      <c r="AG516" t="str">
        <f t="shared" si="66"/>
        <v/>
      </c>
      <c r="AH516" t="str">
        <f t="shared" si="67"/>
        <v/>
      </c>
      <c r="AI516">
        <f t="shared" si="68"/>
        <v>0</v>
      </c>
      <c r="AJ516">
        <f t="shared" si="69"/>
        <v>0</v>
      </c>
      <c r="AK516">
        <v>0</v>
      </c>
      <c r="AL516" t="str">
        <f>IF(AA516="","",IFERROR(IF(ISNUMBER('Procyclean MG'!D17),'Procyclean MG'!D17,IF(ISNUMBER(SEARCH("12",'Procyclean MG'!D17)),EDATE(AB516,12),IF(ISNUMBER(SEARCH("6",'Procyclean MG'!D17)),EDATE(AB516,6),IF(ISNUMBER(SEARCH("3",'Procyclean MG'!D17)),EDATE(AB516,3),DATEVALUE('Procyclean MG'!D17))))),""))</f>
        <v/>
      </c>
      <c r="AM516" t="str">
        <f t="shared" ca="1" si="70"/>
        <v/>
      </c>
    </row>
    <row r="517" spans="27:39" x14ac:dyDescent="0.3">
      <c r="AA517" t="str">
        <f>IF(COUNTA('Procyclean MG'!A18,'Procyclean MG'!B18,'Procyclean MG'!C18)&gt;0,"MG","")</f>
        <v/>
      </c>
      <c r="AB517" t="str">
        <f>IFERROR(IF(ISNUMBER('Procyclean MG'!A18),'Procyclean MG'!A18,DATEVALUE('Procyclean MG'!A18)),"")</f>
        <v/>
      </c>
      <c r="AC517" t="str">
        <f>IF(AA517="","",'Procyclean MG'!B18)</f>
        <v/>
      </c>
      <c r="AD517" t="str">
        <f>IF(AA517="","",IFERROR(1*'Procyclean MG'!C18,IFERROR(_xludf.NUMBERVALUE('Procyclean MG'!C18,".",","),IFERROR(_xludf.NUMBERVALUE('Procyclean MG'!C18,",","."),0))))</f>
        <v/>
      </c>
      <c r="AE517" t="str">
        <f>IF(AA517="","",'Procyclean MG'!I18)</f>
        <v/>
      </c>
      <c r="AF517">
        <f t="shared" si="65"/>
        <v>0</v>
      </c>
      <c r="AG517" t="str">
        <f t="shared" si="66"/>
        <v/>
      </c>
      <c r="AH517" t="str">
        <f t="shared" si="67"/>
        <v/>
      </c>
      <c r="AI517">
        <f t="shared" si="68"/>
        <v>0</v>
      </c>
      <c r="AJ517">
        <f t="shared" si="69"/>
        <v>0</v>
      </c>
      <c r="AK517">
        <v>0</v>
      </c>
      <c r="AL517" t="str">
        <f>IF(AA517="","",IFERROR(IF(ISNUMBER('Procyclean MG'!D18),'Procyclean MG'!D18,IF(ISNUMBER(SEARCH("12",'Procyclean MG'!D18)),EDATE(AB517,12),IF(ISNUMBER(SEARCH("6",'Procyclean MG'!D18)),EDATE(AB517,6),IF(ISNUMBER(SEARCH("3",'Procyclean MG'!D18)),EDATE(AB517,3),DATEVALUE('Procyclean MG'!D18))))),""))</f>
        <v/>
      </c>
      <c r="AM517" t="str">
        <f t="shared" ca="1" si="70"/>
        <v/>
      </c>
    </row>
    <row r="518" spans="27:39" x14ac:dyDescent="0.3">
      <c r="AA518" t="str">
        <f>IF(COUNTA('Procyclean MG'!A19,'Procyclean MG'!B19,'Procyclean MG'!C19)&gt;0,"MG","")</f>
        <v/>
      </c>
      <c r="AB518" t="str">
        <f>IFERROR(IF(ISNUMBER('Procyclean MG'!A19),'Procyclean MG'!A19,DATEVALUE('Procyclean MG'!A19)),"")</f>
        <v/>
      </c>
      <c r="AC518" t="str">
        <f>IF(AA518="","",'Procyclean MG'!B19)</f>
        <v/>
      </c>
      <c r="AD518" t="str">
        <f>IF(AA518="","",IFERROR(1*'Procyclean MG'!C19,IFERROR(_xludf.NUMBERVALUE('Procyclean MG'!C19,".",","),IFERROR(_xludf.NUMBERVALUE('Procyclean MG'!C19,",","."),0))))</f>
        <v/>
      </c>
      <c r="AE518" t="str">
        <f>IF(AA518="","",'Procyclean MG'!I19)</f>
        <v/>
      </c>
      <c r="AF518">
        <f t="shared" si="65"/>
        <v>0</v>
      </c>
      <c r="AG518" t="str">
        <f t="shared" si="66"/>
        <v/>
      </c>
      <c r="AH518" t="str">
        <f t="shared" si="67"/>
        <v/>
      </c>
      <c r="AI518">
        <f t="shared" si="68"/>
        <v>0</v>
      </c>
      <c r="AJ518">
        <f t="shared" si="69"/>
        <v>0</v>
      </c>
      <c r="AK518">
        <v>0</v>
      </c>
      <c r="AL518" t="str">
        <f>IF(AA518="","",IFERROR(IF(ISNUMBER('Procyclean MG'!D19),'Procyclean MG'!D19,IF(ISNUMBER(SEARCH("12",'Procyclean MG'!D19)),EDATE(AB518,12),IF(ISNUMBER(SEARCH("6",'Procyclean MG'!D19)),EDATE(AB518,6),IF(ISNUMBER(SEARCH("3",'Procyclean MG'!D19)),EDATE(AB518,3),DATEVALUE('Procyclean MG'!D19))))),""))</f>
        <v/>
      </c>
      <c r="AM518" t="str">
        <f t="shared" ca="1" si="70"/>
        <v/>
      </c>
    </row>
    <row r="519" spans="27:39" x14ac:dyDescent="0.3">
      <c r="AA519" t="str">
        <f>IF(COUNTA('Procyclean MG'!A20,'Procyclean MG'!B20,'Procyclean MG'!C20)&gt;0,"MG","")</f>
        <v/>
      </c>
      <c r="AB519" t="str">
        <f>IFERROR(IF(ISNUMBER('Procyclean MG'!A20),'Procyclean MG'!A20,DATEVALUE('Procyclean MG'!A20)),"")</f>
        <v/>
      </c>
      <c r="AC519" t="str">
        <f>IF(AA519="","",'Procyclean MG'!B20)</f>
        <v/>
      </c>
      <c r="AD519" t="str">
        <f>IF(AA519="","",IFERROR(1*'Procyclean MG'!C20,IFERROR(_xludf.NUMBERVALUE('Procyclean MG'!C20,".",","),IFERROR(_xludf.NUMBERVALUE('Procyclean MG'!C20,",","."),0))))</f>
        <v/>
      </c>
      <c r="AE519" t="str">
        <f>IF(AA519="","",'Procyclean MG'!I20)</f>
        <v/>
      </c>
      <c r="AF519">
        <f t="shared" si="65"/>
        <v>0</v>
      </c>
      <c r="AG519" t="str">
        <f t="shared" si="66"/>
        <v/>
      </c>
      <c r="AH519" t="str">
        <f t="shared" si="67"/>
        <v/>
      </c>
      <c r="AI519">
        <f t="shared" si="68"/>
        <v>0</v>
      </c>
      <c r="AJ519">
        <f t="shared" si="69"/>
        <v>0</v>
      </c>
      <c r="AK519">
        <v>0</v>
      </c>
      <c r="AL519" t="str">
        <f>IF(AA519="","",IFERROR(IF(ISNUMBER('Procyclean MG'!D20),'Procyclean MG'!D20,IF(ISNUMBER(SEARCH("12",'Procyclean MG'!D20)),EDATE(AB519,12),IF(ISNUMBER(SEARCH("6",'Procyclean MG'!D20)),EDATE(AB519,6),IF(ISNUMBER(SEARCH("3",'Procyclean MG'!D20)),EDATE(AB519,3),DATEVALUE('Procyclean MG'!D20))))),""))</f>
        <v/>
      </c>
      <c r="AM519" t="str">
        <f t="shared" ca="1" si="70"/>
        <v/>
      </c>
    </row>
    <row r="520" spans="27:39" x14ac:dyDescent="0.3">
      <c r="AA520" t="str">
        <f>IF(COUNTA('Procyclean MG'!A21,'Procyclean MG'!B21,'Procyclean MG'!C21)&gt;0,"MG","")</f>
        <v/>
      </c>
      <c r="AB520" t="str">
        <f>IFERROR(IF(ISNUMBER('Procyclean MG'!A21),'Procyclean MG'!A21,DATEVALUE('Procyclean MG'!A21)),"")</f>
        <v/>
      </c>
      <c r="AC520" t="str">
        <f>IF(AA520="","",'Procyclean MG'!B21)</f>
        <v/>
      </c>
      <c r="AD520" t="str">
        <f>IF(AA520="","",IFERROR(1*'Procyclean MG'!C21,IFERROR(_xludf.NUMBERVALUE('Procyclean MG'!C21,".",","),IFERROR(_xludf.NUMBERVALUE('Procyclean MG'!C21,",","."),0))))</f>
        <v/>
      </c>
      <c r="AE520" t="str">
        <f>IF(AA520="","",'Procyclean MG'!I21)</f>
        <v/>
      </c>
      <c r="AF520">
        <f t="shared" si="65"/>
        <v>0</v>
      </c>
      <c r="AG520" t="str">
        <f t="shared" si="66"/>
        <v/>
      </c>
      <c r="AH520" t="str">
        <f t="shared" si="67"/>
        <v/>
      </c>
      <c r="AI520">
        <f t="shared" si="68"/>
        <v>0</v>
      </c>
      <c r="AJ520">
        <f t="shared" si="69"/>
        <v>0</v>
      </c>
      <c r="AK520">
        <v>0</v>
      </c>
      <c r="AL520" t="str">
        <f>IF(AA520="","",IFERROR(IF(ISNUMBER('Procyclean MG'!D21),'Procyclean MG'!D21,IF(ISNUMBER(SEARCH("12",'Procyclean MG'!D21)),EDATE(AB520,12),IF(ISNUMBER(SEARCH("6",'Procyclean MG'!D21)),EDATE(AB520,6),IF(ISNUMBER(SEARCH("3",'Procyclean MG'!D21)),EDATE(AB520,3),DATEVALUE('Procyclean MG'!D21))))),""))</f>
        <v/>
      </c>
      <c r="AM520" t="str">
        <f t="shared" ca="1" si="70"/>
        <v/>
      </c>
    </row>
    <row r="521" spans="27:39" x14ac:dyDescent="0.3">
      <c r="AA521" t="str">
        <f>IF(COUNTA('Procyclean MG'!A22,'Procyclean MG'!B22,'Procyclean MG'!C22)&gt;0,"MG","")</f>
        <v/>
      </c>
      <c r="AB521" t="str">
        <f>IFERROR(IF(ISNUMBER('Procyclean MG'!A22),'Procyclean MG'!A22,DATEVALUE('Procyclean MG'!A22)),"")</f>
        <v/>
      </c>
      <c r="AC521" t="str">
        <f>IF(AA521="","",'Procyclean MG'!B22)</f>
        <v/>
      </c>
      <c r="AD521" t="str">
        <f>IF(AA521="","",IFERROR(1*'Procyclean MG'!C22,IFERROR(_xludf.NUMBERVALUE('Procyclean MG'!C22,".",","),IFERROR(_xludf.NUMBERVALUE('Procyclean MG'!C22,",","."),0))))</f>
        <v/>
      </c>
      <c r="AE521" t="str">
        <f>IF(AA521="","",'Procyclean MG'!I22)</f>
        <v/>
      </c>
      <c r="AF521">
        <f t="shared" si="65"/>
        <v>0</v>
      </c>
      <c r="AG521" t="str">
        <f t="shared" si="66"/>
        <v/>
      </c>
      <c r="AH521" t="str">
        <f t="shared" si="67"/>
        <v/>
      </c>
      <c r="AI521">
        <f t="shared" si="68"/>
        <v>0</v>
      </c>
      <c r="AJ521">
        <f t="shared" si="69"/>
        <v>0</v>
      </c>
      <c r="AK521">
        <v>0</v>
      </c>
      <c r="AL521" t="str">
        <f>IF(AA521="","",IFERROR(IF(ISNUMBER('Procyclean MG'!D22),'Procyclean MG'!D22,IF(ISNUMBER(SEARCH("12",'Procyclean MG'!D22)),EDATE(AB521,12),IF(ISNUMBER(SEARCH("6",'Procyclean MG'!D22)),EDATE(AB521,6),IF(ISNUMBER(SEARCH("3",'Procyclean MG'!D22)),EDATE(AB521,3),DATEVALUE('Procyclean MG'!D22))))),""))</f>
        <v/>
      </c>
      <c r="AM521" t="str">
        <f t="shared" ca="1" si="70"/>
        <v/>
      </c>
    </row>
    <row r="522" spans="27:39" x14ac:dyDescent="0.3">
      <c r="AA522" t="str">
        <f>IF(COUNTA('Procyclean MG'!A23,'Procyclean MG'!B23,'Procyclean MG'!C23)&gt;0,"MG","")</f>
        <v/>
      </c>
      <c r="AB522" t="str">
        <f>IFERROR(IF(ISNUMBER('Procyclean MG'!A23),'Procyclean MG'!A23,DATEVALUE('Procyclean MG'!A23)),"")</f>
        <v/>
      </c>
      <c r="AC522" t="str">
        <f>IF(AA522="","",'Procyclean MG'!B23)</f>
        <v/>
      </c>
      <c r="AD522" t="str">
        <f>IF(AA522="","",IFERROR(1*'Procyclean MG'!C23,IFERROR(_xludf.NUMBERVALUE('Procyclean MG'!C23,".",","),IFERROR(_xludf.NUMBERVALUE('Procyclean MG'!C23,",","."),0))))</f>
        <v/>
      </c>
      <c r="AE522" t="str">
        <f>IF(AA522="","",'Procyclean MG'!I23)</f>
        <v/>
      </c>
      <c r="AF522">
        <f t="shared" si="65"/>
        <v>0</v>
      </c>
      <c r="AG522" t="str">
        <f t="shared" si="66"/>
        <v/>
      </c>
      <c r="AH522" t="str">
        <f t="shared" si="67"/>
        <v/>
      </c>
      <c r="AI522">
        <f t="shared" si="68"/>
        <v>0</v>
      </c>
      <c r="AJ522">
        <f t="shared" si="69"/>
        <v>0</v>
      </c>
      <c r="AK522">
        <v>0</v>
      </c>
      <c r="AL522" t="str">
        <f>IF(AA522="","",IFERROR(IF(ISNUMBER('Procyclean MG'!D23),'Procyclean MG'!D23,IF(ISNUMBER(SEARCH("12",'Procyclean MG'!D23)),EDATE(AB522,12),IF(ISNUMBER(SEARCH("6",'Procyclean MG'!D23)),EDATE(AB522,6),IF(ISNUMBER(SEARCH("3",'Procyclean MG'!D23)),EDATE(AB522,3),DATEVALUE('Procyclean MG'!D23))))),""))</f>
        <v/>
      </c>
      <c r="AM522" t="str">
        <f t="shared" ca="1" si="70"/>
        <v/>
      </c>
    </row>
    <row r="523" spans="27:39" x14ac:dyDescent="0.3">
      <c r="AA523" t="str">
        <f>IF(COUNTA('Procyclean MG'!A24,'Procyclean MG'!B24,'Procyclean MG'!C24)&gt;0,"MG","")</f>
        <v/>
      </c>
      <c r="AB523" t="str">
        <f>IFERROR(IF(ISNUMBER('Procyclean MG'!A24),'Procyclean MG'!A24,DATEVALUE('Procyclean MG'!A24)),"")</f>
        <v/>
      </c>
      <c r="AC523" t="str">
        <f>IF(AA523="","",'Procyclean MG'!B24)</f>
        <v/>
      </c>
      <c r="AD523" t="str">
        <f>IF(AA523="","",IFERROR(1*'Procyclean MG'!C24,IFERROR(_xludf.NUMBERVALUE('Procyclean MG'!C24,".",","),IFERROR(_xludf.NUMBERVALUE('Procyclean MG'!C24,",","."),0))))</f>
        <v/>
      </c>
      <c r="AE523" t="str">
        <f>IF(AA523="","",'Procyclean MG'!I24)</f>
        <v/>
      </c>
      <c r="AF523">
        <f t="shared" si="65"/>
        <v>0</v>
      </c>
      <c r="AG523" t="str">
        <f t="shared" si="66"/>
        <v/>
      </c>
      <c r="AH523" t="str">
        <f t="shared" si="67"/>
        <v/>
      </c>
      <c r="AI523">
        <f t="shared" si="68"/>
        <v>0</v>
      </c>
      <c r="AJ523">
        <f t="shared" si="69"/>
        <v>0</v>
      </c>
      <c r="AK523">
        <v>0</v>
      </c>
      <c r="AL523" t="str">
        <f>IF(AA523="","",IFERROR(IF(ISNUMBER('Procyclean MG'!D24),'Procyclean MG'!D24,IF(ISNUMBER(SEARCH("12",'Procyclean MG'!D24)),EDATE(AB523,12),IF(ISNUMBER(SEARCH("6",'Procyclean MG'!D24)),EDATE(AB523,6),IF(ISNUMBER(SEARCH("3",'Procyclean MG'!D24)),EDATE(AB523,3),DATEVALUE('Procyclean MG'!D24))))),""))</f>
        <v/>
      </c>
      <c r="AM523" t="str">
        <f t="shared" ca="1" si="70"/>
        <v/>
      </c>
    </row>
    <row r="524" spans="27:39" x14ac:dyDescent="0.3">
      <c r="AA524" t="str">
        <f>IF(COUNTA('Procyclean MG'!A25,'Procyclean MG'!B25,'Procyclean MG'!C25)&gt;0,"MG","")</f>
        <v/>
      </c>
      <c r="AB524" t="str">
        <f>IFERROR(IF(ISNUMBER('Procyclean MG'!A25),'Procyclean MG'!A25,DATEVALUE('Procyclean MG'!A25)),"")</f>
        <v/>
      </c>
      <c r="AC524" t="str">
        <f>IF(AA524="","",'Procyclean MG'!B25)</f>
        <v/>
      </c>
      <c r="AD524" t="str">
        <f>IF(AA524="","",IFERROR(1*'Procyclean MG'!C25,IFERROR(_xludf.NUMBERVALUE('Procyclean MG'!C25,".",","),IFERROR(_xludf.NUMBERVALUE('Procyclean MG'!C25,",","."),0))))</f>
        <v/>
      </c>
      <c r="AE524" t="str">
        <f>IF(AA524="","",'Procyclean MG'!I25)</f>
        <v/>
      </c>
      <c r="AF524">
        <f t="shared" si="65"/>
        <v>0</v>
      </c>
      <c r="AG524" t="str">
        <f t="shared" si="66"/>
        <v/>
      </c>
      <c r="AH524" t="str">
        <f t="shared" si="67"/>
        <v/>
      </c>
      <c r="AI524">
        <f t="shared" si="68"/>
        <v>0</v>
      </c>
      <c r="AJ524">
        <f t="shared" si="69"/>
        <v>0</v>
      </c>
      <c r="AK524">
        <v>0</v>
      </c>
      <c r="AL524" t="str">
        <f>IF(AA524="","",IFERROR(IF(ISNUMBER('Procyclean MG'!D25),'Procyclean MG'!D25,IF(ISNUMBER(SEARCH("12",'Procyclean MG'!D25)),EDATE(AB524,12),IF(ISNUMBER(SEARCH("6",'Procyclean MG'!D25)),EDATE(AB524,6),IF(ISNUMBER(SEARCH("3",'Procyclean MG'!D25)),EDATE(AB524,3),DATEVALUE('Procyclean MG'!D25))))),""))</f>
        <v/>
      </c>
      <c r="AM524" t="str">
        <f t="shared" ca="1" si="70"/>
        <v/>
      </c>
    </row>
    <row r="525" spans="27:39" x14ac:dyDescent="0.3">
      <c r="AA525" t="str">
        <f>IF(COUNTA('Procyclean MG'!A26,'Procyclean MG'!B26,'Procyclean MG'!C26)&gt;0,"MG","")</f>
        <v/>
      </c>
      <c r="AB525" t="str">
        <f>IFERROR(IF(ISNUMBER('Procyclean MG'!A26),'Procyclean MG'!A26,DATEVALUE('Procyclean MG'!A26)),"")</f>
        <v/>
      </c>
      <c r="AC525" t="str">
        <f>IF(AA525="","",'Procyclean MG'!B26)</f>
        <v/>
      </c>
      <c r="AD525" t="str">
        <f>IF(AA525="","",IFERROR(1*'Procyclean MG'!C26,IFERROR(_xludf.NUMBERVALUE('Procyclean MG'!C26,".",","),IFERROR(_xludf.NUMBERVALUE('Procyclean MG'!C26,",","."),0))))</f>
        <v/>
      </c>
      <c r="AE525" t="str">
        <f>IF(AA525="","",'Procyclean MG'!I26)</f>
        <v/>
      </c>
      <c r="AF525">
        <f t="shared" si="65"/>
        <v>0</v>
      </c>
      <c r="AG525" t="str">
        <f t="shared" si="66"/>
        <v/>
      </c>
      <c r="AH525" t="str">
        <f t="shared" si="67"/>
        <v/>
      </c>
      <c r="AI525">
        <f t="shared" si="68"/>
        <v>0</v>
      </c>
      <c r="AJ525">
        <f t="shared" si="69"/>
        <v>0</v>
      </c>
      <c r="AK525">
        <v>0</v>
      </c>
      <c r="AL525" t="str">
        <f>IF(AA525="","",IFERROR(IF(ISNUMBER('Procyclean MG'!D26),'Procyclean MG'!D26,IF(ISNUMBER(SEARCH("12",'Procyclean MG'!D26)),EDATE(AB525,12),IF(ISNUMBER(SEARCH("6",'Procyclean MG'!D26)),EDATE(AB525,6),IF(ISNUMBER(SEARCH("3",'Procyclean MG'!D26)),EDATE(AB525,3),DATEVALUE('Procyclean MG'!D26))))),""))</f>
        <v/>
      </c>
      <c r="AM525" t="str">
        <f t="shared" ca="1" si="70"/>
        <v/>
      </c>
    </row>
    <row r="526" spans="27:39" x14ac:dyDescent="0.3">
      <c r="AA526" t="str">
        <f>IF(COUNTA('Procyclean MG'!A27,'Procyclean MG'!B27,'Procyclean MG'!C27)&gt;0,"MG","")</f>
        <v/>
      </c>
      <c r="AB526" t="str">
        <f>IFERROR(IF(ISNUMBER('Procyclean MG'!A27),'Procyclean MG'!A27,DATEVALUE('Procyclean MG'!A27)),"")</f>
        <v/>
      </c>
      <c r="AC526" t="str">
        <f>IF(AA526="","",'Procyclean MG'!B27)</f>
        <v/>
      </c>
      <c r="AD526" t="str">
        <f>IF(AA526="","",IFERROR(1*'Procyclean MG'!C27,IFERROR(_xludf.NUMBERVALUE('Procyclean MG'!C27,".",","),IFERROR(_xludf.NUMBERVALUE('Procyclean MG'!C27,",","."),0))))</f>
        <v/>
      </c>
      <c r="AE526" t="str">
        <f>IF(AA526="","",'Procyclean MG'!I27)</f>
        <v/>
      </c>
      <c r="AF526">
        <f t="shared" si="65"/>
        <v>0</v>
      </c>
      <c r="AG526" t="str">
        <f t="shared" si="66"/>
        <v/>
      </c>
      <c r="AH526" t="str">
        <f t="shared" si="67"/>
        <v/>
      </c>
      <c r="AI526">
        <f t="shared" si="68"/>
        <v>0</v>
      </c>
      <c r="AJ526">
        <f t="shared" si="69"/>
        <v>0</v>
      </c>
      <c r="AK526">
        <v>0</v>
      </c>
      <c r="AL526" t="str">
        <f>IF(AA526="","",IFERROR(IF(ISNUMBER('Procyclean MG'!D27),'Procyclean MG'!D27,IF(ISNUMBER(SEARCH("12",'Procyclean MG'!D27)),EDATE(AB526,12),IF(ISNUMBER(SEARCH("6",'Procyclean MG'!D27)),EDATE(AB526,6),IF(ISNUMBER(SEARCH("3",'Procyclean MG'!D27)),EDATE(AB526,3),DATEVALUE('Procyclean MG'!D27))))),""))</f>
        <v/>
      </c>
      <c r="AM526" t="str">
        <f t="shared" ca="1" si="70"/>
        <v/>
      </c>
    </row>
    <row r="527" spans="27:39" x14ac:dyDescent="0.3">
      <c r="AA527" t="str">
        <f>IF(COUNTA('Procyclean MG'!A28,'Procyclean MG'!B28,'Procyclean MG'!C28)&gt;0,"MG","")</f>
        <v/>
      </c>
      <c r="AB527" t="str">
        <f>IFERROR(IF(ISNUMBER('Procyclean MG'!A28),'Procyclean MG'!A28,DATEVALUE('Procyclean MG'!A28)),"")</f>
        <v/>
      </c>
      <c r="AC527" t="str">
        <f>IF(AA527="","",'Procyclean MG'!B28)</f>
        <v/>
      </c>
      <c r="AD527" t="str">
        <f>IF(AA527="","",IFERROR(1*'Procyclean MG'!C28,IFERROR(_xludf.NUMBERVALUE('Procyclean MG'!C28,".",","),IFERROR(_xludf.NUMBERVALUE('Procyclean MG'!C28,",","."),0))))</f>
        <v/>
      </c>
      <c r="AE527" t="str">
        <f>IF(AA527="","",'Procyclean MG'!I28)</f>
        <v/>
      </c>
      <c r="AF527">
        <f t="shared" si="65"/>
        <v>0</v>
      </c>
      <c r="AG527" t="str">
        <f t="shared" si="66"/>
        <v/>
      </c>
      <c r="AH527" t="str">
        <f t="shared" si="67"/>
        <v/>
      </c>
      <c r="AI527">
        <f t="shared" si="68"/>
        <v>0</v>
      </c>
      <c r="AJ527">
        <f t="shared" si="69"/>
        <v>0</v>
      </c>
      <c r="AK527">
        <v>0</v>
      </c>
      <c r="AL527" t="str">
        <f>IF(AA527="","",IFERROR(IF(ISNUMBER('Procyclean MG'!D28),'Procyclean MG'!D28,IF(ISNUMBER(SEARCH("12",'Procyclean MG'!D28)),EDATE(AB527,12),IF(ISNUMBER(SEARCH("6",'Procyclean MG'!D28)),EDATE(AB527,6),IF(ISNUMBER(SEARCH("3",'Procyclean MG'!D28)),EDATE(AB527,3),DATEVALUE('Procyclean MG'!D28))))),""))</f>
        <v/>
      </c>
      <c r="AM527" t="str">
        <f t="shared" ca="1" si="70"/>
        <v/>
      </c>
    </row>
    <row r="528" spans="27:39" x14ac:dyDescent="0.3">
      <c r="AA528" t="str">
        <f>IF(COUNTA('Procyclean MG'!A29,'Procyclean MG'!B29,'Procyclean MG'!C29)&gt;0,"MG","")</f>
        <v/>
      </c>
      <c r="AB528" t="str">
        <f>IFERROR(IF(ISNUMBER('Procyclean MG'!A29),'Procyclean MG'!A29,DATEVALUE('Procyclean MG'!A29)),"")</f>
        <v/>
      </c>
      <c r="AC528" t="str">
        <f>IF(AA528="","",'Procyclean MG'!B29)</f>
        <v/>
      </c>
      <c r="AD528" t="str">
        <f>IF(AA528="","",IFERROR(1*'Procyclean MG'!C29,IFERROR(_xludf.NUMBERVALUE('Procyclean MG'!C29,".",","),IFERROR(_xludf.NUMBERVALUE('Procyclean MG'!C29,",","."),0))))</f>
        <v/>
      </c>
      <c r="AE528" t="str">
        <f>IF(AA528="","",'Procyclean MG'!I29)</f>
        <v/>
      </c>
      <c r="AF528">
        <f t="shared" si="65"/>
        <v>0</v>
      </c>
      <c r="AG528" t="str">
        <f t="shared" si="66"/>
        <v/>
      </c>
      <c r="AH528" t="str">
        <f t="shared" si="67"/>
        <v/>
      </c>
      <c r="AI528">
        <f t="shared" si="68"/>
        <v>0</v>
      </c>
      <c r="AJ528">
        <f t="shared" si="69"/>
        <v>0</v>
      </c>
      <c r="AK528">
        <v>0</v>
      </c>
      <c r="AL528" t="str">
        <f>IF(AA528="","",IFERROR(IF(ISNUMBER('Procyclean MG'!D29),'Procyclean MG'!D29,IF(ISNUMBER(SEARCH("12",'Procyclean MG'!D29)),EDATE(AB528,12),IF(ISNUMBER(SEARCH("6",'Procyclean MG'!D29)),EDATE(AB528,6),IF(ISNUMBER(SEARCH("3",'Procyclean MG'!D29)),EDATE(AB528,3),DATEVALUE('Procyclean MG'!D29))))),""))</f>
        <v/>
      </c>
      <c r="AM528" t="str">
        <f t="shared" ca="1" si="70"/>
        <v/>
      </c>
    </row>
    <row r="529" spans="27:39" x14ac:dyDescent="0.3">
      <c r="AA529" t="str">
        <f>IF(COUNTA('Procyclean MG'!A30,'Procyclean MG'!B30,'Procyclean MG'!C30)&gt;0,"MG","")</f>
        <v/>
      </c>
      <c r="AB529" t="str">
        <f>IFERROR(IF(ISNUMBER('Procyclean MG'!A30),'Procyclean MG'!A30,DATEVALUE('Procyclean MG'!A30)),"")</f>
        <v/>
      </c>
      <c r="AC529" t="str">
        <f>IF(AA529="","",'Procyclean MG'!B30)</f>
        <v/>
      </c>
      <c r="AD529" t="str">
        <f>IF(AA529="","",IFERROR(1*'Procyclean MG'!C30,IFERROR(_xludf.NUMBERVALUE('Procyclean MG'!C30,".",","),IFERROR(_xludf.NUMBERVALUE('Procyclean MG'!C30,",","."),0))))</f>
        <v/>
      </c>
      <c r="AE529" t="str">
        <f>IF(AA529="","",'Procyclean MG'!I30)</f>
        <v/>
      </c>
      <c r="AF529">
        <f t="shared" si="65"/>
        <v>0</v>
      </c>
      <c r="AG529" t="str">
        <f t="shared" si="66"/>
        <v/>
      </c>
      <c r="AH529" t="str">
        <f t="shared" si="67"/>
        <v/>
      </c>
      <c r="AI529">
        <f t="shared" si="68"/>
        <v>0</v>
      </c>
      <c r="AJ529">
        <f t="shared" si="69"/>
        <v>0</v>
      </c>
      <c r="AK529">
        <v>0</v>
      </c>
      <c r="AL529" t="str">
        <f>IF(AA529="","",IFERROR(IF(ISNUMBER('Procyclean MG'!D30),'Procyclean MG'!D30,IF(ISNUMBER(SEARCH("12",'Procyclean MG'!D30)),EDATE(AB529,12),IF(ISNUMBER(SEARCH("6",'Procyclean MG'!D30)),EDATE(AB529,6),IF(ISNUMBER(SEARCH("3",'Procyclean MG'!D30)),EDATE(AB529,3),DATEVALUE('Procyclean MG'!D30))))),""))</f>
        <v/>
      </c>
      <c r="AM529" t="str">
        <f t="shared" ca="1" si="70"/>
        <v/>
      </c>
    </row>
    <row r="530" spans="27:39" x14ac:dyDescent="0.3">
      <c r="AA530" t="str">
        <f>IF(COUNTA('Procyclean MG'!A31,'Procyclean MG'!B31,'Procyclean MG'!C31)&gt;0,"MG","")</f>
        <v/>
      </c>
      <c r="AB530" t="str">
        <f>IFERROR(IF(ISNUMBER('Procyclean MG'!A31),'Procyclean MG'!A31,DATEVALUE('Procyclean MG'!A31)),"")</f>
        <v/>
      </c>
      <c r="AC530" t="str">
        <f>IF(AA530="","",'Procyclean MG'!B31)</f>
        <v/>
      </c>
      <c r="AD530" t="str">
        <f>IF(AA530="","",IFERROR(1*'Procyclean MG'!C31,IFERROR(_xludf.NUMBERVALUE('Procyclean MG'!C31,".",","),IFERROR(_xludf.NUMBERVALUE('Procyclean MG'!C31,",","."),0))))</f>
        <v/>
      </c>
      <c r="AE530" t="str">
        <f>IF(AA530="","",'Procyclean MG'!I31)</f>
        <v/>
      </c>
      <c r="AF530">
        <f t="shared" si="65"/>
        <v>0</v>
      </c>
      <c r="AG530" t="str">
        <f t="shared" si="66"/>
        <v/>
      </c>
      <c r="AH530" t="str">
        <f t="shared" si="67"/>
        <v/>
      </c>
      <c r="AI530">
        <f t="shared" si="68"/>
        <v>0</v>
      </c>
      <c r="AJ530">
        <f t="shared" si="69"/>
        <v>0</v>
      </c>
      <c r="AK530">
        <v>0</v>
      </c>
      <c r="AL530" t="str">
        <f>IF(AA530="","",IFERROR(IF(ISNUMBER('Procyclean MG'!D31),'Procyclean MG'!D31,IF(ISNUMBER(SEARCH("12",'Procyclean MG'!D31)),EDATE(AB530,12),IF(ISNUMBER(SEARCH("6",'Procyclean MG'!D31)),EDATE(AB530,6),IF(ISNUMBER(SEARCH("3",'Procyclean MG'!D31)),EDATE(AB530,3),DATEVALUE('Procyclean MG'!D31))))),""))</f>
        <v/>
      </c>
      <c r="AM530" t="str">
        <f t="shared" ca="1" si="70"/>
        <v/>
      </c>
    </row>
    <row r="531" spans="27:39" x14ac:dyDescent="0.3">
      <c r="AA531" t="str">
        <f>IF(COUNTA('Procyclean MG'!A32,'Procyclean MG'!B32,'Procyclean MG'!C32)&gt;0,"MG","")</f>
        <v/>
      </c>
      <c r="AB531" t="str">
        <f>IFERROR(IF(ISNUMBER('Procyclean MG'!A32),'Procyclean MG'!A32,DATEVALUE('Procyclean MG'!A32)),"")</f>
        <v/>
      </c>
      <c r="AC531" t="str">
        <f>IF(AA531="","",'Procyclean MG'!B32)</f>
        <v/>
      </c>
      <c r="AD531" t="str">
        <f>IF(AA531="","",IFERROR(1*'Procyclean MG'!C32,IFERROR(_xludf.NUMBERVALUE('Procyclean MG'!C32,".",","),IFERROR(_xludf.NUMBERVALUE('Procyclean MG'!C32,",","."),0))))</f>
        <v/>
      </c>
      <c r="AE531" t="str">
        <f>IF(AA531="","",'Procyclean MG'!I32)</f>
        <v/>
      </c>
      <c r="AF531">
        <f t="shared" si="65"/>
        <v>0</v>
      </c>
      <c r="AG531" t="str">
        <f t="shared" si="66"/>
        <v/>
      </c>
      <c r="AH531" t="str">
        <f t="shared" si="67"/>
        <v/>
      </c>
      <c r="AI531">
        <f t="shared" si="68"/>
        <v>0</v>
      </c>
      <c r="AJ531">
        <f t="shared" si="69"/>
        <v>0</v>
      </c>
      <c r="AK531">
        <v>0</v>
      </c>
      <c r="AL531" t="str">
        <f>IF(AA531="","",IFERROR(IF(ISNUMBER('Procyclean MG'!D32),'Procyclean MG'!D32,IF(ISNUMBER(SEARCH("12",'Procyclean MG'!D32)),EDATE(AB531,12),IF(ISNUMBER(SEARCH("6",'Procyclean MG'!D32)),EDATE(AB531,6),IF(ISNUMBER(SEARCH("3",'Procyclean MG'!D32)),EDATE(AB531,3),DATEVALUE('Procyclean MG'!D32))))),""))</f>
        <v/>
      </c>
      <c r="AM531" t="str">
        <f t="shared" ca="1" si="70"/>
        <v/>
      </c>
    </row>
    <row r="532" spans="27:39" x14ac:dyDescent="0.3">
      <c r="AA532" t="str">
        <f>IF(COUNTA('Procyclean MG'!A33,'Procyclean MG'!B33,'Procyclean MG'!C33)&gt;0,"MG","")</f>
        <v/>
      </c>
      <c r="AB532" t="str">
        <f>IFERROR(IF(ISNUMBER('Procyclean MG'!A33),'Procyclean MG'!A33,DATEVALUE('Procyclean MG'!A33)),"")</f>
        <v/>
      </c>
      <c r="AC532" t="str">
        <f>IF(AA532="","",'Procyclean MG'!B33)</f>
        <v/>
      </c>
      <c r="AD532" t="str">
        <f>IF(AA532="","",IFERROR(1*'Procyclean MG'!C33,IFERROR(_xludf.NUMBERVALUE('Procyclean MG'!C33,".",","),IFERROR(_xludf.NUMBERVALUE('Procyclean MG'!C33,",","."),0))))</f>
        <v/>
      </c>
      <c r="AE532" t="str">
        <f>IF(AA532="","",'Procyclean MG'!I33)</f>
        <v/>
      </c>
      <c r="AF532">
        <f t="shared" si="65"/>
        <v>0</v>
      </c>
      <c r="AG532" t="str">
        <f t="shared" si="66"/>
        <v/>
      </c>
      <c r="AH532" t="str">
        <f t="shared" si="67"/>
        <v/>
      </c>
      <c r="AI532">
        <f t="shared" si="68"/>
        <v>0</v>
      </c>
      <c r="AJ532">
        <f t="shared" si="69"/>
        <v>0</v>
      </c>
      <c r="AK532">
        <v>0</v>
      </c>
      <c r="AL532" t="str">
        <f>IF(AA532="","",IFERROR(IF(ISNUMBER('Procyclean MG'!D33),'Procyclean MG'!D33,IF(ISNUMBER(SEARCH("12",'Procyclean MG'!D33)),EDATE(AB532,12),IF(ISNUMBER(SEARCH("6",'Procyclean MG'!D33)),EDATE(AB532,6),IF(ISNUMBER(SEARCH("3",'Procyclean MG'!D33)),EDATE(AB532,3),DATEVALUE('Procyclean MG'!D33))))),""))</f>
        <v/>
      </c>
      <c r="AM532" t="str">
        <f t="shared" ca="1" si="70"/>
        <v/>
      </c>
    </row>
    <row r="533" spans="27:39" x14ac:dyDescent="0.3">
      <c r="AA533" t="str">
        <f>IF(COUNTA('Procyclean MG'!A34,'Procyclean MG'!B34,'Procyclean MG'!C34)&gt;0,"MG","")</f>
        <v/>
      </c>
      <c r="AB533" t="str">
        <f>IFERROR(IF(ISNUMBER('Procyclean MG'!A34),'Procyclean MG'!A34,DATEVALUE('Procyclean MG'!A34)),"")</f>
        <v/>
      </c>
      <c r="AC533" t="str">
        <f>IF(AA533="","",'Procyclean MG'!B34)</f>
        <v/>
      </c>
      <c r="AD533" t="str">
        <f>IF(AA533="","",IFERROR(1*'Procyclean MG'!C34,IFERROR(_xludf.NUMBERVALUE('Procyclean MG'!C34,".",","),IFERROR(_xludf.NUMBERVALUE('Procyclean MG'!C34,",","."),0))))</f>
        <v/>
      </c>
      <c r="AE533" t="str">
        <f>IF(AA533="","",'Procyclean MG'!I34)</f>
        <v/>
      </c>
      <c r="AF533">
        <f t="shared" si="65"/>
        <v>0</v>
      </c>
      <c r="AG533" t="str">
        <f t="shared" si="66"/>
        <v/>
      </c>
      <c r="AH533" t="str">
        <f t="shared" si="67"/>
        <v/>
      </c>
      <c r="AI533">
        <f t="shared" si="68"/>
        <v>0</v>
      </c>
      <c r="AJ533">
        <f t="shared" si="69"/>
        <v>0</v>
      </c>
      <c r="AK533">
        <v>0</v>
      </c>
      <c r="AL533" t="str">
        <f>IF(AA533="","",IFERROR(IF(ISNUMBER('Procyclean MG'!D34),'Procyclean MG'!D34,IF(ISNUMBER(SEARCH("12",'Procyclean MG'!D34)),EDATE(AB533,12),IF(ISNUMBER(SEARCH("6",'Procyclean MG'!D34)),EDATE(AB533,6),IF(ISNUMBER(SEARCH("3",'Procyclean MG'!D34)),EDATE(AB533,3),DATEVALUE('Procyclean MG'!D34))))),""))</f>
        <v/>
      </c>
      <c r="AM533" t="str">
        <f t="shared" ca="1" si="70"/>
        <v/>
      </c>
    </row>
    <row r="534" spans="27:39" x14ac:dyDescent="0.3">
      <c r="AA534" t="str">
        <f>IF(COUNTA('Procyclean MG'!A35,'Procyclean MG'!B35,'Procyclean MG'!C35)&gt;0,"MG","")</f>
        <v/>
      </c>
      <c r="AB534" t="str">
        <f>IFERROR(IF(ISNUMBER('Procyclean MG'!A35),'Procyclean MG'!A35,DATEVALUE('Procyclean MG'!A35)),"")</f>
        <v/>
      </c>
      <c r="AC534" t="str">
        <f>IF(AA534="","",'Procyclean MG'!B35)</f>
        <v/>
      </c>
      <c r="AD534" t="str">
        <f>IF(AA534="","",IFERROR(1*'Procyclean MG'!C35,IFERROR(_xludf.NUMBERVALUE('Procyclean MG'!C35,".",","),IFERROR(_xludf.NUMBERVALUE('Procyclean MG'!C35,",","."),0))))</f>
        <v/>
      </c>
      <c r="AE534" t="str">
        <f>IF(AA534="","",'Procyclean MG'!I35)</f>
        <v/>
      </c>
      <c r="AF534">
        <f t="shared" si="65"/>
        <v>0</v>
      </c>
      <c r="AG534" t="str">
        <f t="shared" si="66"/>
        <v/>
      </c>
      <c r="AH534" t="str">
        <f t="shared" si="67"/>
        <v/>
      </c>
      <c r="AI534">
        <f t="shared" si="68"/>
        <v>0</v>
      </c>
      <c r="AJ534">
        <f t="shared" si="69"/>
        <v>0</v>
      </c>
      <c r="AK534">
        <v>0</v>
      </c>
      <c r="AL534" t="str">
        <f>IF(AA534="","",IFERROR(IF(ISNUMBER('Procyclean MG'!D35),'Procyclean MG'!D35,IF(ISNUMBER(SEARCH("12",'Procyclean MG'!D35)),EDATE(AB534,12),IF(ISNUMBER(SEARCH("6",'Procyclean MG'!D35)),EDATE(AB534,6),IF(ISNUMBER(SEARCH("3",'Procyclean MG'!D35)),EDATE(AB534,3),DATEVALUE('Procyclean MG'!D35))))),""))</f>
        <v/>
      </c>
      <c r="AM534" t="str">
        <f t="shared" ca="1" si="70"/>
        <v/>
      </c>
    </row>
    <row r="535" spans="27:39" x14ac:dyDescent="0.3">
      <c r="AA535" t="str">
        <f>IF(COUNTA('Procyclean MG'!A36,'Procyclean MG'!B36,'Procyclean MG'!C36)&gt;0,"MG","")</f>
        <v/>
      </c>
      <c r="AB535" t="str">
        <f>IFERROR(IF(ISNUMBER('Procyclean MG'!A36),'Procyclean MG'!A36,DATEVALUE('Procyclean MG'!A36)),"")</f>
        <v/>
      </c>
      <c r="AC535" t="str">
        <f>IF(AA535="","",'Procyclean MG'!B36)</f>
        <v/>
      </c>
      <c r="AD535" t="str">
        <f>IF(AA535="","",IFERROR(1*'Procyclean MG'!C36,IFERROR(_xludf.NUMBERVALUE('Procyclean MG'!C36,".",","),IFERROR(_xludf.NUMBERVALUE('Procyclean MG'!C36,",","."),0))))</f>
        <v/>
      </c>
      <c r="AE535" t="str">
        <f>IF(AA535="","",'Procyclean MG'!I36)</f>
        <v/>
      </c>
      <c r="AF535">
        <f t="shared" si="65"/>
        <v>0</v>
      </c>
      <c r="AG535" t="str">
        <f t="shared" si="66"/>
        <v/>
      </c>
      <c r="AH535" t="str">
        <f t="shared" si="67"/>
        <v/>
      </c>
      <c r="AI535">
        <f t="shared" si="68"/>
        <v>0</v>
      </c>
      <c r="AJ535">
        <f t="shared" si="69"/>
        <v>0</v>
      </c>
      <c r="AK535">
        <v>0</v>
      </c>
      <c r="AL535" t="str">
        <f>IF(AA535="","",IFERROR(IF(ISNUMBER('Procyclean MG'!D36),'Procyclean MG'!D36,IF(ISNUMBER(SEARCH("12",'Procyclean MG'!D36)),EDATE(AB535,12),IF(ISNUMBER(SEARCH("6",'Procyclean MG'!D36)),EDATE(AB535,6),IF(ISNUMBER(SEARCH("3",'Procyclean MG'!D36)),EDATE(AB535,3),DATEVALUE('Procyclean MG'!D36))))),""))</f>
        <v/>
      </c>
      <c r="AM535" t="str">
        <f t="shared" ca="1" si="70"/>
        <v/>
      </c>
    </row>
    <row r="536" spans="27:39" x14ac:dyDescent="0.3">
      <c r="AA536" t="str">
        <f>IF(COUNTA('Procyclean MG'!A37,'Procyclean MG'!B37,'Procyclean MG'!C37)&gt;0,"MG","")</f>
        <v/>
      </c>
      <c r="AB536" t="str">
        <f>IFERROR(IF(ISNUMBER('Procyclean MG'!A37),'Procyclean MG'!A37,DATEVALUE('Procyclean MG'!A37)),"")</f>
        <v/>
      </c>
      <c r="AC536" t="str">
        <f>IF(AA536="","",'Procyclean MG'!B37)</f>
        <v/>
      </c>
      <c r="AD536" t="str">
        <f>IF(AA536="","",IFERROR(1*'Procyclean MG'!C37,IFERROR(_xludf.NUMBERVALUE('Procyclean MG'!C37,".",","),IFERROR(_xludf.NUMBERVALUE('Procyclean MG'!C37,",","."),0))))</f>
        <v/>
      </c>
      <c r="AE536" t="str">
        <f>IF(AA536="","",'Procyclean MG'!I37)</f>
        <v/>
      </c>
      <c r="AF536">
        <f t="shared" si="65"/>
        <v>0</v>
      </c>
      <c r="AG536" t="str">
        <f t="shared" si="66"/>
        <v/>
      </c>
      <c r="AH536" t="str">
        <f t="shared" si="67"/>
        <v/>
      </c>
      <c r="AI536">
        <f t="shared" si="68"/>
        <v>0</v>
      </c>
      <c r="AJ536">
        <f t="shared" si="69"/>
        <v>0</v>
      </c>
      <c r="AK536">
        <v>0</v>
      </c>
      <c r="AL536" t="str">
        <f>IF(AA536="","",IFERROR(IF(ISNUMBER('Procyclean MG'!D37),'Procyclean MG'!D37,IF(ISNUMBER(SEARCH("12",'Procyclean MG'!D37)),EDATE(AB536,12),IF(ISNUMBER(SEARCH("6",'Procyclean MG'!D37)),EDATE(AB536,6),IF(ISNUMBER(SEARCH("3",'Procyclean MG'!D37)),EDATE(AB536,3),DATEVALUE('Procyclean MG'!D37))))),""))</f>
        <v/>
      </c>
      <c r="AM536" t="str">
        <f t="shared" ca="1" si="70"/>
        <v/>
      </c>
    </row>
    <row r="537" spans="27:39" x14ac:dyDescent="0.3">
      <c r="AA537" t="str">
        <f>IF(COUNTA('Procyclean MG'!A38,'Procyclean MG'!B38,'Procyclean MG'!C38)&gt;0,"MG","")</f>
        <v/>
      </c>
      <c r="AB537" t="str">
        <f>IFERROR(IF(ISNUMBER('Procyclean MG'!A38),'Procyclean MG'!A38,DATEVALUE('Procyclean MG'!A38)),"")</f>
        <v/>
      </c>
      <c r="AC537" t="str">
        <f>IF(AA537="","",'Procyclean MG'!B38)</f>
        <v/>
      </c>
      <c r="AD537" t="str">
        <f>IF(AA537="","",IFERROR(1*'Procyclean MG'!C38,IFERROR(_xludf.NUMBERVALUE('Procyclean MG'!C38,".",","),IFERROR(_xludf.NUMBERVALUE('Procyclean MG'!C38,",","."),0))))</f>
        <v/>
      </c>
      <c r="AE537" t="str">
        <f>IF(AA537="","",'Procyclean MG'!I38)</f>
        <v/>
      </c>
      <c r="AF537">
        <f t="shared" si="65"/>
        <v>0</v>
      </c>
      <c r="AG537" t="str">
        <f t="shared" si="66"/>
        <v/>
      </c>
      <c r="AH537" t="str">
        <f t="shared" si="67"/>
        <v/>
      </c>
      <c r="AI537">
        <f t="shared" si="68"/>
        <v>0</v>
      </c>
      <c r="AJ537">
        <f t="shared" si="69"/>
        <v>0</v>
      </c>
      <c r="AK537">
        <v>0</v>
      </c>
      <c r="AL537" t="str">
        <f>IF(AA537="","",IFERROR(IF(ISNUMBER('Procyclean MG'!D38),'Procyclean MG'!D38,IF(ISNUMBER(SEARCH("12",'Procyclean MG'!D38)),EDATE(AB537,12),IF(ISNUMBER(SEARCH("6",'Procyclean MG'!D38)),EDATE(AB537,6),IF(ISNUMBER(SEARCH("3",'Procyclean MG'!D38)),EDATE(AB537,3),DATEVALUE('Procyclean MG'!D38))))),""))</f>
        <v/>
      </c>
      <c r="AM537" t="str">
        <f t="shared" ca="1" si="70"/>
        <v/>
      </c>
    </row>
    <row r="538" spans="27:39" x14ac:dyDescent="0.3">
      <c r="AA538" t="str">
        <f>IF(COUNTA('Procyclean MG'!A39,'Procyclean MG'!B39,'Procyclean MG'!C39)&gt;0,"MG","")</f>
        <v/>
      </c>
      <c r="AB538" t="str">
        <f>IFERROR(IF(ISNUMBER('Procyclean MG'!A39),'Procyclean MG'!A39,DATEVALUE('Procyclean MG'!A39)),"")</f>
        <v/>
      </c>
      <c r="AC538" t="str">
        <f>IF(AA538="","",'Procyclean MG'!B39)</f>
        <v/>
      </c>
      <c r="AD538" t="str">
        <f>IF(AA538="","",IFERROR(1*'Procyclean MG'!C39,IFERROR(_xludf.NUMBERVALUE('Procyclean MG'!C39,".",","),IFERROR(_xludf.NUMBERVALUE('Procyclean MG'!C39,",","."),0))))</f>
        <v/>
      </c>
      <c r="AE538" t="str">
        <f>IF(AA538="","",'Procyclean MG'!I39)</f>
        <v/>
      </c>
      <c r="AF538">
        <f t="shared" si="65"/>
        <v>0</v>
      </c>
      <c r="AG538" t="str">
        <f t="shared" si="66"/>
        <v/>
      </c>
      <c r="AH538" t="str">
        <f t="shared" si="67"/>
        <v/>
      </c>
      <c r="AI538">
        <f t="shared" si="68"/>
        <v>0</v>
      </c>
      <c r="AJ538">
        <f t="shared" si="69"/>
        <v>0</v>
      </c>
      <c r="AK538">
        <v>0</v>
      </c>
      <c r="AL538" t="str">
        <f>IF(AA538="","",IFERROR(IF(ISNUMBER('Procyclean MG'!D39),'Procyclean MG'!D39,IF(ISNUMBER(SEARCH("12",'Procyclean MG'!D39)),EDATE(AB538,12),IF(ISNUMBER(SEARCH("6",'Procyclean MG'!D39)),EDATE(AB538,6),IF(ISNUMBER(SEARCH("3",'Procyclean MG'!D39)),EDATE(AB538,3),DATEVALUE('Procyclean MG'!D39))))),""))</f>
        <v/>
      </c>
      <c r="AM538" t="str">
        <f t="shared" ca="1" si="70"/>
        <v/>
      </c>
    </row>
    <row r="539" spans="27:39" x14ac:dyDescent="0.3">
      <c r="AA539" t="str">
        <f>IF(COUNTA('Procyclean MG'!A40,'Procyclean MG'!B40,'Procyclean MG'!C40)&gt;0,"MG","")</f>
        <v/>
      </c>
      <c r="AB539" t="str">
        <f>IFERROR(IF(ISNUMBER('Procyclean MG'!A40),'Procyclean MG'!A40,DATEVALUE('Procyclean MG'!A40)),"")</f>
        <v/>
      </c>
      <c r="AC539" t="str">
        <f>IF(AA539="","",'Procyclean MG'!B40)</f>
        <v/>
      </c>
      <c r="AD539" t="str">
        <f>IF(AA539="","",IFERROR(1*'Procyclean MG'!C40,IFERROR(_xludf.NUMBERVALUE('Procyclean MG'!C40,".",","),IFERROR(_xludf.NUMBERVALUE('Procyclean MG'!C40,",","."),0))))</f>
        <v/>
      </c>
      <c r="AE539" t="str">
        <f>IF(AA539="","",'Procyclean MG'!I40)</f>
        <v/>
      </c>
      <c r="AF539">
        <f t="shared" si="65"/>
        <v>0</v>
      </c>
      <c r="AG539" t="str">
        <f t="shared" si="66"/>
        <v/>
      </c>
      <c r="AH539" t="str">
        <f t="shared" si="67"/>
        <v/>
      </c>
      <c r="AI539">
        <f t="shared" si="68"/>
        <v>0</v>
      </c>
      <c r="AJ539">
        <f t="shared" si="69"/>
        <v>0</v>
      </c>
      <c r="AK539">
        <v>0</v>
      </c>
      <c r="AL539" t="str">
        <f>IF(AA539="","",IFERROR(IF(ISNUMBER('Procyclean MG'!D40),'Procyclean MG'!D40,IF(ISNUMBER(SEARCH("12",'Procyclean MG'!D40)),EDATE(AB539,12),IF(ISNUMBER(SEARCH("6",'Procyclean MG'!D40)),EDATE(AB539,6),IF(ISNUMBER(SEARCH("3",'Procyclean MG'!D40)),EDATE(AB539,3),DATEVALUE('Procyclean MG'!D40))))),""))</f>
        <v/>
      </c>
      <c r="AM539" t="str">
        <f t="shared" ca="1" si="70"/>
        <v/>
      </c>
    </row>
    <row r="540" spans="27:39" x14ac:dyDescent="0.3">
      <c r="AA540" t="str">
        <f>IF(COUNTA('Procyclean MG'!A41,'Procyclean MG'!B41,'Procyclean MG'!C41)&gt;0,"MG","")</f>
        <v/>
      </c>
      <c r="AB540" t="str">
        <f>IFERROR(IF(ISNUMBER('Procyclean MG'!A41),'Procyclean MG'!A41,DATEVALUE('Procyclean MG'!A41)),"")</f>
        <v/>
      </c>
      <c r="AC540" t="str">
        <f>IF(AA540="","",'Procyclean MG'!B41)</f>
        <v/>
      </c>
      <c r="AD540" t="str">
        <f>IF(AA540="","",IFERROR(1*'Procyclean MG'!C41,IFERROR(_xludf.NUMBERVALUE('Procyclean MG'!C41,".",","),IFERROR(_xludf.NUMBERVALUE('Procyclean MG'!C41,",","."),0))))</f>
        <v/>
      </c>
      <c r="AE540" t="str">
        <f>IF(AA540="","",'Procyclean MG'!I41)</f>
        <v/>
      </c>
      <c r="AF540">
        <f t="shared" si="65"/>
        <v>0</v>
      </c>
      <c r="AG540" t="str">
        <f t="shared" si="66"/>
        <v/>
      </c>
      <c r="AH540" t="str">
        <f t="shared" si="67"/>
        <v/>
      </c>
      <c r="AI540">
        <f t="shared" si="68"/>
        <v>0</v>
      </c>
      <c r="AJ540">
        <f t="shared" si="69"/>
        <v>0</v>
      </c>
      <c r="AK540">
        <v>0</v>
      </c>
      <c r="AL540" t="str">
        <f>IF(AA540="","",IFERROR(IF(ISNUMBER('Procyclean MG'!D41),'Procyclean MG'!D41,IF(ISNUMBER(SEARCH("12",'Procyclean MG'!D41)),EDATE(AB540,12),IF(ISNUMBER(SEARCH("6",'Procyclean MG'!D41)),EDATE(AB540,6),IF(ISNUMBER(SEARCH("3",'Procyclean MG'!D41)),EDATE(AB540,3),DATEVALUE('Procyclean MG'!D41))))),""))</f>
        <v/>
      </c>
      <c r="AM540" t="str">
        <f t="shared" ca="1" si="70"/>
        <v/>
      </c>
    </row>
    <row r="541" spans="27:39" x14ac:dyDescent="0.3">
      <c r="AA541" t="str">
        <f>IF(COUNTA('Procyclean MG'!A42,'Procyclean MG'!B42,'Procyclean MG'!C42)&gt;0,"MG","")</f>
        <v/>
      </c>
      <c r="AB541" t="str">
        <f>IFERROR(IF(ISNUMBER('Procyclean MG'!A42),'Procyclean MG'!A42,DATEVALUE('Procyclean MG'!A42)),"")</f>
        <v/>
      </c>
      <c r="AC541" t="str">
        <f>IF(AA541="","",'Procyclean MG'!B42)</f>
        <v/>
      </c>
      <c r="AD541" t="str">
        <f>IF(AA541="","",IFERROR(1*'Procyclean MG'!C42,IFERROR(_xludf.NUMBERVALUE('Procyclean MG'!C42,".",","),IFERROR(_xludf.NUMBERVALUE('Procyclean MG'!C42,",","."),0))))</f>
        <v/>
      </c>
      <c r="AE541" t="str">
        <f>IF(AA541="","",'Procyclean MG'!I42)</f>
        <v/>
      </c>
      <c r="AF541">
        <f t="shared" si="65"/>
        <v>0</v>
      </c>
      <c r="AG541" t="str">
        <f t="shared" si="66"/>
        <v/>
      </c>
      <c r="AH541" t="str">
        <f t="shared" si="67"/>
        <v/>
      </c>
      <c r="AI541">
        <f t="shared" si="68"/>
        <v>0</v>
      </c>
      <c r="AJ541">
        <f t="shared" si="69"/>
        <v>0</v>
      </c>
      <c r="AK541">
        <v>0</v>
      </c>
      <c r="AL541" t="str">
        <f>IF(AA541="","",IFERROR(IF(ISNUMBER('Procyclean MG'!D42),'Procyclean MG'!D42,IF(ISNUMBER(SEARCH("12",'Procyclean MG'!D42)),EDATE(AB541,12),IF(ISNUMBER(SEARCH("6",'Procyclean MG'!D42)),EDATE(AB541,6),IF(ISNUMBER(SEARCH("3",'Procyclean MG'!D42)),EDATE(AB541,3),DATEVALUE('Procyclean MG'!D42))))),""))</f>
        <v/>
      </c>
      <c r="AM541" t="str">
        <f t="shared" ca="1" si="70"/>
        <v/>
      </c>
    </row>
    <row r="542" spans="27:39" x14ac:dyDescent="0.3">
      <c r="AA542" t="str">
        <f>IF(COUNTA('Procyclean MG'!A43,'Procyclean MG'!B43,'Procyclean MG'!C43)&gt;0,"MG","")</f>
        <v/>
      </c>
      <c r="AB542" t="str">
        <f>IFERROR(IF(ISNUMBER('Procyclean MG'!A43),'Procyclean MG'!A43,DATEVALUE('Procyclean MG'!A43)),"")</f>
        <v/>
      </c>
      <c r="AC542" t="str">
        <f>IF(AA542="","",'Procyclean MG'!B43)</f>
        <v/>
      </c>
      <c r="AD542" t="str">
        <f>IF(AA542="","",IFERROR(1*'Procyclean MG'!C43,IFERROR(_xludf.NUMBERVALUE('Procyclean MG'!C43,".",","),IFERROR(_xludf.NUMBERVALUE('Procyclean MG'!C43,",","."),0))))</f>
        <v/>
      </c>
      <c r="AE542" t="str">
        <f>IF(AA542="","",'Procyclean MG'!I43)</f>
        <v/>
      </c>
      <c r="AF542">
        <f t="shared" si="65"/>
        <v>0</v>
      </c>
      <c r="AG542" t="str">
        <f t="shared" si="66"/>
        <v/>
      </c>
      <c r="AH542" t="str">
        <f t="shared" si="67"/>
        <v/>
      </c>
      <c r="AI542">
        <f t="shared" si="68"/>
        <v>0</v>
      </c>
      <c r="AJ542">
        <f t="shared" si="69"/>
        <v>0</v>
      </c>
      <c r="AK542">
        <v>0</v>
      </c>
      <c r="AL542" t="str">
        <f>IF(AA542="","",IFERROR(IF(ISNUMBER('Procyclean MG'!D43),'Procyclean MG'!D43,IF(ISNUMBER(SEARCH("12",'Procyclean MG'!D43)),EDATE(AB542,12),IF(ISNUMBER(SEARCH("6",'Procyclean MG'!D43)),EDATE(AB542,6),IF(ISNUMBER(SEARCH("3",'Procyclean MG'!D43)),EDATE(AB542,3),DATEVALUE('Procyclean MG'!D43))))),""))</f>
        <v/>
      </c>
      <c r="AM542" t="str">
        <f t="shared" ca="1" si="70"/>
        <v/>
      </c>
    </row>
    <row r="543" spans="27:39" x14ac:dyDescent="0.3">
      <c r="AA543" t="str">
        <f>IF(COUNTA('Procyclean MG'!A44,'Procyclean MG'!B44,'Procyclean MG'!C44)&gt;0,"MG","")</f>
        <v/>
      </c>
      <c r="AB543" t="str">
        <f>IFERROR(IF(ISNUMBER('Procyclean MG'!A44),'Procyclean MG'!A44,DATEVALUE('Procyclean MG'!A44)),"")</f>
        <v/>
      </c>
      <c r="AC543" t="str">
        <f>IF(AA543="","",'Procyclean MG'!B44)</f>
        <v/>
      </c>
      <c r="AD543" t="str">
        <f>IF(AA543="","",IFERROR(1*'Procyclean MG'!C44,IFERROR(_xludf.NUMBERVALUE('Procyclean MG'!C44,".",","),IFERROR(_xludf.NUMBERVALUE('Procyclean MG'!C44,",","."),0))))</f>
        <v/>
      </c>
      <c r="AE543" t="str">
        <f>IF(AA543="","",'Procyclean MG'!I44)</f>
        <v/>
      </c>
      <c r="AF543">
        <f t="shared" si="65"/>
        <v>0</v>
      </c>
      <c r="AG543" t="str">
        <f t="shared" si="66"/>
        <v/>
      </c>
      <c r="AH543" t="str">
        <f t="shared" si="67"/>
        <v/>
      </c>
      <c r="AI543">
        <f t="shared" si="68"/>
        <v>0</v>
      </c>
      <c r="AJ543">
        <f t="shared" si="69"/>
        <v>0</v>
      </c>
      <c r="AK543">
        <v>0</v>
      </c>
      <c r="AL543" t="str">
        <f>IF(AA543="","",IFERROR(IF(ISNUMBER('Procyclean MG'!D44),'Procyclean MG'!D44,IF(ISNUMBER(SEARCH("12",'Procyclean MG'!D44)),EDATE(AB543,12),IF(ISNUMBER(SEARCH("6",'Procyclean MG'!D44)),EDATE(AB543,6),IF(ISNUMBER(SEARCH("3",'Procyclean MG'!D44)),EDATE(AB543,3),DATEVALUE('Procyclean MG'!D44))))),""))</f>
        <v/>
      </c>
      <c r="AM543" t="str">
        <f t="shared" ca="1" si="70"/>
        <v/>
      </c>
    </row>
    <row r="544" spans="27:39" x14ac:dyDescent="0.3">
      <c r="AA544" t="str">
        <f>IF(COUNTA('Procyclean MG'!A45,'Procyclean MG'!B45,'Procyclean MG'!C45)&gt;0,"MG","")</f>
        <v/>
      </c>
      <c r="AB544" t="str">
        <f>IFERROR(IF(ISNUMBER('Procyclean MG'!A45),'Procyclean MG'!A45,DATEVALUE('Procyclean MG'!A45)),"")</f>
        <v/>
      </c>
      <c r="AC544" t="str">
        <f>IF(AA544="","",'Procyclean MG'!B45)</f>
        <v/>
      </c>
      <c r="AD544" t="str">
        <f>IF(AA544="","",IFERROR(1*'Procyclean MG'!C45,IFERROR(_xludf.NUMBERVALUE('Procyclean MG'!C45,".",","),IFERROR(_xludf.NUMBERVALUE('Procyclean MG'!C45,",","."),0))))</f>
        <v/>
      </c>
      <c r="AE544" t="str">
        <f>IF(AA544="","",'Procyclean MG'!I45)</f>
        <v/>
      </c>
      <c r="AF544">
        <f t="shared" si="65"/>
        <v>0</v>
      </c>
      <c r="AG544" t="str">
        <f t="shared" si="66"/>
        <v/>
      </c>
      <c r="AH544" t="str">
        <f t="shared" si="67"/>
        <v/>
      </c>
      <c r="AI544">
        <f t="shared" si="68"/>
        <v>0</v>
      </c>
      <c r="AJ544">
        <f t="shared" si="69"/>
        <v>0</v>
      </c>
      <c r="AK544">
        <v>0</v>
      </c>
      <c r="AL544" t="str">
        <f>IF(AA544="","",IFERROR(IF(ISNUMBER('Procyclean MG'!D45),'Procyclean MG'!D45,IF(ISNUMBER(SEARCH("12",'Procyclean MG'!D45)),EDATE(AB544,12),IF(ISNUMBER(SEARCH("6",'Procyclean MG'!D45)),EDATE(AB544,6),IF(ISNUMBER(SEARCH("3",'Procyclean MG'!D45)),EDATE(AB544,3),DATEVALUE('Procyclean MG'!D45))))),""))</f>
        <v/>
      </c>
      <c r="AM544" t="str">
        <f t="shared" ca="1" si="70"/>
        <v/>
      </c>
    </row>
    <row r="545" spans="27:39" x14ac:dyDescent="0.3">
      <c r="AA545" t="str">
        <f>IF(COUNTA('Procyclean MG'!A46,'Procyclean MG'!B46,'Procyclean MG'!C46)&gt;0,"MG","")</f>
        <v/>
      </c>
      <c r="AB545" t="str">
        <f>IFERROR(IF(ISNUMBER('Procyclean MG'!A46),'Procyclean MG'!A46,DATEVALUE('Procyclean MG'!A46)),"")</f>
        <v/>
      </c>
      <c r="AC545" t="str">
        <f>IF(AA545="","",'Procyclean MG'!B46)</f>
        <v/>
      </c>
      <c r="AD545" t="str">
        <f>IF(AA545="","",IFERROR(1*'Procyclean MG'!C46,IFERROR(_xludf.NUMBERVALUE('Procyclean MG'!C46,".",","),IFERROR(_xludf.NUMBERVALUE('Procyclean MG'!C46,",","."),0))))</f>
        <v/>
      </c>
      <c r="AE545" t="str">
        <f>IF(AA545="","",'Procyclean MG'!I46)</f>
        <v/>
      </c>
      <c r="AF545">
        <f t="shared" si="65"/>
        <v>0</v>
      </c>
      <c r="AG545" t="str">
        <f t="shared" si="66"/>
        <v/>
      </c>
      <c r="AH545" t="str">
        <f t="shared" si="67"/>
        <v/>
      </c>
      <c r="AI545">
        <f t="shared" si="68"/>
        <v>0</v>
      </c>
      <c r="AJ545">
        <f t="shared" si="69"/>
        <v>0</v>
      </c>
      <c r="AK545">
        <v>0</v>
      </c>
      <c r="AL545" t="str">
        <f>IF(AA545="","",IFERROR(IF(ISNUMBER('Procyclean MG'!D46),'Procyclean MG'!D46,IF(ISNUMBER(SEARCH("12",'Procyclean MG'!D46)),EDATE(AB545,12),IF(ISNUMBER(SEARCH("6",'Procyclean MG'!D46)),EDATE(AB545,6),IF(ISNUMBER(SEARCH("3",'Procyclean MG'!D46)),EDATE(AB545,3),DATEVALUE('Procyclean MG'!D46))))),""))</f>
        <v/>
      </c>
      <c r="AM545" t="str">
        <f t="shared" ca="1" si="70"/>
        <v/>
      </c>
    </row>
    <row r="546" spans="27:39" x14ac:dyDescent="0.3">
      <c r="AA546" t="str">
        <f>IF(COUNTA('Procyclean MG'!A47,'Procyclean MG'!B47,'Procyclean MG'!C47)&gt;0,"MG","")</f>
        <v/>
      </c>
      <c r="AB546" t="str">
        <f>IFERROR(IF(ISNUMBER('Procyclean MG'!A47),'Procyclean MG'!A47,DATEVALUE('Procyclean MG'!A47)),"")</f>
        <v/>
      </c>
      <c r="AC546" t="str">
        <f>IF(AA546="","",'Procyclean MG'!B47)</f>
        <v/>
      </c>
      <c r="AD546" t="str">
        <f>IF(AA546="","",IFERROR(1*'Procyclean MG'!C47,IFERROR(_xludf.NUMBERVALUE('Procyclean MG'!C47,".",","),IFERROR(_xludf.NUMBERVALUE('Procyclean MG'!C47,",","."),0))))</f>
        <v/>
      </c>
      <c r="AE546" t="str">
        <f>IF(AA546="","",'Procyclean MG'!I47)</f>
        <v/>
      </c>
      <c r="AF546">
        <f t="shared" si="65"/>
        <v>0</v>
      </c>
      <c r="AG546" t="str">
        <f t="shared" si="66"/>
        <v/>
      </c>
      <c r="AH546" t="str">
        <f t="shared" si="67"/>
        <v/>
      </c>
      <c r="AI546">
        <f t="shared" si="68"/>
        <v>0</v>
      </c>
      <c r="AJ546">
        <f t="shared" si="69"/>
        <v>0</v>
      </c>
      <c r="AK546">
        <v>0</v>
      </c>
      <c r="AL546" t="str">
        <f>IF(AA546="","",IFERROR(IF(ISNUMBER('Procyclean MG'!D47),'Procyclean MG'!D47,IF(ISNUMBER(SEARCH("12",'Procyclean MG'!D47)),EDATE(AB546,12),IF(ISNUMBER(SEARCH("6",'Procyclean MG'!D47)),EDATE(AB546,6),IF(ISNUMBER(SEARCH("3",'Procyclean MG'!D47)),EDATE(AB546,3),DATEVALUE('Procyclean MG'!D47))))),""))</f>
        <v/>
      </c>
      <c r="AM546" t="str">
        <f t="shared" ca="1" si="70"/>
        <v/>
      </c>
    </row>
    <row r="547" spans="27:39" x14ac:dyDescent="0.3">
      <c r="AA547" t="str">
        <f>IF(COUNTA('Procyclean MG'!A48,'Procyclean MG'!B48,'Procyclean MG'!C48)&gt;0,"MG","")</f>
        <v/>
      </c>
      <c r="AB547" t="str">
        <f>IFERROR(IF(ISNUMBER('Procyclean MG'!A48),'Procyclean MG'!A48,DATEVALUE('Procyclean MG'!A48)),"")</f>
        <v/>
      </c>
      <c r="AC547" t="str">
        <f>IF(AA547="","",'Procyclean MG'!B48)</f>
        <v/>
      </c>
      <c r="AD547" t="str">
        <f>IF(AA547="","",IFERROR(1*'Procyclean MG'!C48,IFERROR(_xludf.NUMBERVALUE('Procyclean MG'!C48,".",","),IFERROR(_xludf.NUMBERVALUE('Procyclean MG'!C48,",","."),0))))</f>
        <v/>
      </c>
      <c r="AE547" t="str">
        <f>IF(AA547="","",'Procyclean MG'!I48)</f>
        <v/>
      </c>
      <c r="AF547">
        <f t="shared" si="65"/>
        <v>0</v>
      </c>
      <c r="AG547" t="str">
        <f t="shared" si="66"/>
        <v/>
      </c>
      <c r="AH547" t="str">
        <f t="shared" si="67"/>
        <v/>
      </c>
      <c r="AI547">
        <f t="shared" si="68"/>
        <v>0</v>
      </c>
      <c r="AJ547">
        <f t="shared" si="69"/>
        <v>0</v>
      </c>
      <c r="AK547">
        <v>0</v>
      </c>
      <c r="AL547" t="str">
        <f>IF(AA547="","",IFERROR(IF(ISNUMBER('Procyclean MG'!D48),'Procyclean MG'!D48,IF(ISNUMBER(SEARCH("12",'Procyclean MG'!D48)),EDATE(AB547,12),IF(ISNUMBER(SEARCH("6",'Procyclean MG'!D48)),EDATE(AB547,6),IF(ISNUMBER(SEARCH("3",'Procyclean MG'!D48)),EDATE(AB547,3),DATEVALUE('Procyclean MG'!D48))))),""))</f>
        <v/>
      </c>
      <c r="AM547" t="str">
        <f t="shared" ca="1" si="70"/>
        <v/>
      </c>
    </row>
    <row r="548" spans="27:39" x14ac:dyDescent="0.3">
      <c r="AA548" t="str">
        <f>IF(COUNTA('Procyclean MG'!A49,'Procyclean MG'!B49,'Procyclean MG'!C49)&gt;0,"MG","")</f>
        <v/>
      </c>
      <c r="AB548" t="str">
        <f>IFERROR(IF(ISNUMBER('Procyclean MG'!A49),'Procyclean MG'!A49,DATEVALUE('Procyclean MG'!A49)),"")</f>
        <v/>
      </c>
      <c r="AC548" t="str">
        <f>IF(AA548="","",'Procyclean MG'!B49)</f>
        <v/>
      </c>
      <c r="AD548" t="str">
        <f>IF(AA548="","",IFERROR(1*'Procyclean MG'!C49,IFERROR(_xludf.NUMBERVALUE('Procyclean MG'!C49,".",","),IFERROR(_xludf.NUMBERVALUE('Procyclean MG'!C49,",","."),0))))</f>
        <v/>
      </c>
      <c r="AE548" t="str">
        <f>IF(AA548="","",'Procyclean MG'!I49)</f>
        <v/>
      </c>
      <c r="AF548">
        <f t="shared" si="65"/>
        <v>0</v>
      </c>
      <c r="AG548" t="str">
        <f t="shared" si="66"/>
        <v/>
      </c>
      <c r="AH548" t="str">
        <f t="shared" si="67"/>
        <v/>
      </c>
      <c r="AI548">
        <f t="shared" si="68"/>
        <v>0</v>
      </c>
      <c r="AJ548">
        <f t="shared" si="69"/>
        <v>0</v>
      </c>
      <c r="AK548">
        <v>0</v>
      </c>
      <c r="AL548" t="str">
        <f>IF(AA548="","",IFERROR(IF(ISNUMBER('Procyclean MG'!D49),'Procyclean MG'!D49,IF(ISNUMBER(SEARCH("12",'Procyclean MG'!D49)),EDATE(AB548,12),IF(ISNUMBER(SEARCH("6",'Procyclean MG'!D49)),EDATE(AB548,6),IF(ISNUMBER(SEARCH("3",'Procyclean MG'!D49)),EDATE(AB548,3),DATEVALUE('Procyclean MG'!D49))))),""))</f>
        <v/>
      </c>
      <c r="AM548" t="str">
        <f t="shared" ca="1" si="70"/>
        <v/>
      </c>
    </row>
    <row r="549" spans="27:39" x14ac:dyDescent="0.3">
      <c r="AA549" t="str">
        <f>IF(COUNTA('Procyclean MG'!A50,'Procyclean MG'!B50,'Procyclean MG'!C50)&gt;0,"MG","")</f>
        <v/>
      </c>
      <c r="AB549" t="str">
        <f>IFERROR(IF(ISNUMBER('Procyclean MG'!A50),'Procyclean MG'!A50,DATEVALUE('Procyclean MG'!A50)),"")</f>
        <v/>
      </c>
      <c r="AC549" t="str">
        <f>IF(AA549="","",'Procyclean MG'!B50)</f>
        <v/>
      </c>
      <c r="AD549" t="str">
        <f>IF(AA549="","",IFERROR(1*'Procyclean MG'!C50,IFERROR(_xludf.NUMBERVALUE('Procyclean MG'!C50,".",","),IFERROR(_xludf.NUMBERVALUE('Procyclean MG'!C50,",","."),0))))</f>
        <v/>
      </c>
      <c r="AE549" t="str">
        <f>IF(AA549="","",'Procyclean MG'!I50)</f>
        <v/>
      </c>
      <c r="AF549">
        <f t="shared" si="65"/>
        <v>0</v>
      </c>
      <c r="AG549" t="str">
        <f t="shared" si="66"/>
        <v/>
      </c>
      <c r="AH549" t="str">
        <f t="shared" si="67"/>
        <v/>
      </c>
      <c r="AI549">
        <f t="shared" si="68"/>
        <v>0</v>
      </c>
      <c r="AJ549">
        <f t="shared" si="69"/>
        <v>0</v>
      </c>
      <c r="AK549">
        <v>0</v>
      </c>
      <c r="AL549" t="str">
        <f>IF(AA549="","",IFERROR(IF(ISNUMBER('Procyclean MG'!D50),'Procyclean MG'!D50,IF(ISNUMBER(SEARCH("12",'Procyclean MG'!D50)),EDATE(AB549,12),IF(ISNUMBER(SEARCH("6",'Procyclean MG'!D50)),EDATE(AB549,6),IF(ISNUMBER(SEARCH("3",'Procyclean MG'!D50)),EDATE(AB549,3),DATEVALUE('Procyclean MG'!D50))))),""))</f>
        <v/>
      </c>
      <c r="AM549" t="str">
        <f t="shared" ca="1" si="70"/>
        <v/>
      </c>
    </row>
    <row r="550" spans="27:39" x14ac:dyDescent="0.3">
      <c r="AA550" t="str">
        <f>IF(COUNTA('Procyclean MG'!A51,'Procyclean MG'!B51,'Procyclean MG'!C51)&gt;0,"MG","")</f>
        <v/>
      </c>
      <c r="AB550" t="str">
        <f>IFERROR(IF(ISNUMBER('Procyclean MG'!A51),'Procyclean MG'!A51,DATEVALUE('Procyclean MG'!A51)),"")</f>
        <v/>
      </c>
      <c r="AC550" t="str">
        <f>IF(AA550="","",'Procyclean MG'!B51)</f>
        <v/>
      </c>
      <c r="AD550" t="str">
        <f>IF(AA550="","",IFERROR(1*'Procyclean MG'!C51,IFERROR(_xludf.NUMBERVALUE('Procyclean MG'!C51,".",","),IFERROR(_xludf.NUMBERVALUE('Procyclean MG'!C51,",","."),0))))</f>
        <v/>
      </c>
      <c r="AE550" t="str">
        <f>IF(AA550="","",'Procyclean MG'!I51)</f>
        <v/>
      </c>
      <c r="AF550">
        <f t="shared" si="65"/>
        <v>0</v>
      </c>
      <c r="AG550" t="str">
        <f t="shared" si="66"/>
        <v/>
      </c>
      <c r="AH550" t="str">
        <f t="shared" si="67"/>
        <v/>
      </c>
      <c r="AI550">
        <f t="shared" si="68"/>
        <v>0</v>
      </c>
      <c r="AJ550">
        <f t="shared" si="69"/>
        <v>0</v>
      </c>
      <c r="AK550">
        <v>0</v>
      </c>
      <c r="AL550" t="str">
        <f>IF(AA550="","",IFERROR(IF(ISNUMBER('Procyclean MG'!D51),'Procyclean MG'!D51,IF(ISNUMBER(SEARCH("12",'Procyclean MG'!D51)),EDATE(AB550,12),IF(ISNUMBER(SEARCH("6",'Procyclean MG'!D51)),EDATE(AB550,6),IF(ISNUMBER(SEARCH("3",'Procyclean MG'!D51)),EDATE(AB550,3),DATEVALUE('Procyclean MG'!D51))))),""))</f>
        <v/>
      </c>
      <c r="AM550" t="str">
        <f t="shared" ca="1" si="70"/>
        <v/>
      </c>
    </row>
    <row r="551" spans="27:39" x14ac:dyDescent="0.3">
      <c r="AA551" t="str">
        <f>IF(COUNTA('Procyclean MG'!A52,'Procyclean MG'!B52,'Procyclean MG'!C52)&gt;0,"MG","")</f>
        <v/>
      </c>
      <c r="AB551" t="str">
        <f>IFERROR(IF(ISNUMBER('Procyclean MG'!A52),'Procyclean MG'!A52,DATEVALUE('Procyclean MG'!A52)),"")</f>
        <v/>
      </c>
      <c r="AC551" t="str">
        <f>IF(AA551="","",'Procyclean MG'!B52)</f>
        <v/>
      </c>
      <c r="AD551" t="str">
        <f>IF(AA551="","",IFERROR(1*'Procyclean MG'!C52,IFERROR(_xludf.NUMBERVALUE('Procyclean MG'!C52,".",","),IFERROR(_xludf.NUMBERVALUE('Procyclean MG'!C52,",","."),0))))</f>
        <v/>
      </c>
      <c r="AE551" t="str">
        <f>IF(AA551="","",'Procyclean MG'!I52)</f>
        <v/>
      </c>
      <c r="AF551">
        <f t="shared" si="65"/>
        <v>0</v>
      </c>
      <c r="AG551" t="str">
        <f t="shared" si="66"/>
        <v/>
      </c>
      <c r="AH551" t="str">
        <f t="shared" si="67"/>
        <v/>
      </c>
      <c r="AI551">
        <f t="shared" si="68"/>
        <v>0</v>
      </c>
      <c r="AJ551">
        <f t="shared" si="69"/>
        <v>0</v>
      </c>
      <c r="AK551">
        <v>0</v>
      </c>
      <c r="AL551" t="str">
        <f>IF(AA551="","",IFERROR(IF(ISNUMBER('Procyclean MG'!D52),'Procyclean MG'!D52,IF(ISNUMBER(SEARCH("12",'Procyclean MG'!D52)),EDATE(AB551,12),IF(ISNUMBER(SEARCH("6",'Procyclean MG'!D52)),EDATE(AB551,6),IF(ISNUMBER(SEARCH("3",'Procyclean MG'!D52)),EDATE(AB551,3),DATEVALUE('Procyclean MG'!D52))))),""))</f>
        <v/>
      </c>
      <c r="AM551" t="str">
        <f t="shared" ca="1" si="70"/>
        <v/>
      </c>
    </row>
    <row r="552" spans="27:39" x14ac:dyDescent="0.3">
      <c r="AA552" t="str">
        <f>IF(COUNTA('Procyclean MG'!A53,'Procyclean MG'!B53,'Procyclean MG'!C53)&gt;0,"MG","")</f>
        <v/>
      </c>
      <c r="AB552" t="str">
        <f>IFERROR(IF(ISNUMBER('Procyclean MG'!A53),'Procyclean MG'!A53,DATEVALUE('Procyclean MG'!A53)),"")</f>
        <v/>
      </c>
      <c r="AC552" t="str">
        <f>IF(AA552="","",'Procyclean MG'!B53)</f>
        <v/>
      </c>
      <c r="AD552" t="str">
        <f>IF(AA552="","",IFERROR(1*'Procyclean MG'!C53,IFERROR(_xludf.NUMBERVALUE('Procyclean MG'!C53,".",","),IFERROR(_xludf.NUMBERVALUE('Procyclean MG'!C53,",","."),0))))</f>
        <v/>
      </c>
      <c r="AE552" t="str">
        <f>IF(AA552="","",'Procyclean MG'!I53)</f>
        <v/>
      </c>
      <c r="AF552">
        <f t="shared" si="65"/>
        <v>0</v>
      </c>
      <c r="AG552" t="str">
        <f t="shared" si="66"/>
        <v/>
      </c>
      <c r="AH552" t="str">
        <f t="shared" si="67"/>
        <v/>
      </c>
      <c r="AI552">
        <f t="shared" si="68"/>
        <v>0</v>
      </c>
      <c r="AJ552">
        <f t="shared" si="69"/>
        <v>0</v>
      </c>
      <c r="AK552">
        <v>0</v>
      </c>
      <c r="AL552" t="str">
        <f>IF(AA552="","",IFERROR(IF(ISNUMBER('Procyclean MG'!D53),'Procyclean MG'!D53,IF(ISNUMBER(SEARCH("12",'Procyclean MG'!D53)),EDATE(AB552,12),IF(ISNUMBER(SEARCH("6",'Procyclean MG'!D53)),EDATE(AB552,6),IF(ISNUMBER(SEARCH("3",'Procyclean MG'!D53)),EDATE(AB552,3),DATEVALUE('Procyclean MG'!D53))))),""))</f>
        <v/>
      </c>
      <c r="AM552" t="str">
        <f t="shared" ca="1" si="70"/>
        <v/>
      </c>
    </row>
    <row r="553" spans="27:39" x14ac:dyDescent="0.3">
      <c r="AA553" t="str">
        <f>IF(COUNTA('Procyclean MG'!A54,'Procyclean MG'!B54,'Procyclean MG'!C54)&gt;0,"MG","")</f>
        <v/>
      </c>
      <c r="AB553" t="str">
        <f>IFERROR(IF(ISNUMBER('Procyclean MG'!A54),'Procyclean MG'!A54,DATEVALUE('Procyclean MG'!A54)),"")</f>
        <v/>
      </c>
      <c r="AC553" t="str">
        <f>IF(AA553="","",'Procyclean MG'!B54)</f>
        <v/>
      </c>
      <c r="AD553" t="str">
        <f>IF(AA553="","",IFERROR(1*'Procyclean MG'!C54,IFERROR(_xludf.NUMBERVALUE('Procyclean MG'!C54,".",","),IFERROR(_xludf.NUMBERVALUE('Procyclean MG'!C54,",","."),0))))</f>
        <v/>
      </c>
      <c r="AE553" t="str">
        <f>IF(AA553="","",'Procyclean MG'!I54)</f>
        <v/>
      </c>
      <c r="AF553">
        <f t="shared" si="65"/>
        <v>0</v>
      </c>
      <c r="AG553" t="str">
        <f t="shared" si="66"/>
        <v/>
      </c>
      <c r="AH553" t="str">
        <f t="shared" si="67"/>
        <v/>
      </c>
      <c r="AI553">
        <f t="shared" si="68"/>
        <v>0</v>
      </c>
      <c r="AJ553">
        <f t="shared" si="69"/>
        <v>0</v>
      </c>
      <c r="AK553">
        <v>0</v>
      </c>
      <c r="AL553" t="str">
        <f>IF(AA553="","",IFERROR(IF(ISNUMBER('Procyclean MG'!D54),'Procyclean MG'!D54,IF(ISNUMBER(SEARCH("12",'Procyclean MG'!D54)),EDATE(AB553,12),IF(ISNUMBER(SEARCH("6",'Procyclean MG'!D54)),EDATE(AB553,6),IF(ISNUMBER(SEARCH("3",'Procyclean MG'!D54)),EDATE(AB553,3),DATEVALUE('Procyclean MG'!D54))))),""))</f>
        <v/>
      </c>
      <c r="AM553" t="str">
        <f t="shared" ca="1" si="70"/>
        <v/>
      </c>
    </row>
    <row r="554" spans="27:39" x14ac:dyDescent="0.3">
      <c r="AA554" t="str">
        <f>IF(COUNTA('Procyclean MG'!A55,'Procyclean MG'!B55,'Procyclean MG'!C55)&gt;0,"MG","")</f>
        <v/>
      </c>
      <c r="AB554" t="str">
        <f>IFERROR(IF(ISNUMBER('Procyclean MG'!A55),'Procyclean MG'!A55,DATEVALUE('Procyclean MG'!A55)),"")</f>
        <v/>
      </c>
      <c r="AC554" t="str">
        <f>IF(AA554="","",'Procyclean MG'!B55)</f>
        <v/>
      </c>
      <c r="AD554" t="str">
        <f>IF(AA554="","",IFERROR(1*'Procyclean MG'!C55,IFERROR(_xludf.NUMBERVALUE('Procyclean MG'!C55,".",","),IFERROR(_xludf.NUMBERVALUE('Procyclean MG'!C55,",","."),0))))</f>
        <v/>
      </c>
      <c r="AE554" t="str">
        <f>IF(AA554="","",'Procyclean MG'!I55)</f>
        <v/>
      </c>
      <c r="AF554">
        <f t="shared" si="65"/>
        <v>0</v>
      </c>
      <c r="AG554" t="str">
        <f t="shared" si="66"/>
        <v/>
      </c>
      <c r="AH554" t="str">
        <f t="shared" si="67"/>
        <v/>
      </c>
      <c r="AI554">
        <f t="shared" si="68"/>
        <v>0</v>
      </c>
      <c r="AJ554">
        <f t="shared" si="69"/>
        <v>0</v>
      </c>
      <c r="AK554">
        <v>0</v>
      </c>
      <c r="AL554" t="str">
        <f>IF(AA554="","",IFERROR(IF(ISNUMBER('Procyclean MG'!D55),'Procyclean MG'!D55,IF(ISNUMBER(SEARCH("12",'Procyclean MG'!D55)),EDATE(AB554,12),IF(ISNUMBER(SEARCH("6",'Procyclean MG'!D55)),EDATE(AB554,6),IF(ISNUMBER(SEARCH("3",'Procyclean MG'!D55)),EDATE(AB554,3),DATEVALUE('Procyclean MG'!D55))))),""))</f>
        <v/>
      </c>
      <c r="AM554" t="str">
        <f t="shared" ca="1" si="70"/>
        <v/>
      </c>
    </row>
    <row r="555" spans="27:39" x14ac:dyDescent="0.3">
      <c r="AA555" t="str">
        <f>IF(COUNTA('Procyclean MG'!A56,'Procyclean MG'!B56,'Procyclean MG'!C56)&gt;0,"MG","")</f>
        <v/>
      </c>
      <c r="AB555" t="str">
        <f>IFERROR(IF(ISNUMBER('Procyclean MG'!A56),'Procyclean MG'!A56,DATEVALUE('Procyclean MG'!A56)),"")</f>
        <v/>
      </c>
      <c r="AC555" t="str">
        <f>IF(AA555="","",'Procyclean MG'!B56)</f>
        <v/>
      </c>
      <c r="AD555" t="str">
        <f>IF(AA555="","",IFERROR(1*'Procyclean MG'!C56,IFERROR(_xludf.NUMBERVALUE('Procyclean MG'!C56,".",","),IFERROR(_xludf.NUMBERVALUE('Procyclean MG'!C56,",","."),0))))</f>
        <v/>
      </c>
      <c r="AE555" t="str">
        <f>IF(AA555="","",'Procyclean MG'!I56)</f>
        <v/>
      </c>
      <c r="AF555">
        <f t="shared" si="65"/>
        <v>0</v>
      </c>
      <c r="AG555" t="str">
        <f t="shared" si="66"/>
        <v/>
      </c>
      <c r="AH555" t="str">
        <f t="shared" si="67"/>
        <v/>
      </c>
      <c r="AI555">
        <f t="shared" si="68"/>
        <v>0</v>
      </c>
      <c r="AJ555">
        <f t="shared" si="69"/>
        <v>0</v>
      </c>
      <c r="AK555">
        <v>0</v>
      </c>
      <c r="AL555" t="str">
        <f>IF(AA555="","",IFERROR(IF(ISNUMBER('Procyclean MG'!D56),'Procyclean MG'!D56,IF(ISNUMBER(SEARCH("12",'Procyclean MG'!D56)),EDATE(AB555,12),IF(ISNUMBER(SEARCH("6",'Procyclean MG'!D56)),EDATE(AB555,6),IF(ISNUMBER(SEARCH("3",'Procyclean MG'!D56)),EDATE(AB555,3),DATEVALUE('Procyclean MG'!D56))))),""))</f>
        <v/>
      </c>
      <c r="AM555" t="str">
        <f t="shared" ca="1" si="70"/>
        <v/>
      </c>
    </row>
    <row r="556" spans="27:39" x14ac:dyDescent="0.3">
      <c r="AA556" t="str">
        <f>IF(COUNTA('Procyclean MG'!A57,'Procyclean MG'!B57,'Procyclean MG'!C57)&gt;0,"MG","")</f>
        <v/>
      </c>
      <c r="AB556" t="str">
        <f>IFERROR(IF(ISNUMBER('Procyclean MG'!A57),'Procyclean MG'!A57,DATEVALUE('Procyclean MG'!A57)),"")</f>
        <v/>
      </c>
      <c r="AC556" t="str">
        <f>IF(AA556="","",'Procyclean MG'!B57)</f>
        <v/>
      </c>
      <c r="AD556" t="str">
        <f>IF(AA556="","",IFERROR(1*'Procyclean MG'!C57,IFERROR(_xludf.NUMBERVALUE('Procyclean MG'!C57,".",","),IFERROR(_xludf.NUMBERVALUE('Procyclean MG'!C57,",","."),0))))</f>
        <v/>
      </c>
      <c r="AE556" t="str">
        <f>IF(AA556="","",'Procyclean MG'!I57)</f>
        <v/>
      </c>
      <c r="AF556">
        <f t="shared" si="65"/>
        <v>0</v>
      </c>
      <c r="AG556" t="str">
        <f t="shared" si="66"/>
        <v/>
      </c>
      <c r="AH556" t="str">
        <f t="shared" si="67"/>
        <v/>
      </c>
      <c r="AI556">
        <f t="shared" si="68"/>
        <v>0</v>
      </c>
      <c r="AJ556">
        <f t="shared" si="69"/>
        <v>0</v>
      </c>
      <c r="AK556">
        <v>0</v>
      </c>
      <c r="AL556" t="str">
        <f>IF(AA556="","",IFERROR(IF(ISNUMBER('Procyclean MG'!D57),'Procyclean MG'!D57,IF(ISNUMBER(SEARCH("12",'Procyclean MG'!D57)),EDATE(AB556,12),IF(ISNUMBER(SEARCH("6",'Procyclean MG'!D57)),EDATE(AB556,6),IF(ISNUMBER(SEARCH("3",'Procyclean MG'!D57)),EDATE(AB556,3),DATEVALUE('Procyclean MG'!D57))))),""))</f>
        <v/>
      </c>
      <c r="AM556" t="str">
        <f t="shared" ca="1" si="70"/>
        <v/>
      </c>
    </row>
    <row r="557" spans="27:39" x14ac:dyDescent="0.3">
      <c r="AA557" t="str">
        <f>IF(COUNTA('Procyclean MG'!A58,'Procyclean MG'!B58,'Procyclean MG'!C58)&gt;0,"MG","")</f>
        <v/>
      </c>
      <c r="AB557" t="str">
        <f>IFERROR(IF(ISNUMBER('Procyclean MG'!A58),'Procyclean MG'!A58,DATEVALUE('Procyclean MG'!A58)),"")</f>
        <v/>
      </c>
      <c r="AC557" t="str">
        <f>IF(AA557="","",'Procyclean MG'!B58)</f>
        <v/>
      </c>
      <c r="AD557" t="str">
        <f>IF(AA557="","",IFERROR(1*'Procyclean MG'!C58,IFERROR(_xludf.NUMBERVALUE('Procyclean MG'!C58,".",","),IFERROR(_xludf.NUMBERVALUE('Procyclean MG'!C58,",","."),0))))</f>
        <v/>
      </c>
      <c r="AE557" t="str">
        <f>IF(AA557="","",'Procyclean MG'!I58)</f>
        <v/>
      </c>
      <c r="AF557">
        <f t="shared" si="65"/>
        <v>0</v>
      </c>
      <c r="AG557" t="str">
        <f t="shared" si="66"/>
        <v/>
      </c>
      <c r="AH557" t="str">
        <f t="shared" si="67"/>
        <v/>
      </c>
      <c r="AI557">
        <f t="shared" si="68"/>
        <v>0</v>
      </c>
      <c r="AJ557">
        <f t="shared" si="69"/>
        <v>0</v>
      </c>
      <c r="AK557">
        <v>0</v>
      </c>
      <c r="AL557" t="str">
        <f>IF(AA557="","",IFERROR(IF(ISNUMBER('Procyclean MG'!D58),'Procyclean MG'!D58,IF(ISNUMBER(SEARCH("12",'Procyclean MG'!D58)),EDATE(AB557,12),IF(ISNUMBER(SEARCH("6",'Procyclean MG'!D58)),EDATE(AB557,6),IF(ISNUMBER(SEARCH("3",'Procyclean MG'!D58)),EDATE(AB557,3),DATEVALUE('Procyclean MG'!D58))))),""))</f>
        <v/>
      </c>
      <c r="AM557" t="str">
        <f t="shared" ca="1" si="70"/>
        <v/>
      </c>
    </row>
    <row r="558" spans="27:39" x14ac:dyDescent="0.3">
      <c r="AA558" t="str">
        <f>IF(COUNTA('Procyclean MG'!A59,'Procyclean MG'!B59,'Procyclean MG'!C59)&gt;0,"MG","")</f>
        <v/>
      </c>
      <c r="AB558" t="str">
        <f>IFERROR(IF(ISNUMBER('Procyclean MG'!A59),'Procyclean MG'!A59,DATEVALUE('Procyclean MG'!A59)),"")</f>
        <v/>
      </c>
      <c r="AC558" t="str">
        <f>IF(AA558="","",'Procyclean MG'!B59)</f>
        <v/>
      </c>
      <c r="AD558" t="str">
        <f>IF(AA558="","",IFERROR(1*'Procyclean MG'!C59,IFERROR(_xludf.NUMBERVALUE('Procyclean MG'!C59,".",","),IFERROR(_xludf.NUMBERVALUE('Procyclean MG'!C59,",","."),0))))</f>
        <v/>
      </c>
      <c r="AE558" t="str">
        <f>IF(AA558="","",'Procyclean MG'!I59)</f>
        <v/>
      </c>
      <c r="AF558">
        <f t="shared" si="65"/>
        <v>0</v>
      </c>
      <c r="AG558" t="str">
        <f t="shared" si="66"/>
        <v/>
      </c>
      <c r="AH558" t="str">
        <f t="shared" si="67"/>
        <v/>
      </c>
      <c r="AI558">
        <f t="shared" si="68"/>
        <v>0</v>
      </c>
      <c r="AJ558">
        <f t="shared" si="69"/>
        <v>0</v>
      </c>
      <c r="AK558">
        <v>0</v>
      </c>
      <c r="AL558" t="str">
        <f>IF(AA558="","",IFERROR(IF(ISNUMBER('Procyclean MG'!D59),'Procyclean MG'!D59,IF(ISNUMBER(SEARCH("12",'Procyclean MG'!D59)),EDATE(AB558,12),IF(ISNUMBER(SEARCH("6",'Procyclean MG'!D59)),EDATE(AB558,6),IF(ISNUMBER(SEARCH("3",'Procyclean MG'!D59)),EDATE(AB558,3),DATEVALUE('Procyclean MG'!D59))))),""))</f>
        <v/>
      </c>
      <c r="AM558" t="str">
        <f t="shared" ca="1" si="70"/>
        <v/>
      </c>
    </row>
    <row r="559" spans="27:39" x14ac:dyDescent="0.3">
      <c r="AA559" t="str">
        <f>IF(COUNTA('Procyclean MG'!A60,'Procyclean MG'!B60,'Procyclean MG'!C60)&gt;0,"MG","")</f>
        <v/>
      </c>
      <c r="AB559" t="str">
        <f>IFERROR(IF(ISNUMBER('Procyclean MG'!A60),'Procyclean MG'!A60,DATEVALUE('Procyclean MG'!A60)),"")</f>
        <v/>
      </c>
      <c r="AC559" t="str">
        <f>IF(AA559="","",'Procyclean MG'!B60)</f>
        <v/>
      </c>
      <c r="AD559" t="str">
        <f>IF(AA559="","",IFERROR(1*'Procyclean MG'!C60,IFERROR(_xludf.NUMBERVALUE('Procyclean MG'!C60,".",","),IFERROR(_xludf.NUMBERVALUE('Procyclean MG'!C60,",","."),0))))</f>
        <v/>
      </c>
      <c r="AE559" t="str">
        <f>IF(AA559="","",'Procyclean MG'!I60)</f>
        <v/>
      </c>
      <c r="AF559">
        <f t="shared" si="65"/>
        <v>0</v>
      </c>
      <c r="AG559" t="str">
        <f t="shared" si="66"/>
        <v/>
      </c>
      <c r="AH559" t="str">
        <f t="shared" si="67"/>
        <v/>
      </c>
      <c r="AI559">
        <f t="shared" si="68"/>
        <v>0</v>
      </c>
      <c r="AJ559">
        <f t="shared" si="69"/>
        <v>0</v>
      </c>
      <c r="AK559">
        <v>0</v>
      </c>
      <c r="AL559" t="str">
        <f>IF(AA559="","",IFERROR(IF(ISNUMBER('Procyclean MG'!D60),'Procyclean MG'!D60,IF(ISNUMBER(SEARCH("12",'Procyclean MG'!D60)),EDATE(AB559,12),IF(ISNUMBER(SEARCH("6",'Procyclean MG'!D60)),EDATE(AB559,6),IF(ISNUMBER(SEARCH("3",'Procyclean MG'!D60)),EDATE(AB559,3),DATEVALUE('Procyclean MG'!D60))))),""))</f>
        <v/>
      </c>
      <c r="AM559" t="str">
        <f t="shared" ca="1" si="70"/>
        <v/>
      </c>
    </row>
    <row r="560" spans="27:39" x14ac:dyDescent="0.3">
      <c r="AA560" t="str">
        <f>IF(COUNTA('Procyclean MG'!A61,'Procyclean MG'!B61,'Procyclean MG'!C61)&gt;0,"MG","")</f>
        <v/>
      </c>
      <c r="AB560" t="str">
        <f>IFERROR(IF(ISNUMBER('Procyclean MG'!A61),'Procyclean MG'!A61,DATEVALUE('Procyclean MG'!A61)),"")</f>
        <v/>
      </c>
      <c r="AC560" t="str">
        <f>IF(AA560="","",'Procyclean MG'!B61)</f>
        <v/>
      </c>
      <c r="AD560" t="str">
        <f>IF(AA560="","",IFERROR(1*'Procyclean MG'!C61,IFERROR(_xludf.NUMBERVALUE('Procyclean MG'!C61,".",","),IFERROR(_xludf.NUMBERVALUE('Procyclean MG'!C61,",","."),0))))</f>
        <v/>
      </c>
      <c r="AE560" t="str">
        <f>IF(AA560="","",'Procyclean MG'!I61)</f>
        <v/>
      </c>
      <c r="AF560">
        <f t="shared" si="65"/>
        <v>0</v>
      </c>
      <c r="AG560" t="str">
        <f t="shared" si="66"/>
        <v/>
      </c>
      <c r="AH560" t="str">
        <f t="shared" si="67"/>
        <v/>
      </c>
      <c r="AI560">
        <f t="shared" si="68"/>
        <v>0</v>
      </c>
      <c r="AJ560">
        <f t="shared" si="69"/>
        <v>0</v>
      </c>
      <c r="AK560">
        <v>0</v>
      </c>
      <c r="AL560" t="str">
        <f>IF(AA560="","",IFERROR(IF(ISNUMBER('Procyclean MG'!D61),'Procyclean MG'!D61,IF(ISNUMBER(SEARCH("12",'Procyclean MG'!D61)),EDATE(AB560,12),IF(ISNUMBER(SEARCH("6",'Procyclean MG'!D61)),EDATE(AB560,6),IF(ISNUMBER(SEARCH("3",'Procyclean MG'!D61)),EDATE(AB560,3),DATEVALUE('Procyclean MG'!D61))))),""))</f>
        <v/>
      </c>
      <c r="AM560" t="str">
        <f t="shared" ca="1" si="70"/>
        <v/>
      </c>
    </row>
    <row r="561" spans="27:39" x14ac:dyDescent="0.3">
      <c r="AA561" t="str">
        <f>IF(COUNTA('Procyclean MG'!A62,'Procyclean MG'!B62,'Procyclean MG'!C62)&gt;0,"MG","")</f>
        <v/>
      </c>
      <c r="AB561" t="str">
        <f>IFERROR(IF(ISNUMBER('Procyclean MG'!A62),'Procyclean MG'!A62,DATEVALUE('Procyclean MG'!A62)),"")</f>
        <v/>
      </c>
      <c r="AC561" t="str">
        <f>IF(AA561="","",'Procyclean MG'!B62)</f>
        <v/>
      </c>
      <c r="AD561" t="str">
        <f>IF(AA561="","",IFERROR(1*'Procyclean MG'!C62,IFERROR(_xludf.NUMBERVALUE('Procyclean MG'!C62,".",","),IFERROR(_xludf.NUMBERVALUE('Procyclean MG'!C62,",","."),0))))</f>
        <v/>
      </c>
      <c r="AE561" t="str">
        <f>IF(AA561="","",'Procyclean MG'!I62)</f>
        <v/>
      </c>
      <c r="AF561">
        <f t="shared" si="65"/>
        <v>0</v>
      </c>
      <c r="AG561" t="str">
        <f t="shared" si="66"/>
        <v/>
      </c>
      <c r="AH561" t="str">
        <f t="shared" si="67"/>
        <v/>
      </c>
      <c r="AI561">
        <f t="shared" si="68"/>
        <v>0</v>
      </c>
      <c r="AJ561">
        <f t="shared" si="69"/>
        <v>0</v>
      </c>
      <c r="AK561">
        <v>0</v>
      </c>
      <c r="AL561" t="str">
        <f>IF(AA561="","",IFERROR(IF(ISNUMBER('Procyclean MG'!D62),'Procyclean MG'!D62,IF(ISNUMBER(SEARCH("12",'Procyclean MG'!D62)),EDATE(AB561,12),IF(ISNUMBER(SEARCH("6",'Procyclean MG'!D62)),EDATE(AB561,6),IF(ISNUMBER(SEARCH("3",'Procyclean MG'!D62)),EDATE(AB561,3),DATEVALUE('Procyclean MG'!D62))))),""))</f>
        <v/>
      </c>
      <c r="AM561" t="str">
        <f t="shared" ca="1" si="70"/>
        <v/>
      </c>
    </row>
    <row r="562" spans="27:39" x14ac:dyDescent="0.3">
      <c r="AA562" t="str">
        <f>IF(COUNTA('Procyclean MG'!A63,'Procyclean MG'!B63,'Procyclean MG'!C63)&gt;0,"MG","")</f>
        <v/>
      </c>
      <c r="AB562" t="str">
        <f>IFERROR(IF(ISNUMBER('Procyclean MG'!A63),'Procyclean MG'!A63,DATEVALUE('Procyclean MG'!A63)),"")</f>
        <v/>
      </c>
      <c r="AC562" t="str">
        <f>IF(AA562="","",'Procyclean MG'!B63)</f>
        <v/>
      </c>
      <c r="AD562" t="str">
        <f>IF(AA562="","",IFERROR(1*'Procyclean MG'!C63,IFERROR(_xludf.NUMBERVALUE('Procyclean MG'!C63,".",","),IFERROR(_xludf.NUMBERVALUE('Procyclean MG'!C63,",","."),0))))</f>
        <v/>
      </c>
      <c r="AE562" t="str">
        <f>IF(AA562="","",'Procyclean MG'!I63)</f>
        <v/>
      </c>
      <c r="AF562">
        <f t="shared" si="65"/>
        <v>0</v>
      </c>
      <c r="AG562" t="str">
        <f t="shared" si="66"/>
        <v/>
      </c>
      <c r="AH562" t="str">
        <f t="shared" si="67"/>
        <v/>
      </c>
      <c r="AI562">
        <f t="shared" si="68"/>
        <v>0</v>
      </c>
      <c r="AJ562">
        <f t="shared" si="69"/>
        <v>0</v>
      </c>
      <c r="AK562">
        <v>0</v>
      </c>
      <c r="AL562" t="str">
        <f>IF(AA562="","",IFERROR(IF(ISNUMBER('Procyclean MG'!D63),'Procyclean MG'!D63,IF(ISNUMBER(SEARCH("12",'Procyclean MG'!D63)),EDATE(AB562,12),IF(ISNUMBER(SEARCH("6",'Procyclean MG'!D63)),EDATE(AB562,6),IF(ISNUMBER(SEARCH("3",'Procyclean MG'!D63)),EDATE(AB562,3),DATEVALUE('Procyclean MG'!D63))))),""))</f>
        <v/>
      </c>
      <c r="AM562" t="str">
        <f t="shared" ca="1" si="70"/>
        <v/>
      </c>
    </row>
    <row r="563" spans="27:39" x14ac:dyDescent="0.3">
      <c r="AA563" t="str">
        <f>IF(COUNTA('Procyclean MG'!A64,'Procyclean MG'!B64,'Procyclean MG'!C64)&gt;0,"MG","")</f>
        <v/>
      </c>
      <c r="AB563" t="str">
        <f>IFERROR(IF(ISNUMBER('Procyclean MG'!A64),'Procyclean MG'!A64,DATEVALUE('Procyclean MG'!A64)),"")</f>
        <v/>
      </c>
      <c r="AC563" t="str">
        <f>IF(AA563="","",'Procyclean MG'!B64)</f>
        <v/>
      </c>
      <c r="AD563" t="str">
        <f>IF(AA563="","",IFERROR(1*'Procyclean MG'!C64,IFERROR(_xludf.NUMBERVALUE('Procyclean MG'!C64,".",","),IFERROR(_xludf.NUMBERVALUE('Procyclean MG'!C64,",","."),0))))</f>
        <v/>
      </c>
      <c r="AE563" t="str">
        <f>IF(AA563="","",'Procyclean MG'!I64)</f>
        <v/>
      </c>
      <c r="AF563">
        <f t="shared" si="65"/>
        <v>0</v>
      </c>
      <c r="AG563" t="str">
        <f t="shared" si="66"/>
        <v/>
      </c>
      <c r="AH563" t="str">
        <f t="shared" si="67"/>
        <v/>
      </c>
      <c r="AI563">
        <f t="shared" si="68"/>
        <v>0</v>
      </c>
      <c r="AJ563">
        <f t="shared" si="69"/>
        <v>0</v>
      </c>
      <c r="AK563">
        <v>0</v>
      </c>
      <c r="AL563" t="str">
        <f>IF(AA563="","",IFERROR(IF(ISNUMBER('Procyclean MG'!D64),'Procyclean MG'!D64,IF(ISNUMBER(SEARCH("12",'Procyclean MG'!D64)),EDATE(AB563,12),IF(ISNUMBER(SEARCH("6",'Procyclean MG'!D64)),EDATE(AB563,6),IF(ISNUMBER(SEARCH("3",'Procyclean MG'!D64)),EDATE(AB563,3),DATEVALUE('Procyclean MG'!D64))))),""))</f>
        <v/>
      </c>
      <c r="AM563" t="str">
        <f t="shared" ca="1" si="70"/>
        <v/>
      </c>
    </row>
    <row r="564" spans="27:39" x14ac:dyDescent="0.3">
      <c r="AA564" t="str">
        <f>IF(COUNTA('Procyclean MG'!A65,'Procyclean MG'!B65,'Procyclean MG'!C65)&gt;0,"MG","")</f>
        <v/>
      </c>
      <c r="AB564" t="str">
        <f>IFERROR(IF(ISNUMBER('Procyclean MG'!A65),'Procyclean MG'!A65,DATEVALUE('Procyclean MG'!A65)),"")</f>
        <v/>
      </c>
      <c r="AC564" t="str">
        <f>IF(AA564="","",'Procyclean MG'!B65)</f>
        <v/>
      </c>
      <c r="AD564" t="str">
        <f>IF(AA564="","",IFERROR(1*'Procyclean MG'!C65,IFERROR(_xludf.NUMBERVALUE('Procyclean MG'!C65,".",","),IFERROR(_xludf.NUMBERVALUE('Procyclean MG'!C65,",","."),0))))</f>
        <v/>
      </c>
      <c r="AE564" t="str">
        <f>IF(AA564="","",'Procyclean MG'!I65)</f>
        <v/>
      </c>
      <c r="AF564">
        <f t="shared" si="65"/>
        <v>0</v>
      </c>
      <c r="AG564" t="str">
        <f t="shared" si="66"/>
        <v/>
      </c>
      <c r="AH564" t="str">
        <f t="shared" si="67"/>
        <v/>
      </c>
      <c r="AI564">
        <f t="shared" si="68"/>
        <v>0</v>
      </c>
      <c r="AJ564">
        <f t="shared" si="69"/>
        <v>0</v>
      </c>
      <c r="AK564">
        <v>0</v>
      </c>
      <c r="AL564" t="str">
        <f>IF(AA564="","",IFERROR(IF(ISNUMBER('Procyclean MG'!D65),'Procyclean MG'!D65,IF(ISNUMBER(SEARCH("12",'Procyclean MG'!D65)),EDATE(AB564,12),IF(ISNUMBER(SEARCH("6",'Procyclean MG'!D65)),EDATE(AB564,6),IF(ISNUMBER(SEARCH("3",'Procyclean MG'!D65)),EDATE(AB564,3),DATEVALUE('Procyclean MG'!D65))))),""))</f>
        <v/>
      </c>
      <c r="AM564" t="str">
        <f t="shared" ca="1" si="70"/>
        <v/>
      </c>
    </row>
    <row r="565" spans="27:39" x14ac:dyDescent="0.3">
      <c r="AA565" t="str">
        <f>IF(COUNTA('Procyclean MG'!A66,'Procyclean MG'!B66,'Procyclean MG'!C66)&gt;0,"MG","")</f>
        <v/>
      </c>
      <c r="AB565" t="str">
        <f>IFERROR(IF(ISNUMBER('Procyclean MG'!A66),'Procyclean MG'!A66,DATEVALUE('Procyclean MG'!A66)),"")</f>
        <v/>
      </c>
      <c r="AC565" t="str">
        <f>IF(AA565="","",'Procyclean MG'!B66)</f>
        <v/>
      </c>
      <c r="AD565" t="str">
        <f>IF(AA565="","",IFERROR(1*'Procyclean MG'!C66,IFERROR(_xludf.NUMBERVALUE('Procyclean MG'!C66,".",","),IFERROR(_xludf.NUMBERVALUE('Procyclean MG'!C66,",","."),0))))</f>
        <v/>
      </c>
      <c r="AE565" t="str">
        <f>IF(AA565="","",'Procyclean MG'!I66)</f>
        <v/>
      </c>
      <c r="AF565">
        <f t="shared" si="65"/>
        <v>0</v>
      </c>
      <c r="AG565" t="str">
        <f t="shared" si="66"/>
        <v/>
      </c>
      <c r="AH565" t="str">
        <f t="shared" si="67"/>
        <v/>
      </c>
      <c r="AI565">
        <f t="shared" si="68"/>
        <v>0</v>
      </c>
      <c r="AJ565">
        <f t="shared" si="69"/>
        <v>0</v>
      </c>
      <c r="AK565">
        <v>0</v>
      </c>
      <c r="AL565" t="str">
        <f>IF(AA565="","",IFERROR(IF(ISNUMBER('Procyclean MG'!D66),'Procyclean MG'!D66,IF(ISNUMBER(SEARCH("12",'Procyclean MG'!D66)),EDATE(AB565,12),IF(ISNUMBER(SEARCH("6",'Procyclean MG'!D66)),EDATE(AB565,6),IF(ISNUMBER(SEARCH("3",'Procyclean MG'!D66)),EDATE(AB565,3),DATEVALUE('Procyclean MG'!D66))))),""))</f>
        <v/>
      </c>
      <c r="AM565" t="str">
        <f t="shared" ca="1" si="70"/>
        <v/>
      </c>
    </row>
    <row r="566" spans="27:39" x14ac:dyDescent="0.3">
      <c r="AA566" t="str">
        <f>IF(COUNTA('Procyclean MG'!A67,'Procyclean MG'!B67,'Procyclean MG'!C67)&gt;0,"MG","")</f>
        <v/>
      </c>
      <c r="AB566" t="str">
        <f>IFERROR(IF(ISNUMBER('Procyclean MG'!A67),'Procyclean MG'!A67,DATEVALUE('Procyclean MG'!A67)),"")</f>
        <v/>
      </c>
      <c r="AC566" t="str">
        <f>IF(AA566="","",'Procyclean MG'!B67)</f>
        <v/>
      </c>
      <c r="AD566" t="str">
        <f>IF(AA566="","",IFERROR(1*'Procyclean MG'!C67,IFERROR(_xludf.NUMBERVALUE('Procyclean MG'!C67,".",","),IFERROR(_xludf.NUMBERVALUE('Procyclean MG'!C67,",","."),0))))</f>
        <v/>
      </c>
      <c r="AE566" t="str">
        <f>IF(AA566="","",'Procyclean MG'!I67)</f>
        <v/>
      </c>
      <c r="AF566">
        <f t="shared" si="65"/>
        <v>0</v>
      </c>
      <c r="AG566" t="str">
        <f t="shared" si="66"/>
        <v/>
      </c>
      <c r="AH566" t="str">
        <f t="shared" si="67"/>
        <v/>
      </c>
      <c r="AI566">
        <f t="shared" si="68"/>
        <v>0</v>
      </c>
      <c r="AJ566">
        <f t="shared" si="69"/>
        <v>0</v>
      </c>
      <c r="AK566">
        <v>0</v>
      </c>
      <c r="AL566" t="str">
        <f>IF(AA566="","",IFERROR(IF(ISNUMBER('Procyclean MG'!D67),'Procyclean MG'!D67,IF(ISNUMBER(SEARCH("12",'Procyclean MG'!D67)),EDATE(AB566,12),IF(ISNUMBER(SEARCH("6",'Procyclean MG'!D67)),EDATE(AB566,6),IF(ISNUMBER(SEARCH("3",'Procyclean MG'!D67)),EDATE(AB566,3),DATEVALUE('Procyclean MG'!D67))))),""))</f>
        <v/>
      </c>
      <c r="AM566" t="str">
        <f t="shared" ca="1" si="70"/>
        <v/>
      </c>
    </row>
    <row r="567" spans="27:39" x14ac:dyDescent="0.3">
      <c r="AA567" t="str">
        <f>IF(COUNTA('Procyclean MG'!A68,'Procyclean MG'!B68,'Procyclean MG'!C68)&gt;0,"MG","")</f>
        <v/>
      </c>
      <c r="AB567" t="str">
        <f>IFERROR(IF(ISNUMBER('Procyclean MG'!A68),'Procyclean MG'!A68,DATEVALUE('Procyclean MG'!A68)),"")</f>
        <v/>
      </c>
      <c r="AC567" t="str">
        <f>IF(AA567="","",'Procyclean MG'!B68)</f>
        <v/>
      </c>
      <c r="AD567" t="str">
        <f>IF(AA567="","",IFERROR(1*'Procyclean MG'!C68,IFERROR(_xludf.NUMBERVALUE('Procyclean MG'!C68,".",","),IFERROR(_xludf.NUMBERVALUE('Procyclean MG'!C68,",","."),0))))</f>
        <v/>
      </c>
      <c r="AE567" t="str">
        <f>IF(AA567="","",'Procyclean MG'!I68)</f>
        <v/>
      </c>
      <c r="AF567">
        <f t="shared" si="65"/>
        <v>0</v>
      </c>
      <c r="AG567" t="str">
        <f t="shared" si="66"/>
        <v/>
      </c>
      <c r="AH567" t="str">
        <f t="shared" si="67"/>
        <v/>
      </c>
      <c r="AI567">
        <f t="shared" si="68"/>
        <v>0</v>
      </c>
      <c r="AJ567">
        <f t="shared" si="69"/>
        <v>0</v>
      </c>
      <c r="AK567">
        <v>0</v>
      </c>
      <c r="AL567" t="str">
        <f>IF(AA567="","",IFERROR(IF(ISNUMBER('Procyclean MG'!D68),'Procyclean MG'!D68,IF(ISNUMBER(SEARCH("12",'Procyclean MG'!D68)),EDATE(AB567,12),IF(ISNUMBER(SEARCH("6",'Procyclean MG'!D68)),EDATE(AB567,6),IF(ISNUMBER(SEARCH("3",'Procyclean MG'!D68)),EDATE(AB567,3),DATEVALUE('Procyclean MG'!D68))))),""))</f>
        <v/>
      </c>
      <c r="AM567" t="str">
        <f t="shared" ca="1" si="70"/>
        <v/>
      </c>
    </row>
    <row r="568" spans="27:39" x14ac:dyDescent="0.3">
      <c r="AA568" t="str">
        <f>IF(COUNTA('Procyclean MG'!A69,'Procyclean MG'!B69,'Procyclean MG'!C69)&gt;0,"MG","")</f>
        <v/>
      </c>
      <c r="AB568" t="str">
        <f>IFERROR(IF(ISNUMBER('Procyclean MG'!A69),'Procyclean MG'!A69,DATEVALUE('Procyclean MG'!A69)),"")</f>
        <v/>
      </c>
      <c r="AC568" t="str">
        <f>IF(AA568="","",'Procyclean MG'!B69)</f>
        <v/>
      </c>
      <c r="AD568" t="str">
        <f>IF(AA568="","",IFERROR(1*'Procyclean MG'!C69,IFERROR(_xludf.NUMBERVALUE('Procyclean MG'!C69,".",","),IFERROR(_xludf.NUMBERVALUE('Procyclean MG'!C69,",","."),0))))</f>
        <v/>
      </c>
      <c r="AE568" t="str">
        <f>IF(AA568="","",'Procyclean MG'!I69)</f>
        <v/>
      </c>
      <c r="AF568">
        <f t="shared" si="65"/>
        <v>0</v>
      </c>
      <c r="AG568" t="str">
        <f t="shared" si="66"/>
        <v/>
      </c>
      <c r="AH568" t="str">
        <f t="shared" si="67"/>
        <v/>
      </c>
      <c r="AI568">
        <f t="shared" si="68"/>
        <v>0</v>
      </c>
      <c r="AJ568">
        <f t="shared" si="69"/>
        <v>0</v>
      </c>
      <c r="AK568">
        <v>0</v>
      </c>
      <c r="AL568" t="str">
        <f>IF(AA568="","",IFERROR(IF(ISNUMBER('Procyclean MG'!D69),'Procyclean MG'!D69,IF(ISNUMBER(SEARCH("12",'Procyclean MG'!D69)),EDATE(AB568,12),IF(ISNUMBER(SEARCH("6",'Procyclean MG'!D69)),EDATE(AB568,6),IF(ISNUMBER(SEARCH("3",'Procyclean MG'!D69)),EDATE(AB568,3),DATEVALUE('Procyclean MG'!D69))))),""))</f>
        <v/>
      </c>
      <c r="AM568" t="str">
        <f t="shared" ca="1" si="70"/>
        <v/>
      </c>
    </row>
    <row r="569" spans="27:39" x14ac:dyDescent="0.3">
      <c r="AA569" t="str">
        <f>IF(COUNTA('Procyclean MG'!A70,'Procyclean MG'!B70,'Procyclean MG'!C70)&gt;0,"MG","")</f>
        <v/>
      </c>
      <c r="AB569" t="str">
        <f>IFERROR(IF(ISNUMBER('Procyclean MG'!A70),'Procyclean MG'!A70,DATEVALUE('Procyclean MG'!A70)),"")</f>
        <v/>
      </c>
      <c r="AC569" t="str">
        <f>IF(AA569="","",'Procyclean MG'!B70)</f>
        <v/>
      </c>
      <c r="AD569" t="str">
        <f>IF(AA569="","",IFERROR(1*'Procyclean MG'!C70,IFERROR(_xludf.NUMBERVALUE('Procyclean MG'!C70,".",","),IFERROR(_xludf.NUMBERVALUE('Procyclean MG'!C70,",","."),0))))</f>
        <v/>
      </c>
      <c r="AE569" t="str">
        <f>IF(AA569="","",'Procyclean MG'!I70)</f>
        <v/>
      </c>
      <c r="AF569">
        <f t="shared" si="65"/>
        <v>0</v>
      </c>
      <c r="AG569" t="str">
        <f t="shared" si="66"/>
        <v/>
      </c>
      <c r="AH569" t="str">
        <f t="shared" si="67"/>
        <v/>
      </c>
      <c r="AI569">
        <f t="shared" si="68"/>
        <v>0</v>
      </c>
      <c r="AJ569">
        <f t="shared" si="69"/>
        <v>0</v>
      </c>
      <c r="AK569">
        <v>0</v>
      </c>
      <c r="AL569" t="str">
        <f>IF(AA569="","",IFERROR(IF(ISNUMBER('Procyclean MG'!D70),'Procyclean MG'!D70,IF(ISNUMBER(SEARCH("12",'Procyclean MG'!D70)),EDATE(AB569,12),IF(ISNUMBER(SEARCH("6",'Procyclean MG'!D70)),EDATE(AB569,6),IF(ISNUMBER(SEARCH("3",'Procyclean MG'!D70)),EDATE(AB569,3),DATEVALUE('Procyclean MG'!D70))))),""))</f>
        <v/>
      </c>
      <c r="AM569" t="str">
        <f t="shared" ca="1" si="70"/>
        <v/>
      </c>
    </row>
    <row r="570" spans="27:39" x14ac:dyDescent="0.3">
      <c r="AA570" t="str">
        <f>IF(COUNTA('Procyclean MG'!A71,'Procyclean MG'!B71,'Procyclean MG'!C71)&gt;0,"MG","")</f>
        <v/>
      </c>
      <c r="AB570" t="str">
        <f>IFERROR(IF(ISNUMBER('Procyclean MG'!A71),'Procyclean MG'!A71,DATEVALUE('Procyclean MG'!A71)),"")</f>
        <v/>
      </c>
      <c r="AC570" t="str">
        <f>IF(AA570="","",'Procyclean MG'!B71)</f>
        <v/>
      </c>
      <c r="AD570" t="str">
        <f>IF(AA570="","",IFERROR(1*'Procyclean MG'!C71,IFERROR(_xludf.NUMBERVALUE('Procyclean MG'!C71,".",","),IFERROR(_xludf.NUMBERVALUE('Procyclean MG'!C71,",","."),0))))</f>
        <v/>
      </c>
      <c r="AE570" t="str">
        <f>IF(AA570="","",'Procyclean MG'!I71)</f>
        <v/>
      </c>
      <c r="AF570">
        <f t="shared" si="65"/>
        <v>0</v>
      </c>
      <c r="AG570" t="str">
        <f t="shared" si="66"/>
        <v/>
      </c>
      <c r="AH570" t="str">
        <f t="shared" si="67"/>
        <v/>
      </c>
      <c r="AI570">
        <f t="shared" si="68"/>
        <v>0</v>
      </c>
      <c r="AJ570">
        <f t="shared" si="69"/>
        <v>0</v>
      </c>
      <c r="AK570">
        <v>0</v>
      </c>
      <c r="AL570" t="str">
        <f>IF(AA570="","",IFERROR(IF(ISNUMBER('Procyclean MG'!D71),'Procyclean MG'!D71,IF(ISNUMBER(SEARCH("12",'Procyclean MG'!D71)),EDATE(AB570,12),IF(ISNUMBER(SEARCH("6",'Procyclean MG'!D71)),EDATE(AB570,6),IF(ISNUMBER(SEARCH("3",'Procyclean MG'!D71)),EDATE(AB570,3),DATEVALUE('Procyclean MG'!D71))))),""))</f>
        <v/>
      </c>
      <c r="AM570" t="str">
        <f t="shared" ca="1" si="70"/>
        <v/>
      </c>
    </row>
    <row r="571" spans="27:39" x14ac:dyDescent="0.3">
      <c r="AA571" t="str">
        <f>IF(COUNTA('Procyclean MG'!A72,'Procyclean MG'!B72,'Procyclean MG'!C72)&gt;0,"MG","")</f>
        <v/>
      </c>
      <c r="AB571" t="str">
        <f>IFERROR(IF(ISNUMBER('Procyclean MG'!A72),'Procyclean MG'!A72,DATEVALUE('Procyclean MG'!A72)),"")</f>
        <v/>
      </c>
      <c r="AC571" t="str">
        <f>IF(AA571="","",'Procyclean MG'!B72)</f>
        <v/>
      </c>
      <c r="AD571" t="str">
        <f>IF(AA571="","",IFERROR(1*'Procyclean MG'!C72,IFERROR(_xludf.NUMBERVALUE('Procyclean MG'!C72,".",","),IFERROR(_xludf.NUMBERVALUE('Procyclean MG'!C72,",","."),0))))</f>
        <v/>
      </c>
      <c r="AE571" t="str">
        <f>IF(AA571="","",'Procyclean MG'!I72)</f>
        <v/>
      </c>
      <c r="AF571">
        <f t="shared" si="65"/>
        <v>0</v>
      </c>
      <c r="AG571" t="str">
        <f t="shared" si="66"/>
        <v/>
      </c>
      <c r="AH571" t="str">
        <f t="shared" si="67"/>
        <v/>
      </c>
      <c r="AI571">
        <f t="shared" si="68"/>
        <v>0</v>
      </c>
      <c r="AJ571">
        <f t="shared" si="69"/>
        <v>0</v>
      </c>
      <c r="AK571">
        <v>0</v>
      </c>
      <c r="AL571" t="str">
        <f>IF(AA571="","",IFERROR(IF(ISNUMBER('Procyclean MG'!D72),'Procyclean MG'!D72,IF(ISNUMBER(SEARCH("12",'Procyclean MG'!D72)),EDATE(AB571,12),IF(ISNUMBER(SEARCH("6",'Procyclean MG'!D72)),EDATE(AB571,6),IF(ISNUMBER(SEARCH("3",'Procyclean MG'!D72)),EDATE(AB571,3),DATEVALUE('Procyclean MG'!D72))))),""))</f>
        <v/>
      </c>
      <c r="AM571" t="str">
        <f t="shared" ca="1" si="70"/>
        <v/>
      </c>
    </row>
    <row r="572" spans="27:39" x14ac:dyDescent="0.3">
      <c r="AA572" t="str">
        <f>IF(COUNTA('Procyclean MG'!A73,'Procyclean MG'!B73,'Procyclean MG'!C73)&gt;0,"MG","")</f>
        <v/>
      </c>
      <c r="AB572" t="str">
        <f>IFERROR(IF(ISNUMBER('Procyclean MG'!A73),'Procyclean MG'!A73,DATEVALUE('Procyclean MG'!A73)),"")</f>
        <v/>
      </c>
      <c r="AC572" t="str">
        <f>IF(AA572="","",'Procyclean MG'!B73)</f>
        <v/>
      </c>
      <c r="AD572" t="str">
        <f>IF(AA572="","",IFERROR(1*'Procyclean MG'!C73,IFERROR(_xludf.NUMBERVALUE('Procyclean MG'!C73,".",","),IFERROR(_xludf.NUMBERVALUE('Procyclean MG'!C73,",","."),0))))</f>
        <v/>
      </c>
      <c r="AE572" t="str">
        <f>IF(AA572="","",'Procyclean MG'!I73)</f>
        <v/>
      </c>
      <c r="AF572">
        <f t="shared" si="65"/>
        <v>0</v>
      </c>
      <c r="AG572" t="str">
        <f t="shared" si="66"/>
        <v/>
      </c>
      <c r="AH572" t="str">
        <f t="shared" si="67"/>
        <v/>
      </c>
      <c r="AI572">
        <f t="shared" si="68"/>
        <v>0</v>
      </c>
      <c r="AJ572">
        <f t="shared" si="69"/>
        <v>0</v>
      </c>
      <c r="AK572">
        <v>0</v>
      </c>
      <c r="AL572" t="str">
        <f>IF(AA572="","",IFERROR(IF(ISNUMBER('Procyclean MG'!D73),'Procyclean MG'!D73,IF(ISNUMBER(SEARCH("12",'Procyclean MG'!D73)),EDATE(AB572,12),IF(ISNUMBER(SEARCH("6",'Procyclean MG'!D73)),EDATE(AB572,6),IF(ISNUMBER(SEARCH("3",'Procyclean MG'!D73)),EDATE(AB572,3),DATEVALUE('Procyclean MG'!D73))))),""))</f>
        <v/>
      </c>
      <c r="AM572" t="str">
        <f t="shared" ca="1" si="70"/>
        <v/>
      </c>
    </row>
    <row r="573" spans="27:39" x14ac:dyDescent="0.3">
      <c r="AA573" t="str">
        <f>IF(COUNTA('Procyclean MG'!A74,'Procyclean MG'!B74,'Procyclean MG'!C74)&gt;0,"MG","")</f>
        <v/>
      </c>
      <c r="AB573" t="str">
        <f>IFERROR(IF(ISNUMBER('Procyclean MG'!A74),'Procyclean MG'!A74,DATEVALUE('Procyclean MG'!A74)),"")</f>
        <v/>
      </c>
      <c r="AC573" t="str">
        <f>IF(AA573="","",'Procyclean MG'!B74)</f>
        <v/>
      </c>
      <c r="AD573" t="str">
        <f>IF(AA573="","",IFERROR(1*'Procyclean MG'!C74,IFERROR(_xludf.NUMBERVALUE('Procyclean MG'!C74,".",","),IFERROR(_xludf.NUMBERVALUE('Procyclean MG'!C74,",","."),0))))</f>
        <v/>
      </c>
      <c r="AE573" t="str">
        <f>IF(AA573="","",'Procyclean MG'!I74)</f>
        <v/>
      </c>
      <c r="AF573">
        <f t="shared" si="65"/>
        <v>0</v>
      </c>
      <c r="AG573" t="str">
        <f t="shared" si="66"/>
        <v/>
      </c>
      <c r="AH573" t="str">
        <f t="shared" si="67"/>
        <v/>
      </c>
      <c r="AI573">
        <f t="shared" si="68"/>
        <v>0</v>
      </c>
      <c r="AJ573">
        <f t="shared" si="69"/>
        <v>0</v>
      </c>
      <c r="AK573">
        <v>0</v>
      </c>
      <c r="AL573" t="str">
        <f>IF(AA573="","",IFERROR(IF(ISNUMBER('Procyclean MG'!D74),'Procyclean MG'!D74,IF(ISNUMBER(SEARCH("12",'Procyclean MG'!D74)),EDATE(AB573,12),IF(ISNUMBER(SEARCH("6",'Procyclean MG'!D74)),EDATE(AB573,6),IF(ISNUMBER(SEARCH("3",'Procyclean MG'!D74)),EDATE(AB573,3),DATEVALUE('Procyclean MG'!D74))))),""))</f>
        <v/>
      </c>
      <c r="AM573" t="str">
        <f t="shared" ca="1" si="70"/>
        <v/>
      </c>
    </row>
    <row r="574" spans="27:39" x14ac:dyDescent="0.3">
      <c r="AA574" t="str">
        <f>IF(COUNTA('Procyclean MG'!A75,'Procyclean MG'!B75,'Procyclean MG'!C75)&gt;0,"MG","")</f>
        <v/>
      </c>
      <c r="AB574" t="str">
        <f>IFERROR(IF(ISNUMBER('Procyclean MG'!A75),'Procyclean MG'!A75,DATEVALUE('Procyclean MG'!A75)),"")</f>
        <v/>
      </c>
      <c r="AC574" t="str">
        <f>IF(AA574="","",'Procyclean MG'!B75)</f>
        <v/>
      </c>
      <c r="AD574" t="str">
        <f>IF(AA574="","",IFERROR(1*'Procyclean MG'!C75,IFERROR(_xludf.NUMBERVALUE('Procyclean MG'!C75,".",","),IFERROR(_xludf.NUMBERVALUE('Procyclean MG'!C75,",","."),0))))</f>
        <v/>
      </c>
      <c r="AE574" t="str">
        <f>IF(AA574="","",'Procyclean MG'!I75)</f>
        <v/>
      </c>
      <c r="AF574">
        <f t="shared" si="65"/>
        <v>0</v>
      </c>
      <c r="AG574" t="str">
        <f t="shared" si="66"/>
        <v/>
      </c>
      <c r="AH574" t="str">
        <f t="shared" si="67"/>
        <v/>
      </c>
      <c r="AI574">
        <f t="shared" si="68"/>
        <v>0</v>
      </c>
      <c r="AJ574">
        <f t="shared" si="69"/>
        <v>0</v>
      </c>
      <c r="AK574">
        <v>0</v>
      </c>
      <c r="AL574" t="str">
        <f>IF(AA574="","",IFERROR(IF(ISNUMBER('Procyclean MG'!D75),'Procyclean MG'!D75,IF(ISNUMBER(SEARCH("12",'Procyclean MG'!D75)),EDATE(AB574,12),IF(ISNUMBER(SEARCH("6",'Procyclean MG'!D75)),EDATE(AB574,6),IF(ISNUMBER(SEARCH("3",'Procyclean MG'!D75)),EDATE(AB574,3),DATEVALUE('Procyclean MG'!D75))))),""))</f>
        <v/>
      </c>
      <c r="AM574" t="str">
        <f t="shared" ca="1" si="70"/>
        <v/>
      </c>
    </row>
    <row r="575" spans="27:39" x14ac:dyDescent="0.3">
      <c r="AA575" t="str">
        <f>IF(COUNTA('Procyclean MG'!A76,'Procyclean MG'!B76,'Procyclean MG'!C76)&gt;0,"MG","")</f>
        <v/>
      </c>
      <c r="AB575" t="str">
        <f>IFERROR(IF(ISNUMBER('Procyclean MG'!A76),'Procyclean MG'!A76,DATEVALUE('Procyclean MG'!A76)),"")</f>
        <v/>
      </c>
      <c r="AC575" t="str">
        <f>IF(AA575="","",'Procyclean MG'!B76)</f>
        <v/>
      </c>
      <c r="AD575" t="str">
        <f>IF(AA575="","",IFERROR(1*'Procyclean MG'!C76,IFERROR(_xludf.NUMBERVALUE('Procyclean MG'!C76,".",","),IFERROR(_xludf.NUMBERVALUE('Procyclean MG'!C76,",","."),0))))</f>
        <v/>
      </c>
      <c r="AE575" t="str">
        <f>IF(AA575="","",'Procyclean MG'!I76)</f>
        <v/>
      </c>
      <c r="AF575">
        <f t="shared" si="65"/>
        <v>0</v>
      </c>
      <c r="AG575" t="str">
        <f t="shared" si="66"/>
        <v/>
      </c>
      <c r="AH575" t="str">
        <f t="shared" si="67"/>
        <v/>
      </c>
      <c r="AI575">
        <f t="shared" si="68"/>
        <v>0</v>
      </c>
      <c r="AJ575">
        <f t="shared" si="69"/>
        <v>0</v>
      </c>
      <c r="AK575">
        <v>0</v>
      </c>
      <c r="AL575" t="str">
        <f>IF(AA575="","",IFERROR(IF(ISNUMBER('Procyclean MG'!D76),'Procyclean MG'!D76,IF(ISNUMBER(SEARCH("12",'Procyclean MG'!D76)),EDATE(AB575,12),IF(ISNUMBER(SEARCH("6",'Procyclean MG'!D76)),EDATE(AB575,6),IF(ISNUMBER(SEARCH("3",'Procyclean MG'!D76)),EDATE(AB575,3),DATEVALUE('Procyclean MG'!D76))))),""))</f>
        <v/>
      </c>
      <c r="AM575" t="str">
        <f t="shared" ca="1" si="70"/>
        <v/>
      </c>
    </row>
    <row r="576" spans="27:39" x14ac:dyDescent="0.3">
      <c r="AA576" t="str">
        <f>IF(COUNTA('Procyclean MG'!A77,'Procyclean MG'!B77,'Procyclean MG'!C77)&gt;0,"MG","")</f>
        <v/>
      </c>
      <c r="AB576" t="str">
        <f>IFERROR(IF(ISNUMBER('Procyclean MG'!A77),'Procyclean MG'!A77,DATEVALUE('Procyclean MG'!A77)),"")</f>
        <v/>
      </c>
      <c r="AC576" t="str">
        <f>IF(AA576="","",'Procyclean MG'!B77)</f>
        <v/>
      </c>
      <c r="AD576" t="str">
        <f>IF(AA576="","",IFERROR(1*'Procyclean MG'!C77,IFERROR(_xludf.NUMBERVALUE('Procyclean MG'!C77,".",","),IFERROR(_xludf.NUMBERVALUE('Procyclean MG'!C77,",","."),0))))</f>
        <v/>
      </c>
      <c r="AE576" t="str">
        <f>IF(AA576="","",'Procyclean MG'!I77)</f>
        <v/>
      </c>
      <c r="AF576">
        <f t="shared" si="65"/>
        <v>0</v>
      </c>
      <c r="AG576" t="str">
        <f t="shared" si="66"/>
        <v/>
      </c>
      <c r="AH576" t="str">
        <f t="shared" si="67"/>
        <v/>
      </c>
      <c r="AI576">
        <f t="shared" si="68"/>
        <v>0</v>
      </c>
      <c r="AJ576">
        <f t="shared" si="69"/>
        <v>0</v>
      </c>
      <c r="AK576">
        <v>0</v>
      </c>
      <c r="AL576" t="str">
        <f>IF(AA576="","",IFERROR(IF(ISNUMBER('Procyclean MG'!D77),'Procyclean MG'!D77,IF(ISNUMBER(SEARCH("12",'Procyclean MG'!D77)),EDATE(AB576,12),IF(ISNUMBER(SEARCH("6",'Procyclean MG'!D77)),EDATE(AB576,6),IF(ISNUMBER(SEARCH("3",'Procyclean MG'!D77)),EDATE(AB576,3),DATEVALUE('Procyclean MG'!D77))))),""))</f>
        <v/>
      </c>
      <c r="AM576" t="str">
        <f t="shared" ca="1" si="70"/>
        <v/>
      </c>
    </row>
    <row r="577" spans="27:39" x14ac:dyDescent="0.3">
      <c r="AA577" t="str">
        <f>IF(COUNTA('Procyclean MG'!A78,'Procyclean MG'!B78,'Procyclean MG'!C78)&gt;0,"MG","")</f>
        <v/>
      </c>
      <c r="AB577" t="str">
        <f>IFERROR(IF(ISNUMBER('Procyclean MG'!A78),'Procyclean MG'!A78,DATEVALUE('Procyclean MG'!A78)),"")</f>
        <v/>
      </c>
      <c r="AC577" t="str">
        <f>IF(AA577="","",'Procyclean MG'!B78)</f>
        <v/>
      </c>
      <c r="AD577" t="str">
        <f>IF(AA577="","",IFERROR(1*'Procyclean MG'!C78,IFERROR(_xludf.NUMBERVALUE('Procyclean MG'!C78,".",","),IFERROR(_xludf.NUMBERVALUE('Procyclean MG'!C78,",","."),0))))</f>
        <v/>
      </c>
      <c r="AE577" t="str">
        <f>IF(AA577="","",'Procyclean MG'!I78)</f>
        <v/>
      </c>
      <c r="AF577">
        <f t="shared" si="65"/>
        <v>0</v>
      </c>
      <c r="AG577" t="str">
        <f t="shared" si="66"/>
        <v/>
      </c>
      <c r="AH577" t="str">
        <f t="shared" si="67"/>
        <v/>
      </c>
      <c r="AI577">
        <f t="shared" si="68"/>
        <v>0</v>
      </c>
      <c r="AJ577">
        <f t="shared" si="69"/>
        <v>0</v>
      </c>
      <c r="AK577">
        <v>0</v>
      </c>
      <c r="AL577" t="str">
        <f>IF(AA577="","",IFERROR(IF(ISNUMBER('Procyclean MG'!D78),'Procyclean MG'!D78,IF(ISNUMBER(SEARCH("12",'Procyclean MG'!D78)),EDATE(AB577,12),IF(ISNUMBER(SEARCH("6",'Procyclean MG'!D78)),EDATE(AB577,6),IF(ISNUMBER(SEARCH("3",'Procyclean MG'!D78)),EDATE(AB577,3),DATEVALUE('Procyclean MG'!D78))))),""))</f>
        <v/>
      </c>
      <c r="AM577" t="str">
        <f t="shared" ca="1" si="70"/>
        <v/>
      </c>
    </row>
    <row r="578" spans="27:39" x14ac:dyDescent="0.3">
      <c r="AA578" t="str">
        <f>IF(COUNTA('Procyclean MG'!A79,'Procyclean MG'!B79,'Procyclean MG'!C79)&gt;0,"MG","")</f>
        <v/>
      </c>
      <c r="AB578" t="str">
        <f>IFERROR(IF(ISNUMBER('Procyclean MG'!A79),'Procyclean MG'!A79,DATEVALUE('Procyclean MG'!A79)),"")</f>
        <v/>
      </c>
      <c r="AC578" t="str">
        <f>IF(AA578="","",'Procyclean MG'!B79)</f>
        <v/>
      </c>
      <c r="AD578" t="str">
        <f>IF(AA578="","",IFERROR(1*'Procyclean MG'!C79,IFERROR(_xludf.NUMBERVALUE('Procyclean MG'!C79,".",","),IFERROR(_xludf.NUMBERVALUE('Procyclean MG'!C79,",","."),0))))</f>
        <v/>
      </c>
      <c r="AE578" t="str">
        <f>IF(AA578="","",'Procyclean MG'!I79)</f>
        <v/>
      </c>
      <c r="AF578">
        <f t="shared" ref="AF578:AF641" si="71">IF(AA578="",0,--AND(ISNUMBER(SEARCH("aprov",AE578)),NOT(ISNUMBER(SEARCH("reprov",AE578)))))</f>
        <v>0</v>
      </c>
      <c r="AG578" t="str">
        <f t="shared" ref="AG578:AG641" si="72">IF(AB578="","",YEAR(AB578))</f>
        <v/>
      </c>
      <c r="AH578" t="str">
        <f t="shared" ref="AH578:AH641" si="73">IF(AB578="","",MONTH(AB578))</f>
        <v/>
      </c>
      <c r="AI578">
        <f t="shared" ref="AI578:AI641" si="74">IF(AB578="",0,AB578+ROW()/1000000)</f>
        <v>0</v>
      </c>
      <c r="AJ578">
        <f t="shared" ref="AJ578:AJ641" si="75">--(AA578&lt;&gt;"")</f>
        <v>0</v>
      </c>
      <c r="AK578">
        <v>0</v>
      </c>
      <c r="AL578" t="str">
        <f>IF(AA578="","",IFERROR(IF(ISNUMBER('Procyclean MG'!D79),'Procyclean MG'!D79,IF(ISNUMBER(SEARCH("12",'Procyclean MG'!D79)),EDATE(AB578,12),IF(ISNUMBER(SEARCH("6",'Procyclean MG'!D79)),EDATE(AB578,6),IF(ISNUMBER(SEARCH("3",'Procyclean MG'!D79)),EDATE(AB578,3),DATEVALUE('Procyclean MG'!D79))))),""))</f>
        <v/>
      </c>
      <c r="AM578" t="str">
        <f t="shared" ref="AM578:AM641" ca="1" si="76">IF(AND(AJ578=1,AL578&lt;&gt;"",AL578&gt;=TODAY(),AG578=$W$3),AL578+ROW()/1000000,"")</f>
        <v/>
      </c>
    </row>
    <row r="579" spans="27:39" x14ac:dyDescent="0.3">
      <c r="AA579" t="str">
        <f>IF(COUNTA('Procyclean MG'!A80,'Procyclean MG'!B80,'Procyclean MG'!C80)&gt;0,"MG","")</f>
        <v/>
      </c>
      <c r="AB579" t="str">
        <f>IFERROR(IF(ISNUMBER('Procyclean MG'!A80),'Procyclean MG'!A80,DATEVALUE('Procyclean MG'!A80)),"")</f>
        <v/>
      </c>
      <c r="AC579" t="str">
        <f>IF(AA579="","",'Procyclean MG'!B80)</f>
        <v/>
      </c>
      <c r="AD579" t="str">
        <f>IF(AA579="","",IFERROR(1*'Procyclean MG'!C80,IFERROR(_xludf.NUMBERVALUE('Procyclean MG'!C80,".",","),IFERROR(_xludf.NUMBERVALUE('Procyclean MG'!C80,",","."),0))))</f>
        <v/>
      </c>
      <c r="AE579" t="str">
        <f>IF(AA579="","",'Procyclean MG'!I80)</f>
        <v/>
      </c>
      <c r="AF579">
        <f t="shared" si="71"/>
        <v>0</v>
      </c>
      <c r="AG579" t="str">
        <f t="shared" si="72"/>
        <v/>
      </c>
      <c r="AH579" t="str">
        <f t="shared" si="73"/>
        <v/>
      </c>
      <c r="AI579">
        <f t="shared" si="74"/>
        <v>0</v>
      </c>
      <c r="AJ579">
        <f t="shared" si="75"/>
        <v>0</v>
      </c>
      <c r="AK579">
        <v>0</v>
      </c>
      <c r="AL579" t="str">
        <f>IF(AA579="","",IFERROR(IF(ISNUMBER('Procyclean MG'!D80),'Procyclean MG'!D80,IF(ISNUMBER(SEARCH("12",'Procyclean MG'!D80)),EDATE(AB579,12),IF(ISNUMBER(SEARCH("6",'Procyclean MG'!D80)),EDATE(AB579,6),IF(ISNUMBER(SEARCH("3",'Procyclean MG'!D80)),EDATE(AB579,3),DATEVALUE('Procyclean MG'!D80))))),""))</f>
        <v/>
      </c>
      <c r="AM579" t="str">
        <f t="shared" ca="1" si="76"/>
        <v/>
      </c>
    </row>
    <row r="580" spans="27:39" x14ac:dyDescent="0.3">
      <c r="AA580" t="str">
        <f>IF(COUNTA('Procyclean MG'!A81,'Procyclean MG'!B81,'Procyclean MG'!C81)&gt;0,"MG","")</f>
        <v/>
      </c>
      <c r="AB580" t="str">
        <f>IFERROR(IF(ISNUMBER('Procyclean MG'!A81),'Procyclean MG'!A81,DATEVALUE('Procyclean MG'!A81)),"")</f>
        <v/>
      </c>
      <c r="AC580" t="str">
        <f>IF(AA580="","",'Procyclean MG'!B81)</f>
        <v/>
      </c>
      <c r="AD580" t="str">
        <f>IF(AA580="","",IFERROR(1*'Procyclean MG'!C81,IFERROR(_xludf.NUMBERVALUE('Procyclean MG'!C81,".",","),IFERROR(_xludf.NUMBERVALUE('Procyclean MG'!C81,",","."),0))))</f>
        <v/>
      </c>
      <c r="AE580" t="str">
        <f>IF(AA580="","",'Procyclean MG'!I81)</f>
        <v/>
      </c>
      <c r="AF580">
        <f t="shared" si="71"/>
        <v>0</v>
      </c>
      <c r="AG580" t="str">
        <f t="shared" si="72"/>
        <v/>
      </c>
      <c r="AH580" t="str">
        <f t="shared" si="73"/>
        <v/>
      </c>
      <c r="AI580">
        <f t="shared" si="74"/>
        <v>0</v>
      </c>
      <c r="AJ580">
        <f t="shared" si="75"/>
        <v>0</v>
      </c>
      <c r="AK580">
        <v>0</v>
      </c>
      <c r="AL580" t="str">
        <f>IF(AA580="","",IFERROR(IF(ISNUMBER('Procyclean MG'!D81),'Procyclean MG'!D81,IF(ISNUMBER(SEARCH("12",'Procyclean MG'!D81)),EDATE(AB580,12),IF(ISNUMBER(SEARCH("6",'Procyclean MG'!D81)),EDATE(AB580,6),IF(ISNUMBER(SEARCH("3",'Procyclean MG'!D81)),EDATE(AB580,3),DATEVALUE('Procyclean MG'!D81))))),""))</f>
        <v/>
      </c>
      <c r="AM580" t="str">
        <f t="shared" ca="1" si="76"/>
        <v/>
      </c>
    </row>
    <row r="581" spans="27:39" x14ac:dyDescent="0.3">
      <c r="AA581" t="str">
        <f>IF(COUNTA('Procyclean MG'!A82,'Procyclean MG'!B82,'Procyclean MG'!C82)&gt;0,"MG","")</f>
        <v/>
      </c>
      <c r="AB581" t="str">
        <f>IFERROR(IF(ISNUMBER('Procyclean MG'!A82),'Procyclean MG'!A82,DATEVALUE('Procyclean MG'!A82)),"")</f>
        <v/>
      </c>
      <c r="AC581" t="str">
        <f>IF(AA581="","",'Procyclean MG'!B82)</f>
        <v/>
      </c>
      <c r="AD581" t="str">
        <f>IF(AA581="","",IFERROR(1*'Procyclean MG'!C82,IFERROR(_xludf.NUMBERVALUE('Procyclean MG'!C82,".",","),IFERROR(_xludf.NUMBERVALUE('Procyclean MG'!C82,",","."),0))))</f>
        <v/>
      </c>
      <c r="AE581" t="str">
        <f>IF(AA581="","",'Procyclean MG'!I82)</f>
        <v/>
      </c>
      <c r="AF581">
        <f t="shared" si="71"/>
        <v>0</v>
      </c>
      <c r="AG581" t="str">
        <f t="shared" si="72"/>
        <v/>
      </c>
      <c r="AH581" t="str">
        <f t="shared" si="73"/>
        <v/>
      </c>
      <c r="AI581">
        <f t="shared" si="74"/>
        <v>0</v>
      </c>
      <c r="AJ581">
        <f t="shared" si="75"/>
        <v>0</v>
      </c>
      <c r="AK581">
        <v>0</v>
      </c>
      <c r="AL581" t="str">
        <f>IF(AA581="","",IFERROR(IF(ISNUMBER('Procyclean MG'!D82),'Procyclean MG'!D82,IF(ISNUMBER(SEARCH("12",'Procyclean MG'!D82)),EDATE(AB581,12),IF(ISNUMBER(SEARCH("6",'Procyclean MG'!D82)),EDATE(AB581,6),IF(ISNUMBER(SEARCH("3",'Procyclean MG'!D82)),EDATE(AB581,3),DATEVALUE('Procyclean MG'!D82))))),""))</f>
        <v/>
      </c>
      <c r="AM581" t="str">
        <f t="shared" ca="1" si="76"/>
        <v/>
      </c>
    </row>
    <row r="582" spans="27:39" x14ac:dyDescent="0.3">
      <c r="AA582" t="str">
        <f>IF(COUNTA('Procyclean MG'!A83,'Procyclean MG'!B83,'Procyclean MG'!C83)&gt;0,"MG","")</f>
        <v/>
      </c>
      <c r="AB582" t="str">
        <f>IFERROR(IF(ISNUMBER('Procyclean MG'!A83),'Procyclean MG'!A83,DATEVALUE('Procyclean MG'!A83)),"")</f>
        <v/>
      </c>
      <c r="AC582" t="str">
        <f>IF(AA582="","",'Procyclean MG'!B83)</f>
        <v/>
      </c>
      <c r="AD582" t="str">
        <f>IF(AA582="","",IFERROR(1*'Procyclean MG'!C83,IFERROR(_xludf.NUMBERVALUE('Procyclean MG'!C83,".",","),IFERROR(_xludf.NUMBERVALUE('Procyclean MG'!C83,",","."),0))))</f>
        <v/>
      </c>
      <c r="AE582" t="str">
        <f>IF(AA582="","",'Procyclean MG'!I83)</f>
        <v/>
      </c>
      <c r="AF582">
        <f t="shared" si="71"/>
        <v>0</v>
      </c>
      <c r="AG582" t="str">
        <f t="shared" si="72"/>
        <v/>
      </c>
      <c r="AH582" t="str">
        <f t="shared" si="73"/>
        <v/>
      </c>
      <c r="AI582">
        <f t="shared" si="74"/>
        <v>0</v>
      </c>
      <c r="AJ582">
        <f t="shared" si="75"/>
        <v>0</v>
      </c>
      <c r="AK582">
        <v>0</v>
      </c>
      <c r="AL582" t="str">
        <f>IF(AA582="","",IFERROR(IF(ISNUMBER('Procyclean MG'!D83),'Procyclean MG'!D83,IF(ISNUMBER(SEARCH("12",'Procyclean MG'!D83)),EDATE(AB582,12),IF(ISNUMBER(SEARCH("6",'Procyclean MG'!D83)),EDATE(AB582,6),IF(ISNUMBER(SEARCH("3",'Procyclean MG'!D83)),EDATE(AB582,3),DATEVALUE('Procyclean MG'!D83))))),""))</f>
        <v/>
      </c>
      <c r="AM582" t="str">
        <f t="shared" ca="1" si="76"/>
        <v/>
      </c>
    </row>
    <row r="583" spans="27:39" x14ac:dyDescent="0.3">
      <c r="AA583" t="str">
        <f>IF(COUNTA('Procyclean MG'!A84,'Procyclean MG'!B84,'Procyclean MG'!C84)&gt;0,"MG","")</f>
        <v/>
      </c>
      <c r="AB583" t="str">
        <f>IFERROR(IF(ISNUMBER('Procyclean MG'!A84),'Procyclean MG'!A84,DATEVALUE('Procyclean MG'!A84)),"")</f>
        <v/>
      </c>
      <c r="AC583" t="str">
        <f>IF(AA583="","",'Procyclean MG'!B84)</f>
        <v/>
      </c>
      <c r="AD583" t="str">
        <f>IF(AA583="","",IFERROR(1*'Procyclean MG'!C84,IFERROR(_xludf.NUMBERVALUE('Procyclean MG'!C84,".",","),IFERROR(_xludf.NUMBERVALUE('Procyclean MG'!C84,",","."),0))))</f>
        <v/>
      </c>
      <c r="AE583" t="str">
        <f>IF(AA583="","",'Procyclean MG'!I84)</f>
        <v/>
      </c>
      <c r="AF583">
        <f t="shared" si="71"/>
        <v>0</v>
      </c>
      <c r="AG583" t="str">
        <f t="shared" si="72"/>
        <v/>
      </c>
      <c r="AH583" t="str">
        <f t="shared" si="73"/>
        <v/>
      </c>
      <c r="AI583">
        <f t="shared" si="74"/>
        <v>0</v>
      </c>
      <c r="AJ583">
        <f t="shared" si="75"/>
        <v>0</v>
      </c>
      <c r="AK583">
        <v>0</v>
      </c>
      <c r="AL583" t="str">
        <f>IF(AA583="","",IFERROR(IF(ISNUMBER('Procyclean MG'!D84),'Procyclean MG'!D84,IF(ISNUMBER(SEARCH("12",'Procyclean MG'!D84)),EDATE(AB583,12),IF(ISNUMBER(SEARCH("6",'Procyclean MG'!D84)),EDATE(AB583,6),IF(ISNUMBER(SEARCH("3",'Procyclean MG'!D84)),EDATE(AB583,3),DATEVALUE('Procyclean MG'!D84))))),""))</f>
        <v/>
      </c>
      <c r="AM583" t="str">
        <f t="shared" ca="1" si="76"/>
        <v/>
      </c>
    </row>
    <row r="584" spans="27:39" x14ac:dyDescent="0.3">
      <c r="AA584" t="str">
        <f>IF(COUNTA('Procyclean MG'!A85,'Procyclean MG'!B85,'Procyclean MG'!C85)&gt;0,"MG","")</f>
        <v/>
      </c>
      <c r="AB584" t="str">
        <f>IFERROR(IF(ISNUMBER('Procyclean MG'!A85),'Procyclean MG'!A85,DATEVALUE('Procyclean MG'!A85)),"")</f>
        <v/>
      </c>
      <c r="AC584" t="str">
        <f>IF(AA584="","",'Procyclean MG'!B85)</f>
        <v/>
      </c>
      <c r="AD584" t="str">
        <f>IF(AA584="","",IFERROR(1*'Procyclean MG'!C85,IFERROR(_xludf.NUMBERVALUE('Procyclean MG'!C85,".",","),IFERROR(_xludf.NUMBERVALUE('Procyclean MG'!C85,",","."),0))))</f>
        <v/>
      </c>
      <c r="AE584" t="str">
        <f>IF(AA584="","",'Procyclean MG'!I85)</f>
        <v/>
      </c>
      <c r="AF584">
        <f t="shared" si="71"/>
        <v>0</v>
      </c>
      <c r="AG584" t="str">
        <f t="shared" si="72"/>
        <v/>
      </c>
      <c r="AH584" t="str">
        <f t="shared" si="73"/>
        <v/>
      </c>
      <c r="AI584">
        <f t="shared" si="74"/>
        <v>0</v>
      </c>
      <c r="AJ584">
        <f t="shared" si="75"/>
        <v>0</v>
      </c>
      <c r="AK584">
        <v>0</v>
      </c>
      <c r="AL584" t="str">
        <f>IF(AA584="","",IFERROR(IF(ISNUMBER('Procyclean MG'!D85),'Procyclean MG'!D85,IF(ISNUMBER(SEARCH("12",'Procyclean MG'!D85)),EDATE(AB584,12),IF(ISNUMBER(SEARCH("6",'Procyclean MG'!D85)),EDATE(AB584,6),IF(ISNUMBER(SEARCH("3",'Procyclean MG'!D85)),EDATE(AB584,3),DATEVALUE('Procyclean MG'!D85))))),""))</f>
        <v/>
      </c>
      <c r="AM584" t="str">
        <f t="shared" ca="1" si="76"/>
        <v/>
      </c>
    </row>
    <row r="585" spans="27:39" x14ac:dyDescent="0.3">
      <c r="AA585" t="str">
        <f>IF(COUNTA('Procyclean MG'!A86,'Procyclean MG'!B86,'Procyclean MG'!C86)&gt;0,"MG","")</f>
        <v/>
      </c>
      <c r="AB585" t="str">
        <f>IFERROR(IF(ISNUMBER('Procyclean MG'!A86),'Procyclean MG'!A86,DATEVALUE('Procyclean MG'!A86)),"")</f>
        <v/>
      </c>
      <c r="AC585" t="str">
        <f>IF(AA585="","",'Procyclean MG'!B86)</f>
        <v/>
      </c>
      <c r="AD585" t="str">
        <f>IF(AA585="","",IFERROR(1*'Procyclean MG'!C86,IFERROR(_xludf.NUMBERVALUE('Procyclean MG'!C86,".",","),IFERROR(_xludf.NUMBERVALUE('Procyclean MG'!C86,",","."),0))))</f>
        <v/>
      </c>
      <c r="AE585" t="str">
        <f>IF(AA585="","",'Procyclean MG'!I86)</f>
        <v/>
      </c>
      <c r="AF585">
        <f t="shared" si="71"/>
        <v>0</v>
      </c>
      <c r="AG585" t="str">
        <f t="shared" si="72"/>
        <v/>
      </c>
      <c r="AH585" t="str">
        <f t="shared" si="73"/>
        <v/>
      </c>
      <c r="AI585">
        <f t="shared" si="74"/>
        <v>0</v>
      </c>
      <c r="AJ585">
        <f t="shared" si="75"/>
        <v>0</v>
      </c>
      <c r="AK585">
        <v>0</v>
      </c>
      <c r="AL585" t="str">
        <f>IF(AA585="","",IFERROR(IF(ISNUMBER('Procyclean MG'!D86),'Procyclean MG'!D86,IF(ISNUMBER(SEARCH("12",'Procyclean MG'!D86)),EDATE(AB585,12),IF(ISNUMBER(SEARCH("6",'Procyclean MG'!D86)),EDATE(AB585,6),IF(ISNUMBER(SEARCH("3",'Procyclean MG'!D86)),EDATE(AB585,3),DATEVALUE('Procyclean MG'!D86))))),""))</f>
        <v/>
      </c>
      <c r="AM585" t="str">
        <f t="shared" ca="1" si="76"/>
        <v/>
      </c>
    </row>
    <row r="586" spans="27:39" x14ac:dyDescent="0.3">
      <c r="AA586" t="str">
        <f>IF(COUNTA('Procyclean MG'!A87,'Procyclean MG'!B87,'Procyclean MG'!C87)&gt;0,"MG","")</f>
        <v/>
      </c>
      <c r="AB586" t="str">
        <f>IFERROR(IF(ISNUMBER('Procyclean MG'!A87),'Procyclean MG'!A87,DATEVALUE('Procyclean MG'!A87)),"")</f>
        <v/>
      </c>
      <c r="AC586" t="str">
        <f>IF(AA586="","",'Procyclean MG'!B87)</f>
        <v/>
      </c>
      <c r="AD586" t="str">
        <f>IF(AA586="","",IFERROR(1*'Procyclean MG'!C87,IFERROR(_xludf.NUMBERVALUE('Procyclean MG'!C87,".",","),IFERROR(_xludf.NUMBERVALUE('Procyclean MG'!C87,",","."),0))))</f>
        <v/>
      </c>
      <c r="AE586" t="str">
        <f>IF(AA586="","",'Procyclean MG'!I87)</f>
        <v/>
      </c>
      <c r="AF586">
        <f t="shared" si="71"/>
        <v>0</v>
      </c>
      <c r="AG586" t="str">
        <f t="shared" si="72"/>
        <v/>
      </c>
      <c r="AH586" t="str">
        <f t="shared" si="73"/>
        <v/>
      </c>
      <c r="AI586">
        <f t="shared" si="74"/>
        <v>0</v>
      </c>
      <c r="AJ586">
        <f t="shared" si="75"/>
        <v>0</v>
      </c>
      <c r="AK586">
        <v>0</v>
      </c>
      <c r="AL586" t="str">
        <f>IF(AA586="","",IFERROR(IF(ISNUMBER('Procyclean MG'!D87),'Procyclean MG'!D87,IF(ISNUMBER(SEARCH("12",'Procyclean MG'!D87)),EDATE(AB586,12),IF(ISNUMBER(SEARCH("6",'Procyclean MG'!D87)),EDATE(AB586,6),IF(ISNUMBER(SEARCH("3",'Procyclean MG'!D87)),EDATE(AB586,3),DATEVALUE('Procyclean MG'!D87))))),""))</f>
        <v/>
      </c>
      <c r="AM586" t="str">
        <f t="shared" ca="1" si="76"/>
        <v/>
      </c>
    </row>
    <row r="587" spans="27:39" x14ac:dyDescent="0.3">
      <c r="AA587" t="str">
        <f>IF(COUNTA('Procyclean MG'!A88,'Procyclean MG'!B88,'Procyclean MG'!C88)&gt;0,"MG","")</f>
        <v/>
      </c>
      <c r="AB587" t="str">
        <f>IFERROR(IF(ISNUMBER('Procyclean MG'!A88),'Procyclean MG'!A88,DATEVALUE('Procyclean MG'!A88)),"")</f>
        <v/>
      </c>
      <c r="AC587" t="str">
        <f>IF(AA587="","",'Procyclean MG'!B88)</f>
        <v/>
      </c>
      <c r="AD587" t="str">
        <f>IF(AA587="","",IFERROR(1*'Procyclean MG'!C88,IFERROR(_xludf.NUMBERVALUE('Procyclean MG'!C88,".",","),IFERROR(_xludf.NUMBERVALUE('Procyclean MG'!C88,",","."),0))))</f>
        <v/>
      </c>
      <c r="AE587" t="str">
        <f>IF(AA587="","",'Procyclean MG'!I88)</f>
        <v/>
      </c>
      <c r="AF587">
        <f t="shared" si="71"/>
        <v>0</v>
      </c>
      <c r="AG587" t="str">
        <f t="shared" si="72"/>
        <v/>
      </c>
      <c r="AH587" t="str">
        <f t="shared" si="73"/>
        <v/>
      </c>
      <c r="AI587">
        <f t="shared" si="74"/>
        <v>0</v>
      </c>
      <c r="AJ587">
        <f t="shared" si="75"/>
        <v>0</v>
      </c>
      <c r="AK587">
        <v>0</v>
      </c>
      <c r="AL587" t="str">
        <f>IF(AA587="","",IFERROR(IF(ISNUMBER('Procyclean MG'!D88),'Procyclean MG'!D88,IF(ISNUMBER(SEARCH("12",'Procyclean MG'!D88)),EDATE(AB587,12),IF(ISNUMBER(SEARCH("6",'Procyclean MG'!D88)),EDATE(AB587,6),IF(ISNUMBER(SEARCH("3",'Procyclean MG'!D88)),EDATE(AB587,3),DATEVALUE('Procyclean MG'!D88))))),""))</f>
        <v/>
      </c>
      <c r="AM587" t="str">
        <f t="shared" ca="1" si="76"/>
        <v/>
      </c>
    </row>
    <row r="588" spans="27:39" x14ac:dyDescent="0.3">
      <c r="AA588" t="str">
        <f>IF(COUNTA('Procyclean MG'!A89,'Procyclean MG'!B89,'Procyclean MG'!C89)&gt;0,"MG","")</f>
        <v/>
      </c>
      <c r="AB588" t="str">
        <f>IFERROR(IF(ISNUMBER('Procyclean MG'!A89),'Procyclean MG'!A89,DATEVALUE('Procyclean MG'!A89)),"")</f>
        <v/>
      </c>
      <c r="AC588" t="str">
        <f>IF(AA588="","",'Procyclean MG'!B89)</f>
        <v/>
      </c>
      <c r="AD588" t="str">
        <f>IF(AA588="","",IFERROR(1*'Procyclean MG'!C89,IFERROR(_xludf.NUMBERVALUE('Procyclean MG'!C89,".",","),IFERROR(_xludf.NUMBERVALUE('Procyclean MG'!C89,",","."),0))))</f>
        <v/>
      </c>
      <c r="AE588" t="str">
        <f>IF(AA588="","",'Procyclean MG'!I89)</f>
        <v/>
      </c>
      <c r="AF588">
        <f t="shared" si="71"/>
        <v>0</v>
      </c>
      <c r="AG588" t="str">
        <f t="shared" si="72"/>
        <v/>
      </c>
      <c r="AH588" t="str">
        <f t="shared" si="73"/>
        <v/>
      </c>
      <c r="AI588">
        <f t="shared" si="74"/>
        <v>0</v>
      </c>
      <c r="AJ588">
        <f t="shared" si="75"/>
        <v>0</v>
      </c>
      <c r="AK588">
        <v>0</v>
      </c>
      <c r="AL588" t="str">
        <f>IF(AA588="","",IFERROR(IF(ISNUMBER('Procyclean MG'!D89),'Procyclean MG'!D89,IF(ISNUMBER(SEARCH("12",'Procyclean MG'!D89)),EDATE(AB588,12),IF(ISNUMBER(SEARCH("6",'Procyclean MG'!D89)),EDATE(AB588,6),IF(ISNUMBER(SEARCH("3",'Procyclean MG'!D89)),EDATE(AB588,3),DATEVALUE('Procyclean MG'!D89))))),""))</f>
        <v/>
      </c>
      <c r="AM588" t="str">
        <f t="shared" ca="1" si="76"/>
        <v/>
      </c>
    </row>
    <row r="589" spans="27:39" x14ac:dyDescent="0.3">
      <c r="AA589" t="str">
        <f>IF(COUNTA('Procyclean MG'!A90,'Procyclean MG'!B90,'Procyclean MG'!C90)&gt;0,"MG","")</f>
        <v/>
      </c>
      <c r="AB589" t="str">
        <f>IFERROR(IF(ISNUMBER('Procyclean MG'!A90),'Procyclean MG'!A90,DATEVALUE('Procyclean MG'!A90)),"")</f>
        <v/>
      </c>
      <c r="AC589" t="str">
        <f>IF(AA589="","",'Procyclean MG'!B90)</f>
        <v/>
      </c>
      <c r="AD589" t="str">
        <f>IF(AA589="","",IFERROR(1*'Procyclean MG'!C90,IFERROR(_xludf.NUMBERVALUE('Procyclean MG'!C90,".",","),IFERROR(_xludf.NUMBERVALUE('Procyclean MG'!C90,",","."),0))))</f>
        <v/>
      </c>
      <c r="AE589" t="str">
        <f>IF(AA589="","",'Procyclean MG'!I90)</f>
        <v/>
      </c>
      <c r="AF589">
        <f t="shared" si="71"/>
        <v>0</v>
      </c>
      <c r="AG589" t="str">
        <f t="shared" si="72"/>
        <v/>
      </c>
      <c r="AH589" t="str">
        <f t="shared" si="73"/>
        <v/>
      </c>
      <c r="AI589">
        <f t="shared" si="74"/>
        <v>0</v>
      </c>
      <c r="AJ589">
        <f t="shared" si="75"/>
        <v>0</v>
      </c>
      <c r="AK589">
        <v>0</v>
      </c>
      <c r="AL589" t="str">
        <f>IF(AA589="","",IFERROR(IF(ISNUMBER('Procyclean MG'!D90),'Procyclean MG'!D90,IF(ISNUMBER(SEARCH("12",'Procyclean MG'!D90)),EDATE(AB589,12),IF(ISNUMBER(SEARCH("6",'Procyclean MG'!D90)),EDATE(AB589,6),IF(ISNUMBER(SEARCH("3",'Procyclean MG'!D90)),EDATE(AB589,3),DATEVALUE('Procyclean MG'!D90))))),""))</f>
        <v/>
      </c>
      <c r="AM589" t="str">
        <f t="shared" ca="1" si="76"/>
        <v/>
      </c>
    </row>
    <row r="590" spans="27:39" x14ac:dyDescent="0.3">
      <c r="AA590" t="str">
        <f>IF(COUNTA('Procyclean MG'!A91,'Procyclean MG'!B91,'Procyclean MG'!C91)&gt;0,"MG","")</f>
        <v/>
      </c>
      <c r="AB590" t="str">
        <f>IFERROR(IF(ISNUMBER('Procyclean MG'!A91),'Procyclean MG'!A91,DATEVALUE('Procyclean MG'!A91)),"")</f>
        <v/>
      </c>
      <c r="AC590" t="str">
        <f>IF(AA590="","",'Procyclean MG'!B91)</f>
        <v/>
      </c>
      <c r="AD590" t="str">
        <f>IF(AA590="","",IFERROR(1*'Procyclean MG'!C91,IFERROR(_xludf.NUMBERVALUE('Procyclean MG'!C91,".",","),IFERROR(_xludf.NUMBERVALUE('Procyclean MG'!C91,",","."),0))))</f>
        <v/>
      </c>
      <c r="AE590" t="str">
        <f>IF(AA590="","",'Procyclean MG'!I91)</f>
        <v/>
      </c>
      <c r="AF590">
        <f t="shared" si="71"/>
        <v>0</v>
      </c>
      <c r="AG590" t="str">
        <f t="shared" si="72"/>
        <v/>
      </c>
      <c r="AH590" t="str">
        <f t="shared" si="73"/>
        <v/>
      </c>
      <c r="AI590">
        <f t="shared" si="74"/>
        <v>0</v>
      </c>
      <c r="AJ590">
        <f t="shared" si="75"/>
        <v>0</v>
      </c>
      <c r="AK590">
        <v>0</v>
      </c>
      <c r="AL590" t="str">
        <f>IF(AA590="","",IFERROR(IF(ISNUMBER('Procyclean MG'!D91),'Procyclean MG'!D91,IF(ISNUMBER(SEARCH("12",'Procyclean MG'!D91)),EDATE(AB590,12),IF(ISNUMBER(SEARCH("6",'Procyclean MG'!D91)),EDATE(AB590,6),IF(ISNUMBER(SEARCH("3",'Procyclean MG'!D91)),EDATE(AB590,3),DATEVALUE('Procyclean MG'!D91))))),""))</f>
        <v/>
      </c>
      <c r="AM590" t="str">
        <f t="shared" ca="1" si="76"/>
        <v/>
      </c>
    </row>
    <row r="591" spans="27:39" x14ac:dyDescent="0.3">
      <c r="AA591" t="str">
        <f>IF(COUNTA('Procyclean MG'!A92,'Procyclean MG'!B92,'Procyclean MG'!C92)&gt;0,"MG","")</f>
        <v/>
      </c>
      <c r="AB591" t="str">
        <f>IFERROR(IF(ISNUMBER('Procyclean MG'!A92),'Procyclean MG'!A92,DATEVALUE('Procyclean MG'!A92)),"")</f>
        <v/>
      </c>
      <c r="AC591" t="str">
        <f>IF(AA591="","",'Procyclean MG'!B92)</f>
        <v/>
      </c>
      <c r="AD591" t="str">
        <f>IF(AA591="","",IFERROR(1*'Procyclean MG'!C92,IFERROR(_xludf.NUMBERVALUE('Procyclean MG'!C92,".",","),IFERROR(_xludf.NUMBERVALUE('Procyclean MG'!C92,",","."),0))))</f>
        <v/>
      </c>
      <c r="AE591" t="str">
        <f>IF(AA591="","",'Procyclean MG'!I92)</f>
        <v/>
      </c>
      <c r="AF591">
        <f t="shared" si="71"/>
        <v>0</v>
      </c>
      <c r="AG591" t="str">
        <f t="shared" si="72"/>
        <v/>
      </c>
      <c r="AH591" t="str">
        <f t="shared" si="73"/>
        <v/>
      </c>
      <c r="AI591">
        <f t="shared" si="74"/>
        <v>0</v>
      </c>
      <c r="AJ591">
        <f t="shared" si="75"/>
        <v>0</v>
      </c>
      <c r="AK591">
        <v>0</v>
      </c>
      <c r="AL591" t="str">
        <f>IF(AA591="","",IFERROR(IF(ISNUMBER('Procyclean MG'!D92),'Procyclean MG'!D92,IF(ISNUMBER(SEARCH("12",'Procyclean MG'!D92)),EDATE(AB591,12),IF(ISNUMBER(SEARCH("6",'Procyclean MG'!D92)),EDATE(AB591,6),IF(ISNUMBER(SEARCH("3",'Procyclean MG'!D92)),EDATE(AB591,3),DATEVALUE('Procyclean MG'!D92))))),""))</f>
        <v/>
      </c>
      <c r="AM591" t="str">
        <f t="shared" ca="1" si="76"/>
        <v/>
      </c>
    </row>
    <row r="592" spans="27:39" x14ac:dyDescent="0.3">
      <c r="AA592" t="str">
        <f>IF(COUNTA('Procyclean MG'!A93,'Procyclean MG'!B93,'Procyclean MG'!C93)&gt;0,"MG","")</f>
        <v/>
      </c>
      <c r="AB592" t="str">
        <f>IFERROR(IF(ISNUMBER('Procyclean MG'!A93),'Procyclean MG'!A93,DATEVALUE('Procyclean MG'!A93)),"")</f>
        <v/>
      </c>
      <c r="AC592" t="str">
        <f>IF(AA592="","",'Procyclean MG'!B93)</f>
        <v/>
      </c>
      <c r="AD592" t="str">
        <f>IF(AA592="","",IFERROR(1*'Procyclean MG'!C93,IFERROR(_xludf.NUMBERVALUE('Procyclean MG'!C93,".",","),IFERROR(_xludf.NUMBERVALUE('Procyclean MG'!C93,",","."),0))))</f>
        <v/>
      </c>
      <c r="AE592" t="str">
        <f>IF(AA592="","",'Procyclean MG'!I93)</f>
        <v/>
      </c>
      <c r="AF592">
        <f t="shared" si="71"/>
        <v>0</v>
      </c>
      <c r="AG592" t="str">
        <f t="shared" si="72"/>
        <v/>
      </c>
      <c r="AH592" t="str">
        <f t="shared" si="73"/>
        <v/>
      </c>
      <c r="AI592">
        <f t="shared" si="74"/>
        <v>0</v>
      </c>
      <c r="AJ592">
        <f t="shared" si="75"/>
        <v>0</v>
      </c>
      <c r="AK592">
        <v>0</v>
      </c>
      <c r="AL592" t="str">
        <f>IF(AA592="","",IFERROR(IF(ISNUMBER('Procyclean MG'!D93),'Procyclean MG'!D93,IF(ISNUMBER(SEARCH("12",'Procyclean MG'!D93)),EDATE(AB592,12),IF(ISNUMBER(SEARCH("6",'Procyclean MG'!D93)),EDATE(AB592,6),IF(ISNUMBER(SEARCH("3",'Procyclean MG'!D93)),EDATE(AB592,3),DATEVALUE('Procyclean MG'!D93))))),""))</f>
        <v/>
      </c>
      <c r="AM592" t="str">
        <f t="shared" ca="1" si="76"/>
        <v/>
      </c>
    </row>
    <row r="593" spans="27:39" x14ac:dyDescent="0.3">
      <c r="AA593" t="str">
        <f>IF(COUNTA('Procyclean MG'!A94,'Procyclean MG'!B94,'Procyclean MG'!C94)&gt;0,"MG","")</f>
        <v/>
      </c>
      <c r="AB593" t="str">
        <f>IFERROR(IF(ISNUMBER('Procyclean MG'!A94),'Procyclean MG'!A94,DATEVALUE('Procyclean MG'!A94)),"")</f>
        <v/>
      </c>
      <c r="AC593" t="str">
        <f>IF(AA593="","",'Procyclean MG'!B94)</f>
        <v/>
      </c>
      <c r="AD593" t="str">
        <f>IF(AA593="","",IFERROR(1*'Procyclean MG'!C94,IFERROR(_xludf.NUMBERVALUE('Procyclean MG'!C94,".",","),IFERROR(_xludf.NUMBERVALUE('Procyclean MG'!C94,",","."),0))))</f>
        <v/>
      </c>
      <c r="AE593" t="str">
        <f>IF(AA593="","",'Procyclean MG'!I94)</f>
        <v/>
      </c>
      <c r="AF593">
        <f t="shared" si="71"/>
        <v>0</v>
      </c>
      <c r="AG593" t="str">
        <f t="shared" si="72"/>
        <v/>
      </c>
      <c r="AH593" t="str">
        <f t="shared" si="73"/>
        <v/>
      </c>
      <c r="AI593">
        <f t="shared" si="74"/>
        <v>0</v>
      </c>
      <c r="AJ593">
        <f t="shared" si="75"/>
        <v>0</v>
      </c>
      <c r="AK593">
        <v>0</v>
      </c>
      <c r="AL593" t="str">
        <f>IF(AA593="","",IFERROR(IF(ISNUMBER('Procyclean MG'!D94),'Procyclean MG'!D94,IF(ISNUMBER(SEARCH("12",'Procyclean MG'!D94)),EDATE(AB593,12),IF(ISNUMBER(SEARCH("6",'Procyclean MG'!D94)),EDATE(AB593,6),IF(ISNUMBER(SEARCH("3",'Procyclean MG'!D94)),EDATE(AB593,3),DATEVALUE('Procyclean MG'!D94))))),""))</f>
        <v/>
      </c>
      <c r="AM593" t="str">
        <f t="shared" ca="1" si="76"/>
        <v/>
      </c>
    </row>
    <row r="594" spans="27:39" x14ac:dyDescent="0.3">
      <c r="AA594" t="str">
        <f>IF(COUNTA('Procyclean MG'!A95,'Procyclean MG'!B95,'Procyclean MG'!C95)&gt;0,"MG","")</f>
        <v/>
      </c>
      <c r="AB594" t="str">
        <f>IFERROR(IF(ISNUMBER('Procyclean MG'!A95),'Procyclean MG'!A95,DATEVALUE('Procyclean MG'!A95)),"")</f>
        <v/>
      </c>
      <c r="AC594" t="str">
        <f>IF(AA594="","",'Procyclean MG'!B95)</f>
        <v/>
      </c>
      <c r="AD594" t="str">
        <f>IF(AA594="","",IFERROR(1*'Procyclean MG'!C95,IFERROR(_xludf.NUMBERVALUE('Procyclean MG'!C95,".",","),IFERROR(_xludf.NUMBERVALUE('Procyclean MG'!C95,",","."),0))))</f>
        <v/>
      </c>
      <c r="AE594" t="str">
        <f>IF(AA594="","",'Procyclean MG'!I95)</f>
        <v/>
      </c>
      <c r="AF594">
        <f t="shared" si="71"/>
        <v>0</v>
      </c>
      <c r="AG594" t="str">
        <f t="shared" si="72"/>
        <v/>
      </c>
      <c r="AH594" t="str">
        <f t="shared" si="73"/>
        <v/>
      </c>
      <c r="AI594">
        <f t="shared" si="74"/>
        <v>0</v>
      </c>
      <c r="AJ594">
        <f t="shared" si="75"/>
        <v>0</v>
      </c>
      <c r="AK594">
        <v>0</v>
      </c>
      <c r="AL594" t="str">
        <f>IF(AA594="","",IFERROR(IF(ISNUMBER('Procyclean MG'!D95),'Procyclean MG'!D95,IF(ISNUMBER(SEARCH("12",'Procyclean MG'!D95)),EDATE(AB594,12),IF(ISNUMBER(SEARCH("6",'Procyclean MG'!D95)),EDATE(AB594,6),IF(ISNUMBER(SEARCH("3",'Procyclean MG'!D95)),EDATE(AB594,3),DATEVALUE('Procyclean MG'!D95))))),""))</f>
        <v/>
      </c>
      <c r="AM594" t="str">
        <f t="shared" ca="1" si="76"/>
        <v/>
      </c>
    </row>
    <row r="595" spans="27:39" x14ac:dyDescent="0.3">
      <c r="AA595" t="str">
        <f>IF(COUNTA('Procyclean MG'!A96,'Procyclean MG'!B96,'Procyclean MG'!C96)&gt;0,"MG","")</f>
        <v/>
      </c>
      <c r="AB595" t="str">
        <f>IFERROR(IF(ISNUMBER('Procyclean MG'!A96),'Procyclean MG'!A96,DATEVALUE('Procyclean MG'!A96)),"")</f>
        <v/>
      </c>
      <c r="AC595" t="str">
        <f>IF(AA595="","",'Procyclean MG'!B96)</f>
        <v/>
      </c>
      <c r="AD595" t="str">
        <f>IF(AA595="","",IFERROR(1*'Procyclean MG'!C96,IFERROR(_xludf.NUMBERVALUE('Procyclean MG'!C96,".",","),IFERROR(_xludf.NUMBERVALUE('Procyclean MG'!C96,",","."),0))))</f>
        <v/>
      </c>
      <c r="AE595" t="str">
        <f>IF(AA595="","",'Procyclean MG'!I96)</f>
        <v/>
      </c>
      <c r="AF595">
        <f t="shared" si="71"/>
        <v>0</v>
      </c>
      <c r="AG595" t="str">
        <f t="shared" si="72"/>
        <v/>
      </c>
      <c r="AH595" t="str">
        <f t="shared" si="73"/>
        <v/>
      </c>
      <c r="AI595">
        <f t="shared" si="74"/>
        <v>0</v>
      </c>
      <c r="AJ595">
        <f t="shared" si="75"/>
        <v>0</v>
      </c>
      <c r="AK595">
        <v>0</v>
      </c>
      <c r="AL595" t="str">
        <f>IF(AA595="","",IFERROR(IF(ISNUMBER('Procyclean MG'!D96),'Procyclean MG'!D96,IF(ISNUMBER(SEARCH("12",'Procyclean MG'!D96)),EDATE(AB595,12),IF(ISNUMBER(SEARCH("6",'Procyclean MG'!D96)),EDATE(AB595,6),IF(ISNUMBER(SEARCH("3",'Procyclean MG'!D96)),EDATE(AB595,3),DATEVALUE('Procyclean MG'!D96))))),""))</f>
        <v/>
      </c>
      <c r="AM595" t="str">
        <f t="shared" ca="1" si="76"/>
        <v/>
      </c>
    </row>
    <row r="596" spans="27:39" x14ac:dyDescent="0.3">
      <c r="AA596" t="str">
        <f>IF(COUNTA('Procyclean MG'!A97,'Procyclean MG'!B97,'Procyclean MG'!C97)&gt;0,"MG","")</f>
        <v/>
      </c>
      <c r="AB596" t="str">
        <f>IFERROR(IF(ISNUMBER('Procyclean MG'!A97),'Procyclean MG'!A97,DATEVALUE('Procyclean MG'!A97)),"")</f>
        <v/>
      </c>
      <c r="AC596" t="str">
        <f>IF(AA596="","",'Procyclean MG'!B97)</f>
        <v/>
      </c>
      <c r="AD596" t="str">
        <f>IF(AA596="","",IFERROR(1*'Procyclean MG'!C97,IFERROR(_xludf.NUMBERVALUE('Procyclean MG'!C97,".",","),IFERROR(_xludf.NUMBERVALUE('Procyclean MG'!C97,",","."),0))))</f>
        <v/>
      </c>
      <c r="AE596" t="str">
        <f>IF(AA596="","",'Procyclean MG'!I97)</f>
        <v/>
      </c>
      <c r="AF596">
        <f t="shared" si="71"/>
        <v>0</v>
      </c>
      <c r="AG596" t="str">
        <f t="shared" si="72"/>
        <v/>
      </c>
      <c r="AH596" t="str">
        <f t="shared" si="73"/>
        <v/>
      </c>
      <c r="AI596">
        <f t="shared" si="74"/>
        <v>0</v>
      </c>
      <c r="AJ596">
        <f t="shared" si="75"/>
        <v>0</v>
      </c>
      <c r="AK596">
        <v>0</v>
      </c>
      <c r="AL596" t="str">
        <f>IF(AA596="","",IFERROR(IF(ISNUMBER('Procyclean MG'!D97),'Procyclean MG'!D97,IF(ISNUMBER(SEARCH("12",'Procyclean MG'!D97)),EDATE(AB596,12),IF(ISNUMBER(SEARCH("6",'Procyclean MG'!D97)),EDATE(AB596,6),IF(ISNUMBER(SEARCH("3",'Procyclean MG'!D97)),EDATE(AB596,3),DATEVALUE('Procyclean MG'!D97))))),""))</f>
        <v/>
      </c>
      <c r="AM596" t="str">
        <f t="shared" ca="1" si="76"/>
        <v/>
      </c>
    </row>
    <row r="597" spans="27:39" x14ac:dyDescent="0.3">
      <c r="AA597" t="str">
        <f>IF(COUNTA('Procyclean MG'!A98,'Procyclean MG'!B98,'Procyclean MG'!C98)&gt;0,"MG","")</f>
        <v/>
      </c>
      <c r="AB597" t="str">
        <f>IFERROR(IF(ISNUMBER('Procyclean MG'!A98),'Procyclean MG'!A98,DATEVALUE('Procyclean MG'!A98)),"")</f>
        <v/>
      </c>
      <c r="AC597" t="str">
        <f>IF(AA597="","",'Procyclean MG'!B98)</f>
        <v/>
      </c>
      <c r="AD597" t="str">
        <f>IF(AA597="","",IFERROR(1*'Procyclean MG'!C98,IFERROR(_xludf.NUMBERVALUE('Procyclean MG'!C98,".",","),IFERROR(_xludf.NUMBERVALUE('Procyclean MG'!C98,",","."),0))))</f>
        <v/>
      </c>
      <c r="AE597" t="str">
        <f>IF(AA597="","",'Procyclean MG'!I98)</f>
        <v/>
      </c>
      <c r="AF597">
        <f t="shared" si="71"/>
        <v>0</v>
      </c>
      <c r="AG597" t="str">
        <f t="shared" si="72"/>
        <v/>
      </c>
      <c r="AH597" t="str">
        <f t="shared" si="73"/>
        <v/>
      </c>
      <c r="AI597">
        <f t="shared" si="74"/>
        <v>0</v>
      </c>
      <c r="AJ597">
        <f t="shared" si="75"/>
        <v>0</v>
      </c>
      <c r="AK597">
        <v>0</v>
      </c>
      <c r="AL597" t="str">
        <f>IF(AA597="","",IFERROR(IF(ISNUMBER('Procyclean MG'!D98),'Procyclean MG'!D98,IF(ISNUMBER(SEARCH("12",'Procyclean MG'!D98)),EDATE(AB597,12),IF(ISNUMBER(SEARCH("6",'Procyclean MG'!D98)),EDATE(AB597,6),IF(ISNUMBER(SEARCH("3",'Procyclean MG'!D98)),EDATE(AB597,3),DATEVALUE('Procyclean MG'!D98))))),""))</f>
        <v/>
      </c>
      <c r="AM597" t="str">
        <f t="shared" ca="1" si="76"/>
        <v/>
      </c>
    </row>
    <row r="598" spans="27:39" x14ac:dyDescent="0.3">
      <c r="AA598" t="str">
        <f>IF(COUNTA('Procyclean MG'!A99,'Procyclean MG'!B99,'Procyclean MG'!C99)&gt;0,"MG","")</f>
        <v/>
      </c>
      <c r="AB598" t="str">
        <f>IFERROR(IF(ISNUMBER('Procyclean MG'!A99),'Procyclean MG'!A99,DATEVALUE('Procyclean MG'!A99)),"")</f>
        <v/>
      </c>
      <c r="AC598" t="str">
        <f>IF(AA598="","",'Procyclean MG'!B99)</f>
        <v/>
      </c>
      <c r="AD598" t="str">
        <f>IF(AA598="","",IFERROR(1*'Procyclean MG'!C99,IFERROR(_xludf.NUMBERVALUE('Procyclean MG'!C99,".",","),IFERROR(_xludf.NUMBERVALUE('Procyclean MG'!C99,",","."),0))))</f>
        <v/>
      </c>
      <c r="AE598" t="str">
        <f>IF(AA598="","",'Procyclean MG'!I99)</f>
        <v/>
      </c>
      <c r="AF598">
        <f t="shared" si="71"/>
        <v>0</v>
      </c>
      <c r="AG598" t="str">
        <f t="shared" si="72"/>
        <v/>
      </c>
      <c r="AH598" t="str">
        <f t="shared" si="73"/>
        <v/>
      </c>
      <c r="AI598">
        <f t="shared" si="74"/>
        <v>0</v>
      </c>
      <c r="AJ598">
        <f t="shared" si="75"/>
        <v>0</v>
      </c>
      <c r="AK598">
        <v>0</v>
      </c>
      <c r="AL598" t="str">
        <f>IF(AA598="","",IFERROR(IF(ISNUMBER('Procyclean MG'!D99),'Procyclean MG'!D99,IF(ISNUMBER(SEARCH("12",'Procyclean MG'!D99)),EDATE(AB598,12),IF(ISNUMBER(SEARCH("6",'Procyclean MG'!D99)),EDATE(AB598,6),IF(ISNUMBER(SEARCH("3",'Procyclean MG'!D99)),EDATE(AB598,3),DATEVALUE('Procyclean MG'!D99))))),""))</f>
        <v/>
      </c>
      <c r="AM598" t="str">
        <f t="shared" ca="1" si="76"/>
        <v/>
      </c>
    </row>
    <row r="599" spans="27:39" x14ac:dyDescent="0.3">
      <c r="AA599" t="str">
        <f>IF(COUNTA('Procyclean MG'!A100,'Procyclean MG'!B100,'Procyclean MG'!C100)&gt;0,"MG","")</f>
        <v/>
      </c>
      <c r="AB599" t="str">
        <f>IFERROR(IF(ISNUMBER('Procyclean MG'!A100),'Procyclean MG'!A100,DATEVALUE('Procyclean MG'!A100)),"")</f>
        <v/>
      </c>
      <c r="AC599" t="str">
        <f>IF(AA599="","",'Procyclean MG'!B100)</f>
        <v/>
      </c>
      <c r="AD599" t="str">
        <f>IF(AA599="","",IFERROR(1*'Procyclean MG'!C100,IFERROR(_xludf.NUMBERVALUE('Procyclean MG'!C100,".",","),IFERROR(_xludf.NUMBERVALUE('Procyclean MG'!C100,",","."),0))))</f>
        <v/>
      </c>
      <c r="AE599" t="str">
        <f>IF(AA599="","",'Procyclean MG'!I100)</f>
        <v/>
      </c>
      <c r="AF599">
        <f t="shared" si="71"/>
        <v>0</v>
      </c>
      <c r="AG599" t="str">
        <f t="shared" si="72"/>
        <v/>
      </c>
      <c r="AH599" t="str">
        <f t="shared" si="73"/>
        <v/>
      </c>
      <c r="AI599">
        <f t="shared" si="74"/>
        <v>0</v>
      </c>
      <c r="AJ599">
        <f t="shared" si="75"/>
        <v>0</v>
      </c>
      <c r="AK599">
        <v>0</v>
      </c>
      <c r="AL599" t="str">
        <f>IF(AA599="","",IFERROR(IF(ISNUMBER('Procyclean MG'!D100),'Procyclean MG'!D100,IF(ISNUMBER(SEARCH("12",'Procyclean MG'!D100)),EDATE(AB599,12),IF(ISNUMBER(SEARCH("6",'Procyclean MG'!D100)),EDATE(AB599,6),IF(ISNUMBER(SEARCH("3",'Procyclean MG'!D100)),EDATE(AB599,3),DATEVALUE('Procyclean MG'!D100))))),""))</f>
        <v/>
      </c>
      <c r="AM599" t="str">
        <f t="shared" ca="1" si="76"/>
        <v/>
      </c>
    </row>
    <row r="600" spans="27:39" x14ac:dyDescent="0.3">
      <c r="AA600" t="str">
        <f>IF(COUNTA('Procyclean MG'!A101,'Procyclean MG'!B101,'Procyclean MG'!C101)&gt;0,"MG","")</f>
        <v/>
      </c>
      <c r="AB600" t="str">
        <f>IFERROR(IF(ISNUMBER('Procyclean MG'!A101),'Procyclean MG'!A101,DATEVALUE('Procyclean MG'!A101)),"")</f>
        <v/>
      </c>
      <c r="AC600" t="str">
        <f>IF(AA600="","",'Procyclean MG'!B101)</f>
        <v/>
      </c>
      <c r="AD600" t="str">
        <f>IF(AA600="","",IFERROR(1*'Procyclean MG'!C101,IFERROR(_xludf.NUMBERVALUE('Procyclean MG'!C101,".",","),IFERROR(_xludf.NUMBERVALUE('Procyclean MG'!C101,",","."),0))))</f>
        <v/>
      </c>
      <c r="AE600" t="str">
        <f>IF(AA600="","",'Procyclean MG'!I101)</f>
        <v/>
      </c>
      <c r="AF600">
        <f t="shared" si="71"/>
        <v>0</v>
      </c>
      <c r="AG600" t="str">
        <f t="shared" si="72"/>
        <v/>
      </c>
      <c r="AH600" t="str">
        <f t="shared" si="73"/>
        <v/>
      </c>
      <c r="AI600">
        <f t="shared" si="74"/>
        <v>0</v>
      </c>
      <c r="AJ600">
        <f t="shared" si="75"/>
        <v>0</v>
      </c>
      <c r="AK600">
        <v>0</v>
      </c>
      <c r="AL600" t="str">
        <f>IF(AA600="","",IFERROR(IF(ISNUMBER('Procyclean MG'!D101),'Procyclean MG'!D101,IF(ISNUMBER(SEARCH("12",'Procyclean MG'!D101)),EDATE(AB600,12),IF(ISNUMBER(SEARCH("6",'Procyclean MG'!D101)),EDATE(AB600,6),IF(ISNUMBER(SEARCH("3",'Procyclean MG'!D101)),EDATE(AB600,3),DATEVALUE('Procyclean MG'!D101))))),""))</f>
        <v/>
      </c>
      <c r="AM600" t="str">
        <f t="shared" ca="1" si="76"/>
        <v/>
      </c>
    </row>
    <row r="601" spans="27:39" x14ac:dyDescent="0.3">
      <c r="AA601" t="str">
        <f>IF(COUNTA('Procyclean MG'!A102,'Procyclean MG'!B102,'Procyclean MG'!C102)&gt;0,"MG","")</f>
        <v/>
      </c>
      <c r="AB601" t="str">
        <f>IFERROR(IF(ISNUMBER('Procyclean MG'!A102),'Procyclean MG'!A102,DATEVALUE('Procyclean MG'!A102)),"")</f>
        <v/>
      </c>
      <c r="AC601" t="str">
        <f>IF(AA601="","",'Procyclean MG'!B102)</f>
        <v/>
      </c>
      <c r="AD601" t="str">
        <f>IF(AA601="","",IFERROR(1*'Procyclean MG'!C102,IFERROR(_xludf.NUMBERVALUE('Procyclean MG'!C102,".",","),IFERROR(_xludf.NUMBERVALUE('Procyclean MG'!C102,",","."),0))))</f>
        <v/>
      </c>
      <c r="AE601" t="str">
        <f>IF(AA601="","",'Procyclean MG'!I102)</f>
        <v/>
      </c>
      <c r="AF601">
        <f t="shared" si="71"/>
        <v>0</v>
      </c>
      <c r="AG601" t="str">
        <f t="shared" si="72"/>
        <v/>
      </c>
      <c r="AH601" t="str">
        <f t="shared" si="73"/>
        <v/>
      </c>
      <c r="AI601">
        <f t="shared" si="74"/>
        <v>0</v>
      </c>
      <c r="AJ601">
        <f t="shared" si="75"/>
        <v>0</v>
      </c>
      <c r="AK601">
        <v>0</v>
      </c>
      <c r="AL601" t="str">
        <f>IF(AA601="","",IFERROR(IF(ISNUMBER('Procyclean MG'!D102),'Procyclean MG'!D102,IF(ISNUMBER(SEARCH("12",'Procyclean MG'!D102)),EDATE(AB601,12),IF(ISNUMBER(SEARCH("6",'Procyclean MG'!D102)),EDATE(AB601,6),IF(ISNUMBER(SEARCH("3",'Procyclean MG'!D102)),EDATE(AB601,3),DATEVALUE('Procyclean MG'!D102))))),""))</f>
        <v/>
      </c>
      <c r="AM601" t="str">
        <f t="shared" ca="1" si="76"/>
        <v/>
      </c>
    </row>
    <row r="602" spans="27:39" x14ac:dyDescent="0.3">
      <c r="AA602" t="str">
        <f>IF(COUNTA('Procyclean MG'!A103,'Procyclean MG'!B103,'Procyclean MG'!C103)&gt;0,"MG","")</f>
        <v/>
      </c>
      <c r="AB602" t="str">
        <f>IFERROR(IF(ISNUMBER('Procyclean MG'!A103),'Procyclean MG'!A103,DATEVALUE('Procyclean MG'!A103)),"")</f>
        <v/>
      </c>
      <c r="AC602" t="str">
        <f>IF(AA602="","",'Procyclean MG'!B103)</f>
        <v/>
      </c>
      <c r="AD602" t="str">
        <f>IF(AA602="","",IFERROR(1*'Procyclean MG'!C103,IFERROR(_xludf.NUMBERVALUE('Procyclean MG'!C103,".",","),IFERROR(_xludf.NUMBERVALUE('Procyclean MG'!C103,",","."),0))))</f>
        <v/>
      </c>
      <c r="AE602" t="str">
        <f>IF(AA602="","",'Procyclean MG'!I103)</f>
        <v/>
      </c>
      <c r="AF602">
        <f t="shared" si="71"/>
        <v>0</v>
      </c>
      <c r="AG602" t="str">
        <f t="shared" si="72"/>
        <v/>
      </c>
      <c r="AH602" t="str">
        <f t="shared" si="73"/>
        <v/>
      </c>
      <c r="AI602">
        <f t="shared" si="74"/>
        <v>0</v>
      </c>
      <c r="AJ602">
        <f t="shared" si="75"/>
        <v>0</v>
      </c>
      <c r="AK602">
        <v>0</v>
      </c>
      <c r="AL602" t="str">
        <f>IF(AA602="","",IFERROR(IF(ISNUMBER('Procyclean MG'!D103),'Procyclean MG'!D103,IF(ISNUMBER(SEARCH("12",'Procyclean MG'!D103)),EDATE(AB602,12),IF(ISNUMBER(SEARCH("6",'Procyclean MG'!D103)),EDATE(AB602,6),IF(ISNUMBER(SEARCH("3",'Procyclean MG'!D103)),EDATE(AB602,3),DATEVALUE('Procyclean MG'!D103))))),""))</f>
        <v/>
      </c>
      <c r="AM602" t="str">
        <f t="shared" ca="1" si="76"/>
        <v/>
      </c>
    </row>
    <row r="603" spans="27:39" x14ac:dyDescent="0.3">
      <c r="AA603" t="str">
        <f>IF(COUNTA('Procyclean MG'!A104,'Procyclean MG'!B104,'Procyclean MG'!C104)&gt;0,"MG","")</f>
        <v/>
      </c>
      <c r="AB603" t="str">
        <f>IFERROR(IF(ISNUMBER('Procyclean MG'!A104),'Procyclean MG'!A104,DATEVALUE('Procyclean MG'!A104)),"")</f>
        <v/>
      </c>
      <c r="AC603" t="str">
        <f>IF(AA603="","",'Procyclean MG'!B104)</f>
        <v/>
      </c>
      <c r="AD603" t="str">
        <f>IF(AA603="","",IFERROR(1*'Procyclean MG'!C104,IFERROR(_xludf.NUMBERVALUE('Procyclean MG'!C104,".",","),IFERROR(_xludf.NUMBERVALUE('Procyclean MG'!C104,",","."),0))))</f>
        <v/>
      </c>
      <c r="AE603" t="str">
        <f>IF(AA603="","",'Procyclean MG'!I104)</f>
        <v/>
      </c>
      <c r="AF603">
        <f t="shared" si="71"/>
        <v>0</v>
      </c>
      <c r="AG603" t="str">
        <f t="shared" si="72"/>
        <v/>
      </c>
      <c r="AH603" t="str">
        <f t="shared" si="73"/>
        <v/>
      </c>
      <c r="AI603">
        <f t="shared" si="74"/>
        <v>0</v>
      </c>
      <c r="AJ603">
        <f t="shared" si="75"/>
        <v>0</v>
      </c>
      <c r="AK603">
        <v>0</v>
      </c>
      <c r="AL603" t="str">
        <f>IF(AA603="","",IFERROR(IF(ISNUMBER('Procyclean MG'!D104),'Procyclean MG'!D104,IF(ISNUMBER(SEARCH("12",'Procyclean MG'!D104)),EDATE(AB603,12),IF(ISNUMBER(SEARCH("6",'Procyclean MG'!D104)),EDATE(AB603,6),IF(ISNUMBER(SEARCH("3",'Procyclean MG'!D104)),EDATE(AB603,3),DATEVALUE('Procyclean MG'!D104))))),""))</f>
        <v/>
      </c>
      <c r="AM603" t="str">
        <f t="shared" ca="1" si="76"/>
        <v/>
      </c>
    </row>
    <row r="604" spans="27:39" x14ac:dyDescent="0.3">
      <c r="AA604" t="str">
        <f>IF(COUNTA('Procyclean MG'!A105,'Procyclean MG'!B105,'Procyclean MG'!C105)&gt;0,"MG","")</f>
        <v/>
      </c>
      <c r="AB604" t="str">
        <f>IFERROR(IF(ISNUMBER('Procyclean MG'!A105),'Procyclean MG'!A105,DATEVALUE('Procyclean MG'!A105)),"")</f>
        <v/>
      </c>
      <c r="AC604" t="str">
        <f>IF(AA604="","",'Procyclean MG'!B105)</f>
        <v/>
      </c>
      <c r="AD604" t="str">
        <f>IF(AA604="","",IFERROR(1*'Procyclean MG'!C105,IFERROR(_xludf.NUMBERVALUE('Procyclean MG'!C105,".",","),IFERROR(_xludf.NUMBERVALUE('Procyclean MG'!C105,",","."),0))))</f>
        <v/>
      </c>
      <c r="AE604" t="str">
        <f>IF(AA604="","",'Procyclean MG'!I105)</f>
        <v/>
      </c>
      <c r="AF604">
        <f t="shared" si="71"/>
        <v>0</v>
      </c>
      <c r="AG604" t="str">
        <f t="shared" si="72"/>
        <v/>
      </c>
      <c r="AH604" t="str">
        <f t="shared" si="73"/>
        <v/>
      </c>
      <c r="AI604">
        <f t="shared" si="74"/>
        <v>0</v>
      </c>
      <c r="AJ604">
        <f t="shared" si="75"/>
        <v>0</v>
      </c>
      <c r="AK604">
        <v>0</v>
      </c>
      <c r="AL604" t="str">
        <f>IF(AA604="","",IFERROR(IF(ISNUMBER('Procyclean MG'!D105),'Procyclean MG'!D105,IF(ISNUMBER(SEARCH("12",'Procyclean MG'!D105)),EDATE(AB604,12),IF(ISNUMBER(SEARCH("6",'Procyclean MG'!D105)),EDATE(AB604,6),IF(ISNUMBER(SEARCH("3",'Procyclean MG'!D105)),EDATE(AB604,3),DATEVALUE('Procyclean MG'!D105))))),""))</f>
        <v/>
      </c>
      <c r="AM604" t="str">
        <f t="shared" ca="1" si="76"/>
        <v/>
      </c>
    </row>
    <row r="605" spans="27:39" x14ac:dyDescent="0.3">
      <c r="AA605" t="str">
        <f>IF(COUNTA('Procyclean MG'!A106,'Procyclean MG'!B106,'Procyclean MG'!C106)&gt;0,"MG","")</f>
        <v/>
      </c>
      <c r="AB605" t="str">
        <f>IFERROR(IF(ISNUMBER('Procyclean MG'!A106),'Procyclean MG'!A106,DATEVALUE('Procyclean MG'!A106)),"")</f>
        <v/>
      </c>
      <c r="AC605" t="str">
        <f>IF(AA605="","",'Procyclean MG'!B106)</f>
        <v/>
      </c>
      <c r="AD605" t="str">
        <f>IF(AA605="","",IFERROR(1*'Procyclean MG'!C106,IFERROR(_xludf.NUMBERVALUE('Procyclean MG'!C106,".",","),IFERROR(_xludf.NUMBERVALUE('Procyclean MG'!C106,",","."),0))))</f>
        <v/>
      </c>
      <c r="AE605" t="str">
        <f>IF(AA605="","",'Procyclean MG'!I106)</f>
        <v/>
      </c>
      <c r="AF605">
        <f t="shared" si="71"/>
        <v>0</v>
      </c>
      <c r="AG605" t="str">
        <f t="shared" si="72"/>
        <v/>
      </c>
      <c r="AH605" t="str">
        <f t="shared" si="73"/>
        <v/>
      </c>
      <c r="AI605">
        <f t="shared" si="74"/>
        <v>0</v>
      </c>
      <c r="AJ605">
        <f t="shared" si="75"/>
        <v>0</v>
      </c>
      <c r="AK605">
        <v>0</v>
      </c>
      <c r="AL605" t="str">
        <f>IF(AA605="","",IFERROR(IF(ISNUMBER('Procyclean MG'!D106),'Procyclean MG'!D106,IF(ISNUMBER(SEARCH("12",'Procyclean MG'!D106)),EDATE(AB605,12),IF(ISNUMBER(SEARCH("6",'Procyclean MG'!D106)),EDATE(AB605,6),IF(ISNUMBER(SEARCH("3",'Procyclean MG'!D106)),EDATE(AB605,3),DATEVALUE('Procyclean MG'!D106))))),""))</f>
        <v/>
      </c>
      <c r="AM605" t="str">
        <f t="shared" ca="1" si="76"/>
        <v/>
      </c>
    </row>
    <row r="606" spans="27:39" x14ac:dyDescent="0.3">
      <c r="AA606" t="str">
        <f>IF(COUNTA('Procyclean MG'!A107,'Procyclean MG'!B107,'Procyclean MG'!C107)&gt;0,"MG","")</f>
        <v/>
      </c>
      <c r="AB606" t="str">
        <f>IFERROR(IF(ISNUMBER('Procyclean MG'!A107),'Procyclean MG'!A107,DATEVALUE('Procyclean MG'!A107)),"")</f>
        <v/>
      </c>
      <c r="AC606" t="str">
        <f>IF(AA606="","",'Procyclean MG'!B107)</f>
        <v/>
      </c>
      <c r="AD606" t="str">
        <f>IF(AA606="","",IFERROR(1*'Procyclean MG'!C107,IFERROR(_xludf.NUMBERVALUE('Procyclean MG'!C107,".",","),IFERROR(_xludf.NUMBERVALUE('Procyclean MG'!C107,",","."),0))))</f>
        <v/>
      </c>
      <c r="AE606" t="str">
        <f>IF(AA606="","",'Procyclean MG'!I107)</f>
        <v/>
      </c>
      <c r="AF606">
        <f t="shared" si="71"/>
        <v>0</v>
      </c>
      <c r="AG606" t="str">
        <f t="shared" si="72"/>
        <v/>
      </c>
      <c r="AH606" t="str">
        <f t="shared" si="73"/>
        <v/>
      </c>
      <c r="AI606">
        <f t="shared" si="74"/>
        <v>0</v>
      </c>
      <c r="AJ606">
        <f t="shared" si="75"/>
        <v>0</v>
      </c>
      <c r="AK606">
        <v>0</v>
      </c>
      <c r="AL606" t="str">
        <f>IF(AA606="","",IFERROR(IF(ISNUMBER('Procyclean MG'!D107),'Procyclean MG'!D107,IF(ISNUMBER(SEARCH("12",'Procyclean MG'!D107)),EDATE(AB606,12),IF(ISNUMBER(SEARCH("6",'Procyclean MG'!D107)),EDATE(AB606,6),IF(ISNUMBER(SEARCH("3",'Procyclean MG'!D107)),EDATE(AB606,3),DATEVALUE('Procyclean MG'!D107))))),""))</f>
        <v/>
      </c>
      <c r="AM606" t="str">
        <f t="shared" ca="1" si="76"/>
        <v/>
      </c>
    </row>
    <row r="607" spans="27:39" x14ac:dyDescent="0.3">
      <c r="AA607" t="str">
        <f>IF(COUNTA('Procyclean MG'!A108,'Procyclean MG'!B108,'Procyclean MG'!C108)&gt;0,"MG","")</f>
        <v/>
      </c>
      <c r="AB607" t="str">
        <f>IFERROR(IF(ISNUMBER('Procyclean MG'!A108),'Procyclean MG'!A108,DATEVALUE('Procyclean MG'!A108)),"")</f>
        <v/>
      </c>
      <c r="AC607" t="str">
        <f>IF(AA607="","",'Procyclean MG'!B108)</f>
        <v/>
      </c>
      <c r="AD607" t="str">
        <f>IF(AA607="","",IFERROR(1*'Procyclean MG'!C108,IFERROR(_xludf.NUMBERVALUE('Procyclean MG'!C108,".",","),IFERROR(_xludf.NUMBERVALUE('Procyclean MG'!C108,",","."),0))))</f>
        <v/>
      </c>
      <c r="AE607" t="str">
        <f>IF(AA607="","",'Procyclean MG'!I108)</f>
        <v/>
      </c>
      <c r="AF607">
        <f t="shared" si="71"/>
        <v>0</v>
      </c>
      <c r="AG607" t="str">
        <f t="shared" si="72"/>
        <v/>
      </c>
      <c r="AH607" t="str">
        <f t="shared" si="73"/>
        <v/>
      </c>
      <c r="AI607">
        <f t="shared" si="74"/>
        <v>0</v>
      </c>
      <c r="AJ607">
        <f t="shared" si="75"/>
        <v>0</v>
      </c>
      <c r="AK607">
        <v>0</v>
      </c>
      <c r="AL607" t="str">
        <f>IF(AA607="","",IFERROR(IF(ISNUMBER('Procyclean MG'!D108),'Procyclean MG'!D108,IF(ISNUMBER(SEARCH("12",'Procyclean MG'!D108)),EDATE(AB607,12),IF(ISNUMBER(SEARCH("6",'Procyclean MG'!D108)),EDATE(AB607,6),IF(ISNUMBER(SEARCH("3",'Procyclean MG'!D108)),EDATE(AB607,3),DATEVALUE('Procyclean MG'!D108))))),""))</f>
        <v/>
      </c>
      <c r="AM607" t="str">
        <f t="shared" ca="1" si="76"/>
        <v/>
      </c>
    </row>
    <row r="608" spans="27:39" x14ac:dyDescent="0.3">
      <c r="AA608" t="str">
        <f>IF(COUNTA('Procyclean MG'!A109,'Procyclean MG'!B109,'Procyclean MG'!C109)&gt;0,"MG","")</f>
        <v/>
      </c>
      <c r="AB608" t="str">
        <f>IFERROR(IF(ISNUMBER('Procyclean MG'!A109),'Procyclean MG'!A109,DATEVALUE('Procyclean MG'!A109)),"")</f>
        <v/>
      </c>
      <c r="AC608" t="str">
        <f>IF(AA608="","",'Procyclean MG'!B109)</f>
        <v/>
      </c>
      <c r="AD608" t="str">
        <f>IF(AA608="","",IFERROR(1*'Procyclean MG'!C109,IFERROR(_xludf.NUMBERVALUE('Procyclean MG'!C109,".",","),IFERROR(_xludf.NUMBERVALUE('Procyclean MG'!C109,",","."),0))))</f>
        <v/>
      </c>
      <c r="AE608" t="str">
        <f>IF(AA608="","",'Procyclean MG'!I109)</f>
        <v/>
      </c>
      <c r="AF608">
        <f t="shared" si="71"/>
        <v>0</v>
      </c>
      <c r="AG608" t="str">
        <f t="shared" si="72"/>
        <v/>
      </c>
      <c r="AH608" t="str">
        <f t="shared" si="73"/>
        <v/>
      </c>
      <c r="AI608">
        <f t="shared" si="74"/>
        <v>0</v>
      </c>
      <c r="AJ608">
        <f t="shared" si="75"/>
        <v>0</v>
      </c>
      <c r="AK608">
        <v>0</v>
      </c>
      <c r="AL608" t="str">
        <f>IF(AA608="","",IFERROR(IF(ISNUMBER('Procyclean MG'!D109),'Procyclean MG'!D109,IF(ISNUMBER(SEARCH("12",'Procyclean MG'!D109)),EDATE(AB608,12),IF(ISNUMBER(SEARCH("6",'Procyclean MG'!D109)),EDATE(AB608,6),IF(ISNUMBER(SEARCH("3",'Procyclean MG'!D109)),EDATE(AB608,3),DATEVALUE('Procyclean MG'!D109))))),""))</f>
        <v/>
      </c>
      <c r="AM608" t="str">
        <f t="shared" ca="1" si="76"/>
        <v/>
      </c>
    </row>
    <row r="609" spans="27:39" x14ac:dyDescent="0.3">
      <c r="AA609" t="str">
        <f>IF(COUNTA('Procyclean MG'!A110,'Procyclean MG'!B110,'Procyclean MG'!C110)&gt;0,"MG","")</f>
        <v/>
      </c>
      <c r="AB609" t="str">
        <f>IFERROR(IF(ISNUMBER('Procyclean MG'!A110),'Procyclean MG'!A110,DATEVALUE('Procyclean MG'!A110)),"")</f>
        <v/>
      </c>
      <c r="AC609" t="str">
        <f>IF(AA609="","",'Procyclean MG'!B110)</f>
        <v/>
      </c>
      <c r="AD609" t="str">
        <f>IF(AA609="","",IFERROR(1*'Procyclean MG'!C110,IFERROR(_xludf.NUMBERVALUE('Procyclean MG'!C110,".",","),IFERROR(_xludf.NUMBERVALUE('Procyclean MG'!C110,",","."),0))))</f>
        <v/>
      </c>
      <c r="AE609" t="str">
        <f>IF(AA609="","",'Procyclean MG'!I110)</f>
        <v/>
      </c>
      <c r="AF609">
        <f t="shared" si="71"/>
        <v>0</v>
      </c>
      <c r="AG609" t="str">
        <f t="shared" si="72"/>
        <v/>
      </c>
      <c r="AH609" t="str">
        <f t="shared" si="73"/>
        <v/>
      </c>
      <c r="AI609">
        <f t="shared" si="74"/>
        <v>0</v>
      </c>
      <c r="AJ609">
        <f t="shared" si="75"/>
        <v>0</v>
      </c>
      <c r="AK609">
        <v>0</v>
      </c>
      <c r="AL609" t="str">
        <f>IF(AA609="","",IFERROR(IF(ISNUMBER('Procyclean MG'!D110),'Procyclean MG'!D110,IF(ISNUMBER(SEARCH("12",'Procyclean MG'!D110)),EDATE(AB609,12),IF(ISNUMBER(SEARCH("6",'Procyclean MG'!D110)),EDATE(AB609,6),IF(ISNUMBER(SEARCH("3",'Procyclean MG'!D110)),EDATE(AB609,3),DATEVALUE('Procyclean MG'!D110))))),""))</f>
        <v/>
      </c>
      <c r="AM609" t="str">
        <f t="shared" ca="1" si="76"/>
        <v/>
      </c>
    </row>
    <row r="610" spans="27:39" x14ac:dyDescent="0.3">
      <c r="AA610" t="str">
        <f>IF(COUNTA('Procyclean MG'!A111,'Procyclean MG'!B111,'Procyclean MG'!C111)&gt;0,"MG","")</f>
        <v/>
      </c>
      <c r="AB610" t="str">
        <f>IFERROR(IF(ISNUMBER('Procyclean MG'!A111),'Procyclean MG'!A111,DATEVALUE('Procyclean MG'!A111)),"")</f>
        <v/>
      </c>
      <c r="AC610" t="str">
        <f>IF(AA610="","",'Procyclean MG'!B111)</f>
        <v/>
      </c>
      <c r="AD610" t="str">
        <f>IF(AA610="","",IFERROR(1*'Procyclean MG'!C111,IFERROR(_xludf.NUMBERVALUE('Procyclean MG'!C111,".",","),IFERROR(_xludf.NUMBERVALUE('Procyclean MG'!C111,",","."),0))))</f>
        <v/>
      </c>
      <c r="AE610" t="str">
        <f>IF(AA610="","",'Procyclean MG'!I111)</f>
        <v/>
      </c>
      <c r="AF610">
        <f t="shared" si="71"/>
        <v>0</v>
      </c>
      <c r="AG610" t="str">
        <f t="shared" si="72"/>
        <v/>
      </c>
      <c r="AH610" t="str">
        <f t="shared" si="73"/>
        <v/>
      </c>
      <c r="AI610">
        <f t="shared" si="74"/>
        <v>0</v>
      </c>
      <c r="AJ610">
        <f t="shared" si="75"/>
        <v>0</v>
      </c>
      <c r="AK610">
        <v>0</v>
      </c>
      <c r="AL610" t="str">
        <f>IF(AA610="","",IFERROR(IF(ISNUMBER('Procyclean MG'!D111),'Procyclean MG'!D111,IF(ISNUMBER(SEARCH("12",'Procyclean MG'!D111)),EDATE(AB610,12),IF(ISNUMBER(SEARCH("6",'Procyclean MG'!D111)),EDATE(AB610,6),IF(ISNUMBER(SEARCH("3",'Procyclean MG'!D111)),EDATE(AB610,3),DATEVALUE('Procyclean MG'!D111))))),""))</f>
        <v/>
      </c>
      <c r="AM610" t="str">
        <f t="shared" ca="1" si="76"/>
        <v/>
      </c>
    </row>
    <row r="611" spans="27:39" x14ac:dyDescent="0.3">
      <c r="AA611" t="str">
        <f>IF(COUNTA('Procyclean MG'!A112,'Procyclean MG'!B112,'Procyclean MG'!C112)&gt;0,"MG","")</f>
        <v/>
      </c>
      <c r="AB611" t="str">
        <f>IFERROR(IF(ISNUMBER('Procyclean MG'!A112),'Procyclean MG'!A112,DATEVALUE('Procyclean MG'!A112)),"")</f>
        <v/>
      </c>
      <c r="AC611" t="str">
        <f>IF(AA611="","",'Procyclean MG'!B112)</f>
        <v/>
      </c>
      <c r="AD611" t="str">
        <f>IF(AA611="","",IFERROR(1*'Procyclean MG'!C112,IFERROR(_xludf.NUMBERVALUE('Procyclean MG'!C112,".",","),IFERROR(_xludf.NUMBERVALUE('Procyclean MG'!C112,",","."),0))))</f>
        <v/>
      </c>
      <c r="AE611" t="str">
        <f>IF(AA611="","",'Procyclean MG'!I112)</f>
        <v/>
      </c>
      <c r="AF611">
        <f t="shared" si="71"/>
        <v>0</v>
      </c>
      <c r="AG611" t="str">
        <f t="shared" si="72"/>
        <v/>
      </c>
      <c r="AH611" t="str">
        <f t="shared" si="73"/>
        <v/>
      </c>
      <c r="AI611">
        <f t="shared" si="74"/>
        <v>0</v>
      </c>
      <c r="AJ611">
        <f t="shared" si="75"/>
        <v>0</v>
      </c>
      <c r="AK611">
        <v>0</v>
      </c>
      <c r="AL611" t="str">
        <f>IF(AA611="","",IFERROR(IF(ISNUMBER('Procyclean MG'!D112),'Procyclean MG'!D112,IF(ISNUMBER(SEARCH("12",'Procyclean MG'!D112)),EDATE(AB611,12),IF(ISNUMBER(SEARCH("6",'Procyclean MG'!D112)),EDATE(AB611,6),IF(ISNUMBER(SEARCH("3",'Procyclean MG'!D112)),EDATE(AB611,3),DATEVALUE('Procyclean MG'!D112))))),""))</f>
        <v/>
      </c>
      <c r="AM611" t="str">
        <f t="shared" ca="1" si="76"/>
        <v/>
      </c>
    </row>
    <row r="612" spans="27:39" x14ac:dyDescent="0.3">
      <c r="AA612" t="str">
        <f>IF(COUNTA('Procyclean MG'!A113,'Procyclean MG'!B113,'Procyclean MG'!C113)&gt;0,"MG","")</f>
        <v/>
      </c>
      <c r="AB612" t="str">
        <f>IFERROR(IF(ISNUMBER('Procyclean MG'!A113),'Procyclean MG'!A113,DATEVALUE('Procyclean MG'!A113)),"")</f>
        <v/>
      </c>
      <c r="AC612" t="str">
        <f>IF(AA612="","",'Procyclean MG'!B113)</f>
        <v/>
      </c>
      <c r="AD612" t="str">
        <f>IF(AA612="","",IFERROR(1*'Procyclean MG'!C113,IFERROR(_xludf.NUMBERVALUE('Procyclean MG'!C113,".",","),IFERROR(_xludf.NUMBERVALUE('Procyclean MG'!C113,",","."),0))))</f>
        <v/>
      </c>
      <c r="AE612" t="str">
        <f>IF(AA612="","",'Procyclean MG'!I113)</f>
        <v/>
      </c>
      <c r="AF612">
        <f t="shared" si="71"/>
        <v>0</v>
      </c>
      <c r="AG612" t="str">
        <f t="shared" si="72"/>
        <v/>
      </c>
      <c r="AH612" t="str">
        <f t="shared" si="73"/>
        <v/>
      </c>
      <c r="AI612">
        <f t="shared" si="74"/>
        <v>0</v>
      </c>
      <c r="AJ612">
        <f t="shared" si="75"/>
        <v>0</v>
      </c>
      <c r="AK612">
        <v>0</v>
      </c>
      <c r="AL612" t="str">
        <f>IF(AA612="","",IFERROR(IF(ISNUMBER('Procyclean MG'!D113),'Procyclean MG'!D113,IF(ISNUMBER(SEARCH("12",'Procyclean MG'!D113)),EDATE(AB612,12),IF(ISNUMBER(SEARCH("6",'Procyclean MG'!D113)),EDATE(AB612,6),IF(ISNUMBER(SEARCH("3",'Procyclean MG'!D113)),EDATE(AB612,3),DATEVALUE('Procyclean MG'!D113))))),""))</f>
        <v/>
      </c>
      <c r="AM612" t="str">
        <f t="shared" ca="1" si="76"/>
        <v/>
      </c>
    </row>
    <row r="613" spans="27:39" x14ac:dyDescent="0.3">
      <c r="AA613" t="str">
        <f>IF(COUNTA('Procyclean MG'!A114,'Procyclean MG'!B114,'Procyclean MG'!C114)&gt;0,"MG","")</f>
        <v/>
      </c>
      <c r="AB613" t="str">
        <f>IFERROR(IF(ISNUMBER('Procyclean MG'!A114),'Procyclean MG'!A114,DATEVALUE('Procyclean MG'!A114)),"")</f>
        <v/>
      </c>
      <c r="AC613" t="str">
        <f>IF(AA613="","",'Procyclean MG'!B114)</f>
        <v/>
      </c>
      <c r="AD613" t="str">
        <f>IF(AA613="","",IFERROR(1*'Procyclean MG'!C114,IFERROR(_xludf.NUMBERVALUE('Procyclean MG'!C114,".",","),IFERROR(_xludf.NUMBERVALUE('Procyclean MG'!C114,",","."),0))))</f>
        <v/>
      </c>
      <c r="AE613" t="str">
        <f>IF(AA613="","",'Procyclean MG'!I114)</f>
        <v/>
      </c>
      <c r="AF613">
        <f t="shared" si="71"/>
        <v>0</v>
      </c>
      <c r="AG613" t="str">
        <f t="shared" si="72"/>
        <v/>
      </c>
      <c r="AH613" t="str">
        <f t="shared" si="73"/>
        <v/>
      </c>
      <c r="AI613">
        <f t="shared" si="74"/>
        <v>0</v>
      </c>
      <c r="AJ613">
        <f t="shared" si="75"/>
        <v>0</v>
      </c>
      <c r="AK613">
        <v>0</v>
      </c>
      <c r="AL613" t="str">
        <f>IF(AA613="","",IFERROR(IF(ISNUMBER('Procyclean MG'!D114),'Procyclean MG'!D114,IF(ISNUMBER(SEARCH("12",'Procyclean MG'!D114)),EDATE(AB613,12),IF(ISNUMBER(SEARCH("6",'Procyclean MG'!D114)),EDATE(AB613,6),IF(ISNUMBER(SEARCH("3",'Procyclean MG'!D114)),EDATE(AB613,3),DATEVALUE('Procyclean MG'!D114))))),""))</f>
        <v/>
      </c>
      <c r="AM613" t="str">
        <f t="shared" ca="1" si="76"/>
        <v/>
      </c>
    </row>
    <row r="614" spans="27:39" x14ac:dyDescent="0.3">
      <c r="AA614" t="str">
        <f>IF(COUNTA('Procyclean MG'!A115,'Procyclean MG'!B115,'Procyclean MG'!C115)&gt;0,"MG","")</f>
        <v/>
      </c>
      <c r="AB614" t="str">
        <f>IFERROR(IF(ISNUMBER('Procyclean MG'!A115),'Procyclean MG'!A115,DATEVALUE('Procyclean MG'!A115)),"")</f>
        <v/>
      </c>
      <c r="AC614" t="str">
        <f>IF(AA614="","",'Procyclean MG'!B115)</f>
        <v/>
      </c>
      <c r="AD614" t="str">
        <f>IF(AA614="","",IFERROR(1*'Procyclean MG'!C115,IFERROR(_xludf.NUMBERVALUE('Procyclean MG'!C115,".",","),IFERROR(_xludf.NUMBERVALUE('Procyclean MG'!C115,",","."),0))))</f>
        <v/>
      </c>
      <c r="AE614" t="str">
        <f>IF(AA614="","",'Procyclean MG'!I115)</f>
        <v/>
      </c>
      <c r="AF614">
        <f t="shared" si="71"/>
        <v>0</v>
      </c>
      <c r="AG614" t="str">
        <f t="shared" si="72"/>
        <v/>
      </c>
      <c r="AH614" t="str">
        <f t="shared" si="73"/>
        <v/>
      </c>
      <c r="AI614">
        <f t="shared" si="74"/>
        <v>0</v>
      </c>
      <c r="AJ614">
        <f t="shared" si="75"/>
        <v>0</v>
      </c>
      <c r="AK614">
        <v>0</v>
      </c>
      <c r="AL614" t="str">
        <f>IF(AA614="","",IFERROR(IF(ISNUMBER('Procyclean MG'!D115),'Procyclean MG'!D115,IF(ISNUMBER(SEARCH("12",'Procyclean MG'!D115)),EDATE(AB614,12),IF(ISNUMBER(SEARCH("6",'Procyclean MG'!D115)),EDATE(AB614,6),IF(ISNUMBER(SEARCH("3",'Procyclean MG'!D115)),EDATE(AB614,3),DATEVALUE('Procyclean MG'!D115))))),""))</f>
        <v/>
      </c>
      <c r="AM614" t="str">
        <f t="shared" ca="1" si="76"/>
        <v/>
      </c>
    </row>
    <row r="615" spans="27:39" x14ac:dyDescent="0.3">
      <c r="AA615" t="str">
        <f>IF(COUNTA('Procyclean MG'!A116,'Procyclean MG'!B116,'Procyclean MG'!C116)&gt;0,"MG","")</f>
        <v/>
      </c>
      <c r="AB615" t="str">
        <f>IFERROR(IF(ISNUMBER('Procyclean MG'!A116),'Procyclean MG'!A116,DATEVALUE('Procyclean MG'!A116)),"")</f>
        <v/>
      </c>
      <c r="AC615" t="str">
        <f>IF(AA615="","",'Procyclean MG'!B116)</f>
        <v/>
      </c>
      <c r="AD615" t="str">
        <f>IF(AA615="","",IFERROR(1*'Procyclean MG'!C116,IFERROR(_xludf.NUMBERVALUE('Procyclean MG'!C116,".",","),IFERROR(_xludf.NUMBERVALUE('Procyclean MG'!C116,",","."),0))))</f>
        <v/>
      </c>
      <c r="AE615" t="str">
        <f>IF(AA615="","",'Procyclean MG'!I116)</f>
        <v/>
      </c>
      <c r="AF615">
        <f t="shared" si="71"/>
        <v>0</v>
      </c>
      <c r="AG615" t="str">
        <f t="shared" si="72"/>
        <v/>
      </c>
      <c r="AH615" t="str">
        <f t="shared" si="73"/>
        <v/>
      </c>
      <c r="AI615">
        <f t="shared" si="74"/>
        <v>0</v>
      </c>
      <c r="AJ615">
        <f t="shared" si="75"/>
        <v>0</v>
      </c>
      <c r="AK615">
        <v>0</v>
      </c>
      <c r="AL615" t="str">
        <f>IF(AA615="","",IFERROR(IF(ISNUMBER('Procyclean MG'!D116),'Procyclean MG'!D116,IF(ISNUMBER(SEARCH("12",'Procyclean MG'!D116)),EDATE(AB615,12),IF(ISNUMBER(SEARCH("6",'Procyclean MG'!D116)),EDATE(AB615,6),IF(ISNUMBER(SEARCH("3",'Procyclean MG'!D116)),EDATE(AB615,3),DATEVALUE('Procyclean MG'!D116))))),""))</f>
        <v/>
      </c>
      <c r="AM615" t="str">
        <f t="shared" ca="1" si="76"/>
        <v/>
      </c>
    </row>
    <row r="616" spans="27:39" x14ac:dyDescent="0.3">
      <c r="AA616" t="str">
        <f>IF(COUNTA('Procyclean MG'!A117,'Procyclean MG'!B117,'Procyclean MG'!C117)&gt;0,"MG","")</f>
        <v/>
      </c>
      <c r="AB616" t="str">
        <f>IFERROR(IF(ISNUMBER('Procyclean MG'!A117),'Procyclean MG'!A117,DATEVALUE('Procyclean MG'!A117)),"")</f>
        <v/>
      </c>
      <c r="AC616" t="str">
        <f>IF(AA616="","",'Procyclean MG'!B117)</f>
        <v/>
      </c>
      <c r="AD616" t="str">
        <f>IF(AA616="","",IFERROR(1*'Procyclean MG'!C117,IFERROR(_xludf.NUMBERVALUE('Procyclean MG'!C117,".",","),IFERROR(_xludf.NUMBERVALUE('Procyclean MG'!C117,",","."),0))))</f>
        <v/>
      </c>
      <c r="AE616" t="str">
        <f>IF(AA616="","",'Procyclean MG'!I117)</f>
        <v/>
      </c>
      <c r="AF616">
        <f t="shared" si="71"/>
        <v>0</v>
      </c>
      <c r="AG616" t="str">
        <f t="shared" si="72"/>
        <v/>
      </c>
      <c r="AH616" t="str">
        <f t="shared" si="73"/>
        <v/>
      </c>
      <c r="AI616">
        <f t="shared" si="74"/>
        <v>0</v>
      </c>
      <c r="AJ616">
        <f t="shared" si="75"/>
        <v>0</v>
      </c>
      <c r="AK616">
        <v>0</v>
      </c>
      <c r="AL616" t="str">
        <f>IF(AA616="","",IFERROR(IF(ISNUMBER('Procyclean MG'!D117),'Procyclean MG'!D117,IF(ISNUMBER(SEARCH("12",'Procyclean MG'!D117)),EDATE(AB616,12),IF(ISNUMBER(SEARCH("6",'Procyclean MG'!D117)),EDATE(AB616,6),IF(ISNUMBER(SEARCH("3",'Procyclean MG'!D117)),EDATE(AB616,3),DATEVALUE('Procyclean MG'!D117))))),""))</f>
        <v/>
      </c>
      <c r="AM616" t="str">
        <f t="shared" ca="1" si="76"/>
        <v/>
      </c>
    </row>
    <row r="617" spans="27:39" x14ac:dyDescent="0.3">
      <c r="AA617" t="str">
        <f>IF(COUNTA('Procyclean MG'!A118,'Procyclean MG'!B118,'Procyclean MG'!C118)&gt;0,"MG","")</f>
        <v/>
      </c>
      <c r="AB617" t="str">
        <f>IFERROR(IF(ISNUMBER('Procyclean MG'!A118),'Procyclean MG'!A118,DATEVALUE('Procyclean MG'!A118)),"")</f>
        <v/>
      </c>
      <c r="AC617" t="str">
        <f>IF(AA617="","",'Procyclean MG'!B118)</f>
        <v/>
      </c>
      <c r="AD617" t="str">
        <f>IF(AA617="","",IFERROR(1*'Procyclean MG'!C118,IFERROR(_xludf.NUMBERVALUE('Procyclean MG'!C118,".",","),IFERROR(_xludf.NUMBERVALUE('Procyclean MG'!C118,",","."),0))))</f>
        <v/>
      </c>
      <c r="AE617" t="str">
        <f>IF(AA617="","",'Procyclean MG'!I118)</f>
        <v/>
      </c>
      <c r="AF617">
        <f t="shared" si="71"/>
        <v>0</v>
      </c>
      <c r="AG617" t="str">
        <f t="shared" si="72"/>
        <v/>
      </c>
      <c r="AH617" t="str">
        <f t="shared" si="73"/>
        <v/>
      </c>
      <c r="AI617">
        <f t="shared" si="74"/>
        <v>0</v>
      </c>
      <c r="AJ617">
        <f t="shared" si="75"/>
        <v>0</v>
      </c>
      <c r="AK617">
        <v>0</v>
      </c>
      <c r="AL617" t="str">
        <f>IF(AA617="","",IFERROR(IF(ISNUMBER('Procyclean MG'!D118),'Procyclean MG'!D118,IF(ISNUMBER(SEARCH("12",'Procyclean MG'!D118)),EDATE(AB617,12),IF(ISNUMBER(SEARCH("6",'Procyclean MG'!D118)),EDATE(AB617,6),IF(ISNUMBER(SEARCH("3",'Procyclean MG'!D118)),EDATE(AB617,3),DATEVALUE('Procyclean MG'!D118))))),""))</f>
        <v/>
      </c>
      <c r="AM617" t="str">
        <f t="shared" ca="1" si="76"/>
        <v/>
      </c>
    </row>
    <row r="618" spans="27:39" x14ac:dyDescent="0.3">
      <c r="AA618" t="str">
        <f>IF(COUNTA('Procyclean MG'!A119,'Procyclean MG'!B119,'Procyclean MG'!C119)&gt;0,"MG","")</f>
        <v/>
      </c>
      <c r="AB618" t="str">
        <f>IFERROR(IF(ISNUMBER('Procyclean MG'!A119),'Procyclean MG'!A119,DATEVALUE('Procyclean MG'!A119)),"")</f>
        <v/>
      </c>
      <c r="AC618" t="str">
        <f>IF(AA618="","",'Procyclean MG'!B119)</f>
        <v/>
      </c>
      <c r="AD618" t="str">
        <f>IF(AA618="","",IFERROR(1*'Procyclean MG'!C119,IFERROR(_xludf.NUMBERVALUE('Procyclean MG'!C119,".",","),IFERROR(_xludf.NUMBERVALUE('Procyclean MG'!C119,",","."),0))))</f>
        <v/>
      </c>
      <c r="AE618" t="str">
        <f>IF(AA618="","",'Procyclean MG'!I119)</f>
        <v/>
      </c>
      <c r="AF618">
        <f t="shared" si="71"/>
        <v>0</v>
      </c>
      <c r="AG618" t="str">
        <f t="shared" si="72"/>
        <v/>
      </c>
      <c r="AH618" t="str">
        <f t="shared" si="73"/>
        <v/>
      </c>
      <c r="AI618">
        <f t="shared" si="74"/>
        <v>0</v>
      </c>
      <c r="AJ618">
        <f t="shared" si="75"/>
        <v>0</v>
      </c>
      <c r="AK618">
        <v>0</v>
      </c>
      <c r="AL618" t="str">
        <f>IF(AA618="","",IFERROR(IF(ISNUMBER('Procyclean MG'!D119),'Procyclean MG'!D119,IF(ISNUMBER(SEARCH("12",'Procyclean MG'!D119)),EDATE(AB618,12),IF(ISNUMBER(SEARCH("6",'Procyclean MG'!D119)),EDATE(AB618,6),IF(ISNUMBER(SEARCH("3",'Procyclean MG'!D119)),EDATE(AB618,3),DATEVALUE('Procyclean MG'!D119))))),""))</f>
        <v/>
      </c>
      <c r="AM618" t="str">
        <f t="shared" ca="1" si="76"/>
        <v/>
      </c>
    </row>
    <row r="619" spans="27:39" x14ac:dyDescent="0.3">
      <c r="AA619" t="str">
        <f>IF(COUNTA('Procyclean MG'!A120,'Procyclean MG'!B120,'Procyclean MG'!C120)&gt;0,"MG","")</f>
        <v/>
      </c>
      <c r="AB619" t="str">
        <f>IFERROR(IF(ISNUMBER('Procyclean MG'!A120),'Procyclean MG'!A120,DATEVALUE('Procyclean MG'!A120)),"")</f>
        <v/>
      </c>
      <c r="AC619" t="str">
        <f>IF(AA619="","",'Procyclean MG'!B120)</f>
        <v/>
      </c>
      <c r="AD619" t="str">
        <f>IF(AA619="","",IFERROR(1*'Procyclean MG'!C120,IFERROR(_xludf.NUMBERVALUE('Procyclean MG'!C120,".",","),IFERROR(_xludf.NUMBERVALUE('Procyclean MG'!C120,",","."),0))))</f>
        <v/>
      </c>
      <c r="AE619" t="str">
        <f>IF(AA619="","",'Procyclean MG'!I120)</f>
        <v/>
      </c>
      <c r="AF619">
        <f t="shared" si="71"/>
        <v>0</v>
      </c>
      <c r="AG619" t="str">
        <f t="shared" si="72"/>
        <v/>
      </c>
      <c r="AH619" t="str">
        <f t="shared" si="73"/>
        <v/>
      </c>
      <c r="AI619">
        <f t="shared" si="74"/>
        <v>0</v>
      </c>
      <c r="AJ619">
        <f t="shared" si="75"/>
        <v>0</v>
      </c>
      <c r="AK619">
        <v>0</v>
      </c>
      <c r="AL619" t="str">
        <f>IF(AA619="","",IFERROR(IF(ISNUMBER('Procyclean MG'!D120),'Procyclean MG'!D120,IF(ISNUMBER(SEARCH("12",'Procyclean MG'!D120)),EDATE(AB619,12),IF(ISNUMBER(SEARCH("6",'Procyclean MG'!D120)),EDATE(AB619,6),IF(ISNUMBER(SEARCH("3",'Procyclean MG'!D120)),EDATE(AB619,3),DATEVALUE('Procyclean MG'!D120))))),""))</f>
        <v/>
      </c>
      <c r="AM619" t="str">
        <f t="shared" ca="1" si="76"/>
        <v/>
      </c>
    </row>
    <row r="620" spans="27:39" x14ac:dyDescent="0.3">
      <c r="AA620" t="str">
        <f>IF(COUNTA('Procyclean MG'!A121,'Procyclean MG'!B121,'Procyclean MG'!C121)&gt;0,"MG","")</f>
        <v/>
      </c>
      <c r="AB620" t="str">
        <f>IFERROR(IF(ISNUMBER('Procyclean MG'!A121),'Procyclean MG'!A121,DATEVALUE('Procyclean MG'!A121)),"")</f>
        <v/>
      </c>
      <c r="AC620" t="str">
        <f>IF(AA620="","",'Procyclean MG'!B121)</f>
        <v/>
      </c>
      <c r="AD620" t="str">
        <f>IF(AA620="","",IFERROR(1*'Procyclean MG'!C121,IFERROR(_xludf.NUMBERVALUE('Procyclean MG'!C121,".",","),IFERROR(_xludf.NUMBERVALUE('Procyclean MG'!C121,",","."),0))))</f>
        <v/>
      </c>
      <c r="AE620" t="str">
        <f>IF(AA620="","",'Procyclean MG'!I121)</f>
        <v/>
      </c>
      <c r="AF620">
        <f t="shared" si="71"/>
        <v>0</v>
      </c>
      <c r="AG620" t="str">
        <f t="shared" si="72"/>
        <v/>
      </c>
      <c r="AH620" t="str">
        <f t="shared" si="73"/>
        <v/>
      </c>
      <c r="AI620">
        <f t="shared" si="74"/>
        <v>0</v>
      </c>
      <c r="AJ620">
        <f t="shared" si="75"/>
        <v>0</v>
      </c>
      <c r="AK620">
        <v>0</v>
      </c>
      <c r="AL620" t="str">
        <f>IF(AA620="","",IFERROR(IF(ISNUMBER('Procyclean MG'!D121),'Procyclean MG'!D121,IF(ISNUMBER(SEARCH("12",'Procyclean MG'!D121)),EDATE(AB620,12),IF(ISNUMBER(SEARCH("6",'Procyclean MG'!D121)),EDATE(AB620,6),IF(ISNUMBER(SEARCH("3",'Procyclean MG'!D121)),EDATE(AB620,3),DATEVALUE('Procyclean MG'!D121))))),""))</f>
        <v/>
      </c>
      <c r="AM620" t="str">
        <f t="shared" ca="1" si="76"/>
        <v/>
      </c>
    </row>
    <row r="621" spans="27:39" x14ac:dyDescent="0.3">
      <c r="AA621" t="str">
        <f>IF(COUNTA('Procyclean MG'!A122,'Procyclean MG'!B122,'Procyclean MG'!C122)&gt;0,"MG","")</f>
        <v/>
      </c>
      <c r="AB621" t="str">
        <f>IFERROR(IF(ISNUMBER('Procyclean MG'!A122),'Procyclean MG'!A122,DATEVALUE('Procyclean MG'!A122)),"")</f>
        <v/>
      </c>
      <c r="AC621" t="str">
        <f>IF(AA621="","",'Procyclean MG'!B122)</f>
        <v/>
      </c>
      <c r="AD621" t="str">
        <f>IF(AA621="","",IFERROR(1*'Procyclean MG'!C122,IFERROR(_xludf.NUMBERVALUE('Procyclean MG'!C122,".",","),IFERROR(_xludf.NUMBERVALUE('Procyclean MG'!C122,",","."),0))))</f>
        <v/>
      </c>
      <c r="AE621" t="str">
        <f>IF(AA621="","",'Procyclean MG'!I122)</f>
        <v/>
      </c>
      <c r="AF621">
        <f t="shared" si="71"/>
        <v>0</v>
      </c>
      <c r="AG621" t="str">
        <f t="shared" si="72"/>
        <v/>
      </c>
      <c r="AH621" t="str">
        <f t="shared" si="73"/>
        <v/>
      </c>
      <c r="AI621">
        <f t="shared" si="74"/>
        <v>0</v>
      </c>
      <c r="AJ621">
        <f t="shared" si="75"/>
        <v>0</v>
      </c>
      <c r="AK621">
        <v>0</v>
      </c>
      <c r="AL621" t="str">
        <f>IF(AA621="","",IFERROR(IF(ISNUMBER('Procyclean MG'!D122),'Procyclean MG'!D122,IF(ISNUMBER(SEARCH("12",'Procyclean MG'!D122)),EDATE(AB621,12),IF(ISNUMBER(SEARCH("6",'Procyclean MG'!D122)),EDATE(AB621,6),IF(ISNUMBER(SEARCH("3",'Procyclean MG'!D122)),EDATE(AB621,3),DATEVALUE('Procyclean MG'!D122))))),""))</f>
        <v/>
      </c>
      <c r="AM621" t="str">
        <f t="shared" ca="1" si="76"/>
        <v/>
      </c>
    </row>
    <row r="622" spans="27:39" x14ac:dyDescent="0.3">
      <c r="AA622" t="str">
        <f>IF(COUNTA('Procyclean MG'!A123,'Procyclean MG'!B123,'Procyclean MG'!C123)&gt;0,"MG","")</f>
        <v/>
      </c>
      <c r="AB622" t="str">
        <f>IFERROR(IF(ISNUMBER('Procyclean MG'!A123),'Procyclean MG'!A123,DATEVALUE('Procyclean MG'!A123)),"")</f>
        <v/>
      </c>
      <c r="AC622" t="str">
        <f>IF(AA622="","",'Procyclean MG'!B123)</f>
        <v/>
      </c>
      <c r="AD622" t="str">
        <f>IF(AA622="","",IFERROR(1*'Procyclean MG'!C123,IFERROR(_xludf.NUMBERVALUE('Procyclean MG'!C123,".",","),IFERROR(_xludf.NUMBERVALUE('Procyclean MG'!C123,",","."),0))))</f>
        <v/>
      </c>
      <c r="AE622" t="str">
        <f>IF(AA622="","",'Procyclean MG'!I123)</f>
        <v/>
      </c>
      <c r="AF622">
        <f t="shared" si="71"/>
        <v>0</v>
      </c>
      <c r="AG622" t="str">
        <f t="shared" si="72"/>
        <v/>
      </c>
      <c r="AH622" t="str">
        <f t="shared" si="73"/>
        <v/>
      </c>
      <c r="AI622">
        <f t="shared" si="74"/>
        <v>0</v>
      </c>
      <c r="AJ622">
        <f t="shared" si="75"/>
        <v>0</v>
      </c>
      <c r="AK622">
        <v>0</v>
      </c>
      <c r="AL622" t="str">
        <f>IF(AA622="","",IFERROR(IF(ISNUMBER('Procyclean MG'!D123),'Procyclean MG'!D123,IF(ISNUMBER(SEARCH("12",'Procyclean MG'!D123)),EDATE(AB622,12),IF(ISNUMBER(SEARCH("6",'Procyclean MG'!D123)),EDATE(AB622,6),IF(ISNUMBER(SEARCH("3",'Procyclean MG'!D123)),EDATE(AB622,3),DATEVALUE('Procyclean MG'!D123))))),""))</f>
        <v/>
      </c>
      <c r="AM622" t="str">
        <f t="shared" ca="1" si="76"/>
        <v/>
      </c>
    </row>
    <row r="623" spans="27:39" x14ac:dyDescent="0.3">
      <c r="AA623" t="str">
        <f>IF(COUNTA('Procyclean MG'!A124,'Procyclean MG'!B124,'Procyclean MG'!C124)&gt;0,"MG","")</f>
        <v/>
      </c>
      <c r="AB623" t="str">
        <f>IFERROR(IF(ISNUMBER('Procyclean MG'!A124),'Procyclean MG'!A124,DATEVALUE('Procyclean MG'!A124)),"")</f>
        <v/>
      </c>
      <c r="AC623" t="str">
        <f>IF(AA623="","",'Procyclean MG'!B124)</f>
        <v/>
      </c>
      <c r="AD623" t="str">
        <f>IF(AA623="","",IFERROR(1*'Procyclean MG'!C124,IFERROR(_xludf.NUMBERVALUE('Procyclean MG'!C124,".",","),IFERROR(_xludf.NUMBERVALUE('Procyclean MG'!C124,",","."),0))))</f>
        <v/>
      </c>
      <c r="AE623" t="str">
        <f>IF(AA623="","",'Procyclean MG'!I124)</f>
        <v/>
      </c>
      <c r="AF623">
        <f t="shared" si="71"/>
        <v>0</v>
      </c>
      <c r="AG623" t="str">
        <f t="shared" si="72"/>
        <v/>
      </c>
      <c r="AH623" t="str">
        <f t="shared" si="73"/>
        <v/>
      </c>
      <c r="AI623">
        <f t="shared" si="74"/>
        <v>0</v>
      </c>
      <c r="AJ623">
        <f t="shared" si="75"/>
        <v>0</v>
      </c>
      <c r="AK623">
        <v>0</v>
      </c>
      <c r="AL623" t="str">
        <f>IF(AA623="","",IFERROR(IF(ISNUMBER('Procyclean MG'!D124),'Procyclean MG'!D124,IF(ISNUMBER(SEARCH("12",'Procyclean MG'!D124)),EDATE(AB623,12),IF(ISNUMBER(SEARCH("6",'Procyclean MG'!D124)),EDATE(AB623,6),IF(ISNUMBER(SEARCH("3",'Procyclean MG'!D124)),EDATE(AB623,3),DATEVALUE('Procyclean MG'!D124))))),""))</f>
        <v/>
      </c>
      <c r="AM623" t="str">
        <f t="shared" ca="1" si="76"/>
        <v/>
      </c>
    </row>
    <row r="624" spans="27:39" x14ac:dyDescent="0.3">
      <c r="AA624" t="str">
        <f>IF(COUNTA('Procyclean MG'!A125,'Procyclean MG'!B125,'Procyclean MG'!C125)&gt;0,"MG","")</f>
        <v/>
      </c>
      <c r="AB624" t="str">
        <f>IFERROR(IF(ISNUMBER('Procyclean MG'!A125),'Procyclean MG'!A125,DATEVALUE('Procyclean MG'!A125)),"")</f>
        <v/>
      </c>
      <c r="AC624" t="str">
        <f>IF(AA624="","",'Procyclean MG'!B125)</f>
        <v/>
      </c>
      <c r="AD624" t="str">
        <f>IF(AA624="","",IFERROR(1*'Procyclean MG'!C125,IFERROR(_xludf.NUMBERVALUE('Procyclean MG'!C125,".",","),IFERROR(_xludf.NUMBERVALUE('Procyclean MG'!C125,",","."),0))))</f>
        <v/>
      </c>
      <c r="AE624" t="str">
        <f>IF(AA624="","",'Procyclean MG'!I125)</f>
        <v/>
      </c>
      <c r="AF624">
        <f t="shared" si="71"/>
        <v>0</v>
      </c>
      <c r="AG624" t="str">
        <f t="shared" si="72"/>
        <v/>
      </c>
      <c r="AH624" t="str">
        <f t="shared" si="73"/>
        <v/>
      </c>
      <c r="AI624">
        <f t="shared" si="74"/>
        <v>0</v>
      </c>
      <c r="AJ624">
        <f t="shared" si="75"/>
        <v>0</v>
      </c>
      <c r="AK624">
        <v>0</v>
      </c>
      <c r="AL624" t="str">
        <f>IF(AA624="","",IFERROR(IF(ISNUMBER('Procyclean MG'!D125),'Procyclean MG'!D125,IF(ISNUMBER(SEARCH("12",'Procyclean MG'!D125)),EDATE(AB624,12),IF(ISNUMBER(SEARCH("6",'Procyclean MG'!D125)),EDATE(AB624,6),IF(ISNUMBER(SEARCH("3",'Procyclean MG'!D125)),EDATE(AB624,3),DATEVALUE('Procyclean MG'!D125))))),""))</f>
        <v/>
      </c>
      <c r="AM624" t="str">
        <f t="shared" ca="1" si="76"/>
        <v/>
      </c>
    </row>
    <row r="625" spans="27:39" x14ac:dyDescent="0.3">
      <c r="AA625" t="str">
        <f>IF(COUNTA('Procyclean MG'!A126,'Procyclean MG'!B126,'Procyclean MG'!C126)&gt;0,"MG","")</f>
        <v/>
      </c>
      <c r="AB625" t="str">
        <f>IFERROR(IF(ISNUMBER('Procyclean MG'!A126),'Procyclean MG'!A126,DATEVALUE('Procyclean MG'!A126)),"")</f>
        <v/>
      </c>
      <c r="AC625" t="str">
        <f>IF(AA625="","",'Procyclean MG'!B126)</f>
        <v/>
      </c>
      <c r="AD625" t="str">
        <f>IF(AA625="","",IFERROR(1*'Procyclean MG'!C126,IFERROR(_xludf.NUMBERVALUE('Procyclean MG'!C126,".",","),IFERROR(_xludf.NUMBERVALUE('Procyclean MG'!C126,",","."),0))))</f>
        <v/>
      </c>
      <c r="AE625" t="str">
        <f>IF(AA625="","",'Procyclean MG'!I126)</f>
        <v/>
      </c>
      <c r="AF625">
        <f t="shared" si="71"/>
        <v>0</v>
      </c>
      <c r="AG625" t="str">
        <f t="shared" si="72"/>
        <v/>
      </c>
      <c r="AH625" t="str">
        <f t="shared" si="73"/>
        <v/>
      </c>
      <c r="AI625">
        <f t="shared" si="74"/>
        <v>0</v>
      </c>
      <c r="AJ625">
        <f t="shared" si="75"/>
        <v>0</v>
      </c>
      <c r="AK625">
        <v>0</v>
      </c>
      <c r="AL625" t="str">
        <f>IF(AA625="","",IFERROR(IF(ISNUMBER('Procyclean MG'!D126),'Procyclean MG'!D126,IF(ISNUMBER(SEARCH("12",'Procyclean MG'!D126)),EDATE(AB625,12),IF(ISNUMBER(SEARCH("6",'Procyclean MG'!D126)),EDATE(AB625,6),IF(ISNUMBER(SEARCH("3",'Procyclean MG'!D126)),EDATE(AB625,3),DATEVALUE('Procyclean MG'!D126))))),""))</f>
        <v/>
      </c>
      <c r="AM625" t="str">
        <f t="shared" ca="1" si="76"/>
        <v/>
      </c>
    </row>
    <row r="626" spans="27:39" x14ac:dyDescent="0.3">
      <c r="AA626" t="str">
        <f>IF(COUNTA('Procyclean MG'!A127,'Procyclean MG'!B127,'Procyclean MG'!C127)&gt;0,"MG","")</f>
        <v/>
      </c>
      <c r="AB626" t="str">
        <f>IFERROR(IF(ISNUMBER('Procyclean MG'!A127),'Procyclean MG'!A127,DATEVALUE('Procyclean MG'!A127)),"")</f>
        <v/>
      </c>
      <c r="AC626" t="str">
        <f>IF(AA626="","",'Procyclean MG'!B127)</f>
        <v/>
      </c>
      <c r="AD626" t="str">
        <f>IF(AA626="","",IFERROR(1*'Procyclean MG'!C127,IFERROR(_xludf.NUMBERVALUE('Procyclean MG'!C127,".",","),IFERROR(_xludf.NUMBERVALUE('Procyclean MG'!C127,",","."),0))))</f>
        <v/>
      </c>
      <c r="AE626" t="str">
        <f>IF(AA626="","",'Procyclean MG'!I127)</f>
        <v/>
      </c>
      <c r="AF626">
        <f t="shared" si="71"/>
        <v>0</v>
      </c>
      <c r="AG626" t="str">
        <f t="shared" si="72"/>
        <v/>
      </c>
      <c r="AH626" t="str">
        <f t="shared" si="73"/>
        <v/>
      </c>
      <c r="AI626">
        <f t="shared" si="74"/>
        <v>0</v>
      </c>
      <c r="AJ626">
        <f t="shared" si="75"/>
        <v>0</v>
      </c>
      <c r="AK626">
        <v>0</v>
      </c>
      <c r="AL626" t="str">
        <f>IF(AA626="","",IFERROR(IF(ISNUMBER('Procyclean MG'!D127),'Procyclean MG'!D127,IF(ISNUMBER(SEARCH("12",'Procyclean MG'!D127)),EDATE(AB626,12),IF(ISNUMBER(SEARCH("6",'Procyclean MG'!D127)),EDATE(AB626,6),IF(ISNUMBER(SEARCH("3",'Procyclean MG'!D127)),EDATE(AB626,3),DATEVALUE('Procyclean MG'!D127))))),""))</f>
        <v/>
      </c>
      <c r="AM626" t="str">
        <f t="shared" ca="1" si="76"/>
        <v/>
      </c>
    </row>
    <row r="627" spans="27:39" x14ac:dyDescent="0.3">
      <c r="AA627" t="str">
        <f>IF(COUNTA('Procyclean MG'!A128,'Procyclean MG'!B128,'Procyclean MG'!C128)&gt;0,"MG","")</f>
        <v/>
      </c>
      <c r="AB627" t="str">
        <f>IFERROR(IF(ISNUMBER('Procyclean MG'!A128),'Procyclean MG'!A128,DATEVALUE('Procyclean MG'!A128)),"")</f>
        <v/>
      </c>
      <c r="AC627" t="str">
        <f>IF(AA627="","",'Procyclean MG'!B128)</f>
        <v/>
      </c>
      <c r="AD627" t="str">
        <f>IF(AA627="","",IFERROR(1*'Procyclean MG'!C128,IFERROR(_xludf.NUMBERVALUE('Procyclean MG'!C128,".",","),IFERROR(_xludf.NUMBERVALUE('Procyclean MG'!C128,",","."),0))))</f>
        <v/>
      </c>
      <c r="AE627" t="str">
        <f>IF(AA627="","",'Procyclean MG'!I128)</f>
        <v/>
      </c>
      <c r="AF627">
        <f t="shared" si="71"/>
        <v>0</v>
      </c>
      <c r="AG627" t="str">
        <f t="shared" si="72"/>
        <v/>
      </c>
      <c r="AH627" t="str">
        <f t="shared" si="73"/>
        <v/>
      </c>
      <c r="AI627">
        <f t="shared" si="74"/>
        <v>0</v>
      </c>
      <c r="AJ627">
        <f t="shared" si="75"/>
        <v>0</v>
      </c>
      <c r="AK627">
        <v>0</v>
      </c>
      <c r="AL627" t="str">
        <f>IF(AA627="","",IFERROR(IF(ISNUMBER('Procyclean MG'!D128),'Procyclean MG'!D128,IF(ISNUMBER(SEARCH("12",'Procyclean MG'!D128)),EDATE(AB627,12),IF(ISNUMBER(SEARCH("6",'Procyclean MG'!D128)),EDATE(AB627,6),IF(ISNUMBER(SEARCH("3",'Procyclean MG'!D128)),EDATE(AB627,3),DATEVALUE('Procyclean MG'!D128))))),""))</f>
        <v/>
      </c>
      <c r="AM627" t="str">
        <f t="shared" ca="1" si="76"/>
        <v/>
      </c>
    </row>
    <row r="628" spans="27:39" x14ac:dyDescent="0.3">
      <c r="AA628" t="str">
        <f>IF(COUNTA('Procyclean MG'!A129,'Procyclean MG'!B129,'Procyclean MG'!C129)&gt;0,"MG","")</f>
        <v/>
      </c>
      <c r="AB628" t="str">
        <f>IFERROR(IF(ISNUMBER('Procyclean MG'!A129),'Procyclean MG'!A129,DATEVALUE('Procyclean MG'!A129)),"")</f>
        <v/>
      </c>
      <c r="AC628" t="str">
        <f>IF(AA628="","",'Procyclean MG'!B129)</f>
        <v/>
      </c>
      <c r="AD628" t="str">
        <f>IF(AA628="","",IFERROR(1*'Procyclean MG'!C129,IFERROR(_xludf.NUMBERVALUE('Procyclean MG'!C129,".",","),IFERROR(_xludf.NUMBERVALUE('Procyclean MG'!C129,",","."),0))))</f>
        <v/>
      </c>
      <c r="AE628" t="str">
        <f>IF(AA628="","",'Procyclean MG'!I129)</f>
        <v/>
      </c>
      <c r="AF628">
        <f t="shared" si="71"/>
        <v>0</v>
      </c>
      <c r="AG628" t="str">
        <f t="shared" si="72"/>
        <v/>
      </c>
      <c r="AH628" t="str">
        <f t="shared" si="73"/>
        <v/>
      </c>
      <c r="AI628">
        <f t="shared" si="74"/>
        <v>0</v>
      </c>
      <c r="AJ628">
        <f t="shared" si="75"/>
        <v>0</v>
      </c>
      <c r="AK628">
        <v>0</v>
      </c>
      <c r="AL628" t="str">
        <f>IF(AA628="","",IFERROR(IF(ISNUMBER('Procyclean MG'!D129),'Procyclean MG'!D129,IF(ISNUMBER(SEARCH("12",'Procyclean MG'!D129)),EDATE(AB628,12),IF(ISNUMBER(SEARCH("6",'Procyclean MG'!D129)),EDATE(AB628,6),IF(ISNUMBER(SEARCH("3",'Procyclean MG'!D129)),EDATE(AB628,3),DATEVALUE('Procyclean MG'!D129))))),""))</f>
        <v/>
      </c>
      <c r="AM628" t="str">
        <f t="shared" ca="1" si="76"/>
        <v/>
      </c>
    </row>
    <row r="629" spans="27:39" x14ac:dyDescent="0.3">
      <c r="AA629" t="str">
        <f>IF(COUNTA('Procyclean MG'!A130,'Procyclean MG'!B130,'Procyclean MG'!C130)&gt;0,"MG","")</f>
        <v/>
      </c>
      <c r="AB629" t="str">
        <f>IFERROR(IF(ISNUMBER('Procyclean MG'!A130),'Procyclean MG'!A130,DATEVALUE('Procyclean MG'!A130)),"")</f>
        <v/>
      </c>
      <c r="AC629" t="str">
        <f>IF(AA629="","",'Procyclean MG'!B130)</f>
        <v/>
      </c>
      <c r="AD629" t="str">
        <f>IF(AA629="","",IFERROR(1*'Procyclean MG'!C130,IFERROR(_xludf.NUMBERVALUE('Procyclean MG'!C130,".",","),IFERROR(_xludf.NUMBERVALUE('Procyclean MG'!C130,",","."),0))))</f>
        <v/>
      </c>
      <c r="AE629" t="str">
        <f>IF(AA629="","",'Procyclean MG'!I130)</f>
        <v/>
      </c>
      <c r="AF629">
        <f t="shared" si="71"/>
        <v>0</v>
      </c>
      <c r="AG629" t="str">
        <f t="shared" si="72"/>
        <v/>
      </c>
      <c r="AH629" t="str">
        <f t="shared" si="73"/>
        <v/>
      </c>
      <c r="AI629">
        <f t="shared" si="74"/>
        <v>0</v>
      </c>
      <c r="AJ629">
        <f t="shared" si="75"/>
        <v>0</v>
      </c>
      <c r="AK629">
        <v>0</v>
      </c>
      <c r="AL629" t="str">
        <f>IF(AA629="","",IFERROR(IF(ISNUMBER('Procyclean MG'!D130),'Procyclean MG'!D130,IF(ISNUMBER(SEARCH("12",'Procyclean MG'!D130)),EDATE(AB629,12),IF(ISNUMBER(SEARCH("6",'Procyclean MG'!D130)),EDATE(AB629,6),IF(ISNUMBER(SEARCH("3",'Procyclean MG'!D130)),EDATE(AB629,3),DATEVALUE('Procyclean MG'!D130))))),""))</f>
        <v/>
      </c>
      <c r="AM629" t="str">
        <f t="shared" ca="1" si="76"/>
        <v/>
      </c>
    </row>
    <row r="630" spans="27:39" x14ac:dyDescent="0.3">
      <c r="AA630" t="str">
        <f>IF(COUNTA('Procyclean MG'!A131,'Procyclean MG'!B131,'Procyclean MG'!C131)&gt;0,"MG","")</f>
        <v/>
      </c>
      <c r="AB630" t="str">
        <f>IFERROR(IF(ISNUMBER('Procyclean MG'!A131),'Procyclean MG'!A131,DATEVALUE('Procyclean MG'!A131)),"")</f>
        <v/>
      </c>
      <c r="AC630" t="str">
        <f>IF(AA630="","",'Procyclean MG'!B131)</f>
        <v/>
      </c>
      <c r="AD630" t="str">
        <f>IF(AA630="","",IFERROR(1*'Procyclean MG'!C131,IFERROR(_xludf.NUMBERVALUE('Procyclean MG'!C131,".",","),IFERROR(_xludf.NUMBERVALUE('Procyclean MG'!C131,",","."),0))))</f>
        <v/>
      </c>
      <c r="AE630" t="str">
        <f>IF(AA630="","",'Procyclean MG'!I131)</f>
        <v/>
      </c>
      <c r="AF630">
        <f t="shared" si="71"/>
        <v>0</v>
      </c>
      <c r="AG630" t="str">
        <f t="shared" si="72"/>
        <v/>
      </c>
      <c r="AH630" t="str">
        <f t="shared" si="73"/>
        <v/>
      </c>
      <c r="AI630">
        <f t="shared" si="74"/>
        <v>0</v>
      </c>
      <c r="AJ630">
        <f t="shared" si="75"/>
        <v>0</v>
      </c>
      <c r="AK630">
        <v>0</v>
      </c>
      <c r="AL630" t="str">
        <f>IF(AA630="","",IFERROR(IF(ISNUMBER('Procyclean MG'!D131),'Procyclean MG'!D131,IF(ISNUMBER(SEARCH("12",'Procyclean MG'!D131)),EDATE(AB630,12),IF(ISNUMBER(SEARCH("6",'Procyclean MG'!D131)),EDATE(AB630,6),IF(ISNUMBER(SEARCH("3",'Procyclean MG'!D131)),EDATE(AB630,3),DATEVALUE('Procyclean MG'!D131))))),""))</f>
        <v/>
      </c>
      <c r="AM630" t="str">
        <f t="shared" ca="1" si="76"/>
        <v/>
      </c>
    </row>
    <row r="631" spans="27:39" x14ac:dyDescent="0.3">
      <c r="AA631" t="str">
        <f>IF(COUNTA('Procyclean MG'!A132,'Procyclean MG'!B132,'Procyclean MG'!C132)&gt;0,"MG","")</f>
        <v/>
      </c>
      <c r="AB631" t="str">
        <f>IFERROR(IF(ISNUMBER('Procyclean MG'!A132),'Procyclean MG'!A132,DATEVALUE('Procyclean MG'!A132)),"")</f>
        <v/>
      </c>
      <c r="AC631" t="str">
        <f>IF(AA631="","",'Procyclean MG'!B132)</f>
        <v/>
      </c>
      <c r="AD631" t="str">
        <f>IF(AA631="","",IFERROR(1*'Procyclean MG'!C132,IFERROR(_xludf.NUMBERVALUE('Procyclean MG'!C132,".",","),IFERROR(_xludf.NUMBERVALUE('Procyclean MG'!C132,",","."),0))))</f>
        <v/>
      </c>
      <c r="AE631" t="str">
        <f>IF(AA631="","",'Procyclean MG'!I132)</f>
        <v/>
      </c>
      <c r="AF631">
        <f t="shared" si="71"/>
        <v>0</v>
      </c>
      <c r="AG631" t="str">
        <f t="shared" si="72"/>
        <v/>
      </c>
      <c r="AH631" t="str">
        <f t="shared" si="73"/>
        <v/>
      </c>
      <c r="AI631">
        <f t="shared" si="74"/>
        <v>0</v>
      </c>
      <c r="AJ631">
        <f t="shared" si="75"/>
        <v>0</v>
      </c>
      <c r="AK631">
        <v>0</v>
      </c>
      <c r="AL631" t="str">
        <f>IF(AA631="","",IFERROR(IF(ISNUMBER('Procyclean MG'!D132),'Procyclean MG'!D132,IF(ISNUMBER(SEARCH("12",'Procyclean MG'!D132)),EDATE(AB631,12),IF(ISNUMBER(SEARCH("6",'Procyclean MG'!D132)),EDATE(AB631,6),IF(ISNUMBER(SEARCH("3",'Procyclean MG'!D132)),EDATE(AB631,3),DATEVALUE('Procyclean MG'!D132))))),""))</f>
        <v/>
      </c>
      <c r="AM631" t="str">
        <f t="shared" ca="1" si="76"/>
        <v/>
      </c>
    </row>
    <row r="632" spans="27:39" x14ac:dyDescent="0.3">
      <c r="AA632" t="str">
        <f>IF(COUNTA('Procyclean MG'!A133,'Procyclean MG'!B133,'Procyclean MG'!C133)&gt;0,"MG","")</f>
        <v/>
      </c>
      <c r="AB632" t="str">
        <f>IFERROR(IF(ISNUMBER('Procyclean MG'!A133),'Procyclean MG'!A133,DATEVALUE('Procyclean MG'!A133)),"")</f>
        <v/>
      </c>
      <c r="AC632" t="str">
        <f>IF(AA632="","",'Procyclean MG'!B133)</f>
        <v/>
      </c>
      <c r="AD632" t="str">
        <f>IF(AA632="","",IFERROR(1*'Procyclean MG'!C133,IFERROR(_xludf.NUMBERVALUE('Procyclean MG'!C133,".",","),IFERROR(_xludf.NUMBERVALUE('Procyclean MG'!C133,",","."),0))))</f>
        <v/>
      </c>
      <c r="AE632" t="str">
        <f>IF(AA632="","",'Procyclean MG'!I133)</f>
        <v/>
      </c>
      <c r="AF632">
        <f t="shared" si="71"/>
        <v>0</v>
      </c>
      <c r="AG632" t="str">
        <f t="shared" si="72"/>
        <v/>
      </c>
      <c r="AH632" t="str">
        <f t="shared" si="73"/>
        <v/>
      </c>
      <c r="AI632">
        <f t="shared" si="74"/>
        <v>0</v>
      </c>
      <c r="AJ632">
        <f t="shared" si="75"/>
        <v>0</v>
      </c>
      <c r="AK632">
        <v>0</v>
      </c>
      <c r="AL632" t="str">
        <f>IF(AA632="","",IFERROR(IF(ISNUMBER('Procyclean MG'!D133),'Procyclean MG'!D133,IF(ISNUMBER(SEARCH("12",'Procyclean MG'!D133)),EDATE(AB632,12),IF(ISNUMBER(SEARCH("6",'Procyclean MG'!D133)),EDATE(AB632,6),IF(ISNUMBER(SEARCH("3",'Procyclean MG'!D133)),EDATE(AB632,3),DATEVALUE('Procyclean MG'!D133))))),""))</f>
        <v/>
      </c>
      <c r="AM632" t="str">
        <f t="shared" ca="1" si="76"/>
        <v/>
      </c>
    </row>
    <row r="633" spans="27:39" x14ac:dyDescent="0.3">
      <c r="AA633" t="str">
        <f>IF(COUNTA('Procyclean MG'!A134,'Procyclean MG'!B134,'Procyclean MG'!C134)&gt;0,"MG","")</f>
        <v/>
      </c>
      <c r="AB633" t="str">
        <f>IFERROR(IF(ISNUMBER('Procyclean MG'!A134),'Procyclean MG'!A134,DATEVALUE('Procyclean MG'!A134)),"")</f>
        <v/>
      </c>
      <c r="AC633" t="str">
        <f>IF(AA633="","",'Procyclean MG'!B134)</f>
        <v/>
      </c>
      <c r="AD633" t="str">
        <f>IF(AA633="","",IFERROR(1*'Procyclean MG'!C134,IFERROR(_xludf.NUMBERVALUE('Procyclean MG'!C134,".",","),IFERROR(_xludf.NUMBERVALUE('Procyclean MG'!C134,",","."),0))))</f>
        <v/>
      </c>
      <c r="AE633" t="str">
        <f>IF(AA633="","",'Procyclean MG'!I134)</f>
        <v/>
      </c>
      <c r="AF633">
        <f t="shared" si="71"/>
        <v>0</v>
      </c>
      <c r="AG633" t="str">
        <f t="shared" si="72"/>
        <v/>
      </c>
      <c r="AH633" t="str">
        <f t="shared" si="73"/>
        <v/>
      </c>
      <c r="AI633">
        <f t="shared" si="74"/>
        <v>0</v>
      </c>
      <c r="AJ633">
        <f t="shared" si="75"/>
        <v>0</v>
      </c>
      <c r="AK633">
        <v>0</v>
      </c>
      <c r="AL633" t="str">
        <f>IF(AA633="","",IFERROR(IF(ISNUMBER('Procyclean MG'!D134),'Procyclean MG'!D134,IF(ISNUMBER(SEARCH("12",'Procyclean MG'!D134)),EDATE(AB633,12),IF(ISNUMBER(SEARCH("6",'Procyclean MG'!D134)),EDATE(AB633,6),IF(ISNUMBER(SEARCH("3",'Procyclean MG'!D134)),EDATE(AB633,3),DATEVALUE('Procyclean MG'!D134))))),""))</f>
        <v/>
      </c>
      <c r="AM633" t="str">
        <f t="shared" ca="1" si="76"/>
        <v/>
      </c>
    </row>
    <row r="634" spans="27:39" x14ac:dyDescent="0.3">
      <c r="AA634" t="str">
        <f>IF(COUNTA('Procyclean MG'!A135,'Procyclean MG'!B135,'Procyclean MG'!C135)&gt;0,"MG","")</f>
        <v/>
      </c>
      <c r="AB634" t="str">
        <f>IFERROR(IF(ISNUMBER('Procyclean MG'!A135),'Procyclean MG'!A135,DATEVALUE('Procyclean MG'!A135)),"")</f>
        <v/>
      </c>
      <c r="AC634" t="str">
        <f>IF(AA634="","",'Procyclean MG'!B135)</f>
        <v/>
      </c>
      <c r="AD634" t="str">
        <f>IF(AA634="","",IFERROR(1*'Procyclean MG'!C135,IFERROR(_xludf.NUMBERVALUE('Procyclean MG'!C135,".",","),IFERROR(_xludf.NUMBERVALUE('Procyclean MG'!C135,",","."),0))))</f>
        <v/>
      </c>
      <c r="AE634" t="str">
        <f>IF(AA634="","",'Procyclean MG'!I135)</f>
        <v/>
      </c>
      <c r="AF634">
        <f t="shared" si="71"/>
        <v>0</v>
      </c>
      <c r="AG634" t="str">
        <f t="shared" si="72"/>
        <v/>
      </c>
      <c r="AH634" t="str">
        <f t="shared" si="73"/>
        <v/>
      </c>
      <c r="AI634">
        <f t="shared" si="74"/>
        <v>0</v>
      </c>
      <c r="AJ634">
        <f t="shared" si="75"/>
        <v>0</v>
      </c>
      <c r="AK634">
        <v>0</v>
      </c>
      <c r="AL634" t="str">
        <f>IF(AA634="","",IFERROR(IF(ISNUMBER('Procyclean MG'!D135),'Procyclean MG'!D135,IF(ISNUMBER(SEARCH("12",'Procyclean MG'!D135)),EDATE(AB634,12),IF(ISNUMBER(SEARCH("6",'Procyclean MG'!D135)),EDATE(AB634,6),IF(ISNUMBER(SEARCH("3",'Procyclean MG'!D135)),EDATE(AB634,3),DATEVALUE('Procyclean MG'!D135))))),""))</f>
        <v/>
      </c>
      <c r="AM634" t="str">
        <f t="shared" ca="1" si="76"/>
        <v/>
      </c>
    </row>
    <row r="635" spans="27:39" x14ac:dyDescent="0.3">
      <c r="AA635" t="str">
        <f>IF(COUNTA('Procyclean MG'!A136,'Procyclean MG'!B136,'Procyclean MG'!C136)&gt;0,"MG","")</f>
        <v/>
      </c>
      <c r="AB635" t="str">
        <f>IFERROR(IF(ISNUMBER('Procyclean MG'!A136),'Procyclean MG'!A136,DATEVALUE('Procyclean MG'!A136)),"")</f>
        <v/>
      </c>
      <c r="AC635" t="str">
        <f>IF(AA635="","",'Procyclean MG'!B136)</f>
        <v/>
      </c>
      <c r="AD635" t="str">
        <f>IF(AA635="","",IFERROR(1*'Procyclean MG'!C136,IFERROR(_xludf.NUMBERVALUE('Procyclean MG'!C136,".",","),IFERROR(_xludf.NUMBERVALUE('Procyclean MG'!C136,",","."),0))))</f>
        <v/>
      </c>
      <c r="AE635" t="str">
        <f>IF(AA635="","",'Procyclean MG'!I136)</f>
        <v/>
      </c>
      <c r="AF635">
        <f t="shared" si="71"/>
        <v>0</v>
      </c>
      <c r="AG635" t="str">
        <f t="shared" si="72"/>
        <v/>
      </c>
      <c r="AH635" t="str">
        <f t="shared" si="73"/>
        <v/>
      </c>
      <c r="AI635">
        <f t="shared" si="74"/>
        <v>0</v>
      </c>
      <c r="AJ635">
        <f t="shared" si="75"/>
        <v>0</v>
      </c>
      <c r="AK635">
        <v>0</v>
      </c>
      <c r="AL635" t="str">
        <f>IF(AA635="","",IFERROR(IF(ISNUMBER('Procyclean MG'!D136),'Procyclean MG'!D136,IF(ISNUMBER(SEARCH("12",'Procyclean MG'!D136)),EDATE(AB635,12),IF(ISNUMBER(SEARCH("6",'Procyclean MG'!D136)),EDATE(AB635,6),IF(ISNUMBER(SEARCH("3",'Procyclean MG'!D136)),EDATE(AB635,3),DATEVALUE('Procyclean MG'!D136))))),""))</f>
        <v/>
      </c>
      <c r="AM635" t="str">
        <f t="shared" ca="1" si="76"/>
        <v/>
      </c>
    </row>
    <row r="636" spans="27:39" x14ac:dyDescent="0.3">
      <c r="AA636" t="str">
        <f>IF(COUNTA('Procyclean MG'!A137,'Procyclean MG'!B137,'Procyclean MG'!C137)&gt;0,"MG","")</f>
        <v/>
      </c>
      <c r="AB636" t="str">
        <f>IFERROR(IF(ISNUMBER('Procyclean MG'!A137),'Procyclean MG'!A137,DATEVALUE('Procyclean MG'!A137)),"")</f>
        <v/>
      </c>
      <c r="AC636" t="str">
        <f>IF(AA636="","",'Procyclean MG'!B137)</f>
        <v/>
      </c>
      <c r="AD636" t="str">
        <f>IF(AA636="","",IFERROR(1*'Procyclean MG'!C137,IFERROR(_xludf.NUMBERVALUE('Procyclean MG'!C137,".",","),IFERROR(_xludf.NUMBERVALUE('Procyclean MG'!C137,",","."),0))))</f>
        <v/>
      </c>
      <c r="AE636" t="str">
        <f>IF(AA636="","",'Procyclean MG'!I137)</f>
        <v/>
      </c>
      <c r="AF636">
        <f t="shared" si="71"/>
        <v>0</v>
      </c>
      <c r="AG636" t="str">
        <f t="shared" si="72"/>
        <v/>
      </c>
      <c r="AH636" t="str">
        <f t="shared" si="73"/>
        <v/>
      </c>
      <c r="AI636">
        <f t="shared" si="74"/>
        <v>0</v>
      </c>
      <c r="AJ636">
        <f t="shared" si="75"/>
        <v>0</v>
      </c>
      <c r="AK636">
        <v>0</v>
      </c>
      <c r="AL636" t="str">
        <f>IF(AA636="","",IFERROR(IF(ISNUMBER('Procyclean MG'!D137),'Procyclean MG'!D137,IF(ISNUMBER(SEARCH("12",'Procyclean MG'!D137)),EDATE(AB636,12),IF(ISNUMBER(SEARCH("6",'Procyclean MG'!D137)),EDATE(AB636,6),IF(ISNUMBER(SEARCH("3",'Procyclean MG'!D137)),EDATE(AB636,3),DATEVALUE('Procyclean MG'!D137))))),""))</f>
        <v/>
      </c>
      <c r="AM636" t="str">
        <f t="shared" ca="1" si="76"/>
        <v/>
      </c>
    </row>
    <row r="637" spans="27:39" x14ac:dyDescent="0.3">
      <c r="AA637" t="str">
        <f>IF(COUNTA('Procyclean MG'!A138,'Procyclean MG'!B138,'Procyclean MG'!C138)&gt;0,"MG","")</f>
        <v/>
      </c>
      <c r="AB637" t="str">
        <f>IFERROR(IF(ISNUMBER('Procyclean MG'!A138),'Procyclean MG'!A138,DATEVALUE('Procyclean MG'!A138)),"")</f>
        <v/>
      </c>
      <c r="AC637" t="str">
        <f>IF(AA637="","",'Procyclean MG'!B138)</f>
        <v/>
      </c>
      <c r="AD637" t="str">
        <f>IF(AA637="","",IFERROR(1*'Procyclean MG'!C138,IFERROR(_xludf.NUMBERVALUE('Procyclean MG'!C138,".",","),IFERROR(_xludf.NUMBERVALUE('Procyclean MG'!C138,",","."),0))))</f>
        <v/>
      </c>
      <c r="AE637" t="str">
        <f>IF(AA637="","",'Procyclean MG'!I138)</f>
        <v/>
      </c>
      <c r="AF637">
        <f t="shared" si="71"/>
        <v>0</v>
      </c>
      <c r="AG637" t="str">
        <f t="shared" si="72"/>
        <v/>
      </c>
      <c r="AH637" t="str">
        <f t="shared" si="73"/>
        <v/>
      </c>
      <c r="AI637">
        <f t="shared" si="74"/>
        <v>0</v>
      </c>
      <c r="AJ637">
        <f t="shared" si="75"/>
        <v>0</v>
      </c>
      <c r="AK637">
        <v>0</v>
      </c>
      <c r="AL637" t="str">
        <f>IF(AA637="","",IFERROR(IF(ISNUMBER('Procyclean MG'!D138),'Procyclean MG'!D138,IF(ISNUMBER(SEARCH("12",'Procyclean MG'!D138)),EDATE(AB637,12),IF(ISNUMBER(SEARCH("6",'Procyclean MG'!D138)),EDATE(AB637,6),IF(ISNUMBER(SEARCH("3",'Procyclean MG'!D138)),EDATE(AB637,3),DATEVALUE('Procyclean MG'!D138))))),""))</f>
        <v/>
      </c>
      <c r="AM637" t="str">
        <f t="shared" ca="1" si="76"/>
        <v/>
      </c>
    </row>
    <row r="638" spans="27:39" x14ac:dyDescent="0.3">
      <c r="AA638" t="str">
        <f>IF(COUNTA('Procyclean MG'!A139,'Procyclean MG'!B139,'Procyclean MG'!C139)&gt;0,"MG","")</f>
        <v/>
      </c>
      <c r="AB638" t="str">
        <f>IFERROR(IF(ISNUMBER('Procyclean MG'!A139),'Procyclean MG'!A139,DATEVALUE('Procyclean MG'!A139)),"")</f>
        <v/>
      </c>
      <c r="AC638" t="str">
        <f>IF(AA638="","",'Procyclean MG'!B139)</f>
        <v/>
      </c>
      <c r="AD638" t="str">
        <f>IF(AA638="","",IFERROR(1*'Procyclean MG'!C139,IFERROR(_xludf.NUMBERVALUE('Procyclean MG'!C139,".",","),IFERROR(_xludf.NUMBERVALUE('Procyclean MG'!C139,",","."),0))))</f>
        <v/>
      </c>
      <c r="AE638" t="str">
        <f>IF(AA638="","",'Procyclean MG'!I139)</f>
        <v/>
      </c>
      <c r="AF638">
        <f t="shared" si="71"/>
        <v>0</v>
      </c>
      <c r="AG638" t="str">
        <f t="shared" si="72"/>
        <v/>
      </c>
      <c r="AH638" t="str">
        <f t="shared" si="73"/>
        <v/>
      </c>
      <c r="AI638">
        <f t="shared" si="74"/>
        <v>0</v>
      </c>
      <c r="AJ638">
        <f t="shared" si="75"/>
        <v>0</v>
      </c>
      <c r="AK638">
        <v>0</v>
      </c>
      <c r="AL638" t="str">
        <f>IF(AA638="","",IFERROR(IF(ISNUMBER('Procyclean MG'!D139),'Procyclean MG'!D139,IF(ISNUMBER(SEARCH("12",'Procyclean MG'!D139)),EDATE(AB638,12),IF(ISNUMBER(SEARCH("6",'Procyclean MG'!D139)),EDATE(AB638,6),IF(ISNUMBER(SEARCH("3",'Procyclean MG'!D139)),EDATE(AB638,3),DATEVALUE('Procyclean MG'!D139))))),""))</f>
        <v/>
      </c>
      <c r="AM638" t="str">
        <f t="shared" ca="1" si="76"/>
        <v/>
      </c>
    </row>
    <row r="639" spans="27:39" x14ac:dyDescent="0.3">
      <c r="AA639" t="str">
        <f>IF(COUNTA('Procyclean MG'!A140,'Procyclean MG'!B140,'Procyclean MG'!C140)&gt;0,"MG","")</f>
        <v/>
      </c>
      <c r="AB639" t="str">
        <f>IFERROR(IF(ISNUMBER('Procyclean MG'!A140),'Procyclean MG'!A140,DATEVALUE('Procyclean MG'!A140)),"")</f>
        <v/>
      </c>
      <c r="AC639" t="str">
        <f>IF(AA639="","",'Procyclean MG'!B140)</f>
        <v/>
      </c>
      <c r="AD639" t="str">
        <f>IF(AA639="","",IFERROR(1*'Procyclean MG'!C140,IFERROR(_xludf.NUMBERVALUE('Procyclean MG'!C140,".",","),IFERROR(_xludf.NUMBERVALUE('Procyclean MG'!C140,",","."),0))))</f>
        <v/>
      </c>
      <c r="AE639" t="str">
        <f>IF(AA639="","",'Procyclean MG'!I140)</f>
        <v/>
      </c>
      <c r="AF639">
        <f t="shared" si="71"/>
        <v>0</v>
      </c>
      <c r="AG639" t="str">
        <f t="shared" si="72"/>
        <v/>
      </c>
      <c r="AH639" t="str">
        <f t="shared" si="73"/>
        <v/>
      </c>
      <c r="AI639">
        <f t="shared" si="74"/>
        <v>0</v>
      </c>
      <c r="AJ639">
        <f t="shared" si="75"/>
        <v>0</v>
      </c>
      <c r="AK639">
        <v>0</v>
      </c>
      <c r="AL639" t="str">
        <f>IF(AA639="","",IFERROR(IF(ISNUMBER('Procyclean MG'!D140),'Procyclean MG'!D140,IF(ISNUMBER(SEARCH("12",'Procyclean MG'!D140)),EDATE(AB639,12),IF(ISNUMBER(SEARCH("6",'Procyclean MG'!D140)),EDATE(AB639,6),IF(ISNUMBER(SEARCH("3",'Procyclean MG'!D140)),EDATE(AB639,3),DATEVALUE('Procyclean MG'!D140))))),""))</f>
        <v/>
      </c>
      <c r="AM639" t="str">
        <f t="shared" ca="1" si="76"/>
        <v/>
      </c>
    </row>
    <row r="640" spans="27:39" x14ac:dyDescent="0.3">
      <c r="AA640" t="str">
        <f>IF(COUNTA('Procyclean MG'!A141,'Procyclean MG'!B141,'Procyclean MG'!C141)&gt;0,"MG","")</f>
        <v/>
      </c>
      <c r="AB640" t="str">
        <f>IFERROR(IF(ISNUMBER('Procyclean MG'!A141),'Procyclean MG'!A141,DATEVALUE('Procyclean MG'!A141)),"")</f>
        <v/>
      </c>
      <c r="AC640" t="str">
        <f>IF(AA640="","",'Procyclean MG'!B141)</f>
        <v/>
      </c>
      <c r="AD640" t="str">
        <f>IF(AA640="","",IFERROR(1*'Procyclean MG'!C141,IFERROR(_xludf.NUMBERVALUE('Procyclean MG'!C141,".",","),IFERROR(_xludf.NUMBERVALUE('Procyclean MG'!C141,",","."),0))))</f>
        <v/>
      </c>
      <c r="AE640" t="str">
        <f>IF(AA640="","",'Procyclean MG'!I141)</f>
        <v/>
      </c>
      <c r="AF640">
        <f t="shared" si="71"/>
        <v>0</v>
      </c>
      <c r="AG640" t="str">
        <f t="shared" si="72"/>
        <v/>
      </c>
      <c r="AH640" t="str">
        <f t="shared" si="73"/>
        <v/>
      </c>
      <c r="AI640">
        <f t="shared" si="74"/>
        <v>0</v>
      </c>
      <c r="AJ640">
        <f t="shared" si="75"/>
        <v>0</v>
      </c>
      <c r="AK640">
        <v>0</v>
      </c>
      <c r="AL640" t="str">
        <f>IF(AA640="","",IFERROR(IF(ISNUMBER('Procyclean MG'!D141),'Procyclean MG'!D141,IF(ISNUMBER(SEARCH("12",'Procyclean MG'!D141)),EDATE(AB640,12),IF(ISNUMBER(SEARCH("6",'Procyclean MG'!D141)),EDATE(AB640,6),IF(ISNUMBER(SEARCH("3",'Procyclean MG'!D141)),EDATE(AB640,3),DATEVALUE('Procyclean MG'!D141))))),""))</f>
        <v/>
      </c>
      <c r="AM640" t="str">
        <f t="shared" ca="1" si="76"/>
        <v/>
      </c>
    </row>
    <row r="641" spans="27:39" x14ac:dyDescent="0.3">
      <c r="AA641" t="str">
        <f>IF(COUNTA('Procyclean MG'!A142,'Procyclean MG'!B142,'Procyclean MG'!C142)&gt;0,"MG","")</f>
        <v/>
      </c>
      <c r="AB641" t="str">
        <f>IFERROR(IF(ISNUMBER('Procyclean MG'!A142),'Procyclean MG'!A142,DATEVALUE('Procyclean MG'!A142)),"")</f>
        <v/>
      </c>
      <c r="AC641" t="str">
        <f>IF(AA641="","",'Procyclean MG'!B142)</f>
        <v/>
      </c>
      <c r="AD641" t="str">
        <f>IF(AA641="","",IFERROR(1*'Procyclean MG'!C142,IFERROR(_xludf.NUMBERVALUE('Procyclean MG'!C142,".",","),IFERROR(_xludf.NUMBERVALUE('Procyclean MG'!C142,",","."),0))))</f>
        <v/>
      </c>
      <c r="AE641" t="str">
        <f>IF(AA641="","",'Procyclean MG'!I142)</f>
        <v/>
      </c>
      <c r="AF641">
        <f t="shared" si="71"/>
        <v>0</v>
      </c>
      <c r="AG641" t="str">
        <f t="shared" si="72"/>
        <v/>
      </c>
      <c r="AH641" t="str">
        <f t="shared" si="73"/>
        <v/>
      </c>
      <c r="AI641">
        <f t="shared" si="74"/>
        <v>0</v>
      </c>
      <c r="AJ641">
        <f t="shared" si="75"/>
        <v>0</v>
      </c>
      <c r="AK641">
        <v>0</v>
      </c>
      <c r="AL641" t="str">
        <f>IF(AA641="","",IFERROR(IF(ISNUMBER('Procyclean MG'!D142),'Procyclean MG'!D142,IF(ISNUMBER(SEARCH("12",'Procyclean MG'!D142)),EDATE(AB641,12),IF(ISNUMBER(SEARCH("6",'Procyclean MG'!D142)),EDATE(AB641,6),IF(ISNUMBER(SEARCH("3",'Procyclean MG'!D142)),EDATE(AB641,3),DATEVALUE('Procyclean MG'!D142))))),""))</f>
        <v/>
      </c>
      <c r="AM641" t="str">
        <f t="shared" ca="1" si="76"/>
        <v/>
      </c>
    </row>
    <row r="642" spans="27:39" x14ac:dyDescent="0.3">
      <c r="AA642" t="str">
        <f>IF(COUNTA('Procyclean MG'!A143,'Procyclean MG'!B143,'Procyclean MG'!C143)&gt;0,"MG","")</f>
        <v/>
      </c>
      <c r="AB642" t="str">
        <f>IFERROR(IF(ISNUMBER('Procyclean MG'!A143),'Procyclean MG'!A143,DATEVALUE('Procyclean MG'!A143)),"")</f>
        <v/>
      </c>
      <c r="AC642" t="str">
        <f>IF(AA642="","",'Procyclean MG'!B143)</f>
        <v/>
      </c>
      <c r="AD642" t="str">
        <f>IF(AA642="","",IFERROR(1*'Procyclean MG'!C143,IFERROR(_xludf.NUMBERVALUE('Procyclean MG'!C143,".",","),IFERROR(_xludf.NUMBERVALUE('Procyclean MG'!C143,",","."),0))))</f>
        <v/>
      </c>
      <c r="AE642" t="str">
        <f>IF(AA642="","",'Procyclean MG'!I143)</f>
        <v/>
      </c>
      <c r="AF642">
        <f t="shared" ref="AF642:AF705" si="77">IF(AA642="",0,--AND(ISNUMBER(SEARCH("aprov",AE642)),NOT(ISNUMBER(SEARCH("reprov",AE642)))))</f>
        <v>0</v>
      </c>
      <c r="AG642" t="str">
        <f t="shared" ref="AG642:AG705" si="78">IF(AB642="","",YEAR(AB642))</f>
        <v/>
      </c>
      <c r="AH642" t="str">
        <f t="shared" ref="AH642:AH705" si="79">IF(AB642="","",MONTH(AB642))</f>
        <v/>
      </c>
      <c r="AI642">
        <f t="shared" ref="AI642:AI705" si="80">IF(AB642="",0,AB642+ROW()/1000000)</f>
        <v>0</v>
      </c>
      <c r="AJ642">
        <f t="shared" ref="AJ642:AJ705" si="81">--(AA642&lt;&gt;"")</f>
        <v>0</v>
      </c>
      <c r="AK642">
        <v>0</v>
      </c>
      <c r="AL642" t="str">
        <f>IF(AA642="","",IFERROR(IF(ISNUMBER('Procyclean MG'!D143),'Procyclean MG'!D143,IF(ISNUMBER(SEARCH("12",'Procyclean MG'!D143)),EDATE(AB642,12),IF(ISNUMBER(SEARCH("6",'Procyclean MG'!D143)),EDATE(AB642,6),IF(ISNUMBER(SEARCH("3",'Procyclean MG'!D143)),EDATE(AB642,3),DATEVALUE('Procyclean MG'!D143))))),""))</f>
        <v/>
      </c>
      <c r="AM642" t="str">
        <f t="shared" ref="AM642:AM705" ca="1" si="82">IF(AND(AJ642=1,AL642&lt;&gt;"",AL642&gt;=TODAY(),AG642=$W$3),AL642+ROW()/1000000,"")</f>
        <v/>
      </c>
    </row>
    <row r="643" spans="27:39" x14ac:dyDescent="0.3">
      <c r="AA643" t="str">
        <f>IF(COUNTA('Procyclean MG'!A144,'Procyclean MG'!B144,'Procyclean MG'!C144)&gt;0,"MG","")</f>
        <v/>
      </c>
      <c r="AB643" t="str">
        <f>IFERROR(IF(ISNUMBER('Procyclean MG'!A144),'Procyclean MG'!A144,DATEVALUE('Procyclean MG'!A144)),"")</f>
        <v/>
      </c>
      <c r="AC643" t="str">
        <f>IF(AA643="","",'Procyclean MG'!B144)</f>
        <v/>
      </c>
      <c r="AD643" t="str">
        <f>IF(AA643="","",IFERROR(1*'Procyclean MG'!C144,IFERROR(_xludf.NUMBERVALUE('Procyclean MG'!C144,".",","),IFERROR(_xludf.NUMBERVALUE('Procyclean MG'!C144,",","."),0))))</f>
        <v/>
      </c>
      <c r="AE643" t="str">
        <f>IF(AA643="","",'Procyclean MG'!I144)</f>
        <v/>
      </c>
      <c r="AF643">
        <f t="shared" si="77"/>
        <v>0</v>
      </c>
      <c r="AG643" t="str">
        <f t="shared" si="78"/>
        <v/>
      </c>
      <c r="AH643" t="str">
        <f t="shared" si="79"/>
        <v/>
      </c>
      <c r="AI643">
        <f t="shared" si="80"/>
        <v>0</v>
      </c>
      <c r="AJ643">
        <f t="shared" si="81"/>
        <v>0</v>
      </c>
      <c r="AK643">
        <v>0</v>
      </c>
      <c r="AL643" t="str">
        <f>IF(AA643="","",IFERROR(IF(ISNUMBER('Procyclean MG'!D144),'Procyclean MG'!D144,IF(ISNUMBER(SEARCH("12",'Procyclean MG'!D144)),EDATE(AB643,12),IF(ISNUMBER(SEARCH("6",'Procyclean MG'!D144)),EDATE(AB643,6),IF(ISNUMBER(SEARCH("3",'Procyclean MG'!D144)),EDATE(AB643,3),DATEVALUE('Procyclean MG'!D144))))),""))</f>
        <v/>
      </c>
      <c r="AM643" t="str">
        <f t="shared" ca="1" si="82"/>
        <v/>
      </c>
    </row>
    <row r="644" spans="27:39" x14ac:dyDescent="0.3">
      <c r="AA644" t="str">
        <f>IF(COUNTA('Procyclean MG'!A145,'Procyclean MG'!B145,'Procyclean MG'!C145)&gt;0,"MG","")</f>
        <v/>
      </c>
      <c r="AB644" t="str">
        <f>IFERROR(IF(ISNUMBER('Procyclean MG'!A145),'Procyclean MG'!A145,DATEVALUE('Procyclean MG'!A145)),"")</f>
        <v/>
      </c>
      <c r="AC644" t="str">
        <f>IF(AA644="","",'Procyclean MG'!B145)</f>
        <v/>
      </c>
      <c r="AD644" t="str">
        <f>IF(AA644="","",IFERROR(1*'Procyclean MG'!C145,IFERROR(_xludf.NUMBERVALUE('Procyclean MG'!C145,".",","),IFERROR(_xludf.NUMBERVALUE('Procyclean MG'!C145,",","."),0))))</f>
        <v/>
      </c>
      <c r="AE644" t="str">
        <f>IF(AA644="","",'Procyclean MG'!I145)</f>
        <v/>
      </c>
      <c r="AF644">
        <f t="shared" si="77"/>
        <v>0</v>
      </c>
      <c r="AG644" t="str">
        <f t="shared" si="78"/>
        <v/>
      </c>
      <c r="AH644" t="str">
        <f t="shared" si="79"/>
        <v/>
      </c>
      <c r="AI644">
        <f t="shared" si="80"/>
        <v>0</v>
      </c>
      <c r="AJ644">
        <f t="shared" si="81"/>
        <v>0</v>
      </c>
      <c r="AK644">
        <v>0</v>
      </c>
      <c r="AL644" t="str">
        <f>IF(AA644="","",IFERROR(IF(ISNUMBER('Procyclean MG'!D145),'Procyclean MG'!D145,IF(ISNUMBER(SEARCH("12",'Procyclean MG'!D145)),EDATE(AB644,12),IF(ISNUMBER(SEARCH("6",'Procyclean MG'!D145)),EDATE(AB644,6),IF(ISNUMBER(SEARCH("3",'Procyclean MG'!D145)),EDATE(AB644,3),DATEVALUE('Procyclean MG'!D145))))),""))</f>
        <v/>
      </c>
      <c r="AM644" t="str">
        <f t="shared" ca="1" si="82"/>
        <v/>
      </c>
    </row>
    <row r="645" spans="27:39" x14ac:dyDescent="0.3">
      <c r="AA645" t="str">
        <f>IF(COUNTA('Procyclean MG'!A146,'Procyclean MG'!B146,'Procyclean MG'!C146)&gt;0,"MG","")</f>
        <v/>
      </c>
      <c r="AB645" t="str">
        <f>IFERROR(IF(ISNUMBER('Procyclean MG'!A146),'Procyclean MG'!A146,DATEVALUE('Procyclean MG'!A146)),"")</f>
        <v/>
      </c>
      <c r="AC645" t="str">
        <f>IF(AA645="","",'Procyclean MG'!B146)</f>
        <v/>
      </c>
      <c r="AD645" t="str">
        <f>IF(AA645="","",IFERROR(1*'Procyclean MG'!C146,IFERROR(_xludf.NUMBERVALUE('Procyclean MG'!C146,".",","),IFERROR(_xludf.NUMBERVALUE('Procyclean MG'!C146,",","."),0))))</f>
        <v/>
      </c>
      <c r="AE645" t="str">
        <f>IF(AA645="","",'Procyclean MG'!I146)</f>
        <v/>
      </c>
      <c r="AF645">
        <f t="shared" si="77"/>
        <v>0</v>
      </c>
      <c r="AG645" t="str">
        <f t="shared" si="78"/>
        <v/>
      </c>
      <c r="AH645" t="str">
        <f t="shared" si="79"/>
        <v/>
      </c>
      <c r="AI645">
        <f t="shared" si="80"/>
        <v>0</v>
      </c>
      <c r="AJ645">
        <f t="shared" si="81"/>
        <v>0</v>
      </c>
      <c r="AK645">
        <v>0</v>
      </c>
      <c r="AL645" t="str">
        <f>IF(AA645="","",IFERROR(IF(ISNUMBER('Procyclean MG'!D146),'Procyclean MG'!D146,IF(ISNUMBER(SEARCH("12",'Procyclean MG'!D146)),EDATE(AB645,12),IF(ISNUMBER(SEARCH("6",'Procyclean MG'!D146)),EDATE(AB645,6),IF(ISNUMBER(SEARCH("3",'Procyclean MG'!D146)),EDATE(AB645,3),DATEVALUE('Procyclean MG'!D146))))),""))</f>
        <v/>
      </c>
      <c r="AM645" t="str">
        <f t="shared" ca="1" si="82"/>
        <v/>
      </c>
    </row>
    <row r="646" spans="27:39" x14ac:dyDescent="0.3">
      <c r="AA646" t="str">
        <f>IF(COUNTA('Procyclean MG'!A147,'Procyclean MG'!B147,'Procyclean MG'!C147)&gt;0,"MG","")</f>
        <v/>
      </c>
      <c r="AB646" t="str">
        <f>IFERROR(IF(ISNUMBER('Procyclean MG'!A147),'Procyclean MG'!A147,DATEVALUE('Procyclean MG'!A147)),"")</f>
        <v/>
      </c>
      <c r="AC646" t="str">
        <f>IF(AA646="","",'Procyclean MG'!B147)</f>
        <v/>
      </c>
      <c r="AD646" t="str">
        <f>IF(AA646="","",IFERROR(1*'Procyclean MG'!C147,IFERROR(_xludf.NUMBERVALUE('Procyclean MG'!C147,".",","),IFERROR(_xludf.NUMBERVALUE('Procyclean MG'!C147,",","."),0))))</f>
        <v/>
      </c>
      <c r="AE646" t="str">
        <f>IF(AA646="","",'Procyclean MG'!I147)</f>
        <v/>
      </c>
      <c r="AF646">
        <f t="shared" si="77"/>
        <v>0</v>
      </c>
      <c r="AG646" t="str">
        <f t="shared" si="78"/>
        <v/>
      </c>
      <c r="AH646" t="str">
        <f t="shared" si="79"/>
        <v/>
      </c>
      <c r="AI646">
        <f t="shared" si="80"/>
        <v>0</v>
      </c>
      <c r="AJ646">
        <f t="shared" si="81"/>
        <v>0</v>
      </c>
      <c r="AK646">
        <v>0</v>
      </c>
      <c r="AL646" t="str">
        <f>IF(AA646="","",IFERROR(IF(ISNUMBER('Procyclean MG'!D147),'Procyclean MG'!D147,IF(ISNUMBER(SEARCH("12",'Procyclean MG'!D147)),EDATE(AB646,12),IF(ISNUMBER(SEARCH("6",'Procyclean MG'!D147)),EDATE(AB646,6),IF(ISNUMBER(SEARCH("3",'Procyclean MG'!D147)),EDATE(AB646,3),DATEVALUE('Procyclean MG'!D147))))),""))</f>
        <v/>
      </c>
      <c r="AM646" t="str">
        <f t="shared" ca="1" si="82"/>
        <v/>
      </c>
    </row>
    <row r="647" spans="27:39" x14ac:dyDescent="0.3">
      <c r="AA647" t="str">
        <f>IF(COUNTA('Procyclean MG'!A148,'Procyclean MG'!B148,'Procyclean MG'!C148)&gt;0,"MG","")</f>
        <v/>
      </c>
      <c r="AB647" t="str">
        <f>IFERROR(IF(ISNUMBER('Procyclean MG'!A148),'Procyclean MG'!A148,DATEVALUE('Procyclean MG'!A148)),"")</f>
        <v/>
      </c>
      <c r="AC647" t="str">
        <f>IF(AA647="","",'Procyclean MG'!B148)</f>
        <v/>
      </c>
      <c r="AD647" t="str">
        <f>IF(AA647="","",IFERROR(1*'Procyclean MG'!C148,IFERROR(_xludf.NUMBERVALUE('Procyclean MG'!C148,".",","),IFERROR(_xludf.NUMBERVALUE('Procyclean MG'!C148,",","."),0))))</f>
        <v/>
      </c>
      <c r="AE647" t="str">
        <f>IF(AA647="","",'Procyclean MG'!I148)</f>
        <v/>
      </c>
      <c r="AF647">
        <f t="shared" si="77"/>
        <v>0</v>
      </c>
      <c r="AG647" t="str">
        <f t="shared" si="78"/>
        <v/>
      </c>
      <c r="AH647" t="str">
        <f t="shared" si="79"/>
        <v/>
      </c>
      <c r="AI647">
        <f t="shared" si="80"/>
        <v>0</v>
      </c>
      <c r="AJ647">
        <f t="shared" si="81"/>
        <v>0</v>
      </c>
      <c r="AK647">
        <v>0</v>
      </c>
      <c r="AL647" t="str">
        <f>IF(AA647="","",IFERROR(IF(ISNUMBER('Procyclean MG'!D148),'Procyclean MG'!D148,IF(ISNUMBER(SEARCH("12",'Procyclean MG'!D148)),EDATE(AB647,12),IF(ISNUMBER(SEARCH("6",'Procyclean MG'!D148)),EDATE(AB647,6),IF(ISNUMBER(SEARCH("3",'Procyclean MG'!D148)),EDATE(AB647,3),DATEVALUE('Procyclean MG'!D148))))),""))</f>
        <v/>
      </c>
      <c r="AM647" t="str">
        <f t="shared" ca="1" si="82"/>
        <v/>
      </c>
    </row>
    <row r="648" spans="27:39" x14ac:dyDescent="0.3">
      <c r="AA648" t="str">
        <f>IF(COUNTA('Procyclean MG'!A149,'Procyclean MG'!B149,'Procyclean MG'!C149)&gt;0,"MG","")</f>
        <v/>
      </c>
      <c r="AB648" t="str">
        <f>IFERROR(IF(ISNUMBER('Procyclean MG'!A149),'Procyclean MG'!A149,DATEVALUE('Procyclean MG'!A149)),"")</f>
        <v/>
      </c>
      <c r="AC648" t="str">
        <f>IF(AA648="","",'Procyclean MG'!B149)</f>
        <v/>
      </c>
      <c r="AD648" t="str">
        <f>IF(AA648="","",IFERROR(1*'Procyclean MG'!C149,IFERROR(_xludf.NUMBERVALUE('Procyclean MG'!C149,".",","),IFERROR(_xludf.NUMBERVALUE('Procyclean MG'!C149,",","."),0))))</f>
        <v/>
      </c>
      <c r="AE648" t="str">
        <f>IF(AA648="","",'Procyclean MG'!I149)</f>
        <v/>
      </c>
      <c r="AF648">
        <f t="shared" si="77"/>
        <v>0</v>
      </c>
      <c r="AG648" t="str">
        <f t="shared" si="78"/>
        <v/>
      </c>
      <c r="AH648" t="str">
        <f t="shared" si="79"/>
        <v/>
      </c>
      <c r="AI648">
        <f t="shared" si="80"/>
        <v>0</v>
      </c>
      <c r="AJ648">
        <f t="shared" si="81"/>
        <v>0</v>
      </c>
      <c r="AK648">
        <v>0</v>
      </c>
      <c r="AL648" t="str">
        <f>IF(AA648="","",IFERROR(IF(ISNUMBER('Procyclean MG'!D149),'Procyclean MG'!D149,IF(ISNUMBER(SEARCH("12",'Procyclean MG'!D149)),EDATE(AB648,12),IF(ISNUMBER(SEARCH("6",'Procyclean MG'!D149)),EDATE(AB648,6),IF(ISNUMBER(SEARCH("3",'Procyclean MG'!D149)),EDATE(AB648,3),DATEVALUE('Procyclean MG'!D149))))),""))</f>
        <v/>
      </c>
      <c r="AM648" t="str">
        <f t="shared" ca="1" si="82"/>
        <v/>
      </c>
    </row>
    <row r="649" spans="27:39" x14ac:dyDescent="0.3">
      <c r="AA649" t="str">
        <f>IF(COUNTA('Procyclean MG'!A150,'Procyclean MG'!B150,'Procyclean MG'!C150)&gt;0,"MG","")</f>
        <v/>
      </c>
      <c r="AB649" t="str">
        <f>IFERROR(IF(ISNUMBER('Procyclean MG'!A150),'Procyclean MG'!A150,DATEVALUE('Procyclean MG'!A150)),"")</f>
        <v/>
      </c>
      <c r="AC649" t="str">
        <f>IF(AA649="","",'Procyclean MG'!B150)</f>
        <v/>
      </c>
      <c r="AD649" t="str">
        <f>IF(AA649="","",IFERROR(1*'Procyclean MG'!C150,IFERROR(_xludf.NUMBERVALUE('Procyclean MG'!C150,".",","),IFERROR(_xludf.NUMBERVALUE('Procyclean MG'!C150,",","."),0))))</f>
        <v/>
      </c>
      <c r="AE649" t="str">
        <f>IF(AA649="","",'Procyclean MG'!I150)</f>
        <v/>
      </c>
      <c r="AF649">
        <f t="shared" si="77"/>
        <v>0</v>
      </c>
      <c r="AG649" t="str">
        <f t="shared" si="78"/>
        <v/>
      </c>
      <c r="AH649" t="str">
        <f t="shared" si="79"/>
        <v/>
      </c>
      <c r="AI649">
        <f t="shared" si="80"/>
        <v>0</v>
      </c>
      <c r="AJ649">
        <f t="shared" si="81"/>
        <v>0</v>
      </c>
      <c r="AK649">
        <v>0</v>
      </c>
      <c r="AL649" t="str">
        <f>IF(AA649="","",IFERROR(IF(ISNUMBER('Procyclean MG'!D150),'Procyclean MG'!D150,IF(ISNUMBER(SEARCH("12",'Procyclean MG'!D150)),EDATE(AB649,12),IF(ISNUMBER(SEARCH("6",'Procyclean MG'!D150)),EDATE(AB649,6),IF(ISNUMBER(SEARCH("3",'Procyclean MG'!D150)),EDATE(AB649,3),DATEVALUE('Procyclean MG'!D150))))),""))</f>
        <v/>
      </c>
      <c r="AM649" t="str">
        <f t="shared" ca="1" si="82"/>
        <v/>
      </c>
    </row>
    <row r="650" spans="27:39" x14ac:dyDescent="0.3">
      <c r="AA650" t="str">
        <f>IF(COUNTA('Procyclean MG'!A151,'Procyclean MG'!B151,'Procyclean MG'!C151)&gt;0,"MG","")</f>
        <v/>
      </c>
      <c r="AB650" t="str">
        <f>IFERROR(IF(ISNUMBER('Procyclean MG'!A151),'Procyclean MG'!A151,DATEVALUE('Procyclean MG'!A151)),"")</f>
        <v/>
      </c>
      <c r="AC650" t="str">
        <f>IF(AA650="","",'Procyclean MG'!B151)</f>
        <v/>
      </c>
      <c r="AD650" t="str">
        <f>IF(AA650="","",IFERROR(1*'Procyclean MG'!C151,IFERROR(_xludf.NUMBERVALUE('Procyclean MG'!C151,".",","),IFERROR(_xludf.NUMBERVALUE('Procyclean MG'!C151,",","."),0))))</f>
        <v/>
      </c>
      <c r="AE650" t="str">
        <f>IF(AA650="","",'Procyclean MG'!I151)</f>
        <v/>
      </c>
      <c r="AF650">
        <f t="shared" si="77"/>
        <v>0</v>
      </c>
      <c r="AG650" t="str">
        <f t="shared" si="78"/>
        <v/>
      </c>
      <c r="AH650" t="str">
        <f t="shared" si="79"/>
        <v/>
      </c>
      <c r="AI650">
        <f t="shared" si="80"/>
        <v>0</v>
      </c>
      <c r="AJ650">
        <f t="shared" si="81"/>
        <v>0</v>
      </c>
      <c r="AK650">
        <v>0</v>
      </c>
      <c r="AL650" t="str">
        <f>IF(AA650="","",IFERROR(IF(ISNUMBER('Procyclean MG'!D151),'Procyclean MG'!D151,IF(ISNUMBER(SEARCH("12",'Procyclean MG'!D151)),EDATE(AB650,12),IF(ISNUMBER(SEARCH("6",'Procyclean MG'!D151)),EDATE(AB650,6),IF(ISNUMBER(SEARCH("3",'Procyclean MG'!D151)),EDATE(AB650,3),DATEVALUE('Procyclean MG'!D151))))),""))</f>
        <v/>
      </c>
      <c r="AM650" t="str">
        <f t="shared" ca="1" si="82"/>
        <v/>
      </c>
    </row>
    <row r="651" spans="27:39" x14ac:dyDescent="0.3">
      <c r="AA651" t="str">
        <f>IF(COUNTA('Procyclean MG'!A152,'Procyclean MG'!B152,'Procyclean MG'!C152)&gt;0,"MG","")</f>
        <v/>
      </c>
      <c r="AB651" t="str">
        <f>IFERROR(IF(ISNUMBER('Procyclean MG'!A152),'Procyclean MG'!A152,DATEVALUE('Procyclean MG'!A152)),"")</f>
        <v/>
      </c>
      <c r="AC651" t="str">
        <f>IF(AA651="","",'Procyclean MG'!B152)</f>
        <v/>
      </c>
      <c r="AD651" t="str">
        <f>IF(AA651="","",IFERROR(1*'Procyclean MG'!C152,IFERROR(_xludf.NUMBERVALUE('Procyclean MG'!C152,".",","),IFERROR(_xludf.NUMBERVALUE('Procyclean MG'!C152,",","."),0))))</f>
        <v/>
      </c>
      <c r="AE651" t="str">
        <f>IF(AA651="","",'Procyclean MG'!I152)</f>
        <v/>
      </c>
      <c r="AF651">
        <f t="shared" si="77"/>
        <v>0</v>
      </c>
      <c r="AG651" t="str">
        <f t="shared" si="78"/>
        <v/>
      </c>
      <c r="AH651" t="str">
        <f t="shared" si="79"/>
        <v/>
      </c>
      <c r="AI651">
        <f t="shared" si="80"/>
        <v>0</v>
      </c>
      <c r="AJ651">
        <f t="shared" si="81"/>
        <v>0</v>
      </c>
      <c r="AK651">
        <v>0</v>
      </c>
      <c r="AL651" t="str">
        <f>IF(AA651="","",IFERROR(IF(ISNUMBER('Procyclean MG'!D152),'Procyclean MG'!D152,IF(ISNUMBER(SEARCH("12",'Procyclean MG'!D152)),EDATE(AB651,12),IF(ISNUMBER(SEARCH("6",'Procyclean MG'!D152)),EDATE(AB651,6),IF(ISNUMBER(SEARCH("3",'Procyclean MG'!D152)),EDATE(AB651,3),DATEVALUE('Procyclean MG'!D152))))),""))</f>
        <v/>
      </c>
      <c r="AM651" t="str">
        <f t="shared" ca="1" si="82"/>
        <v/>
      </c>
    </row>
    <row r="652" spans="27:39" x14ac:dyDescent="0.3">
      <c r="AA652" t="str">
        <f>IF(COUNTA('Procyclean MG'!A153,'Procyclean MG'!B153,'Procyclean MG'!C153)&gt;0,"MG","")</f>
        <v/>
      </c>
      <c r="AB652" t="str">
        <f>IFERROR(IF(ISNUMBER('Procyclean MG'!A153),'Procyclean MG'!A153,DATEVALUE('Procyclean MG'!A153)),"")</f>
        <v/>
      </c>
      <c r="AC652" t="str">
        <f>IF(AA652="","",'Procyclean MG'!B153)</f>
        <v/>
      </c>
      <c r="AD652" t="str">
        <f>IF(AA652="","",IFERROR(1*'Procyclean MG'!C153,IFERROR(_xludf.NUMBERVALUE('Procyclean MG'!C153,".",","),IFERROR(_xludf.NUMBERVALUE('Procyclean MG'!C153,",","."),0))))</f>
        <v/>
      </c>
      <c r="AE652" t="str">
        <f>IF(AA652="","",'Procyclean MG'!I153)</f>
        <v/>
      </c>
      <c r="AF652">
        <f t="shared" si="77"/>
        <v>0</v>
      </c>
      <c r="AG652" t="str">
        <f t="shared" si="78"/>
        <v/>
      </c>
      <c r="AH652" t="str">
        <f t="shared" si="79"/>
        <v/>
      </c>
      <c r="AI652">
        <f t="shared" si="80"/>
        <v>0</v>
      </c>
      <c r="AJ652">
        <f t="shared" si="81"/>
        <v>0</v>
      </c>
      <c r="AK652">
        <v>0</v>
      </c>
      <c r="AL652" t="str">
        <f>IF(AA652="","",IFERROR(IF(ISNUMBER('Procyclean MG'!D153),'Procyclean MG'!D153,IF(ISNUMBER(SEARCH("12",'Procyclean MG'!D153)),EDATE(AB652,12),IF(ISNUMBER(SEARCH("6",'Procyclean MG'!D153)),EDATE(AB652,6),IF(ISNUMBER(SEARCH("3",'Procyclean MG'!D153)),EDATE(AB652,3),DATEVALUE('Procyclean MG'!D153))))),""))</f>
        <v/>
      </c>
      <c r="AM652" t="str">
        <f t="shared" ca="1" si="82"/>
        <v/>
      </c>
    </row>
    <row r="653" spans="27:39" x14ac:dyDescent="0.3">
      <c r="AA653" t="str">
        <f>IF(COUNTA('Procyclean MG'!A154,'Procyclean MG'!B154,'Procyclean MG'!C154)&gt;0,"MG","")</f>
        <v/>
      </c>
      <c r="AB653" t="str">
        <f>IFERROR(IF(ISNUMBER('Procyclean MG'!A154),'Procyclean MG'!A154,DATEVALUE('Procyclean MG'!A154)),"")</f>
        <v/>
      </c>
      <c r="AC653" t="str">
        <f>IF(AA653="","",'Procyclean MG'!B154)</f>
        <v/>
      </c>
      <c r="AD653" t="str">
        <f>IF(AA653="","",IFERROR(1*'Procyclean MG'!C154,IFERROR(_xludf.NUMBERVALUE('Procyclean MG'!C154,".",","),IFERROR(_xludf.NUMBERVALUE('Procyclean MG'!C154,",","."),0))))</f>
        <v/>
      </c>
      <c r="AE653" t="str">
        <f>IF(AA653="","",'Procyclean MG'!I154)</f>
        <v/>
      </c>
      <c r="AF653">
        <f t="shared" si="77"/>
        <v>0</v>
      </c>
      <c r="AG653" t="str">
        <f t="shared" si="78"/>
        <v/>
      </c>
      <c r="AH653" t="str">
        <f t="shared" si="79"/>
        <v/>
      </c>
      <c r="AI653">
        <f t="shared" si="80"/>
        <v>0</v>
      </c>
      <c r="AJ653">
        <f t="shared" si="81"/>
        <v>0</v>
      </c>
      <c r="AK653">
        <v>0</v>
      </c>
      <c r="AL653" t="str">
        <f>IF(AA653="","",IFERROR(IF(ISNUMBER('Procyclean MG'!D154),'Procyclean MG'!D154,IF(ISNUMBER(SEARCH("12",'Procyclean MG'!D154)),EDATE(AB653,12),IF(ISNUMBER(SEARCH("6",'Procyclean MG'!D154)),EDATE(AB653,6),IF(ISNUMBER(SEARCH("3",'Procyclean MG'!D154)),EDATE(AB653,3),DATEVALUE('Procyclean MG'!D154))))),""))</f>
        <v/>
      </c>
      <c r="AM653" t="str">
        <f t="shared" ca="1" si="82"/>
        <v/>
      </c>
    </row>
    <row r="654" spans="27:39" x14ac:dyDescent="0.3">
      <c r="AA654" t="str">
        <f>IF(COUNTA('Procyclean MG'!A155,'Procyclean MG'!B155,'Procyclean MG'!C155)&gt;0,"MG","")</f>
        <v/>
      </c>
      <c r="AB654" t="str">
        <f>IFERROR(IF(ISNUMBER('Procyclean MG'!A155),'Procyclean MG'!A155,DATEVALUE('Procyclean MG'!A155)),"")</f>
        <v/>
      </c>
      <c r="AC654" t="str">
        <f>IF(AA654="","",'Procyclean MG'!B155)</f>
        <v/>
      </c>
      <c r="AD654" t="str">
        <f>IF(AA654="","",IFERROR(1*'Procyclean MG'!C155,IFERROR(_xludf.NUMBERVALUE('Procyclean MG'!C155,".",","),IFERROR(_xludf.NUMBERVALUE('Procyclean MG'!C155,",","."),0))))</f>
        <v/>
      </c>
      <c r="AE654" t="str">
        <f>IF(AA654="","",'Procyclean MG'!I155)</f>
        <v/>
      </c>
      <c r="AF654">
        <f t="shared" si="77"/>
        <v>0</v>
      </c>
      <c r="AG654" t="str">
        <f t="shared" si="78"/>
        <v/>
      </c>
      <c r="AH654" t="str">
        <f t="shared" si="79"/>
        <v/>
      </c>
      <c r="AI654">
        <f t="shared" si="80"/>
        <v>0</v>
      </c>
      <c r="AJ654">
        <f t="shared" si="81"/>
        <v>0</v>
      </c>
      <c r="AK654">
        <v>0</v>
      </c>
      <c r="AL654" t="str">
        <f>IF(AA654="","",IFERROR(IF(ISNUMBER('Procyclean MG'!D155),'Procyclean MG'!D155,IF(ISNUMBER(SEARCH("12",'Procyclean MG'!D155)),EDATE(AB654,12),IF(ISNUMBER(SEARCH("6",'Procyclean MG'!D155)),EDATE(AB654,6),IF(ISNUMBER(SEARCH("3",'Procyclean MG'!D155)),EDATE(AB654,3),DATEVALUE('Procyclean MG'!D155))))),""))</f>
        <v/>
      </c>
      <c r="AM654" t="str">
        <f t="shared" ca="1" si="82"/>
        <v/>
      </c>
    </row>
    <row r="655" spans="27:39" x14ac:dyDescent="0.3">
      <c r="AA655" t="str">
        <f>IF(COUNTA('Procyclean MG'!A156,'Procyclean MG'!B156,'Procyclean MG'!C156)&gt;0,"MG","")</f>
        <v/>
      </c>
      <c r="AB655" t="str">
        <f>IFERROR(IF(ISNUMBER('Procyclean MG'!A156),'Procyclean MG'!A156,DATEVALUE('Procyclean MG'!A156)),"")</f>
        <v/>
      </c>
      <c r="AC655" t="str">
        <f>IF(AA655="","",'Procyclean MG'!B156)</f>
        <v/>
      </c>
      <c r="AD655" t="str">
        <f>IF(AA655="","",IFERROR(1*'Procyclean MG'!C156,IFERROR(_xludf.NUMBERVALUE('Procyclean MG'!C156,".",","),IFERROR(_xludf.NUMBERVALUE('Procyclean MG'!C156,",","."),0))))</f>
        <v/>
      </c>
      <c r="AE655" t="str">
        <f>IF(AA655="","",'Procyclean MG'!I156)</f>
        <v/>
      </c>
      <c r="AF655">
        <f t="shared" si="77"/>
        <v>0</v>
      </c>
      <c r="AG655" t="str">
        <f t="shared" si="78"/>
        <v/>
      </c>
      <c r="AH655" t="str">
        <f t="shared" si="79"/>
        <v/>
      </c>
      <c r="AI655">
        <f t="shared" si="80"/>
        <v>0</v>
      </c>
      <c r="AJ655">
        <f t="shared" si="81"/>
        <v>0</v>
      </c>
      <c r="AK655">
        <v>0</v>
      </c>
      <c r="AL655" t="str">
        <f>IF(AA655="","",IFERROR(IF(ISNUMBER('Procyclean MG'!D156),'Procyclean MG'!D156,IF(ISNUMBER(SEARCH("12",'Procyclean MG'!D156)),EDATE(AB655,12),IF(ISNUMBER(SEARCH("6",'Procyclean MG'!D156)),EDATE(AB655,6),IF(ISNUMBER(SEARCH("3",'Procyclean MG'!D156)),EDATE(AB655,3),DATEVALUE('Procyclean MG'!D156))))),""))</f>
        <v/>
      </c>
      <c r="AM655" t="str">
        <f t="shared" ca="1" si="82"/>
        <v/>
      </c>
    </row>
    <row r="656" spans="27:39" x14ac:dyDescent="0.3">
      <c r="AA656" t="str">
        <f>IF(COUNTA('Procyclean MG'!A157,'Procyclean MG'!B157,'Procyclean MG'!C157)&gt;0,"MG","")</f>
        <v/>
      </c>
      <c r="AB656" t="str">
        <f>IFERROR(IF(ISNUMBER('Procyclean MG'!A157),'Procyclean MG'!A157,DATEVALUE('Procyclean MG'!A157)),"")</f>
        <v/>
      </c>
      <c r="AC656" t="str">
        <f>IF(AA656="","",'Procyclean MG'!B157)</f>
        <v/>
      </c>
      <c r="AD656" t="str">
        <f>IF(AA656="","",IFERROR(1*'Procyclean MG'!C157,IFERROR(_xludf.NUMBERVALUE('Procyclean MG'!C157,".",","),IFERROR(_xludf.NUMBERVALUE('Procyclean MG'!C157,",","."),0))))</f>
        <v/>
      </c>
      <c r="AE656" t="str">
        <f>IF(AA656="","",'Procyclean MG'!I157)</f>
        <v/>
      </c>
      <c r="AF656">
        <f t="shared" si="77"/>
        <v>0</v>
      </c>
      <c r="AG656" t="str">
        <f t="shared" si="78"/>
        <v/>
      </c>
      <c r="AH656" t="str">
        <f t="shared" si="79"/>
        <v/>
      </c>
      <c r="AI656">
        <f t="shared" si="80"/>
        <v>0</v>
      </c>
      <c r="AJ656">
        <f t="shared" si="81"/>
        <v>0</v>
      </c>
      <c r="AK656">
        <v>0</v>
      </c>
      <c r="AL656" t="str">
        <f>IF(AA656="","",IFERROR(IF(ISNUMBER('Procyclean MG'!D157),'Procyclean MG'!D157,IF(ISNUMBER(SEARCH("12",'Procyclean MG'!D157)),EDATE(AB656,12),IF(ISNUMBER(SEARCH("6",'Procyclean MG'!D157)),EDATE(AB656,6),IF(ISNUMBER(SEARCH("3",'Procyclean MG'!D157)),EDATE(AB656,3),DATEVALUE('Procyclean MG'!D157))))),""))</f>
        <v/>
      </c>
      <c r="AM656" t="str">
        <f t="shared" ca="1" si="82"/>
        <v/>
      </c>
    </row>
    <row r="657" spans="27:39" x14ac:dyDescent="0.3">
      <c r="AA657" t="str">
        <f>IF(COUNTA('Procyclean MG'!A158,'Procyclean MG'!B158,'Procyclean MG'!C158)&gt;0,"MG","")</f>
        <v/>
      </c>
      <c r="AB657" t="str">
        <f>IFERROR(IF(ISNUMBER('Procyclean MG'!A158),'Procyclean MG'!A158,DATEVALUE('Procyclean MG'!A158)),"")</f>
        <v/>
      </c>
      <c r="AC657" t="str">
        <f>IF(AA657="","",'Procyclean MG'!B158)</f>
        <v/>
      </c>
      <c r="AD657" t="str">
        <f>IF(AA657="","",IFERROR(1*'Procyclean MG'!C158,IFERROR(_xludf.NUMBERVALUE('Procyclean MG'!C158,".",","),IFERROR(_xludf.NUMBERVALUE('Procyclean MG'!C158,",","."),0))))</f>
        <v/>
      </c>
      <c r="AE657" t="str">
        <f>IF(AA657="","",'Procyclean MG'!I158)</f>
        <v/>
      </c>
      <c r="AF657">
        <f t="shared" si="77"/>
        <v>0</v>
      </c>
      <c r="AG657" t="str">
        <f t="shared" si="78"/>
        <v/>
      </c>
      <c r="AH657" t="str">
        <f t="shared" si="79"/>
        <v/>
      </c>
      <c r="AI657">
        <f t="shared" si="80"/>
        <v>0</v>
      </c>
      <c r="AJ657">
        <f t="shared" si="81"/>
        <v>0</v>
      </c>
      <c r="AK657">
        <v>0</v>
      </c>
      <c r="AL657" t="str">
        <f>IF(AA657="","",IFERROR(IF(ISNUMBER('Procyclean MG'!D158),'Procyclean MG'!D158,IF(ISNUMBER(SEARCH("12",'Procyclean MG'!D158)),EDATE(AB657,12),IF(ISNUMBER(SEARCH("6",'Procyclean MG'!D158)),EDATE(AB657,6),IF(ISNUMBER(SEARCH("3",'Procyclean MG'!D158)),EDATE(AB657,3),DATEVALUE('Procyclean MG'!D158))))),""))</f>
        <v/>
      </c>
      <c r="AM657" t="str">
        <f t="shared" ca="1" si="82"/>
        <v/>
      </c>
    </row>
    <row r="658" spans="27:39" x14ac:dyDescent="0.3">
      <c r="AA658" t="str">
        <f>IF(COUNTA('Procyclean MG'!A159,'Procyclean MG'!B159,'Procyclean MG'!C159)&gt;0,"MG","")</f>
        <v/>
      </c>
      <c r="AB658" t="str">
        <f>IFERROR(IF(ISNUMBER('Procyclean MG'!A159),'Procyclean MG'!A159,DATEVALUE('Procyclean MG'!A159)),"")</f>
        <v/>
      </c>
      <c r="AC658" t="str">
        <f>IF(AA658="","",'Procyclean MG'!B159)</f>
        <v/>
      </c>
      <c r="AD658" t="str">
        <f>IF(AA658="","",IFERROR(1*'Procyclean MG'!C159,IFERROR(_xludf.NUMBERVALUE('Procyclean MG'!C159,".",","),IFERROR(_xludf.NUMBERVALUE('Procyclean MG'!C159,",","."),0))))</f>
        <v/>
      </c>
      <c r="AE658" t="str">
        <f>IF(AA658="","",'Procyclean MG'!I159)</f>
        <v/>
      </c>
      <c r="AF658">
        <f t="shared" si="77"/>
        <v>0</v>
      </c>
      <c r="AG658" t="str">
        <f t="shared" si="78"/>
        <v/>
      </c>
      <c r="AH658" t="str">
        <f t="shared" si="79"/>
        <v/>
      </c>
      <c r="AI658">
        <f t="shared" si="80"/>
        <v>0</v>
      </c>
      <c r="AJ658">
        <f t="shared" si="81"/>
        <v>0</v>
      </c>
      <c r="AK658">
        <v>0</v>
      </c>
      <c r="AL658" t="str">
        <f>IF(AA658="","",IFERROR(IF(ISNUMBER('Procyclean MG'!D159),'Procyclean MG'!D159,IF(ISNUMBER(SEARCH("12",'Procyclean MG'!D159)),EDATE(AB658,12),IF(ISNUMBER(SEARCH("6",'Procyclean MG'!D159)),EDATE(AB658,6),IF(ISNUMBER(SEARCH("3",'Procyclean MG'!D159)),EDATE(AB658,3),DATEVALUE('Procyclean MG'!D159))))),""))</f>
        <v/>
      </c>
      <c r="AM658" t="str">
        <f t="shared" ca="1" si="82"/>
        <v/>
      </c>
    </row>
    <row r="659" spans="27:39" x14ac:dyDescent="0.3">
      <c r="AA659" t="str">
        <f>IF(COUNTA('Procyclean MG'!A160,'Procyclean MG'!B160,'Procyclean MG'!C160)&gt;0,"MG","")</f>
        <v/>
      </c>
      <c r="AB659" t="str">
        <f>IFERROR(IF(ISNUMBER('Procyclean MG'!A160),'Procyclean MG'!A160,DATEVALUE('Procyclean MG'!A160)),"")</f>
        <v/>
      </c>
      <c r="AC659" t="str">
        <f>IF(AA659="","",'Procyclean MG'!B160)</f>
        <v/>
      </c>
      <c r="AD659" t="str">
        <f>IF(AA659="","",IFERROR(1*'Procyclean MG'!C160,IFERROR(_xludf.NUMBERVALUE('Procyclean MG'!C160,".",","),IFERROR(_xludf.NUMBERVALUE('Procyclean MG'!C160,",","."),0))))</f>
        <v/>
      </c>
      <c r="AE659" t="str">
        <f>IF(AA659="","",'Procyclean MG'!I160)</f>
        <v/>
      </c>
      <c r="AF659">
        <f t="shared" si="77"/>
        <v>0</v>
      </c>
      <c r="AG659" t="str">
        <f t="shared" si="78"/>
        <v/>
      </c>
      <c r="AH659" t="str">
        <f t="shared" si="79"/>
        <v/>
      </c>
      <c r="AI659">
        <f t="shared" si="80"/>
        <v>0</v>
      </c>
      <c r="AJ659">
        <f t="shared" si="81"/>
        <v>0</v>
      </c>
      <c r="AK659">
        <v>0</v>
      </c>
      <c r="AL659" t="str">
        <f>IF(AA659="","",IFERROR(IF(ISNUMBER('Procyclean MG'!D160),'Procyclean MG'!D160,IF(ISNUMBER(SEARCH("12",'Procyclean MG'!D160)),EDATE(AB659,12),IF(ISNUMBER(SEARCH("6",'Procyclean MG'!D160)),EDATE(AB659,6),IF(ISNUMBER(SEARCH("3",'Procyclean MG'!D160)),EDATE(AB659,3),DATEVALUE('Procyclean MG'!D160))))),""))</f>
        <v/>
      </c>
      <c r="AM659" t="str">
        <f t="shared" ca="1" si="82"/>
        <v/>
      </c>
    </row>
    <row r="660" spans="27:39" x14ac:dyDescent="0.3">
      <c r="AA660" t="str">
        <f>IF(COUNTA('Procyclean MG'!A161,'Procyclean MG'!B161,'Procyclean MG'!C161)&gt;0,"MG","")</f>
        <v/>
      </c>
      <c r="AB660" t="str">
        <f>IFERROR(IF(ISNUMBER('Procyclean MG'!A161),'Procyclean MG'!A161,DATEVALUE('Procyclean MG'!A161)),"")</f>
        <v/>
      </c>
      <c r="AC660" t="str">
        <f>IF(AA660="","",'Procyclean MG'!B161)</f>
        <v/>
      </c>
      <c r="AD660" t="str">
        <f>IF(AA660="","",IFERROR(1*'Procyclean MG'!C161,IFERROR(_xludf.NUMBERVALUE('Procyclean MG'!C161,".",","),IFERROR(_xludf.NUMBERVALUE('Procyclean MG'!C161,",","."),0))))</f>
        <v/>
      </c>
      <c r="AE660" t="str">
        <f>IF(AA660="","",'Procyclean MG'!I161)</f>
        <v/>
      </c>
      <c r="AF660">
        <f t="shared" si="77"/>
        <v>0</v>
      </c>
      <c r="AG660" t="str">
        <f t="shared" si="78"/>
        <v/>
      </c>
      <c r="AH660" t="str">
        <f t="shared" si="79"/>
        <v/>
      </c>
      <c r="AI660">
        <f t="shared" si="80"/>
        <v>0</v>
      </c>
      <c r="AJ660">
        <f t="shared" si="81"/>
        <v>0</v>
      </c>
      <c r="AK660">
        <v>0</v>
      </c>
      <c r="AL660" t="str">
        <f>IF(AA660="","",IFERROR(IF(ISNUMBER('Procyclean MG'!D161),'Procyclean MG'!D161,IF(ISNUMBER(SEARCH("12",'Procyclean MG'!D161)),EDATE(AB660,12),IF(ISNUMBER(SEARCH("6",'Procyclean MG'!D161)),EDATE(AB660,6),IF(ISNUMBER(SEARCH("3",'Procyclean MG'!D161)),EDATE(AB660,3),DATEVALUE('Procyclean MG'!D161))))),""))</f>
        <v/>
      </c>
      <c r="AM660" t="str">
        <f t="shared" ca="1" si="82"/>
        <v/>
      </c>
    </row>
    <row r="661" spans="27:39" x14ac:dyDescent="0.3">
      <c r="AA661" t="str">
        <f>IF(COUNTA('Procyclean MG'!A162,'Procyclean MG'!B162,'Procyclean MG'!C162)&gt;0,"MG","")</f>
        <v/>
      </c>
      <c r="AB661" t="str">
        <f>IFERROR(IF(ISNUMBER('Procyclean MG'!A162),'Procyclean MG'!A162,DATEVALUE('Procyclean MG'!A162)),"")</f>
        <v/>
      </c>
      <c r="AC661" t="str">
        <f>IF(AA661="","",'Procyclean MG'!B162)</f>
        <v/>
      </c>
      <c r="AD661" t="str">
        <f>IF(AA661="","",IFERROR(1*'Procyclean MG'!C162,IFERROR(_xludf.NUMBERVALUE('Procyclean MG'!C162,".",","),IFERROR(_xludf.NUMBERVALUE('Procyclean MG'!C162,",","."),0))))</f>
        <v/>
      </c>
      <c r="AE661" t="str">
        <f>IF(AA661="","",'Procyclean MG'!I162)</f>
        <v/>
      </c>
      <c r="AF661">
        <f t="shared" si="77"/>
        <v>0</v>
      </c>
      <c r="AG661" t="str">
        <f t="shared" si="78"/>
        <v/>
      </c>
      <c r="AH661" t="str">
        <f t="shared" si="79"/>
        <v/>
      </c>
      <c r="AI661">
        <f t="shared" si="80"/>
        <v>0</v>
      </c>
      <c r="AJ661">
        <f t="shared" si="81"/>
        <v>0</v>
      </c>
      <c r="AK661">
        <v>0</v>
      </c>
      <c r="AL661" t="str">
        <f>IF(AA661="","",IFERROR(IF(ISNUMBER('Procyclean MG'!D162),'Procyclean MG'!D162,IF(ISNUMBER(SEARCH("12",'Procyclean MG'!D162)),EDATE(AB661,12),IF(ISNUMBER(SEARCH("6",'Procyclean MG'!D162)),EDATE(AB661,6),IF(ISNUMBER(SEARCH("3",'Procyclean MG'!D162)),EDATE(AB661,3),DATEVALUE('Procyclean MG'!D162))))),""))</f>
        <v/>
      </c>
      <c r="AM661" t="str">
        <f t="shared" ca="1" si="82"/>
        <v/>
      </c>
    </row>
    <row r="662" spans="27:39" x14ac:dyDescent="0.3">
      <c r="AA662" t="str">
        <f>IF(COUNTA('Procyclean MG'!A163,'Procyclean MG'!B163,'Procyclean MG'!C163)&gt;0,"MG","")</f>
        <v/>
      </c>
      <c r="AB662" t="str">
        <f>IFERROR(IF(ISNUMBER('Procyclean MG'!A163),'Procyclean MG'!A163,DATEVALUE('Procyclean MG'!A163)),"")</f>
        <v/>
      </c>
      <c r="AC662" t="str">
        <f>IF(AA662="","",'Procyclean MG'!B163)</f>
        <v/>
      </c>
      <c r="AD662" t="str">
        <f>IF(AA662="","",IFERROR(1*'Procyclean MG'!C163,IFERROR(_xludf.NUMBERVALUE('Procyclean MG'!C163,".",","),IFERROR(_xludf.NUMBERVALUE('Procyclean MG'!C163,",","."),0))))</f>
        <v/>
      </c>
      <c r="AE662" t="str">
        <f>IF(AA662="","",'Procyclean MG'!I163)</f>
        <v/>
      </c>
      <c r="AF662">
        <f t="shared" si="77"/>
        <v>0</v>
      </c>
      <c r="AG662" t="str">
        <f t="shared" si="78"/>
        <v/>
      </c>
      <c r="AH662" t="str">
        <f t="shared" si="79"/>
        <v/>
      </c>
      <c r="AI662">
        <f t="shared" si="80"/>
        <v>0</v>
      </c>
      <c r="AJ662">
        <f t="shared" si="81"/>
        <v>0</v>
      </c>
      <c r="AK662">
        <v>0</v>
      </c>
      <c r="AL662" t="str">
        <f>IF(AA662="","",IFERROR(IF(ISNUMBER('Procyclean MG'!D163),'Procyclean MG'!D163,IF(ISNUMBER(SEARCH("12",'Procyclean MG'!D163)),EDATE(AB662,12),IF(ISNUMBER(SEARCH("6",'Procyclean MG'!D163)),EDATE(AB662,6),IF(ISNUMBER(SEARCH("3",'Procyclean MG'!D163)),EDATE(AB662,3),DATEVALUE('Procyclean MG'!D163))))),""))</f>
        <v/>
      </c>
      <c r="AM662" t="str">
        <f t="shared" ca="1" si="82"/>
        <v/>
      </c>
    </row>
    <row r="663" spans="27:39" x14ac:dyDescent="0.3">
      <c r="AA663" t="str">
        <f>IF(COUNTA('Procyclean MG'!A164,'Procyclean MG'!B164,'Procyclean MG'!C164)&gt;0,"MG","")</f>
        <v/>
      </c>
      <c r="AB663" t="str">
        <f>IFERROR(IF(ISNUMBER('Procyclean MG'!A164),'Procyclean MG'!A164,DATEVALUE('Procyclean MG'!A164)),"")</f>
        <v/>
      </c>
      <c r="AC663" t="str">
        <f>IF(AA663="","",'Procyclean MG'!B164)</f>
        <v/>
      </c>
      <c r="AD663" t="str">
        <f>IF(AA663="","",IFERROR(1*'Procyclean MG'!C164,IFERROR(_xludf.NUMBERVALUE('Procyclean MG'!C164,".",","),IFERROR(_xludf.NUMBERVALUE('Procyclean MG'!C164,",","."),0))))</f>
        <v/>
      </c>
      <c r="AE663" t="str">
        <f>IF(AA663="","",'Procyclean MG'!I164)</f>
        <v/>
      </c>
      <c r="AF663">
        <f t="shared" si="77"/>
        <v>0</v>
      </c>
      <c r="AG663" t="str">
        <f t="shared" si="78"/>
        <v/>
      </c>
      <c r="AH663" t="str">
        <f t="shared" si="79"/>
        <v/>
      </c>
      <c r="AI663">
        <f t="shared" si="80"/>
        <v>0</v>
      </c>
      <c r="AJ663">
        <f t="shared" si="81"/>
        <v>0</v>
      </c>
      <c r="AK663">
        <v>0</v>
      </c>
      <c r="AL663" t="str">
        <f>IF(AA663="","",IFERROR(IF(ISNUMBER('Procyclean MG'!D164),'Procyclean MG'!D164,IF(ISNUMBER(SEARCH("12",'Procyclean MG'!D164)),EDATE(AB663,12),IF(ISNUMBER(SEARCH("6",'Procyclean MG'!D164)),EDATE(AB663,6),IF(ISNUMBER(SEARCH("3",'Procyclean MG'!D164)),EDATE(AB663,3),DATEVALUE('Procyclean MG'!D164))))),""))</f>
        <v/>
      </c>
      <c r="AM663" t="str">
        <f t="shared" ca="1" si="82"/>
        <v/>
      </c>
    </row>
    <row r="664" spans="27:39" x14ac:dyDescent="0.3">
      <c r="AA664" t="str">
        <f>IF(COUNTA('Procyclean MG'!A165,'Procyclean MG'!B165,'Procyclean MG'!C165)&gt;0,"MG","")</f>
        <v/>
      </c>
      <c r="AB664" t="str">
        <f>IFERROR(IF(ISNUMBER('Procyclean MG'!A165),'Procyclean MG'!A165,DATEVALUE('Procyclean MG'!A165)),"")</f>
        <v/>
      </c>
      <c r="AC664" t="str">
        <f>IF(AA664="","",'Procyclean MG'!B165)</f>
        <v/>
      </c>
      <c r="AD664" t="str">
        <f>IF(AA664="","",IFERROR(1*'Procyclean MG'!C165,IFERROR(_xludf.NUMBERVALUE('Procyclean MG'!C165,".",","),IFERROR(_xludf.NUMBERVALUE('Procyclean MG'!C165,",","."),0))))</f>
        <v/>
      </c>
      <c r="AE664" t="str">
        <f>IF(AA664="","",'Procyclean MG'!I165)</f>
        <v/>
      </c>
      <c r="AF664">
        <f t="shared" si="77"/>
        <v>0</v>
      </c>
      <c r="AG664" t="str">
        <f t="shared" si="78"/>
        <v/>
      </c>
      <c r="AH664" t="str">
        <f t="shared" si="79"/>
        <v/>
      </c>
      <c r="AI664">
        <f t="shared" si="80"/>
        <v>0</v>
      </c>
      <c r="AJ664">
        <f t="shared" si="81"/>
        <v>0</v>
      </c>
      <c r="AK664">
        <v>0</v>
      </c>
      <c r="AL664" t="str">
        <f>IF(AA664="","",IFERROR(IF(ISNUMBER('Procyclean MG'!D165),'Procyclean MG'!D165,IF(ISNUMBER(SEARCH("12",'Procyclean MG'!D165)),EDATE(AB664,12),IF(ISNUMBER(SEARCH("6",'Procyclean MG'!D165)),EDATE(AB664,6),IF(ISNUMBER(SEARCH("3",'Procyclean MG'!D165)),EDATE(AB664,3),DATEVALUE('Procyclean MG'!D165))))),""))</f>
        <v/>
      </c>
      <c r="AM664" t="str">
        <f t="shared" ca="1" si="82"/>
        <v/>
      </c>
    </row>
    <row r="665" spans="27:39" x14ac:dyDescent="0.3">
      <c r="AA665" t="str">
        <f>IF(COUNTA('Procyclean MG'!A166,'Procyclean MG'!B166,'Procyclean MG'!C166)&gt;0,"MG","")</f>
        <v/>
      </c>
      <c r="AB665" t="str">
        <f>IFERROR(IF(ISNUMBER('Procyclean MG'!A166),'Procyclean MG'!A166,DATEVALUE('Procyclean MG'!A166)),"")</f>
        <v/>
      </c>
      <c r="AC665" t="str">
        <f>IF(AA665="","",'Procyclean MG'!B166)</f>
        <v/>
      </c>
      <c r="AD665" t="str">
        <f>IF(AA665="","",IFERROR(1*'Procyclean MG'!C166,IFERROR(_xludf.NUMBERVALUE('Procyclean MG'!C166,".",","),IFERROR(_xludf.NUMBERVALUE('Procyclean MG'!C166,",","."),0))))</f>
        <v/>
      </c>
      <c r="AE665" t="str">
        <f>IF(AA665="","",'Procyclean MG'!I166)</f>
        <v/>
      </c>
      <c r="AF665">
        <f t="shared" si="77"/>
        <v>0</v>
      </c>
      <c r="AG665" t="str">
        <f t="shared" si="78"/>
        <v/>
      </c>
      <c r="AH665" t="str">
        <f t="shared" si="79"/>
        <v/>
      </c>
      <c r="AI665">
        <f t="shared" si="80"/>
        <v>0</v>
      </c>
      <c r="AJ665">
        <f t="shared" si="81"/>
        <v>0</v>
      </c>
      <c r="AK665">
        <v>0</v>
      </c>
      <c r="AL665" t="str">
        <f>IF(AA665="","",IFERROR(IF(ISNUMBER('Procyclean MG'!D166),'Procyclean MG'!D166,IF(ISNUMBER(SEARCH("12",'Procyclean MG'!D166)),EDATE(AB665,12),IF(ISNUMBER(SEARCH("6",'Procyclean MG'!D166)),EDATE(AB665,6),IF(ISNUMBER(SEARCH("3",'Procyclean MG'!D166)),EDATE(AB665,3),DATEVALUE('Procyclean MG'!D166))))),""))</f>
        <v/>
      </c>
      <c r="AM665" t="str">
        <f t="shared" ca="1" si="82"/>
        <v/>
      </c>
    </row>
    <row r="666" spans="27:39" x14ac:dyDescent="0.3">
      <c r="AA666" t="str">
        <f>IF(COUNTA('Procyclean MG'!A167,'Procyclean MG'!B167,'Procyclean MG'!C167)&gt;0,"MG","")</f>
        <v/>
      </c>
      <c r="AB666" t="str">
        <f>IFERROR(IF(ISNUMBER('Procyclean MG'!A167),'Procyclean MG'!A167,DATEVALUE('Procyclean MG'!A167)),"")</f>
        <v/>
      </c>
      <c r="AC666" t="str">
        <f>IF(AA666="","",'Procyclean MG'!B167)</f>
        <v/>
      </c>
      <c r="AD666" t="str">
        <f>IF(AA666="","",IFERROR(1*'Procyclean MG'!C167,IFERROR(_xludf.NUMBERVALUE('Procyclean MG'!C167,".",","),IFERROR(_xludf.NUMBERVALUE('Procyclean MG'!C167,",","."),0))))</f>
        <v/>
      </c>
      <c r="AE666" t="str">
        <f>IF(AA666="","",'Procyclean MG'!I167)</f>
        <v/>
      </c>
      <c r="AF666">
        <f t="shared" si="77"/>
        <v>0</v>
      </c>
      <c r="AG666" t="str">
        <f t="shared" si="78"/>
        <v/>
      </c>
      <c r="AH666" t="str">
        <f t="shared" si="79"/>
        <v/>
      </c>
      <c r="AI666">
        <f t="shared" si="80"/>
        <v>0</v>
      </c>
      <c r="AJ666">
        <f t="shared" si="81"/>
        <v>0</v>
      </c>
      <c r="AK666">
        <v>0</v>
      </c>
      <c r="AL666" t="str">
        <f>IF(AA666="","",IFERROR(IF(ISNUMBER('Procyclean MG'!D167),'Procyclean MG'!D167,IF(ISNUMBER(SEARCH("12",'Procyclean MG'!D167)),EDATE(AB666,12),IF(ISNUMBER(SEARCH("6",'Procyclean MG'!D167)),EDATE(AB666,6),IF(ISNUMBER(SEARCH("3",'Procyclean MG'!D167)),EDATE(AB666,3),DATEVALUE('Procyclean MG'!D167))))),""))</f>
        <v/>
      </c>
      <c r="AM666" t="str">
        <f t="shared" ca="1" si="82"/>
        <v/>
      </c>
    </row>
    <row r="667" spans="27:39" x14ac:dyDescent="0.3">
      <c r="AA667" t="str">
        <f>IF(COUNTA('Procyclean MG'!A168,'Procyclean MG'!B168,'Procyclean MG'!C168)&gt;0,"MG","")</f>
        <v/>
      </c>
      <c r="AB667" t="str">
        <f>IFERROR(IF(ISNUMBER('Procyclean MG'!A168),'Procyclean MG'!A168,DATEVALUE('Procyclean MG'!A168)),"")</f>
        <v/>
      </c>
      <c r="AC667" t="str">
        <f>IF(AA667="","",'Procyclean MG'!B168)</f>
        <v/>
      </c>
      <c r="AD667" t="str">
        <f>IF(AA667="","",IFERROR(1*'Procyclean MG'!C168,IFERROR(_xludf.NUMBERVALUE('Procyclean MG'!C168,".",","),IFERROR(_xludf.NUMBERVALUE('Procyclean MG'!C168,",","."),0))))</f>
        <v/>
      </c>
      <c r="AE667" t="str">
        <f>IF(AA667="","",'Procyclean MG'!I168)</f>
        <v/>
      </c>
      <c r="AF667">
        <f t="shared" si="77"/>
        <v>0</v>
      </c>
      <c r="AG667" t="str">
        <f t="shared" si="78"/>
        <v/>
      </c>
      <c r="AH667" t="str">
        <f t="shared" si="79"/>
        <v/>
      </c>
      <c r="AI667">
        <f t="shared" si="80"/>
        <v>0</v>
      </c>
      <c r="AJ667">
        <f t="shared" si="81"/>
        <v>0</v>
      </c>
      <c r="AK667">
        <v>0</v>
      </c>
      <c r="AL667" t="str">
        <f>IF(AA667="","",IFERROR(IF(ISNUMBER('Procyclean MG'!D168),'Procyclean MG'!D168,IF(ISNUMBER(SEARCH("12",'Procyclean MG'!D168)),EDATE(AB667,12),IF(ISNUMBER(SEARCH("6",'Procyclean MG'!D168)),EDATE(AB667,6),IF(ISNUMBER(SEARCH("3",'Procyclean MG'!D168)),EDATE(AB667,3),DATEVALUE('Procyclean MG'!D168))))),""))</f>
        <v/>
      </c>
      <c r="AM667" t="str">
        <f t="shared" ca="1" si="82"/>
        <v/>
      </c>
    </row>
    <row r="668" spans="27:39" x14ac:dyDescent="0.3">
      <c r="AA668" t="str">
        <f>IF(COUNTA('Procyclean MG'!A169,'Procyclean MG'!B169,'Procyclean MG'!C169)&gt;0,"MG","")</f>
        <v/>
      </c>
      <c r="AB668" t="str">
        <f>IFERROR(IF(ISNUMBER('Procyclean MG'!A169),'Procyclean MG'!A169,DATEVALUE('Procyclean MG'!A169)),"")</f>
        <v/>
      </c>
      <c r="AC668" t="str">
        <f>IF(AA668="","",'Procyclean MG'!B169)</f>
        <v/>
      </c>
      <c r="AD668" t="str">
        <f>IF(AA668="","",IFERROR(1*'Procyclean MG'!C169,IFERROR(_xludf.NUMBERVALUE('Procyclean MG'!C169,".",","),IFERROR(_xludf.NUMBERVALUE('Procyclean MG'!C169,",","."),0))))</f>
        <v/>
      </c>
      <c r="AE668" t="str">
        <f>IF(AA668="","",'Procyclean MG'!I169)</f>
        <v/>
      </c>
      <c r="AF668">
        <f t="shared" si="77"/>
        <v>0</v>
      </c>
      <c r="AG668" t="str">
        <f t="shared" si="78"/>
        <v/>
      </c>
      <c r="AH668" t="str">
        <f t="shared" si="79"/>
        <v/>
      </c>
      <c r="AI668">
        <f t="shared" si="80"/>
        <v>0</v>
      </c>
      <c r="AJ668">
        <f t="shared" si="81"/>
        <v>0</v>
      </c>
      <c r="AK668">
        <v>0</v>
      </c>
      <c r="AL668" t="str">
        <f>IF(AA668="","",IFERROR(IF(ISNUMBER('Procyclean MG'!D169),'Procyclean MG'!D169,IF(ISNUMBER(SEARCH("12",'Procyclean MG'!D169)),EDATE(AB668,12),IF(ISNUMBER(SEARCH("6",'Procyclean MG'!D169)),EDATE(AB668,6),IF(ISNUMBER(SEARCH("3",'Procyclean MG'!D169)),EDATE(AB668,3),DATEVALUE('Procyclean MG'!D169))))),""))</f>
        <v/>
      </c>
      <c r="AM668" t="str">
        <f t="shared" ca="1" si="82"/>
        <v/>
      </c>
    </row>
    <row r="669" spans="27:39" x14ac:dyDescent="0.3">
      <c r="AA669" t="str">
        <f>IF(COUNTA('Procyclean MG'!A170,'Procyclean MG'!B170,'Procyclean MG'!C170)&gt;0,"MG","")</f>
        <v/>
      </c>
      <c r="AB669" t="str">
        <f>IFERROR(IF(ISNUMBER('Procyclean MG'!A170),'Procyclean MG'!A170,DATEVALUE('Procyclean MG'!A170)),"")</f>
        <v/>
      </c>
      <c r="AC669" t="str">
        <f>IF(AA669="","",'Procyclean MG'!B170)</f>
        <v/>
      </c>
      <c r="AD669" t="str">
        <f>IF(AA669="","",IFERROR(1*'Procyclean MG'!C170,IFERROR(_xludf.NUMBERVALUE('Procyclean MG'!C170,".",","),IFERROR(_xludf.NUMBERVALUE('Procyclean MG'!C170,",","."),0))))</f>
        <v/>
      </c>
      <c r="AE669" t="str">
        <f>IF(AA669="","",'Procyclean MG'!I170)</f>
        <v/>
      </c>
      <c r="AF669">
        <f t="shared" si="77"/>
        <v>0</v>
      </c>
      <c r="AG669" t="str">
        <f t="shared" si="78"/>
        <v/>
      </c>
      <c r="AH669" t="str">
        <f t="shared" si="79"/>
        <v/>
      </c>
      <c r="AI669">
        <f t="shared" si="80"/>
        <v>0</v>
      </c>
      <c r="AJ669">
        <f t="shared" si="81"/>
        <v>0</v>
      </c>
      <c r="AK669">
        <v>0</v>
      </c>
      <c r="AL669" t="str">
        <f>IF(AA669="","",IFERROR(IF(ISNUMBER('Procyclean MG'!D170),'Procyclean MG'!D170,IF(ISNUMBER(SEARCH("12",'Procyclean MG'!D170)),EDATE(AB669,12),IF(ISNUMBER(SEARCH("6",'Procyclean MG'!D170)),EDATE(AB669,6),IF(ISNUMBER(SEARCH("3",'Procyclean MG'!D170)),EDATE(AB669,3),DATEVALUE('Procyclean MG'!D170))))),""))</f>
        <v/>
      </c>
      <c r="AM669" t="str">
        <f t="shared" ca="1" si="82"/>
        <v/>
      </c>
    </row>
    <row r="670" spans="27:39" x14ac:dyDescent="0.3">
      <c r="AA670" t="str">
        <f>IF(COUNTA('Procyclean MG'!A171,'Procyclean MG'!B171,'Procyclean MG'!C171)&gt;0,"MG","")</f>
        <v/>
      </c>
      <c r="AB670" t="str">
        <f>IFERROR(IF(ISNUMBER('Procyclean MG'!A171),'Procyclean MG'!A171,DATEVALUE('Procyclean MG'!A171)),"")</f>
        <v/>
      </c>
      <c r="AC670" t="str">
        <f>IF(AA670="","",'Procyclean MG'!B171)</f>
        <v/>
      </c>
      <c r="AD670" t="str">
        <f>IF(AA670="","",IFERROR(1*'Procyclean MG'!C171,IFERROR(_xludf.NUMBERVALUE('Procyclean MG'!C171,".",","),IFERROR(_xludf.NUMBERVALUE('Procyclean MG'!C171,",","."),0))))</f>
        <v/>
      </c>
      <c r="AE670" t="str">
        <f>IF(AA670="","",'Procyclean MG'!I171)</f>
        <v/>
      </c>
      <c r="AF670">
        <f t="shared" si="77"/>
        <v>0</v>
      </c>
      <c r="AG670" t="str">
        <f t="shared" si="78"/>
        <v/>
      </c>
      <c r="AH670" t="str">
        <f t="shared" si="79"/>
        <v/>
      </c>
      <c r="AI670">
        <f t="shared" si="80"/>
        <v>0</v>
      </c>
      <c r="AJ670">
        <f t="shared" si="81"/>
        <v>0</v>
      </c>
      <c r="AK670">
        <v>0</v>
      </c>
      <c r="AL670" t="str">
        <f>IF(AA670="","",IFERROR(IF(ISNUMBER('Procyclean MG'!D171),'Procyclean MG'!D171,IF(ISNUMBER(SEARCH("12",'Procyclean MG'!D171)),EDATE(AB670,12),IF(ISNUMBER(SEARCH("6",'Procyclean MG'!D171)),EDATE(AB670,6),IF(ISNUMBER(SEARCH("3",'Procyclean MG'!D171)),EDATE(AB670,3),DATEVALUE('Procyclean MG'!D171))))),""))</f>
        <v/>
      </c>
      <c r="AM670" t="str">
        <f t="shared" ca="1" si="82"/>
        <v/>
      </c>
    </row>
    <row r="671" spans="27:39" x14ac:dyDescent="0.3">
      <c r="AA671" t="str">
        <f>IF(COUNTA('Procyclean MG'!A172,'Procyclean MG'!B172,'Procyclean MG'!C172)&gt;0,"MG","")</f>
        <v/>
      </c>
      <c r="AB671" t="str">
        <f>IFERROR(IF(ISNUMBER('Procyclean MG'!A172),'Procyclean MG'!A172,DATEVALUE('Procyclean MG'!A172)),"")</f>
        <v/>
      </c>
      <c r="AC671" t="str">
        <f>IF(AA671="","",'Procyclean MG'!B172)</f>
        <v/>
      </c>
      <c r="AD671" t="str">
        <f>IF(AA671="","",IFERROR(1*'Procyclean MG'!C172,IFERROR(_xludf.NUMBERVALUE('Procyclean MG'!C172,".",","),IFERROR(_xludf.NUMBERVALUE('Procyclean MG'!C172,",","."),0))))</f>
        <v/>
      </c>
      <c r="AE671" t="str">
        <f>IF(AA671="","",'Procyclean MG'!I172)</f>
        <v/>
      </c>
      <c r="AF671">
        <f t="shared" si="77"/>
        <v>0</v>
      </c>
      <c r="AG671" t="str">
        <f t="shared" si="78"/>
        <v/>
      </c>
      <c r="AH671" t="str">
        <f t="shared" si="79"/>
        <v/>
      </c>
      <c r="AI671">
        <f t="shared" si="80"/>
        <v>0</v>
      </c>
      <c r="AJ671">
        <f t="shared" si="81"/>
        <v>0</v>
      </c>
      <c r="AK671">
        <v>0</v>
      </c>
      <c r="AL671" t="str">
        <f>IF(AA671="","",IFERROR(IF(ISNUMBER('Procyclean MG'!D172),'Procyclean MG'!D172,IF(ISNUMBER(SEARCH("12",'Procyclean MG'!D172)),EDATE(AB671,12),IF(ISNUMBER(SEARCH("6",'Procyclean MG'!D172)),EDATE(AB671,6),IF(ISNUMBER(SEARCH("3",'Procyclean MG'!D172)),EDATE(AB671,3),DATEVALUE('Procyclean MG'!D172))))),""))</f>
        <v/>
      </c>
      <c r="AM671" t="str">
        <f t="shared" ca="1" si="82"/>
        <v/>
      </c>
    </row>
    <row r="672" spans="27:39" x14ac:dyDescent="0.3">
      <c r="AA672" t="str">
        <f>IF(COUNTA('Procyclean MG'!A173,'Procyclean MG'!B173,'Procyclean MG'!C173)&gt;0,"MG","")</f>
        <v/>
      </c>
      <c r="AB672" t="str">
        <f>IFERROR(IF(ISNUMBER('Procyclean MG'!A173),'Procyclean MG'!A173,DATEVALUE('Procyclean MG'!A173)),"")</f>
        <v/>
      </c>
      <c r="AC672" t="str">
        <f>IF(AA672="","",'Procyclean MG'!B173)</f>
        <v/>
      </c>
      <c r="AD672" t="str">
        <f>IF(AA672="","",IFERROR(1*'Procyclean MG'!C173,IFERROR(_xludf.NUMBERVALUE('Procyclean MG'!C173,".",","),IFERROR(_xludf.NUMBERVALUE('Procyclean MG'!C173,",","."),0))))</f>
        <v/>
      </c>
      <c r="AE672" t="str">
        <f>IF(AA672="","",'Procyclean MG'!I173)</f>
        <v/>
      </c>
      <c r="AF672">
        <f t="shared" si="77"/>
        <v>0</v>
      </c>
      <c r="AG672" t="str">
        <f t="shared" si="78"/>
        <v/>
      </c>
      <c r="AH672" t="str">
        <f t="shared" si="79"/>
        <v/>
      </c>
      <c r="AI672">
        <f t="shared" si="80"/>
        <v>0</v>
      </c>
      <c r="AJ672">
        <f t="shared" si="81"/>
        <v>0</v>
      </c>
      <c r="AK672">
        <v>0</v>
      </c>
      <c r="AL672" t="str">
        <f>IF(AA672="","",IFERROR(IF(ISNUMBER('Procyclean MG'!D173),'Procyclean MG'!D173,IF(ISNUMBER(SEARCH("12",'Procyclean MG'!D173)),EDATE(AB672,12),IF(ISNUMBER(SEARCH("6",'Procyclean MG'!D173)),EDATE(AB672,6),IF(ISNUMBER(SEARCH("3",'Procyclean MG'!D173)),EDATE(AB672,3),DATEVALUE('Procyclean MG'!D173))))),""))</f>
        <v/>
      </c>
      <c r="AM672" t="str">
        <f t="shared" ca="1" si="82"/>
        <v/>
      </c>
    </row>
    <row r="673" spans="27:39" x14ac:dyDescent="0.3">
      <c r="AA673" t="str">
        <f>IF(COUNTA('Procyclean MG'!A174,'Procyclean MG'!B174,'Procyclean MG'!C174)&gt;0,"MG","")</f>
        <v/>
      </c>
      <c r="AB673" t="str">
        <f>IFERROR(IF(ISNUMBER('Procyclean MG'!A174),'Procyclean MG'!A174,DATEVALUE('Procyclean MG'!A174)),"")</f>
        <v/>
      </c>
      <c r="AC673" t="str">
        <f>IF(AA673="","",'Procyclean MG'!B174)</f>
        <v/>
      </c>
      <c r="AD673" t="str">
        <f>IF(AA673="","",IFERROR(1*'Procyclean MG'!C174,IFERROR(_xludf.NUMBERVALUE('Procyclean MG'!C174,".",","),IFERROR(_xludf.NUMBERVALUE('Procyclean MG'!C174,",","."),0))))</f>
        <v/>
      </c>
      <c r="AE673" t="str">
        <f>IF(AA673="","",'Procyclean MG'!I174)</f>
        <v/>
      </c>
      <c r="AF673">
        <f t="shared" si="77"/>
        <v>0</v>
      </c>
      <c r="AG673" t="str">
        <f t="shared" si="78"/>
        <v/>
      </c>
      <c r="AH673" t="str">
        <f t="shared" si="79"/>
        <v/>
      </c>
      <c r="AI673">
        <f t="shared" si="80"/>
        <v>0</v>
      </c>
      <c r="AJ673">
        <f t="shared" si="81"/>
        <v>0</v>
      </c>
      <c r="AK673">
        <v>0</v>
      </c>
      <c r="AL673" t="str">
        <f>IF(AA673="","",IFERROR(IF(ISNUMBER('Procyclean MG'!D174),'Procyclean MG'!D174,IF(ISNUMBER(SEARCH("12",'Procyclean MG'!D174)),EDATE(AB673,12),IF(ISNUMBER(SEARCH("6",'Procyclean MG'!D174)),EDATE(AB673,6),IF(ISNUMBER(SEARCH("3",'Procyclean MG'!D174)),EDATE(AB673,3),DATEVALUE('Procyclean MG'!D174))))),""))</f>
        <v/>
      </c>
      <c r="AM673" t="str">
        <f t="shared" ca="1" si="82"/>
        <v/>
      </c>
    </row>
    <row r="674" spans="27:39" x14ac:dyDescent="0.3">
      <c r="AA674" t="str">
        <f>IF(COUNTA('Procyclean MG'!A175,'Procyclean MG'!B175,'Procyclean MG'!C175)&gt;0,"MG","")</f>
        <v/>
      </c>
      <c r="AB674" t="str">
        <f>IFERROR(IF(ISNUMBER('Procyclean MG'!A175),'Procyclean MG'!A175,DATEVALUE('Procyclean MG'!A175)),"")</f>
        <v/>
      </c>
      <c r="AC674" t="str">
        <f>IF(AA674="","",'Procyclean MG'!B175)</f>
        <v/>
      </c>
      <c r="AD674" t="str">
        <f>IF(AA674="","",IFERROR(1*'Procyclean MG'!C175,IFERROR(_xludf.NUMBERVALUE('Procyclean MG'!C175,".",","),IFERROR(_xludf.NUMBERVALUE('Procyclean MG'!C175,",","."),0))))</f>
        <v/>
      </c>
      <c r="AE674" t="str">
        <f>IF(AA674="","",'Procyclean MG'!I175)</f>
        <v/>
      </c>
      <c r="AF674">
        <f t="shared" si="77"/>
        <v>0</v>
      </c>
      <c r="AG674" t="str">
        <f t="shared" si="78"/>
        <v/>
      </c>
      <c r="AH674" t="str">
        <f t="shared" si="79"/>
        <v/>
      </c>
      <c r="AI674">
        <f t="shared" si="80"/>
        <v>0</v>
      </c>
      <c r="AJ674">
        <f t="shared" si="81"/>
        <v>0</v>
      </c>
      <c r="AK674">
        <v>0</v>
      </c>
      <c r="AL674" t="str">
        <f>IF(AA674="","",IFERROR(IF(ISNUMBER('Procyclean MG'!D175),'Procyclean MG'!D175,IF(ISNUMBER(SEARCH("12",'Procyclean MG'!D175)),EDATE(AB674,12),IF(ISNUMBER(SEARCH("6",'Procyclean MG'!D175)),EDATE(AB674,6),IF(ISNUMBER(SEARCH("3",'Procyclean MG'!D175)),EDATE(AB674,3),DATEVALUE('Procyclean MG'!D175))))),""))</f>
        <v/>
      </c>
      <c r="AM674" t="str">
        <f t="shared" ca="1" si="82"/>
        <v/>
      </c>
    </row>
    <row r="675" spans="27:39" x14ac:dyDescent="0.3">
      <c r="AA675" t="str">
        <f>IF(COUNTA('Procyclean MG'!A176,'Procyclean MG'!B176,'Procyclean MG'!C176)&gt;0,"MG","")</f>
        <v/>
      </c>
      <c r="AB675" t="str">
        <f>IFERROR(IF(ISNUMBER('Procyclean MG'!A176),'Procyclean MG'!A176,DATEVALUE('Procyclean MG'!A176)),"")</f>
        <v/>
      </c>
      <c r="AC675" t="str">
        <f>IF(AA675="","",'Procyclean MG'!B176)</f>
        <v/>
      </c>
      <c r="AD675" t="str">
        <f>IF(AA675="","",IFERROR(1*'Procyclean MG'!C176,IFERROR(_xludf.NUMBERVALUE('Procyclean MG'!C176,".",","),IFERROR(_xludf.NUMBERVALUE('Procyclean MG'!C176,",","."),0))))</f>
        <v/>
      </c>
      <c r="AE675" t="str">
        <f>IF(AA675="","",'Procyclean MG'!I176)</f>
        <v/>
      </c>
      <c r="AF675">
        <f t="shared" si="77"/>
        <v>0</v>
      </c>
      <c r="AG675" t="str">
        <f t="shared" si="78"/>
        <v/>
      </c>
      <c r="AH675" t="str">
        <f t="shared" si="79"/>
        <v/>
      </c>
      <c r="AI675">
        <f t="shared" si="80"/>
        <v>0</v>
      </c>
      <c r="AJ675">
        <f t="shared" si="81"/>
        <v>0</v>
      </c>
      <c r="AK675">
        <v>0</v>
      </c>
      <c r="AL675" t="str">
        <f>IF(AA675="","",IFERROR(IF(ISNUMBER('Procyclean MG'!D176),'Procyclean MG'!D176,IF(ISNUMBER(SEARCH("12",'Procyclean MG'!D176)),EDATE(AB675,12),IF(ISNUMBER(SEARCH("6",'Procyclean MG'!D176)),EDATE(AB675,6),IF(ISNUMBER(SEARCH("3",'Procyclean MG'!D176)),EDATE(AB675,3),DATEVALUE('Procyclean MG'!D176))))),""))</f>
        <v/>
      </c>
      <c r="AM675" t="str">
        <f t="shared" ca="1" si="82"/>
        <v/>
      </c>
    </row>
    <row r="676" spans="27:39" x14ac:dyDescent="0.3">
      <c r="AA676" t="str">
        <f>IF(COUNTA('Procyclean MG'!A177,'Procyclean MG'!B177,'Procyclean MG'!C177)&gt;0,"MG","")</f>
        <v/>
      </c>
      <c r="AB676" t="str">
        <f>IFERROR(IF(ISNUMBER('Procyclean MG'!A177),'Procyclean MG'!A177,DATEVALUE('Procyclean MG'!A177)),"")</f>
        <v/>
      </c>
      <c r="AC676" t="str">
        <f>IF(AA676="","",'Procyclean MG'!B177)</f>
        <v/>
      </c>
      <c r="AD676" t="str">
        <f>IF(AA676="","",IFERROR(1*'Procyclean MG'!C177,IFERROR(_xludf.NUMBERVALUE('Procyclean MG'!C177,".",","),IFERROR(_xludf.NUMBERVALUE('Procyclean MG'!C177,",","."),0))))</f>
        <v/>
      </c>
      <c r="AE676" t="str">
        <f>IF(AA676="","",'Procyclean MG'!I177)</f>
        <v/>
      </c>
      <c r="AF676">
        <f t="shared" si="77"/>
        <v>0</v>
      </c>
      <c r="AG676" t="str">
        <f t="shared" si="78"/>
        <v/>
      </c>
      <c r="AH676" t="str">
        <f t="shared" si="79"/>
        <v/>
      </c>
      <c r="AI676">
        <f t="shared" si="80"/>
        <v>0</v>
      </c>
      <c r="AJ676">
        <f t="shared" si="81"/>
        <v>0</v>
      </c>
      <c r="AK676">
        <v>0</v>
      </c>
      <c r="AL676" t="str">
        <f>IF(AA676="","",IFERROR(IF(ISNUMBER('Procyclean MG'!D177),'Procyclean MG'!D177,IF(ISNUMBER(SEARCH("12",'Procyclean MG'!D177)),EDATE(AB676,12),IF(ISNUMBER(SEARCH("6",'Procyclean MG'!D177)),EDATE(AB676,6),IF(ISNUMBER(SEARCH("3",'Procyclean MG'!D177)),EDATE(AB676,3),DATEVALUE('Procyclean MG'!D177))))),""))</f>
        <v/>
      </c>
      <c r="AM676" t="str">
        <f t="shared" ca="1" si="82"/>
        <v/>
      </c>
    </row>
    <row r="677" spans="27:39" x14ac:dyDescent="0.3">
      <c r="AA677" t="str">
        <f>IF(COUNTA('Procyclean MG'!A178,'Procyclean MG'!B178,'Procyclean MG'!C178)&gt;0,"MG","")</f>
        <v/>
      </c>
      <c r="AB677" t="str">
        <f>IFERROR(IF(ISNUMBER('Procyclean MG'!A178),'Procyclean MG'!A178,DATEVALUE('Procyclean MG'!A178)),"")</f>
        <v/>
      </c>
      <c r="AC677" t="str">
        <f>IF(AA677="","",'Procyclean MG'!B178)</f>
        <v/>
      </c>
      <c r="AD677" t="str">
        <f>IF(AA677="","",IFERROR(1*'Procyclean MG'!C178,IFERROR(_xludf.NUMBERVALUE('Procyclean MG'!C178,".",","),IFERROR(_xludf.NUMBERVALUE('Procyclean MG'!C178,",","."),0))))</f>
        <v/>
      </c>
      <c r="AE677" t="str">
        <f>IF(AA677="","",'Procyclean MG'!I178)</f>
        <v/>
      </c>
      <c r="AF677">
        <f t="shared" si="77"/>
        <v>0</v>
      </c>
      <c r="AG677" t="str">
        <f t="shared" si="78"/>
        <v/>
      </c>
      <c r="AH677" t="str">
        <f t="shared" si="79"/>
        <v/>
      </c>
      <c r="AI677">
        <f t="shared" si="80"/>
        <v>0</v>
      </c>
      <c r="AJ677">
        <f t="shared" si="81"/>
        <v>0</v>
      </c>
      <c r="AK677">
        <v>0</v>
      </c>
      <c r="AL677" t="str">
        <f>IF(AA677="","",IFERROR(IF(ISNUMBER('Procyclean MG'!D178),'Procyclean MG'!D178,IF(ISNUMBER(SEARCH("12",'Procyclean MG'!D178)),EDATE(AB677,12),IF(ISNUMBER(SEARCH("6",'Procyclean MG'!D178)),EDATE(AB677,6),IF(ISNUMBER(SEARCH("3",'Procyclean MG'!D178)),EDATE(AB677,3),DATEVALUE('Procyclean MG'!D178))))),""))</f>
        <v/>
      </c>
      <c r="AM677" t="str">
        <f t="shared" ca="1" si="82"/>
        <v/>
      </c>
    </row>
    <row r="678" spans="27:39" x14ac:dyDescent="0.3">
      <c r="AA678" t="str">
        <f>IF(COUNTA('Procyclean MG'!A179,'Procyclean MG'!B179,'Procyclean MG'!C179)&gt;0,"MG","")</f>
        <v/>
      </c>
      <c r="AB678" t="str">
        <f>IFERROR(IF(ISNUMBER('Procyclean MG'!A179),'Procyclean MG'!A179,DATEVALUE('Procyclean MG'!A179)),"")</f>
        <v/>
      </c>
      <c r="AC678" t="str">
        <f>IF(AA678="","",'Procyclean MG'!B179)</f>
        <v/>
      </c>
      <c r="AD678" t="str">
        <f>IF(AA678="","",IFERROR(1*'Procyclean MG'!C179,IFERROR(_xludf.NUMBERVALUE('Procyclean MG'!C179,".",","),IFERROR(_xludf.NUMBERVALUE('Procyclean MG'!C179,",","."),0))))</f>
        <v/>
      </c>
      <c r="AE678" t="str">
        <f>IF(AA678="","",'Procyclean MG'!I179)</f>
        <v/>
      </c>
      <c r="AF678">
        <f t="shared" si="77"/>
        <v>0</v>
      </c>
      <c r="AG678" t="str">
        <f t="shared" si="78"/>
        <v/>
      </c>
      <c r="AH678" t="str">
        <f t="shared" si="79"/>
        <v/>
      </c>
      <c r="AI678">
        <f t="shared" si="80"/>
        <v>0</v>
      </c>
      <c r="AJ678">
        <f t="shared" si="81"/>
        <v>0</v>
      </c>
      <c r="AK678">
        <v>0</v>
      </c>
      <c r="AL678" t="str">
        <f>IF(AA678="","",IFERROR(IF(ISNUMBER('Procyclean MG'!D179),'Procyclean MG'!D179,IF(ISNUMBER(SEARCH("12",'Procyclean MG'!D179)),EDATE(AB678,12),IF(ISNUMBER(SEARCH("6",'Procyclean MG'!D179)),EDATE(AB678,6),IF(ISNUMBER(SEARCH("3",'Procyclean MG'!D179)),EDATE(AB678,3),DATEVALUE('Procyclean MG'!D179))))),""))</f>
        <v/>
      </c>
      <c r="AM678" t="str">
        <f t="shared" ca="1" si="82"/>
        <v/>
      </c>
    </row>
    <row r="679" spans="27:39" x14ac:dyDescent="0.3">
      <c r="AA679" t="str">
        <f>IF(COUNTA('Procyclean MG'!A180,'Procyclean MG'!B180,'Procyclean MG'!C180)&gt;0,"MG","")</f>
        <v/>
      </c>
      <c r="AB679" t="str">
        <f>IFERROR(IF(ISNUMBER('Procyclean MG'!A180),'Procyclean MG'!A180,DATEVALUE('Procyclean MG'!A180)),"")</f>
        <v/>
      </c>
      <c r="AC679" t="str">
        <f>IF(AA679="","",'Procyclean MG'!B180)</f>
        <v/>
      </c>
      <c r="AD679" t="str">
        <f>IF(AA679="","",IFERROR(1*'Procyclean MG'!C180,IFERROR(_xludf.NUMBERVALUE('Procyclean MG'!C180,".",","),IFERROR(_xludf.NUMBERVALUE('Procyclean MG'!C180,",","."),0))))</f>
        <v/>
      </c>
      <c r="AE679" t="str">
        <f>IF(AA679="","",'Procyclean MG'!I180)</f>
        <v/>
      </c>
      <c r="AF679">
        <f t="shared" si="77"/>
        <v>0</v>
      </c>
      <c r="AG679" t="str">
        <f t="shared" si="78"/>
        <v/>
      </c>
      <c r="AH679" t="str">
        <f t="shared" si="79"/>
        <v/>
      </c>
      <c r="AI679">
        <f t="shared" si="80"/>
        <v>0</v>
      </c>
      <c r="AJ679">
        <f t="shared" si="81"/>
        <v>0</v>
      </c>
      <c r="AK679">
        <v>0</v>
      </c>
      <c r="AL679" t="str">
        <f>IF(AA679="","",IFERROR(IF(ISNUMBER('Procyclean MG'!D180),'Procyclean MG'!D180,IF(ISNUMBER(SEARCH("12",'Procyclean MG'!D180)),EDATE(AB679,12),IF(ISNUMBER(SEARCH("6",'Procyclean MG'!D180)),EDATE(AB679,6),IF(ISNUMBER(SEARCH("3",'Procyclean MG'!D180)),EDATE(AB679,3),DATEVALUE('Procyclean MG'!D180))))),""))</f>
        <v/>
      </c>
      <c r="AM679" t="str">
        <f t="shared" ca="1" si="82"/>
        <v/>
      </c>
    </row>
    <row r="680" spans="27:39" x14ac:dyDescent="0.3">
      <c r="AA680" t="str">
        <f>IF(COUNTA('Procyclean MG'!A181,'Procyclean MG'!B181,'Procyclean MG'!C181)&gt;0,"MG","")</f>
        <v/>
      </c>
      <c r="AB680" t="str">
        <f>IFERROR(IF(ISNUMBER('Procyclean MG'!A181),'Procyclean MG'!A181,DATEVALUE('Procyclean MG'!A181)),"")</f>
        <v/>
      </c>
      <c r="AC680" t="str">
        <f>IF(AA680="","",'Procyclean MG'!B181)</f>
        <v/>
      </c>
      <c r="AD680" t="str">
        <f>IF(AA680="","",IFERROR(1*'Procyclean MG'!C181,IFERROR(_xludf.NUMBERVALUE('Procyclean MG'!C181,".",","),IFERROR(_xludf.NUMBERVALUE('Procyclean MG'!C181,",","."),0))))</f>
        <v/>
      </c>
      <c r="AE680" t="str">
        <f>IF(AA680="","",'Procyclean MG'!I181)</f>
        <v/>
      </c>
      <c r="AF680">
        <f t="shared" si="77"/>
        <v>0</v>
      </c>
      <c r="AG680" t="str">
        <f t="shared" si="78"/>
        <v/>
      </c>
      <c r="AH680" t="str">
        <f t="shared" si="79"/>
        <v/>
      </c>
      <c r="AI680">
        <f t="shared" si="80"/>
        <v>0</v>
      </c>
      <c r="AJ680">
        <f t="shared" si="81"/>
        <v>0</v>
      </c>
      <c r="AK680">
        <v>0</v>
      </c>
      <c r="AL680" t="str">
        <f>IF(AA680="","",IFERROR(IF(ISNUMBER('Procyclean MG'!D181),'Procyclean MG'!D181,IF(ISNUMBER(SEARCH("12",'Procyclean MG'!D181)),EDATE(AB680,12),IF(ISNUMBER(SEARCH("6",'Procyclean MG'!D181)),EDATE(AB680,6),IF(ISNUMBER(SEARCH("3",'Procyclean MG'!D181)),EDATE(AB680,3),DATEVALUE('Procyclean MG'!D181))))),""))</f>
        <v/>
      </c>
      <c r="AM680" t="str">
        <f t="shared" ca="1" si="82"/>
        <v/>
      </c>
    </row>
    <row r="681" spans="27:39" x14ac:dyDescent="0.3">
      <c r="AA681" t="str">
        <f>IF(COUNTA('Procyclean MG'!A182,'Procyclean MG'!B182,'Procyclean MG'!C182)&gt;0,"MG","")</f>
        <v/>
      </c>
      <c r="AB681" t="str">
        <f>IFERROR(IF(ISNUMBER('Procyclean MG'!A182),'Procyclean MG'!A182,DATEVALUE('Procyclean MG'!A182)),"")</f>
        <v/>
      </c>
      <c r="AC681" t="str">
        <f>IF(AA681="","",'Procyclean MG'!B182)</f>
        <v/>
      </c>
      <c r="AD681" t="str">
        <f>IF(AA681="","",IFERROR(1*'Procyclean MG'!C182,IFERROR(_xludf.NUMBERVALUE('Procyclean MG'!C182,".",","),IFERROR(_xludf.NUMBERVALUE('Procyclean MG'!C182,",","."),0))))</f>
        <v/>
      </c>
      <c r="AE681" t="str">
        <f>IF(AA681="","",'Procyclean MG'!I182)</f>
        <v/>
      </c>
      <c r="AF681">
        <f t="shared" si="77"/>
        <v>0</v>
      </c>
      <c r="AG681" t="str">
        <f t="shared" si="78"/>
        <v/>
      </c>
      <c r="AH681" t="str">
        <f t="shared" si="79"/>
        <v/>
      </c>
      <c r="AI681">
        <f t="shared" si="80"/>
        <v>0</v>
      </c>
      <c r="AJ681">
        <f t="shared" si="81"/>
        <v>0</v>
      </c>
      <c r="AK681">
        <v>0</v>
      </c>
      <c r="AL681" t="str">
        <f>IF(AA681="","",IFERROR(IF(ISNUMBER('Procyclean MG'!D182),'Procyclean MG'!D182,IF(ISNUMBER(SEARCH("12",'Procyclean MG'!D182)),EDATE(AB681,12),IF(ISNUMBER(SEARCH("6",'Procyclean MG'!D182)),EDATE(AB681,6),IF(ISNUMBER(SEARCH("3",'Procyclean MG'!D182)),EDATE(AB681,3),DATEVALUE('Procyclean MG'!D182))))),""))</f>
        <v/>
      </c>
      <c r="AM681" t="str">
        <f t="shared" ca="1" si="82"/>
        <v/>
      </c>
    </row>
    <row r="682" spans="27:39" x14ac:dyDescent="0.3">
      <c r="AA682" t="str">
        <f>IF(COUNTA('Procyclean MG'!A183,'Procyclean MG'!B183,'Procyclean MG'!C183)&gt;0,"MG","")</f>
        <v/>
      </c>
      <c r="AB682" t="str">
        <f>IFERROR(IF(ISNUMBER('Procyclean MG'!A183),'Procyclean MG'!A183,DATEVALUE('Procyclean MG'!A183)),"")</f>
        <v/>
      </c>
      <c r="AC682" t="str">
        <f>IF(AA682="","",'Procyclean MG'!B183)</f>
        <v/>
      </c>
      <c r="AD682" t="str">
        <f>IF(AA682="","",IFERROR(1*'Procyclean MG'!C183,IFERROR(_xludf.NUMBERVALUE('Procyclean MG'!C183,".",","),IFERROR(_xludf.NUMBERVALUE('Procyclean MG'!C183,",","."),0))))</f>
        <v/>
      </c>
      <c r="AE682" t="str">
        <f>IF(AA682="","",'Procyclean MG'!I183)</f>
        <v/>
      </c>
      <c r="AF682">
        <f t="shared" si="77"/>
        <v>0</v>
      </c>
      <c r="AG682" t="str">
        <f t="shared" si="78"/>
        <v/>
      </c>
      <c r="AH682" t="str">
        <f t="shared" si="79"/>
        <v/>
      </c>
      <c r="AI682">
        <f t="shared" si="80"/>
        <v>0</v>
      </c>
      <c r="AJ682">
        <f t="shared" si="81"/>
        <v>0</v>
      </c>
      <c r="AK682">
        <v>0</v>
      </c>
      <c r="AL682" t="str">
        <f>IF(AA682="","",IFERROR(IF(ISNUMBER('Procyclean MG'!D183),'Procyclean MG'!D183,IF(ISNUMBER(SEARCH("12",'Procyclean MG'!D183)),EDATE(AB682,12),IF(ISNUMBER(SEARCH("6",'Procyclean MG'!D183)),EDATE(AB682,6),IF(ISNUMBER(SEARCH("3",'Procyclean MG'!D183)),EDATE(AB682,3),DATEVALUE('Procyclean MG'!D183))))),""))</f>
        <v/>
      </c>
      <c r="AM682" t="str">
        <f t="shared" ca="1" si="82"/>
        <v/>
      </c>
    </row>
    <row r="683" spans="27:39" x14ac:dyDescent="0.3">
      <c r="AA683" t="str">
        <f>IF(COUNTA('Procyclean MG'!A184,'Procyclean MG'!B184,'Procyclean MG'!C184)&gt;0,"MG","")</f>
        <v/>
      </c>
      <c r="AB683" t="str">
        <f>IFERROR(IF(ISNUMBER('Procyclean MG'!A184),'Procyclean MG'!A184,DATEVALUE('Procyclean MG'!A184)),"")</f>
        <v/>
      </c>
      <c r="AC683" t="str">
        <f>IF(AA683="","",'Procyclean MG'!B184)</f>
        <v/>
      </c>
      <c r="AD683" t="str">
        <f>IF(AA683="","",IFERROR(1*'Procyclean MG'!C184,IFERROR(_xludf.NUMBERVALUE('Procyclean MG'!C184,".",","),IFERROR(_xludf.NUMBERVALUE('Procyclean MG'!C184,",","."),0))))</f>
        <v/>
      </c>
      <c r="AE683" t="str">
        <f>IF(AA683="","",'Procyclean MG'!I184)</f>
        <v/>
      </c>
      <c r="AF683">
        <f t="shared" si="77"/>
        <v>0</v>
      </c>
      <c r="AG683" t="str">
        <f t="shared" si="78"/>
        <v/>
      </c>
      <c r="AH683" t="str">
        <f t="shared" si="79"/>
        <v/>
      </c>
      <c r="AI683">
        <f t="shared" si="80"/>
        <v>0</v>
      </c>
      <c r="AJ683">
        <f t="shared" si="81"/>
        <v>0</v>
      </c>
      <c r="AK683">
        <v>0</v>
      </c>
      <c r="AL683" t="str">
        <f>IF(AA683="","",IFERROR(IF(ISNUMBER('Procyclean MG'!D184),'Procyclean MG'!D184,IF(ISNUMBER(SEARCH("12",'Procyclean MG'!D184)),EDATE(AB683,12),IF(ISNUMBER(SEARCH("6",'Procyclean MG'!D184)),EDATE(AB683,6),IF(ISNUMBER(SEARCH("3",'Procyclean MG'!D184)),EDATE(AB683,3),DATEVALUE('Procyclean MG'!D184))))),""))</f>
        <v/>
      </c>
      <c r="AM683" t="str">
        <f t="shared" ca="1" si="82"/>
        <v/>
      </c>
    </row>
    <row r="684" spans="27:39" x14ac:dyDescent="0.3">
      <c r="AA684" t="str">
        <f>IF(COUNTA('Procyclean MG'!A185,'Procyclean MG'!B185,'Procyclean MG'!C185)&gt;0,"MG","")</f>
        <v/>
      </c>
      <c r="AB684" t="str">
        <f>IFERROR(IF(ISNUMBER('Procyclean MG'!A185),'Procyclean MG'!A185,DATEVALUE('Procyclean MG'!A185)),"")</f>
        <v/>
      </c>
      <c r="AC684" t="str">
        <f>IF(AA684="","",'Procyclean MG'!B185)</f>
        <v/>
      </c>
      <c r="AD684" t="str">
        <f>IF(AA684="","",IFERROR(1*'Procyclean MG'!C185,IFERROR(_xludf.NUMBERVALUE('Procyclean MG'!C185,".",","),IFERROR(_xludf.NUMBERVALUE('Procyclean MG'!C185,",","."),0))))</f>
        <v/>
      </c>
      <c r="AE684" t="str">
        <f>IF(AA684="","",'Procyclean MG'!I185)</f>
        <v/>
      </c>
      <c r="AF684">
        <f t="shared" si="77"/>
        <v>0</v>
      </c>
      <c r="AG684" t="str">
        <f t="shared" si="78"/>
        <v/>
      </c>
      <c r="AH684" t="str">
        <f t="shared" si="79"/>
        <v/>
      </c>
      <c r="AI684">
        <f t="shared" si="80"/>
        <v>0</v>
      </c>
      <c r="AJ684">
        <f t="shared" si="81"/>
        <v>0</v>
      </c>
      <c r="AK684">
        <v>0</v>
      </c>
      <c r="AL684" t="str">
        <f>IF(AA684="","",IFERROR(IF(ISNUMBER('Procyclean MG'!D185),'Procyclean MG'!D185,IF(ISNUMBER(SEARCH("12",'Procyclean MG'!D185)),EDATE(AB684,12),IF(ISNUMBER(SEARCH("6",'Procyclean MG'!D185)),EDATE(AB684,6),IF(ISNUMBER(SEARCH("3",'Procyclean MG'!D185)),EDATE(AB684,3),DATEVALUE('Procyclean MG'!D185))))),""))</f>
        <v/>
      </c>
      <c r="AM684" t="str">
        <f t="shared" ca="1" si="82"/>
        <v/>
      </c>
    </row>
    <row r="685" spans="27:39" x14ac:dyDescent="0.3">
      <c r="AA685" t="str">
        <f>IF(COUNTA('Procyclean MG'!A186,'Procyclean MG'!B186,'Procyclean MG'!C186)&gt;0,"MG","")</f>
        <v/>
      </c>
      <c r="AB685" t="str">
        <f>IFERROR(IF(ISNUMBER('Procyclean MG'!A186),'Procyclean MG'!A186,DATEVALUE('Procyclean MG'!A186)),"")</f>
        <v/>
      </c>
      <c r="AC685" t="str">
        <f>IF(AA685="","",'Procyclean MG'!B186)</f>
        <v/>
      </c>
      <c r="AD685" t="str">
        <f>IF(AA685="","",IFERROR(1*'Procyclean MG'!C186,IFERROR(_xludf.NUMBERVALUE('Procyclean MG'!C186,".",","),IFERROR(_xludf.NUMBERVALUE('Procyclean MG'!C186,",","."),0))))</f>
        <v/>
      </c>
      <c r="AE685" t="str">
        <f>IF(AA685="","",'Procyclean MG'!I186)</f>
        <v/>
      </c>
      <c r="AF685">
        <f t="shared" si="77"/>
        <v>0</v>
      </c>
      <c r="AG685" t="str">
        <f t="shared" si="78"/>
        <v/>
      </c>
      <c r="AH685" t="str">
        <f t="shared" si="79"/>
        <v/>
      </c>
      <c r="AI685">
        <f t="shared" si="80"/>
        <v>0</v>
      </c>
      <c r="AJ685">
        <f t="shared" si="81"/>
        <v>0</v>
      </c>
      <c r="AK685">
        <v>0</v>
      </c>
      <c r="AL685" t="str">
        <f>IF(AA685="","",IFERROR(IF(ISNUMBER('Procyclean MG'!D186),'Procyclean MG'!D186,IF(ISNUMBER(SEARCH("12",'Procyclean MG'!D186)),EDATE(AB685,12),IF(ISNUMBER(SEARCH("6",'Procyclean MG'!D186)),EDATE(AB685,6),IF(ISNUMBER(SEARCH("3",'Procyclean MG'!D186)),EDATE(AB685,3),DATEVALUE('Procyclean MG'!D186))))),""))</f>
        <v/>
      </c>
      <c r="AM685" t="str">
        <f t="shared" ca="1" si="82"/>
        <v/>
      </c>
    </row>
    <row r="686" spans="27:39" x14ac:dyDescent="0.3">
      <c r="AA686" t="str">
        <f>IF(COUNTA('Procyclean MG'!A187,'Procyclean MG'!B187,'Procyclean MG'!C187)&gt;0,"MG","")</f>
        <v/>
      </c>
      <c r="AB686" t="str">
        <f>IFERROR(IF(ISNUMBER('Procyclean MG'!A187),'Procyclean MG'!A187,DATEVALUE('Procyclean MG'!A187)),"")</f>
        <v/>
      </c>
      <c r="AC686" t="str">
        <f>IF(AA686="","",'Procyclean MG'!B187)</f>
        <v/>
      </c>
      <c r="AD686" t="str">
        <f>IF(AA686="","",IFERROR(1*'Procyclean MG'!C187,IFERROR(_xludf.NUMBERVALUE('Procyclean MG'!C187,".",","),IFERROR(_xludf.NUMBERVALUE('Procyclean MG'!C187,",","."),0))))</f>
        <v/>
      </c>
      <c r="AE686" t="str">
        <f>IF(AA686="","",'Procyclean MG'!I187)</f>
        <v/>
      </c>
      <c r="AF686">
        <f t="shared" si="77"/>
        <v>0</v>
      </c>
      <c r="AG686" t="str">
        <f t="shared" si="78"/>
        <v/>
      </c>
      <c r="AH686" t="str">
        <f t="shared" si="79"/>
        <v/>
      </c>
      <c r="AI686">
        <f t="shared" si="80"/>
        <v>0</v>
      </c>
      <c r="AJ686">
        <f t="shared" si="81"/>
        <v>0</v>
      </c>
      <c r="AK686">
        <v>0</v>
      </c>
      <c r="AL686" t="str">
        <f>IF(AA686="","",IFERROR(IF(ISNUMBER('Procyclean MG'!D187),'Procyclean MG'!D187,IF(ISNUMBER(SEARCH("12",'Procyclean MG'!D187)),EDATE(AB686,12),IF(ISNUMBER(SEARCH("6",'Procyclean MG'!D187)),EDATE(AB686,6),IF(ISNUMBER(SEARCH("3",'Procyclean MG'!D187)),EDATE(AB686,3),DATEVALUE('Procyclean MG'!D187))))),""))</f>
        <v/>
      </c>
      <c r="AM686" t="str">
        <f t="shared" ca="1" si="82"/>
        <v/>
      </c>
    </row>
    <row r="687" spans="27:39" x14ac:dyDescent="0.3">
      <c r="AA687" t="str">
        <f>IF(COUNTA('Procyclean MG'!A188,'Procyclean MG'!B188,'Procyclean MG'!C188)&gt;0,"MG","")</f>
        <v/>
      </c>
      <c r="AB687" t="str">
        <f>IFERROR(IF(ISNUMBER('Procyclean MG'!A188),'Procyclean MG'!A188,DATEVALUE('Procyclean MG'!A188)),"")</f>
        <v/>
      </c>
      <c r="AC687" t="str">
        <f>IF(AA687="","",'Procyclean MG'!B188)</f>
        <v/>
      </c>
      <c r="AD687" t="str">
        <f>IF(AA687="","",IFERROR(1*'Procyclean MG'!C188,IFERROR(_xludf.NUMBERVALUE('Procyclean MG'!C188,".",","),IFERROR(_xludf.NUMBERVALUE('Procyclean MG'!C188,",","."),0))))</f>
        <v/>
      </c>
      <c r="AE687" t="str">
        <f>IF(AA687="","",'Procyclean MG'!I188)</f>
        <v/>
      </c>
      <c r="AF687">
        <f t="shared" si="77"/>
        <v>0</v>
      </c>
      <c r="AG687" t="str">
        <f t="shared" si="78"/>
        <v/>
      </c>
      <c r="AH687" t="str">
        <f t="shared" si="79"/>
        <v/>
      </c>
      <c r="AI687">
        <f t="shared" si="80"/>
        <v>0</v>
      </c>
      <c r="AJ687">
        <f t="shared" si="81"/>
        <v>0</v>
      </c>
      <c r="AK687">
        <v>0</v>
      </c>
      <c r="AL687" t="str">
        <f>IF(AA687="","",IFERROR(IF(ISNUMBER('Procyclean MG'!D188),'Procyclean MG'!D188,IF(ISNUMBER(SEARCH("12",'Procyclean MG'!D188)),EDATE(AB687,12),IF(ISNUMBER(SEARCH("6",'Procyclean MG'!D188)),EDATE(AB687,6),IF(ISNUMBER(SEARCH("3",'Procyclean MG'!D188)),EDATE(AB687,3),DATEVALUE('Procyclean MG'!D188))))),""))</f>
        <v/>
      </c>
      <c r="AM687" t="str">
        <f t="shared" ca="1" si="82"/>
        <v/>
      </c>
    </row>
    <row r="688" spans="27:39" x14ac:dyDescent="0.3">
      <c r="AA688" t="str">
        <f>IF(COUNTA('Procyclean MG'!A189,'Procyclean MG'!B189,'Procyclean MG'!C189)&gt;0,"MG","")</f>
        <v/>
      </c>
      <c r="AB688" t="str">
        <f>IFERROR(IF(ISNUMBER('Procyclean MG'!A189),'Procyclean MG'!A189,DATEVALUE('Procyclean MG'!A189)),"")</f>
        <v/>
      </c>
      <c r="AC688" t="str">
        <f>IF(AA688="","",'Procyclean MG'!B189)</f>
        <v/>
      </c>
      <c r="AD688" t="str">
        <f>IF(AA688="","",IFERROR(1*'Procyclean MG'!C189,IFERROR(_xludf.NUMBERVALUE('Procyclean MG'!C189,".",","),IFERROR(_xludf.NUMBERVALUE('Procyclean MG'!C189,",","."),0))))</f>
        <v/>
      </c>
      <c r="AE688" t="str">
        <f>IF(AA688="","",'Procyclean MG'!I189)</f>
        <v/>
      </c>
      <c r="AF688">
        <f t="shared" si="77"/>
        <v>0</v>
      </c>
      <c r="AG688" t="str">
        <f t="shared" si="78"/>
        <v/>
      </c>
      <c r="AH688" t="str">
        <f t="shared" si="79"/>
        <v/>
      </c>
      <c r="AI688">
        <f t="shared" si="80"/>
        <v>0</v>
      </c>
      <c r="AJ688">
        <f t="shared" si="81"/>
        <v>0</v>
      </c>
      <c r="AK688">
        <v>0</v>
      </c>
      <c r="AL688" t="str">
        <f>IF(AA688="","",IFERROR(IF(ISNUMBER('Procyclean MG'!D189),'Procyclean MG'!D189,IF(ISNUMBER(SEARCH("12",'Procyclean MG'!D189)),EDATE(AB688,12),IF(ISNUMBER(SEARCH("6",'Procyclean MG'!D189)),EDATE(AB688,6),IF(ISNUMBER(SEARCH("3",'Procyclean MG'!D189)),EDATE(AB688,3),DATEVALUE('Procyclean MG'!D189))))),""))</f>
        <v/>
      </c>
      <c r="AM688" t="str">
        <f t="shared" ca="1" si="82"/>
        <v/>
      </c>
    </row>
    <row r="689" spans="27:39" x14ac:dyDescent="0.3">
      <c r="AA689" t="str">
        <f>IF(COUNTA('Procyclean MG'!A190,'Procyclean MG'!B190,'Procyclean MG'!C190)&gt;0,"MG","")</f>
        <v/>
      </c>
      <c r="AB689" t="str">
        <f>IFERROR(IF(ISNUMBER('Procyclean MG'!A190),'Procyclean MG'!A190,DATEVALUE('Procyclean MG'!A190)),"")</f>
        <v/>
      </c>
      <c r="AC689" t="str">
        <f>IF(AA689="","",'Procyclean MG'!B190)</f>
        <v/>
      </c>
      <c r="AD689" t="str">
        <f>IF(AA689="","",IFERROR(1*'Procyclean MG'!C190,IFERROR(_xludf.NUMBERVALUE('Procyclean MG'!C190,".",","),IFERROR(_xludf.NUMBERVALUE('Procyclean MG'!C190,",","."),0))))</f>
        <v/>
      </c>
      <c r="AE689" t="str">
        <f>IF(AA689="","",'Procyclean MG'!I190)</f>
        <v/>
      </c>
      <c r="AF689">
        <f t="shared" si="77"/>
        <v>0</v>
      </c>
      <c r="AG689" t="str">
        <f t="shared" si="78"/>
        <v/>
      </c>
      <c r="AH689" t="str">
        <f t="shared" si="79"/>
        <v/>
      </c>
      <c r="AI689">
        <f t="shared" si="80"/>
        <v>0</v>
      </c>
      <c r="AJ689">
        <f t="shared" si="81"/>
        <v>0</v>
      </c>
      <c r="AK689">
        <v>0</v>
      </c>
      <c r="AL689" t="str">
        <f>IF(AA689="","",IFERROR(IF(ISNUMBER('Procyclean MG'!D190),'Procyclean MG'!D190,IF(ISNUMBER(SEARCH("12",'Procyclean MG'!D190)),EDATE(AB689,12),IF(ISNUMBER(SEARCH("6",'Procyclean MG'!D190)),EDATE(AB689,6),IF(ISNUMBER(SEARCH("3",'Procyclean MG'!D190)),EDATE(AB689,3),DATEVALUE('Procyclean MG'!D190))))),""))</f>
        <v/>
      </c>
      <c r="AM689" t="str">
        <f t="shared" ca="1" si="82"/>
        <v/>
      </c>
    </row>
    <row r="690" spans="27:39" x14ac:dyDescent="0.3">
      <c r="AA690" t="str">
        <f>IF(COUNTA('Procyclean MG'!A191,'Procyclean MG'!B191,'Procyclean MG'!C191)&gt;0,"MG","")</f>
        <v/>
      </c>
      <c r="AB690" t="str">
        <f>IFERROR(IF(ISNUMBER('Procyclean MG'!A191),'Procyclean MG'!A191,DATEVALUE('Procyclean MG'!A191)),"")</f>
        <v/>
      </c>
      <c r="AC690" t="str">
        <f>IF(AA690="","",'Procyclean MG'!B191)</f>
        <v/>
      </c>
      <c r="AD690" t="str">
        <f>IF(AA690="","",IFERROR(1*'Procyclean MG'!C191,IFERROR(_xludf.NUMBERVALUE('Procyclean MG'!C191,".",","),IFERROR(_xludf.NUMBERVALUE('Procyclean MG'!C191,",","."),0))))</f>
        <v/>
      </c>
      <c r="AE690" t="str">
        <f>IF(AA690="","",'Procyclean MG'!I191)</f>
        <v/>
      </c>
      <c r="AF690">
        <f t="shared" si="77"/>
        <v>0</v>
      </c>
      <c r="AG690" t="str">
        <f t="shared" si="78"/>
        <v/>
      </c>
      <c r="AH690" t="str">
        <f t="shared" si="79"/>
        <v/>
      </c>
      <c r="AI690">
        <f t="shared" si="80"/>
        <v>0</v>
      </c>
      <c r="AJ690">
        <f t="shared" si="81"/>
        <v>0</v>
      </c>
      <c r="AK690">
        <v>0</v>
      </c>
      <c r="AL690" t="str">
        <f>IF(AA690="","",IFERROR(IF(ISNUMBER('Procyclean MG'!D191),'Procyclean MG'!D191,IF(ISNUMBER(SEARCH("12",'Procyclean MG'!D191)),EDATE(AB690,12),IF(ISNUMBER(SEARCH("6",'Procyclean MG'!D191)),EDATE(AB690,6),IF(ISNUMBER(SEARCH("3",'Procyclean MG'!D191)),EDATE(AB690,3),DATEVALUE('Procyclean MG'!D191))))),""))</f>
        <v/>
      </c>
      <c r="AM690" t="str">
        <f t="shared" ca="1" si="82"/>
        <v/>
      </c>
    </row>
    <row r="691" spans="27:39" x14ac:dyDescent="0.3">
      <c r="AA691" t="str">
        <f>IF(COUNTA('Procyclean MG'!A192,'Procyclean MG'!B192,'Procyclean MG'!C192)&gt;0,"MG","")</f>
        <v/>
      </c>
      <c r="AB691" t="str">
        <f>IFERROR(IF(ISNUMBER('Procyclean MG'!A192),'Procyclean MG'!A192,DATEVALUE('Procyclean MG'!A192)),"")</f>
        <v/>
      </c>
      <c r="AC691" t="str">
        <f>IF(AA691="","",'Procyclean MG'!B192)</f>
        <v/>
      </c>
      <c r="AD691" t="str">
        <f>IF(AA691="","",IFERROR(1*'Procyclean MG'!C192,IFERROR(_xludf.NUMBERVALUE('Procyclean MG'!C192,".",","),IFERROR(_xludf.NUMBERVALUE('Procyclean MG'!C192,",","."),0))))</f>
        <v/>
      </c>
      <c r="AE691" t="str">
        <f>IF(AA691="","",'Procyclean MG'!I192)</f>
        <v/>
      </c>
      <c r="AF691">
        <f t="shared" si="77"/>
        <v>0</v>
      </c>
      <c r="AG691" t="str">
        <f t="shared" si="78"/>
        <v/>
      </c>
      <c r="AH691" t="str">
        <f t="shared" si="79"/>
        <v/>
      </c>
      <c r="AI691">
        <f t="shared" si="80"/>
        <v>0</v>
      </c>
      <c r="AJ691">
        <f t="shared" si="81"/>
        <v>0</v>
      </c>
      <c r="AK691">
        <v>0</v>
      </c>
      <c r="AL691" t="str">
        <f>IF(AA691="","",IFERROR(IF(ISNUMBER('Procyclean MG'!D192),'Procyclean MG'!D192,IF(ISNUMBER(SEARCH("12",'Procyclean MG'!D192)),EDATE(AB691,12),IF(ISNUMBER(SEARCH("6",'Procyclean MG'!D192)),EDATE(AB691,6),IF(ISNUMBER(SEARCH("3",'Procyclean MG'!D192)),EDATE(AB691,3),DATEVALUE('Procyclean MG'!D192))))),""))</f>
        <v/>
      </c>
      <c r="AM691" t="str">
        <f t="shared" ca="1" si="82"/>
        <v/>
      </c>
    </row>
    <row r="692" spans="27:39" x14ac:dyDescent="0.3">
      <c r="AA692" t="str">
        <f>IF(COUNTA('Procyclean MG'!A193,'Procyclean MG'!B193,'Procyclean MG'!C193)&gt;0,"MG","")</f>
        <v/>
      </c>
      <c r="AB692" t="str">
        <f>IFERROR(IF(ISNUMBER('Procyclean MG'!A193),'Procyclean MG'!A193,DATEVALUE('Procyclean MG'!A193)),"")</f>
        <v/>
      </c>
      <c r="AC692" t="str">
        <f>IF(AA692="","",'Procyclean MG'!B193)</f>
        <v/>
      </c>
      <c r="AD692" t="str">
        <f>IF(AA692="","",IFERROR(1*'Procyclean MG'!C193,IFERROR(_xludf.NUMBERVALUE('Procyclean MG'!C193,".",","),IFERROR(_xludf.NUMBERVALUE('Procyclean MG'!C193,",","."),0))))</f>
        <v/>
      </c>
      <c r="AE692" t="str">
        <f>IF(AA692="","",'Procyclean MG'!I193)</f>
        <v/>
      </c>
      <c r="AF692">
        <f t="shared" si="77"/>
        <v>0</v>
      </c>
      <c r="AG692" t="str">
        <f t="shared" si="78"/>
        <v/>
      </c>
      <c r="AH692" t="str">
        <f t="shared" si="79"/>
        <v/>
      </c>
      <c r="AI692">
        <f t="shared" si="80"/>
        <v>0</v>
      </c>
      <c r="AJ692">
        <f t="shared" si="81"/>
        <v>0</v>
      </c>
      <c r="AK692">
        <v>0</v>
      </c>
      <c r="AL692" t="str">
        <f>IF(AA692="","",IFERROR(IF(ISNUMBER('Procyclean MG'!D193),'Procyclean MG'!D193,IF(ISNUMBER(SEARCH("12",'Procyclean MG'!D193)),EDATE(AB692,12),IF(ISNUMBER(SEARCH("6",'Procyclean MG'!D193)),EDATE(AB692,6),IF(ISNUMBER(SEARCH("3",'Procyclean MG'!D193)),EDATE(AB692,3),DATEVALUE('Procyclean MG'!D193))))),""))</f>
        <v/>
      </c>
      <c r="AM692" t="str">
        <f t="shared" ca="1" si="82"/>
        <v/>
      </c>
    </row>
    <row r="693" spans="27:39" x14ac:dyDescent="0.3">
      <c r="AA693" t="str">
        <f>IF(COUNTA('Procyclean MG'!A194,'Procyclean MG'!B194,'Procyclean MG'!C194)&gt;0,"MG","")</f>
        <v/>
      </c>
      <c r="AB693" t="str">
        <f>IFERROR(IF(ISNUMBER('Procyclean MG'!A194),'Procyclean MG'!A194,DATEVALUE('Procyclean MG'!A194)),"")</f>
        <v/>
      </c>
      <c r="AC693" t="str">
        <f>IF(AA693="","",'Procyclean MG'!B194)</f>
        <v/>
      </c>
      <c r="AD693" t="str">
        <f>IF(AA693="","",IFERROR(1*'Procyclean MG'!C194,IFERROR(_xludf.NUMBERVALUE('Procyclean MG'!C194,".",","),IFERROR(_xludf.NUMBERVALUE('Procyclean MG'!C194,",","."),0))))</f>
        <v/>
      </c>
      <c r="AE693" t="str">
        <f>IF(AA693="","",'Procyclean MG'!I194)</f>
        <v/>
      </c>
      <c r="AF693">
        <f t="shared" si="77"/>
        <v>0</v>
      </c>
      <c r="AG693" t="str">
        <f t="shared" si="78"/>
        <v/>
      </c>
      <c r="AH693" t="str">
        <f t="shared" si="79"/>
        <v/>
      </c>
      <c r="AI693">
        <f t="shared" si="80"/>
        <v>0</v>
      </c>
      <c r="AJ693">
        <f t="shared" si="81"/>
        <v>0</v>
      </c>
      <c r="AK693">
        <v>0</v>
      </c>
      <c r="AL693" t="str">
        <f>IF(AA693="","",IFERROR(IF(ISNUMBER('Procyclean MG'!D194),'Procyclean MG'!D194,IF(ISNUMBER(SEARCH("12",'Procyclean MG'!D194)),EDATE(AB693,12),IF(ISNUMBER(SEARCH("6",'Procyclean MG'!D194)),EDATE(AB693,6),IF(ISNUMBER(SEARCH("3",'Procyclean MG'!D194)),EDATE(AB693,3),DATEVALUE('Procyclean MG'!D194))))),""))</f>
        <v/>
      </c>
      <c r="AM693" t="str">
        <f t="shared" ca="1" si="82"/>
        <v/>
      </c>
    </row>
    <row r="694" spans="27:39" x14ac:dyDescent="0.3">
      <c r="AA694" t="str">
        <f>IF(COUNTA('Procyclean MG'!A195,'Procyclean MG'!B195,'Procyclean MG'!C195)&gt;0,"MG","")</f>
        <v/>
      </c>
      <c r="AB694" t="str">
        <f>IFERROR(IF(ISNUMBER('Procyclean MG'!A195),'Procyclean MG'!A195,DATEVALUE('Procyclean MG'!A195)),"")</f>
        <v/>
      </c>
      <c r="AC694" t="str">
        <f>IF(AA694="","",'Procyclean MG'!B195)</f>
        <v/>
      </c>
      <c r="AD694" t="str">
        <f>IF(AA694="","",IFERROR(1*'Procyclean MG'!C195,IFERROR(_xludf.NUMBERVALUE('Procyclean MG'!C195,".",","),IFERROR(_xludf.NUMBERVALUE('Procyclean MG'!C195,",","."),0))))</f>
        <v/>
      </c>
      <c r="AE694" t="str">
        <f>IF(AA694="","",'Procyclean MG'!I195)</f>
        <v/>
      </c>
      <c r="AF694">
        <f t="shared" si="77"/>
        <v>0</v>
      </c>
      <c r="AG694" t="str">
        <f t="shared" si="78"/>
        <v/>
      </c>
      <c r="AH694" t="str">
        <f t="shared" si="79"/>
        <v/>
      </c>
      <c r="AI694">
        <f t="shared" si="80"/>
        <v>0</v>
      </c>
      <c r="AJ694">
        <f t="shared" si="81"/>
        <v>0</v>
      </c>
      <c r="AK694">
        <v>0</v>
      </c>
      <c r="AL694" t="str">
        <f>IF(AA694="","",IFERROR(IF(ISNUMBER('Procyclean MG'!D195),'Procyclean MG'!D195,IF(ISNUMBER(SEARCH("12",'Procyclean MG'!D195)),EDATE(AB694,12),IF(ISNUMBER(SEARCH("6",'Procyclean MG'!D195)),EDATE(AB694,6),IF(ISNUMBER(SEARCH("3",'Procyclean MG'!D195)),EDATE(AB694,3),DATEVALUE('Procyclean MG'!D195))))),""))</f>
        <v/>
      </c>
      <c r="AM694" t="str">
        <f t="shared" ca="1" si="82"/>
        <v/>
      </c>
    </row>
    <row r="695" spans="27:39" x14ac:dyDescent="0.3">
      <c r="AA695" t="str">
        <f>IF(COUNTA('Procyclean MG'!A196,'Procyclean MG'!B196,'Procyclean MG'!C196)&gt;0,"MG","")</f>
        <v/>
      </c>
      <c r="AB695" t="str">
        <f>IFERROR(IF(ISNUMBER('Procyclean MG'!A196),'Procyclean MG'!A196,DATEVALUE('Procyclean MG'!A196)),"")</f>
        <v/>
      </c>
      <c r="AC695" t="str">
        <f>IF(AA695="","",'Procyclean MG'!B196)</f>
        <v/>
      </c>
      <c r="AD695" t="str">
        <f>IF(AA695="","",IFERROR(1*'Procyclean MG'!C196,IFERROR(_xludf.NUMBERVALUE('Procyclean MG'!C196,".",","),IFERROR(_xludf.NUMBERVALUE('Procyclean MG'!C196,",","."),0))))</f>
        <v/>
      </c>
      <c r="AE695" t="str">
        <f>IF(AA695="","",'Procyclean MG'!I196)</f>
        <v/>
      </c>
      <c r="AF695">
        <f t="shared" si="77"/>
        <v>0</v>
      </c>
      <c r="AG695" t="str">
        <f t="shared" si="78"/>
        <v/>
      </c>
      <c r="AH695" t="str">
        <f t="shared" si="79"/>
        <v/>
      </c>
      <c r="AI695">
        <f t="shared" si="80"/>
        <v>0</v>
      </c>
      <c r="AJ695">
        <f t="shared" si="81"/>
        <v>0</v>
      </c>
      <c r="AK695">
        <v>0</v>
      </c>
      <c r="AL695" t="str">
        <f>IF(AA695="","",IFERROR(IF(ISNUMBER('Procyclean MG'!D196),'Procyclean MG'!D196,IF(ISNUMBER(SEARCH("12",'Procyclean MG'!D196)),EDATE(AB695,12),IF(ISNUMBER(SEARCH("6",'Procyclean MG'!D196)),EDATE(AB695,6),IF(ISNUMBER(SEARCH("3",'Procyclean MG'!D196)),EDATE(AB695,3),DATEVALUE('Procyclean MG'!D196))))),""))</f>
        <v/>
      </c>
      <c r="AM695" t="str">
        <f t="shared" ca="1" si="82"/>
        <v/>
      </c>
    </row>
    <row r="696" spans="27:39" x14ac:dyDescent="0.3">
      <c r="AA696" t="str">
        <f>IF(COUNTA('Procyclean MG'!A197,'Procyclean MG'!B197,'Procyclean MG'!C197)&gt;0,"MG","")</f>
        <v/>
      </c>
      <c r="AB696" t="str">
        <f>IFERROR(IF(ISNUMBER('Procyclean MG'!A197),'Procyclean MG'!A197,DATEVALUE('Procyclean MG'!A197)),"")</f>
        <v/>
      </c>
      <c r="AC696" t="str">
        <f>IF(AA696="","",'Procyclean MG'!B197)</f>
        <v/>
      </c>
      <c r="AD696" t="str">
        <f>IF(AA696="","",IFERROR(1*'Procyclean MG'!C197,IFERROR(_xludf.NUMBERVALUE('Procyclean MG'!C197,".",","),IFERROR(_xludf.NUMBERVALUE('Procyclean MG'!C197,",","."),0))))</f>
        <v/>
      </c>
      <c r="AE696" t="str">
        <f>IF(AA696="","",'Procyclean MG'!I197)</f>
        <v/>
      </c>
      <c r="AF696">
        <f t="shared" si="77"/>
        <v>0</v>
      </c>
      <c r="AG696" t="str">
        <f t="shared" si="78"/>
        <v/>
      </c>
      <c r="AH696" t="str">
        <f t="shared" si="79"/>
        <v/>
      </c>
      <c r="AI696">
        <f t="shared" si="80"/>
        <v>0</v>
      </c>
      <c r="AJ696">
        <f t="shared" si="81"/>
        <v>0</v>
      </c>
      <c r="AK696">
        <v>0</v>
      </c>
      <c r="AL696" t="str">
        <f>IF(AA696="","",IFERROR(IF(ISNUMBER('Procyclean MG'!D197),'Procyclean MG'!D197,IF(ISNUMBER(SEARCH("12",'Procyclean MG'!D197)),EDATE(AB696,12),IF(ISNUMBER(SEARCH("6",'Procyclean MG'!D197)),EDATE(AB696,6),IF(ISNUMBER(SEARCH("3",'Procyclean MG'!D197)),EDATE(AB696,3),DATEVALUE('Procyclean MG'!D197))))),""))</f>
        <v/>
      </c>
      <c r="AM696" t="str">
        <f t="shared" ca="1" si="82"/>
        <v/>
      </c>
    </row>
    <row r="697" spans="27:39" x14ac:dyDescent="0.3">
      <c r="AA697" t="str">
        <f>IF(COUNTA('Procyclean MG'!A198,'Procyclean MG'!B198,'Procyclean MG'!C198)&gt;0,"MG","")</f>
        <v/>
      </c>
      <c r="AB697" t="str">
        <f>IFERROR(IF(ISNUMBER('Procyclean MG'!A198),'Procyclean MG'!A198,DATEVALUE('Procyclean MG'!A198)),"")</f>
        <v/>
      </c>
      <c r="AC697" t="str">
        <f>IF(AA697="","",'Procyclean MG'!B198)</f>
        <v/>
      </c>
      <c r="AD697" t="str">
        <f>IF(AA697="","",IFERROR(1*'Procyclean MG'!C198,IFERROR(_xludf.NUMBERVALUE('Procyclean MG'!C198,".",","),IFERROR(_xludf.NUMBERVALUE('Procyclean MG'!C198,",","."),0))))</f>
        <v/>
      </c>
      <c r="AE697" t="str">
        <f>IF(AA697="","",'Procyclean MG'!I198)</f>
        <v/>
      </c>
      <c r="AF697">
        <f t="shared" si="77"/>
        <v>0</v>
      </c>
      <c r="AG697" t="str">
        <f t="shared" si="78"/>
        <v/>
      </c>
      <c r="AH697" t="str">
        <f t="shared" si="79"/>
        <v/>
      </c>
      <c r="AI697">
        <f t="shared" si="80"/>
        <v>0</v>
      </c>
      <c r="AJ697">
        <f t="shared" si="81"/>
        <v>0</v>
      </c>
      <c r="AK697">
        <v>0</v>
      </c>
      <c r="AL697" t="str">
        <f>IF(AA697="","",IFERROR(IF(ISNUMBER('Procyclean MG'!D198),'Procyclean MG'!D198,IF(ISNUMBER(SEARCH("12",'Procyclean MG'!D198)),EDATE(AB697,12),IF(ISNUMBER(SEARCH("6",'Procyclean MG'!D198)),EDATE(AB697,6),IF(ISNUMBER(SEARCH("3",'Procyclean MG'!D198)),EDATE(AB697,3),DATEVALUE('Procyclean MG'!D198))))),""))</f>
        <v/>
      </c>
      <c r="AM697" t="str">
        <f t="shared" ca="1" si="82"/>
        <v/>
      </c>
    </row>
    <row r="698" spans="27:39" x14ac:dyDescent="0.3">
      <c r="AA698" t="str">
        <f>IF(COUNTA('Procyclean MG'!A199,'Procyclean MG'!B199,'Procyclean MG'!C199)&gt;0,"MG","")</f>
        <v/>
      </c>
      <c r="AB698" t="str">
        <f>IFERROR(IF(ISNUMBER('Procyclean MG'!A199),'Procyclean MG'!A199,DATEVALUE('Procyclean MG'!A199)),"")</f>
        <v/>
      </c>
      <c r="AC698" t="str">
        <f>IF(AA698="","",'Procyclean MG'!B199)</f>
        <v/>
      </c>
      <c r="AD698" t="str">
        <f>IF(AA698="","",IFERROR(1*'Procyclean MG'!C199,IFERROR(_xludf.NUMBERVALUE('Procyclean MG'!C199,".",","),IFERROR(_xludf.NUMBERVALUE('Procyclean MG'!C199,",","."),0))))</f>
        <v/>
      </c>
      <c r="AE698" t="str">
        <f>IF(AA698="","",'Procyclean MG'!I199)</f>
        <v/>
      </c>
      <c r="AF698">
        <f t="shared" si="77"/>
        <v>0</v>
      </c>
      <c r="AG698" t="str">
        <f t="shared" si="78"/>
        <v/>
      </c>
      <c r="AH698" t="str">
        <f t="shared" si="79"/>
        <v/>
      </c>
      <c r="AI698">
        <f t="shared" si="80"/>
        <v>0</v>
      </c>
      <c r="AJ698">
        <f t="shared" si="81"/>
        <v>0</v>
      </c>
      <c r="AK698">
        <v>0</v>
      </c>
      <c r="AL698" t="str">
        <f>IF(AA698="","",IFERROR(IF(ISNUMBER('Procyclean MG'!D199),'Procyclean MG'!D199,IF(ISNUMBER(SEARCH("12",'Procyclean MG'!D199)),EDATE(AB698,12),IF(ISNUMBER(SEARCH("6",'Procyclean MG'!D199)),EDATE(AB698,6),IF(ISNUMBER(SEARCH("3",'Procyclean MG'!D199)),EDATE(AB698,3),DATEVALUE('Procyclean MG'!D199))))),""))</f>
        <v/>
      </c>
      <c r="AM698" t="str">
        <f t="shared" ca="1" si="82"/>
        <v/>
      </c>
    </row>
    <row r="699" spans="27:39" x14ac:dyDescent="0.3">
      <c r="AA699" t="str">
        <f>IF(COUNTA('Procyclean MG'!A200,'Procyclean MG'!B200,'Procyclean MG'!C200)&gt;0,"MG","")</f>
        <v/>
      </c>
      <c r="AB699" t="str">
        <f>IFERROR(IF(ISNUMBER('Procyclean MG'!A200),'Procyclean MG'!A200,DATEVALUE('Procyclean MG'!A200)),"")</f>
        <v/>
      </c>
      <c r="AC699" t="str">
        <f>IF(AA699="","",'Procyclean MG'!B200)</f>
        <v/>
      </c>
      <c r="AD699" t="str">
        <f>IF(AA699="","",IFERROR(1*'Procyclean MG'!C200,IFERROR(_xludf.NUMBERVALUE('Procyclean MG'!C200,".",","),IFERROR(_xludf.NUMBERVALUE('Procyclean MG'!C200,",","."),0))))</f>
        <v/>
      </c>
      <c r="AE699" t="str">
        <f>IF(AA699="","",'Procyclean MG'!I200)</f>
        <v/>
      </c>
      <c r="AF699">
        <f t="shared" si="77"/>
        <v>0</v>
      </c>
      <c r="AG699" t="str">
        <f t="shared" si="78"/>
        <v/>
      </c>
      <c r="AH699" t="str">
        <f t="shared" si="79"/>
        <v/>
      </c>
      <c r="AI699">
        <f t="shared" si="80"/>
        <v>0</v>
      </c>
      <c r="AJ699">
        <f t="shared" si="81"/>
        <v>0</v>
      </c>
      <c r="AK699">
        <v>0</v>
      </c>
      <c r="AL699" t="str">
        <f>IF(AA699="","",IFERROR(IF(ISNUMBER('Procyclean MG'!D200),'Procyclean MG'!D200,IF(ISNUMBER(SEARCH("12",'Procyclean MG'!D200)),EDATE(AB699,12),IF(ISNUMBER(SEARCH("6",'Procyclean MG'!D200)),EDATE(AB699,6),IF(ISNUMBER(SEARCH("3",'Procyclean MG'!D200)),EDATE(AB699,3),DATEVALUE('Procyclean MG'!D200))))),""))</f>
        <v/>
      </c>
      <c r="AM699" t="str">
        <f t="shared" ca="1" si="82"/>
        <v/>
      </c>
    </row>
    <row r="700" spans="27:39" x14ac:dyDescent="0.3">
      <c r="AA700" t="str">
        <f>IF(COUNTA('Procyclean MG'!A201,'Procyclean MG'!B201,'Procyclean MG'!C201)&gt;0,"MG","")</f>
        <v/>
      </c>
      <c r="AB700" t="str">
        <f>IFERROR(IF(ISNUMBER('Procyclean MG'!A201),'Procyclean MG'!A201,DATEVALUE('Procyclean MG'!A201)),"")</f>
        <v/>
      </c>
      <c r="AC700" t="str">
        <f>IF(AA700="","",'Procyclean MG'!B201)</f>
        <v/>
      </c>
      <c r="AD700" t="str">
        <f>IF(AA700="","",IFERROR(1*'Procyclean MG'!C201,IFERROR(_xludf.NUMBERVALUE('Procyclean MG'!C201,".",","),IFERROR(_xludf.NUMBERVALUE('Procyclean MG'!C201,",","."),0))))</f>
        <v/>
      </c>
      <c r="AE700" t="str">
        <f>IF(AA700="","",'Procyclean MG'!I201)</f>
        <v/>
      </c>
      <c r="AF700">
        <f t="shared" si="77"/>
        <v>0</v>
      </c>
      <c r="AG700" t="str">
        <f t="shared" si="78"/>
        <v/>
      </c>
      <c r="AH700" t="str">
        <f t="shared" si="79"/>
        <v/>
      </c>
      <c r="AI700">
        <f t="shared" si="80"/>
        <v>0</v>
      </c>
      <c r="AJ700">
        <f t="shared" si="81"/>
        <v>0</v>
      </c>
      <c r="AK700">
        <v>0</v>
      </c>
      <c r="AL700" t="str">
        <f>IF(AA700="","",IFERROR(IF(ISNUMBER('Procyclean MG'!D201),'Procyclean MG'!D201,IF(ISNUMBER(SEARCH("12",'Procyclean MG'!D201)),EDATE(AB700,12),IF(ISNUMBER(SEARCH("6",'Procyclean MG'!D201)),EDATE(AB700,6),IF(ISNUMBER(SEARCH("3",'Procyclean MG'!D201)),EDATE(AB700,3),DATEVALUE('Procyclean MG'!D201))))),""))</f>
        <v/>
      </c>
      <c r="AM700" t="str">
        <f t="shared" ca="1" si="82"/>
        <v/>
      </c>
    </row>
    <row r="701" spans="27:39" x14ac:dyDescent="0.3">
      <c r="AA701" t="str">
        <f>IF(COUNTA('Procyclean MG'!A202,'Procyclean MG'!B202,'Procyclean MG'!C202)&gt;0,"MG","")</f>
        <v/>
      </c>
      <c r="AB701" t="str">
        <f>IFERROR(IF(ISNUMBER('Procyclean MG'!A202),'Procyclean MG'!A202,DATEVALUE('Procyclean MG'!A202)),"")</f>
        <v/>
      </c>
      <c r="AC701" t="str">
        <f>IF(AA701="","",'Procyclean MG'!B202)</f>
        <v/>
      </c>
      <c r="AD701" t="str">
        <f>IF(AA701="","",IFERROR(1*'Procyclean MG'!C202,IFERROR(_xludf.NUMBERVALUE('Procyclean MG'!C202,".",","),IFERROR(_xludf.NUMBERVALUE('Procyclean MG'!C202,",","."),0))))</f>
        <v/>
      </c>
      <c r="AE701" t="str">
        <f>IF(AA701="","",'Procyclean MG'!I202)</f>
        <v/>
      </c>
      <c r="AF701">
        <f t="shared" si="77"/>
        <v>0</v>
      </c>
      <c r="AG701" t="str">
        <f t="shared" si="78"/>
        <v/>
      </c>
      <c r="AH701" t="str">
        <f t="shared" si="79"/>
        <v/>
      </c>
      <c r="AI701">
        <f t="shared" si="80"/>
        <v>0</v>
      </c>
      <c r="AJ701">
        <f t="shared" si="81"/>
        <v>0</v>
      </c>
      <c r="AK701">
        <v>0</v>
      </c>
      <c r="AL701" t="str">
        <f>IF(AA701="","",IFERROR(IF(ISNUMBER('Procyclean MG'!D202),'Procyclean MG'!D202,IF(ISNUMBER(SEARCH("12",'Procyclean MG'!D202)),EDATE(AB701,12),IF(ISNUMBER(SEARCH("6",'Procyclean MG'!D202)),EDATE(AB701,6),IF(ISNUMBER(SEARCH("3",'Procyclean MG'!D202)),EDATE(AB701,3),DATEVALUE('Procyclean MG'!D202))))),""))</f>
        <v/>
      </c>
      <c r="AM701" t="str">
        <f t="shared" ca="1" si="82"/>
        <v/>
      </c>
    </row>
    <row r="702" spans="27:39" x14ac:dyDescent="0.3">
      <c r="AA702" t="str">
        <f>IF(COUNTA('Procyclean MG'!A203,'Procyclean MG'!B203,'Procyclean MG'!C203)&gt;0,"MG","")</f>
        <v/>
      </c>
      <c r="AB702" t="str">
        <f>IFERROR(IF(ISNUMBER('Procyclean MG'!A203),'Procyclean MG'!A203,DATEVALUE('Procyclean MG'!A203)),"")</f>
        <v/>
      </c>
      <c r="AC702" t="str">
        <f>IF(AA702="","",'Procyclean MG'!B203)</f>
        <v/>
      </c>
      <c r="AD702" t="str">
        <f>IF(AA702="","",IFERROR(1*'Procyclean MG'!C203,IFERROR(_xludf.NUMBERVALUE('Procyclean MG'!C203,".",","),IFERROR(_xludf.NUMBERVALUE('Procyclean MG'!C203,",","."),0))))</f>
        <v/>
      </c>
      <c r="AE702" t="str">
        <f>IF(AA702="","",'Procyclean MG'!I203)</f>
        <v/>
      </c>
      <c r="AF702">
        <f t="shared" si="77"/>
        <v>0</v>
      </c>
      <c r="AG702" t="str">
        <f t="shared" si="78"/>
        <v/>
      </c>
      <c r="AH702" t="str">
        <f t="shared" si="79"/>
        <v/>
      </c>
      <c r="AI702">
        <f t="shared" si="80"/>
        <v>0</v>
      </c>
      <c r="AJ702">
        <f t="shared" si="81"/>
        <v>0</v>
      </c>
      <c r="AK702">
        <v>0</v>
      </c>
      <c r="AL702" t="str">
        <f>IF(AA702="","",IFERROR(IF(ISNUMBER('Procyclean MG'!D203),'Procyclean MG'!D203,IF(ISNUMBER(SEARCH("12",'Procyclean MG'!D203)),EDATE(AB702,12),IF(ISNUMBER(SEARCH("6",'Procyclean MG'!D203)),EDATE(AB702,6),IF(ISNUMBER(SEARCH("3",'Procyclean MG'!D203)),EDATE(AB702,3),DATEVALUE('Procyclean MG'!D203))))),""))</f>
        <v/>
      </c>
      <c r="AM702" t="str">
        <f t="shared" ca="1" si="82"/>
        <v/>
      </c>
    </row>
    <row r="703" spans="27:39" x14ac:dyDescent="0.3">
      <c r="AA703" t="str">
        <f>IF(COUNTA('Procyclean MG'!A204,'Procyclean MG'!B204,'Procyclean MG'!C204)&gt;0,"MG","")</f>
        <v/>
      </c>
      <c r="AB703" t="str">
        <f>IFERROR(IF(ISNUMBER('Procyclean MG'!A204),'Procyclean MG'!A204,DATEVALUE('Procyclean MG'!A204)),"")</f>
        <v/>
      </c>
      <c r="AC703" t="str">
        <f>IF(AA703="","",'Procyclean MG'!B204)</f>
        <v/>
      </c>
      <c r="AD703" t="str">
        <f>IF(AA703="","",IFERROR(1*'Procyclean MG'!C204,IFERROR(_xludf.NUMBERVALUE('Procyclean MG'!C204,".",","),IFERROR(_xludf.NUMBERVALUE('Procyclean MG'!C204,",","."),0))))</f>
        <v/>
      </c>
      <c r="AE703" t="str">
        <f>IF(AA703="","",'Procyclean MG'!I204)</f>
        <v/>
      </c>
      <c r="AF703">
        <f t="shared" si="77"/>
        <v>0</v>
      </c>
      <c r="AG703" t="str">
        <f t="shared" si="78"/>
        <v/>
      </c>
      <c r="AH703" t="str">
        <f t="shared" si="79"/>
        <v/>
      </c>
      <c r="AI703">
        <f t="shared" si="80"/>
        <v>0</v>
      </c>
      <c r="AJ703">
        <f t="shared" si="81"/>
        <v>0</v>
      </c>
      <c r="AK703">
        <v>0</v>
      </c>
      <c r="AL703" t="str">
        <f>IF(AA703="","",IFERROR(IF(ISNUMBER('Procyclean MG'!D204),'Procyclean MG'!D204,IF(ISNUMBER(SEARCH("12",'Procyclean MG'!D204)),EDATE(AB703,12),IF(ISNUMBER(SEARCH("6",'Procyclean MG'!D204)),EDATE(AB703,6),IF(ISNUMBER(SEARCH("3",'Procyclean MG'!D204)),EDATE(AB703,3),DATEVALUE('Procyclean MG'!D204))))),""))</f>
        <v/>
      </c>
      <c r="AM703" t="str">
        <f t="shared" ca="1" si="82"/>
        <v/>
      </c>
    </row>
    <row r="704" spans="27:39" x14ac:dyDescent="0.3">
      <c r="AA704" t="str">
        <f>IF(COUNTA('Procyclean MG'!A205,'Procyclean MG'!B205,'Procyclean MG'!C205)&gt;0,"MG","")</f>
        <v/>
      </c>
      <c r="AB704" t="str">
        <f>IFERROR(IF(ISNUMBER('Procyclean MG'!A205),'Procyclean MG'!A205,DATEVALUE('Procyclean MG'!A205)),"")</f>
        <v/>
      </c>
      <c r="AC704" t="str">
        <f>IF(AA704="","",'Procyclean MG'!B205)</f>
        <v/>
      </c>
      <c r="AD704" t="str">
        <f>IF(AA704="","",IFERROR(1*'Procyclean MG'!C205,IFERROR(_xludf.NUMBERVALUE('Procyclean MG'!C205,".",","),IFERROR(_xludf.NUMBERVALUE('Procyclean MG'!C205,",","."),0))))</f>
        <v/>
      </c>
      <c r="AE704" t="str">
        <f>IF(AA704="","",'Procyclean MG'!I205)</f>
        <v/>
      </c>
      <c r="AF704">
        <f t="shared" si="77"/>
        <v>0</v>
      </c>
      <c r="AG704" t="str">
        <f t="shared" si="78"/>
        <v/>
      </c>
      <c r="AH704" t="str">
        <f t="shared" si="79"/>
        <v/>
      </c>
      <c r="AI704">
        <f t="shared" si="80"/>
        <v>0</v>
      </c>
      <c r="AJ704">
        <f t="shared" si="81"/>
        <v>0</v>
      </c>
      <c r="AK704">
        <v>0</v>
      </c>
      <c r="AL704" t="str">
        <f>IF(AA704="","",IFERROR(IF(ISNUMBER('Procyclean MG'!D205),'Procyclean MG'!D205,IF(ISNUMBER(SEARCH("12",'Procyclean MG'!D205)),EDATE(AB704,12),IF(ISNUMBER(SEARCH("6",'Procyclean MG'!D205)),EDATE(AB704,6),IF(ISNUMBER(SEARCH("3",'Procyclean MG'!D205)),EDATE(AB704,3),DATEVALUE('Procyclean MG'!D205))))),""))</f>
        <v/>
      </c>
      <c r="AM704" t="str">
        <f t="shared" ca="1" si="82"/>
        <v/>
      </c>
    </row>
    <row r="705" spans="27:39" x14ac:dyDescent="0.3">
      <c r="AA705" t="str">
        <f>IF(COUNTA('Procyclean MG'!A206,'Procyclean MG'!B206,'Procyclean MG'!C206)&gt;0,"MG","")</f>
        <v/>
      </c>
      <c r="AB705" t="str">
        <f>IFERROR(IF(ISNUMBER('Procyclean MG'!A206),'Procyclean MG'!A206,DATEVALUE('Procyclean MG'!A206)),"")</f>
        <v/>
      </c>
      <c r="AC705" t="str">
        <f>IF(AA705="","",'Procyclean MG'!B206)</f>
        <v/>
      </c>
      <c r="AD705" t="str">
        <f>IF(AA705="","",IFERROR(1*'Procyclean MG'!C206,IFERROR(_xludf.NUMBERVALUE('Procyclean MG'!C206,".",","),IFERROR(_xludf.NUMBERVALUE('Procyclean MG'!C206,",","."),0))))</f>
        <v/>
      </c>
      <c r="AE705" t="str">
        <f>IF(AA705="","",'Procyclean MG'!I206)</f>
        <v/>
      </c>
      <c r="AF705">
        <f t="shared" si="77"/>
        <v>0</v>
      </c>
      <c r="AG705" t="str">
        <f t="shared" si="78"/>
        <v/>
      </c>
      <c r="AH705" t="str">
        <f t="shared" si="79"/>
        <v/>
      </c>
      <c r="AI705">
        <f t="shared" si="80"/>
        <v>0</v>
      </c>
      <c r="AJ705">
        <f t="shared" si="81"/>
        <v>0</v>
      </c>
      <c r="AK705">
        <v>0</v>
      </c>
      <c r="AL705" t="str">
        <f>IF(AA705="","",IFERROR(IF(ISNUMBER('Procyclean MG'!D206),'Procyclean MG'!D206,IF(ISNUMBER(SEARCH("12",'Procyclean MG'!D206)),EDATE(AB705,12),IF(ISNUMBER(SEARCH("6",'Procyclean MG'!D206)),EDATE(AB705,6),IF(ISNUMBER(SEARCH("3",'Procyclean MG'!D206)),EDATE(AB705,3),DATEVALUE('Procyclean MG'!D206))))),""))</f>
        <v/>
      </c>
      <c r="AM705" t="str">
        <f t="shared" ca="1" si="82"/>
        <v/>
      </c>
    </row>
    <row r="706" spans="27:39" x14ac:dyDescent="0.3">
      <c r="AA706" t="str">
        <f>IF(COUNTA('Procyclean MG'!A207,'Procyclean MG'!B207,'Procyclean MG'!C207)&gt;0,"MG","")</f>
        <v/>
      </c>
      <c r="AB706" t="str">
        <f>IFERROR(IF(ISNUMBER('Procyclean MG'!A207),'Procyclean MG'!A207,DATEVALUE('Procyclean MG'!A207)),"")</f>
        <v/>
      </c>
      <c r="AC706" t="str">
        <f>IF(AA706="","",'Procyclean MG'!B207)</f>
        <v/>
      </c>
      <c r="AD706" t="str">
        <f>IF(AA706="","",IFERROR(1*'Procyclean MG'!C207,IFERROR(_xludf.NUMBERVALUE('Procyclean MG'!C207,".",","),IFERROR(_xludf.NUMBERVALUE('Procyclean MG'!C207,",","."),0))))</f>
        <v/>
      </c>
      <c r="AE706" t="str">
        <f>IF(AA706="","",'Procyclean MG'!I207)</f>
        <v/>
      </c>
      <c r="AF706">
        <f t="shared" ref="AF706:AF769" si="83">IF(AA706="",0,--AND(ISNUMBER(SEARCH("aprov",AE706)),NOT(ISNUMBER(SEARCH("reprov",AE706)))))</f>
        <v>0</v>
      </c>
      <c r="AG706" t="str">
        <f t="shared" ref="AG706:AG769" si="84">IF(AB706="","",YEAR(AB706))</f>
        <v/>
      </c>
      <c r="AH706" t="str">
        <f t="shared" ref="AH706:AH769" si="85">IF(AB706="","",MONTH(AB706))</f>
        <v/>
      </c>
      <c r="AI706">
        <f t="shared" ref="AI706:AI769" si="86">IF(AB706="",0,AB706+ROW()/1000000)</f>
        <v>0</v>
      </c>
      <c r="AJ706">
        <f t="shared" ref="AJ706:AJ769" si="87">--(AA706&lt;&gt;"")</f>
        <v>0</v>
      </c>
      <c r="AK706">
        <v>0</v>
      </c>
      <c r="AL706" t="str">
        <f>IF(AA706="","",IFERROR(IF(ISNUMBER('Procyclean MG'!D207),'Procyclean MG'!D207,IF(ISNUMBER(SEARCH("12",'Procyclean MG'!D207)),EDATE(AB706,12),IF(ISNUMBER(SEARCH("6",'Procyclean MG'!D207)),EDATE(AB706,6),IF(ISNUMBER(SEARCH("3",'Procyclean MG'!D207)),EDATE(AB706,3),DATEVALUE('Procyclean MG'!D207))))),""))</f>
        <v/>
      </c>
      <c r="AM706" t="str">
        <f t="shared" ref="AM706:AM769" ca="1" si="88">IF(AND(AJ706=1,AL706&lt;&gt;"",AL706&gt;=TODAY(),AG706=$W$3),AL706+ROW()/1000000,"")</f>
        <v/>
      </c>
    </row>
    <row r="707" spans="27:39" x14ac:dyDescent="0.3">
      <c r="AA707" t="str">
        <f>IF(COUNTA('Procyclean MG'!A208,'Procyclean MG'!B208,'Procyclean MG'!C208)&gt;0,"MG","")</f>
        <v/>
      </c>
      <c r="AB707" t="str">
        <f>IFERROR(IF(ISNUMBER('Procyclean MG'!A208),'Procyclean MG'!A208,DATEVALUE('Procyclean MG'!A208)),"")</f>
        <v/>
      </c>
      <c r="AC707" t="str">
        <f>IF(AA707="","",'Procyclean MG'!B208)</f>
        <v/>
      </c>
      <c r="AD707" t="str">
        <f>IF(AA707="","",IFERROR(1*'Procyclean MG'!C208,IFERROR(_xludf.NUMBERVALUE('Procyclean MG'!C208,".",","),IFERROR(_xludf.NUMBERVALUE('Procyclean MG'!C208,",","."),0))))</f>
        <v/>
      </c>
      <c r="AE707" t="str">
        <f>IF(AA707="","",'Procyclean MG'!I208)</f>
        <v/>
      </c>
      <c r="AF707">
        <f t="shared" si="83"/>
        <v>0</v>
      </c>
      <c r="AG707" t="str">
        <f t="shared" si="84"/>
        <v/>
      </c>
      <c r="AH707" t="str">
        <f t="shared" si="85"/>
        <v/>
      </c>
      <c r="AI707">
        <f t="shared" si="86"/>
        <v>0</v>
      </c>
      <c r="AJ707">
        <f t="shared" si="87"/>
        <v>0</v>
      </c>
      <c r="AK707">
        <v>0</v>
      </c>
      <c r="AL707" t="str">
        <f>IF(AA707="","",IFERROR(IF(ISNUMBER('Procyclean MG'!D208),'Procyclean MG'!D208,IF(ISNUMBER(SEARCH("12",'Procyclean MG'!D208)),EDATE(AB707,12),IF(ISNUMBER(SEARCH("6",'Procyclean MG'!D208)),EDATE(AB707,6),IF(ISNUMBER(SEARCH("3",'Procyclean MG'!D208)),EDATE(AB707,3),DATEVALUE('Procyclean MG'!D208))))),""))</f>
        <v/>
      </c>
      <c r="AM707" t="str">
        <f t="shared" ca="1" si="88"/>
        <v/>
      </c>
    </row>
    <row r="708" spans="27:39" x14ac:dyDescent="0.3">
      <c r="AA708" t="str">
        <f>IF(COUNTA('Procyclean MG'!A209,'Procyclean MG'!B209,'Procyclean MG'!C209)&gt;0,"MG","")</f>
        <v/>
      </c>
      <c r="AB708" t="str">
        <f>IFERROR(IF(ISNUMBER('Procyclean MG'!A209),'Procyclean MG'!A209,DATEVALUE('Procyclean MG'!A209)),"")</f>
        <v/>
      </c>
      <c r="AC708" t="str">
        <f>IF(AA708="","",'Procyclean MG'!B209)</f>
        <v/>
      </c>
      <c r="AD708" t="str">
        <f>IF(AA708="","",IFERROR(1*'Procyclean MG'!C209,IFERROR(_xludf.NUMBERVALUE('Procyclean MG'!C209,".",","),IFERROR(_xludf.NUMBERVALUE('Procyclean MG'!C209,",","."),0))))</f>
        <v/>
      </c>
      <c r="AE708" t="str">
        <f>IF(AA708="","",'Procyclean MG'!I209)</f>
        <v/>
      </c>
      <c r="AF708">
        <f t="shared" si="83"/>
        <v>0</v>
      </c>
      <c r="AG708" t="str">
        <f t="shared" si="84"/>
        <v/>
      </c>
      <c r="AH708" t="str">
        <f t="shared" si="85"/>
        <v/>
      </c>
      <c r="AI708">
        <f t="shared" si="86"/>
        <v>0</v>
      </c>
      <c r="AJ708">
        <f t="shared" si="87"/>
        <v>0</v>
      </c>
      <c r="AK708">
        <v>0</v>
      </c>
      <c r="AL708" t="str">
        <f>IF(AA708="","",IFERROR(IF(ISNUMBER('Procyclean MG'!D209),'Procyclean MG'!D209,IF(ISNUMBER(SEARCH("12",'Procyclean MG'!D209)),EDATE(AB708,12),IF(ISNUMBER(SEARCH("6",'Procyclean MG'!D209)),EDATE(AB708,6),IF(ISNUMBER(SEARCH("3",'Procyclean MG'!D209)),EDATE(AB708,3),DATEVALUE('Procyclean MG'!D209))))),""))</f>
        <v/>
      </c>
      <c r="AM708" t="str">
        <f t="shared" ca="1" si="88"/>
        <v/>
      </c>
    </row>
    <row r="709" spans="27:39" x14ac:dyDescent="0.3">
      <c r="AA709" t="str">
        <f>IF(COUNTA('Procyclean MG'!A210,'Procyclean MG'!B210,'Procyclean MG'!C210)&gt;0,"MG","")</f>
        <v/>
      </c>
      <c r="AB709" t="str">
        <f>IFERROR(IF(ISNUMBER('Procyclean MG'!A210),'Procyclean MG'!A210,DATEVALUE('Procyclean MG'!A210)),"")</f>
        <v/>
      </c>
      <c r="AC709" t="str">
        <f>IF(AA709="","",'Procyclean MG'!B210)</f>
        <v/>
      </c>
      <c r="AD709" t="str">
        <f>IF(AA709="","",IFERROR(1*'Procyclean MG'!C210,IFERROR(_xludf.NUMBERVALUE('Procyclean MG'!C210,".",","),IFERROR(_xludf.NUMBERVALUE('Procyclean MG'!C210,",","."),0))))</f>
        <v/>
      </c>
      <c r="AE709" t="str">
        <f>IF(AA709="","",'Procyclean MG'!I210)</f>
        <v/>
      </c>
      <c r="AF709">
        <f t="shared" si="83"/>
        <v>0</v>
      </c>
      <c r="AG709" t="str">
        <f t="shared" si="84"/>
        <v/>
      </c>
      <c r="AH709" t="str">
        <f t="shared" si="85"/>
        <v/>
      </c>
      <c r="AI709">
        <f t="shared" si="86"/>
        <v>0</v>
      </c>
      <c r="AJ709">
        <f t="shared" si="87"/>
        <v>0</v>
      </c>
      <c r="AK709">
        <v>0</v>
      </c>
      <c r="AL709" t="str">
        <f>IF(AA709="","",IFERROR(IF(ISNUMBER('Procyclean MG'!D210),'Procyclean MG'!D210,IF(ISNUMBER(SEARCH("12",'Procyclean MG'!D210)),EDATE(AB709,12),IF(ISNUMBER(SEARCH("6",'Procyclean MG'!D210)),EDATE(AB709,6),IF(ISNUMBER(SEARCH("3",'Procyclean MG'!D210)),EDATE(AB709,3),DATEVALUE('Procyclean MG'!D210))))),""))</f>
        <v/>
      </c>
      <c r="AM709" t="str">
        <f t="shared" ca="1" si="88"/>
        <v/>
      </c>
    </row>
    <row r="710" spans="27:39" x14ac:dyDescent="0.3">
      <c r="AA710" t="str">
        <f>IF(COUNTA('Procyclean MG'!A211,'Procyclean MG'!B211,'Procyclean MG'!C211)&gt;0,"MG","")</f>
        <v/>
      </c>
      <c r="AB710" t="str">
        <f>IFERROR(IF(ISNUMBER('Procyclean MG'!A211),'Procyclean MG'!A211,DATEVALUE('Procyclean MG'!A211)),"")</f>
        <v/>
      </c>
      <c r="AC710" t="str">
        <f>IF(AA710="","",'Procyclean MG'!B211)</f>
        <v/>
      </c>
      <c r="AD710" t="str">
        <f>IF(AA710="","",IFERROR(1*'Procyclean MG'!C211,IFERROR(_xludf.NUMBERVALUE('Procyclean MG'!C211,".",","),IFERROR(_xludf.NUMBERVALUE('Procyclean MG'!C211,",","."),0))))</f>
        <v/>
      </c>
      <c r="AE710" t="str">
        <f>IF(AA710="","",'Procyclean MG'!I211)</f>
        <v/>
      </c>
      <c r="AF710">
        <f t="shared" si="83"/>
        <v>0</v>
      </c>
      <c r="AG710" t="str">
        <f t="shared" si="84"/>
        <v/>
      </c>
      <c r="AH710" t="str">
        <f t="shared" si="85"/>
        <v/>
      </c>
      <c r="AI710">
        <f t="shared" si="86"/>
        <v>0</v>
      </c>
      <c r="AJ710">
        <f t="shared" si="87"/>
        <v>0</v>
      </c>
      <c r="AK710">
        <v>0</v>
      </c>
      <c r="AL710" t="str">
        <f>IF(AA710="","",IFERROR(IF(ISNUMBER('Procyclean MG'!D211),'Procyclean MG'!D211,IF(ISNUMBER(SEARCH("12",'Procyclean MG'!D211)),EDATE(AB710,12),IF(ISNUMBER(SEARCH("6",'Procyclean MG'!D211)),EDATE(AB710,6),IF(ISNUMBER(SEARCH("3",'Procyclean MG'!D211)),EDATE(AB710,3),DATEVALUE('Procyclean MG'!D211))))),""))</f>
        <v/>
      </c>
      <c r="AM710" t="str">
        <f t="shared" ca="1" si="88"/>
        <v/>
      </c>
    </row>
    <row r="711" spans="27:39" x14ac:dyDescent="0.3">
      <c r="AA711" t="str">
        <f>IF(COUNTA('Procyclean MG'!A212,'Procyclean MG'!B212,'Procyclean MG'!C212)&gt;0,"MG","")</f>
        <v/>
      </c>
      <c r="AB711" t="str">
        <f>IFERROR(IF(ISNUMBER('Procyclean MG'!A212),'Procyclean MG'!A212,DATEVALUE('Procyclean MG'!A212)),"")</f>
        <v/>
      </c>
      <c r="AC711" t="str">
        <f>IF(AA711="","",'Procyclean MG'!B212)</f>
        <v/>
      </c>
      <c r="AD711" t="str">
        <f>IF(AA711="","",IFERROR(1*'Procyclean MG'!C212,IFERROR(_xludf.NUMBERVALUE('Procyclean MG'!C212,".",","),IFERROR(_xludf.NUMBERVALUE('Procyclean MG'!C212,",","."),0))))</f>
        <v/>
      </c>
      <c r="AE711" t="str">
        <f>IF(AA711="","",'Procyclean MG'!I212)</f>
        <v/>
      </c>
      <c r="AF711">
        <f t="shared" si="83"/>
        <v>0</v>
      </c>
      <c r="AG711" t="str">
        <f t="shared" si="84"/>
        <v/>
      </c>
      <c r="AH711" t="str">
        <f t="shared" si="85"/>
        <v/>
      </c>
      <c r="AI711">
        <f t="shared" si="86"/>
        <v>0</v>
      </c>
      <c r="AJ711">
        <f t="shared" si="87"/>
        <v>0</v>
      </c>
      <c r="AK711">
        <v>0</v>
      </c>
      <c r="AL711" t="str">
        <f>IF(AA711="","",IFERROR(IF(ISNUMBER('Procyclean MG'!D212),'Procyclean MG'!D212,IF(ISNUMBER(SEARCH("12",'Procyclean MG'!D212)),EDATE(AB711,12),IF(ISNUMBER(SEARCH("6",'Procyclean MG'!D212)),EDATE(AB711,6),IF(ISNUMBER(SEARCH("3",'Procyclean MG'!D212)),EDATE(AB711,3),DATEVALUE('Procyclean MG'!D212))))),""))</f>
        <v/>
      </c>
      <c r="AM711" t="str">
        <f t="shared" ca="1" si="88"/>
        <v/>
      </c>
    </row>
    <row r="712" spans="27:39" x14ac:dyDescent="0.3">
      <c r="AA712" t="str">
        <f>IF(COUNTA('Procyclean MG'!A213,'Procyclean MG'!B213,'Procyclean MG'!C213)&gt;0,"MG","")</f>
        <v/>
      </c>
      <c r="AB712" t="str">
        <f>IFERROR(IF(ISNUMBER('Procyclean MG'!A213),'Procyclean MG'!A213,DATEVALUE('Procyclean MG'!A213)),"")</f>
        <v/>
      </c>
      <c r="AC712" t="str">
        <f>IF(AA712="","",'Procyclean MG'!B213)</f>
        <v/>
      </c>
      <c r="AD712" t="str">
        <f>IF(AA712="","",IFERROR(1*'Procyclean MG'!C213,IFERROR(_xludf.NUMBERVALUE('Procyclean MG'!C213,".",","),IFERROR(_xludf.NUMBERVALUE('Procyclean MG'!C213,",","."),0))))</f>
        <v/>
      </c>
      <c r="AE712" t="str">
        <f>IF(AA712="","",'Procyclean MG'!I213)</f>
        <v/>
      </c>
      <c r="AF712">
        <f t="shared" si="83"/>
        <v>0</v>
      </c>
      <c r="AG712" t="str">
        <f t="shared" si="84"/>
        <v/>
      </c>
      <c r="AH712" t="str">
        <f t="shared" si="85"/>
        <v/>
      </c>
      <c r="AI712">
        <f t="shared" si="86"/>
        <v>0</v>
      </c>
      <c r="AJ712">
        <f t="shared" si="87"/>
        <v>0</v>
      </c>
      <c r="AK712">
        <v>0</v>
      </c>
      <c r="AL712" t="str">
        <f>IF(AA712="","",IFERROR(IF(ISNUMBER('Procyclean MG'!D213),'Procyclean MG'!D213,IF(ISNUMBER(SEARCH("12",'Procyclean MG'!D213)),EDATE(AB712,12),IF(ISNUMBER(SEARCH("6",'Procyclean MG'!D213)),EDATE(AB712,6),IF(ISNUMBER(SEARCH("3",'Procyclean MG'!D213)),EDATE(AB712,3),DATEVALUE('Procyclean MG'!D213))))),""))</f>
        <v/>
      </c>
      <c r="AM712" t="str">
        <f t="shared" ca="1" si="88"/>
        <v/>
      </c>
    </row>
    <row r="713" spans="27:39" x14ac:dyDescent="0.3">
      <c r="AA713" t="str">
        <f>IF(COUNTA('Procyclean MG'!A214,'Procyclean MG'!B214,'Procyclean MG'!C214)&gt;0,"MG","")</f>
        <v/>
      </c>
      <c r="AB713" t="str">
        <f>IFERROR(IF(ISNUMBER('Procyclean MG'!A214),'Procyclean MG'!A214,DATEVALUE('Procyclean MG'!A214)),"")</f>
        <v/>
      </c>
      <c r="AC713" t="str">
        <f>IF(AA713="","",'Procyclean MG'!B214)</f>
        <v/>
      </c>
      <c r="AD713" t="str">
        <f>IF(AA713="","",IFERROR(1*'Procyclean MG'!C214,IFERROR(_xludf.NUMBERVALUE('Procyclean MG'!C214,".",","),IFERROR(_xludf.NUMBERVALUE('Procyclean MG'!C214,",","."),0))))</f>
        <v/>
      </c>
      <c r="AE713" t="str">
        <f>IF(AA713="","",'Procyclean MG'!I214)</f>
        <v/>
      </c>
      <c r="AF713">
        <f t="shared" si="83"/>
        <v>0</v>
      </c>
      <c r="AG713" t="str">
        <f t="shared" si="84"/>
        <v/>
      </c>
      <c r="AH713" t="str">
        <f t="shared" si="85"/>
        <v/>
      </c>
      <c r="AI713">
        <f t="shared" si="86"/>
        <v>0</v>
      </c>
      <c r="AJ713">
        <f t="shared" si="87"/>
        <v>0</v>
      </c>
      <c r="AK713">
        <v>0</v>
      </c>
      <c r="AL713" t="str">
        <f>IF(AA713="","",IFERROR(IF(ISNUMBER('Procyclean MG'!D214),'Procyclean MG'!D214,IF(ISNUMBER(SEARCH("12",'Procyclean MG'!D214)),EDATE(AB713,12),IF(ISNUMBER(SEARCH("6",'Procyclean MG'!D214)),EDATE(AB713,6),IF(ISNUMBER(SEARCH("3",'Procyclean MG'!D214)),EDATE(AB713,3),DATEVALUE('Procyclean MG'!D214))))),""))</f>
        <v/>
      </c>
      <c r="AM713" t="str">
        <f t="shared" ca="1" si="88"/>
        <v/>
      </c>
    </row>
    <row r="714" spans="27:39" x14ac:dyDescent="0.3">
      <c r="AA714" t="str">
        <f>IF(COUNTA('Procyclean MG'!A215,'Procyclean MG'!B215,'Procyclean MG'!C215)&gt;0,"MG","")</f>
        <v/>
      </c>
      <c r="AB714" t="str">
        <f>IFERROR(IF(ISNUMBER('Procyclean MG'!A215),'Procyclean MG'!A215,DATEVALUE('Procyclean MG'!A215)),"")</f>
        <v/>
      </c>
      <c r="AC714" t="str">
        <f>IF(AA714="","",'Procyclean MG'!B215)</f>
        <v/>
      </c>
      <c r="AD714" t="str">
        <f>IF(AA714="","",IFERROR(1*'Procyclean MG'!C215,IFERROR(_xludf.NUMBERVALUE('Procyclean MG'!C215,".",","),IFERROR(_xludf.NUMBERVALUE('Procyclean MG'!C215,",","."),0))))</f>
        <v/>
      </c>
      <c r="AE714" t="str">
        <f>IF(AA714="","",'Procyclean MG'!I215)</f>
        <v/>
      </c>
      <c r="AF714">
        <f t="shared" si="83"/>
        <v>0</v>
      </c>
      <c r="AG714" t="str">
        <f t="shared" si="84"/>
        <v/>
      </c>
      <c r="AH714" t="str">
        <f t="shared" si="85"/>
        <v/>
      </c>
      <c r="AI714">
        <f t="shared" si="86"/>
        <v>0</v>
      </c>
      <c r="AJ714">
        <f t="shared" si="87"/>
        <v>0</v>
      </c>
      <c r="AK714">
        <v>0</v>
      </c>
      <c r="AL714" t="str">
        <f>IF(AA714="","",IFERROR(IF(ISNUMBER('Procyclean MG'!D215),'Procyclean MG'!D215,IF(ISNUMBER(SEARCH("12",'Procyclean MG'!D215)),EDATE(AB714,12),IF(ISNUMBER(SEARCH("6",'Procyclean MG'!D215)),EDATE(AB714,6),IF(ISNUMBER(SEARCH("3",'Procyclean MG'!D215)),EDATE(AB714,3),DATEVALUE('Procyclean MG'!D215))))),""))</f>
        <v/>
      </c>
      <c r="AM714" t="str">
        <f t="shared" ca="1" si="88"/>
        <v/>
      </c>
    </row>
    <row r="715" spans="27:39" x14ac:dyDescent="0.3">
      <c r="AA715" t="str">
        <f>IF(COUNTA('Procyclean MG'!A216,'Procyclean MG'!B216,'Procyclean MG'!C216)&gt;0,"MG","")</f>
        <v/>
      </c>
      <c r="AB715" t="str">
        <f>IFERROR(IF(ISNUMBER('Procyclean MG'!A216),'Procyclean MG'!A216,DATEVALUE('Procyclean MG'!A216)),"")</f>
        <v/>
      </c>
      <c r="AC715" t="str">
        <f>IF(AA715="","",'Procyclean MG'!B216)</f>
        <v/>
      </c>
      <c r="AD715" t="str">
        <f>IF(AA715="","",IFERROR(1*'Procyclean MG'!C216,IFERROR(_xludf.NUMBERVALUE('Procyclean MG'!C216,".",","),IFERROR(_xludf.NUMBERVALUE('Procyclean MG'!C216,",","."),0))))</f>
        <v/>
      </c>
      <c r="AE715" t="str">
        <f>IF(AA715="","",'Procyclean MG'!I216)</f>
        <v/>
      </c>
      <c r="AF715">
        <f t="shared" si="83"/>
        <v>0</v>
      </c>
      <c r="AG715" t="str">
        <f t="shared" si="84"/>
        <v/>
      </c>
      <c r="AH715" t="str">
        <f t="shared" si="85"/>
        <v/>
      </c>
      <c r="AI715">
        <f t="shared" si="86"/>
        <v>0</v>
      </c>
      <c r="AJ715">
        <f t="shared" si="87"/>
        <v>0</v>
      </c>
      <c r="AK715">
        <v>0</v>
      </c>
      <c r="AL715" t="str">
        <f>IF(AA715="","",IFERROR(IF(ISNUMBER('Procyclean MG'!D216),'Procyclean MG'!D216,IF(ISNUMBER(SEARCH("12",'Procyclean MG'!D216)),EDATE(AB715,12),IF(ISNUMBER(SEARCH("6",'Procyclean MG'!D216)),EDATE(AB715,6),IF(ISNUMBER(SEARCH("3",'Procyclean MG'!D216)),EDATE(AB715,3),DATEVALUE('Procyclean MG'!D216))))),""))</f>
        <v/>
      </c>
      <c r="AM715" t="str">
        <f t="shared" ca="1" si="88"/>
        <v/>
      </c>
    </row>
    <row r="716" spans="27:39" x14ac:dyDescent="0.3">
      <c r="AA716" t="str">
        <f>IF(COUNTA('Procyclean MG'!A217,'Procyclean MG'!B217,'Procyclean MG'!C217)&gt;0,"MG","")</f>
        <v/>
      </c>
      <c r="AB716" t="str">
        <f>IFERROR(IF(ISNUMBER('Procyclean MG'!A217),'Procyclean MG'!A217,DATEVALUE('Procyclean MG'!A217)),"")</f>
        <v/>
      </c>
      <c r="AC716" t="str">
        <f>IF(AA716="","",'Procyclean MG'!B217)</f>
        <v/>
      </c>
      <c r="AD716" t="str">
        <f>IF(AA716="","",IFERROR(1*'Procyclean MG'!C217,IFERROR(_xludf.NUMBERVALUE('Procyclean MG'!C217,".",","),IFERROR(_xludf.NUMBERVALUE('Procyclean MG'!C217,",","."),0))))</f>
        <v/>
      </c>
      <c r="AE716" t="str">
        <f>IF(AA716="","",'Procyclean MG'!I217)</f>
        <v/>
      </c>
      <c r="AF716">
        <f t="shared" si="83"/>
        <v>0</v>
      </c>
      <c r="AG716" t="str">
        <f t="shared" si="84"/>
        <v/>
      </c>
      <c r="AH716" t="str">
        <f t="shared" si="85"/>
        <v/>
      </c>
      <c r="AI716">
        <f t="shared" si="86"/>
        <v>0</v>
      </c>
      <c r="AJ716">
        <f t="shared" si="87"/>
        <v>0</v>
      </c>
      <c r="AK716">
        <v>0</v>
      </c>
      <c r="AL716" t="str">
        <f>IF(AA716="","",IFERROR(IF(ISNUMBER('Procyclean MG'!D217),'Procyclean MG'!D217,IF(ISNUMBER(SEARCH("12",'Procyclean MG'!D217)),EDATE(AB716,12),IF(ISNUMBER(SEARCH("6",'Procyclean MG'!D217)),EDATE(AB716,6),IF(ISNUMBER(SEARCH("3",'Procyclean MG'!D217)),EDATE(AB716,3),DATEVALUE('Procyclean MG'!D217))))),""))</f>
        <v/>
      </c>
      <c r="AM716" t="str">
        <f t="shared" ca="1" si="88"/>
        <v/>
      </c>
    </row>
    <row r="717" spans="27:39" x14ac:dyDescent="0.3">
      <c r="AA717" t="str">
        <f>IF(COUNTA('Procyclean MG'!A218,'Procyclean MG'!B218,'Procyclean MG'!C218)&gt;0,"MG","")</f>
        <v/>
      </c>
      <c r="AB717" t="str">
        <f>IFERROR(IF(ISNUMBER('Procyclean MG'!A218),'Procyclean MG'!A218,DATEVALUE('Procyclean MG'!A218)),"")</f>
        <v/>
      </c>
      <c r="AC717" t="str">
        <f>IF(AA717="","",'Procyclean MG'!B218)</f>
        <v/>
      </c>
      <c r="AD717" t="str">
        <f>IF(AA717="","",IFERROR(1*'Procyclean MG'!C218,IFERROR(_xludf.NUMBERVALUE('Procyclean MG'!C218,".",","),IFERROR(_xludf.NUMBERVALUE('Procyclean MG'!C218,",","."),0))))</f>
        <v/>
      </c>
      <c r="AE717" t="str">
        <f>IF(AA717="","",'Procyclean MG'!I218)</f>
        <v/>
      </c>
      <c r="AF717">
        <f t="shared" si="83"/>
        <v>0</v>
      </c>
      <c r="AG717" t="str">
        <f t="shared" si="84"/>
        <v/>
      </c>
      <c r="AH717" t="str">
        <f t="shared" si="85"/>
        <v/>
      </c>
      <c r="AI717">
        <f t="shared" si="86"/>
        <v>0</v>
      </c>
      <c r="AJ717">
        <f t="shared" si="87"/>
        <v>0</v>
      </c>
      <c r="AK717">
        <v>0</v>
      </c>
      <c r="AL717" t="str">
        <f>IF(AA717="","",IFERROR(IF(ISNUMBER('Procyclean MG'!D218),'Procyclean MG'!D218,IF(ISNUMBER(SEARCH("12",'Procyclean MG'!D218)),EDATE(AB717,12),IF(ISNUMBER(SEARCH("6",'Procyclean MG'!D218)),EDATE(AB717,6),IF(ISNUMBER(SEARCH("3",'Procyclean MG'!D218)),EDATE(AB717,3),DATEVALUE('Procyclean MG'!D218))))),""))</f>
        <v/>
      </c>
      <c r="AM717" t="str">
        <f t="shared" ca="1" si="88"/>
        <v/>
      </c>
    </row>
    <row r="718" spans="27:39" x14ac:dyDescent="0.3">
      <c r="AA718" t="str">
        <f>IF(COUNTA('Procyclean MG'!A219,'Procyclean MG'!B219,'Procyclean MG'!C219)&gt;0,"MG","")</f>
        <v/>
      </c>
      <c r="AB718" t="str">
        <f>IFERROR(IF(ISNUMBER('Procyclean MG'!A219),'Procyclean MG'!A219,DATEVALUE('Procyclean MG'!A219)),"")</f>
        <v/>
      </c>
      <c r="AC718" t="str">
        <f>IF(AA718="","",'Procyclean MG'!B219)</f>
        <v/>
      </c>
      <c r="AD718" t="str">
        <f>IF(AA718="","",IFERROR(1*'Procyclean MG'!C219,IFERROR(_xludf.NUMBERVALUE('Procyclean MG'!C219,".",","),IFERROR(_xludf.NUMBERVALUE('Procyclean MG'!C219,",","."),0))))</f>
        <v/>
      </c>
      <c r="AE718" t="str">
        <f>IF(AA718="","",'Procyclean MG'!I219)</f>
        <v/>
      </c>
      <c r="AF718">
        <f t="shared" si="83"/>
        <v>0</v>
      </c>
      <c r="AG718" t="str">
        <f t="shared" si="84"/>
        <v/>
      </c>
      <c r="AH718" t="str">
        <f t="shared" si="85"/>
        <v/>
      </c>
      <c r="AI718">
        <f t="shared" si="86"/>
        <v>0</v>
      </c>
      <c r="AJ718">
        <f t="shared" si="87"/>
        <v>0</v>
      </c>
      <c r="AK718">
        <v>0</v>
      </c>
      <c r="AL718" t="str">
        <f>IF(AA718="","",IFERROR(IF(ISNUMBER('Procyclean MG'!D219),'Procyclean MG'!D219,IF(ISNUMBER(SEARCH("12",'Procyclean MG'!D219)),EDATE(AB718,12),IF(ISNUMBER(SEARCH("6",'Procyclean MG'!D219)),EDATE(AB718,6),IF(ISNUMBER(SEARCH("3",'Procyclean MG'!D219)),EDATE(AB718,3),DATEVALUE('Procyclean MG'!D219))))),""))</f>
        <v/>
      </c>
      <c r="AM718" t="str">
        <f t="shared" ca="1" si="88"/>
        <v/>
      </c>
    </row>
    <row r="719" spans="27:39" x14ac:dyDescent="0.3">
      <c r="AA719" t="str">
        <f>IF(COUNTA('Procyclean MG'!A220,'Procyclean MG'!B220,'Procyclean MG'!C220)&gt;0,"MG","")</f>
        <v/>
      </c>
      <c r="AB719" t="str">
        <f>IFERROR(IF(ISNUMBER('Procyclean MG'!A220),'Procyclean MG'!A220,DATEVALUE('Procyclean MG'!A220)),"")</f>
        <v/>
      </c>
      <c r="AC719" t="str">
        <f>IF(AA719="","",'Procyclean MG'!B220)</f>
        <v/>
      </c>
      <c r="AD719" t="str">
        <f>IF(AA719="","",IFERROR(1*'Procyclean MG'!C220,IFERROR(_xludf.NUMBERVALUE('Procyclean MG'!C220,".",","),IFERROR(_xludf.NUMBERVALUE('Procyclean MG'!C220,",","."),0))))</f>
        <v/>
      </c>
      <c r="AE719" t="str">
        <f>IF(AA719="","",'Procyclean MG'!I220)</f>
        <v/>
      </c>
      <c r="AF719">
        <f t="shared" si="83"/>
        <v>0</v>
      </c>
      <c r="AG719" t="str">
        <f t="shared" si="84"/>
        <v/>
      </c>
      <c r="AH719" t="str">
        <f t="shared" si="85"/>
        <v/>
      </c>
      <c r="AI719">
        <f t="shared" si="86"/>
        <v>0</v>
      </c>
      <c r="AJ719">
        <f t="shared" si="87"/>
        <v>0</v>
      </c>
      <c r="AK719">
        <v>0</v>
      </c>
      <c r="AL719" t="str">
        <f>IF(AA719="","",IFERROR(IF(ISNUMBER('Procyclean MG'!D220),'Procyclean MG'!D220,IF(ISNUMBER(SEARCH("12",'Procyclean MG'!D220)),EDATE(AB719,12),IF(ISNUMBER(SEARCH("6",'Procyclean MG'!D220)),EDATE(AB719,6),IF(ISNUMBER(SEARCH("3",'Procyclean MG'!D220)),EDATE(AB719,3),DATEVALUE('Procyclean MG'!D220))))),""))</f>
        <v/>
      </c>
      <c r="AM719" t="str">
        <f t="shared" ca="1" si="88"/>
        <v/>
      </c>
    </row>
    <row r="720" spans="27:39" x14ac:dyDescent="0.3">
      <c r="AA720" t="str">
        <f>IF(COUNTA('Procyclean MG'!A221,'Procyclean MG'!B221,'Procyclean MG'!C221)&gt;0,"MG","")</f>
        <v/>
      </c>
      <c r="AB720" t="str">
        <f>IFERROR(IF(ISNUMBER('Procyclean MG'!A221),'Procyclean MG'!A221,DATEVALUE('Procyclean MG'!A221)),"")</f>
        <v/>
      </c>
      <c r="AC720" t="str">
        <f>IF(AA720="","",'Procyclean MG'!B221)</f>
        <v/>
      </c>
      <c r="AD720" t="str">
        <f>IF(AA720="","",IFERROR(1*'Procyclean MG'!C221,IFERROR(_xludf.NUMBERVALUE('Procyclean MG'!C221,".",","),IFERROR(_xludf.NUMBERVALUE('Procyclean MG'!C221,",","."),0))))</f>
        <v/>
      </c>
      <c r="AE720" t="str">
        <f>IF(AA720="","",'Procyclean MG'!I221)</f>
        <v/>
      </c>
      <c r="AF720">
        <f t="shared" si="83"/>
        <v>0</v>
      </c>
      <c r="AG720" t="str">
        <f t="shared" si="84"/>
        <v/>
      </c>
      <c r="AH720" t="str">
        <f t="shared" si="85"/>
        <v/>
      </c>
      <c r="AI720">
        <f t="shared" si="86"/>
        <v>0</v>
      </c>
      <c r="AJ720">
        <f t="shared" si="87"/>
        <v>0</v>
      </c>
      <c r="AK720">
        <v>0</v>
      </c>
      <c r="AL720" t="str">
        <f>IF(AA720="","",IFERROR(IF(ISNUMBER('Procyclean MG'!D221),'Procyclean MG'!D221,IF(ISNUMBER(SEARCH("12",'Procyclean MG'!D221)),EDATE(AB720,12),IF(ISNUMBER(SEARCH("6",'Procyclean MG'!D221)),EDATE(AB720,6),IF(ISNUMBER(SEARCH("3",'Procyclean MG'!D221)),EDATE(AB720,3),DATEVALUE('Procyclean MG'!D221))))),""))</f>
        <v/>
      </c>
      <c r="AM720" t="str">
        <f t="shared" ca="1" si="88"/>
        <v/>
      </c>
    </row>
    <row r="721" spans="27:39" x14ac:dyDescent="0.3">
      <c r="AA721" t="str">
        <f>IF(COUNTA('Procyclean MG'!A222,'Procyclean MG'!B222,'Procyclean MG'!C222)&gt;0,"MG","")</f>
        <v/>
      </c>
      <c r="AB721" t="str">
        <f>IFERROR(IF(ISNUMBER('Procyclean MG'!A222),'Procyclean MG'!A222,DATEVALUE('Procyclean MG'!A222)),"")</f>
        <v/>
      </c>
      <c r="AC721" t="str">
        <f>IF(AA721="","",'Procyclean MG'!B222)</f>
        <v/>
      </c>
      <c r="AD721" t="str">
        <f>IF(AA721="","",IFERROR(1*'Procyclean MG'!C222,IFERROR(_xludf.NUMBERVALUE('Procyclean MG'!C222,".",","),IFERROR(_xludf.NUMBERVALUE('Procyclean MG'!C222,",","."),0))))</f>
        <v/>
      </c>
      <c r="AE721" t="str">
        <f>IF(AA721="","",'Procyclean MG'!I222)</f>
        <v/>
      </c>
      <c r="AF721">
        <f t="shared" si="83"/>
        <v>0</v>
      </c>
      <c r="AG721" t="str">
        <f t="shared" si="84"/>
        <v/>
      </c>
      <c r="AH721" t="str">
        <f t="shared" si="85"/>
        <v/>
      </c>
      <c r="AI721">
        <f t="shared" si="86"/>
        <v>0</v>
      </c>
      <c r="AJ721">
        <f t="shared" si="87"/>
        <v>0</v>
      </c>
      <c r="AK721">
        <v>0</v>
      </c>
      <c r="AL721" t="str">
        <f>IF(AA721="","",IFERROR(IF(ISNUMBER('Procyclean MG'!D222),'Procyclean MG'!D222,IF(ISNUMBER(SEARCH("12",'Procyclean MG'!D222)),EDATE(AB721,12),IF(ISNUMBER(SEARCH("6",'Procyclean MG'!D222)),EDATE(AB721,6),IF(ISNUMBER(SEARCH("3",'Procyclean MG'!D222)),EDATE(AB721,3),DATEVALUE('Procyclean MG'!D222))))),""))</f>
        <v/>
      </c>
      <c r="AM721" t="str">
        <f t="shared" ca="1" si="88"/>
        <v/>
      </c>
    </row>
    <row r="722" spans="27:39" x14ac:dyDescent="0.3">
      <c r="AA722" t="str">
        <f>IF(COUNTA('Procyclean MG'!A223,'Procyclean MG'!B223,'Procyclean MG'!C223)&gt;0,"MG","")</f>
        <v/>
      </c>
      <c r="AB722" t="str">
        <f>IFERROR(IF(ISNUMBER('Procyclean MG'!A223),'Procyclean MG'!A223,DATEVALUE('Procyclean MG'!A223)),"")</f>
        <v/>
      </c>
      <c r="AC722" t="str">
        <f>IF(AA722="","",'Procyclean MG'!B223)</f>
        <v/>
      </c>
      <c r="AD722" t="str">
        <f>IF(AA722="","",IFERROR(1*'Procyclean MG'!C223,IFERROR(_xludf.NUMBERVALUE('Procyclean MG'!C223,".",","),IFERROR(_xludf.NUMBERVALUE('Procyclean MG'!C223,",","."),0))))</f>
        <v/>
      </c>
      <c r="AE722" t="str">
        <f>IF(AA722="","",'Procyclean MG'!I223)</f>
        <v/>
      </c>
      <c r="AF722">
        <f t="shared" si="83"/>
        <v>0</v>
      </c>
      <c r="AG722" t="str">
        <f t="shared" si="84"/>
        <v/>
      </c>
      <c r="AH722" t="str">
        <f t="shared" si="85"/>
        <v/>
      </c>
      <c r="AI722">
        <f t="shared" si="86"/>
        <v>0</v>
      </c>
      <c r="AJ722">
        <f t="shared" si="87"/>
        <v>0</v>
      </c>
      <c r="AK722">
        <v>0</v>
      </c>
      <c r="AL722" t="str">
        <f>IF(AA722="","",IFERROR(IF(ISNUMBER('Procyclean MG'!D223),'Procyclean MG'!D223,IF(ISNUMBER(SEARCH("12",'Procyclean MG'!D223)),EDATE(AB722,12),IF(ISNUMBER(SEARCH("6",'Procyclean MG'!D223)),EDATE(AB722,6),IF(ISNUMBER(SEARCH("3",'Procyclean MG'!D223)),EDATE(AB722,3),DATEVALUE('Procyclean MG'!D223))))),""))</f>
        <v/>
      </c>
      <c r="AM722" t="str">
        <f t="shared" ca="1" si="88"/>
        <v/>
      </c>
    </row>
    <row r="723" spans="27:39" x14ac:dyDescent="0.3">
      <c r="AA723" t="str">
        <f>IF(COUNTA('Procyclean MG'!A224,'Procyclean MG'!B224,'Procyclean MG'!C224)&gt;0,"MG","")</f>
        <v/>
      </c>
      <c r="AB723" t="str">
        <f>IFERROR(IF(ISNUMBER('Procyclean MG'!A224),'Procyclean MG'!A224,DATEVALUE('Procyclean MG'!A224)),"")</f>
        <v/>
      </c>
      <c r="AC723" t="str">
        <f>IF(AA723="","",'Procyclean MG'!B224)</f>
        <v/>
      </c>
      <c r="AD723" t="str">
        <f>IF(AA723="","",IFERROR(1*'Procyclean MG'!C224,IFERROR(_xludf.NUMBERVALUE('Procyclean MG'!C224,".",","),IFERROR(_xludf.NUMBERVALUE('Procyclean MG'!C224,",","."),0))))</f>
        <v/>
      </c>
      <c r="AE723" t="str">
        <f>IF(AA723="","",'Procyclean MG'!I224)</f>
        <v/>
      </c>
      <c r="AF723">
        <f t="shared" si="83"/>
        <v>0</v>
      </c>
      <c r="AG723" t="str">
        <f t="shared" si="84"/>
        <v/>
      </c>
      <c r="AH723" t="str">
        <f t="shared" si="85"/>
        <v/>
      </c>
      <c r="AI723">
        <f t="shared" si="86"/>
        <v>0</v>
      </c>
      <c r="AJ723">
        <f t="shared" si="87"/>
        <v>0</v>
      </c>
      <c r="AK723">
        <v>0</v>
      </c>
      <c r="AL723" t="str">
        <f>IF(AA723="","",IFERROR(IF(ISNUMBER('Procyclean MG'!D224),'Procyclean MG'!D224,IF(ISNUMBER(SEARCH("12",'Procyclean MG'!D224)),EDATE(AB723,12),IF(ISNUMBER(SEARCH("6",'Procyclean MG'!D224)),EDATE(AB723,6),IF(ISNUMBER(SEARCH("3",'Procyclean MG'!D224)),EDATE(AB723,3),DATEVALUE('Procyclean MG'!D224))))),""))</f>
        <v/>
      </c>
      <c r="AM723" t="str">
        <f t="shared" ca="1" si="88"/>
        <v/>
      </c>
    </row>
    <row r="724" spans="27:39" x14ac:dyDescent="0.3">
      <c r="AA724" t="str">
        <f>IF(COUNTA('Procyclean MG'!A225,'Procyclean MG'!B225,'Procyclean MG'!C225)&gt;0,"MG","")</f>
        <v/>
      </c>
      <c r="AB724" t="str">
        <f>IFERROR(IF(ISNUMBER('Procyclean MG'!A225),'Procyclean MG'!A225,DATEVALUE('Procyclean MG'!A225)),"")</f>
        <v/>
      </c>
      <c r="AC724" t="str">
        <f>IF(AA724="","",'Procyclean MG'!B225)</f>
        <v/>
      </c>
      <c r="AD724" t="str">
        <f>IF(AA724="","",IFERROR(1*'Procyclean MG'!C225,IFERROR(_xludf.NUMBERVALUE('Procyclean MG'!C225,".",","),IFERROR(_xludf.NUMBERVALUE('Procyclean MG'!C225,",","."),0))))</f>
        <v/>
      </c>
      <c r="AE724" t="str">
        <f>IF(AA724="","",'Procyclean MG'!I225)</f>
        <v/>
      </c>
      <c r="AF724">
        <f t="shared" si="83"/>
        <v>0</v>
      </c>
      <c r="AG724" t="str">
        <f t="shared" si="84"/>
        <v/>
      </c>
      <c r="AH724" t="str">
        <f t="shared" si="85"/>
        <v/>
      </c>
      <c r="AI724">
        <f t="shared" si="86"/>
        <v>0</v>
      </c>
      <c r="AJ724">
        <f t="shared" si="87"/>
        <v>0</v>
      </c>
      <c r="AK724">
        <v>0</v>
      </c>
      <c r="AL724" t="str">
        <f>IF(AA724="","",IFERROR(IF(ISNUMBER('Procyclean MG'!D225),'Procyclean MG'!D225,IF(ISNUMBER(SEARCH("12",'Procyclean MG'!D225)),EDATE(AB724,12),IF(ISNUMBER(SEARCH("6",'Procyclean MG'!D225)),EDATE(AB724,6),IF(ISNUMBER(SEARCH("3",'Procyclean MG'!D225)),EDATE(AB724,3),DATEVALUE('Procyclean MG'!D225))))),""))</f>
        <v/>
      </c>
      <c r="AM724" t="str">
        <f t="shared" ca="1" si="88"/>
        <v/>
      </c>
    </row>
    <row r="725" spans="27:39" x14ac:dyDescent="0.3">
      <c r="AA725" t="str">
        <f>IF(COUNTA('Procyclean MG'!A226,'Procyclean MG'!B226,'Procyclean MG'!C226)&gt;0,"MG","")</f>
        <v/>
      </c>
      <c r="AB725" t="str">
        <f>IFERROR(IF(ISNUMBER('Procyclean MG'!A226),'Procyclean MG'!A226,DATEVALUE('Procyclean MG'!A226)),"")</f>
        <v/>
      </c>
      <c r="AC725" t="str">
        <f>IF(AA725="","",'Procyclean MG'!B226)</f>
        <v/>
      </c>
      <c r="AD725" t="str">
        <f>IF(AA725="","",IFERROR(1*'Procyclean MG'!C226,IFERROR(_xludf.NUMBERVALUE('Procyclean MG'!C226,".",","),IFERROR(_xludf.NUMBERVALUE('Procyclean MG'!C226,",","."),0))))</f>
        <v/>
      </c>
      <c r="AE725" t="str">
        <f>IF(AA725="","",'Procyclean MG'!I226)</f>
        <v/>
      </c>
      <c r="AF725">
        <f t="shared" si="83"/>
        <v>0</v>
      </c>
      <c r="AG725" t="str">
        <f t="shared" si="84"/>
        <v/>
      </c>
      <c r="AH725" t="str">
        <f t="shared" si="85"/>
        <v/>
      </c>
      <c r="AI725">
        <f t="shared" si="86"/>
        <v>0</v>
      </c>
      <c r="AJ725">
        <f t="shared" si="87"/>
        <v>0</v>
      </c>
      <c r="AK725">
        <v>0</v>
      </c>
      <c r="AL725" t="str">
        <f>IF(AA725="","",IFERROR(IF(ISNUMBER('Procyclean MG'!D226),'Procyclean MG'!D226,IF(ISNUMBER(SEARCH("12",'Procyclean MG'!D226)),EDATE(AB725,12),IF(ISNUMBER(SEARCH("6",'Procyclean MG'!D226)),EDATE(AB725,6),IF(ISNUMBER(SEARCH("3",'Procyclean MG'!D226)),EDATE(AB725,3),DATEVALUE('Procyclean MG'!D226))))),""))</f>
        <v/>
      </c>
      <c r="AM725" t="str">
        <f t="shared" ca="1" si="88"/>
        <v/>
      </c>
    </row>
    <row r="726" spans="27:39" x14ac:dyDescent="0.3">
      <c r="AA726" t="str">
        <f>IF(COUNTA('Procyclean MG'!A227,'Procyclean MG'!B227,'Procyclean MG'!C227)&gt;0,"MG","")</f>
        <v/>
      </c>
      <c r="AB726" t="str">
        <f>IFERROR(IF(ISNUMBER('Procyclean MG'!A227),'Procyclean MG'!A227,DATEVALUE('Procyclean MG'!A227)),"")</f>
        <v/>
      </c>
      <c r="AC726" t="str">
        <f>IF(AA726="","",'Procyclean MG'!B227)</f>
        <v/>
      </c>
      <c r="AD726" t="str">
        <f>IF(AA726="","",IFERROR(1*'Procyclean MG'!C227,IFERROR(_xludf.NUMBERVALUE('Procyclean MG'!C227,".",","),IFERROR(_xludf.NUMBERVALUE('Procyclean MG'!C227,",","."),0))))</f>
        <v/>
      </c>
      <c r="AE726" t="str">
        <f>IF(AA726="","",'Procyclean MG'!I227)</f>
        <v/>
      </c>
      <c r="AF726">
        <f t="shared" si="83"/>
        <v>0</v>
      </c>
      <c r="AG726" t="str">
        <f t="shared" si="84"/>
        <v/>
      </c>
      <c r="AH726" t="str">
        <f t="shared" si="85"/>
        <v/>
      </c>
      <c r="AI726">
        <f t="shared" si="86"/>
        <v>0</v>
      </c>
      <c r="AJ726">
        <f t="shared" si="87"/>
        <v>0</v>
      </c>
      <c r="AK726">
        <v>0</v>
      </c>
      <c r="AL726" t="str">
        <f>IF(AA726="","",IFERROR(IF(ISNUMBER('Procyclean MG'!D227),'Procyclean MG'!D227,IF(ISNUMBER(SEARCH("12",'Procyclean MG'!D227)),EDATE(AB726,12),IF(ISNUMBER(SEARCH("6",'Procyclean MG'!D227)),EDATE(AB726,6),IF(ISNUMBER(SEARCH("3",'Procyclean MG'!D227)),EDATE(AB726,3),DATEVALUE('Procyclean MG'!D227))))),""))</f>
        <v/>
      </c>
      <c r="AM726" t="str">
        <f t="shared" ca="1" si="88"/>
        <v/>
      </c>
    </row>
    <row r="727" spans="27:39" x14ac:dyDescent="0.3">
      <c r="AA727" t="str">
        <f>IF(COUNTA('Procyclean MG'!A228,'Procyclean MG'!B228,'Procyclean MG'!C228)&gt;0,"MG","")</f>
        <v/>
      </c>
      <c r="AB727" t="str">
        <f>IFERROR(IF(ISNUMBER('Procyclean MG'!A228),'Procyclean MG'!A228,DATEVALUE('Procyclean MG'!A228)),"")</f>
        <v/>
      </c>
      <c r="AC727" t="str">
        <f>IF(AA727="","",'Procyclean MG'!B228)</f>
        <v/>
      </c>
      <c r="AD727" t="str">
        <f>IF(AA727="","",IFERROR(1*'Procyclean MG'!C228,IFERROR(_xludf.NUMBERVALUE('Procyclean MG'!C228,".",","),IFERROR(_xludf.NUMBERVALUE('Procyclean MG'!C228,",","."),0))))</f>
        <v/>
      </c>
      <c r="AE727" t="str">
        <f>IF(AA727="","",'Procyclean MG'!I228)</f>
        <v/>
      </c>
      <c r="AF727">
        <f t="shared" si="83"/>
        <v>0</v>
      </c>
      <c r="AG727" t="str">
        <f t="shared" si="84"/>
        <v/>
      </c>
      <c r="AH727" t="str">
        <f t="shared" si="85"/>
        <v/>
      </c>
      <c r="AI727">
        <f t="shared" si="86"/>
        <v>0</v>
      </c>
      <c r="AJ727">
        <f t="shared" si="87"/>
        <v>0</v>
      </c>
      <c r="AK727">
        <v>0</v>
      </c>
      <c r="AL727" t="str">
        <f>IF(AA727="","",IFERROR(IF(ISNUMBER('Procyclean MG'!D228),'Procyclean MG'!D228,IF(ISNUMBER(SEARCH("12",'Procyclean MG'!D228)),EDATE(AB727,12),IF(ISNUMBER(SEARCH("6",'Procyclean MG'!D228)),EDATE(AB727,6),IF(ISNUMBER(SEARCH("3",'Procyclean MG'!D228)),EDATE(AB727,3),DATEVALUE('Procyclean MG'!D228))))),""))</f>
        <v/>
      </c>
      <c r="AM727" t="str">
        <f t="shared" ca="1" si="88"/>
        <v/>
      </c>
    </row>
    <row r="728" spans="27:39" x14ac:dyDescent="0.3">
      <c r="AA728" t="str">
        <f>IF(COUNTA('Procyclean MG'!A229,'Procyclean MG'!B229,'Procyclean MG'!C229)&gt;0,"MG","")</f>
        <v/>
      </c>
      <c r="AB728" t="str">
        <f>IFERROR(IF(ISNUMBER('Procyclean MG'!A229),'Procyclean MG'!A229,DATEVALUE('Procyclean MG'!A229)),"")</f>
        <v/>
      </c>
      <c r="AC728" t="str">
        <f>IF(AA728="","",'Procyclean MG'!B229)</f>
        <v/>
      </c>
      <c r="AD728" t="str">
        <f>IF(AA728="","",IFERROR(1*'Procyclean MG'!C229,IFERROR(_xludf.NUMBERVALUE('Procyclean MG'!C229,".",","),IFERROR(_xludf.NUMBERVALUE('Procyclean MG'!C229,",","."),0))))</f>
        <v/>
      </c>
      <c r="AE728" t="str">
        <f>IF(AA728="","",'Procyclean MG'!I229)</f>
        <v/>
      </c>
      <c r="AF728">
        <f t="shared" si="83"/>
        <v>0</v>
      </c>
      <c r="AG728" t="str">
        <f t="shared" si="84"/>
        <v/>
      </c>
      <c r="AH728" t="str">
        <f t="shared" si="85"/>
        <v/>
      </c>
      <c r="AI728">
        <f t="shared" si="86"/>
        <v>0</v>
      </c>
      <c r="AJ728">
        <f t="shared" si="87"/>
        <v>0</v>
      </c>
      <c r="AK728">
        <v>0</v>
      </c>
      <c r="AL728" t="str">
        <f>IF(AA728="","",IFERROR(IF(ISNUMBER('Procyclean MG'!D229),'Procyclean MG'!D229,IF(ISNUMBER(SEARCH("12",'Procyclean MG'!D229)),EDATE(AB728,12),IF(ISNUMBER(SEARCH("6",'Procyclean MG'!D229)),EDATE(AB728,6),IF(ISNUMBER(SEARCH("3",'Procyclean MG'!D229)),EDATE(AB728,3),DATEVALUE('Procyclean MG'!D229))))),""))</f>
        <v/>
      </c>
      <c r="AM728" t="str">
        <f t="shared" ca="1" si="88"/>
        <v/>
      </c>
    </row>
    <row r="729" spans="27:39" x14ac:dyDescent="0.3">
      <c r="AA729" t="str">
        <f>IF(COUNTA('Procyclean MG'!A230,'Procyclean MG'!B230,'Procyclean MG'!C230)&gt;0,"MG","")</f>
        <v/>
      </c>
      <c r="AB729" t="str">
        <f>IFERROR(IF(ISNUMBER('Procyclean MG'!A230),'Procyclean MG'!A230,DATEVALUE('Procyclean MG'!A230)),"")</f>
        <v/>
      </c>
      <c r="AC729" t="str">
        <f>IF(AA729="","",'Procyclean MG'!B230)</f>
        <v/>
      </c>
      <c r="AD729" t="str">
        <f>IF(AA729="","",IFERROR(1*'Procyclean MG'!C230,IFERROR(_xludf.NUMBERVALUE('Procyclean MG'!C230,".",","),IFERROR(_xludf.NUMBERVALUE('Procyclean MG'!C230,",","."),0))))</f>
        <v/>
      </c>
      <c r="AE729" t="str">
        <f>IF(AA729="","",'Procyclean MG'!I230)</f>
        <v/>
      </c>
      <c r="AF729">
        <f t="shared" si="83"/>
        <v>0</v>
      </c>
      <c r="AG729" t="str">
        <f t="shared" si="84"/>
        <v/>
      </c>
      <c r="AH729" t="str">
        <f t="shared" si="85"/>
        <v/>
      </c>
      <c r="AI729">
        <f t="shared" si="86"/>
        <v>0</v>
      </c>
      <c r="AJ729">
        <f t="shared" si="87"/>
        <v>0</v>
      </c>
      <c r="AK729">
        <v>0</v>
      </c>
      <c r="AL729" t="str">
        <f>IF(AA729="","",IFERROR(IF(ISNUMBER('Procyclean MG'!D230),'Procyclean MG'!D230,IF(ISNUMBER(SEARCH("12",'Procyclean MG'!D230)),EDATE(AB729,12),IF(ISNUMBER(SEARCH("6",'Procyclean MG'!D230)),EDATE(AB729,6),IF(ISNUMBER(SEARCH("3",'Procyclean MG'!D230)),EDATE(AB729,3),DATEVALUE('Procyclean MG'!D230))))),""))</f>
        <v/>
      </c>
      <c r="AM729" t="str">
        <f t="shared" ca="1" si="88"/>
        <v/>
      </c>
    </row>
    <row r="730" spans="27:39" x14ac:dyDescent="0.3">
      <c r="AA730" t="str">
        <f>IF(COUNTA('Procyclean MG'!A231,'Procyclean MG'!B231,'Procyclean MG'!C231)&gt;0,"MG","")</f>
        <v/>
      </c>
      <c r="AB730" t="str">
        <f>IFERROR(IF(ISNUMBER('Procyclean MG'!A231),'Procyclean MG'!A231,DATEVALUE('Procyclean MG'!A231)),"")</f>
        <v/>
      </c>
      <c r="AC730" t="str">
        <f>IF(AA730="","",'Procyclean MG'!B231)</f>
        <v/>
      </c>
      <c r="AD730" t="str">
        <f>IF(AA730="","",IFERROR(1*'Procyclean MG'!C231,IFERROR(_xludf.NUMBERVALUE('Procyclean MG'!C231,".",","),IFERROR(_xludf.NUMBERVALUE('Procyclean MG'!C231,",","."),0))))</f>
        <v/>
      </c>
      <c r="AE730" t="str">
        <f>IF(AA730="","",'Procyclean MG'!I231)</f>
        <v/>
      </c>
      <c r="AF730">
        <f t="shared" si="83"/>
        <v>0</v>
      </c>
      <c r="AG730" t="str">
        <f t="shared" si="84"/>
        <v/>
      </c>
      <c r="AH730" t="str">
        <f t="shared" si="85"/>
        <v/>
      </c>
      <c r="AI730">
        <f t="shared" si="86"/>
        <v>0</v>
      </c>
      <c r="AJ730">
        <f t="shared" si="87"/>
        <v>0</v>
      </c>
      <c r="AK730">
        <v>0</v>
      </c>
      <c r="AL730" t="str">
        <f>IF(AA730="","",IFERROR(IF(ISNUMBER('Procyclean MG'!D231),'Procyclean MG'!D231,IF(ISNUMBER(SEARCH("12",'Procyclean MG'!D231)),EDATE(AB730,12),IF(ISNUMBER(SEARCH("6",'Procyclean MG'!D231)),EDATE(AB730,6),IF(ISNUMBER(SEARCH("3",'Procyclean MG'!D231)),EDATE(AB730,3),DATEVALUE('Procyclean MG'!D231))))),""))</f>
        <v/>
      </c>
      <c r="AM730" t="str">
        <f t="shared" ca="1" si="88"/>
        <v/>
      </c>
    </row>
    <row r="731" spans="27:39" x14ac:dyDescent="0.3">
      <c r="AA731" t="str">
        <f>IF(COUNTA('Procyclean MG'!A232,'Procyclean MG'!B232,'Procyclean MG'!C232)&gt;0,"MG","")</f>
        <v/>
      </c>
      <c r="AB731" t="str">
        <f>IFERROR(IF(ISNUMBER('Procyclean MG'!A232),'Procyclean MG'!A232,DATEVALUE('Procyclean MG'!A232)),"")</f>
        <v/>
      </c>
      <c r="AC731" t="str">
        <f>IF(AA731="","",'Procyclean MG'!B232)</f>
        <v/>
      </c>
      <c r="AD731" t="str">
        <f>IF(AA731="","",IFERROR(1*'Procyclean MG'!C232,IFERROR(_xludf.NUMBERVALUE('Procyclean MG'!C232,".",","),IFERROR(_xludf.NUMBERVALUE('Procyclean MG'!C232,",","."),0))))</f>
        <v/>
      </c>
      <c r="AE731" t="str">
        <f>IF(AA731="","",'Procyclean MG'!I232)</f>
        <v/>
      </c>
      <c r="AF731">
        <f t="shared" si="83"/>
        <v>0</v>
      </c>
      <c r="AG731" t="str">
        <f t="shared" si="84"/>
        <v/>
      </c>
      <c r="AH731" t="str">
        <f t="shared" si="85"/>
        <v/>
      </c>
      <c r="AI731">
        <f t="shared" si="86"/>
        <v>0</v>
      </c>
      <c r="AJ731">
        <f t="shared" si="87"/>
        <v>0</v>
      </c>
      <c r="AK731">
        <v>0</v>
      </c>
      <c r="AL731" t="str">
        <f>IF(AA731="","",IFERROR(IF(ISNUMBER('Procyclean MG'!D232),'Procyclean MG'!D232,IF(ISNUMBER(SEARCH("12",'Procyclean MG'!D232)),EDATE(AB731,12),IF(ISNUMBER(SEARCH("6",'Procyclean MG'!D232)),EDATE(AB731,6),IF(ISNUMBER(SEARCH("3",'Procyclean MG'!D232)),EDATE(AB731,3),DATEVALUE('Procyclean MG'!D232))))),""))</f>
        <v/>
      </c>
      <c r="AM731" t="str">
        <f t="shared" ca="1" si="88"/>
        <v/>
      </c>
    </row>
    <row r="732" spans="27:39" x14ac:dyDescent="0.3">
      <c r="AA732" t="str">
        <f>IF(COUNTA('Procyclean MG'!A233,'Procyclean MG'!B233,'Procyclean MG'!C233)&gt;0,"MG","")</f>
        <v/>
      </c>
      <c r="AB732" t="str">
        <f>IFERROR(IF(ISNUMBER('Procyclean MG'!A233),'Procyclean MG'!A233,DATEVALUE('Procyclean MG'!A233)),"")</f>
        <v/>
      </c>
      <c r="AC732" t="str">
        <f>IF(AA732="","",'Procyclean MG'!B233)</f>
        <v/>
      </c>
      <c r="AD732" t="str">
        <f>IF(AA732="","",IFERROR(1*'Procyclean MG'!C233,IFERROR(_xludf.NUMBERVALUE('Procyclean MG'!C233,".",","),IFERROR(_xludf.NUMBERVALUE('Procyclean MG'!C233,",","."),0))))</f>
        <v/>
      </c>
      <c r="AE732" t="str">
        <f>IF(AA732="","",'Procyclean MG'!I233)</f>
        <v/>
      </c>
      <c r="AF732">
        <f t="shared" si="83"/>
        <v>0</v>
      </c>
      <c r="AG732" t="str">
        <f t="shared" si="84"/>
        <v/>
      </c>
      <c r="AH732" t="str">
        <f t="shared" si="85"/>
        <v/>
      </c>
      <c r="AI732">
        <f t="shared" si="86"/>
        <v>0</v>
      </c>
      <c r="AJ732">
        <f t="shared" si="87"/>
        <v>0</v>
      </c>
      <c r="AK732">
        <v>0</v>
      </c>
      <c r="AL732" t="str">
        <f>IF(AA732="","",IFERROR(IF(ISNUMBER('Procyclean MG'!D233),'Procyclean MG'!D233,IF(ISNUMBER(SEARCH("12",'Procyclean MG'!D233)),EDATE(AB732,12),IF(ISNUMBER(SEARCH("6",'Procyclean MG'!D233)),EDATE(AB732,6),IF(ISNUMBER(SEARCH("3",'Procyclean MG'!D233)),EDATE(AB732,3),DATEVALUE('Procyclean MG'!D233))))),""))</f>
        <v/>
      </c>
      <c r="AM732" t="str">
        <f t="shared" ca="1" si="88"/>
        <v/>
      </c>
    </row>
    <row r="733" spans="27:39" x14ac:dyDescent="0.3">
      <c r="AA733" t="str">
        <f>IF(COUNTA('Procyclean MG'!A234,'Procyclean MG'!B234,'Procyclean MG'!C234)&gt;0,"MG","")</f>
        <v/>
      </c>
      <c r="AB733" t="str">
        <f>IFERROR(IF(ISNUMBER('Procyclean MG'!A234),'Procyclean MG'!A234,DATEVALUE('Procyclean MG'!A234)),"")</f>
        <v/>
      </c>
      <c r="AC733" t="str">
        <f>IF(AA733="","",'Procyclean MG'!B234)</f>
        <v/>
      </c>
      <c r="AD733" t="str">
        <f>IF(AA733="","",IFERROR(1*'Procyclean MG'!C234,IFERROR(_xludf.NUMBERVALUE('Procyclean MG'!C234,".",","),IFERROR(_xludf.NUMBERVALUE('Procyclean MG'!C234,",","."),0))))</f>
        <v/>
      </c>
      <c r="AE733" t="str">
        <f>IF(AA733="","",'Procyclean MG'!I234)</f>
        <v/>
      </c>
      <c r="AF733">
        <f t="shared" si="83"/>
        <v>0</v>
      </c>
      <c r="AG733" t="str">
        <f t="shared" si="84"/>
        <v/>
      </c>
      <c r="AH733" t="str">
        <f t="shared" si="85"/>
        <v/>
      </c>
      <c r="AI733">
        <f t="shared" si="86"/>
        <v>0</v>
      </c>
      <c r="AJ733">
        <f t="shared" si="87"/>
        <v>0</v>
      </c>
      <c r="AK733">
        <v>0</v>
      </c>
      <c r="AL733" t="str">
        <f>IF(AA733="","",IFERROR(IF(ISNUMBER('Procyclean MG'!D234),'Procyclean MG'!D234,IF(ISNUMBER(SEARCH("12",'Procyclean MG'!D234)),EDATE(AB733,12),IF(ISNUMBER(SEARCH("6",'Procyclean MG'!D234)),EDATE(AB733,6),IF(ISNUMBER(SEARCH("3",'Procyclean MG'!D234)),EDATE(AB733,3),DATEVALUE('Procyclean MG'!D234))))),""))</f>
        <v/>
      </c>
      <c r="AM733" t="str">
        <f t="shared" ca="1" si="88"/>
        <v/>
      </c>
    </row>
    <row r="734" spans="27:39" x14ac:dyDescent="0.3">
      <c r="AA734" t="str">
        <f>IF(COUNTA('Procyclean MG'!A235,'Procyclean MG'!B235,'Procyclean MG'!C235)&gt;0,"MG","")</f>
        <v/>
      </c>
      <c r="AB734" t="str">
        <f>IFERROR(IF(ISNUMBER('Procyclean MG'!A235),'Procyclean MG'!A235,DATEVALUE('Procyclean MG'!A235)),"")</f>
        <v/>
      </c>
      <c r="AC734" t="str">
        <f>IF(AA734="","",'Procyclean MG'!B235)</f>
        <v/>
      </c>
      <c r="AD734" t="str">
        <f>IF(AA734="","",IFERROR(1*'Procyclean MG'!C235,IFERROR(_xludf.NUMBERVALUE('Procyclean MG'!C235,".",","),IFERROR(_xludf.NUMBERVALUE('Procyclean MG'!C235,",","."),0))))</f>
        <v/>
      </c>
      <c r="AE734" t="str">
        <f>IF(AA734="","",'Procyclean MG'!I235)</f>
        <v/>
      </c>
      <c r="AF734">
        <f t="shared" si="83"/>
        <v>0</v>
      </c>
      <c r="AG734" t="str">
        <f t="shared" si="84"/>
        <v/>
      </c>
      <c r="AH734" t="str">
        <f t="shared" si="85"/>
        <v/>
      </c>
      <c r="AI734">
        <f t="shared" si="86"/>
        <v>0</v>
      </c>
      <c r="AJ734">
        <f t="shared" si="87"/>
        <v>0</v>
      </c>
      <c r="AK734">
        <v>0</v>
      </c>
      <c r="AL734" t="str">
        <f>IF(AA734="","",IFERROR(IF(ISNUMBER('Procyclean MG'!D235),'Procyclean MG'!D235,IF(ISNUMBER(SEARCH("12",'Procyclean MG'!D235)),EDATE(AB734,12),IF(ISNUMBER(SEARCH("6",'Procyclean MG'!D235)),EDATE(AB734,6),IF(ISNUMBER(SEARCH("3",'Procyclean MG'!D235)),EDATE(AB734,3),DATEVALUE('Procyclean MG'!D235))))),""))</f>
        <v/>
      </c>
      <c r="AM734" t="str">
        <f t="shared" ca="1" si="88"/>
        <v/>
      </c>
    </row>
    <row r="735" spans="27:39" x14ac:dyDescent="0.3">
      <c r="AA735" t="str">
        <f>IF(COUNTA('Procyclean MG'!A236,'Procyclean MG'!B236,'Procyclean MG'!C236)&gt;0,"MG","")</f>
        <v/>
      </c>
      <c r="AB735" t="str">
        <f>IFERROR(IF(ISNUMBER('Procyclean MG'!A236),'Procyclean MG'!A236,DATEVALUE('Procyclean MG'!A236)),"")</f>
        <v/>
      </c>
      <c r="AC735" t="str">
        <f>IF(AA735="","",'Procyclean MG'!B236)</f>
        <v/>
      </c>
      <c r="AD735" t="str">
        <f>IF(AA735="","",IFERROR(1*'Procyclean MG'!C236,IFERROR(_xludf.NUMBERVALUE('Procyclean MG'!C236,".",","),IFERROR(_xludf.NUMBERVALUE('Procyclean MG'!C236,",","."),0))))</f>
        <v/>
      </c>
      <c r="AE735" t="str">
        <f>IF(AA735="","",'Procyclean MG'!I236)</f>
        <v/>
      </c>
      <c r="AF735">
        <f t="shared" si="83"/>
        <v>0</v>
      </c>
      <c r="AG735" t="str">
        <f t="shared" si="84"/>
        <v/>
      </c>
      <c r="AH735" t="str">
        <f t="shared" si="85"/>
        <v/>
      </c>
      <c r="AI735">
        <f t="shared" si="86"/>
        <v>0</v>
      </c>
      <c r="AJ735">
        <f t="shared" si="87"/>
        <v>0</v>
      </c>
      <c r="AK735">
        <v>0</v>
      </c>
      <c r="AL735" t="str">
        <f>IF(AA735="","",IFERROR(IF(ISNUMBER('Procyclean MG'!D236),'Procyclean MG'!D236,IF(ISNUMBER(SEARCH("12",'Procyclean MG'!D236)),EDATE(AB735,12),IF(ISNUMBER(SEARCH("6",'Procyclean MG'!D236)),EDATE(AB735,6),IF(ISNUMBER(SEARCH("3",'Procyclean MG'!D236)),EDATE(AB735,3),DATEVALUE('Procyclean MG'!D236))))),""))</f>
        <v/>
      </c>
      <c r="AM735" t="str">
        <f t="shared" ca="1" si="88"/>
        <v/>
      </c>
    </row>
    <row r="736" spans="27:39" x14ac:dyDescent="0.3">
      <c r="AA736" t="str">
        <f>IF(COUNTA('Procyclean MG'!A237,'Procyclean MG'!B237,'Procyclean MG'!C237)&gt;0,"MG","")</f>
        <v/>
      </c>
      <c r="AB736" t="str">
        <f>IFERROR(IF(ISNUMBER('Procyclean MG'!A237),'Procyclean MG'!A237,DATEVALUE('Procyclean MG'!A237)),"")</f>
        <v/>
      </c>
      <c r="AC736" t="str">
        <f>IF(AA736="","",'Procyclean MG'!B237)</f>
        <v/>
      </c>
      <c r="AD736" t="str">
        <f>IF(AA736="","",IFERROR(1*'Procyclean MG'!C237,IFERROR(_xludf.NUMBERVALUE('Procyclean MG'!C237,".",","),IFERROR(_xludf.NUMBERVALUE('Procyclean MG'!C237,",","."),0))))</f>
        <v/>
      </c>
      <c r="AE736" t="str">
        <f>IF(AA736="","",'Procyclean MG'!I237)</f>
        <v/>
      </c>
      <c r="AF736">
        <f t="shared" si="83"/>
        <v>0</v>
      </c>
      <c r="AG736" t="str">
        <f t="shared" si="84"/>
        <v/>
      </c>
      <c r="AH736" t="str">
        <f t="shared" si="85"/>
        <v/>
      </c>
      <c r="AI736">
        <f t="shared" si="86"/>
        <v>0</v>
      </c>
      <c r="AJ736">
        <f t="shared" si="87"/>
        <v>0</v>
      </c>
      <c r="AK736">
        <v>0</v>
      </c>
      <c r="AL736" t="str">
        <f>IF(AA736="","",IFERROR(IF(ISNUMBER('Procyclean MG'!D237),'Procyclean MG'!D237,IF(ISNUMBER(SEARCH("12",'Procyclean MG'!D237)),EDATE(AB736,12),IF(ISNUMBER(SEARCH("6",'Procyclean MG'!D237)),EDATE(AB736,6),IF(ISNUMBER(SEARCH("3",'Procyclean MG'!D237)),EDATE(AB736,3),DATEVALUE('Procyclean MG'!D237))))),""))</f>
        <v/>
      </c>
      <c r="AM736" t="str">
        <f t="shared" ca="1" si="88"/>
        <v/>
      </c>
    </row>
    <row r="737" spans="27:39" x14ac:dyDescent="0.3">
      <c r="AA737" t="str">
        <f>IF(COUNTA('Procyclean MG'!A238,'Procyclean MG'!B238,'Procyclean MG'!C238)&gt;0,"MG","")</f>
        <v/>
      </c>
      <c r="AB737" t="str">
        <f>IFERROR(IF(ISNUMBER('Procyclean MG'!A238),'Procyclean MG'!A238,DATEVALUE('Procyclean MG'!A238)),"")</f>
        <v/>
      </c>
      <c r="AC737" t="str">
        <f>IF(AA737="","",'Procyclean MG'!B238)</f>
        <v/>
      </c>
      <c r="AD737" t="str">
        <f>IF(AA737="","",IFERROR(1*'Procyclean MG'!C238,IFERROR(_xludf.NUMBERVALUE('Procyclean MG'!C238,".",","),IFERROR(_xludf.NUMBERVALUE('Procyclean MG'!C238,",","."),0))))</f>
        <v/>
      </c>
      <c r="AE737" t="str">
        <f>IF(AA737="","",'Procyclean MG'!I238)</f>
        <v/>
      </c>
      <c r="AF737">
        <f t="shared" si="83"/>
        <v>0</v>
      </c>
      <c r="AG737" t="str">
        <f t="shared" si="84"/>
        <v/>
      </c>
      <c r="AH737" t="str">
        <f t="shared" si="85"/>
        <v/>
      </c>
      <c r="AI737">
        <f t="shared" si="86"/>
        <v>0</v>
      </c>
      <c r="AJ737">
        <f t="shared" si="87"/>
        <v>0</v>
      </c>
      <c r="AK737">
        <v>0</v>
      </c>
      <c r="AL737" t="str">
        <f>IF(AA737="","",IFERROR(IF(ISNUMBER('Procyclean MG'!D238),'Procyclean MG'!D238,IF(ISNUMBER(SEARCH("12",'Procyclean MG'!D238)),EDATE(AB737,12),IF(ISNUMBER(SEARCH("6",'Procyclean MG'!D238)),EDATE(AB737,6),IF(ISNUMBER(SEARCH("3",'Procyclean MG'!D238)),EDATE(AB737,3),DATEVALUE('Procyclean MG'!D238))))),""))</f>
        <v/>
      </c>
      <c r="AM737" t="str">
        <f t="shared" ca="1" si="88"/>
        <v/>
      </c>
    </row>
    <row r="738" spans="27:39" x14ac:dyDescent="0.3">
      <c r="AA738" t="str">
        <f>IF(COUNTA('Procyclean MG'!A239,'Procyclean MG'!B239,'Procyclean MG'!C239)&gt;0,"MG","")</f>
        <v/>
      </c>
      <c r="AB738" t="str">
        <f>IFERROR(IF(ISNUMBER('Procyclean MG'!A239),'Procyclean MG'!A239,DATEVALUE('Procyclean MG'!A239)),"")</f>
        <v/>
      </c>
      <c r="AC738" t="str">
        <f>IF(AA738="","",'Procyclean MG'!B239)</f>
        <v/>
      </c>
      <c r="AD738" t="str">
        <f>IF(AA738="","",IFERROR(1*'Procyclean MG'!C239,IFERROR(_xludf.NUMBERVALUE('Procyclean MG'!C239,".",","),IFERROR(_xludf.NUMBERVALUE('Procyclean MG'!C239,",","."),0))))</f>
        <v/>
      </c>
      <c r="AE738" t="str">
        <f>IF(AA738="","",'Procyclean MG'!I239)</f>
        <v/>
      </c>
      <c r="AF738">
        <f t="shared" si="83"/>
        <v>0</v>
      </c>
      <c r="AG738" t="str">
        <f t="shared" si="84"/>
        <v/>
      </c>
      <c r="AH738" t="str">
        <f t="shared" si="85"/>
        <v/>
      </c>
      <c r="AI738">
        <f t="shared" si="86"/>
        <v>0</v>
      </c>
      <c r="AJ738">
        <f t="shared" si="87"/>
        <v>0</v>
      </c>
      <c r="AK738">
        <v>0</v>
      </c>
      <c r="AL738" t="str">
        <f>IF(AA738="","",IFERROR(IF(ISNUMBER('Procyclean MG'!D239),'Procyclean MG'!D239,IF(ISNUMBER(SEARCH("12",'Procyclean MG'!D239)),EDATE(AB738,12),IF(ISNUMBER(SEARCH("6",'Procyclean MG'!D239)),EDATE(AB738,6),IF(ISNUMBER(SEARCH("3",'Procyclean MG'!D239)),EDATE(AB738,3),DATEVALUE('Procyclean MG'!D239))))),""))</f>
        <v/>
      </c>
      <c r="AM738" t="str">
        <f t="shared" ca="1" si="88"/>
        <v/>
      </c>
    </row>
    <row r="739" spans="27:39" x14ac:dyDescent="0.3">
      <c r="AA739" t="str">
        <f>IF(COUNTA('Procyclean MG'!A240,'Procyclean MG'!B240,'Procyclean MG'!C240)&gt;0,"MG","")</f>
        <v/>
      </c>
      <c r="AB739" t="str">
        <f>IFERROR(IF(ISNUMBER('Procyclean MG'!A240),'Procyclean MG'!A240,DATEVALUE('Procyclean MG'!A240)),"")</f>
        <v/>
      </c>
      <c r="AC739" t="str">
        <f>IF(AA739="","",'Procyclean MG'!B240)</f>
        <v/>
      </c>
      <c r="AD739" t="str">
        <f>IF(AA739="","",IFERROR(1*'Procyclean MG'!C240,IFERROR(_xludf.NUMBERVALUE('Procyclean MG'!C240,".",","),IFERROR(_xludf.NUMBERVALUE('Procyclean MG'!C240,",","."),0))))</f>
        <v/>
      </c>
      <c r="AE739" t="str">
        <f>IF(AA739="","",'Procyclean MG'!I240)</f>
        <v/>
      </c>
      <c r="AF739">
        <f t="shared" si="83"/>
        <v>0</v>
      </c>
      <c r="AG739" t="str">
        <f t="shared" si="84"/>
        <v/>
      </c>
      <c r="AH739" t="str">
        <f t="shared" si="85"/>
        <v/>
      </c>
      <c r="AI739">
        <f t="shared" si="86"/>
        <v>0</v>
      </c>
      <c r="AJ739">
        <f t="shared" si="87"/>
        <v>0</v>
      </c>
      <c r="AK739">
        <v>0</v>
      </c>
      <c r="AL739" t="str">
        <f>IF(AA739="","",IFERROR(IF(ISNUMBER('Procyclean MG'!D240),'Procyclean MG'!D240,IF(ISNUMBER(SEARCH("12",'Procyclean MG'!D240)),EDATE(AB739,12),IF(ISNUMBER(SEARCH("6",'Procyclean MG'!D240)),EDATE(AB739,6),IF(ISNUMBER(SEARCH("3",'Procyclean MG'!D240)),EDATE(AB739,3),DATEVALUE('Procyclean MG'!D240))))),""))</f>
        <v/>
      </c>
      <c r="AM739" t="str">
        <f t="shared" ca="1" si="88"/>
        <v/>
      </c>
    </row>
    <row r="740" spans="27:39" x14ac:dyDescent="0.3">
      <c r="AA740" t="str">
        <f>IF(COUNTA('Procyclean MG'!A241,'Procyclean MG'!B241,'Procyclean MG'!C241)&gt;0,"MG","")</f>
        <v/>
      </c>
      <c r="AB740" t="str">
        <f>IFERROR(IF(ISNUMBER('Procyclean MG'!A241),'Procyclean MG'!A241,DATEVALUE('Procyclean MG'!A241)),"")</f>
        <v/>
      </c>
      <c r="AC740" t="str">
        <f>IF(AA740="","",'Procyclean MG'!B241)</f>
        <v/>
      </c>
      <c r="AD740" t="str">
        <f>IF(AA740="","",IFERROR(1*'Procyclean MG'!C241,IFERROR(_xludf.NUMBERVALUE('Procyclean MG'!C241,".",","),IFERROR(_xludf.NUMBERVALUE('Procyclean MG'!C241,",","."),0))))</f>
        <v/>
      </c>
      <c r="AE740" t="str">
        <f>IF(AA740="","",'Procyclean MG'!I241)</f>
        <v/>
      </c>
      <c r="AF740">
        <f t="shared" si="83"/>
        <v>0</v>
      </c>
      <c r="AG740" t="str">
        <f t="shared" si="84"/>
        <v/>
      </c>
      <c r="AH740" t="str">
        <f t="shared" si="85"/>
        <v/>
      </c>
      <c r="AI740">
        <f t="shared" si="86"/>
        <v>0</v>
      </c>
      <c r="AJ740">
        <f t="shared" si="87"/>
        <v>0</v>
      </c>
      <c r="AK740">
        <v>0</v>
      </c>
      <c r="AL740" t="str">
        <f>IF(AA740="","",IFERROR(IF(ISNUMBER('Procyclean MG'!D241),'Procyclean MG'!D241,IF(ISNUMBER(SEARCH("12",'Procyclean MG'!D241)),EDATE(AB740,12),IF(ISNUMBER(SEARCH("6",'Procyclean MG'!D241)),EDATE(AB740,6),IF(ISNUMBER(SEARCH("3",'Procyclean MG'!D241)),EDATE(AB740,3),DATEVALUE('Procyclean MG'!D241))))),""))</f>
        <v/>
      </c>
      <c r="AM740" t="str">
        <f t="shared" ca="1" si="88"/>
        <v/>
      </c>
    </row>
    <row r="741" spans="27:39" x14ac:dyDescent="0.3">
      <c r="AA741" t="str">
        <f>IF(COUNTA('Procyclean MG'!A242,'Procyclean MG'!B242,'Procyclean MG'!C242)&gt;0,"MG","")</f>
        <v/>
      </c>
      <c r="AB741" t="str">
        <f>IFERROR(IF(ISNUMBER('Procyclean MG'!A242),'Procyclean MG'!A242,DATEVALUE('Procyclean MG'!A242)),"")</f>
        <v/>
      </c>
      <c r="AC741" t="str">
        <f>IF(AA741="","",'Procyclean MG'!B242)</f>
        <v/>
      </c>
      <c r="AD741" t="str">
        <f>IF(AA741="","",IFERROR(1*'Procyclean MG'!C242,IFERROR(_xludf.NUMBERVALUE('Procyclean MG'!C242,".",","),IFERROR(_xludf.NUMBERVALUE('Procyclean MG'!C242,",","."),0))))</f>
        <v/>
      </c>
      <c r="AE741" t="str">
        <f>IF(AA741="","",'Procyclean MG'!I242)</f>
        <v/>
      </c>
      <c r="AF741">
        <f t="shared" si="83"/>
        <v>0</v>
      </c>
      <c r="AG741" t="str">
        <f t="shared" si="84"/>
        <v/>
      </c>
      <c r="AH741" t="str">
        <f t="shared" si="85"/>
        <v/>
      </c>
      <c r="AI741">
        <f t="shared" si="86"/>
        <v>0</v>
      </c>
      <c r="AJ741">
        <f t="shared" si="87"/>
        <v>0</v>
      </c>
      <c r="AK741">
        <v>0</v>
      </c>
      <c r="AL741" t="str">
        <f>IF(AA741="","",IFERROR(IF(ISNUMBER('Procyclean MG'!D242),'Procyclean MG'!D242,IF(ISNUMBER(SEARCH("12",'Procyclean MG'!D242)),EDATE(AB741,12),IF(ISNUMBER(SEARCH("6",'Procyclean MG'!D242)),EDATE(AB741,6),IF(ISNUMBER(SEARCH("3",'Procyclean MG'!D242)),EDATE(AB741,3),DATEVALUE('Procyclean MG'!D242))))),""))</f>
        <v/>
      </c>
      <c r="AM741" t="str">
        <f t="shared" ca="1" si="88"/>
        <v/>
      </c>
    </row>
    <row r="742" spans="27:39" x14ac:dyDescent="0.3">
      <c r="AA742" t="str">
        <f>IF(COUNTA('Procyclean MG'!A243,'Procyclean MG'!B243,'Procyclean MG'!C243)&gt;0,"MG","")</f>
        <v/>
      </c>
      <c r="AB742" t="str">
        <f>IFERROR(IF(ISNUMBER('Procyclean MG'!A243),'Procyclean MG'!A243,DATEVALUE('Procyclean MG'!A243)),"")</f>
        <v/>
      </c>
      <c r="AC742" t="str">
        <f>IF(AA742="","",'Procyclean MG'!B243)</f>
        <v/>
      </c>
      <c r="AD742" t="str">
        <f>IF(AA742="","",IFERROR(1*'Procyclean MG'!C243,IFERROR(_xludf.NUMBERVALUE('Procyclean MG'!C243,".",","),IFERROR(_xludf.NUMBERVALUE('Procyclean MG'!C243,",","."),0))))</f>
        <v/>
      </c>
      <c r="AE742" t="str">
        <f>IF(AA742="","",'Procyclean MG'!I243)</f>
        <v/>
      </c>
      <c r="AF742">
        <f t="shared" si="83"/>
        <v>0</v>
      </c>
      <c r="AG742" t="str">
        <f t="shared" si="84"/>
        <v/>
      </c>
      <c r="AH742" t="str">
        <f t="shared" si="85"/>
        <v/>
      </c>
      <c r="AI742">
        <f t="shared" si="86"/>
        <v>0</v>
      </c>
      <c r="AJ742">
        <f t="shared" si="87"/>
        <v>0</v>
      </c>
      <c r="AK742">
        <v>0</v>
      </c>
      <c r="AL742" t="str">
        <f>IF(AA742="","",IFERROR(IF(ISNUMBER('Procyclean MG'!D243),'Procyclean MG'!D243,IF(ISNUMBER(SEARCH("12",'Procyclean MG'!D243)),EDATE(AB742,12),IF(ISNUMBER(SEARCH("6",'Procyclean MG'!D243)),EDATE(AB742,6),IF(ISNUMBER(SEARCH("3",'Procyclean MG'!D243)),EDATE(AB742,3),DATEVALUE('Procyclean MG'!D243))))),""))</f>
        <v/>
      </c>
      <c r="AM742" t="str">
        <f t="shared" ca="1" si="88"/>
        <v/>
      </c>
    </row>
    <row r="743" spans="27:39" x14ac:dyDescent="0.3">
      <c r="AA743" t="str">
        <f>IF(COUNTA('Procyclean MG'!A244,'Procyclean MG'!B244,'Procyclean MG'!C244)&gt;0,"MG","")</f>
        <v/>
      </c>
      <c r="AB743" t="str">
        <f>IFERROR(IF(ISNUMBER('Procyclean MG'!A244),'Procyclean MG'!A244,DATEVALUE('Procyclean MG'!A244)),"")</f>
        <v/>
      </c>
      <c r="AC743" t="str">
        <f>IF(AA743="","",'Procyclean MG'!B244)</f>
        <v/>
      </c>
      <c r="AD743" t="str">
        <f>IF(AA743="","",IFERROR(1*'Procyclean MG'!C244,IFERROR(_xludf.NUMBERVALUE('Procyclean MG'!C244,".",","),IFERROR(_xludf.NUMBERVALUE('Procyclean MG'!C244,",","."),0))))</f>
        <v/>
      </c>
      <c r="AE743" t="str">
        <f>IF(AA743="","",'Procyclean MG'!I244)</f>
        <v/>
      </c>
      <c r="AF743">
        <f t="shared" si="83"/>
        <v>0</v>
      </c>
      <c r="AG743" t="str">
        <f t="shared" si="84"/>
        <v/>
      </c>
      <c r="AH743" t="str">
        <f t="shared" si="85"/>
        <v/>
      </c>
      <c r="AI743">
        <f t="shared" si="86"/>
        <v>0</v>
      </c>
      <c r="AJ743">
        <f t="shared" si="87"/>
        <v>0</v>
      </c>
      <c r="AK743">
        <v>0</v>
      </c>
      <c r="AL743" t="str">
        <f>IF(AA743="","",IFERROR(IF(ISNUMBER('Procyclean MG'!D244),'Procyclean MG'!D244,IF(ISNUMBER(SEARCH("12",'Procyclean MG'!D244)),EDATE(AB743,12),IF(ISNUMBER(SEARCH("6",'Procyclean MG'!D244)),EDATE(AB743,6),IF(ISNUMBER(SEARCH("3",'Procyclean MG'!D244)),EDATE(AB743,3),DATEVALUE('Procyclean MG'!D244))))),""))</f>
        <v/>
      </c>
      <c r="AM743" t="str">
        <f t="shared" ca="1" si="88"/>
        <v/>
      </c>
    </row>
    <row r="744" spans="27:39" x14ac:dyDescent="0.3">
      <c r="AA744" t="str">
        <f>IF(COUNTA('Procyclean MG'!A245,'Procyclean MG'!B245,'Procyclean MG'!C245)&gt;0,"MG","")</f>
        <v/>
      </c>
      <c r="AB744" t="str">
        <f>IFERROR(IF(ISNUMBER('Procyclean MG'!A245),'Procyclean MG'!A245,DATEVALUE('Procyclean MG'!A245)),"")</f>
        <v/>
      </c>
      <c r="AC744" t="str">
        <f>IF(AA744="","",'Procyclean MG'!B245)</f>
        <v/>
      </c>
      <c r="AD744" t="str">
        <f>IF(AA744="","",IFERROR(1*'Procyclean MG'!C245,IFERROR(_xludf.NUMBERVALUE('Procyclean MG'!C245,".",","),IFERROR(_xludf.NUMBERVALUE('Procyclean MG'!C245,",","."),0))))</f>
        <v/>
      </c>
      <c r="AE744" t="str">
        <f>IF(AA744="","",'Procyclean MG'!I245)</f>
        <v/>
      </c>
      <c r="AF744">
        <f t="shared" si="83"/>
        <v>0</v>
      </c>
      <c r="AG744" t="str">
        <f t="shared" si="84"/>
        <v/>
      </c>
      <c r="AH744" t="str">
        <f t="shared" si="85"/>
        <v/>
      </c>
      <c r="AI744">
        <f t="shared" si="86"/>
        <v>0</v>
      </c>
      <c r="AJ744">
        <f t="shared" si="87"/>
        <v>0</v>
      </c>
      <c r="AK744">
        <v>0</v>
      </c>
      <c r="AL744" t="str">
        <f>IF(AA744="","",IFERROR(IF(ISNUMBER('Procyclean MG'!D245),'Procyclean MG'!D245,IF(ISNUMBER(SEARCH("12",'Procyclean MG'!D245)),EDATE(AB744,12),IF(ISNUMBER(SEARCH("6",'Procyclean MG'!D245)),EDATE(AB744,6),IF(ISNUMBER(SEARCH("3",'Procyclean MG'!D245)),EDATE(AB744,3),DATEVALUE('Procyclean MG'!D245))))),""))</f>
        <v/>
      </c>
      <c r="AM744" t="str">
        <f t="shared" ca="1" si="88"/>
        <v/>
      </c>
    </row>
    <row r="745" spans="27:39" x14ac:dyDescent="0.3">
      <c r="AA745" t="str">
        <f>IF(COUNTA('Procyclean MG'!A246,'Procyclean MG'!B246,'Procyclean MG'!C246)&gt;0,"MG","")</f>
        <v/>
      </c>
      <c r="AB745" t="str">
        <f>IFERROR(IF(ISNUMBER('Procyclean MG'!A246),'Procyclean MG'!A246,DATEVALUE('Procyclean MG'!A246)),"")</f>
        <v/>
      </c>
      <c r="AC745" t="str">
        <f>IF(AA745="","",'Procyclean MG'!B246)</f>
        <v/>
      </c>
      <c r="AD745" t="str">
        <f>IF(AA745="","",IFERROR(1*'Procyclean MG'!C246,IFERROR(_xludf.NUMBERVALUE('Procyclean MG'!C246,".",","),IFERROR(_xludf.NUMBERVALUE('Procyclean MG'!C246,",","."),0))))</f>
        <v/>
      </c>
      <c r="AE745" t="str">
        <f>IF(AA745="","",'Procyclean MG'!I246)</f>
        <v/>
      </c>
      <c r="AF745">
        <f t="shared" si="83"/>
        <v>0</v>
      </c>
      <c r="AG745" t="str">
        <f t="shared" si="84"/>
        <v/>
      </c>
      <c r="AH745" t="str">
        <f t="shared" si="85"/>
        <v/>
      </c>
      <c r="AI745">
        <f t="shared" si="86"/>
        <v>0</v>
      </c>
      <c r="AJ745">
        <f t="shared" si="87"/>
        <v>0</v>
      </c>
      <c r="AK745">
        <v>0</v>
      </c>
      <c r="AL745" t="str">
        <f>IF(AA745="","",IFERROR(IF(ISNUMBER('Procyclean MG'!D246),'Procyclean MG'!D246,IF(ISNUMBER(SEARCH("12",'Procyclean MG'!D246)),EDATE(AB745,12),IF(ISNUMBER(SEARCH("6",'Procyclean MG'!D246)),EDATE(AB745,6),IF(ISNUMBER(SEARCH("3",'Procyclean MG'!D246)),EDATE(AB745,3),DATEVALUE('Procyclean MG'!D246))))),""))</f>
        <v/>
      </c>
      <c r="AM745" t="str">
        <f t="shared" ca="1" si="88"/>
        <v/>
      </c>
    </row>
    <row r="746" spans="27:39" x14ac:dyDescent="0.3">
      <c r="AA746" t="str">
        <f>IF(COUNTA('Procyclean MG'!A247,'Procyclean MG'!B247,'Procyclean MG'!C247)&gt;0,"MG","")</f>
        <v/>
      </c>
      <c r="AB746" t="str">
        <f>IFERROR(IF(ISNUMBER('Procyclean MG'!A247),'Procyclean MG'!A247,DATEVALUE('Procyclean MG'!A247)),"")</f>
        <v/>
      </c>
      <c r="AC746" t="str">
        <f>IF(AA746="","",'Procyclean MG'!B247)</f>
        <v/>
      </c>
      <c r="AD746" t="str">
        <f>IF(AA746="","",IFERROR(1*'Procyclean MG'!C247,IFERROR(_xludf.NUMBERVALUE('Procyclean MG'!C247,".",","),IFERROR(_xludf.NUMBERVALUE('Procyclean MG'!C247,",","."),0))))</f>
        <v/>
      </c>
      <c r="AE746" t="str">
        <f>IF(AA746="","",'Procyclean MG'!I247)</f>
        <v/>
      </c>
      <c r="AF746">
        <f t="shared" si="83"/>
        <v>0</v>
      </c>
      <c r="AG746" t="str">
        <f t="shared" si="84"/>
        <v/>
      </c>
      <c r="AH746" t="str">
        <f t="shared" si="85"/>
        <v/>
      </c>
      <c r="AI746">
        <f t="shared" si="86"/>
        <v>0</v>
      </c>
      <c r="AJ746">
        <f t="shared" si="87"/>
        <v>0</v>
      </c>
      <c r="AK746">
        <v>0</v>
      </c>
      <c r="AL746" t="str">
        <f>IF(AA746="","",IFERROR(IF(ISNUMBER('Procyclean MG'!D247),'Procyclean MG'!D247,IF(ISNUMBER(SEARCH("12",'Procyclean MG'!D247)),EDATE(AB746,12),IF(ISNUMBER(SEARCH("6",'Procyclean MG'!D247)),EDATE(AB746,6),IF(ISNUMBER(SEARCH("3",'Procyclean MG'!D247)),EDATE(AB746,3),DATEVALUE('Procyclean MG'!D247))))),""))</f>
        <v/>
      </c>
      <c r="AM746" t="str">
        <f t="shared" ca="1" si="88"/>
        <v/>
      </c>
    </row>
    <row r="747" spans="27:39" x14ac:dyDescent="0.3">
      <c r="AA747" t="str">
        <f>IF(COUNTA('Procyclean MG'!A248,'Procyclean MG'!B248,'Procyclean MG'!C248)&gt;0,"MG","")</f>
        <v/>
      </c>
      <c r="AB747" t="str">
        <f>IFERROR(IF(ISNUMBER('Procyclean MG'!A248),'Procyclean MG'!A248,DATEVALUE('Procyclean MG'!A248)),"")</f>
        <v/>
      </c>
      <c r="AC747" t="str">
        <f>IF(AA747="","",'Procyclean MG'!B248)</f>
        <v/>
      </c>
      <c r="AD747" t="str">
        <f>IF(AA747="","",IFERROR(1*'Procyclean MG'!C248,IFERROR(_xludf.NUMBERVALUE('Procyclean MG'!C248,".",","),IFERROR(_xludf.NUMBERVALUE('Procyclean MG'!C248,",","."),0))))</f>
        <v/>
      </c>
      <c r="AE747" t="str">
        <f>IF(AA747="","",'Procyclean MG'!I248)</f>
        <v/>
      </c>
      <c r="AF747">
        <f t="shared" si="83"/>
        <v>0</v>
      </c>
      <c r="AG747" t="str">
        <f t="shared" si="84"/>
        <v/>
      </c>
      <c r="AH747" t="str">
        <f t="shared" si="85"/>
        <v/>
      </c>
      <c r="AI747">
        <f t="shared" si="86"/>
        <v>0</v>
      </c>
      <c r="AJ747">
        <f t="shared" si="87"/>
        <v>0</v>
      </c>
      <c r="AK747">
        <v>0</v>
      </c>
      <c r="AL747" t="str">
        <f>IF(AA747="","",IFERROR(IF(ISNUMBER('Procyclean MG'!D248),'Procyclean MG'!D248,IF(ISNUMBER(SEARCH("12",'Procyclean MG'!D248)),EDATE(AB747,12),IF(ISNUMBER(SEARCH("6",'Procyclean MG'!D248)),EDATE(AB747,6),IF(ISNUMBER(SEARCH("3",'Procyclean MG'!D248)),EDATE(AB747,3),DATEVALUE('Procyclean MG'!D248))))),""))</f>
        <v/>
      </c>
      <c r="AM747" t="str">
        <f t="shared" ca="1" si="88"/>
        <v/>
      </c>
    </row>
    <row r="748" spans="27:39" x14ac:dyDescent="0.3">
      <c r="AA748" t="str">
        <f>IF(COUNTA('Procyclean MG'!A249,'Procyclean MG'!B249,'Procyclean MG'!C249)&gt;0,"MG","")</f>
        <v/>
      </c>
      <c r="AB748" t="str">
        <f>IFERROR(IF(ISNUMBER('Procyclean MG'!A249),'Procyclean MG'!A249,DATEVALUE('Procyclean MG'!A249)),"")</f>
        <v/>
      </c>
      <c r="AC748" t="str">
        <f>IF(AA748="","",'Procyclean MG'!B249)</f>
        <v/>
      </c>
      <c r="AD748" t="str">
        <f>IF(AA748="","",IFERROR(1*'Procyclean MG'!C249,IFERROR(_xludf.NUMBERVALUE('Procyclean MG'!C249,".",","),IFERROR(_xludf.NUMBERVALUE('Procyclean MG'!C249,",","."),0))))</f>
        <v/>
      </c>
      <c r="AE748" t="str">
        <f>IF(AA748="","",'Procyclean MG'!I249)</f>
        <v/>
      </c>
      <c r="AF748">
        <f t="shared" si="83"/>
        <v>0</v>
      </c>
      <c r="AG748" t="str">
        <f t="shared" si="84"/>
        <v/>
      </c>
      <c r="AH748" t="str">
        <f t="shared" si="85"/>
        <v/>
      </c>
      <c r="AI748">
        <f t="shared" si="86"/>
        <v>0</v>
      </c>
      <c r="AJ748">
        <f t="shared" si="87"/>
        <v>0</v>
      </c>
      <c r="AK748">
        <v>0</v>
      </c>
      <c r="AL748" t="str">
        <f>IF(AA748="","",IFERROR(IF(ISNUMBER('Procyclean MG'!D249),'Procyclean MG'!D249,IF(ISNUMBER(SEARCH("12",'Procyclean MG'!D249)),EDATE(AB748,12),IF(ISNUMBER(SEARCH("6",'Procyclean MG'!D249)),EDATE(AB748,6),IF(ISNUMBER(SEARCH("3",'Procyclean MG'!D249)),EDATE(AB748,3),DATEVALUE('Procyclean MG'!D249))))),""))</f>
        <v/>
      </c>
      <c r="AM748" t="str">
        <f t="shared" ca="1" si="88"/>
        <v/>
      </c>
    </row>
    <row r="749" spans="27:39" x14ac:dyDescent="0.3">
      <c r="AA749" t="str">
        <f>IF(COUNTA('Procyclean MG'!A250,'Procyclean MG'!B250,'Procyclean MG'!C250)&gt;0,"MG","")</f>
        <v/>
      </c>
      <c r="AB749" t="str">
        <f>IFERROR(IF(ISNUMBER('Procyclean MG'!A250),'Procyclean MG'!A250,DATEVALUE('Procyclean MG'!A250)),"")</f>
        <v/>
      </c>
      <c r="AC749" t="str">
        <f>IF(AA749="","",'Procyclean MG'!B250)</f>
        <v/>
      </c>
      <c r="AD749" t="str">
        <f>IF(AA749="","",IFERROR(1*'Procyclean MG'!C250,IFERROR(_xludf.NUMBERVALUE('Procyclean MG'!C250,".",","),IFERROR(_xludf.NUMBERVALUE('Procyclean MG'!C250,",","."),0))))</f>
        <v/>
      </c>
      <c r="AE749" t="str">
        <f>IF(AA749="","",'Procyclean MG'!I250)</f>
        <v/>
      </c>
      <c r="AF749">
        <f t="shared" si="83"/>
        <v>0</v>
      </c>
      <c r="AG749" t="str">
        <f t="shared" si="84"/>
        <v/>
      </c>
      <c r="AH749" t="str">
        <f t="shared" si="85"/>
        <v/>
      </c>
      <c r="AI749">
        <f t="shared" si="86"/>
        <v>0</v>
      </c>
      <c r="AJ749">
        <f t="shared" si="87"/>
        <v>0</v>
      </c>
      <c r="AK749">
        <v>0</v>
      </c>
      <c r="AL749" t="str">
        <f>IF(AA749="","",IFERROR(IF(ISNUMBER('Procyclean MG'!D250),'Procyclean MG'!D250,IF(ISNUMBER(SEARCH("12",'Procyclean MG'!D250)),EDATE(AB749,12),IF(ISNUMBER(SEARCH("6",'Procyclean MG'!D250)),EDATE(AB749,6),IF(ISNUMBER(SEARCH("3",'Procyclean MG'!D250)),EDATE(AB749,3),DATEVALUE('Procyclean MG'!D250))))),""))</f>
        <v/>
      </c>
      <c r="AM749" t="str">
        <f t="shared" ca="1" si="88"/>
        <v/>
      </c>
    </row>
    <row r="750" spans="27:39" x14ac:dyDescent="0.3">
      <c r="AA750" t="str">
        <f>IF(COUNTA('Procyclean MG'!A251,'Procyclean MG'!B251,'Procyclean MG'!C251)&gt;0,"MG","")</f>
        <v/>
      </c>
      <c r="AB750" t="str">
        <f>IFERROR(IF(ISNUMBER('Procyclean MG'!A251),'Procyclean MG'!A251,DATEVALUE('Procyclean MG'!A251)),"")</f>
        <v/>
      </c>
      <c r="AC750" t="str">
        <f>IF(AA750="","",'Procyclean MG'!B251)</f>
        <v/>
      </c>
      <c r="AD750" t="str">
        <f>IF(AA750="","",IFERROR(1*'Procyclean MG'!C251,IFERROR(_xludf.NUMBERVALUE('Procyclean MG'!C251,".",","),IFERROR(_xludf.NUMBERVALUE('Procyclean MG'!C251,",","."),0))))</f>
        <v/>
      </c>
      <c r="AE750" t="str">
        <f>IF(AA750="","",'Procyclean MG'!I251)</f>
        <v/>
      </c>
      <c r="AF750">
        <f t="shared" si="83"/>
        <v>0</v>
      </c>
      <c r="AG750" t="str">
        <f t="shared" si="84"/>
        <v/>
      </c>
      <c r="AH750" t="str">
        <f t="shared" si="85"/>
        <v/>
      </c>
      <c r="AI750">
        <f t="shared" si="86"/>
        <v>0</v>
      </c>
      <c r="AJ750">
        <f t="shared" si="87"/>
        <v>0</v>
      </c>
      <c r="AK750">
        <v>0</v>
      </c>
      <c r="AL750" t="str">
        <f>IF(AA750="","",IFERROR(IF(ISNUMBER('Procyclean MG'!D251),'Procyclean MG'!D251,IF(ISNUMBER(SEARCH("12",'Procyclean MG'!D251)),EDATE(AB750,12),IF(ISNUMBER(SEARCH("6",'Procyclean MG'!D251)),EDATE(AB750,6),IF(ISNUMBER(SEARCH("3",'Procyclean MG'!D251)),EDATE(AB750,3),DATEVALUE('Procyclean MG'!D251))))),""))</f>
        <v/>
      </c>
      <c r="AM750" t="str">
        <f t="shared" ca="1" si="88"/>
        <v/>
      </c>
    </row>
    <row r="751" spans="27:39" x14ac:dyDescent="0.3">
      <c r="AA751" t="str">
        <f>IF(COUNTA('Procyclean MG'!A252,'Procyclean MG'!B252,'Procyclean MG'!C252)&gt;0,"MG","")</f>
        <v/>
      </c>
      <c r="AB751" t="str">
        <f>IFERROR(IF(ISNUMBER('Procyclean MG'!A252),'Procyclean MG'!A252,DATEVALUE('Procyclean MG'!A252)),"")</f>
        <v/>
      </c>
      <c r="AC751" t="str">
        <f>IF(AA751="","",'Procyclean MG'!B252)</f>
        <v/>
      </c>
      <c r="AD751" t="str">
        <f>IF(AA751="","",IFERROR(1*'Procyclean MG'!C252,IFERROR(_xludf.NUMBERVALUE('Procyclean MG'!C252,".",","),IFERROR(_xludf.NUMBERVALUE('Procyclean MG'!C252,",","."),0))))</f>
        <v/>
      </c>
      <c r="AE751" t="str">
        <f>IF(AA751="","",'Procyclean MG'!I252)</f>
        <v/>
      </c>
      <c r="AF751">
        <f t="shared" si="83"/>
        <v>0</v>
      </c>
      <c r="AG751" t="str">
        <f t="shared" si="84"/>
        <v/>
      </c>
      <c r="AH751" t="str">
        <f t="shared" si="85"/>
        <v/>
      </c>
      <c r="AI751">
        <f t="shared" si="86"/>
        <v>0</v>
      </c>
      <c r="AJ751">
        <f t="shared" si="87"/>
        <v>0</v>
      </c>
      <c r="AK751">
        <v>0</v>
      </c>
      <c r="AL751" t="str">
        <f>IF(AA751="","",IFERROR(IF(ISNUMBER('Procyclean MG'!D252),'Procyclean MG'!D252,IF(ISNUMBER(SEARCH("12",'Procyclean MG'!D252)),EDATE(AB751,12),IF(ISNUMBER(SEARCH("6",'Procyclean MG'!D252)),EDATE(AB751,6),IF(ISNUMBER(SEARCH("3",'Procyclean MG'!D252)),EDATE(AB751,3),DATEVALUE('Procyclean MG'!D252))))),""))</f>
        <v/>
      </c>
      <c r="AM751" t="str">
        <f t="shared" ca="1" si="88"/>
        <v/>
      </c>
    </row>
    <row r="752" spans="27:39" x14ac:dyDescent="0.3">
      <c r="AA752" t="str">
        <f>IF(COUNTA('Procyclean MG'!A253,'Procyclean MG'!B253,'Procyclean MG'!C253)&gt;0,"MG","")</f>
        <v/>
      </c>
      <c r="AB752" t="str">
        <f>IFERROR(IF(ISNUMBER('Procyclean MG'!A253),'Procyclean MG'!A253,DATEVALUE('Procyclean MG'!A253)),"")</f>
        <v/>
      </c>
      <c r="AC752" t="str">
        <f>IF(AA752="","",'Procyclean MG'!B253)</f>
        <v/>
      </c>
      <c r="AD752" t="str">
        <f>IF(AA752="","",IFERROR(1*'Procyclean MG'!C253,IFERROR(_xludf.NUMBERVALUE('Procyclean MG'!C253,".",","),IFERROR(_xludf.NUMBERVALUE('Procyclean MG'!C253,",","."),0))))</f>
        <v/>
      </c>
      <c r="AE752" t="str">
        <f>IF(AA752="","",'Procyclean MG'!I253)</f>
        <v/>
      </c>
      <c r="AF752">
        <f t="shared" si="83"/>
        <v>0</v>
      </c>
      <c r="AG752" t="str">
        <f t="shared" si="84"/>
        <v/>
      </c>
      <c r="AH752" t="str">
        <f t="shared" si="85"/>
        <v/>
      </c>
      <c r="AI752">
        <f t="shared" si="86"/>
        <v>0</v>
      </c>
      <c r="AJ752">
        <f t="shared" si="87"/>
        <v>0</v>
      </c>
      <c r="AK752">
        <v>0</v>
      </c>
      <c r="AL752" t="str">
        <f>IF(AA752="","",IFERROR(IF(ISNUMBER('Procyclean MG'!D253),'Procyclean MG'!D253,IF(ISNUMBER(SEARCH("12",'Procyclean MG'!D253)),EDATE(AB752,12),IF(ISNUMBER(SEARCH("6",'Procyclean MG'!D253)),EDATE(AB752,6),IF(ISNUMBER(SEARCH("3",'Procyclean MG'!D253)),EDATE(AB752,3),DATEVALUE('Procyclean MG'!D253))))),""))</f>
        <v/>
      </c>
      <c r="AM752" t="str">
        <f t="shared" ca="1" si="88"/>
        <v/>
      </c>
    </row>
    <row r="753" spans="27:39" x14ac:dyDescent="0.3">
      <c r="AA753" t="str">
        <f>IF(COUNTA('Procyclean MG'!A254,'Procyclean MG'!B254,'Procyclean MG'!C254)&gt;0,"MG","")</f>
        <v/>
      </c>
      <c r="AB753" t="str">
        <f>IFERROR(IF(ISNUMBER('Procyclean MG'!A254),'Procyclean MG'!A254,DATEVALUE('Procyclean MG'!A254)),"")</f>
        <v/>
      </c>
      <c r="AC753" t="str">
        <f>IF(AA753="","",'Procyclean MG'!B254)</f>
        <v/>
      </c>
      <c r="AD753" t="str">
        <f>IF(AA753="","",IFERROR(1*'Procyclean MG'!C254,IFERROR(_xludf.NUMBERVALUE('Procyclean MG'!C254,".",","),IFERROR(_xludf.NUMBERVALUE('Procyclean MG'!C254,",","."),0))))</f>
        <v/>
      </c>
      <c r="AE753" t="str">
        <f>IF(AA753="","",'Procyclean MG'!I254)</f>
        <v/>
      </c>
      <c r="AF753">
        <f t="shared" si="83"/>
        <v>0</v>
      </c>
      <c r="AG753" t="str">
        <f t="shared" si="84"/>
        <v/>
      </c>
      <c r="AH753" t="str">
        <f t="shared" si="85"/>
        <v/>
      </c>
      <c r="AI753">
        <f t="shared" si="86"/>
        <v>0</v>
      </c>
      <c r="AJ753">
        <f t="shared" si="87"/>
        <v>0</v>
      </c>
      <c r="AK753">
        <v>0</v>
      </c>
      <c r="AL753" t="str">
        <f>IF(AA753="","",IFERROR(IF(ISNUMBER('Procyclean MG'!D254),'Procyclean MG'!D254,IF(ISNUMBER(SEARCH("12",'Procyclean MG'!D254)),EDATE(AB753,12),IF(ISNUMBER(SEARCH("6",'Procyclean MG'!D254)),EDATE(AB753,6),IF(ISNUMBER(SEARCH("3",'Procyclean MG'!D254)),EDATE(AB753,3),DATEVALUE('Procyclean MG'!D254))))),""))</f>
        <v/>
      </c>
      <c r="AM753" t="str">
        <f t="shared" ca="1" si="88"/>
        <v/>
      </c>
    </row>
    <row r="754" spans="27:39" x14ac:dyDescent="0.3">
      <c r="AA754" t="str">
        <f>IF(COUNTA('Procyclean MG'!A255,'Procyclean MG'!B255,'Procyclean MG'!C255)&gt;0,"MG","")</f>
        <v/>
      </c>
      <c r="AB754" t="str">
        <f>IFERROR(IF(ISNUMBER('Procyclean MG'!A255),'Procyclean MG'!A255,DATEVALUE('Procyclean MG'!A255)),"")</f>
        <v/>
      </c>
      <c r="AC754" t="str">
        <f>IF(AA754="","",'Procyclean MG'!B255)</f>
        <v/>
      </c>
      <c r="AD754" t="str">
        <f>IF(AA754="","",IFERROR(1*'Procyclean MG'!C255,IFERROR(_xludf.NUMBERVALUE('Procyclean MG'!C255,".",","),IFERROR(_xludf.NUMBERVALUE('Procyclean MG'!C255,",","."),0))))</f>
        <v/>
      </c>
      <c r="AE754" t="str">
        <f>IF(AA754="","",'Procyclean MG'!I255)</f>
        <v/>
      </c>
      <c r="AF754">
        <f t="shared" si="83"/>
        <v>0</v>
      </c>
      <c r="AG754" t="str">
        <f t="shared" si="84"/>
        <v/>
      </c>
      <c r="AH754" t="str">
        <f t="shared" si="85"/>
        <v/>
      </c>
      <c r="AI754">
        <f t="shared" si="86"/>
        <v>0</v>
      </c>
      <c r="AJ754">
        <f t="shared" si="87"/>
        <v>0</v>
      </c>
      <c r="AK754">
        <v>0</v>
      </c>
      <c r="AL754" t="str">
        <f>IF(AA754="","",IFERROR(IF(ISNUMBER('Procyclean MG'!D255),'Procyclean MG'!D255,IF(ISNUMBER(SEARCH("12",'Procyclean MG'!D255)),EDATE(AB754,12),IF(ISNUMBER(SEARCH("6",'Procyclean MG'!D255)),EDATE(AB754,6),IF(ISNUMBER(SEARCH("3",'Procyclean MG'!D255)),EDATE(AB754,3),DATEVALUE('Procyclean MG'!D255))))),""))</f>
        <v/>
      </c>
      <c r="AM754" t="str">
        <f t="shared" ca="1" si="88"/>
        <v/>
      </c>
    </row>
    <row r="755" spans="27:39" x14ac:dyDescent="0.3">
      <c r="AA755" t="str">
        <f>IF(COUNTA('Procyclean MG'!A256,'Procyclean MG'!B256,'Procyclean MG'!C256)&gt;0,"MG","")</f>
        <v/>
      </c>
      <c r="AB755" t="str">
        <f>IFERROR(IF(ISNUMBER('Procyclean MG'!A256),'Procyclean MG'!A256,DATEVALUE('Procyclean MG'!A256)),"")</f>
        <v/>
      </c>
      <c r="AC755" t="str">
        <f>IF(AA755="","",'Procyclean MG'!B256)</f>
        <v/>
      </c>
      <c r="AD755" t="str">
        <f>IF(AA755="","",IFERROR(1*'Procyclean MG'!C256,IFERROR(_xludf.NUMBERVALUE('Procyclean MG'!C256,".",","),IFERROR(_xludf.NUMBERVALUE('Procyclean MG'!C256,",","."),0))))</f>
        <v/>
      </c>
      <c r="AE755" t="str">
        <f>IF(AA755="","",'Procyclean MG'!I256)</f>
        <v/>
      </c>
      <c r="AF755">
        <f t="shared" si="83"/>
        <v>0</v>
      </c>
      <c r="AG755" t="str">
        <f t="shared" si="84"/>
        <v/>
      </c>
      <c r="AH755" t="str">
        <f t="shared" si="85"/>
        <v/>
      </c>
      <c r="AI755">
        <f t="shared" si="86"/>
        <v>0</v>
      </c>
      <c r="AJ755">
        <f t="shared" si="87"/>
        <v>0</v>
      </c>
      <c r="AK755">
        <v>0</v>
      </c>
      <c r="AL755" t="str">
        <f>IF(AA755="","",IFERROR(IF(ISNUMBER('Procyclean MG'!D256),'Procyclean MG'!D256,IF(ISNUMBER(SEARCH("12",'Procyclean MG'!D256)),EDATE(AB755,12),IF(ISNUMBER(SEARCH("6",'Procyclean MG'!D256)),EDATE(AB755,6),IF(ISNUMBER(SEARCH("3",'Procyclean MG'!D256)),EDATE(AB755,3),DATEVALUE('Procyclean MG'!D256))))),""))</f>
        <v/>
      </c>
      <c r="AM755" t="str">
        <f t="shared" ca="1" si="88"/>
        <v/>
      </c>
    </row>
    <row r="756" spans="27:39" x14ac:dyDescent="0.3">
      <c r="AA756" t="str">
        <f>IF(COUNTA('Procyclean MG'!A257,'Procyclean MG'!B257,'Procyclean MG'!C257)&gt;0,"MG","")</f>
        <v/>
      </c>
      <c r="AB756" t="str">
        <f>IFERROR(IF(ISNUMBER('Procyclean MG'!A257),'Procyclean MG'!A257,DATEVALUE('Procyclean MG'!A257)),"")</f>
        <v/>
      </c>
      <c r="AC756" t="str">
        <f>IF(AA756="","",'Procyclean MG'!B257)</f>
        <v/>
      </c>
      <c r="AD756" t="str">
        <f>IF(AA756="","",IFERROR(1*'Procyclean MG'!C257,IFERROR(_xludf.NUMBERVALUE('Procyclean MG'!C257,".",","),IFERROR(_xludf.NUMBERVALUE('Procyclean MG'!C257,",","."),0))))</f>
        <v/>
      </c>
      <c r="AE756" t="str">
        <f>IF(AA756="","",'Procyclean MG'!I257)</f>
        <v/>
      </c>
      <c r="AF756">
        <f t="shared" si="83"/>
        <v>0</v>
      </c>
      <c r="AG756" t="str">
        <f t="shared" si="84"/>
        <v/>
      </c>
      <c r="AH756" t="str">
        <f t="shared" si="85"/>
        <v/>
      </c>
      <c r="AI756">
        <f t="shared" si="86"/>
        <v>0</v>
      </c>
      <c r="AJ756">
        <f t="shared" si="87"/>
        <v>0</v>
      </c>
      <c r="AK756">
        <v>0</v>
      </c>
      <c r="AL756" t="str">
        <f>IF(AA756="","",IFERROR(IF(ISNUMBER('Procyclean MG'!D257),'Procyclean MG'!D257,IF(ISNUMBER(SEARCH("12",'Procyclean MG'!D257)),EDATE(AB756,12),IF(ISNUMBER(SEARCH("6",'Procyclean MG'!D257)),EDATE(AB756,6),IF(ISNUMBER(SEARCH("3",'Procyclean MG'!D257)),EDATE(AB756,3),DATEVALUE('Procyclean MG'!D257))))),""))</f>
        <v/>
      </c>
      <c r="AM756" t="str">
        <f t="shared" ca="1" si="88"/>
        <v/>
      </c>
    </row>
    <row r="757" spans="27:39" x14ac:dyDescent="0.3">
      <c r="AA757" t="str">
        <f>IF(COUNTA('Procyclean MG'!A258,'Procyclean MG'!B258,'Procyclean MG'!C258)&gt;0,"MG","")</f>
        <v/>
      </c>
      <c r="AB757" t="str">
        <f>IFERROR(IF(ISNUMBER('Procyclean MG'!A258),'Procyclean MG'!A258,DATEVALUE('Procyclean MG'!A258)),"")</f>
        <v/>
      </c>
      <c r="AC757" t="str">
        <f>IF(AA757="","",'Procyclean MG'!B258)</f>
        <v/>
      </c>
      <c r="AD757" t="str">
        <f>IF(AA757="","",IFERROR(1*'Procyclean MG'!C258,IFERROR(_xludf.NUMBERVALUE('Procyclean MG'!C258,".",","),IFERROR(_xludf.NUMBERVALUE('Procyclean MG'!C258,",","."),0))))</f>
        <v/>
      </c>
      <c r="AE757" t="str">
        <f>IF(AA757="","",'Procyclean MG'!I258)</f>
        <v/>
      </c>
      <c r="AF757">
        <f t="shared" si="83"/>
        <v>0</v>
      </c>
      <c r="AG757" t="str">
        <f t="shared" si="84"/>
        <v/>
      </c>
      <c r="AH757" t="str">
        <f t="shared" si="85"/>
        <v/>
      </c>
      <c r="AI757">
        <f t="shared" si="86"/>
        <v>0</v>
      </c>
      <c r="AJ757">
        <f t="shared" si="87"/>
        <v>0</v>
      </c>
      <c r="AK757">
        <v>0</v>
      </c>
      <c r="AL757" t="str">
        <f>IF(AA757="","",IFERROR(IF(ISNUMBER('Procyclean MG'!D258),'Procyclean MG'!D258,IF(ISNUMBER(SEARCH("12",'Procyclean MG'!D258)),EDATE(AB757,12),IF(ISNUMBER(SEARCH("6",'Procyclean MG'!D258)),EDATE(AB757,6),IF(ISNUMBER(SEARCH("3",'Procyclean MG'!D258)),EDATE(AB757,3),DATEVALUE('Procyclean MG'!D258))))),""))</f>
        <v/>
      </c>
      <c r="AM757" t="str">
        <f t="shared" ca="1" si="88"/>
        <v/>
      </c>
    </row>
    <row r="758" spans="27:39" x14ac:dyDescent="0.3">
      <c r="AA758" t="str">
        <f>IF(COUNTA('Procyclean MG'!A259,'Procyclean MG'!B259,'Procyclean MG'!C259)&gt;0,"MG","")</f>
        <v/>
      </c>
      <c r="AB758" t="str">
        <f>IFERROR(IF(ISNUMBER('Procyclean MG'!A259),'Procyclean MG'!A259,DATEVALUE('Procyclean MG'!A259)),"")</f>
        <v/>
      </c>
      <c r="AC758" t="str">
        <f>IF(AA758="","",'Procyclean MG'!B259)</f>
        <v/>
      </c>
      <c r="AD758" t="str">
        <f>IF(AA758="","",IFERROR(1*'Procyclean MG'!C259,IFERROR(_xludf.NUMBERVALUE('Procyclean MG'!C259,".",","),IFERROR(_xludf.NUMBERVALUE('Procyclean MG'!C259,",","."),0))))</f>
        <v/>
      </c>
      <c r="AE758" t="str">
        <f>IF(AA758="","",'Procyclean MG'!I259)</f>
        <v/>
      </c>
      <c r="AF758">
        <f t="shared" si="83"/>
        <v>0</v>
      </c>
      <c r="AG758" t="str">
        <f t="shared" si="84"/>
        <v/>
      </c>
      <c r="AH758" t="str">
        <f t="shared" si="85"/>
        <v/>
      </c>
      <c r="AI758">
        <f t="shared" si="86"/>
        <v>0</v>
      </c>
      <c r="AJ758">
        <f t="shared" si="87"/>
        <v>0</v>
      </c>
      <c r="AK758">
        <v>0</v>
      </c>
      <c r="AL758" t="str">
        <f>IF(AA758="","",IFERROR(IF(ISNUMBER('Procyclean MG'!D259),'Procyclean MG'!D259,IF(ISNUMBER(SEARCH("12",'Procyclean MG'!D259)),EDATE(AB758,12),IF(ISNUMBER(SEARCH("6",'Procyclean MG'!D259)),EDATE(AB758,6),IF(ISNUMBER(SEARCH("3",'Procyclean MG'!D259)),EDATE(AB758,3),DATEVALUE('Procyclean MG'!D259))))),""))</f>
        <v/>
      </c>
      <c r="AM758" t="str">
        <f t="shared" ca="1" si="88"/>
        <v/>
      </c>
    </row>
    <row r="759" spans="27:39" x14ac:dyDescent="0.3">
      <c r="AA759" t="str">
        <f>IF(COUNTA('Procyclean MG'!A260,'Procyclean MG'!B260,'Procyclean MG'!C260)&gt;0,"MG","")</f>
        <v/>
      </c>
      <c r="AB759" t="str">
        <f>IFERROR(IF(ISNUMBER('Procyclean MG'!A260),'Procyclean MG'!A260,DATEVALUE('Procyclean MG'!A260)),"")</f>
        <v/>
      </c>
      <c r="AC759" t="str">
        <f>IF(AA759="","",'Procyclean MG'!B260)</f>
        <v/>
      </c>
      <c r="AD759" t="str">
        <f>IF(AA759="","",IFERROR(1*'Procyclean MG'!C260,IFERROR(_xludf.NUMBERVALUE('Procyclean MG'!C260,".",","),IFERROR(_xludf.NUMBERVALUE('Procyclean MG'!C260,",","."),0))))</f>
        <v/>
      </c>
      <c r="AE759" t="str">
        <f>IF(AA759="","",'Procyclean MG'!I260)</f>
        <v/>
      </c>
      <c r="AF759">
        <f t="shared" si="83"/>
        <v>0</v>
      </c>
      <c r="AG759" t="str">
        <f t="shared" si="84"/>
        <v/>
      </c>
      <c r="AH759" t="str">
        <f t="shared" si="85"/>
        <v/>
      </c>
      <c r="AI759">
        <f t="shared" si="86"/>
        <v>0</v>
      </c>
      <c r="AJ759">
        <f t="shared" si="87"/>
        <v>0</v>
      </c>
      <c r="AK759">
        <v>0</v>
      </c>
      <c r="AL759" t="str">
        <f>IF(AA759="","",IFERROR(IF(ISNUMBER('Procyclean MG'!D260),'Procyclean MG'!D260,IF(ISNUMBER(SEARCH("12",'Procyclean MG'!D260)),EDATE(AB759,12),IF(ISNUMBER(SEARCH("6",'Procyclean MG'!D260)),EDATE(AB759,6),IF(ISNUMBER(SEARCH("3",'Procyclean MG'!D260)),EDATE(AB759,3),DATEVALUE('Procyclean MG'!D260))))),""))</f>
        <v/>
      </c>
      <c r="AM759" t="str">
        <f t="shared" ca="1" si="88"/>
        <v/>
      </c>
    </row>
    <row r="760" spans="27:39" x14ac:dyDescent="0.3">
      <c r="AA760" t="str">
        <f>IF(COUNTA('Procyclean MG'!A261,'Procyclean MG'!B261,'Procyclean MG'!C261)&gt;0,"MG","")</f>
        <v/>
      </c>
      <c r="AB760" t="str">
        <f>IFERROR(IF(ISNUMBER('Procyclean MG'!A261),'Procyclean MG'!A261,DATEVALUE('Procyclean MG'!A261)),"")</f>
        <v/>
      </c>
      <c r="AC760" t="str">
        <f>IF(AA760="","",'Procyclean MG'!B261)</f>
        <v/>
      </c>
      <c r="AD760" t="str">
        <f>IF(AA760="","",IFERROR(1*'Procyclean MG'!C261,IFERROR(_xludf.NUMBERVALUE('Procyclean MG'!C261,".",","),IFERROR(_xludf.NUMBERVALUE('Procyclean MG'!C261,",","."),0))))</f>
        <v/>
      </c>
      <c r="AE760" t="str">
        <f>IF(AA760="","",'Procyclean MG'!I261)</f>
        <v/>
      </c>
      <c r="AF760">
        <f t="shared" si="83"/>
        <v>0</v>
      </c>
      <c r="AG760" t="str">
        <f t="shared" si="84"/>
        <v/>
      </c>
      <c r="AH760" t="str">
        <f t="shared" si="85"/>
        <v/>
      </c>
      <c r="AI760">
        <f t="shared" si="86"/>
        <v>0</v>
      </c>
      <c r="AJ760">
        <f t="shared" si="87"/>
        <v>0</v>
      </c>
      <c r="AK760">
        <v>0</v>
      </c>
      <c r="AL760" t="str">
        <f>IF(AA760="","",IFERROR(IF(ISNUMBER('Procyclean MG'!D261),'Procyclean MG'!D261,IF(ISNUMBER(SEARCH("12",'Procyclean MG'!D261)),EDATE(AB760,12),IF(ISNUMBER(SEARCH("6",'Procyclean MG'!D261)),EDATE(AB760,6),IF(ISNUMBER(SEARCH("3",'Procyclean MG'!D261)),EDATE(AB760,3),DATEVALUE('Procyclean MG'!D261))))),""))</f>
        <v/>
      </c>
      <c r="AM760" t="str">
        <f t="shared" ca="1" si="88"/>
        <v/>
      </c>
    </row>
    <row r="761" spans="27:39" x14ac:dyDescent="0.3">
      <c r="AA761" t="str">
        <f>IF(COUNTA('Procyclean MG'!A262,'Procyclean MG'!B262,'Procyclean MG'!C262)&gt;0,"MG","")</f>
        <v/>
      </c>
      <c r="AB761" t="str">
        <f>IFERROR(IF(ISNUMBER('Procyclean MG'!A262),'Procyclean MG'!A262,DATEVALUE('Procyclean MG'!A262)),"")</f>
        <v/>
      </c>
      <c r="AC761" t="str">
        <f>IF(AA761="","",'Procyclean MG'!B262)</f>
        <v/>
      </c>
      <c r="AD761" t="str">
        <f>IF(AA761="","",IFERROR(1*'Procyclean MG'!C262,IFERROR(_xludf.NUMBERVALUE('Procyclean MG'!C262,".",","),IFERROR(_xludf.NUMBERVALUE('Procyclean MG'!C262,",","."),0))))</f>
        <v/>
      </c>
      <c r="AE761" t="str">
        <f>IF(AA761="","",'Procyclean MG'!I262)</f>
        <v/>
      </c>
      <c r="AF761">
        <f t="shared" si="83"/>
        <v>0</v>
      </c>
      <c r="AG761" t="str">
        <f t="shared" si="84"/>
        <v/>
      </c>
      <c r="AH761" t="str">
        <f t="shared" si="85"/>
        <v/>
      </c>
      <c r="AI761">
        <f t="shared" si="86"/>
        <v>0</v>
      </c>
      <c r="AJ761">
        <f t="shared" si="87"/>
        <v>0</v>
      </c>
      <c r="AK761">
        <v>0</v>
      </c>
      <c r="AL761" t="str">
        <f>IF(AA761="","",IFERROR(IF(ISNUMBER('Procyclean MG'!D262),'Procyclean MG'!D262,IF(ISNUMBER(SEARCH("12",'Procyclean MG'!D262)),EDATE(AB761,12),IF(ISNUMBER(SEARCH("6",'Procyclean MG'!D262)),EDATE(AB761,6),IF(ISNUMBER(SEARCH("3",'Procyclean MG'!D262)),EDATE(AB761,3),DATEVALUE('Procyclean MG'!D262))))),""))</f>
        <v/>
      </c>
      <c r="AM761" t="str">
        <f t="shared" ca="1" si="88"/>
        <v/>
      </c>
    </row>
    <row r="762" spans="27:39" x14ac:dyDescent="0.3">
      <c r="AA762" t="str">
        <f>IF(COUNTA('Procyclean MG'!A263,'Procyclean MG'!B263,'Procyclean MG'!C263)&gt;0,"MG","")</f>
        <v/>
      </c>
      <c r="AB762" t="str">
        <f>IFERROR(IF(ISNUMBER('Procyclean MG'!A263),'Procyclean MG'!A263,DATEVALUE('Procyclean MG'!A263)),"")</f>
        <v/>
      </c>
      <c r="AC762" t="str">
        <f>IF(AA762="","",'Procyclean MG'!B263)</f>
        <v/>
      </c>
      <c r="AD762" t="str">
        <f>IF(AA762="","",IFERROR(1*'Procyclean MG'!C263,IFERROR(_xludf.NUMBERVALUE('Procyclean MG'!C263,".",","),IFERROR(_xludf.NUMBERVALUE('Procyclean MG'!C263,",","."),0))))</f>
        <v/>
      </c>
      <c r="AE762" t="str">
        <f>IF(AA762="","",'Procyclean MG'!I263)</f>
        <v/>
      </c>
      <c r="AF762">
        <f t="shared" si="83"/>
        <v>0</v>
      </c>
      <c r="AG762" t="str">
        <f t="shared" si="84"/>
        <v/>
      </c>
      <c r="AH762" t="str">
        <f t="shared" si="85"/>
        <v/>
      </c>
      <c r="AI762">
        <f t="shared" si="86"/>
        <v>0</v>
      </c>
      <c r="AJ762">
        <f t="shared" si="87"/>
        <v>0</v>
      </c>
      <c r="AK762">
        <v>0</v>
      </c>
      <c r="AL762" t="str">
        <f>IF(AA762="","",IFERROR(IF(ISNUMBER('Procyclean MG'!D263),'Procyclean MG'!D263,IF(ISNUMBER(SEARCH("12",'Procyclean MG'!D263)),EDATE(AB762,12),IF(ISNUMBER(SEARCH("6",'Procyclean MG'!D263)),EDATE(AB762,6),IF(ISNUMBER(SEARCH("3",'Procyclean MG'!D263)),EDATE(AB762,3),DATEVALUE('Procyclean MG'!D263))))),""))</f>
        <v/>
      </c>
      <c r="AM762" t="str">
        <f t="shared" ca="1" si="88"/>
        <v/>
      </c>
    </row>
    <row r="763" spans="27:39" x14ac:dyDescent="0.3">
      <c r="AA763" t="str">
        <f>IF(COUNTA('Procyclean MG'!A264,'Procyclean MG'!B264,'Procyclean MG'!C264)&gt;0,"MG","")</f>
        <v/>
      </c>
      <c r="AB763" t="str">
        <f>IFERROR(IF(ISNUMBER('Procyclean MG'!A264),'Procyclean MG'!A264,DATEVALUE('Procyclean MG'!A264)),"")</f>
        <v/>
      </c>
      <c r="AC763" t="str">
        <f>IF(AA763="","",'Procyclean MG'!B264)</f>
        <v/>
      </c>
      <c r="AD763" t="str">
        <f>IF(AA763="","",IFERROR(1*'Procyclean MG'!C264,IFERROR(_xludf.NUMBERVALUE('Procyclean MG'!C264,".",","),IFERROR(_xludf.NUMBERVALUE('Procyclean MG'!C264,",","."),0))))</f>
        <v/>
      </c>
      <c r="AE763" t="str">
        <f>IF(AA763="","",'Procyclean MG'!I264)</f>
        <v/>
      </c>
      <c r="AF763">
        <f t="shared" si="83"/>
        <v>0</v>
      </c>
      <c r="AG763" t="str">
        <f t="shared" si="84"/>
        <v/>
      </c>
      <c r="AH763" t="str">
        <f t="shared" si="85"/>
        <v/>
      </c>
      <c r="AI763">
        <f t="shared" si="86"/>
        <v>0</v>
      </c>
      <c r="AJ763">
        <f t="shared" si="87"/>
        <v>0</v>
      </c>
      <c r="AK763">
        <v>0</v>
      </c>
      <c r="AL763" t="str">
        <f>IF(AA763="","",IFERROR(IF(ISNUMBER('Procyclean MG'!D264),'Procyclean MG'!D264,IF(ISNUMBER(SEARCH("12",'Procyclean MG'!D264)),EDATE(AB763,12),IF(ISNUMBER(SEARCH("6",'Procyclean MG'!D264)),EDATE(AB763,6),IF(ISNUMBER(SEARCH("3",'Procyclean MG'!D264)),EDATE(AB763,3),DATEVALUE('Procyclean MG'!D264))))),""))</f>
        <v/>
      </c>
      <c r="AM763" t="str">
        <f t="shared" ca="1" si="88"/>
        <v/>
      </c>
    </row>
    <row r="764" spans="27:39" x14ac:dyDescent="0.3">
      <c r="AA764" t="str">
        <f>IF(COUNTA('Procyclean MG'!A265,'Procyclean MG'!B265,'Procyclean MG'!C265)&gt;0,"MG","")</f>
        <v/>
      </c>
      <c r="AB764" t="str">
        <f>IFERROR(IF(ISNUMBER('Procyclean MG'!A265),'Procyclean MG'!A265,DATEVALUE('Procyclean MG'!A265)),"")</f>
        <v/>
      </c>
      <c r="AC764" t="str">
        <f>IF(AA764="","",'Procyclean MG'!B265)</f>
        <v/>
      </c>
      <c r="AD764" t="str">
        <f>IF(AA764="","",IFERROR(1*'Procyclean MG'!C265,IFERROR(_xludf.NUMBERVALUE('Procyclean MG'!C265,".",","),IFERROR(_xludf.NUMBERVALUE('Procyclean MG'!C265,",","."),0))))</f>
        <v/>
      </c>
      <c r="AE764" t="str">
        <f>IF(AA764="","",'Procyclean MG'!I265)</f>
        <v/>
      </c>
      <c r="AF764">
        <f t="shared" si="83"/>
        <v>0</v>
      </c>
      <c r="AG764" t="str">
        <f t="shared" si="84"/>
        <v/>
      </c>
      <c r="AH764" t="str">
        <f t="shared" si="85"/>
        <v/>
      </c>
      <c r="AI764">
        <f t="shared" si="86"/>
        <v>0</v>
      </c>
      <c r="AJ764">
        <f t="shared" si="87"/>
        <v>0</v>
      </c>
      <c r="AK764">
        <v>0</v>
      </c>
      <c r="AL764" t="str">
        <f>IF(AA764="","",IFERROR(IF(ISNUMBER('Procyclean MG'!D265),'Procyclean MG'!D265,IF(ISNUMBER(SEARCH("12",'Procyclean MG'!D265)),EDATE(AB764,12),IF(ISNUMBER(SEARCH("6",'Procyclean MG'!D265)),EDATE(AB764,6),IF(ISNUMBER(SEARCH("3",'Procyclean MG'!D265)),EDATE(AB764,3),DATEVALUE('Procyclean MG'!D265))))),""))</f>
        <v/>
      </c>
      <c r="AM764" t="str">
        <f t="shared" ca="1" si="88"/>
        <v/>
      </c>
    </row>
    <row r="765" spans="27:39" x14ac:dyDescent="0.3">
      <c r="AA765" t="str">
        <f>IF(COUNTA('Procyclean MG'!A266,'Procyclean MG'!B266,'Procyclean MG'!C266)&gt;0,"MG","")</f>
        <v/>
      </c>
      <c r="AB765" t="str">
        <f>IFERROR(IF(ISNUMBER('Procyclean MG'!A266),'Procyclean MG'!A266,DATEVALUE('Procyclean MG'!A266)),"")</f>
        <v/>
      </c>
      <c r="AC765" t="str">
        <f>IF(AA765="","",'Procyclean MG'!B266)</f>
        <v/>
      </c>
      <c r="AD765" t="str">
        <f>IF(AA765="","",IFERROR(1*'Procyclean MG'!C266,IFERROR(_xludf.NUMBERVALUE('Procyclean MG'!C266,".",","),IFERROR(_xludf.NUMBERVALUE('Procyclean MG'!C266,",","."),0))))</f>
        <v/>
      </c>
      <c r="AE765" t="str">
        <f>IF(AA765="","",'Procyclean MG'!I266)</f>
        <v/>
      </c>
      <c r="AF765">
        <f t="shared" si="83"/>
        <v>0</v>
      </c>
      <c r="AG765" t="str">
        <f t="shared" si="84"/>
        <v/>
      </c>
      <c r="AH765" t="str">
        <f t="shared" si="85"/>
        <v/>
      </c>
      <c r="AI765">
        <f t="shared" si="86"/>
        <v>0</v>
      </c>
      <c r="AJ765">
        <f t="shared" si="87"/>
        <v>0</v>
      </c>
      <c r="AK765">
        <v>0</v>
      </c>
      <c r="AL765" t="str">
        <f>IF(AA765="","",IFERROR(IF(ISNUMBER('Procyclean MG'!D266),'Procyclean MG'!D266,IF(ISNUMBER(SEARCH("12",'Procyclean MG'!D266)),EDATE(AB765,12),IF(ISNUMBER(SEARCH("6",'Procyclean MG'!D266)),EDATE(AB765,6),IF(ISNUMBER(SEARCH("3",'Procyclean MG'!D266)),EDATE(AB765,3),DATEVALUE('Procyclean MG'!D266))))),""))</f>
        <v/>
      </c>
      <c r="AM765" t="str">
        <f t="shared" ca="1" si="88"/>
        <v/>
      </c>
    </row>
    <row r="766" spans="27:39" x14ac:dyDescent="0.3">
      <c r="AA766" t="str">
        <f>IF(COUNTA('Procyclean MG'!A267,'Procyclean MG'!B267,'Procyclean MG'!C267)&gt;0,"MG","")</f>
        <v/>
      </c>
      <c r="AB766" t="str">
        <f>IFERROR(IF(ISNUMBER('Procyclean MG'!A267),'Procyclean MG'!A267,DATEVALUE('Procyclean MG'!A267)),"")</f>
        <v/>
      </c>
      <c r="AC766" t="str">
        <f>IF(AA766="","",'Procyclean MG'!B267)</f>
        <v/>
      </c>
      <c r="AD766" t="str">
        <f>IF(AA766="","",IFERROR(1*'Procyclean MG'!C267,IFERROR(_xludf.NUMBERVALUE('Procyclean MG'!C267,".",","),IFERROR(_xludf.NUMBERVALUE('Procyclean MG'!C267,",","."),0))))</f>
        <v/>
      </c>
      <c r="AE766" t="str">
        <f>IF(AA766="","",'Procyclean MG'!I267)</f>
        <v/>
      </c>
      <c r="AF766">
        <f t="shared" si="83"/>
        <v>0</v>
      </c>
      <c r="AG766" t="str">
        <f t="shared" si="84"/>
        <v/>
      </c>
      <c r="AH766" t="str">
        <f t="shared" si="85"/>
        <v/>
      </c>
      <c r="AI766">
        <f t="shared" si="86"/>
        <v>0</v>
      </c>
      <c r="AJ766">
        <f t="shared" si="87"/>
        <v>0</v>
      </c>
      <c r="AK766">
        <v>0</v>
      </c>
      <c r="AL766" t="str">
        <f>IF(AA766="","",IFERROR(IF(ISNUMBER('Procyclean MG'!D267),'Procyclean MG'!D267,IF(ISNUMBER(SEARCH("12",'Procyclean MG'!D267)),EDATE(AB766,12),IF(ISNUMBER(SEARCH("6",'Procyclean MG'!D267)),EDATE(AB766,6),IF(ISNUMBER(SEARCH("3",'Procyclean MG'!D267)),EDATE(AB766,3),DATEVALUE('Procyclean MG'!D267))))),""))</f>
        <v/>
      </c>
      <c r="AM766" t="str">
        <f t="shared" ca="1" si="88"/>
        <v/>
      </c>
    </row>
    <row r="767" spans="27:39" x14ac:dyDescent="0.3">
      <c r="AA767" t="str">
        <f>IF(COUNTA('Procyclean MG'!A268,'Procyclean MG'!B268,'Procyclean MG'!C268)&gt;0,"MG","")</f>
        <v/>
      </c>
      <c r="AB767" t="str">
        <f>IFERROR(IF(ISNUMBER('Procyclean MG'!A268),'Procyclean MG'!A268,DATEVALUE('Procyclean MG'!A268)),"")</f>
        <v/>
      </c>
      <c r="AC767" t="str">
        <f>IF(AA767="","",'Procyclean MG'!B268)</f>
        <v/>
      </c>
      <c r="AD767" t="str">
        <f>IF(AA767="","",IFERROR(1*'Procyclean MG'!C268,IFERROR(_xludf.NUMBERVALUE('Procyclean MG'!C268,".",","),IFERROR(_xludf.NUMBERVALUE('Procyclean MG'!C268,",","."),0))))</f>
        <v/>
      </c>
      <c r="AE767" t="str">
        <f>IF(AA767="","",'Procyclean MG'!I268)</f>
        <v/>
      </c>
      <c r="AF767">
        <f t="shared" si="83"/>
        <v>0</v>
      </c>
      <c r="AG767" t="str">
        <f t="shared" si="84"/>
        <v/>
      </c>
      <c r="AH767" t="str">
        <f t="shared" si="85"/>
        <v/>
      </c>
      <c r="AI767">
        <f t="shared" si="86"/>
        <v>0</v>
      </c>
      <c r="AJ767">
        <f t="shared" si="87"/>
        <v>0</v>
      </c>
      <c r="AK767">
        <v>0</v>
      </c>
      <c r="AL767" t="str">
        <f>IF(AA767="","",IFERROR(IF(ISNUMBER('Procyclean MG'!D268),'Procyclean MG'!D268,IF(ISNUMBER(SEARCH("12",'Procyclean MG'!D268)),EDATE(AB767,12),IF(ISNUMBER(SEARCH("6",'Procyclean MG'!D268)),EDATE(AB767,6),IF(ISNUMBER(SEARCH("3",'Procyclean MG'!D268)),EDATE(AB767,3),DATEVALUE('Procyclean MG'!D268))))),""))</f>
        <v/>
      </c>
      <c r="AM767" t="str">
        <f t="shared" ca="1" si="88"/>
        <v/>
      </c>
    </row>
    <row r="768" spans="27:39" x14ac:dyDescent="0.3">
      <c r="AA768" t="str">
        <f>IF(COUNTA('Procyclean MG'!A269,'Procyclean MG'!B269,'Procyclean MG'!C269)&gt;0,"MG","")</f>
        <v/>
      </c>
      <c r="AB768" t="str">
        <f>IFERROR(IF(ISNUMBER('Procyclean MG'!A269),'Procyclean MG'!A269,DATEVALUE('Procyclean MG'!A269)),"")</f>
        <v/>
      </c>
      <c r="AC768" t="str">
        <f>IF(AA768="","",'Procyclean MG'!B269)</f>
        <v/>
      </c>
      <c r="AD768" t="str">
        <f>IF(AA768="","",IFERROR(1*'Procyclean MG'!C269,IFERROR(_xludf.NUMBERVALUE('Procyclean MG'!C269,".",","),IFERROR(_xludf.NUMBERVALUE('Procyclean MG'!C269,",","."),0))))</f>
        <v/>
      </c>
      <c r="AE768" t="str">
        <f>IF(AA768="","",'Procyclean MG'!I269)</f>
        <v/>
      </c>
      <c r="AF768">
        <f t="shared" si="83"/>
        <v>0</v>
      </c>
      <c r="AG768" t="str">
        <f t="shared" si="84"/>
        <v/>
      </c>
      <c r="AH768" t="str">
        <f t="shared" si="85"/>
        <v/>
      </c>
      <c r="AI768">
        <f t="shared" si="86"/>
        <v>0</v>
      </c>
      <c r="AJ768">
        <f t="shared" si="87"/>
        <v>0</v>
      </c>
      <c r="AK768">
        <v>0</v>
      </c>
      <c r="AL768" t="str">
        <f>IF(AA768="","",IFERROR(IF(ISNUMBER('Procyclean MG'!D269),'Procyclean MG'!D269,IF(ISNUMBER(SEARCH("12",'Procyclean MG'!D269)),EDATE(AB768,12),IF(ISNUMBER(SEARCH("6",'Procyclean MG'!D269)),EDATE(AB768,6),IF(ISNUMBER(SEARCH("3",'Procyclean MG'!D269)),EDATE(AB768,3),DATEVALUE('Procyclean MG'!D269))))),""))</f>
        <v/>
      </c>
      <c r="AM768" t="str">
        <f t="shared" ca="1" si="88"/>
        <v/>
      </c>
    </row>
    <row r="769" spans="27:39" x14ac:dyDescent="0.3">
      <c r="AA769" t="str">
        <f>IF(COUNTA('Procyclean MG'!A270,'Procyclean MG'!B270,'Procyclean MG'!C270)&gt;0,"MG","")</f>
        <v/>
      </c>
      <c r="AB769" t="str">
        <f>IFERROR(IF(ISNUMBER('Procyclean MG'!A270),'Procyclean MG'!A270,DATEVALUE('Procyclean MG'!A270)),"")</f>
        <v/>
      </c>
      <c r="AC769" t="str">
        <f>IF(AA769="","",'Procyclean MG'!B270)</f>
        <v/>
      </c>
      <c r="AD769" t="str">
        <f>IF(AA769="","",IFERROR(1*'Procyclean MG'!C270,IFERROR(_xludf.NUMBERVALUE('Procyclean MG'!C270,".",","),IFERROR(_xludf.NUMBERVALUE('Procyclean MG'!C270,",","."),0))))</f>
        <v/>
      </c>
      <c r="AE769" t="str">
        <f>IF(AA769="","",'Procyclean MG'!I270)</f>
        <v/>
      </c>
      <c r="AF769">
        <f t="shared" si="83"/>
        <v>0</v>
      </c>
      <c r="AG769" t="str">
        <f t="shared" si="84"/>
        <v/>
      </c>
      <c r="AH769" t="str">
        <f t="shared" si="85"/>
        <v/>
      </c>
      <c r="AI769">
        <f t="shared" si="86"/>
        <v>0</v>
      </c>
      <c r="AJ769">
        <f t="shared" si="87"/>
        <v>0</v>
      </c>
      <c r="AK769">
        <v>0</v>
      </c>
      <c r="AL769" t="str">
        <f>IF(AA769="","",IFERROR(IF(ISNUMBER('Procyclean MG'!D270),'Procyclean MG'!D270,IF(ISNUMBER(SEARCH("12",'Procyclean MG'!D270)),EDATE(AB769,12),IF(ISNUMBER(SEARCH("6",'Procyclean MG'!D270)),EDATE(AB769,6),IF(ISNUMBER(SEARCH("3",'Procyclean MG'!D270)),EDATE(AB769,3),DATEVALUE('Procyclean MG'!D270))))),""))</f>
        <v/>
      </c>
      <c r="AM769" t="str">
        <f t="shared" ca="1" si="88"/>
        <v/>
      </c>
    </row>
    <row r="770" spans="27:39" x14ac:dyDescent="0.3">
      <c r="AA770" t="str">
        <f>IF(COUNTA('Procyclean MG'!A271,'Procyclean MG'!B271,'Procyclean MG'!C271)&gt;0,"MG","")</f>
        <v/>
      </c>
      <c r="AB770" t="str">
        <f>IFERROR(IF(ISNUMBER('Procyclean MG'!A271),'Procyclean MG'!A271,DATEVALUE('Procyclean MG'!A271)),"")</f>
        <v/>
      </c>
      <c r="AC770" t="str">
        <f>IF(AA770="","",'Procyclean MG'!B271)</f>
        <v/>
      </c>
      <c r="AD770" t="str">
        <f>IF(AA770="","",IFERROR(1*'Procyclean MG'!C271,IFERROR(_xludf.NUMBERVALUE('Procyclean MG'!C271,".",","),IFERROR(_xludf.NUMBERVALUE('Procyclean MG'!C271,",","."),0))))</f>
        <v/>
      </c>
      <c r="AE770" t="str">
        <f>IF(AA770="","",'Procyclean MG'!I271)</f>
        <v/>
      </c>
      <c r="AF770">
        <f t="shared" ref="AF770:AF833" si="89">IF(AA770="",0,--AND(ISNUMBER(SEARCH("aprov",AE770)),NOT(ISNUMBER(SEARCH("reprov",AE770)))))</f>
        <v>0</v>
      </c>
      <c r="AG770" t="str">
        <f t="shared" ref="AG770:AG833" si="90">IF(AB770="","",YEAR(AB770))</f>
        <v/>
      </c>
      <c r="AH770" t="str">
        <f t="shared" ref="AH770:AH833" si="91">IF(AB770="","",MONTH(AB770))</f>
        <v/>
      </c>
      <c r="AI770">
        <f t="shared" ref="AI770:AI833" si="92">IF(AB770="",0,AB770+ROW()/1000000)</f>
        <v>0</v>
      </c>
      <c r="AJ770">
        <f t="shared" ref="AJ770:AJ833" si="93">--(AA770&lt;&gt;"")</f>
        <v>0</v>
      </c>
      <c r="AK770">
        <v>0</v>
      </c>
      <c r="AL770" t="str">
        <f>IF(AA770="","",IFERROR(IF(ISNUMBER('Procyclean MG'!D271),'Procyclean MG'!D271,IF(ISNUMBER(SEARCH("12",'Procyclean MG'!D271)),EDATE(AB770,12),IF(ISNUMBER(SEARCH("6",'Procyclean MG'!D271)),EDATE(AB770,6),IF(ISNUMBER(SEARCH("3",'Procyclean MG'!D271)),EDATE(AB770,3),DATEVALUE('Procyclean MG'!D271))))),""))</f>
        <v/>
      </c>
      <c r="AM770" t="str">
        <f t="shared" ref="AM770:AM833" ca="1" si="94">IF(AND(AJ770=1,AL770&lt;&gt;"",AL770&gt;=TODAY(),AG770=$W$3),AL770+ROW()/1000000,"")</f>
        <v/>
      </c>
    </row>
    <row r="771" spans="27:39" x14ac:dyDescent="0.3">
      <c r="AA771" t="str">
        <f>IF(COUNTA('Procyclean MG'!A272,'Procyclean MG'!B272,'Procyclean MG'!C272)&gt;0,"MG","")</f>
        <v/>
      </c>
      <c r="AB771" t="str">
        <f>IFERROR(IF(ISNUMBER('Procyclean MG'!A272),'Procyclean MG'!A272,DATEVALUE('Procyclean MG'!A272)),"")</f>
        <v/>
      </c>
      <c r="AC771" t="str">
        <f>IF(AA771="","",'Procyclean MG'!B272)</f>
        <v/>
      </c>
      <c r="AD771" t="str">
        <f>IF(AA771="","",IFERROR(1*'Procyclean MG'!C272,IFERROR(_xludf.NUMBERVALUE('Procyclean MG'!C272,".",","),IFERROR(_xludf.NUMBERVALUE('Procyclean MG'!C272,",","."),0))))</f>
        <v/>
      </c>
      <c r="AE771" t="str">
        <f>IF(AA771="","",'Procyclean MG'!I272)</f>
        <v/>
      </c>
      <c r="AF771">
        <f t="shared" si="89"/>
        <v>0</v>
      </c>
      <c r="AG771" t="str">
        <f t="shared" si="90"/>
        <v/>
      </c>
      <c r="AH771" t="str">
        <f t="shared" si="91"/>
        <v/>
      </c>
      <c r="AI771">
        <f t="shared" si="92"/>
        <v>0</v>
      </c>
      <c r="AJ771">
        <f t="shared" si="93"/>
        <v>0</v>
      </c>
      <c r="AK771">
        <v>0</v>
      </c>
      <c r="AL771" t="str">
        <f>IF(AA771="","",IFERROR(IF(ISNUMBER('Procyclean MG'!D272),'Procyclean MG'!D272,IF(ISNUMBER(SEARCH("12",'Procyclean MG'!D272)),EDATE(AB771,12),IF(ISNUMBER(SEARCH("6",'Procyclean MG'!D272)),EDATE(AB771,6),IF(ISNUMBER(SEARCH("3",'Procyclean MG'!D272)),EDATE(AB771,3),DATEVALUE('Procyclean MG'!D272))))),""))</f>
        <v/>
      </c>
      <c r="AM771" t="str">
        <f t="shared" ca="1" si="94"/>
        <v/>
      </c>
    </row>
    <row r="772" spans="27:39" x14ac:dyDescent="0.3">
      <c r="AA772" t="str">
        <f>IF(COUNTA('Procyclean MG'!A273,'Procyclean MG'!B273,'Procyclean MG'!C273)&gt;0,"MG","")</f>
        <v/>
      </c>
      <c r="AB772" t="str">
        <f>IFERROR(IF(ISNUMBER('Procyclean MG'!A273),'Procyclean MG'!A273,DATEVALUE('Procyclean MG'!A273)),"")</f>
        <v/>
      </c>
      <c r="AC772" t="str">
        <f>IF(AA772="","",'Procyclean MG'!B273)</f>
        <v/>
      </c>
      <c r="AD772" t="str">
        <f>IF(AA772="","",IFERROR(1*'Procyclean MG'!C273,IFERROR(_xludf.NUMBERVALUE('Procyclean MG'!C273,".",","),IFERROR(_xludf.NUMBERVALUE('Procyclean MG'!C273,",","."),0))))</f>
        <v/>
      </c>
      <c r="AE772" t="str">
        <f>IF(AA772="","",'Procyclean MG'!I273)</f>
        <v/>
      </c>
      <c r="AF772">
        <f t="shared" si="89"/>
        <v>0</v>
      </c>
      <c r="AG772" t="str">
        <f t="shared" si="90"/>
        <v/>
      </c>
      <c r="AH772" t="str">
        <f t="shared" si="91"/>
        <v/>
      </c>
      <c r="AI772">
        <f t="shared" si="92"/>
        <v>0</v>
      </c>
      <c r="AJ772">
        <f t="shared" si="93"/>
        <v>0</v>
      </c>
      <c r="AK772">
        <v>0</v>
      </c>
      <c r="AL772" t="str">
        <f>IF(AA772="","",IFERROR(IF(ISNUMBER('Procyclean MG'!D273),'Procyclean MG'!D273,IF(ISNUMBER(SEARCH("12",'Procyclean MG'!D273)),EDATE(AB772,12),IF(ISNUMBER(SEARCH("6",'Procyclean MG'!D273)),EDATE(AB772,6),IF(ISNUMBER(SEARCH("3",'Procyclean MG'!D273)),EDATE(AB772,3),DATEVALUE('Procyclean MG'!D273))))),""))</f>
        <v/>
      </c>
      <c r="AM772" t="str">
        <f t="shared" ca="1" si="94"/>
        <v/>
      </c>
    </row>
    <row r="773" spans="27:39" x14ac:dyDescent="0.3">
      <c r="AA773" t="str">
        <f>IF(COUNTA('Procyclean MG'!A274,'Procyclean MG'!B274,'Procyclean MG'!C274)&gt;0,"MG","")</f>
        <v/>
      </c>
      <c r="AB773" t="str">
        <f>IFERROR(IF(ISNUMBER('Procyclean MG'!A274),'Procyclean MG'!A274,DATEVALUE('Procyclean MG'!A274)),"")</f>
        <v/>
      </c>
      <c r="AC773" t="str">
        <f>IF(AA773="","",'Procyclean MG'!B274)</f>
        <v/>
      </c>
      <c r="AD773" t="str">
        <f>IF(AA773="","",IFERROR(1*'Procyclean MG'!C274,IFERROR(_xludf.NUMBERVALUE('Procyclean MG'!C274,".",","),IFERROR(_xludf.NUMBERVALUE('Procyclean MG'!C274,",","."),0))))</f>
        <v/>
      </c>
      <c r="AE773" t="str">
        <f>IF(AA773="","",'Procyclean MG'!I274)</f>
        <v/>
      </c>
      <c r="AF773">
        <f t="shared" si="89"/>
        <v>0</v>
      </c>
      <c r="AG773" t="str">
        <f t="shared" si="90"/>
        <v/>
      </c>
      <c r="AH773" t="str">
        <f t="shared" si="91"/>
        <v/>
      </c>
      <c r="AI773">
        <f t="shared" si="92"/>
        <v>0</v>
      </c>
      <c r="AJ773">
        <f t="shared" si="93"/>
        <v>0</v>
      </c>
      <c r="AK773">
        <v>0</v>
      </c>
      <c r="AL773" t="str">
        <f>IF(AA773="","",IFERROR(IF(ISNUMBER('Procyclean MG'!D274),'Procyclean MG'!D274,IF(ISNUMBER(SEARCH("12",'Procyclean MG'!D274)),EDATE(AB773,12),IF(ISNUMBER(SEARCH("6",'Procyclean MG'!D274)),EDATE(AB773,6),IF(ISNUMBER(SEARCH("3",'Procyclean MG'!D274)),EDATE(AB773,3),DATEVALUE('Procyclean MG'!D274))))),""))</f>
        <v/>
      </c>
      <c r="AM773" t="str">
        <f t="shared" ca="1" si="94"/>
        <v/>
      </c>
    </row>
    <row r="774" spans="27:39" x14ac:dyDescent="0.3">
      <c r="AA774" t="str">
        <f>IF(COUNTA('Procyclean MG'!A275,'Procyclean MG'!B275,'Procyclean MG'!C275)&gt;0,"MG","")</f>
        <v/>
      </c>
      <c r="AB774" t="str">
        <f>IFERROR(IF(ISNUMBER('Procyclean MG'!A275),'Procyclean MG'!A275,DATEVALUE('Procyclean MG'!A275)),"")</f>
        <v/>
      </c>
      <c r="AC774" t="str">
        <f>IF(AA774="","",'Procyclean MG'!B275)</f>
        <v/>
      </c>
      <c r="AD774" t="str">
        <f>IF(AA774="","",IFERROR(1*'Procyclean MG'!C275,IFERROR(_xludf.NUMBERVALUE('Procyclean MG'!C275,".",","),IFERROR(_xludf.NUMBERVALUE('Procyclean MG'!C275,",","."),0))))</f>
        <v/>
      </c>
      <c r="AE774" t="str">
        <f>IF(AA774="","",'Procyclean MG'!I275)</f>
        <v/>
      </c>
      <c r="AF774">
        <f t="shared" si="89"/>
        <v>0</v>
      </c>
      <c r="AG774" t="str">
        <f t="shared" si="90"/>
        <v/>
      </c>
      <c r="AH774" t="str">
        <f t="shared" si="91"/>
        <v/>
      </c>
      <c r="AI774">
        <f t="shared" si="92"/>
        <v>0</v>
      </c>
      <c r="AJ774">
        <f t="shared" si="93"/>
        <v>0</v>
      </c>
      <c r="AK774">
        <v>0</v>
      </c>
      <c r="AL774" t="str">
        <f>IF(AA774="","",IFERROR(IF(ISNUMBER('Procyclean MG'!D275),'Procyclean MG'!D275,IF(ISNUMBER(SEARCH("12",'Procyclean MG'!D275)),EDATE(AB774,12),IF(ISNUMBER(SEARCH("6",'Procyclean MG'!D275)),EDATE(AB774,6),IF(ISNUMBER(SEARCH("3",'Procyclean MG'!D275)),EDATE(AB774,3),DATEVALUE('Procyclean MG'!D275))))),""))</f>
        <v/>
      </c>
      <c r="AM774" t="str">
        <f t="shared" ca="1" si="94"/>
        <v/>
      </c>
    </row>
    <row r="775" spans="27:39" x14ac:dyDescent="0.3">
      <c r="AA775" t="str">
        <f>IF(COUNTA('Procyclean MG'!A276,'Procyclean MG'!B276,'Procyclean MG'!C276)&gt;0,"MG","")</f>
        <v/>
      </c>
      <c r="AB775" t="str">
        <f>IFERROR(IF(ISNUMBER('Procyclean MG'!A276),'Procyclean MG'!A276,DATEVALUE('Procyclean MG'!A276)),"")</f>
        <v/>
      </c>
      <c r="AC775" t="str">
        <f>IF(AA775="","",'Procyclean MG'!B276)</f>
        <v/>
      </c>
      <c r="AD775" t="str">
        <f>IF(AA775="","",IFERROR(1*'Procyclean MG'!C276,IFERROR(_xludf.NUMBERVALUE('Procyclean MG'!C276,".",","),IFERROR(_xludf.NUMBERVALUE('Procyclean MG'!C276,",","."),0))))</f>
        <v/>
      </c>
      <c r="AE775" t="str">
        <f>IF(AA775="","",'Procyclean MG'!I276)</f>
        <v/>
      </c>
      <c r="AF775">
        <f t="shared" si="89"/>
        <v>0</v>
      </c>
      <c r="AG775" t="str">
        <f t="shared" si="90"/>
        <v/>
      </c>
      <c r="AH775" t="str">
        <f t="shared" si="91"/>
        <v/>
      </c>
      <c r="AI775">
        <f t="shared" si="92"/>
        <v>0</v>
      </c>
      <c r="AJ775">
        <f t="shared" si="93"/>
        <v>0</v>
      </c>
      <c r="AK775">
        <v>0</v>
      </c>
      <c r="AL775" t="str">
        <f>IF(AA775="","",IFERROR(IF(ISNUMBER('Procyclean MG'!D276),'Procyclean MG'!D276,IF(ISNUMBER(SEARCH("12",'Procyclean MG'!D276)),EDATE(AB775,12),IF(ISNUMBER(SEARCH("6",'Procyclean MG'!D276)),EDATE(AB775,6),IF(ISNUMBER(SEARCH("3",'Procyclean MG'!D276)),EDATE(AB775,3),DATEVALUE('Procyclean MG'!D276))))),""))</f>
        <v/>
      </c>
      <c r="AM775" t="str">
        <f t="shared" ca="1" si="94"/>
        <v/>
      </c>
    </row>
    <row r="776" spans="27:39" x14ac:dyDescent="0.3">
      <c r="AA776" t="str">
        <f>IF(COUNTA('Procyclean MG'!A277,'Procyclean MG'!B277,'Procyclean MG'!C277)&gt;0,"MG","")</f>
        <v/>
      </c>
      <c r="AB776" t="str">
        <f>IFERROR(IF(ISNUMBER('Procyclean MG'!A277),'Procyclean MG'!A277,DATEVALUE('Procyclean MG'!A277)),"")</f>
        <v/>
      </c>
      <c r="AC776" t="str">
        <f>IF(AA776="","",'Procyclean MG'!B277)</f>
        <v/>
      </c>
      <c r="AD776" t="str">
        <f>IF(AA776="","",IFERROR(1*'Procyclean MG'!C277,IFERROR(_xludf.NUMBERVALUE('Procyclean MG'!C277,".",","),IFERROR(_xludf.NUMBERVALUE('Procyclean MG'!C277,",","."),0))))</f>
        <v/>
      </c>
      <c r="AE776" t="str">
        <f>IF(AA776="","",'Procyclean MG'!I277)</f>
        <v/>
      </c>
      <c r="AF776">
        <f t="shared" si="89"/>
        <v>0</v>
      </c>
      <c r="AG776" t="str">
        <f t="shared" si="90"/>
        <v/>
      </c>
      <c r="AH776" t="str">
        <f t="shared" si="91"/>
        <v/>
      </c>
      <c r="AI776">
        <f t="shared" si="92"/>
        <v>0</v>
      </c>
      <c r="AJ776">
        <f t="shared" si="93"/>
        <v>0</v>
      </c>
      <c r="AK776">
        <v>0</v>
      </c>
      <c r="AL776" t="str">
        <f>IF(AA776="","",IFERROR(IF(ISNUMBER('Procyclean MG'!D277),'Procyclean MG'!D277,IF(ISNUMBER(SEARCH("12",'Procyclean MG'!D277)),EDATE(AB776,12),IF(ISNUMBER(SEARCH("6",'Procyclean MG'!D277)),EDATE(AB776,6),IF(ISNUMBER(SEARCH("3",'Procyclean MG'!D277)),EDATE(AB776,3),DATEVALUE('Procyclean MG'!D277))))),""))</f>
        <v/>
      </c>
      <c r="AM776" t="str">
        <f t="shared" ca="1" si="94"/>
        <v/>
      </c>
    </row>
    <row r="777" spans="27:39" x14ac:dyDescent="0.3">
      <c r="AA777" t="str">
        <f>IF(COUNTA('Procyclean MG'!A278,'Procyclean MG'!B278,'Procyclean MG'!C278)&gt;0,"MG","")</f>
        <v/>
      </c>
      <c r="AB777" t="str">
        <f>IFERROR(IF(ISNUMBER('Procyclean MG'!A278),'Procyclean MG'!A278,DATEVALUE('Procyclean MG'!A278)),"")</f>
        <v/>
      </c>
      <c r="AC777" t="str">
        <f>IF(AA777="","",'Procyclean MG'!B278)</f>
        <v/>
      </c>
      <c r="AD777" t="str">
        <f>IF(AA777="","",IFERROR(1*'Procyclean MG'!C278,IFERROR(_xludf.NUMBERVALUE('Procyclean MG'!C278,".",","),IFERROR(_xludf.NUMBERVALUE('Procyclean MG'!C278,",","."),0))))</f>
        <v/>
      </c>
      <c r="AE777" t="str">
        <f>IF(AA777="","",'Procyclean MG'!I278)</f>
        <v/>
      </c>
      <c r="AF777">
        <f t="shared" si="89"/>
        <v>0</v>
      </c>
      <c r="AG777" t="str">
        <f t="shared" si="90"/>
        <v/>
      </c>
      <c r="AH777" t="str">
        <f t="shared" si="91"/>
        <v/>
      </c>
      <c r="AI777">
        <f t="shared" si="92"/>
        <v>0</v>
      </c>
      <c r="AJ777">
        <f t="shared" si="93"/>
        <v>0</v>
      </c>
      <c r="AK777">
        <v>0</v>
      </c>
      <c r="AL777" t="str">
        <f>IF(AA777="","",IFERROR(IF(ISNUMBER('Procyclean MG'!D278),'Procyclean MG'!D278,IF(ISNUMBER(SEARCH("12",'Procyclean MG'!D278)),EDATE(AB777,12),IF(ISNUMBER(SEARCH("6",'Procyclean MG'!D278)),EDATE(AB777,6),IF(ISNUMBER(SEARCH("3",'Procyclean MG'!D278)),EDATE(AB777,3),DATEVALUE('Procyclean MG'!D278))))),""))</f>
        <v/>
      </c>
      <c r="AM777" t="str">
        <f t="shared" ca="1" si="94"/>
        <v/>
      </c>
    </row>
    <row r="778" spans="27:39" x14ac:dyDescent="0.3">
      <c r="AA778" t="str">
        <f>IF(COUNTA('Procyclean MG'!A279,'Procyclean MG'!B279,'Procyclean MG'!C279)&gt;0,"MG","")</f>
        <v/>
      </c>
      <c r="AB778" t="str">
        <f>IFERROR(IF(ISNUMBER('Procyclean MG'!A279),'Procyclean MG'!A279,DATEVALUE('Procyclean MG'!A279)),"")</f>
        <v/>
      </c>
      <c r="AC778" t="str">
        <f>IF(AA778="","",'Procyclean MG'!B279)</f>
        <v/>
      </c>
      <c r="AD778" t="str">
        <f>IF(AA778="","",IFERROR(1*'Procyclean MG'!C279,IFERROR(_xludf.NUMBERVALUE('Procyclean MG'!C279,".",","),IFERROR(_xludf.NUMBERVALUE('Procyclean MG'!C279,",","."),0))))</f>
        <v/>
      </c>
      <c r="AE778" t="str">
        <f>IF(AA778="","",'Procyclean MG'!I279)</f>
        <v/>
      </c>
      <c r="AF778">
        <f t="shared" si="89"/>
        <v>0</v>
      </c>
      <c r="AG778" t="str">
        <f t="shared" si="90"/>
        <v/>
      </c>
      <c r="AH778" t="str">
        <f t="shared" si="91"/>
        <v/>
      </c>
      <c r="AI778">
        <f t="shared" si="92"/>
        <v>0</v>
      </c>
      <c r="AJ778">
        <f t="shared" si="93"/>
        <v>0</v>
      </c>
      <c r="AK778">
        <v>0</v>
      </c>
      <c r="AL778" t="str">
        <f>IF(AA778="","",IFERROR(IF(ISNUMBER('Procyclean MG'!D279),'Procyclean MG'!D279,IF(ISNUMBER(SEARCH("12",'Procyclean MG'!D279)),EDATE(AB778,12),IF(ISNUMBER(SEARCH("6",'Procyclean MG'!D279)),EDATE(AB778,6),IF(ISNUMBER(SEARCH("3",'Procyclean MG'!D279)),EDATE(AB778,3),DATEVALUE('Procyclean MG'!D279))))),""))</f>
        <v/>
      </c>
      <c r="AM778" t="str">
        <f t="shared" ca="1" si="94"/>
        <v/>
      </c>
    </row>
    <row r="779" spans="27:39" x14ac:dyDescent="0.3">
      <c r="AA779" t="str">
        <f>IF(COUNTA('Procyclean MG'!A280,'Procyclean MG'!B280,'Procyclean MG'!C280)&gt;0,"MG","")</f>
        <v/>
      </c>
      <c r="AB779" t="str">
        <f>IFERROR(IF(ISNUMBER('Procyclean MG'!A280),'Procyclean MG'!A280,DATEVALUE('Procyclean MG'!A280)),"")</f>
        <v/>
      </c>
      <c r="AC779" t="str">
        <f>IF(AA779="","",'Procyclean MG'!B280)</f>
        <v/>
      </c>
      <c r="AD779" t="str">
        <f>IF(AA779="","",IFERROR(1*'Procyclean MG'!C280,IFERROR(_xludf.NUMBERVALUE('Procyclean MG'!C280,".",","),IFERROR(_xludf.NUMBERVALUE('Procyclean MG'!C280,",","."),0))))</f>
        <v/>
      </c>
      <c r="AE779" t="str">
        <f>IF(AA779="","",'Procyclean MG'!I280)</f>
        <v/>
      </c>
      <c r="AF779">
        <f t="shared" si="89"/>
        <v>0</v>
      </c>
      <c r="AG779" t="str">
        <f t="shared" si="90"/>
        <v/>
      </c>
      <c r="AH779" t="str">
        <f t="shared" si="91"/>
        <v/>
      </c>
      <c r="AI779">
        <f t="shared" si="92"/>
        <v>0</v>
      </c>
      <c r="AJ779">
        <f t="shared" si="93"/>
        <v>0</v>
      </c>
      <c r="AK779">
        <v>0</v>
      </c>
      <c r="AL779" t="str">
        <f>IF(AA779="","",IFERROR(IF(ISNUMBER('Procyclean MG'!D280),'Procyclean MG'!D280,IF(ISNUMBER(SEARCH("12",'Procyclean MG'!D280)),EDATE(AB779,12),IF(ISNUMBER(SEARCH("6",'Procyclean MG'!D280)),EDATE(AB779,6),IF(ISNUMBER(SEARCH("3",'Procyclean MG'!D280)),EDATE(AB779,3),DATEVALUE('Procyclean MG'!D280))))),""))</f>
        <v/>
      </c>
      <c r="AM779" t="str">
        <f t="shared" ca="1" si="94"/>
        <v/>
      </c>
    </row>
    <row r="780" spans="27:39" x14ac:dyDescent="0.3">
      <c r="AA780" t="str">
        <f>IF(COUNTA('Procyclean MG'!A281,'Procyclean MG'!B281,'Procyclean MG'!C281)&gt;0,"MG","")</f>
        <v/>
      </c>
      <c r="AB780" t="str">
        <f>IFERROR(IF(ISNUMBER('Procyclean MG'!A281),'Procyclean MG'!A281,DATEVALUE('Procyclean MG'!A281)),"")</f>
        <v/>
      </c>
      <c r="AC780" t="str">
        <f>IF(AA780="","",'Procyclean MG'!B281)</f>
        <v/>
      </c>
      <c r="AD780" t="str">
        <f>IF(AA780="","",IFERROR(1*'Procyclean MG'!C281,IFERROR(_xludf.NUMBERVALUE('Procyclean MG'!C281,".",","),IFERROR(_xludf.NUMBERVALUE('Procyclean MG'!C281,",","."),0))))</f>
        <v/>
      </c>
      <c r="AE780" t="str">
        <f>IF(AA780="","",'Procyclean MG'!I281)</f>
        <v/>
      </c>
      <c r="AF780">
        <f t="shared" si="89"/>
        <v>0</v>
      </c>
      <c r="AG780" t="str">
        <f t="shared" si="90"/>
        <v/>
      </c>
      <c r="AH780" t="str">
        <f t="shared" si="91"/>
        <v/>
      </c>
      <c r="AI780">
        <f t="shared" si="92"/>
        <v>0</v>
      </c>
      <c r="AJ780">
        <f t="shared" si="93"/>
        <v>0</v>
      </c>
      <c r="AK780">
        <v>0</v>
      </c>
      <c r="AL780" t="str">
        <f>IF(AA780="","",IFERROR(IF(ISNUMBER('Procyclean MG'!D281),'Procyclean MG'!D281,IF(ISNUMBER(SEARCH("12",'Procyclean MG'!D281)),EDATE(AB780,12),IF(ISNUMBER(SEARCH("6",'Procyclean MG'!D281)),EDATE(AB780,6),IF(ISNUMBER(SEARCH("3",'Procyclean MG'!D281)),EDATE(AB780,3),DATEVALUE('Procyclean MG'!D281))))),""))</f>
        <v/>
      </c>
      <c r="AM780" t="str">
        <f t="shared" ca="1" si="94"/>
        <v/>
      </c>
    </row>
    <row r="781" spans="27:39" x14ac:dyDescent="0.3">
      <c r="AA781" t="str">
        <f>IF(COUNTA('Procyclean MG'!A282,'Procyclean MG'!B282,'Procyclean MG'!C282)&gt;0,"MG","")</f>
        <v/>
      </c>
      <c r="AB781" t="str">
        <f>IFERROR(IF(ISNUMBER('Procyclean MG'!A282),'Procyclean MG'!A282,DATEVALUE('Procyclean MG'!A282)),"")</f>
        <v/>
      </c>
      <c r="AC781" t="str">
        <f>IF(AA781="","",'Procyclean MG'!B282)</f>
        <v/>
      </c>
      <c r="AD781" t="str">
        <f>IF(AA781="","",IFERROR(1*'Procyclean MG'!C282,IFERROR(_xludf.NUMBERVALUE('Procyclean MG'!C282,".",","),IFERROR(_xludf.NUMBERVALUE('Procyclean MG'!C282,",","."),0))))</f>
        <v/>
      </c>
      <c r="AE781" t="str">
        <f>IF(AA781="","",'Procyclean MG'!I282)</f>
        <v/>
      </c>
      <c r="AF781">
        <f t="shared" si="89"/>
        <v>0</v>
      </c>
      <c r="AG781" t="str">
        <f t="shared" si="90"/>
        <v/>
      </c>
      <c r="AH781" t="str">
        <f t="shared" si="91"/>
        <v/>
      </c>
      <c r="AI781">
        <f t="shared" si="92"/>
        <v>0</v>
      </c>
      <c r="AJ781">
        <f t="shared" si="93"/>
        <v>0</v>
      </c>
      <c r="AK781">
        <v>0</v>
      </c>
      <c r="AL781" t="str">
        <f>IF(AA781="","",IFERROR(IF(ISNUMBER('Procyclean MG'!D282),'Procyclean MG'!D282,IF(ISNUMBER(SEARCH("12",'Procyclean MG'!D282)),EDATE(AB781,12),IF(ISNUMBER(SEARCH("6",'Procyclean MG'!D282)),EDATE(AB781,6),IF(ISNUMBER(SEARCH("3",'Procyclean MG'!D282)),EDATE(AB781,3),DATEVALUE('Procyclean MG'!D282))))),""))</f>
        <v/>
      </c>
      <c r="AM781" t="str">
        <f t="shared" ca="1" si="94"/>
        <v/>
      </c>
    </row>
    <row r="782" spans="27:39" x14ac:dyDescent="0.3">
      <c r="AA782" t="str">
        <f>IF(COUNTA('Procyclean MG'!A283,'Procyclean MG'!B283,'Procyclean MG'!C283)&gt;0,"MG","")</f>
        <v/>
      </c>
      <c r="AB782" t="str">
        <f>IFERROR(IF(ISNUMBER('Procyclean MG'!A283),'Procyclean MG'!A283,DATEVALUE('Procyclean MG'!A283)),"")</f>
        <v/>
      </c>
      <c r="AC782" t="str">
        <f>IF(AA782="","",'Procyclean MG'!B283)</f>
        <v/>
      </c>
      <c r="AD782" t="str">
        <f>IF(AA782="","",IFERROR(1*'Procyclean MG'!C283,IFERROR(_xludf.NUMBERVALUE('Procyclean MG'!C283,".",","),IFERROR(_xludf.NUMBERVALUE('Procyclean MG'!C283,",","."),0))))</f>
        <v/>
      </c>
      <c r="AE782" t="str">
        <f>IF(AA782="","",'Procyclean MG'!I283)</f>
        <v/>
      </c>
      <c r="AF782">
        <f t="shared" si="89"/>
        <v>0</v>
      </c>
      <c r="AG782" t="str">
        <f t="shared" si="90"/>
        <v/>
      </c>
      <c r="AH782" t="str">
        <f t="shared" si="91"/>
        <v/>
      </c>
      <c r="AI782">
        <f t="shared" si="92"/>
        <v>0</v>
      </c>
      <c r="AJ782">
        <f t="shared" si="93"/>
        <v>0</v>
      </c>
      <c r="AK782">
        <v>0</v>
      </c>
      <c r="AL782" t="str">
        <f>IF(AA782="","",IFERROR(IF(ISNUMBER('Procyclean MG'!D283),'Procyclean MG'!D283,IF(ISNUMBER(SEARCH("12",'Procyclean MG'!D283)),EDATE(AB782,12),IF(ISNUMBER(SEARCH("6",'Procyclean MG'!D283)),EDATE(AB782,6),IF(ISNUMBER(SEARCH("3",'Procyclean MG'!D283)),EDATE(AB782,3),DATEVALUE('Procyclean MG'!D283))))),""))</f>
        <v/>
      </c>
      <c r="AM782" t="str">
        <f t="shared" ca="1" si="94"/>
        <v/>
      </c>
    </row>
    <row r="783" spans="27:39" x14ac:dyDescent="0.3">
      <c r="AA783" t="str">
        <f>IF(COUNTA('Procyclean MG'!A284,'Procyclean MG'!B284,'Procyclean MG'!C284)&gt;0,"MG","")</f>
        <v/>
      </c>
      <c r="AB783" t="str">
        <f>IFERROR(IF(ISNUMBER('Procyclean MG'!A284),'Procyclean MG'!A284,DATEVALUE('Procyclean MG'!A284)),"")</f>
        <v/>
      </c>
      <c r="AC783" t="str">
        <f>IF(AA783="","",'Procyclean MG'!B284)</f>
        <v/>
      </c>
      <c r="AD783" t="str">
        <f>IF(AA783="","",IFERROR(1*'Procyclean MG'!C284,IFERROR(_xludf.NUMBERVALUE('Procyclean MG'!C284,".",","),IFERROR(_xludf.NUMBERVALUE('Procyclean MG'!C284,",","."),0))))</f>
        <v/>
      </c>
      <c r="AE783" t="str">
        <f>IF(AA783="","",'Procyclean MG'!I284)</f>
        <v/>
      </c>
      <c r="AF783">
        <f t="shared" si="89"/>
        <v>0</v>
      </c>
      <c r="AG783" t="str">
        <f t="shared" si="90"/>
        <v/>
      </c>
      <c r="AH783" t="str">
        <f t="shared" si="91"/>
        <v/>
      </c>
      <c r="AI783">
        <f t="shared" si="92"/>
        <v>0</v>
      </c>
      <c r="AJ783">
        <f t="shared" si="93"/>
        <v>0</v>
      </c>
      <c r="AK783">
        <v>0</v>
      </c>
      <c r="AL783" t="str">
        <f>IF(AA783="","",IFERROR(IF(ISNUMBER('Procyclean MG'!D284),'Procyclean MG'!D284,IF(ISNUMBER(SEARCH("12",'Procyclean MG'!D284)),EDATE(AB783,12),IF(ISNUMBER(SEARCH("6",'Procyclean MG'!D284)),EDATE(AB783,6),IF(ISNUMBER(SEARCH("3",'Procyclean MG'!D284)),EDATE(AB783,3),DATEVALUE('Procyclean MG'!D284))))),""))</f>
        <v/>
      </c>
      <c r="AM783" t="str">
        <f t="shared" ca="1" si="94"/>
        <v/>
      </c>
    </row>
    <row r="784" spans="27:39" x14ac:dyDescent="0.3">
      <c r="AA784" t="str">
        <f>IF(COUNTA('Procyclean MG'!A285,'Procyclean MG'!B285,'Procyclean MG'!C285)&gt;0,"MG","")</f>
        <v/>
      </c>
      <c r="AB784" t="str">
        <f>IFERROR(IF(ISNUMBER('Procyclean MG'!A285),'Procyclean MG'!A285,DATEVALUE('Procyclean MG'!A285)),"")</f>
        <v/>
      </c>
      <c r="AC784" t="str">
        <f>IF(AA784="","",'Procyclean MG'!B285)</f>
        <v/>
      </c>
      <c r="AD784" t="str">
        <f>IF(AA784="","",IFERROR(1*'Procyclean MG'!C285,IFERROR(_xludf.NUMBERVALUE('Procyclean MG'!C285,".",","),IFERROR(_xludf.NUMBERVALUE('Procyclean MG'!C285,",","."),0))))</f>
        <v/>
      </c>
      <c r="AE784" t="str">
        <f>IF(AA784="","",'Procyclean MG'!I285)</f>
        <v/>
      </c>
      <c r="AF784">
        <f t="shared" si="89"/>
        <v>0</v>
      </c>
      <c r="AG784" t="str">
        <f t="shared" si="90"/>
        <v/>
      </c>
      <c r="AH784" t="str">
        <f t="shared" si="91"/>
        <v/>
      </c>
      <c r="AI784">
        <f t="shared" si="92"/>
        <v>0</v>
      </c>
      <c r="AJ784">
        <f t="shared" si="93"/>
        <v>0</v>
      </c>
      <c r="AK784">
        <v>0</v>
      </c>
      <c r="AL784" t="str">
        <f>IF(AA784="","",IFERROR(IF(ISNUMBER('Procyclean MG'!D285),'Procyclean MG'!D285,IF(ISNUMBER(SEARCH("12",'Procyclean MG'!D285)),EDATE(AB784,12),IF(ISNUMBER(SEARCH("6",'Procyclean MG'!D285)),EDATE(AB784,6),IF(ISNUMBER(SEARCH("3",'Procyclean MG'!D285)),EDATE(AB784,3),DATEVALUE('Procyclean MG'!D285))))),""))</f>
        <v/>
      </c>
      <c r="AM784" t="str">
        <f t="shared" ca="1" si="94"/>
        <v/>
      </c>
    </row>
    <row r="785" spans="27:39" x14ac:dyDescent="0.3">
      <c r="AA785" t="str">
        <f>IF(COUNTA('Procyclean MG'!A286,'Procyclean MG'!B286,'Procyclean MG'!C286)&gt;0,"MG","")</f>
        <v/>
      </c>
      <c r="AB785" t="str">
        <f>IFERROR(IF(ISNUMBER('Procyclean MG'!A286),'Procyclean MG'!A286,DATEVALUE('Procyclean MG'!A286)),"")</f>
        <v/>
      </c>
      <c r="AC785" t="str">
        <f>IF(AA785="","",'Procyclean MG'!B286)</f>
        <v/>
      </c>
      <c r="AD785" t="str">
        <f>IF(AA785="","",IFERROR(1*'Procyclean MG'!C286,IFERROR(_xludf.NUMBERVALUE('Procyclean MG'!C286,".",","),IFERROR(_xludf.NUMBERVALUE('Procyclean MG'!C286,",","."),0))))</f>
        <v/>
      </c>
      <c r="AE785" t="str">
        <f>IF(AA785="","",'Procyclean MG'!I286)</f>
        <v/>
      </c>
      <c r="AF785">
        <f t="shared" si="89"/>
        <v>0</v>
      </c>
      <c r="AG785" t="str">
        <f t="shared" si="90"/>
        <v/>
      </c>
      <c r="AH785" t="str">
        <f t="shared" si="91"/>
        <v/>
      </c>
      <c r="AI785">
        <f t="shared" si="92"/>
        <v>0</v>
      </c>
      <c r="AJ785">
        <f t="shared" si="93"/>
        <v>0</v>
      </c>
      <c r="AK785">
        <v>0</v>
      </c>
      <c r="AL785" t="str">
        <f>IF(AA785="","",IFERROR(IF(ISNUMBER('Procyclean MG'!D286),'Procyclean MG'!D286,IF(ISNUMBER(SEARCH("12",'Procyclean MG'!D286)),EDATE(AB785,12),IF(ISNUMBER(SEARCH("6",'Procyclean MG'!D286)),EDATE(AB785,6),IF(ISNUMBER(SEARCH("3",'Procyclean MG'!D286)),EDATE(AB785,3),DATEVALUE('Procyclean MG'!D286))))),""))</f>
        <v/>
      </c>
      <c r="AM785" t="str">
        <f t="shared" ca="1" si="94"/>
        <v/>
      </c>
    </row>
    <row r="786" spans="27:39" x14ac:dyDescent="0.3">
      <c r="AA786" t="str">
        <f>IF(COUNTA('Procyclean MG'!A287,'Procyclean MG'!B287,'Procyclean MG'!C287)&gt;0,"MG","")</f>
        <v/>
      </c>
      <c r="AB786" t="str">
        <f>IFERROR(IF(ISNUMBER('Procyclean MG'!A287),'Procyclean MG'!A287,DATEVALUE('Procyclean MG'!A287)),"")</f>
        <v/>
      </c>
      <c r="AC786" t="str">
        <f>IF(AA786="","",'Procyclean MG'!B287)</f>
        <v/>
      </c>
      <c r="AD786" t="str">
        <f>IF(AA786="","",IFERROR(1*'Procyclean MG'!C287,IFERROR(_xludf.NUMBERVALUE('Procyclean MG'!C287,".",","),IFERROR(_xludf.NUMBERVALUE('Procyclean MG'!C287,",","."),0))))</f>
        <v/>
      </c>
      <c r="AE786" t="str">
        <f>IF(AA786="","",'Procyclean MG'!I287)</f>
        <v/>
      </c>
      <c r="AF786">
        <f t="shared" si="89"/>
        <v>0</v>
      </c>
      <c r="AG786" t="str">
        <f t="shared" si="90"/>
        <v/>
      </c>
      <c r="AH786" t="str">
        <f t="shared" si="91"/>
        <v/>
      </c>
      <c r="AI786">
        <f t="shared" si="92"/>
        <v>0</v>
      </c>
      <c r="AJ786">
        <f t="shared" si="93"/>
        <v>0</v>
      </c>
      <c r="AK786">
        <v>0</v>
      </c>
      <c r="AL786" t="str">
        <f>IF(AA786="","",IFERROR(IF(ISNUMBER('Procyclean MG'!D287),'Procyclean MG'!D287,IF(ISNUMBER(SEARCH("12",'Procyclean MG'!D287)),EDATE(AB786,12),IF(ISNUMBER(SEARCH("6",'Procyclean MG'!D287)),EDATE(AB786,6),IF(ISNUMBER(SEARCH("3",'Procyclean MG'!D287)),EDATE(AB786,3),DATEVALUE('Procyclean MG'!D287))))),""))</f>
        <v/>
      </c>
      <c r="AM786" t="str">
        <f t="shared" ca="1" si="94"/>
        <v/>
      </c>
    </row>
    <row r="787" spans="27:39" x14ac:dyDescent="0.3">
      <c r="AA787" t="str">
        <f>IF(COUNTA('Procyclean MG'!A288,'Procyclean MG'!B288,'Procyclean MG'!C288)&gt;0,"MG","")</f>
        <v/>
      </c>
      <c r="AB787" t="str">
        <f>IFERROR(IF(ISNUMBER('Procyclean MG'!A288),'Procyclean MG'!A288,DATEVALUE('Procyclean MG'!A288)),"")</f>
        <v/>
      </c>
      <c r="AC787" t="str">
        <f>IF(AA787="","",'Procyclean MG'!B288)</f>
        <v/>
      </c>
      <c r="AD787" t="str">
        <f>IF(AA787="","",IFERROR(1*'Procyclean MG'!C288,IFERROR(_xludf.NUMBERVALUE('Procyclean MG'!C288,".",","),IFERROR(_xludf.NUMBERVALUE('Procyclean MG'!C288,",","."),0))))</f>
        <v/>
      </c>
      <c r="AE787" t="str">
        <f>IF(AA787="","",'Procyclean MG'!I288)</f>
        <v/>
      </c>
      <c r="AF787">
        <f t="shared" si="89"/>
        <v>0</v>
      </c>
      <c r="AG787" t="str">
        <f t="shared" si="90"/>
        <v/>
      </c>
      <c r="AH787" t="str">
        <f t="shared" si="91"/>
        <v/>
      </c>
      <c r="AI787">
        <f t="shared" si="92"/>
        <v>0</v>
      </c>
      <c r="AJ787">
        <f t="shared" si="93"/>
        <v>0</v>
      </c>
      <c r="AK787">
        <v>0</v>
      </c>
      <c r="AL787" t="str">
        <f>IF(AA787="","",IFERROR(IF(ISNUMBER('Procyclean MG'!D288),'Procyclean MG'!D288,IF(ISNUMBER(SEARCH("12",'Procyclean MG'!D288)),EDATE(AB787,12),IF(ISNUMBER(SEARCH("6",'Procyclean MG'!D288)),EDATE(AB787,6),IF(ISNUMBER(SEARCH("3",'Procyclean MG'!D288)),EDATE(AB787,3),DATEVALUE('Procyclean MG'!D288))))),""))</f>
        <v/>
      </c>
      <c r="AM787" t="str">
        <f t="shared" ca="1" si="94"/>
        <v/>
      </c>
    </row>
    <row r="788" spans="27:39" x14ac:dyDescent="0.3">
      <c r="AA788" t="str">
        <f>IF(COUNTA('Procyclean MG'!A289,'Procyclean MG'!B289,'Procyclean MG'!C289)&gt;0,"MG","")</f>
        <v/>
      </c>
      <c r="AB788" t="str">
        <f>IFERROR(IF(ISNUMBER('Procyclean MG'!A289),'Procyclean MG'!A289,DATEVALUE('Procyclean MG'!A289)),"")</f>
        <v/>
      </c>
      <c r="AC788" t="str">
        <f>IF(AA788="","",'Procyclean MG'!B289)</f>
        <v/>
      </c>
      <c r="AD788" t="str">
        <f>IF(AA788="","",IFERROR(1*'Procyclean MG'!C289,IFERROR(_xludf.NUMBERVALUE('Procyclean MG'!C289,".",","),IFERROR(_xludf.NUMBERVALUE('Procyclean MG'!C289,",","."),0))))</f>
        <v/>
      </c>
      <c r="AE788" t="str">
        <f>IF(AA788="","",'Procyclean MG'!I289)</f>
        <v/>
      </c>
      <c r="AF788">
        <f t="shared" si="89"/>
        <v>0</v>
      </c>
      <c r="AG788" t="str">
        <f t="shared" si="90"/>
        <v/>
      </c>
      <c r="AH788" t="str">
        <f t="shared" si="91"/>
        <v/>
      </c>
      <c r="AI788">
        <f t="shared" si="92"/>
        <v>0</v>
      </c>
      <c r="AJ788">
        <f t="shared" si="93"/>
        <v>0</v>
      </c>
      <c r="AK788">
        <v>0</v>
      </c>
      <c r="AL788" t="str">
        <f>IF(AA788="","",IFERROR(IF(ISNUMBER('Procyclean MG'!D289),'Procyclean MG'!D289,IF(ISNUMBER(SEARCH("12",'Procyclean MG'!D289)),EDATE(AB788,12),IF(ISNUMBER(SEARCH("6",'Procyclean MG'!D289)),EDATE(AB788,6),IF(ISNUMBER(SEARCH("3",'Procyclean MG'!D289)),EDATE(AB788,3),DATEVALUE('Procyclean MG'!D289))))),""))</f>
        <v/>
      </c>
      <c r="AM788" t="str">
        <f t="shared" ca="1" si="94"/>
        <v/>
      </c>
    </row>
    <row r="789" spans="27:39" x14ac:dyDescent="0.3">
      <c r="AA789" t="str">
        <f>IF(COUNTA('Procyclean MG'!A290,'Procyclean MG'!B290,'Procyclean MG'!C290)&gt;0,"MG","")</f>
        <v/>
      </c>
      <c r="AB789" t="str">
        <f>IFERROR(IF(ISNUMBER('Procyclean MG'!A290),'Procyclean MG'!A290,DATEVALUE('Procyclean MG'!A290)),"")</f>
        <v/>
      </c>
      <c r="AC789" t="str">
        <f>IF(AA789="","",'Procyclean MG'!B290)</f>
        <v/>
      </c>
      <c r="AD789" t="str">
        <f>IF(AA789="","",IFERROR(1*'Procyclean MG'!C290,IFERROR(_xludf.NUMBERVALUE('Procyclean MG'!C290,".",","),IFERROR(_xludf.NUMBERVALUE('Procyclean MG'!C290,",","."),0))))</f>
        <v/>
      </c>
      <c r="AE789" t="str">
        <f>IF(AA789="","",'Procyclean MG'!I290)</f>
        <v/>
      </c>
      <c r="AF789">
        <f t="shared" si="89"/>
        <v>0</v>
      </c>
      <c r="AG789" t="str">
        <f t="shared" si="90"/>
        <v/>
      </c>
      <c r="AH789" t="str">
        <f t="shared" si="91"/>
        <v/>
      </c>
      <c r="AI789">
        <f t="shared" si="92"/>
        <v>0</v>
      </c>
      <c r="AJ789">
        <f t="shared" si="93"/>
        <v>0</v>
      </c>
      <c r="AK789">
        <v>0</v>
      </c>
      <c r="AL789" t="str">
        <f>IF(AA789="","",IFERROR(IF(ISNUMBER('Procyclean MG'!D290),'Procyclean MG'!D290,IF(ISNUMBER(SEARCH("12",'Procyclean MG'!D290)),EDATE(AB789,12),IF(ISNUMBER(SEARCH("6",'Procyclean MG'!D290)),EDATE(AB789,6),IF(ISNUMBER(SEARCH("3",'Procyclean MG'!D290)),EDATE(AB789,3),DATEVALUE('Procyclean MG'!D290))))),""))</f>
        <v/>
      </c>
      <c r="AM789" t="str">
        <f t="shared" ca="1" si="94"/>
        <v/>
      </c>
    </row>
    <row r="790" spans="27:39" x14ac:dyDescent="0.3">
      <c r="AA790" t="str">
        <f>IF(COUNTA('Procyclean MG'!A291,'Procyclean MG'!B291,'Procyclean MG'!C291)&gt;0,"MG","")</f>
        <v/>
      </c>
      <c r="AB790" t="str">
        <f>IFERROR(IF(ISNUMBER('Procyclean MG'!A291),'Procyclean MG'!A291,DATEVALUE('Procyclean MG'!A291)),"")</f>
        <v/>
      </c>
      <c r="AC790" t="str">
        <f>IF(AA790="","",'Procyclean MG'!B291)</f>
        <v/>
      </c>
      <c r="AD790" t="str">
        <f>IF(AA790="","",IFERROR(1*'Procyclean MG'!C291,IFERROR(_xludf.NUMBERVALUE('Procyclean MG'!C291,".",","),IFERROR(_xludf.NUMBERVALUE('Procyclean MG'!C291,",","."),0))))</f>
        <v/>
      </c>
      <c r="AE790" t="str">
        <f>IF(AA790="","",'Procyclean MG'!I291)</f>
        <v/>
      </c>
      <c r="AF790">
        <f t="shared" si="89"/>
        <v>0</v>
      </c>
      <c r="AG790" t="str">
        <f t="shared" si="90"/>
        <v/>
      </c>
      <c r="AH790" t="str">
        <f t="shared" si="91"/>
        <v/>
      </c>
      <c r="AI790">
        <f t="shared" si="92"/>
        <v>0</v>
      </c>
      <c r="AJ790">
        <f t="shared" si="93"/>
        <v>0</v>
      </c>
      <c r="AK790">
        <v>0</v>
      </c>
      <c r="AL790" t="str">
        <f>IF(AA790="","",IFERROR(IF(ISNUMBER('Procyclean MG'!D291),'Procyclean MG'!D291,IF(ISNUMBER(SEARCH("12",'Procyclean MG'!D291)),EDATE(AB790,12),IF(ISNUMBER(SEARCH("6",'Procyclean MG'!D291)),EDATE(AB790,6),IF(ISNUMBER(SEARCH("3",'Procyclean MG'!D291)),EDATE(AB790,3),DATEVALUE('Procyclean MG'!D291))))),""))</f>
        <v/>
      </c>
      <c r="AM790" t="str">
        <f t="shared" ca="1" si="94"/>
        <v/>
      </c>
    </row>
    <row r="791" spans="27:39" x14ac:dyDescent="0.3">
      <c r="AA791" t="str">
        <f>IF(COUNTA('Procyclean MG'!A292,'Procyclean MG'!B292,'Procyclean MG'!C292)&gt;0,"MG","")</f>
        <v/>
      </c>
      <c r="AB791" t="str">
        <f>IFERROR(IF(ISNUMBER('Procyclean MG'!A292),'Procyclean MG'!A292,DATEVALUE('Procyclean MG'!A292)),"")</f>
        <v/>
      </c>
      <c r="AC791" t="str">
        <f>IF(AA791="","",'Procyclean MG'!B292)</f>
        <v/>
      </c>
      <c r="AD791" t="str">
        <f>IF(AA791="","",IFERROR(1*'Procyclean MG'!C292,IFERROR(_xludf.NUMBERVALUE('Procyclean MG'!C292,".",","),IFERROR(_xludf.NUMBERVALUE('Procyclean MG'!C292,",","."),0))))</f>
        <v/>
      </c>
      <c r="AE791" t="str">
        <f>IF(AA791="","",'Procyclean MG'!I292)</f>
        <v/>
      </c>
      <c r="AF791">
        <f t="shared" si="89"/>
        <v>0</v>
      </c>
      <c r="AG791" t="str">
        <f t="shared" si="90"/>
        <v/>
      </c>
      <c r="AH791" t="str">
        <f t="shared" si="91"/>
        <v/>
      </c>
      <c r="AI791">
        <f t="shared" si="92"/>
        <v>0</v>
      </c>
      <c r="AJ791">
        <f t="shared" si="93"/>
        <v>0</v>
      </c>
      <c r="AK791">
        <v>0</v>
      </c>
      <c r="AL791" t="str">
        <f>IF(AA791="","",IFERROR(IF(ISNUMBER('Procyclean MG'!D292),'Procyclean MG'!D292,IF(ISNUMBER(SEARCH("12",'Procyclean MG'!D292)),EDATE(AB791,12),IF(ISNUMBER(SEARCH("6",'Procyclean MG'!D292)),EDATE(AB791,6),IF(ISNUMBER(SEARCH("3",'Procyclean MG'!D292)),EDATE(AB791,3),DATEVALUE('Procyclean MG'!D292))))),""))</f>
        <v/>
      </c>
      <c r="AM791" t="str">
        <f t="shared" ca="1" si="94"/>
        <v/>
      </c>
    </row>
    <row r="792" spans="27:39" x14ac:dyDescent="0.3">
      <c r="AA792" t="str">
        <f>IF(COUNTA('Procyclean MG'!A293,'Procyclean MG'!B293,'Procyclean MG'!C293)&gt;0,"MG","")</f>
        <v/>
      </c>
      <c r="AB792" t="str">
        <f>IFERROR(IF(ISNUMBER('Procyclean MG'!A293),'Procyclean MG'!A293,DATEVALUE('Procyclean MG'!A293)),"")</f>
        <v/>
      </c>
      <c r="AC792" t="str">
        <f>IF(AA792="","",'Procyclean MG'!B293)</f>
        <v/>
      </c>
      <c r="AD792" t="str">
        <f>IF(AA792="","",IFERROR(1*'Procyclean MG'!C293,IFERROR(_xludf.NUMBERVALUE('Procyclean MG'!C293,".",","),IFERROR(_xludf.NUMBERVALUE('Procyclean MG'!C293,",","."),0))))</f>
        <v/>
      </c>
      <c r="AE792" t="str">
        <f>IF(AA792="","",'Procyclean MG'!I293)</f>
        <v/>
      </c>
      <c r="AF792">
        <f t="shared" si="89"/>
        <v>0</v>
      </c>
      <c r="AG792" t="str">
        <f t="shared" si="90"/>
        <v/>
      </c>
      <c r="AH792" t="str">
        <f t="shared" si="91"/>
        <v/>
      </c>
      <c r="AI792">
        <f t="shared" si="92"/>
        <v>0</v>
      </c>
      <c r="AJ792">
        <f t="shared" si="93"/>
        <v>0</v>
      </c>
      <c r="AK792">
        <v>0</v>
      </c>
      <c r="AL792" t="str">
        <f>IF(AA792="","",IFERROR(IF(ISNUMBER('Procyclean MG'!D293),'Procyclean MG'!D293,IF(ISNUMBER(SEARCH("12",'Procyclean MG'!D293)),EDATE(AB792,12),IF(ISNUMBER(SEARCH("6",'Procyclean MG'!D293)),EDATE(AB792,6),IF(ISNUMBER(SEARCH("3",'Procyclean MG'!D293)),EDATE(AB792,3),DATEVALUE('Procyclean MG'!D293))))),""))</f>
        <v/>
      </c>
      <c r="AM792" t="str">
        <f t="shared" ca="1" si="94"/>
        <v/>
      </c>
    </row>
    <row r="793" spans="27:39" x14ac:dyDescent="0.3">
      <c r="AA793" t="str">
        <f>IF(COUNTA('Procyclean MG'!A294,'Procyclean MG'!B294,'Procyclean MG'!C294)&gt;0,"MG","")</f>
        <v/>
      </c>
      <c r="AB793" t="str">
        <f>IFERROR(IF(ISNUMBER('Procyclean MG'!A294),'Procyclean MG'!A294,DATEVALUE('Procyclean MG'!A294)),"")</f>
        <v/>
      </c>
      <c r="AC793" t="str">
        <f>IF(AA793="","",'Procyclean MG'!B294)</f>
        <v/>
      </c>
      <c r="AD793" t="str">
        <f>IF(AA793="","",IFERROR(1*'Procyclean MG'!C294,IFERROR(_xludf.NUMBERVALUE('Procyclean MG'!C294,".",","),IFERROR(_xludf.NUMBERVALUE('Procyclean MG'!C294,",","."),0))))</f>
        <v/>
      </c>
      <c r="AE793" t="str">
        <f>IF(AA793="","",'Procyclean MG'!I294)</f>
        <v/>
      </c>
      <c r="AF793">
        <f t="shared" si="89"/>
        <v>0</v>
      </c>
      <c r="AG793" t="str">
        <f t="shared" si="90"/>
        <v/>
      </c>
      <c r="AH793" t="str">
        <f t="shared" si="91"/>
        <v/>
      </c>
      <c r="AI793">
        <f t="shared" si="92"/>
        <v>0</v>
      </c>
      <c r="AJ793">
        <f t="shared" si="93"/>
        <v>0</v>
      </c>
      <c r="AK793">
        <v>0</v>
      </c>
      <c r="AL793" t="str">
        <f>IF(AA793="","",IFERROR(IF(ISNUMBER('Procyclean MG'!D294),'Procyclean MG'!D294,IF(ISNUMBER(SEARCH("12",'Procyclean MG'!D294)),EDATE(AB793,12),IF(ISNUMBER(SEARCH("6",'Procyclean MG'!D294)),EDATE(AB793,6),IF(ISNUMBER(SEARCH("3",'Procyclean MG'!D294)),EDATE(AB793,3),DATEVALUE('Procyclean MG'!D294))))),""))</f>
        <v/>
      </c>
      <c r="AM793" t="str">
        <f t="shared" ca="1" si="94"/>
        <v/>
      </c>
    </row>
    <row r="794" spans="27:39" x14ac:dyDescent="0.3">
      <c r="AA794" t="str">
        <f>IF(COUNTA('Procyclean MG'!A295,'Procyclean MG'!B295,'Procyclean MG'!C295)&gt;0,"MG","")</f>
        <v/>
      </c>
      <c r="AB794" t="str">
        <f>IFERROR(IF(ISNUMBER('Procyclean MG'!A295),'Procyclean MG'!A295,DATEVALUE('Procyclean MG'!A295)),"")</f>
        <v/>
      </c>
      <c r="AC794" t="str">
        <f>IF(AA794="","",'Procyclean MG'!B295)</f>
        <v/>
      </c>
      <c r="AD794" t="str">
        <f>IF(AA794="","",IFERROR(1*'Procyclean MG'!C295,IFERROR(_xludf.NUMBERVALUE('Procyclean MG'!C295,".",","),IFERROR(_xludf.NUMBERVALUE('Procyclean MG'!C295,",","."),0))))</f>
        <v/>
      </c>
      <c r="AE794" t="str">
        <f>IF(AA794="","",'Procyclean MG'!I295)</f>
        <v/>
      </c>
      <c r="AF794">
        <f t="shared" si="89"/>
        <v>0</v>
      </c>
      <c r="AG794" t="str">
        <f t="shared" si="90"/>
        <v/>
      </c>
      <c r="AH794" t="str">
        <f t="shared" si="91"/>
        <v/>
      </c>
      <c r="AI794">
        <f t="shared" si="92"/>
        <v>0</v>
      </c>
      <c r="AJ794">
        <f t="shared" si="93"/>
        <v>0</v>
      </c>
      <c r="AK794">
        <v>0</v>
      </c>
      <c r="AL794" t="str">
        <f>IF(AA794="","",IFERROR(IF(ISNUMBER('Procyclean MG'!D295),'Procyclean MG'!D295,IF(ISNUMBER(SEARCH("12",'Procyclean MG'!D295)),EDATE(AB794,12),IF(ISNUMBER(SEARCH("6",'Procyclean MG'!D295)),EDATE(AB794,6),IF(ISNUMBER(SEARCH("3",'Procyclean MG'!D295)),EDATE(AB794,3),DATEVALUE('Procyclean MG'!D295))))),""))</f>
        <v/>
      </c>
      <c r="AM794" t="str">
        <f t="shared" ca="1" si="94"/>
        <v/>
      </c>
    </row>
    <row r="795" spans="27:39" x14ac:dyDescent="0.3">
      <c r="AA795" t="str">
        <f>IF(COUNTA('Procyclean MG'!A296,'Procyclean MG'!B296,'Procyclean MG'!C296)&gt;0,"MG","")</f>
        <v/>
      </c>
      <c r="AB795" t="str">
        <f>IFERROR(IF(ISNUMBER('Procyclean MG'!A296),'Procyclean MG'!A296,DATEVALUE('Procyclean MG'!A296)),"")</f>
        <v/>
      </c>
      <c r="AC795" t="str">
        <f>IF(AA795="","",'Procyclean MG'!B296)</f>
        <v/>
      </c>
      <c r="AD795" t="str">
        <f>IF(AA795="","",IFERROR(1*'Procyclean MG'!C296,IFERROR(_xludf.NUMBERVALUE('Procyclean MG'!C296,".",","),IFERROR(_xludf.NUMBERVALUE('Procyclean MG'!C296,",","."),0))))</f>
        <v/>
      </c>
      <c r="AE795" t="str">
        <f>IF(AA795="","",'Procyclean MG'!I296)</f>
        <v/>
      </c>
      <c r="AF795">
        <f t="shared" si="89"/>
        <v>0</v>
      </c>
      <c r="AG795" t="str">
        <f t="shared" si="90"/>
        <v/>
      </c>
      <c r="AH795" t="str">
        <f t="shared" si="91"/>
        <v/>
      </c>
      <c r="AI795">
        <f t="shared" si="92"/>
        <v>0</v>
      </c>
      <c r="AJ795">
        <f t="shared" si="93"/>
        <v>0</v>
      </c>
      <c r="AK795">
        <v>0</v>
      </c>
      <c r="AL795" t="str">
        <f>IF(AA795="","",IFERROR(IF(ISNUMBER('Procyclean MG'!D296),'Procyclean MG'!D296,IF(ISNUMBER(SEARCH("12",'Procyclean MG'!D296)),EDATE(AB795,12),IF(ISNUMBER(SEARCH("6",'Procyclean MG'!D296)),EDATE(AB795,6),IF(ISNUMBER(SEARCH("3",'Procyclean MG'!D296)),EDATE(AB795,3),DATEVALUE('Procyclean MG'!D296))))),""))</f>
        <v/>
      </c>
      <c r="AM795" t="str">
        <f t="shared" ca="1" si="94"/>
        <v/>
      </c>
    </row>
    <row r="796" spans="27:39" x14ac:dyDescent="0.3">
      <c r="AA796" t="str">
        <f>IF(COUNTA('Procyclean MG'!A297,'Procyclean MG'!B297,'Procyclean MG'!C297)&gt;0,"MG","")</f>
        <v/>
      </c>
      <c r="AB796" t="str">
        <f>IFERROR(IF(ISNUMBER('Procyclean MG'!A297),'Procyclean MG'!A297,DATEVALUE('Procyclean MG'!A297)),"")</f>
        <v/>
      </c>
      <c r="AC796" t="str">
        <f>IF(AA796="","",'Procyclean MG'!B297)</f>
        <v/>
      </c>
      <c r="AD796" t="str">
        <f>IF(AA796="","",IFERROR(1*'Procyclean MG'!C297,IFERROR(_xludf.NUMBERVALUE('Procyclean MG'!C297,".",","),IFERROR(_xludf.NUMBERVALUE('Procyclean MG'!C297,",","."),0))))</f>
        <v/>
      </c>
      <c r="AE796" t="str">
        <f>IF(AA796="","",'Procyclean MG'!I297)</f>
        <v/>
      </c>
      <c r="AF796">
        <f t="shared" si="89"/>
        <v>0</v>
      </c>
      <c r="AG796" t="str">
        <f t="shared" si="90"/>
        <v/>
      </c>
      <c r="AH796" t="str">
        <f t="shared" si="91"/>
        <v/>
      </c>
      <c r="AI796">
        <f t="shared" si="92"/>
        <v>0</v>
      </c>
      <c r="AJ796">
        <f t="shared" si="93"/>
        <v>0</v>
      </c>
      <c r="AK796">
        <v>0</v>
      </c>
      <c r="AL796" t="str">
        <f>IF(AA796="","",IFERROR(IF(ISNUMBER('Procyclean MG'!D297),'Procyclean MG'!D297,IF(ISNUMBER(SEARCH("12",'Procyclean MG'!D297)),EDATE(AB796,12),IF(ISNUMBER(SEARCH("6",'Procyclean MG'!D297)),EDATE(AB796,6),IF(ISNUMBER(SEARCH("3",'Procyclean MG'!D297)),EDATE(AB796,3),DATEVALUE('Procyclean MG'!D297))))),""))</f>
        <v/>
      </c>
      <c r="AM796" t="str">
        <f t="shared" ca="1" si="94"/>
        <v/>
      </c>
    </row>
    <row r="797" spans="27:39" x14ac:dyDescent="0.3">
      <c r="AA797" t="str">
        <f>IF(COUNTA('Procyclean MG'!A298,'Procyclean MG'!B298,'Procyclean MG'!C298)&gt;0,"MG","")</f>
        <v/>
      </c>
      <c r="AB797" t="str">
        <f>IFERROR(IF(ISNUMBER('Procyclean MG'!A298),'Procyclean MG'!A298,DATEVALUE('Procyclean MG'!A298)),"")</f>
        <v/>
      </c>
      <c r="AC797" t="str">
        <f>IF(AA797="","",'Procyclean MG'!B298)</f>
        <v/>
      </c>
      <c r="AD797" t="str">
        <f>IF(AA797="","",IFERROR(1*'Procyclean MG'!C298,IFERROR(_xludf.NUMBERVALUE('Procyclean MG'!C298,".",","),IFERROR(_xludf.NUMBERVALUE('Procyclean MG'!C298,",","."),0))))</f>
        <v/>
      </c>
      <c r="AE797" t="str">
        <f>IF(AA797="","",'Procyclean MG'!I298)</f>
        <v/>
      </c>
      <c r="AF797">
        <f t="shared" si="89"/>
        <v>0</v>
      </c>
      <c r="AG797" t="str">
        <f t="shared" si="90"/>
        <v/>
      </c>
      <c r="AH797" t="str">
        <f t="shared" si="91"/>
        <v/>
      </c>
      <c r="AI797">
        <f t="shared" si="92"/>
        <v>0</v>
      </c>
      <c r="AJ797">
        <f t="shared" si="93"/>
        <v>0</v>
      </c>
      <c r="AK797">
        <v>0</v>
      </c>
      <c r="AL797" t="str">
        <f>IF(AA797="","",IFERROR(IF(ISNUMBER('Procyclean MG'!D298),'Procyclean MG'!D298,IF(ISNUMBER(SEARCH("12",'Procyclean MG'!D298)),EDATE(AB797,12),IF(ISNUMBER(SEARCH("6",'Procyclean MG'!D298)),EDATE(AB797,6),IF(ISNUMBER(SEARCH("3",'Procyclean MG'!D298)),EDATE(AB797,3),DATEVALUE('Procyclean MG'!D298))))),""))</f>
        <v/>
      </c>
      <c r="AM797" t="str">
        <f t="shared" ca="1" si="94"/>
        <v/>
      </c>
    </row>
    <row r="798" spans="27:39" x14ac:dyDescent="0.3">
      <c r="AA798" t="str">
        <f>IF(COUNTA('Procyclean MG'!A299,'Procyclean MG'!B299,'Procyclean MG'!C299)&gt;0,"MG","")</f>
        <v/>
      </c>
      <c r="AB798" t="str">
        <f>IFERROR(IF(ISNUMBER('Procyclean MG'!A299),'Procyclean MG'!A299,DATEVALUE('Procyclean MG'!A299)),"")</f>
        <v/>
      </c>
      <c r="AC798" t="str">
        <f>IF(AA798="","",'Procyclean MG'!B299)</f>
        <v/>
      </c>
      <c r="AD798" t="str">
        <f>IF(AA798="","",IFERROR(1*'Procyclean MG'!C299,IFERROR(_xludf.NUMBERVALUE('Procyclean MG'!C299,".",","),IFERROR(_xludf.NUMBERVALUE('Procyclean MG'!C299,",","."),0))))</f>
        <v/>
      </c>
      <c r="AE798" t="str">
        <f>IF(AA798="","",'Procyclean MG'!I299)</f>
        <v/>
      </c>
      <c r="AF798">
        <f t="shared" si="89"/>
        <v>0</v>
      </c>
      <c r="AG798" t="str">
        <f t="shared" si="90"/>
        <v/>
      </c>
      <c r="AH798" t="str">
        <f t="shared" si="91"/>
        <v/>
      </c>
      <c r="AI798">
        <f t="shared" si="92"/>
        <v>0</v>
      </c>
      <c r="AJ798">
        <f t="shared" si="93"/>
        <v>0</v>
      </c>
      <c r="AK798">
        <v>0</v>
      </c>
      <c r="AL798" t="str">
        <f>IF(AA798="","",IFERROR(IF(ISNUMBER('Procyclean MG'!D299),'Procyclean MG'!D299,IF(ISNUMBER(SEARCH("12",'Procyclean MG'!D299)),EDATE(AB798,12),IF(ISNUMBER(SEARCH("6",'Procyclean MG'!D299)),EDATE(AB798,6),IF(ISNUMBER(SEARCH("3",'Procyclean MG'!D299)),EDATE(AB798,3),DATEVALUE('Procyclean MG'!D299))))),""))</f>
        <v/>
      </c>
      <c r="AM798" t="str">
        <f t="shared" ca="1" si="94"/>
        <v/>
      </c>
    </row>
    <row r="799" spans="27:39" x14ac:dyDescent="0.3">
      <c r="AA799" t="str">
        <f>IF(COUNTA('Procyclean MG'!A300,'Procyclean MG'!B300,'Procyclean MG'!C300)&gt;0,"MG","")</f>
        <v/>
      </c>
      <c r="AB799" t="str">
        <f>IFERROR(IF(ISNUMBER('Procyclean MG'!A300),'Procyclean MG'!A300,DATEVALUE('Procyclean MG'!A300)),"")</f>
        <v/>
      </c>
      <c r="AC799" t="str">
        <f>IF(AA799="","",'Procyclean MG'!B300)</f>
        <v/>
      </c>
      <c r="AD799" t="str">
        <f>IF(AA799="","",IFERROR(1*'Procyclean MG'!C300,IFERROR(_xludf.NUMBERVALUE('Procyclean MG'!C300,".",","),IFERROR(_xludf.NUMBERVALUE('Procyclean MG'!C300,",","."),0))))</f>
        <v/>
      </c>
      <c r="AE799" t="str">
        <f>IF(AA799="","",'Procyclean MG'!I300)</f>
        <v/>
      </c>
      <c r="AF799">
        <f t="shared" si="89"/>
        <v>0</v>
      </c>
      <c r="AG799" t="str">
        <f t="shared" si="90"/>
        <v/>
      </c>
      <c r="AH799" t="str">
        <f t="shared" si="91"/>
        <v/>
      </c>
      <c r="AI799">
        <f t="shared" si="92"/>
        <v>0</v>
      </c>
      <c r="AJ799">
        <f t="shared" si="93"/>
        <v>0</v>
      </c>
      <c r="AK799">
        <v>0</v>
      </c>
      <c r="AL799" t="str">
        <f>IF(AA799="","",IFERROR(IF(ISNUMBER('Procyclean MG'!D300),'Procyclean MG'!D300,IF(ISNUMBER(SEARCH("12",'Procyclean MG'!D300)),EDATE(AB799,12),IF(ISNUMBER(SEARCH("6",'Procyclean MG'!D300)),EDATE(AB799,6),IF(ISNUMBER(SEARCH("3",'Procyclean MG'!D300)),EDATE(AB799,3),DATEVALUE('Procyclean MG'!D300))))),""))</f>
        <v/>
      </c>
      <c r="AM799" t="str">
        <f t="shared" ca="1" si="94"/>
        <v/>
      </c>
    </row>
    <row r="800" spans="27:39" x14ac:dyDescent="0.3">
      <c r="AA800" t="str">
        <f>IF(COUNTA('Procyclean MG'!A301,'Procyclean MG'!B301,'Procyclean MG'!C301)&gt;0,"MG","")</f>
        <v/>
      </c>
      <c r="AB800" t="str">
        <f>IFERROR(IF(ISNUMBER('Procyclean MG'!A301),'Procyclean MG'!A301,DATEVALUE('Procyclean MG'!A301)),"")</f>
        <v/>
      </c>
      <c r="AC800" t="str">
        <f>IF(AA800="","",'Procyclean MG'!B301)</f>
        <v/>
      </c>
      <c r="AD800" t="str">
        <f>IF(AA800="","",IFERROR(1*'Procyclean MG'!C301,IFERROR(_xludf.NUMBERVALUE('Procyclean MG'!C301,".",","),IFERROR(_xludf.NUMBERVALUE('Procyclean MG'!C301,",","."),0))))</f>
        <v/>
      </c>
      <c r="AE800" t="str">
        <f>IF(AA800="","",'Procyclean MG'!I301)</f>
        <v/>
      </c>
      <c r="AF800">
        <f t="shared" si="89"/>
        <v>0</v>
      </c>
      <c r="AG800" t="str">
        <f t="shared" si="90"/>
        <v/>
      </c>
      <c r="AH800" t="str">
        <f t="shared" si="91"/>
        <v/>
      </c>
      <c r="AI800">
        <f t="shared" si="92"/>
        <v>0</v>
      </c>
      <c r="AJ800">
        <f t="shared" si="93"/>
        <v>0</v>
      </c>
      <c r="AK800">
        <v>0</v>
      </c>
      <c r="AL800" t="str">
        <f>IF(AA800="","",IFERROR(IF(ISNUMBER('Procyclean MG'!D301),'Procyclean MG'!D301,IF(ISNUMBER(SEARCH("12",'Procyclean MG'!D301)),EDATE(AB800,12),IF(ISNUMBER(SEARCH("6",'Procyclean MG'!D301)),EDATE(AB800,6),IF(ISNUMBER(SEARCH("3",'Procyclean MG'!D301)),EDATE(AB800,3),DATEVALUE('Procyclean MG'!D301))))),""))</f>
        <v/>
      </c>
      <c r="AM800" t="str">
        <f t="shared" ca="1" si="94"/>
        <v/>
      </c>
    </row>
    <row r="801" spans="27:39" x14ac:dyDescent="0.3">
      <c r="AA801" t="str">
        <f>IF(COUNTA('Procyclean MG'!A302,'Procyclean MG'!B302,'Procyclean MG'!C302)&gt;0,"MG","")</f>
        <v/>
      </c>
      <c r="AB801" t="str">
        <f>IFERROR(IF(ISNUMBER('Procyclean MG'!A302),'Procyclean MG'!A302,DATEVALUE('Procyclean MG'!A302)),"")</f>
        <v/>
      </c>
      <c r="AC801" t="str">
        <f>IF(AA801="","",'Procyclean MG'!B302)</f>
        <v/>
      </c>
      <c r="AD801" t="str">
        <f>IF(AA801="","",IFERROR(1*'Procyclean MG'!C302,IFERROR(_xludf.NUMBERVALUE('Procyclean MG'!C302,".",","),IFERROR(_xludf.NUMBERVALUE('Procyclean MG'!C302,",","."),0))))</f>
        <v/>
      </c>
      <c r="AE801" t="str">
        <f>IF(AA801="","",'Procyclean MG'!I302)</f>
        <v/>
      </c>
      <c r="AF801">
        <f t="shared" si="89"/>
        <v>0</v>
      </c>
      <c r="AG801" t="str">
        <f t="shared" si="90"/>
        <v/>
      </c>
      <c r="AH801" t="str">
        <f t="shared" si="91"/>
        <v/>
      </c>
      <c r="AI801">
        <f t="shared" si="92"/>
        <v>0</v>
      </c>
      <c r="AJ801">
        <f t="shared" si="93"/>
        <v>0</v>
      </c>
      <c r="AK801">
        <v>0</v>
      </c>
      <c r="AL801" t="str">
        <f>IF(AA801="","",IFERROR(IF(ISNUMBER('Procyclean MG'!D302),'Procyclean MG'!D302,IF(ISNUMBER(SEARCH("12",'Procyclean MG'!D302)),EDATE(AB801,12),IF(ISNUMBER(SEARCH("6",'Procyclean MG'!D302)),EDATE(AB801,6),IF(ISNUMBER(SEARCH("3",'Procyclean MG'!D302)),EDATE(AB801,3),DATEVALUE('Procyclean MG'!D302))))),""))</f>
        <v/>
      </c>
      <c r="AM801" t="str">
        <f t="shared" ca="1" si="94"/>
        <v/>
      </c>
    </row>
    <row r="802" spans="27:39" x14ac:dyDescent="0.3">
      <c r="AA802" t="str">
        <f>IF(COUNTA('Procyclean MG'!A303,'Procyclean MG'!B303,'Procyclean MG'!C303)&gt;0,"MG","")</f>
        <v/>
      </c>
      <c r="AB802" t="str">
        <f>IFERROR(IF(ISNUMBER('Procyclean MG'!A303),'Procyclean MG'!A303,DATEVALUE('Procyclean MG'!A303)),"")</f>
        <v/>
      </c>
      <c r="AC802" t="str">
        <f>IF(AA802="","",'Procyclean MG'!B303)</f>
        <v/>
      </c>
      <c r="AD802" t="str">
        <f>IF(AA802="","",IFERROR(1*'Procyclean MG'!C303,IFERROR(_xludf.NUMBERVALUE('Procyclean MG'!C303,".",","),IFERROR(_xludf.NUMBERVALUE('Procyclean MG'!C303,",","."),0))))</f>
        <v/>
      </c>
      <c r="AE802" t="str">
        <f>IF(AA802="","",'Procyclean MG'!I303)</f>
        <v/>
      </c>
      <c r="AF802">
        <f t="shared" si="89"/>
        <v>0</v>
      </c>
      <c r="AG802" t="str">
        <f t="shared" si="90"/>
        <v/>
      </c>
      <c r="AH802" t="str">
        <f t="shared" si="91"/>
        <v/>
      </c>
      <c r="AI802">
        <f t="shared" si="92"/>
        <v>0</v>
      </c>
      <c r="AJ802">
        <f t="shared" si="93"/>
        <v>0</v>
      </c>
      <c r="AK802">
        <v>0</v>
      </c>
      <c r="AL802" t="str">
        <f>IF(AA802="","",IFERROR(IF(ISNUMBER('Procyclean MG'!D303),'Procyclean MG'!D303,IF(ISNUMBER(SEARCH("12",'Procyclean MG'!D303)),EDATE(AB802,12),IF(ISNUMBER(SEARCH("6",'Procyclean MG'!D303)),EDATE(AB802,6),IF(ISNUMBER(SEARCH("3",'Procyclean MG'!D303)),EDATE(AB802,3),DATEVALUE('Procyclean MG'!D303))))),""))</f>
        <v/>
      </c>
      <c r="AM802" t="str">
        <f t="shared" ca="1" si="94"/>
        <v/>
      </c>
    </row>
    <row r="803" spans="27:39" x14ac:dyDescent="0.3">
      <c r="AA803" t="str">
        <f>IF(COUNTA('Procyclean MG'!A304,'Procyclean MG'!B304,'Procyclean MG'!C304)&gt;0,"MG","")</f>
        <v/>
      </c>
      <c r="AB803" t="str">
        <f>IFERROR(IF(ISNUMBER('Procyclean MG'!A304),'Procyclean MG'!A304,DATEVALUE('Procyclean MG'!A304)),"")</f>
        <v/>
      </c>
      <c r="AC803" t="str">
        <f>IF(AA803="","",'Procyclean MG'!B304)</f>
        <v/>
      </c>
      <c r="AD803" t="str">
        <f>IF(AA803="","",IFERROR(1*'Procyclean MG'!C304,IFERROR(_xludf.NUMBERVALUE('Procyclean MG'!C304,".",","),IFERROR(_xludf.NUMBERVALUE('Procyclean MG'!C304,",","."),0))))</f>
        <v/>
      </c>
      <c r="AE803" t="str">
        <f>IF(AA803="","",'Procyclean MG'!I304)</f>
        <v/>
      </c>
      <c r="AF803">
        <f t="shared" si="89"/>
        <v>0</v>
      </c>
      <c r="AG803" t="str">
        <f t="shared" si="90"/>
        <v/>
      </c>
      <c r="AH803" t="str">
        <f t="shared" si="91"/>
        <v/>
      </c>
      <c r="AI803">
        <f t="shared" si="92"/>
        <v>0</v>
      </c>
      <c r="AJ803">
        <f t="shared" si="93"/>
        <v>0</v>
      </c>
      <c r="AK803">
        <v>0</v>
      </c>
      <c r="AL803" t="str">
        <f>IF(AA803="","",IFERROR(IF(ISNUMBER('Procyclean MG'!D304),'Procyclean MG'!D304,IF(ISNUMBER(SEARCH("12",'Procyclean MG'!D304)),EDATE(AB803,12),IF(ISNUMBER(SEARCH("6",'Procyclean MG'!D304)),EDATE(AB803,6),IF(ISNUMBER(SEARCH("3",'Procyclean MG'!D304)),EDATE(AB803,3),DATEVALUE('Procyclean MG'!D304))))),""))</f>
        <v/>
      </c>
      <c r="AM803" t="str">
        <f t="shared" ca="1" si="94"/>
        <v/>
      </c>
    </row>
    <row r="804" spans="27:39" x14ac:dyDescent="0.3">
      <c r="AA804" t="str">
        <f>IF(COUNTA('Procyclean MG'!A305,'Procyclean MG'!B305,'Procyclean MG'!C305)&gt;0,"MG","")</f>
        <v/>
      </c>
      <c r="AB804" t="str">
        <f>IFERROR(IF(ISNUMBER('Procyclean MG'!A305),'Procyclean MG'!A305,DATEVALUE('Procyclean MG'!A305)),"")</f>
        <v/>
      </c>
      <c r="AC804" t="str">
        <f>IF(AA804="","",'Procyclean MG'!B305)</f>
        <v/>
      </c>
      <c r="AD804" t="str">
        <f>IF(AA804="","",IFERROR(1*'Procyclean MG'!C305,IFERROR(_xludf.NUMBERVALUE('Procyclean MG'!C305,".",","),IFERROR(_xludf.NUMBERVALUE('Procyclean MG'!C305,",","."),0))))</f>
        <v/>
      </c>
      <c r="AE804" t="str">
        <f>IF(AA804="","",'Procyclean MG'!I305)</f>
        <v/>
      </c>
      <c r="AF804">
        <f t="shared" si="89"/>
        <v>0</v>
      </c>
      <c r="AG804" t="str">
        <f t="shared" si="90"/>
        <v/>
      </c>
      <c r="AH804" t="str">
        <f t="shared" si="91"/>
        <v/>
      </c>
      <c r="AI804">
        <f t="shared" si="92"/>
        <v>0</v>
      </c>
      <c r="AJ804">
        <f t="shared" si="93"/>
        <v>0</v>
      </c>
      <c r="AK804">
        <v>0</v>
      </c>
      <c r="AL804" t="str">
        <f>IF(AA804="","",IFERROR(IF(ISNUMBER('Procyclean MG'!D305),'Procyclean MG'!D305,IF(ISNUMBER(SEARCH("12",'Procyclean MG'!D305)),EDATE(AB804,12),IF(ISNUMBER(SEARCH("6",'Procyclean MG'!D305)),EDATE(AB804,6),IF(ISNUMBER(SEARCH("3",'Procyclean MG'!D305)),EDATE(AB804,3),DATEVALUE('Procyclean MG'!D305))))),""))</f>
        <v/>
      </c>
      <c r="AM804" t="str">
        <f t="shared" ca="1" si="94"/>
        <v/>
      </c>
    </row>
    <row r="805" spans="27:39" x14ac:dyDescent="0.3">
      <c r="AA805" t="str">
        <f>IF(COUNTA('Procyclean MG'!A306,'Procyclean MG'!B306,'Procyclean MG'!C306)&gt;0,"MG","")</f>
        <v/>
      </c>
      <c r="AB805" t="str">
        <f>IFERROR(IF(ISNUMBER('Procyclean MG'!A306),'Procyclean MG'!A306,DATEVALUE('Procyclean MG'!A306)),"")</f>
        <v/>
      </c>
      <c r="AC805" t="str">
        <f>IF(AA805="","",'Procyclean MG'!B306)</f>
        <v/>
      </c>
      <c r="AD805" t="str">
        <f>IF(AA805="","",IFERROR(1*'Procyclean MG'!C306,IFERROR(_xludf.NUMBERVALUE('Procyclean MG'!C306,".",","),IFERROR(_xludf.NUMBERVALUE('Procyclean MG'!C306,",","."),0))))</f>
        <v/>
      </c>
      <c r="AE805" t="str">
        <f>IF(AA805="","",'Procyclean MG'!I306)</f>
        <v/>
      </c>
      <c r="AF805">
        <f t="shared" si="89"/>
        <v>0</v>
      </c>
      <c r="AG805" t="str">
        <f t="shared" si="90"/>
        <v/>
      </c>
      <c r="AH805" t="str">
        <f t="shared" si="91"/>
        <v/>
      </c>
      <c r="AI805">
        <f t="shared" si="92"/>
        <v>0</v>
      </c>
      <c r="AJ805">
        <f t="shared" si="93"/>
        <v>0</v>
      </c>
      <c r="AK805">
        <v>0</v>
      </c>
      <c r="AL805" t="str">
        <f>IF(AA805="","",IFERROR(IF(ISNUMBER('Procyclean MG'!D306),'Procyclean MG'!D306,IF(ISNUMBER(SEARCH("12",'Procyclean MG'!D306)),EDATE(AB805,12),IF(ISNUMBER(SEARCH("6",'Procyclean MG'!D306)),EDATE(AB805,6),IF(ISNUMBER(SEARCH("3",'Procyclean MG'!D306)),EDATE(AB805,3),DATEVALUE('Procyclean MG'!D306))))),""))</f>
        <v/>
      </c>
      <c r="AM805" t="str">
        <f t="shared" ca="1" si="94"/>
        <v/>
      </c>
    </row>
    <row r="806" spans="27:39" x14ac:dyDescent="0.3">
      <c r="AA806" t="str">
        <f>IF(COUNTA('Procyclean MG'!A307,'Procyclean MG'!B307,'Procyclean MG'!C307)&gt;0,"MG","")</f>
        <v/>
      </c>
      <c r="AB806" t="str">
        <f>IFERROR(IF(ISNUMBER('Procyclean MG'!A307),'Procyclean MG'!A307,DATEVALUE('Procyclean MG'!A307)),"")</f>
        <v/>
      </c>
      <c r="AC806" t="str">
        <f>IF(AA806="","",'Procyclean MG'!B307)</f>
        <v/>
      </c>
      <c r="AD806" t="str">
        <f>IF(AA806="","",IFERROR(1*'Procyclean MG'!C307,IFERROR(_xludf.NUMBERVALUE('Procyclean MG'!C307,".",","),IFERROR(_xludf.NUMBERVALUE('Procyclean MG'!C307,",","."),0))))</f>
        <v/>
      </c>
      <c r="AE806" t="str">
        <f>IF(AA806="","",'Procyclean MG'!I307)</f>
        <v/>
      </c>
      <c r="AF806">
        <f t="shared" si="89"/>
        <v>0</v>
      </c>
      <c r="AG806" t="str">
        <f t="shared" si="90"/>
        <v/>
      </c>
      <c r="AH806" t="str">
        <f t="shared" si="91"/>
        <v/>
      </c>
      <c r="AI806">
        <f t="shared" si="92"/>
        <v>0</v>
      </c>
      <c r="AJ806">
        <f t="shared" si="93"/>
        <v>0</v>
      </c>
      <c r="AK806">
        <v>0</v>
      </c>
      <c r="AL806" t="str">
        <f>IF(AA806="","",IFERROR(IF(ISNUMBER('Procyclean MG'!D307),'Procyclean MG'!D307,IF(ISNUMBER(SEARCH("12",'Procyclean MG'!D307)),EDATE(AB806,12),IF(ISNUMBER(SEARCH("6",'Procyclean MG'!D307)),EDATE(AB806,6),IF(ISNUMBER(SEARCH("3",'Procyclean MG'!D307)),EDATE(AB806,3),DATEVALUE('Procyclean MG'!D307))))),""))</f>
        <v/>
      </c>
      <c r="AM806" t="str">
        <f t="shared" ca="1" si="94"/>
        <v/>
      </c>
    </row>
    <row r="807" spans="27:39" x14ac:dyDescent="0.3">
      <c r="AA807" t="str">
        <f>IF(COUNTA('Procyclean MG'!A308,'Procyclean MG'!B308,'Procyclean MG'!C308)&gt;0,"MG","")</f>
        <v/>
      </c>
      <c r="AB807" t="str">
        <f>IFERROR(IF(ISNUMBER('Procyclean MG'!A308),'Procyclean MG'!A308,DATEVALUE('Procyclean MG'!A308)),"")</f>
        <v/>
      </c>
      <c r="AC807" t="str">
        <f>IF(AA807="","",'Procyclean MG'!B308)</f>
        <v/>
      </c>
      <c r="AD807" t="str">
        <f>IF(AA807="","",IFERROR(1*'Procyclean MG'!C308,IFERROR(_xludf.NUMBERVALUE('Procyclean MG'!C308,".",","),IFERROR(_xludf.NUMBERVALUE('Procyclean MG'!C308,",","."),0))))</f>
        <v/>
      </c>
      <c r="AE807" t="str">
        <f>IF(AA807="","",'Procyclean MG'!I308)</f>
        <v/>
      </c>
      <c r="AF807">
        <f t="shared" si="89"/>
        <v>0</v>
      </c>
      <c r="AG807" t="str">
        <f t="shared" si="90"/>
        <v/>
      </c>
      <c r="AH807" t="str">
        <f t="shared" si="91"/>
        <v/>
      </c>
      <c r="AI807">
        <f t="shared" si="92"/>
        <v>0</v>
      </c>
      <c r="AJ807">
        <f t="shared" si="93"/>
        <v>0</v>
      </c>
      <c r="AK807">
        <v>0</v>
      </c>
      <c r="AL807" t="str">
        <f>IF(AA807="","",IFERROR(IF(ISNUMBER('Procyclean MG'!D308),'Procyclean MG'!D308,IF(ISNUMBER(SEARCH("12",'Procyclean MG'!D308)),EDATE(AB807,12),IF(ISNUMBER(SEARCH("6",'Procyclean MG'!D308)),EDATE(AB807,6),IF(ISNUMBER(SEARCH("3",'Procyclean MG'!D308)),EDATE(AB807,3),DATEVALUE('Procyclean MG'!D308))))),""))</f>
        <v/>
      </c>
      <c r="AM807" t="str">
        <f t="shared" ca="1" si="94"/>
        <v/>
      </c>
    </row>
    <row r="808" spans="27:39" x14ac:dyDescent="0.3">
      <c r="AA808" t="str">
        <f>IF(COUNTA('Procyclean MG'!A309,'Procyclean MG'!B309,'Procyclean MG'!C309)&gt;0,"MG","")</f>
        <v/>
      </c>
      <c r="AB808" t="str">
        <f>IFERROR(IF(ISNUMBER('Procyclean MG'!A309),'Procyclean MG'!A309,DATEVALUE('Procyclean MG'!A309)),"")</f>
        <v/>
      </c>
      <c r="AC808" t="str">
        <f>IF(AA808="","",'Procyclean MG'!B309)</f>
        <v/>
      </c>
      <c r="AD808" t="str">
        <f>IF(AA808="","",IFERROR(1*'Procyclean MG'!C309,IFERROR(_xludf.NUMBERVALUE('Procyclean MG'!C309,".",","),IFERROR(_xludf.NUMBERVALUE('Procyclean MG'!C309,",","."),0))))</f>
        <v/>
      </c>
      <c r="AE808" t="str">
        <f>IF(AA808="","",'Procyclean MG'!I309)</f>
        <v/>
      </c>
      <c r="AF808">
        <f t="shared" si="89"/>
        <v>0</v>
      </c>
      <c r="AG808" t="str">
        <f t="shared" si="90"/>
        <v/>
      </c>
      <c r="AH808" t="str">
        <f t="shared" si="91"/>
        <v/>
      </c>
      <c r="AI808">
        <f t="shared" si="92"/>
        <v>0</v>
      </c>
      <c r="AJ808">
        <f t="shared" si="93"/>
        <v>0</v>
      </c>
      <c r="AK808">
        <v>0</v>
      </c>
      <c r="AL808" t="str">
        <f>IF(AA808="","",IFERROR(IF(ISNUMBER('Procyclean MG'!D309),'Procyclean MG'!D309,IF(ISNUMBER(SEARCH("12",'Procyclean MG'!D309)),EDATE(AB808,12),IF(ISNUMBER(SEARCH("6",'Procyclean MG'!D309)),EDATE(AB808,6),IF(ISNUMBER(SEARCH("3",'Procyclean MG'!D309)),EDATE(AB808,3),DATEVALUE('Procyclean MG'!D309))))),""))</f>
        <v/>
      </c>
      <c r="AM808" t="str">
        <f t="shared" ca="1" si="94"/>
        <v/>
      </c>
    </row>
    <row r="809" spans="27:39" x14ac:dyDescent="0.3">
      <c r="AA809" t="str">
        <f>IF(COUNTA('Procyclean MG'!A310,'Procyclean MG'!B310,'Procyclean MG'!C310)&gt;0,"MG","")</f>
        <v/>
      </c>
      <c r="AB809" t="str">
        <f>IFERROR(IF(ISNUMBER('Procyclean MG'!A310),'Procyclean MG'!A310,DATEVALUE('Procyclean MG'!A310)),"")</f>
        <v/>
      </c>
      <c r="AC809" t="str">
        <f>IF(AA809="","",'Procyclean MG'!B310)</f>
        <v/>
      </c>
      <c r="AD809" t="str">
        <f>IF(AA809="","",IFERROR(1*'Procyclean MG'!C310,IFERROR(_xludf.NUMBERVALUE('Procyclean MG'!C310,".",","),IFERROR(_xludf.NUMBERVALUE('Procyclean MG'!C310,",","."),0))))</f>
        <v/>
      </c>
      <c r="AE809" t="str">
        <f>IF(AA809="","",'Procyclean MG'!I310)</f>
        <v/>
      </c>
      <c r="AF809">
        <f t="shared" si="89"/>
        <v>0</v>
      </c>
      <c r="AG809" t="str">
        <f t="shared" si="90"/>
        <v/>
      </c>
      <c r="AH809" t="str">
        <f t="shared" si="91"/>
        <v/>
      </c>
      <c r="AI809">
        <f t="shared" si="92"/>
        <v>0</v>
      </c>
      <c r="AJ809">
        <f t="shared" si="93"/>
        <v>0</v>
      </c>
      <c r="AK809">
        <v>0</v>
      </c>
      <c r="AL809" t="str">
        <f>IF(AA809="","",IFERROR(IF(ISNUMBER('Procyclean MG'!D310),'Procyclean MG'!D310,IF(ISNUMBER(SEARCH("12",'Procyclean MG'!D310)),EDATE(AB809,12),IF(ISNUMBER(SEARCH("6",'Procyclean MG'!D310)),EDATE(AB809,6),IF(ISNUMBER(SEARCH("3",'Procyclean MG'!D310)),EDATE(AB809,3),DATEVALUE('Procyclean MG'!D310))))),""))</f>
        <v/>
      </c>
      <c r="AM809" t="str">
        <f t="shared" ca="1" si="94"/>
        <v/>
      </c>
    </row>
    <row r="810" spans="27:39" x14ac:dyDescent="0.3">
      <c r="AA810" t="str">
        <f>IF(COUNTA('Procyclean MG'!A311,'Procyclean MG'!B311,'Procyclean MG'!C311)&gt;0,"MG","")</f>
        <v/>
      </c>
      <c r="AB810" t="str">
        <f>IFERROR(IF(ISNUMBER('Procyclean MG'!A311),'Procyclean MG'!A311,DATEVALUE('Procyclean MG'!A311)),"")</f>
        <v/>
      </c>
      <c r="AC810" t="str">
        <f>IF(AA810="","",'Procyclean MG'!B311)</f>
        <v/>
      </c>
      <c r="AD810" t="str">
        <f>IF(AA810="","",IFERROR(1*'Procyclean MG'!C311,IFERROR(_xludf.NUMBERVALUE('Procyclean MG'!C311,".",","),IFERROR(_xludf.NUMBERVALUE('Procyclean MG'!C311,",","."),0))))</f>
        <v/>
      </c>
      <c r="AE810" t="str">
        <f>IF(AA810="","",'Procyclean MG'!I311)</f>
        <v/>
      </c>
      <c r="AF810">
        <f t="shared" si="89"/>
        <v>0</v>
      </c>
      <c r="AG810" t="str">
        <f t="shared" si="90"/>
        <v/>
      </c>
      <c r="AH810" t="str">
        <f t="shared" si="91"/>
        <v/>
      </c>
      <c r="AI810">
        <f t="shared" si="92"/>
        <v>0</v>
      </c>
      <c r="AJ810">
        <f t="shared" si="93"/>
        <v>0</v>
      </c>
      <c r="AK810">
        <v>0</v>
      </c>
      <c r="AL810" t="str">
        <f>IF(AA810="","",IFERROR(IF(ISNUMBER('Procyclean MG'!D311),'Procyclean MG'!D311,IF(ISNUMBER(SEARCH("12",'Procyclean MG'!D311)),EDATE(AB810,12),IF(ISNUMBER(SEARCH("6",'Procyclean MG'!D311)),EDATE(AB810,6),IF(ISNUMBER(SEARCH("3",'Procyclean MG'!D311)),EDATE(AB810,3),DATEVALUE('Procyclean MG'!D311))))),""))</f>
        <v/>
      </c>
      <c r="AM810" t="str">
        <f t="shared" ca="1" si="94"/>
        <v/>
      </c>
    </row>
    <row r="811" spans="27:39" x14ac:dyDescent="0.3">
      <c r="AA811" t="str">
        <f>IF(COUNTA('Procyclean MG'!A312,'Procyclean MG'!B312,'Procyclean MG'!C312)&gt;0,"MG","")</f>
        <v/>
      </c>
      <c r="AB811" t="str">
        <f>IFERROR(IF(ISNUMBER('Procyclean MG'!A312),'Procyclean MG'!A312,DATEVALUE('Procyclean MG'!A312)),"")</f>
        <v/>
      </c>
      <c r="AC811" t="str">
        <f>IF(AA811="","",'Procyclean MG'!B312)</f>
        <v/>
      </c>
      <c r="AD811" t="str">
        <f>IF(AA811="","",IFERROR(1*'Procyclean MG'!C312,IFERROR(_xludf.NUMBERVALUE('Procyclean MG'!C312,".",","),IFERROR(_xludf.NUMBERVALUE('Procyclean MG'!C312,",","."),0))))</f>
        <v/>
      </c>
      <c r="AE811" t="str">
        <f>IF(AA811="","",'Procyclean MG'!I312)</f>
        <v/>
      </c>
      <c r="AF811">
        <f t="shared" si="89"/>
        <v>0</v>
      </c>
      <c r="AG811" t="str">
        <f t="shared" si="90"/>
        <v/>
      </c>
      <c r="AH811" t="str">
        <f t="shared" si="91"/>
        <v/>
      </c>
      <c r="AI811">
        <f t="shared" si="92"/>
        <v>0</v>
      </c>
      <c r="AJ811">
        <f t="shared" si="93"/>
        <v>0</v>
      </c>
      <c r="AK811">
        <v>0</v>
      </c>
      <c r="AL811" t="str">
        <f>IF(AA811="","",IFERROR(IF(ISNUMBER('Procyclean MG'!D312),'Procyclean MG'!D312,IF(ISNUMBER(SEARCH("12",'Procyclean MG'!D312)),EDATE(AB811,12),IF(ISNUMBER(SEARCH("6",'Procyclean MG'!D312)),EDATE(AB811,6),IF(ISNUMBER(SEARCH("3",'Procyclean MG'!D312)),EDATE(AB811,3),DATEVALUE('Procyclean MG'!D312))))),""))</f>
        <v/>
      </c>
      <c r="AM811" t="str">
        <f t="shared" ca="1" si="94"/>
        <v/>
      </c>
    </row>
    <row r="812" spans="27:39" x14ac:dyDescent="0.3">
      <c r="AA812" t="str">
        <f>IF(COUNTA('Procyclean MG'!A313,'Procyclean MG'!B313,'Procyclean MG'!C313)&gt;0,"MG","")</f>
        <v/>
      </c>
      <c r="AB812" t="str">
        <f>IFERROR(IF(ISNUMBER('Procyclean MG'!A313),'Procyclean MG'!A313,DATEVALUE('Procyclean MG'!A313)),"")</f>
        <v/>
      </c>
      <c r="AC812" t="str">
        <f>IF(AA812="","",'Procyclean MG'!B313)</f>
        <v/>
      </c>
      <c r="AD812" t="str">
        <f>IF(AA812="","",IFERROR(1*'Procyclean MG'!C313,IFERROR(_xludf.NUMBERVALUE('Procyclean MG'!C313,".",","),IFERROR(_xludf.NUMBERVALUE('Procyclean MG'!C313,",","."),0))))</f>
        <v/>
      </c>
      <c r="AE812" t="str">
        <f>IF(AA812="","",'Procyclean MG'!I313)</f>
        <v/>
      </c>
      <c r="AF812">
        <f t="shared" si="89"/>
        <v>0</v>
      </c>
      <c r="AG812" t="str">
        <f t="shared" si="90"/>
        <v/>
      </c>
      <c r="AH812" t="str">
        <f t="shared" si="91"/>
        <v/>
      </c>
      <c r="AI812">
        <f t="shared" si="92"/>
        <v>0</v>
      </c>
      <c r="AJ812">
        <f t="shared" si="93"/>
        <v>0</v>
      </c>
      <c r="AK812">
        <v>0</v>
      </c>
      <c r="AL812" t="str">
        <f>IF(AA812="","",IFERROR(IF(ISNUMBER('Procyclean MG'!D313),'Procyclean MG'!D313,IF(ISNUMBER(SEARCH("12",'Procyclean MG'!D313)),EDATE(AB812,12),IF(ISNUMBER(SEARCH("6",'Procyclean MG'!D313)),EDATE(AB812,6),IF(ISNUMBER(SEARCH("3",'Procyclean MG'!D313)),EDATE(AB812,3),DATEVALUE('Procyclean MG'!D313))))),""))</f>
        <v/>
      </c>
      <c r="AM812" t="str">
        <f t="shared" ca="1" si="94"/>
        <v/>
      </c>
    </row>
    <row r="813" spans="27:39" x14ac:dyDescent="0.3">
      <c r="AA813" t="str">
        <f>IF(COUNTA('Procyclean MG'!A314,'Procyclean MG'!B314,'Procyclean MG'!C314)&gt;0,"MG","")</f>
        <v/>
      </c>
      <c r="AB813" t="str">
        <f>IFERROR(IF(ISNUMBER('Procyclean MG'!A314),'Procyclean MG'!A314,DATEVALUE('Procyclean MG'!A314)),"")</f>
        <v/>
      </c>
      <c r="AC813" t="str">
        <f>IF(AA813="","",'Procyclean MG'!B314)</f>
        <v/>
      </c>
      <c r="AD813" t="str">
        <f>IF(AA813="","",IFERROR(1*'Procyclean MG'!C314,IFERROR(_xludf.NUMBERVALUE('Procyclean MG'!C314,".",","),IFERROR(_xludf.NUMBERVALUE('Procyclean MG'!C314,",","."),0))))</f>
        <v/>
      </c>
      <c r="AE813" t="str">
        <f>IF(AA813="","",'Procyclean MG'!I314)</f>
        <v/>
      </c>
      <c r="AF813">
        <f t="shared" si="89"/>
        <v>0</v>
      </c>
      <c r="AG813" t="str">
        <f t="shared" si="90"/>
        <v/>
      </c>
      <c r="AH813" t="str">
        <f t="shared" si="91"/>
        <v/>
      </c>
      <c r="AI813">
        <f t="shared" si="92"/>
        <v>0</v>
      </c>
      <c r="AJ813">
        <f t="shared" si="93"/>
        <v>0</v>
      </c>
      <c r="AK813">
        <v>0</v>
      </c>
      <c r="AL813" t="str">
        <f>IF(AA813="","",IFERROR(IF(ISNUMBER('Procyclean MG'!D314),'Procyclean MG'!D314,IF(ISNUMBER(SEARCH("12",'Procyclean MG'!D314)),EDATE(AB813,12),IF(ISNUMBER(SEARCH("6",'Procyclean MG'!D314)),EDATE(AB813,6),IF(ISNUMBER(SEARCH("3",'Procyclean MG'!D314)),EDATE(AB813,3),DATEVALUE('Procyclean MG'!D314))))),""))</f>
        <v/>
      </c>
      <c r="AM813" t="str">
        <f t="shared" ca="1" si="94"/>
        <v/>
      </c>
    </row>
    <row r="814" spans="27:39" x14ac:dyDescent="0.3">
      <c r="AA814" t="str">
        <f>IF(COUNTA('Procyclean MG'!A315,'Procyclean MG'!B315,'Procyclean MG'!C315)&gt;0,"MG","")</f>
        <v/>
      </c>
      <c r="AB814" t="str">
        <f>IFERROR(IF(ISNUMBER('Procyclean MG'!A315),'Procyclean MG'!A315,DATEVALUE('Procyclean MG'!A315)),"")</f>
        <v/>
      </c>
      <c r="AC814" t="str">
        <f>IF(AA814="","",'Procyclean MG'!B315)</f>
        <v/>
      </c>
      <c r="AD814" t="str">
        <f>IF(AA814="","",IFERROR(1*'Procyclean MG'!C315,IFERROR(_xludf.NUMBERVALUE('Procyclean MG'!C315,".",","),IFERROR(_xludf.NUMBERVALUE('Procyclean MG'!C315,",","."),0))))</f>
        <v/>
      </c>
      <c r="AE814" t="str">
        <f>IF(AA814="","",'Procyclean MG'!I315)</f>
        <v/>
      </c>
      <c r="AF814">
        <f t="shared" si="89"/>
        <v>0</v>
      </c>
      <c r="AG814" t="str">
        <f t="shared" si="90"/>
        <v/>
      </c>
      <c r="AH814" t="str">
        <f t="shared" si="91"/>
        <v/>
      </c>
      <c r="AI814">
        <f t="shared" si="92"/>
        <v>0</v>
      </c>
      <c r="AJ814">
        <f t="shared" si="93"/>
        <v>0</v>
      </c>
      <c r="AK814">
        <v>0</v>
      </c>
      <c r="AL814" t="str">
        <f>IF(AA814="","",IFERROR(IF(ISNUMBER('Procyclean MG'!D315),'Procyclean MG'!D315,IF(ISNUMBER(SEARCH("12",'Procyclean MG'!D315)),EDATE(AB814,12),IF(ISNUMBER(SEARCH("6",'Procyclean MG'!D315)),EDATE(AB814,6),IF(ISNUMBER(SEARCH("3",'Procyclean MG'!D315)),EDATE(AB814,3),DATEVALUE('Procyclean MG'!D315))))),""))</f>
        <v/>
      </c>
      <c r="AM814" t="str">
        <f t="shared" ca="1" si="94"/>
        <v/>
      </c>
    </row>
    <row r="815" spans="27:39" x14ac:dyDescent="0.3">
      <c r="AA815" t="str">
        <f>IF(COUNTA('Procyclean MG'!A316,'Procyclean MG'!B316,'Procyclean MG'!C316)&gt;0,"MG","")</f>
        <v/>
      </c>
      <c r="AB815" t="str">
        <f>IFERROR(IF(ISNUMBER('Procyclean MG'!A316),'Procyclean MG'!A316,DATEVALUE('Procyclean MG'!A316)),"")</f>
        <v/>
      </c>
      <c r="AC815" t="str">
        <f>IF(AA815="","",'Procyclean MG'!B316)</f>
        <v/>
      </c>
      <c r="AD815" t="str">
        <f>IF(AA815="","",IFERROR(1*'Procyclean MG'!C316,IFERROR(_xludf.NUMBERVALUE('Procyclean MG'!C316,".",","),IFERROR(_xludf.NUMBERVALUE('Procyclean MG'!C316,",","."),0))))</f>
        <v/>
      </c>
      <c r="AE815" t="str">
        <f>IF(AA815="","",'Procyclean MG'!I316)</f>
        <v/>
      </c>
      <c r="AF815">
        <f t="shared" si="89"/>
        <v>0</v>
      </c>
      <c r="AG815" t="str">
        <f t="shared" si="90"/>
        <v/>
      </c>
      <c r="AH815" t="str">
        <f t="shared" si="91"/>
        <v/>
      </c>
      <c r="AI815">
        <f t="shared" si="92"/>
        <v>0</v>
      </c>
      <c r="AJ815">
        <f t="shared" si="93"/>
        <v>0</v>
      </c>
      <c r="AK815">
        <v>0</v>
      </c>
      <c r="AL815" t="str">
        <f>IF(AA815="","",IFERROR(IF(ISNUMBER('Procyclean MG'!D316),'Procyclean MG'!D316,IF(ISNUMBER(SEARCH("12",'Procyclean MG'!D316)),EDATE(AB815,12),IF(ISNUMBER(SEARCH("6",'Procyclean MG'!D316)),EDATE(AB815,6),IF(ISNUMBER(SEARCH("3",'Procyclean MG'!D316)),EDATE(AB815,3),DATEVALUE('Procyclean MG'!D316))))),""))</f>
        <v/>
      </c>
      <c r="AM815" t="str">
        <f t="shared" ca="1" si="94"/>
        <v/>
      </c>
    </row>
    <row r="816" spans="27:39" x14ac:dyDescent="0.3">
      <c r="AA816" t="str">
        <f>IF(COUNTA('Procyclean MG'!A317,'Procyclean MG'!B317,'Procyclean MG'!C317)&gt;0,"MG","")</f>
        <v/>
      </c>
      <c r="AB816" t="str">
        <f>IFERROR(IF(ISNUMBER('Procyclean MG'!A317),'Procyclean MG'!A317,DATEVALUE('Procyclean MG'!A317)),"")</f>
        <v/>
      </c>
      <c r="AC816" t="str">
        <f>IF(AA816="","",'Procyclean MG'!B317)</f>
        <v/>
      </c>
      <c r="AD816" t="str">
        <f>IF(AA816="","",IFERROR(1*'Procyclean MG'!C317,IFERROR(_xludf.NUMBERVALUE('Procyclean MG'!C317,".",","),IFERROR(_xludf.NUMBERVALUE('Procyclean MG'!C317,",","."),0))))</f>
        <v/>
      </c>
      <c r="AE816" t="str">
        <f>IF(AA816="","",'Procyclean MG'!I317)</f>
        <v/>
      </c>
      <c r="AF816">
        <f t="shared" si="89"/>
        <v>0</v>
      </c>
      <c r="AG816" t="str">
        <f t="shared" si="90"/>
        <v/>
      </c>
      <c r="AH816" t="str">
        <f t="shared" si="91"/>
        <v/>
      </c>
      <c r="AI816">
        <f t="shared" si="92"/>
        <v>0</v>
      </c>
      <c r="AJ816">
        <f t="shared" si="93"/>
        <v>0</v>
      </c>
      <c r="AK816">
        <v>0</v>
      </c>
      <c r="AL816" t="str">
        <f>IF(AA816="","",IFERROR(IF(ISNUMBER('Procyclean MG'!D317),'Procyclean MG'!D317,IF(ISNUMBER(SEARCH("12",'Procyclean MG'!D317)),EDATE(AB816,12),IF(ISNUMBER(SEARCH("6",'Procyclean MG'!D317)),EDATE(AB816,6),IF(ISNUMBER(SEARCH("3",'Procyclean MG'!D317)),EDATE(AB816,3),DATEVALUE('Procyclean MG'!D317))))),""))</f>
        <v/>
      </c>
      <c r="AM816" t="str">
        <f t="shared" ca="1" si="94"/>
        <v/>
      </c>
    </row>
    <row r="817" spans="27:39" x14ac:dyDescent="0.3">
      <c r="AA817" t="str">
        <f>IF(COUNTA('Procyclean MG'!A318,'Procyclean MG'!B318,'Procyclean MG'!C318)&gt;0,"MG","")</f>
        <v/>
      </c>
      <c r="AB817" t="str">
        <f>IFERROR(IF(ISNUMBER('Procyclean MG'!A318),'Procyclean MG'!A318,DATEVALUE('Procyclean MG'!A318)),"")</f>
        <v/>
      </c>
      <c r="AC817" t="str">
        <f>IF(AA817="","",'Procyclean MG'!B318)</f>
        <v/>
      </c>
      <c r="AD817" t="str">
        <f>IF(AA817="","",IFERROR(1*'Procyclean MG'!C318,IFERROR(_xludf.NUMBERVALUE('Procyclean MG'!C318,".",","),IFERROR(_xludf.NUMBERVALUE('Procyclean MG'!C318,",","."),0))))</f>
        <v/>
      </c>
      <c r="AE817" t="str">
        <f>IF(AA817="","",'Procyclean MG'!I318)</f>
        <v/>
      </c>
      <c r="AF817">
        <f t="shared" si="89"/>
        <v>0</v>
      </c>
      <c r="AG817" t="str">
        <f t="shared" si="90"/>
        <v/>
      </c>
      <c r="AH817" t="str">
        <f t="shared" si="91"/>
        <v/>
      </c>
      <c r="AI817">
        <f t="shared" si="92"/>
        <v>0</v>
      </c>
      <c r="AJ817">
        <f t="shared" si="93"/>
        <v>0</v>
      </c>
      <c r="AK817">
        <v>0</v>
      </c>
      <c r="AL817" t="str">
        <f>IF(AA817="","",IFERROR(IF(ISNUMBER('Procyclean MG'!D318),'Procyclean MG'!D318,IF(ISNUMBER(SEARCH("12",'Procyclean MG'!D318)),EDATE(AB817,12),IF(ISNUMBER(SEARCH("6",'Procyclean MG'!D318)),EDATE(AB817,6),IF(ISNUMBER(SEARCH("3",'Procyclean MG'!D318)),EDATE(AB817,3),DATEVALUE('Procyclean MG'!D318))))),""))</f>
        <v/>
      </c>
      <c r="AM817" t="str">
        <f t="shared" ca="1" si="94"/>
        <v/>
      </c>
    </row>
    <row r="818" spans="27:39" x14ac:dyDescent="0.3">
      <c r="AA818" t="str">
        <f>IF(COUNTA('Procyclean MG'!A319,'Procyclean MG'!B319,'Procyclean MG'!C319)&gt;0,"MG","")</f>
        <v/>
      </c>
      <c r="AB818" t="str">
        <f>IFERROR(IF(ISNUMBER('Procyclean MG'!A319),'Procyclean MG'!A319,DATEVALUE('Procyclean MG'!A319)),"")</f>
        <v/>
      </c>
      <c r="AC818" t="str">
        <f>IF(AA818="","",'Procyclean MG'!B319)</f>
        <v/>
      </c>
      <c r="AD818" t="str">
        <f>IF(AA818="","",IFERROR(1*'Procyclean MG'!C319,IFERROR(_xludf.NUMBERVALUE('Procyclean MG'!C319,".",","),IFERROR(_xludf.NUMBERVALUE('Procyclean MG'!C319,",","."),0))))</f>
        <v/>
      </c>
      <c r="AE818" t="str">
        <f>IF(AA818="","",'Procyclean MG'!I319)</f>
        <v/>
      </c>
      <c r="AF818">
        <f t="shared" si="89"/>
        <v>0</v>
      </c>
      <c r="AG818" t="str">
        <f t="shared" si="90"/>
        <v/>
      </c>
      <c r="AH818" t="str">
        <f t="shared" si="91"/>
        <v/>
      </c>
      <c r="AI818">
        <f t="shared" si="92"/>
        <v>0</v>
      </c>
      <c r="AJ818">
        <f t="shared" si="93"/>
        <v>0</v>
      </c>
      <c r="AK818">
        <v>0</v>
      </c>
      <c r="AL818" t="str">
        <f>IF(AA818="","",IFERROR(IF(ISNUMBER('Procyclean MG'!D319),'Procyclean MG'!D319,IF(ISNUMBER(SEARCH("12",'Procyclean MG'!D319)),EDATE(AB818,12),IF(ISNUMBER(SEARCH("6",'Procyclean MG'!D319)),EDATE(AB818,6),IF(ISNUMBER(SEARCH("3",'Procyclean MG'!D319)),EDATE(AB818,3),DATEVALUE('Procyclean MG'!D319))))),""))</f>
        <v/>
      </c>
      <c r="AM818" t="str">
        <f t="shared" ca="1" si="94"/>
        <v/>
      </c>
    </row>
    <row r="819" spans="27:39" x14ac:dyDescent="0.3">
      <c r="AA819" t="str">
        <f>IF(COUNTA('Procyclean MG'!A320,'Procyclean MG'!B320,'Procyclean MG'!C320)&gt;0,"MG","")</f>
        <v/>
      </c>
      <c r="AB819" t="str">
        <f>IFERROR(IF(ISNUMBER('Procyclean MG'!A320),'Procyclean MG'!A320,DATEVALUE('Procyclean MG'!A320)),"")</f>
        <v/>
      </c>
      <c r="AC819" t="str">
        <f>IF(AA819="","",'Procyclean MG'!B320)</f>
        <v/>
      </c>
      <c r="AD819" t="str">
        <f>IF(AA819="","",IFERROR(1*'Procyclean MG'!C320,IFERROR(_xludf.NUMBERVALUE('Procyclean MG'!C320,".",","),IFERROR(_xludf.NUMBERVALUE('Procyclean MG'!C320,",","."),0))))</f>
        <v/>
      </c>
      <c r="AE819" t="str">
        <f>IF(AA819="","",'Procyclean MG'!I320)</f>
        <v/>
      </c>
      <c r="AF819">
        <f t="shared" si="89"/>
        <v>0</v>
      </c>
      <c r="AG819" t="str">
        <f t="shared" si="90"/>
        <v/>
      </c>
      <c r="AH819" t="str">
        <f t="shared" si="91"/>
        <v/>
      </c>
      <c r="AI819">
        <f t="shared" si="92"/>
        <v>0</v>
      </c>
      <c r="AJ819">
        <f t="shared" si="93"/>
        <v>0</v>
      </c>
      <c r="AK819">
        <v>0</v>
      </c>
      <c r="AL819" t="str">
        <f>IF(AA819="","",IFERROR(IF(ISNUMBER('Procyclean MG'!D320),'Procyclean MG'!D320,IF(ISNUMBER(SEARCH("12",'Procyclean MG'!D320)),EDATE(AB819,12),IF(ISNUMBER(SEARCH("6",'Procyclean MG'!D320)),EDATE(AB819,6),IF(ISNUMBER(SEARCH("3",'Procyclean MG'!D320)),EDATE(AB819,3),DATEVALUE('Procyclean MG'!D320))))),""))</f>
        <v/>
      </c>
      <c r="AM819" t="str">
        <f t="shared" ca="1" si="94"/>
        <v/>
      </c>
    </row>
    <row r="820" spans="27:39" x14ac:dyDescent="0.3">
      <c r="AA820" t="str">
        <f>IF(COUNTA('Procyclean MG'!A321,'Procyclean MG'!B321,'Procyclean MG'!C321)&gt;0,"MG","")</f>
        <v/>
      </c>
      <c r="AB820" t="str">
        <f>IFERROR(IF(ISNUMBER('Procyclean MG'!A321),'Procyclean MG'!A321,DATEVALUE('Procyclean MG'!A321)),"")</f>
        <v/>
      </c>
      <c r="AC820" t="str">
        <f>IF(AA820="","",'Procyclean MG'!B321)</f>
        <v/>
      </c>
      <c r="AD820" t="str">
        <f>IF(AA820="","",IFERROR(1*'Procyclean MG'!C321,IFERROR(_xludf.NUMBERVALUE('Procyclean MG'!C321,".",","),IFERROR(_xludf.NUMBERVALUE('Procyclean MG'!C321,",","."),0))))</f>
        <v/>
      </c>
      <c r="AE820" t="str">
        <f>IF(AA820="","",'Procyclean MG'!I321)</f>
        <v/>
      </c>
      <c r="AF820">
        <f t="shared" si="89"/>
        <v>0</v>
      </c>
      <c r="AG820" t="str">
        <f t="shared" si="90"/>
        <v/>
      </c>
      <c r="AH820" t="str">
        <f t="shared" si="91"/>
        <v/>
      </c>
      <c r="AI820">
        <f t="shared" si="92"/>
        <v>0</v>
      </c>
      <c r="AJ820">
        <f t="shared" si="93"/>
        <v>0</v>
      </c>
      <c r="AK820">
        <v>0</v>
      </c>
      <c r="AL820" t="str">
        <f>IF(AA820="","",IFERROR(IF(ISNUMBER('Procyclean MG'!D321),'Procyclean MG'!D321,IF(ISNUMBER(SEARCH("12",'Procyclean MG'!D321)),EDATE(AB820,12),IF(ISNUMBER(SEARCH("6",'Procyclean MG'!D321)),EDATE(AB820,6),IF(ISNUMBER(SEARCH("3",'Procyclean MG'!D321)),EDATE(AB820,3),DATEVALUE('Procyclean MG'!D321))))),""))</f>
        <v/>
      </c>
      <c r="AM820" t="str">
        <f t="shared" ca="1" si="94"/>
        <v/>
      </c>
    </row>
    <row r="821" spans="27:39" x14ac:dyDescent="0.3">
      <c r="AA821" t="str">
        <f>IF(COUNTA('Procyclean MG'!A322,'Procyclean MG'!B322,'Procyclean MG'!C322)&gt;0,"MG","")</f>
        <v/>
      </c>
      <c r="AB821" t="str">
        <f>IFERROR(IF(ISNUMBER('Procyclean MG'!A322),'Procyclean MG'!A322,DATEVALUE('Procyclean MG'!A322)),"")</f>
        <v/>
      </c>
      <c r="AC821" t="str">
        <f>IF(AA821="","",'Procyclean MG'!B322)</f>
        <v/>
      </c>
      <c r="AD821" t="str">
        <f>IF(AA821="","",IFERROR(1*'Procyclean MG'!C322,IFERROR(_xludf.NUMBERVALUE('Procyclean MG'!C322,".",","),IFERROR(_xludf.NUMBERVALUE('Procyclean MG'!C322,",","."),0))))</f>
        <v/>
      </c>
      <c r="AE821" t="str">
        <f>IF(AA821="","",'Procyclean MG'!I322)</f>
        <v/>
      </c>
      <c r="AF821">
        <f t="shared" si="89"/>
        <v>0</v>
      </c>
      <c r="AG821" t="str">
        <f t="shared" si="90"/>
        <v/>
      </c>
      <c r="AH821" t="str">
        <f t="shared" si="91"/>
        <v/>
      </c>
      <c r="AI821">
        <f t="shared" si="92"/>
        <v>0</v>
      </c>
      <c r="AJ821">
        <f t="shared" si="93"/>
        <v>0</v>
      </c>
      <c r="AK821">
        <v>0</v>
      </c>
      <c r="AL821" t="str">
        <f>IF(AA821="","",IFERROR(IF(ISNUMBER('Procyclean MG'!D322),'Procyclean MG'!D322,IF(ISNUMBER(SEARCH("12",'Procyclean MG'!D322)),EDATE(AB821,12),IF(ISNUMBER(SEARCH("6",'Procyclean MG'!D322)),EDATE(AB821,6),IF(ISNUMBER(SEARCH("3",'Procyclean MG'!D322)),EDATE(AB821,3),DATEVALUE('Procyclean MG'!D322))))),""))</f>
        <v/>
      </c>
      <c r="AM821" t="str">
        <f t="shared" ca="1" si="94"/>
        <v/>
      </c>
    </row>
    <row r="822" spans="27:39" x14ac:dyDescent="0.3">
      <c r="AA822" t="str">
        <f>IF(COUNTA('Procyclean MG'!A323,'Procyclean MG'!B323,'Procyclean MG'!C323)&gt;0,"MG","")</f>
        <v/>
      </c>
      <c r="AB822" t="str">
        <f>IFERROR(IF(ISNUMBER('Procyclean MG'!A323),'Procyclean MG'!A323,DATEVALUE('Procyclean MG'!A323)),"")</f>
        <v/>
      </c>
      <c r="AC822" t="str">
        <f>IF(AA822="","",'Procyclean MG'!B323)</f>
        <v/>
      </c>
      <c r="AD822" t="str">
        <f>IF(AA822="","",IFERROR(1*'Procyclean MG'!C323,IFERROR(_xludf.NUMBERVALUE('Procyclean MG'!C323,".",","),IFERROR(_xludf.NUMBERVALUE('Procyclean MG'!C323,",","."),0))))</f>
        <v/>
      </c>
      <c r="AE822" t="str">
        <f>IF(AA822="","",'Procyclean MG'!I323)</f>
        <v/>
      </c>
      <c r="AF822">
        <f t="shared" si="89"/>
        <v>0</v>
      </c>
      <c r="AG822" t="str">
        <f t="shared" si="90"/>
        <v/>
      </c>
      <c r="AH822" t="str">
        <f t="shared" si="91"/>
        <v/>
      </c>
      <c r="AI822">
        <f t="shared" si="92"/>
        <v>0</v>
      </c>
      <c r="AJ822">
        <f t="shared" si="93"/>
        <v>0</v>
      </c>
      <c r="AK822">
        <v>0</v>
      </c>
      <c r="AL822" t="str">
        <f>IF(AA822="","",IFERROR(IF(ISNUMBER('Procyclean MG'!D323),'Procyclean MG'!D323,IF(ISNUMBER(SEARCH("12",'Procyclean MG'!D323)),EDATE(AB822,12),IF(ISNUMBER(SEARCH("6",'Procyclean MG'!D323)),EDATE(AB822,6),IF(ISNUMBER(SEARCH("3",'Procyclean MG'!D323)),EDATE(AB822,3),DATEVALUE('Procyclean MG'!D323))))),""))</f>
        <v/>
      </c>
      <c r="AM822" t="str">
        <f t="shared" ca="1" si="94"/>
        <v/>
      </c>
    </row>
    <row r="823" spans="27:39" x14ac:dyDescent="0.3">
      <c r="AA823" t="str">
        <f>IF(COUNTA('Procyclean MG'!A324,'Procyclean MG'!B324,'Procyclean MG'!C324)&gt;0,"MG","")</f>
        <v/>
      </c>
      <c r="AB823" t="str">
        <f>IFERROR(IF(ISNUMBER('Procyclean MG'!A324),'Procyclean MG'!A324,DATEVALUE('Procyclean MG'!A324)),"")</f>
        <v/>
      </c>
      <c r="AC823" t="str">
        <f>IF(AA823="","",'Procyclean MG'!B324)</f>
        <v/>
      </c>
      <c r="AD823" t="str">
        <f>IF(AA823="","",IFERROR(1*'Procyclean MG'!C324,IFERROR(_xludf.NUMBERVALUE('Procyclean MG'!C324,".",","),IFERROR(_xludf.NUMBERVALUE('Procyclean MG'!C324,",","."),0))))</f>
        <v/>
      </c>
      <c r="AE823" t="str">
        <f>IF(AA823="","",'Procyclean MG'!I324)</f>
        <v/>
      </c>
      <c r="AF823">
        <f t="shared" si="89"/>
        <v>0</v>
      </c>
      <c r="AG823" t="str">
        <f t="shared" si="90"/>
        <v/>
      </c>
      <c r="AH823" t="str">
        <f t="shared" si="91"/>
        <v/>
      </c>
      <c r="AI823">
        <f t="shared" si="92"/>
        <v>0</v>
      </c>
      <c r="AJ823">
        <f t="shared" si="93"/>
        <v>0</v>
      </c>
      <c r="AK823">
        <v>0</v>
      </c>
      <c r="AL823" t="str">
        <f>IF(AA823="","",IFERROR(IF(ISNUMBER('Procyclean MG'!D324),'Procyclean MG'!D324,IF(ISNUMBER(SEARCH("12",'Procyclean MG'!D324)),EDATE(AB823,12),IF(ISNUMBER(SEARCH("6",'Procyclean MG'!D324)),EDATE(AB823,6),IF(ISNUMBER(SEARCH("3",'Procyclean MG'!D324)),EDATE(AB823,3),DATEVALUE('Procyclean MG'!D324))))),""))</f>
        <v/>
      </c>
      <c r="AM823" t="str">
        <f t="shared" ca="1" si="94"/>
        <v/>
      </c>
    </row>
    <row r="824" spans="27:39" x14ac:dyDescent="0.3">
      <c r="AA824" t="str">
        <f>IF(COUNTA('Procyclean MG'!A325,'Procyclean MG'!B325,'Procyclean MG'!C325)&gt;0,"MG","")</f>
        <v/>
      </c>
      <c r="AB824" t="str">
        <f>IFERROR(IF(ISNUMBER('Procyclean MG'!A325),'Procyclean MG'!A325,DATEVALUE('Procyclean MG'!A325)),"")</f>
        <v/>
      </c>
      <c r="AC824" t="str">
        <f>IF(AA824="","",'Procyclean MG'!B325)</f>
        <v/>
      </c>
      <c r="AD824" t="str">
        <f>IF(AA824="","",IFERROR(1*'Procyclean MG'!C325,IFERROR(_xludf.NUMBERVALUE('Procyclean MG'!C325,".",","),IFERROR(_xludf.NUMBERVALUE('Procyclean MG'!C325,",","."),0))))</f>
        <v/>
      </c>
      <c r="AE824" t="str">
        <f>IF(AA824="","",'Procyclean MG'!I325)</f>
        <v/>
      </c>
      <c r="AF824">
        <f t="shared" si="89"/>
        <v>0</v>
      </c>
      <c r="AG824" t="str">
        <f t="shared" si="90"/>
        <v/>
      </c>
      <c r="AH824" t="str">
        <f t="shared" si="91"/>
        <v/>
      </c>
      <c r="AI824">
        <f t="shared" si="92"/>
        <v>0</v>
      </c>
      <c r="AJ824">
        <f t="shared" si="93"/>
        <v>0</v>
      </c>
      <c r="AK824">
        <v>0</v>
      </c>
      <c r="AL824" t="str">
        <f>IF(AA824="","",IFERROR(IF(ISNUMBER('Procyclean MG'!D325),'Procyclean MG'!D325,IF(ISNUMBER(SEARCH("12",'Procyclean MG'!D325)),EDATE(AB824,12),IF(ISNUMBER(SEARCH("6",'Procyclean MG'!D325)),EDATE(AB824,6),IF(ISNUMBER(SEARCH("3",'Procyclean MG'!D325)),EDATE(AB824,3),DATEVALUE('Procyclean MG'!D325))))),""))</f>
        <v/>
      </c>
      <c r="AM824" t="str">
        <f t="shared" ca="1" si="94"/>
        <v/>
      </c>
    </row>
    <row r="825" spans="27:39" x14ac:dyDescent="0.3">
      <c r="AA825" t="str">
        <f>IF(COUNTA('Procyclean MG'!A326,'Procyclean MG'!B326,'Procyclean MG'!C326)&gt;0,"MG","")</f>
        <v/>
      </c>
      <c r="AB825" t="str">
        <f>IFERROR(IF(ISNUMBER('Procyclean MG'!A326),'Procyclean MG'!A326,DATEVALUE('Procyclean MG'!A326)),"")</f>
        <v/>
      </c>
      <c r="AC825" t="str">
        <f>IF(AA825="","",'Procyclean MG'!B326)</f>
        <v/>
      </c>
      <c r="AD825" t="str">
        <f>IF(AA825="","",IFERROR(1*'Procyclean MG'!C326,IFERROR(_xludf.NUMBERVALUE('Procyclean MG'!C326,".",","),IFERROR(_xludf.NUMBERVALUE('Procyclean MG'!C326,",","."),0))))</f>
        <v/>
      </c>
      <c r="AE825" t="str">
        <f>IF(AA825="","",'Procyclean MG'!I326)</f>
        <v/>
      </c>
      <c r="AF825">
        <f t="shared" si="89"/>
        <v>0</v>
      </c>
      <c r="AG825" t="str">
        <f t="shared" si="90"/>
        <v/>
      </c>
      <c r="AH825" t="str">
        <f t="shared" si="91"/>
        <v/>
      </c>
      <c r="AI825">
        <f t="shared" si="92"/>
        <v>0</v>
      </c>
      <c r="AJ825">
        <f t="shared" si="93"/>
        <v>0</v>
      </c>
      <c r="AK825">
        <v>0</v>
      </c>
      <c r="AL825" t="str">
        <f>IF(AA825="","",IFERROR(IF(ISNUMBER('Procyclean MG'!D326),'Procyclean MG'!D326,IF(ISNUMBER(SEARCH("12",'Procyclean MG'!D326)),EDATE(AB825,12),IF(ISNUMBER(SEARCH("6",'Procyclean MG'!D326)),EDATE(AB825,6),IF(ISNUMBER(SEARCH("3",'Procyclean MG'!D326)),EDATE(AB825,3),DATEVALUE('Procyclean MG'!D326))))),""))</f>
        <v/>
      </c>
      <c r="AM825" t="str">
        <f t="shared" ca="1" si="94"/>
        <v/>
      </c>
    </row>
    <row r="826" spans="27:39" x14ac:dyDescent="0.3">
      <c r="AA826" t="str">
        <f>IF(COUNTA('Procyclean MG'!A327,'Procyclean MG'!B327,'Procyclean MG'!C327)&gt;0,"MG","")</f>
        <v/>
      </c>
      <c r="AB826" t="str">
        <f>IFERROR(IF(ISNUMBER('Procyclean MG'!A327),'Procyclean MG'!A327,DATEVALUE('Procyclean MG'!A327)),"")</f>
        <v/>
      </c>
      <c r="AC826" t="str">
        <f>IF(AA826="","",'Procyclean MG'!B327)</f>
        <v/>
      </c>
      <c r="AD826" t="str">
        <f>IF(AA826="","",IFERROR(1*'Procyclean MG'!C327,IFERROR(_xludf.NUMBERVALUE('Procyclean MG'!C327,".",","),IFERROR(_xludf.NUMBERVALUE('Procyclean MG'!C327,",","."),0))))</f>
        <v/>
      </c>
      <c r="AE826" t="str">
        <f>IF(AA826="","",'Procyclean MG'!I327)</f>
        <v/>
      </c>
      <c r="AF826">
        <f t="shared" si="89"/>
        <v>0</v>
      </c>
      <c r="AG826" t="str">
        <f t="shared" si="90"/>
        <v/>
      </c>
      <c r="AH826" t="str">
        <f t="shared" si="91"/>
        <v/>
      </c>
      <c r="AI826">
        <f t="shared" si="92"/>
        <v>0</v>
      </c>
      <c r="AJ826">
        <f t="shared" si="93"/>
        <v>0</v>
      </c>
      <c r="AK826">
        <v>0</v>
      </c>
      <c r="AL826" t="str">
        <f>IF(AA826="","",IFERROR(IF(ISNUMBER('Procyclean MG'!D327),'Procyclean MG'!D327,IF(ISNUMBER(SEARCH("12",'Procyclean MG'!D327)),EDATE(AB826,12),IF(ISNUMBER(SEARCH("6",'Procyclean MG'!D327)),EDATE(AB826,6),IF(ISNUMBER(SEARCH("3",'Procyclean MG'!D327)),EDATE(AB826,3),DATEVALUE('Procyclean MG'!D327))))),""))</f>
        <v/>
      </c>
      <c r="AM826" t="str">
        <f t="shared" ca="1" si="94"/>
        <v/>
      </c>
    </row>
    <row r="827" spans="27:39" x14ac:dyDescent="0.3">
      <c r="AA827" t="str">
        <f>IF(COUNTA('Procyclean MG'!A328,'Procyclean MG'!B328,'Procyclean MG'!C328)&gt;0,"MG","")</f>
        <v/>
      </c>
      <c r="AB827" t="str">
        <f>IFERROR(IF(ISNUMBER('Procyclean MG'!A328),'Procyclean MG'!A328,DATEVALUE('Procyclean MG'!A328)),"")</f>
        <v/>
      </c>
      <c r="AC827" t="str">
        <f>IF(AA827="","",'Procyclean MG'!B328)</f>
        <v/>
      </c>
      <c r="AD827" t="str">
        <f>IF(AA827="","",IFERROR(1*'Procyclean MG'!C328,IFERROR(_xludf.NUMBERVALUE('Procyclean MG'!C328,".",","),IFERROR(_xludf.NUMBERVALUE('Procyclean MG'!C328,",","."),0))))</f>
        <v/>
      </c>
      <c r="AE827" t="str">
        <f>IF(AA827="","",'Procyclean MG'!I328)</f>
        <v/>
      </c>
      <c r="AF827">
        <f t="shared" si="89"/>
        <v>0</v>
      </c>
      <c r="AG827" t="str">
        <f t="shared" si="90"/>
        <v/>
      </c>
      <c r="AH827" t="str">
        <f t="shared" si="91"/>
        <v/>
      </c>
      <c r="AI827">
        <f t="shared" si="92"/>
        <v>0</v>
      </c>
      <c r="AJ827">
        <f t="shared" si="93"/>
        <v>0</v>
      </c>
      <c r="AK827">
        <v>0</v>
      </c>
      <c r="AL827" t="str">
        <f>IF(AA827="","",IFERROR(IF(ISNUMBER('Procyclean MG'!D328),'Procyclean MG'!D328,IF(ISNUMBER(SEARCH("12",'Procyclean MG'!D328)),EDATE(AB827,12),IF(ISNUMBER(SEARCH("6",'Procyclean MG'!D328)),EDATE(AB827,6),IF(ISNUMBER(SEARCH("3",'Procyclean MG'!D328)),EDATE(AB827,3),DATEVALUE('Procyclean MG'!D328))))),""))</f>
        <v/>
      </c>
      <c r="AM827" t="str">
        <f t="shared" ca="1" si="94"/>
        <v/>
      </c>
    </row>
    <row r="828" spans="27:39" x14ac:dyDescent="0.3">
      <c r="AA828" t="str">
        <f>IF(COUNTA('Procyclean MG'!A329,'Procyclean MG'!B329,'Procyclean MG'!C329)&gt;0,"MG","")</f>
        <v/>
      </c>
      <c r="AB828" t="str">
        <f>IFERROR(IF(ISNUMBER('Procyclean MG'!A329),'Procyclean MG'!A329,DATEVALUE('Procyclean MG'!A329)),"")</f>
        <v/>
      </c>
      <c r="AC828" t="str">
        <f>IF(AA828="","",'Procyclean MG'!B329)</f>
        <v/>
      </c>
      <c r="AD828" t="str">
        <f>IF(AA828="","",IFERROR(1*'Procyclean MG'!C329,IFERROR(_xludf.NUMBERVALUE('Procyclean MG'!C329,".",","),IFERROR(_xludf.NUMBERVALUE('Procyclean MG'!C329,",","."),0))))</f>
        <v/>
      </c>
      <c r="AE828" t="str">
        <f>IF(AA828="","",'Procyclean MG'!I329)</f>
        <v/>
      </c>
      <c r="AF828">
        <f t="shared" si="89"/>
        <v>0</v>
      </c>
      <c r="AG828" t="str">
        <f t="shared" si="90"/>
        <v/>
      </c>
      <c r="AH828" t="str">
        <f t="shared" si="91"/>
        <v/>
      </c>
      <c r="AI828">
        <f t="shared" si="92"/>
        <v>0</v>
      </c>
      <c r="AJ828">
        <f t="shared" si="93"/>
        <v>0</v>
      </c>
      <c r="AK828">
        <v>0</v>
      </c>
      <c r="AL828" t="str">
        <f>IF(AA828="","",IFERROR(IF(ISNUMBER('Procyclean MG'!D329),'Procyclean MG'!D329,IF(ISNUMBER(SEARCH("12",'Procyclean MG'!D329)),EDATE(AB828,12),IF(ISNUMBER(SEARCH("6",'Procyclean MG'!D329)),EDATE(AB828,6),IF(ISNUMBER(SEARCH("3",'Procyclean MG'!D329)),EDATE(AB828,3),DATEVALUE('Procyclean MG'!D329))))),""))</f>
        <v/>
      </c>
      <c r="AM828" t="str">
        <f t="shared" ca="1" si="94"/>
        <v/>
      </c>
    </row>
    <row r="829" spans="27:39" x14ac:dyDescent="0.3">
      <c r="AA829" t="str">
        <f>IF(COUNTA('Procyclean MG'!A330,'Procyclean MG'!B330,'Procyclean MG'!C330)&gt;0,"MG","")</f>
        <v/>
      </c>
      <c r="AB829" t="str">
        <f>IFERROR(IF(ISNUMBER('Procyclean MG'!A330),'Procyclean MG'!A330,DATEVALUE('Procyclean MG'!A330)),"")</f>
        <v/>
      </c>
      <c r="AC829" t="str">
        <f>IF(AA829="","",'Procyclean MG'!B330)</f>
        <v/>
      </c>
      <c r="AD829" t="str">
        <f>IF(AA829="","",IFERROR(1*'Procyclean MG'!C330,IFERROR(_xludf.NUMBERVALUE('Procyclean MG'!C330,".",","),IFERROR(_xludf.NUMBERVALUE('Procyclean MG'!C330,",","."),0))))</f>
        <v/>
      </c>
      <c r="AE829" t="str">
        <f>IF(AA829="","",'Procyclean MG'!I330)</f>
        <v/>
      </c>
      <c r="AF829">
        <f t="shared" si="89"/>
        <v>0</v>
      </c>
      <c r="AG829" t="str">
        <f t="shared" si="90"/>
        <v/>
      </c>
      <c r="AH829" t="str">
        <f t="shared" si="91"/>
        <v/>
      </c>
      <c r="AI829">
        <f t="shared" si="92"/>
        <v>0</v>
      </c>
      <c r="AJ829">
        <f t="shared" si="93"/>
        <v>0</v>
      </c>
      <c r="AK829">
        <v>0</v>
      </c>
      <c r="AL829" t="str">
        <f>IF(AA829="","",IFERROR(IF(ISNUMBER('Procyclean MG'!D330),'Procyclean MG'!D330,IF(ISNUMBER(SEARCH("12",'Procyclean MG'!D330)),EDATE(AB829,12),IF(ISNUMBER(SEARCH("6",'Procyclean MG'!D330)),EDATE(AB829,6),IF(ISNUMBER(SEARCH("3",'Procyclean MG'!D330)),EDATE(AB829,3),DATEVALUE('Procyclean MG'!D330))))),""))</f>
        <v/>
      </c>
      <c r="AM829" t="str">
        <f t="shared" ca="1" si="94"/>
        <v/>
      </c>
    </row>
    <row r="830" spans="27:39" x14ac:dyDescent="0.3">
      <c r="AA830" t="str">
        <f>IF(COUNTA('Procyclean MG'!A331,'Procyclean MG'!B331,'Procyclean MG'!C331)&gt;0,"MG","")</f>
        <v/>
      </c>
      <c r="AB830" t="str">
        <f>IFERROR(IF(ISNUMBER('Procyclean MG'!A331),'Procyclean MG'!A331,DATEVALUE('Procyclean MG'!A331)),"")</f>
        <v/>
      </c>
      <c r="AC830" t="str">
        <f>IF(AA830="","",'Procyclean MG'!B331)</f>
        <v/>
      </c>
      <c r="AD830" t="str">
        <f>IF(AA830="","",IFERROR(1*'Procyclean MG'!C331,IFERROR(_xludf.NUMBERVALUE('Procyclean MG'!C331,".",","),IFERROR(_xludf.NUMBERVALUE('Procyclean MG'!C331,",","."),0))))</f>
        <v/>
      </c>
      <c r="AE830" t="str">
        <f>IF(AA830="","",'Procyclean MG'!I331)</f>
        <v/>
      </c>
      <c r="AF830">
        <f t="shared" si="89"/>
        <v>0</v>
      </c>
      <c r="AG830" t="str">
        <f t="shared" si="90"/>
        <v/>
      </c>
      <c r="AH830" t="str">
        <f t="shared" si="91"/>
        <v/>
      </c>
      <c r="AI830">
        <f t="shared" si="92"/>
        <v>0</v>
      </c>
      <c r="AJ830">
        <f t="shared" si="93"/>
        <v>0</v>
      </c>
      <c r="AK830">
        <v>0</v>
      </c>
      <c r="AL830" t="str">
        <f>IF(AA830="","",IFERROR(IF(ISNUMBER('Procyclean MG'!D331),'Procyclean MG'!D331,IF(ISNUMBER(SEARCH("12",'Procyclean MG'!D331)),EDATE(AB830,12),IF(ISNUMBER(SEARCH("6",'Procyclean MG'!D331)),EDATE(AB830,6),IF(ISNUMBER(SEARCH("3",'Procyclean MG'!D331)),EDATE(AB830,3),DATEVALUE('Procyclean MG'!D331))))),""))</f>
        <v/>
      </c>
      <c r="AM830" t="str">
        <f t="shared" ca="1" si="94"/>
        <v/>
      </c>
    </row>
    <row r="831" spans="27:39" x14ac:dyDescent="0.3">
      <c r="AA831" t="str">
        <f>IF(COUNTA('Procyclean MG'!A332,'Procyclean MG'!B332,'Procyclean MG'!C332)&gt;0,"MG","")</f>
        <v/>
      </c>
      <c r="AB831" t="str">
        <f>IFERROR(IF(ISNUMBER('Procyclean MG'!A332),'Procyclean MG'!A332,DATEVALUE('Procyclean MG'!A332)),"")</f>
        <v/>
      </c>
      <c r="AC831" t="str">
        <f>IF(AA831="","",'Procyclean MG'!B332)</f>
        <v/>
      </c>
      <c r="AD831" t="str">
        <f>IF(AA831="","",IFERROR(1*'Procyclean MG'!C332,IFERROR(_xludf.NUMBERVALUE('Procyclean MG'!C332,".",","),IFERROR(_xludf.NUMBERVALUE('Procyclean MG'!C332,",","."),0))))</f>
        <v/>
      </c>
      <c r="AE831" t="str">
        <f>IF(AA831="","",'Procyclean MG'!I332)</f>
        <v/>
      </c>
      <c r="AF831">
        <f t="shared" si="89"/>
        <v>0</v>
      </c>
      <c r="AG831" t="str">
        <f t="shared" si="90"/>
        <v/>
      </c>
      <c r="AH831" t="str">
        <f t="shared" si="91"/>
        <v/>
      </c>
      <c r="AI831">
        <f t="shared" si="92"/>
        <v>0</v>
      </c>
      <c r="AJ831">
        <f t="shared" si="93"/>
        <v>0</v>
      </c>
      <c r="AK831">
        <v>0</v>
      </c>
      <c r="AL831" t="str">
        <f>IF(AA831="","",IFERROR(IF(ISNUMBER('Procyclean MG'!D332),'Procyclean MG'!D332,IF(ISNUMBER(SEARCH("12",'Procyclean MG'!D332)),EDATE(AB831,12),IF(ISNUMBER(SEARCH("6",'Procyclean MG'!D332)),EDATE(AB831,6),IF(ISNUMBER(SEARCH("3",'Procyclean MG'!D332)),EDATE(AB831,3),DATEVALUE('Procyclean MG'!D332))))),""))</f>
        <v/>
      </c>
      <c r="AM831" t="str">
        <f t="shared" ca="1" si="94"/>
        <v/>
      </c>
    </row>
    <row r="832" spans="27:39" x14ac:dyDescent="0.3">
      <c r="AA832" t="str">
        <f>IF(COUNTA('Procyclean MG'!A333,'Procyclean MG'!B333,'Procyclean MG'!C333)&gt;0,"MG","")</f>
        <v/>
      </c>
      <c r="AB832" t="str">
        <f>IFERROR(IF(ISNUMBER('Procyclean MG'!A333),'Procyclean MG'!A333,DATEVALUE('Procyclean MG'!A333)),"")</f>
        <v/>
      </c>
      <c r="AC832" t="str">
        <f>IF(AA832="","",'Procyclean MG'!B333)</f>
        <v/>
      </c>
      <c r="AD832" t="str">
        <f>IF(AA832="","",IFERROR(1*'Procyclean MG'!C333,IFERROR(_xludf.NUMBERVALUE('Procyclean MG'!C333,".",","),IFERROR(_xludf.NUMBERVALUE('Procyclean MG'!C333,",","."),0))))</f>
        <v/>
      </c>
      <c r="AE832" t="str">
        <f>IF(AA832="","",'Procyclean MG'!I333)</f>
        <v/>
      </c>
      <c r="AF832">
        <f t="shared" si="89"/>
        <v>0</v>
      </c>
      <c r="AG832" t="str">
        <f t="shared" si="90"/>
        <v/>
      </c>
      <c r="AH832" t="str">
        <f t="shared" si="91"/>
        <v/>
      </c>
      <c r="AI832">
        <f t="shared" si="92"/>
        <v>0</v>
      </c>
      <c r="AJ832">
        <f t="shared" si="93"/>
        <v>0</v>
      </c>
      <c r="AK832">
        <v>0</v>
      </c>
      <c r="AL832" t="str">
        <f>IF(AA832="","",IFERROR(IF(ISNUMBER('Procyclean MG'!D333),'Procyclean MG'!D333,IF(ISNUMBER(SEARCH("12",'Procyclean MG'!D333)),EDATE(AB832,12),IF(ISNUMBER(SEARCH("6",'Procyclean MG'!D333)),EDATE(AB832,6),IF(ISNUMBER(SEARCH("3",'Procyclean MG'!D333)),EDATE(AB832,3),DATEVALUE('Procyclean MG'!D333))))),""))</f>
        <v/>
      </c>
      <c r="AM832" t="str">
        <f t="shared" ca="1" si="94"/>
        <v/>
      </c>
    </row>
    <row r="833" spans="27:39" x14ac:dyDescent="0.3">
      <c r="AA833" t="str">
        <f>IF(COUNTA('Procyclean MG'!A334,'Procyclean MG'!B334,'Procyclean MG'!C334)&gt;0,"MG","")</f>
        <v/>
      </c>
      <c r="AB833" t="str">
        <f>IFERROR(IF(ISNUMBER('Procyclean MG'!A334),'Procyclean MG'!A334,DATEVALUE('Procyclean MG'!A334)),"")</f>
        <v/>
      </c>
      <c r="AC833" t="str">
        <f>IF(AA833="","",'Procyclean MG'!B334)</f>
        <v/>
      </c>
      <c r="AD833" t="str">
        <f>IF(AA833="","",IFERROR(1*'Procyclean MG'!C334,IFERROR(_xludf.NUMBERVALUE('Procyclean MG'!C334,".",","),IFERROR(_xludf.NUMBERVALUE('Procyclean MG'!C334,",","."),0))))</f>
        <v/>
      </c>
      <c r="AE833" t="str">
        <f>IF(AA833="","",'Procyclean MG'!I334)</f>
        <v/>
      </c>
      <c r="AF833">
        <f t="shared" si="89"/>
        <v>0</v>
      </c>
      <c r="AG833" t="str">
        <f t="shared" si="90"/>
        <v/>
      </c>
      <c r="AH833" t="str">
        <f t="shared" si="91"/>
        <v/>
      </c>
      <c r="AI833">
        <f t="shared" si="92"/>
        <v>0</v>
      </c>
      <c r="AJ833">
        <f t="shared" si="93"/>
        <v>0</v>
      </c>
      <c r="AK833">
        <v>0</v>
      </c>
      <c r="AL833" t="str">
        <f>IF(AA833="","",IFERROR(IF(ISNUMBER('Procyclean MG'!D334),'Procyclean MG'!D334,IF(ISNUMBER(SEARCH("12",'Procyclean MG'!D334)),EDATE(AB833,12),IF(ISNUMBER(SEARCH("6",'Procyclean MG'!D334)),EDATE(AB833,6),IF(ISNUMBER(SEARCH("3",'Procyclean MG'!D334)),EDATE(AB833,3),DATEVALUE('Procyclean MG'!D334))))),""))</f>
        <v/>
      </c>
      <c r="AM833" t="str">
        <f t="shared" ca="1" si="94"/>
        <v/>
      </c>
    </row>
    <row r="834" spans="27:39" x14ac:dyDescent="0.3">
      <c r="AA834" t="str">
        <f>IF(COUNTA('Procyclean MG'!A335,'Procyclean MG'!B335,'Procyclean MG'!C335)&gt;0,"MG","")</f>
        <v/>
      </c>
      <c r="AB834" t="str">
        <f>IFERROR(IF(ISNUMBER('Procyclean MG'!A335),'Procyclean MG'!A335,DATEVALUE('Procyclean MG'!A335)),"")</f>
        <v/>
      </c>
      <c r="AC834" t="str">
        <f>IF(AA834="","",'Procyclean MG'!B335)</f>
        <v/>
      </c>
      <c r="AD834" t="str">
        <f>IF(AA834="","",IFERROR(1*'Procyclean MG'!C335,IFERROR(_xludf.NUMBERVALUE('Procyclean MG'!C335,".",","),IFERROR(_xludf.NUMBERVALUE('Procyclean MG'!C335,",","."),0))))</f>
        <v/>
      </c>
      <c r="AE834" t="str">
        <f>IF(AA834="","",'Procyclean MG'!I335)</f>
        <v/>
      </c>
      <c r="AF834">
        <f t="shared" ref="AF834:AF897" si="95">IF(AA834="",0,--AND(ISNUMBER(SEARCH("aprov",AE834)),NOT(ISNUMBER(SEARCH("reprov",AE834)))))</f>
        <v>0</v>
      </c>
      <c r="AG834" t="str">
        <f t="shared" ref="AG834:AG897" si="96">IF(AB834="","",YEAR(AB834))</f>
        <v/>
      </c>
      <c r="AH834" t="str">
        <f t="shared" ref="AH834:AH897" si="97">IF(AB834="","",MONTH(AB834))</f>
        <v/>
      </c>
      <c r="AI834">
        <f t="shared" ref="AI834:AI897" si="98">IF(AB834="",0,AB834+ROW()/1000000)</f>
        <v>0</v>
      </c>
      <c r="AJ834">
        <f t="shared" ref="AJ834:AJ897" si="99">--(AA834&lt;&gt;"")</f>
        <v>0</v>
      </c>
      <c r="AK834">
        <v>0</v>
      </c>
      <c r="AL834" t="str">
        <f>IF(AA834="","",IFERROR(IF(ISNUMBER('Procyclean MG'!D335),'Procyclean MG'!D335,IF(ISNUMBER(SEARCH("12",'Procyclean MG'!D335)),EDATE(AB834,12),IF(ISNUMBER(SEARCH("6",'Procyclean MG'!D335)),EDATE(AB834,6),IF(ISNUMBER(SEARCH("3",'Procyclean MG'!D335)),EDATE(AB834,3),DATEVALUE('Procyclean MG'!D335))))),""))</f>
        <v/>
      </c>
      <c r="AM834" t="str">
        <f t="shared" ref="AM834:AM897" ca="1" si="100">IF(AND(AJ834=1,AL834&lt;&gt;"",AL834&gt;=TODAY(),AG834=$W$3),AL834+ROW()/1000000,"")</f>
        <v/>
      </c>
    </row>
    <row r="835" spans="27:39" x14ac:dyDescent="0.3">
      <c r="AA835" t="str">
        <f>IF(COUNTA('Procyclean MG'!A336,'Procyclean MG'!B336,'Procyclean MG'!C336)&gt;0,"MG","")</f>
        <v/>
      </c>
      <c r="AB835" t="str">
        <f>IFERROR(IF(ISNUMBER('Procyclean MG'!A336),'Procyclean MG'!A336,DATEVALUE('Procyclean MG'!A336)),"")</f>
        <v/>
      </c>
      <c r="AC835" t="str">
        <f>IF(AA835="","",'Procyclean MG'!B336)</f>
        <v/>
      </c>
      <c r="AD835" t="str">
        <f>IF(AA835="","",IFERROR(1*'Procyclean MG'!C336,IFERROR(_xludf.NUMBERVALUE('Procyclean MG'!C336,".",","),IFERROR(_xludf.NUMBERVALUE('Procyclean MG'!C336,",","."),0))))</f>
        <v/>
      </c>
      <c r="AE835" t="str">
        <f>IF(AA835="","",'Procyclean MG'!I336)</f>
        <v/>
      </c>
      <c r="AF835">
        <f t="shared" si="95"/>
        <v>0</v>
      </c>
      <c r="AG835" t="str">
        <f t="shared" si="96"/>
        <v/>
      </c>
      <c r="AH835" t="str">
        <f t="shared" si="97"/>
        <v/>
      </c>
      <c r="AI835">
        <f t="shared" si="98"/>
        <v>0</v>
      </c>
      <c r="AJ835">
        <f t="shared" si="99"/>
        <v>0</v>
      </c>
      <c r="AK835">
        <v>0</v>
      </c>
      <c r="AL835" t="str">
        <f>IF(AA835="","",IFERROR(IF(ISNUMBER('Procyclean MG'!D336),'Procyclean MG'!D336,IF(ISNUMBER(SEARCH("12",'Procyclean MG'!D336)),EDATE(AB835,12),IF(ISNUMBER(SEARCH("6",'Procyclean MG'!D336)),EDATE(AB835,6),IF(ISNUMBER(SEARCH("3",'Procyclean MG'!D336)),EDATE(AB835,3),DATEVALUE('Procyclean MG'!D336))))),""))</f>
        <v/>
      </c>
      <c r="AM835" t="str">
        <f t="shared" ca="1" si="100"/>
        <v/>
      </c>
    </row>
    <row r="836" spans="27:39" x14ac:dyDescent="0.3">
      <c r="AA836" t="str">
        <f>IF(COUNTA('Procyclean MG'!A337,'Procyclean MG'!B337,'Procyclean MG'!C337)&gt;0,"MG","")</f>
        <v/>
      </c>
      <c r="AB836" t="str">
        <f>IFERROR(IF(ISNUMBER('Procyclean MG'!A337),'Procyclean MG'!A337,DATEVALUE('Procyclean MG'!A337)),"")</f>
        <v/>
      </c>
      <c r="AC836" t="str">
        <f>IF(AA836="","",'Procyclean MG'!B337)</f>
        <v/>
      </c>
      <c r="AD836" t="str">
        <f>IF(AA836="","",IFERROR(1*'Procyclean MG'!C337,IFERROR(_xludf.NUMBERVALUE('Procyclean MG'!C337,".",","),IFERROR(_xludf.NUMBERVALUE('Procyclean MG'!C337,",","."),0))))</f>
        <v/>
      </c>
      <c r="AE836" t="str">
        <f>IF(AA836="","",'Procyclean MG'!I337)</f>
        <v/>
      </c>
      <c r="AF836">
        <f t="shared" si="95"/>
        <v>0</v>
      </c>
      <c r="AG836" t="str">
        <f t="shared" si="96"/>
        <v/>
      </c>
      <c r="AH836" t="str">
        <f t="shared" si="97"/>
        <v/>
      </c>
      <c r="AI836">
        <f t="shared" si="98"/>
        <v>0</v>
      </c>
      <c r="AJ836">
        <f t="shared" si="99"/>
        <v>0</v>
      </c>
      <c r="AK836">
        <v>0</v>
      </c>
      <c r="AL836" t="str">
        <f>IF(AA836="","",IFERROR(IF(ISNUMBER('Procyclean MG'!D337),'Procyclean MG'!D337,IF(ISNUMBER(SEARCH("12",'Procyclean MG'!D337)),EDATE(AB836,12),IF(ISNUMBER(SEARCH("6",'Procyclean MG'!D337)),EDATE(AB836,6),IF(ISNUMBER(SEARCH("3",'Procyclean MG'!D337)),EDATE(AB836,3),DATEVALUE('Procyclean MG'!D337))))),""))</f>
        <v/>
      </c>
      <c r="AM836" t="str">
        <f t="shared" ca="1" si="100"/>
        <v/>
      </c>
    </row>
    <row r="837" spans="27:39" x14ac:dyDescent="0.3">
      <c r="AA837" t="str">
        <f>IF(COUNTA('Procyclean MG'!A338,'Procyclean MG'!B338,'Procyclean MG'!C338)&gt;0,"MG","")</f>
        <v/>
      </c>
      <c r="AB837" t="str">
        <f>IFERROR(IF(ISNUMBER('Procyclean MG'!A338),'Procyclean MG'!A338,DATEVALUE('Procyclean MG'!A338)),"")</f>
        <v/>
      </c>
      <c r="AC837" t="str">
        <f>IF(AA837="","",'Procyclean MG'!B338)</f>
        <v/>
      </c>
      <c r="AD837" t="str">
        <f>IF(AA837="","",IFERROR(1*'Procyclean MG'!C338,IFERROR(_xludf.NUMBERVALUE('Procyclean MG'!C338,".",","),IFERROR(_xludf.NUMBERVALUE('Procyclean MG'!C338,",","."),0))))</f>
        <v/>
      </c>
      <c r="AE837" t="str">
        <f>IF(AA837="","",'Procyclean MG'!I338)</f>
        <v/>
      </c>
      <c r="AF837">
        <f t="shared" si="95"/>
        <v>0</v>
      </c>
      <c r="AG837" t="str">
        <f t="shared" si="96"/>
        <v/>
      </c>
      <c r="AH837" t="str">
        <f t="shared" si="97"/>
        <v/>
      </c>
      <c r="AI837">
        <f t="shared" si="98"/>
        <v>0</v>
      </c>
      <c r="AJ837">
        <f t="shared" si="99"/>
        <v>0</v>
      </c>
      <c r="AK837">
        <v>0</v>
      </c>
      <c r="AL837" t="str">
        <f>IF(AA837="","",IFERROR(IF(ISNUMBER('Procyclean MG'!D338),'Procyclean MG'!D338,IF(ISNUMBER(SEARCH("12",'Procyclean MG'!D338)),EDATE(AB837,12),IF(ISNUMBER(SEARCH("6",'Procyclean MG'!D338)),EDATE(AB837,6),IF(ISNUMBER(SEARCH("3",'Procyclean MG'!D338)),EDATE(AB837,3),DATEVALUE('Procyclean MG'!D338))))),""))</f>
        <v/>
      </c>
      <c r="AM837" t="str">
        <f t="shared" ca="1" si="100"/>
        <v/>
      </c>
    </row>
    <row r="838" spans="27:39" x14ac:dyDescent="0.3">
      <c r="AA838" t="str">
        <f>IF(COUNTA('Procyclean MG'!A339,'Procyclean MG'!B339,'Procyclean MG'!C339)&gt;0,"MG","")</f>
        <v/>
      </c>
      <c r="AB838" t="str">
        <f>IFERROR(IF(ISNUMBER('Procyclean MG'!A339),'Procyclean MG'!A339,DATEVALUE('Procyclean MG'!A339)),"")</f>
        <v/>
      </c>
      <c r="AC838" t="str">
        <f>IF(AA838="","",'Procyclean MG'!B339)</f>
        <v/>
      </c>
      <c r="AD838" t="str">
        <f>IF(AA838="","",IFERROR(1*'Procyclean MG'!C339,IFERROR(_xludf.NUMBERVALUE('Procyclean MG'!C339,".",","),IFERROR(_xludf.NUMBERVALUE('Procyclean MG'!C339,",","."),0))))</f>
        <v/>
      </c>
      <c r="AE838" t="str">
        <f>IF(AA838="","",'Procyclean MG'!I339)</f>
        <v/>
      </c>
      <c r="AF838">
        <f t="shared" si="95"/>
        <v>0</v>
      </c>
      <c r="AG838" t="str">
        <f t="shared" si="96"/>
        <v/>
      </c>
      <c r="AH838" t="str">
        <f t="shared" si="97"/>
        <v/>
      </c>
      <c r="AI838">
        <f t="shared" si="98"/>
        <v>0</v>
      </c>
      <c r="AJ838">
        <f t="shared" si="99"/>
        <v>0</v>
      </c>
      <c r="AK838">
        <v>0</v>
      </c>
      <c r="AL838" t="str">
        <f>IF(AA838="","",IFERROR(IF(ISNUMBER('Procyclean MG'!D339),'Procyclean MG'!D339,IF(ISNUMBER(SEARCH("12",'Procyclean MG'!D339)),EDATE(AB838,12),IF(ISNUMBER(SEARCH("6",'Procyclean MG'!D339)),EDATE(AB838,6),IF(ISNUMBER(SEARCH("3",'Procyclean MG'!D339)),EDATE(AB838,3),DATEVALUE('Procyclean MG'!D339))))),""))</f>
        <v/>
      </c>
      <c r="AM838" t="str">
        <f t="shared" ca="1" si="100"/>
        <v/>
      </c>
    </row>
    <row r="839" spans="27:39" x14ac:dyDescent="0.3">
      <c r="AA839" t="str">
        <f>IF(COUNTA('Procyclean MG'!A340,'Procyclean MG'!B340,'Procyclean MG'!C340)&gt;0,"MG","")</f>
        <v/>
      </c>
      <c r="AB839" t="str">
        <f>IFERROR(IF(ISNUMBER('Procyclean MG'!A340),'Procyclean MG'!A340,DATEVALUE('Procyclean MG'!A340)),"")</f>
        <v/>
      </c>
      <c r="AC839" t="str">
        <f>IF(AA839="","",'Procyclean MG'!B340)</f>
        <v/>
      </c>
      <c r="AD839" t="str">
        <f>IF(AA839="","",IFERROR(1*'Procyclean MG'!C340,IFERROR(_xludf.NUMBERVALUE('Procyclean MG'!C340,".",","),IFERROR(_xludf.NUMBERVALUE('Procyclean MG'!C340,",","."),0))))</f>
        <v/>
      </c>
      <c r="AE839" t="str">
        <f>IF(AA839="","",'Procyclean MG'!I340)</f>
        <v/>
      </c>
      <c r="AF839">
        <f t="shared" si="95"/>
        <v>0</v>
      </c>
      <c r="AG839" t="str">
        <f t="shared" si="96"/>
        <v/>
      </c>
      <c r="AH839" t="str">
        <f t="shared" si="97"/>
        <v/>
      </c>
      <c r="AI839">
        <f t="shared" si="98"/>
        <v>0</v>
      </c>
      <c r="AJ839">
        <f t="shared" si="99"/>
        <v>0</v>
      </c>
      <c r="AK839">
        <v>0</v>
      </c>
      <c r="AL839" t="str">
        <f>IF(AA839="","",IFERROR(IF(ISNUMBER('Procyclean MG'!D340),'Procyclean MG'!D340,IF(ISNUMBER(SEARCH("12",'Procyclean MG'!D340)),EDATE(AB839,12),IF(ISNUMBER(SEARCH("6",'Procyclean MG'!D340)),EDATE(AB839,6),IF(ISNUMBER(SEARCH("3",'Procyclean MG'!D340)),EDATE(AB839,3),DATEVALUE('Procyclean MG'!D340))))),""))</f>
        <v/>
      </c>
      <c r="AM839" t="str">
        <f t="shared" ca="1" si="100"/>
        <v/>
      </c>
    </row>
    <row r="840" spans="27:39" x14ac:dyDescent="0.3">
      <c r="AA840" t="str">
        <f>IF(COUNTA('Procyclean MG'!A341,'Procyclean MG'!B341,'Procyclean MG'!C341)&gt;0,"MG","")</f>
        <v/>
      </c>
      <c r="AB840" t="str">
        <f>IFERROR(IF(ISNUMBER('Procyclean MG'!A341),'Procyclean MG'!A341,DATEVALUE('Procyclean MG'!A341)),"")</f>
        <v/>
      </c>
      <c r="AC840" t="str">
        <f>IF(AA840="","",'Procyclean MG'!B341)</f>
        <v/>
      </c>
      <c r="AD840" t="str">
        <f>IF(AA840="","",IFERROR(1*'Procyclean MG'!C341,IFERROR(_xludf.NUMBERVALUE('Procyclean MG'!C341,".",","),IFERROR(_xludf.NUMBERVALUE('Procyclean MG'!C341,",","."),0))))</f>
        <v/>
      </c>
      <c r="AE840" t="str">
        <f>IF(AA840="","",'Procyclean MG'!I341)</f>
        <v/>
      </c>
      <c r="AF840">
        <f t="shared" si="95"/>
        <v>0</v>
      </c>
      <c r="AG840" t="str">
        <f t="shared" si="96"/>
        <v/>
      </c>
      <c r="AH840" t="str">
        <f t="shared" si="97"/>
        <v/>
      </c>
      <c r="AI840">
        <f t="shared" si="98"/>
        <v>0</v>
      </c>
      <c r="AJ840">
        <f t="shared" si="99"/>
        <v>0</v>
      </c>
      <c r="AK840">
        <v>0</v>
      </c>
      <c r="AL840" t="str">
        <f>IF(AA840="","",IFERROR(IF(ISNUMBER('Procyclean MG'!D341),'Procyclean MG'!D341,IF(ISNUMBER(SEARCH("12",'Procyclean MG'!D341)),EDATE(AB840,12),IF(ISNUMBER(SEARCH("6",'Procyclean MG'!D341)),EDATE(AB840,6),IF(ISNUMBER(SEARCH("3",'Procyclean MG'!D341)),EDATE(AB840,3),DATEVALUE('Procyclean MG'!D341))))),""))</f>
        <v/>
      </c>
      <c r="AM840" t="str">
        <f t="shared" ca="1" si="100"/>
        <v/>
      </c>
    </row>
    <row r="841" spans="27:39" x14ac:dyDescent="0.3">
      <c r="AA841" t="str">
        <f>IF(COUNTA('Procyclean MG'!A342,'Procyclean MG'!B342,'Procyclean MG'!C342)&gt;0,"MG","")</f>
        <v/>
      </c>
      <c r="AB841" t="str">
        <f>IFERROR(IF(ISNUMBER('Procyclean MG'!A342),'Procyclean MG'!A342,DATEVALUE('Procyclean MG'!A342)),"")</f>
        <v/>
      </c>
      <c r="AC841" t="str">
        <f>IF(AA841="","",'Procyclean MG'!B342)</f>
        <v/>
      </c>
      <c r="AD841" t="str">
        <f>IF(AA841="","",IFERROR(1*'Procyclean MG'!C342,IFERROR(_xludf.NUMBERVALUE('Procyclean MG'!C342,".",","),IFERROR(_xludf.NUMBERVALUE('Procyclean MG'!C342,",","."),0))))</f>
        <v/>
      </c>
      <c r="AE841" t="str">
        <f>IF(AA841="","",'Procyclean MG'!I342)</f>
        <v/>
      </c>
      <c r="AF841">
        <f t="shared" si="95"/>
        <v>0</v>
      </c>
      <c r="AG841" t="str">
        <f t="shared" si="96"/>
        <v/>
      </c>
      <c r="AH841" t="str">
        <f t="shared" si="97"/>
        <v/>
      </c>
      <c r="AI841">
        <f t="shared" si="98"/>
        <v>0</v>
      </c>
      <c r="AJ841">
        <f t="shared" si="99"/>
        <v>0</v>
      </c>
      <c r="AK841">
        <v>0</v>
      </c>
      <c r="AL841" t="str">
        <f>IF(AA841="","",IFERROR(IF(ISNUMBER('Procyclean MG'!D342),'Procyclean MG'!D342,IF(ISNUMBER(SEARCH("12",'Procyclean MG'!D342)),EDATE(AB841,12),IF(ISNUMBER(SEARCH("6",'Procyclean MG'!D342)),EDATE(AB841,6),IF(ISNUMBER(SEARCH("3",'Procyclean MG'!D342)),EDATE(AB841,3),DATEVALUE('Procyclean MG'!D342))))),""))</f>
        <v/>
      </c>
      <c r="AM841" t="str">
        <f t="shared" ca="1" si="100"/>
        <v/>
      </c>
    </row>
    <row r="842" spans="27:39" x14ac:dyDescent="0.3">
      <c r="AA842" t="str">
        <f>IF(COUNTA('Procyclean MG'!A343,'Procyclean MG'!B343,'Procyclean MG'!C343)&gt;0,"MG","")</f>
        <v/>
      </c>
      <c r="AB842" t="str">
        <f>IFERROR(IF(ISNUMBER('Procyclean MG'!A343),'Procyclean MG'!A343,DATEVALUE('Procyclean MG'!A343)),"")</f>
        <v/>
      </c>
      <c r="AC842" t="str">
        <f>IF(AA842="","",'Procyclean MG'!B343)</f>
        <v/>
      </c>
      <c r="AD842" t="str">
        <f>IF(AA842="","",IFERROR(1*'Procyclean MG'!C343,IFERROR(_xludf.NUMBERVALUE('Procyclean MG'!C343,".",","),IFERROR(_xludf.NUMBERVALUE('Procyclean MG'!C343,",","."),0))))</f>
        <v/>
      </c>
      <c r="AE842" t="str">
        <f>IF(AA842="","",'Procyclean MG'!I343)</f>
        <v/>
      </c>
      <c r="AF842">
        <f t="shared" si="95"/>
        <v>0</v>
      </c>
      <c r="AG842" t="str">
        <f t="shared" si="96"/>
        <v/>
      </c>
      <c r="AH842" t="str">
        <f t="shared" si="97"/>
        <v/>
      </c>
      <c r="AI842">
        <f t="shared" si="98"/>
        <v>0</v>
      </c>
      <c r="AJ842">
        <f t="shared" si="99"/>
        <v>0</v>
      </c>
      <c r="AK842">
        <v>0</v>
      </c>
      <c r="AL842" t="str">
        <f>IF(AA842="","",IFERROR(IF(ISNUMBER('Procyclean MG'!D343),'Procyclean MG'!D343,IF(ISNUMBER(SEARCH("12",'Procyclean MG'!D343)),EDATE(AB842,12),IF(ISNUMBER(SEARCH("6",'Procyclean MG'!D343)),EDATE(AB842,6),IF(ISNUMBER(SEARCH("3",'Procyclean MG'!D343)),EDATE(AB842,3),DATEVALUE('Procyclean MG'!D343))))),""))</f>
        <v/>
      </c>
      <c r="AM842" t="str">
        <f t="shared" ca="1" si="100"/>
        <v/>
      </c>
    </row>
    <row r="843" spans="27:39" x14ac:dyDescent="0.3">
      <c r="AA843" t="str">
        <f>IF(COUNTA('Procyclean MG'!A344,'Procyclean MG'!B344,'Procyclean MG'!C344)&gt;0,"MG","")</f>
        <v/>
      </c>
      <c r="AB843" t="str">
        <f>IFERROR(IF(ISNUMBER('Procyclean MG'!A344),'Procyclean MG'!A344,DATEVALUE('Procyclean MG'!A344)),"")</f>
        <v/>
      </c>
      <c r="AC843" t="str">
        <f>IF(AA843="","",'Procyclean MG'!B344)</f>
        <v/>
      </c>
      <c r="AD843" t="str">
        <f>IF(AA843="","",IFERROR(1*'Procyclean MG'!C344,IFERROR(_xludf.NUMBERVALUE('Procyclean MG'!C344,".",","),IFERROR(_xludf.NUMBERVALUE('Procyclean MG'!C344,",","."),0))))</f>
        <v/>
      </c>
      <c r="AE843" t="str">
        <f>IF(AA843="","",'Procyclean MG'!I344)</f>
        <v/>
      </c>
      <c r="AF843">
        <f t="shared" si="95"/>
        <v>0</v>
      </c>
      <c r="AG843" t="str">
        <f t="shared" si="96"/>
        <v/>
      </c>
      <c r="AH843" t="str">
        <f t="shared" si="97"/>
        <v/>
      </c>
      <c r="AI843">
        <f t="shared" si="98"/>
        <v>0</v>
      </c>
      <c r="AJ843">
        <f t="shared" si="99"/>
        <v>0</v>
      </c>
      <c r="AK843">
        <v>0</v>
      </c>
      <c r="AL843" t="str">
        <f>IF(AA843="","",IFERROR(IF(ISNUMBER('Procyclean MG'!D344),'Procyclean MG'!D344,IF(ISNUMBER(SEARCH("12",'Procyclean MG'!D344)),EDATE(AB843,12),IF(ISNUMBER(SEARCH("6",'Procyclean MG'!D344)),EDATE(AB843,6),IF(ISNUMBER(SEARCH("3",'Procyclean MG'!D344)),EDATE(AB843,3),DATEVALUE('Procyclean MG'!D344))))),""))</f>
        <v/>
      </c>
      <c r="AM843" t="str">
        <f t="shared" ca="1" si="100"/>
        <v/>
      </c>
    </row>
    <row r="844" spans="27:39" x14ac:dyDescent="0.3">
      <c r="AA844" t="str">
        <f>IF(COUNTA('Procyclean MG'!A345,'Procyclean MG'!B345,'Procyclean MG'!C345)&gt;0,"MG","")</f>
        <v/>
      </c>
      <c r="AB844" t="str">
        <f>IFERROR(IF(ISNUMBER('Procyclean MG'!A345),'Procyclean MG'!A345,DATEVALUE('Procyclean MG'!A345)),"")</f>
        <v/>
      </c>
      <c r="AC844" t="str">
        <f>IF(AA844="","",'Procyclean MG'!B345)</f>
        <v/>
      </c>
      <c r="AD844" t="str">
        <f>IF(AA844="","",IFERROR(1*'Procyclean MG'!C345,IFERROR(_xludf.NUMBERVALUE('Procyclean MG'!C345,".",","),IFERROR(_xludf.NUMBERVALUE('Procyclean MG'!C345,",","."),0))))</f>
        <v/>
      </c>
      <c r="AE844" t="str">
        <f>IF(AA844="","",'Procyclean MG'!I345)</f>
        <v/>
      </c>
      <c r="AF844">
        <f t="shared" si="95"/>
        <v>0</v>
      </c>
      <c r="AG844" t="str">
        <f t="shared" si="96"/>
        <v/>
      </c>
      <c r="AH844" t="str">
        <f t="shared" si="97"/>
        <v/>
      </c>
      <c r="AI844">
        <f t="shared" si="98"/>
        <v>0</v>
      </c>
      <c r="AJ844">
        <f t="shared" si="99"/>
        <v>0</v>
      </c>
      <c r="AK844">
        <v>0</v>
      </c>
      <c r="AL844" t="str">
        <f>IF(AA844="","",IFERROR(IF(ISNUMBER('Procyclean MG'!D345),'Procyclean MG'!D345,IF(ISNUMBER(SEARCH("12",'Procyclean MG'!D345)),EDATE(AB844,12),IF(ISNUMBER(SEARCH("6",'Procyclean MG'!D345)),EDATE(AB844,6),IF(ISNUMBER(SEARCH("3",'Procyclean MG'!D345)),EDATE(AB844,3),DATEVALUE('Procyclean MG'!D345))))),""))</f>
        <v/>
      </c>
      <c r="AM844" t="str">
        <f t="shared" ca="1" si="100"/>
        <v/>
      </c>
    </row>
    <row r="845" spans="27:39" x14ac:dyDescent="0.3">
      <c r="AA845" t="str">
        <f>IF(COUNTA('Procyclean MG'!A346,'Procyclean MG'!B346,'Procyclean MG'!C346)&gt;0,"MG","")</f>
        <v/>
      </c>
      <c r="AB845" t="str">
        <f>IFERROR(IF(ISNUMBER('Procyclean MG'!A346),'Procyclean MG'!A346,DATEVALUE('Procyclean MG'!A346)),"")</f>
        <v/>
      </c>
      <c r="AC845" t="str">
        <f>IF(AA845="","",'Procyclean MG'!B346)</f>
        <v/>
      </c>
      <c r="AD845" t="str">
        <f>IF(AA845="","",IFERROR(1*'Procyclean MG'!C346,IFERROR(_xludf.NUMBERVALUE('Procyclean MG'!C346,".",","),IFERROR(_xludf.NUMBERVALUE('Procyclean MG'!C346,",","."),0))))</f>
        <v/>
      </c>
      <c r="AE845" t="str">
        <f>IF(AA845="","",'Procyclean MG'!I346)</f>
        <v/>
      </c>
      <c r="AF845">
        <f t="shared" si="95"/>
        <v>0</v>
      </c>
      <c r="AG845" t="str">
        <f t="shared" si="96"/>
        <v/>
      </c>
      <c r="AH845" t="str">
        <f t="shared" si="97"/>
        <v/>
      </c>
      <c r="AI845">
        <f t="shared" si="98"/>
        <v>0</v>
      </c>
      <c r="AJ845">
        <f t="shared" si="99"/>
        <v>0</v>
      </c>
      <c r="AK845">
        <v>0</v>
      </c>
      <c r="AL845" t="str">
        <f>IF(AA845="","",IFERROR(IF(ISNUMBER('Procyclean MG'!D346),'Procyclean MG'!D346,IF(ISNUMBER(SEARCH("12",'Procyclean MG'!D346)),EDATE(AB845,12),IF(ISNUMBER(SEARCH("6",'Procyclean MG'!D346)),EDATE(AB845,6),IF(ISNUMBER(SEARCH("3",'Procyclean MG'!D346)),EDATE(AB845,3),DATEVALUE('Procyclean MG'!D346))))),""))</f>
        <v/>
      </c>
      <c r="AM845" t="str">
        <f t="shared" ca="1" si="100"/>
        <v/>
      </c>
    </row>
    <row r="846" spans="27:39" x14ac:dyDescent="0.3">
      <c r="AA846" t="str">
        <f>IF(COUNTA('Procyclean MG'!A347,'Procyclean MG'!B347,'Procyclean MG'!C347)&gt;0,"MG","")</f>
        <v/>
      </c>
      <c r="AB846" t="str">
        <f>IFERROR(IF(ISNUMBER('Procyclean MG'!A347),'Procyclean MG'!A347,DATEVALUE('Procyclean MG'!A347)),"")</f>
        <v/>
      </c>
      <c r="AC846" t="str">
        <f>IF(AA846="","",'Procyclean MG'!B347)</f>
        <v/>
      </c>
      <c r="AD846" t="str">
        <f>IF(AA846="","",IFERROR(1*'Procyclean MG'!C347,IFERROR(_xludf.NUMBERVALUE('Procyclean MG'!C347,".",","),IFERROR(_xludf.NUMBERVALUE('Procyclean MG'!C347,",","."),0))))</f>
        <v/>
      </c>
      <c r="AE846" t="str">
        <f>IF(AA846="","",'Procyclean MG'!I347)</f>
        <v/>
      </c>
      <c r="AF846">
        <f t="shared" si="95"/>
        <v>0</v>
      </c>
      <c r="AG846" t="str">
        <f t="shared" si="96"/>
        <v/>
      </c>
      <c r="AH846" t="str">
        <f t="shared" si="97"/>
        <v/>
      </c>
      <c r="AI846">
        <f t="shared" si="98"/>
        <v>0</v>
      </c>
      <c r="AJ846">
        <f t="shared" si="99"/>
        <v>0</v>
      </c>
      <c r="AK846">
        <v>0</v>
      </c>
      <c r="AL846" t="str">
        <f>IF(AA846="","",IFERROR(IF(ISNUMBER('Procyclean MG'!D347),'Procyclean MG'!D347,IF(ISNUMBER(SEARCH("12",'Procyclean MG'!D347)),EDATE(AB846,12),IF(ISNUMBER(SEARCH("6",'Procyclean MG'!D347)),EDATE(AB846,6),IF(ISNUMBER(SEARCH("3",'Procyclean MG'!D347)),EDATE(AB846,3),DATEVALUE('Procyclean MG'!D347))))),""))</f>
        <v/>
      </c>
      <c r="AM846" t="str">
        <f t="shared" ca="1" si="100"/>
        <v/>
      </c>
    </row>
    <row r="847" spans="27:39" x14ac:dyDescent="0.3">
      <c r="AA847" t="str">
        <f>IF(COUNTA('Procyclean MG'!A348,'Procyclean MG'!B348,'Procyclean MG'!C348)&gt;0,"MG","")</f>
        <v/>
      </c>
      <c r="AB847" t="str">
        <f>IFERROR(IF(ISNUMBER('Procyclean MG'!A348),'Procyclean MG'!A348,DATEVALUE('Procyclean MG'!A348)),"")</f>
        <v/>
      </c>
      <c r="AC847" t="str">
        <f>IF(AA847="","",'Procyclean MG'!B348)</f>
        <v/>
      </c>
      <c r="AD847" t="str">
        <f>IF(AA847="","",IFERROR(1*'Procyclean MG'!C348,IFERROR(_xludf.NUMBERVALUE('Procyclean MG'!C348,".",","),IFERROR(_xludf.NUMBERVALUE('Procyclean MG'!C348,",","."),0))))</f>
        <v/>
      </c>
      <c r="AE847" t="str">
        <f>IF(AA847="","",'Procyclean MG'!I348)</f>
        <v/>
      </c>
      <c r="AF847">
        <f t="shared" si="95"/>
        <v>0</v>
      </c>
      <c r="AG847" t="str">
        <f t="shared" si="96"/>
        <v/>
      </c>
      <c r="AH847" t="str">
        <f t="shared" si="97"/>
        <v/>
      </c>
      <c r="AI847">
        <f t="shared" si="98"/>
        <v>0</v>
      </c>
      <c r="AJ847">
        <f t="shared" si="99"/>
        <v>0</v>
      </c>
      <c r="AK847">
        <v>0</v>
      </c>
      <c r="AL847" t="str">
        <f>IF(AA847="","",IFERROR(IF(ISNUMBER('Procyclean MG'!D348),'Procyclean MG'!D348,IF(ISNUMBER(SEARCH("12",'Procyclean MG'!D348)),EDATE(AB847,12),IF(ISNUMBER(SEARCH("6",'Procyclean MG'!D348)),EDATE(AB847,6),IF(ISNUMBER(SEARCH("3",'Procyclean MG'!D348)),EDATE(AB847,3),DATEVALUE('Procyclean MG'!D348))))),""))</f>
        <v/>
      </c>
      <c r="AM847" t="str">
        <f t="shared" ca="1" si="100"/>
        <v/>
      </c>
    </row>
    <row r="848" spans="27:39" x14ac:dyDescent="0.3">
      <c r="AA848" t="str">
        <f>IF(COUNTA('Procyclean MG'!A349,'Procyclean MG'!B349,'Procyclean MG'!C349)&gt;0,"MG","")</f>
        <v/>
      </c>
      <c r="AB848" t="str">
        <f>IFERROR(IF(ISNUMBER('Procyclean MG'!A349),'Procyclean MG'!A349,DATEVALUE('Procyclean MG'!A349)),"")</f>
        <v/>
      </c>
      <c r="AC848" t="str">
        <f>IF(AA848="","",'Procyclean MG'!B349)</f>
        <v/>
      </c>
      <c r="AD848" t="str">
        <f>IF(AA848="","",IFERROR(1*'Procyclean MG'!C349,IFERROR(_xludf.NUMBERVALUE('Procyclean MG'!C349,".",","),IFERROR(_xludf.NUMBERVALUE('Procyclean MG'!C349,",","."),0))))</f>
        <v/>
      </c>
      <c r="AE848" t="str">
        <f>IF(AA848="","",'Procyclean MG'!I349)</f>
        <v/>
      </c>
      <c r="AF848">
        <f t="shared" si="95"/>
        <v>0</v>
      </c>
      <c r="AG848" t="str">
        <f t="shared" si="96"/>
        <v/>
      </c>
      <c r="AH848" t="str">
        <f t="shared" si="97"/>
        <v/>
      </c>
      <c r="AI848">
        <f t="shared" si="98"/>
        <v>0</v>
      </c>
      <c r="AJ848">
        <f t="shared" si="99"/>
        <v>0</v>
      </c>
      <c r="AK848">
        <v>0</v>
      </c>
      <c r="AL848" t="str">
        <f>IF(AA848="","",IFERROR(IF(ISNUMBER('Procyclean MG'!D349),'Procyclean MG'!D349,IF(ISNUMBER(SEARCH("12",'Procyclean MG'!D349)),EDATE(AB848,12),IF(ISNUMBER(SEARCH("6",'Procyclean MG'!D349)),EDATE(AB848,6),IF(ISNUMBER(SEARCH("3",'Procyclean MG'!D349)),EDATE(AB848,3),DATEVALUE('Procyclean MG'!D349))))),""))</f>
        <v/>
      </c>
      <c r="AM848" t="str">
        <f t="shared" ca="1" si="100"/>
        <v/>
      </c>
    </row>
    <row r="849" spans="27:39" x14ac:dyDescent="0.3">
      <c r="AA849" t="str">
        <f>IF(COUNTA('Procyclean MG'!A350,'Procyclean MG'!B350,'Procyclean MG'!C350)&gt;0,"MG","")</f>
        <v/>
      </c>
      <c r="AB849" t="str">
        <f>IFERROR(IF(ISNUMBER('Procyclean MG'!A350),'Procyclean MG'!A350,DATEVALUE('Procyclean MG'!A350)),"")</f>
        <v/>
      </c>
      <c r="AC849" t="str">
        <f>IF(AA849="","",'Procyclean MG'!B350)</f>
        <v/>
      </c>
      <c r="AD849" t="str">
        <f>IF(AA849="","",IFERROR(1*'Procyclean MG'!C350,IFERROR(_xludf.NUMBERVALUE('Procyclean MG'!C350,".",","),IFERROR(_xludf.NUMBERVALUE('Procyclean MG'!C350,",","."),0))))</f>
        <v/>
      </c>
      <c r="AE849" t="str">
        <f>IF(AA849="","",'Procyclean MG'!I350)</f>
        <v/>
      </c>
      <c r="AF849">
        <f t="shared" si="95"/>
        <v>0</v>
      </c>
      <c r="AG849" t="str">
        <f t="shared" si="96"/>
        <v/>
      </c>
      <c r="AH849" t="str">
        <f t="shared" si="97"/>
        <v/>
      </c>
      <c r="AI849">
        <f t="shared" si="98"/>
        <v>0</v>
      </c>
      <c r="AJ849">
        <f t="shared" si="99"/>
        <v>0</v>
      </c>
      <c r="AK849">
        <v>0</v>
      </c>
      <c r="AL849" t="str">
        <f>IF(AA849="","",IFERROR(IF(ISNUMBER('Procyclean MG'!D350),'Procyclean MG'!D350,IF(ISNUMBER(SEARCH("12",'Procyclean MG'!D350)),EDATE(AB849,12),IF(ISNUMBER(SEARCH("6",'Procyclean MG'!D350)),EDATE(AB849,6),IF(ISNUMBER(SEARCH("3",'Procyclean MG'!D350)),EDATE(AB849,3),DATEVALUE('Procyclean MG'!D350))))),""))</f>
        <v/>
      </c>
      <c r="AM849" t="str">
        <f t="shared" ca="1" si="100"/>
        <v/>
      </c>
    </row>
    <row r="850" spans="27:39" x14ac:dyDescent="0.3">
      <c r="AA850" t="str">
        <f>IF(COUNTA('Procyclean MG'!A351,'Procyclean MG'!B351,'Procyclean MG'!C351)&gt;0,"MG","")</f>
        <v/>
      </c>
      <c r="AB850" t="str">
        <f>IFERROR(IF(ISNUMBER('Procyclean MG'!A351),'Procyclean MG'!A351,DATEVALUE('Procyclean MG'!A351)),"")</f>
        <v/>
      </c>
      <c r="AC850" t="str">
        <f>IF(AA850="","",'Procyclean MG'!B351)</f>
        <v/>
      </c>
      <c r="AD850" t="str">
        <f>IF(AA850="","",IFERROR(1*'Procyclean MG'!C351,IFERROR(_xludf.NUMBERVALUE('Procyclean MG'!C351,".",","),IFERROR(_xludf.NUMBERVALUE('Procyclean MG'!C351,",","."),0))))</f>
        <v/>
      </c>
      <c r="AE850" t="str">
        <f>IF(AA850="","",'Procyclean MG'!I351)</f>
        <v/>
      </c>
      <c r="AF850">
        <f t="shared" si="95"/>
        <v>0</v>
      </c>
      <c r="AG850" t="str">
        <f t="shared" si="96"/>
        <v/>
      </c>
      <c r="AH850" t="str">
        <f t="shared" si="97"/>
        <v/>
      </c>
      <c r="AI850">
        <f t="shared" si="98"/>
        <v>0</v>
      </c>
      <c r="AJ850">
        <f t="shared" si="99"/>
        <v>0</v>
      </c>
      <c r="AK850">
        <v>0</v>
      </c>
      <c r="AL850" t="str">
        <f>IF(AA850="","",IFERROR(IF(ISNUMBER('Procyclean MG'!D351),'Procyclean MG'!D351,IF(ISNUMBER(SEARCH("12",'Procyclean MG'!D351)),EDATE(AB850,12),IF(ISNUMBER(SEARCH("6",'Procyclean MG'!D351)),EDATE(AB850,6),IF(ISNUMBER(SEARCH("3",'Procyclean MG'!D351)),EDATE(AB850,3),DATEVALUE('Procyclean MG'!D351))))),""))</f>
        <v/>
      </c>
      <c r="AM850" t="str">
        <f t="shared" ca="1" si="100"/>
        <v/>
      </c>
    </row>
    <row r="851" spans="27:39" x14ac:dyDescent="0.3">
      <c r="AA851" t="str">
        <f>IF(COUNTA('Procyclean MG'!A352,'Procyclean MG'!B352,'Procyclean MG'!C352)&gt;0,"MG","")</f>
        <v/>
      </c>
      <c r="AB851" t="str">
        <f>IFERROR(IF(ISNUMBER('Procyclean MG'!A352),'Procyclean MG'!A352,DATEVALUE('Procyclean MG'!A352)),"")</f>
        <v/>
      </c>
      <c r="AC851" t="str">
        <f>IF(AA851="","",'Procyclean MG'!B352)</f>
        <v/>
      </c>
      <c r="AD851" t="str">
        <f>IF(AA851="","",IFERROR(1*'Procyclean MG'!C352,IFERROR(_xludf.NUMBERVALUE('Procyclean MG'!C352,".",","),IFERROR(_xludf.NUMBERVALUE('Procyclean MG'!C352,",","."),0))))</f>
        <v/>
      </c>
      <c r="AE851" t="str">
        <f>IF(AA851="","",'Procyclean MG'!I352)</f>
        <v/>
      </c>
      <c r="AF851">
        <f t="shared" si="95"/>
        <v>0</v>
      </c>
      <c r="AG851" t="str">
        <f t="shared" si="96"/>
        <v/>
      </c>
      <c r="AH851" t="str">
        <f t="shared" si="97"/>
        <v/>
      </c>
      <c r="AI851">
        <f t="shared" si="98"/>
        <v>0</v>
      </c>
      <c r="AJ851">
        <f t="shared" si="99"/>
        <v>0</v>
      </c>
      <c r="AK851">
        <v>0</v>
      </c>
      <c r="AL851" t="str">
        <f>IF(AA851="","",IFERROR(IF(ISNUMBER('Procyclean MG'!D352),'Procyclean MG'!D352,IF(ISNUMBER(SEARCH("12",'Procyclean MG'!D352)),EDATE(AB851,12),IF(ISNUMBER(SEARCH("6",'Procyclean MG'!D352)),EDATE(AB851,6),IF(ISNUMBER(SEARCH("3",'Procyclean MG'!D352)),EDATE(AB851,3),DATEVALUE('Procyclean MG'!D352))))),""))</f>
        <v/>
      </c>
      <c r="AM851" t="str">
        <f t="shared" ca="1" si="100"/>
        <v/>
      </c>
    </row>
    <row r="852" spans="27:39" x14ac:dyDescent="0.3">
      <c r="AA852" t="str">
        <f>IF(COUNTA('Procyclean MG'!A353,'Procyclean MG'!B353,'Procyclean MG'!C353)&gt;0,"MG","")</f>
        <v/>
      </c>
      <c r="AB852" t="str">
        <f>IFERROR(IF(ISNUMBER('Procyclean MG'!A353),'Procyclean MG'!A353,DATEVALUE('Procyclean MG'!A353)),"")</f>
        <v/>
      </c>
      <c r="AC852" t="str">
        <f>IF(AA852="","",'Procyclean MG'!B353)</f>
        <v/>
      </c>
      <c r="AD852" t="str">
        <f>IF(AA852="","",IFERROR(1*'Procyclean MG'!C353,IFERROR(_xludf.NUMBERVALUE('Procyclean MG'!C353,".",","),IFERROR(_xludf.NUMBERVALUE('Procyclean MG'!C353,",","."),0))))</f>
        <v/>
      </c>
      <c r="AE852" t="str">
        <f>IF(AA852="","",'Procyclean MG'!I353)</f>
        <v/>
      </c>
      <c r="AF852">
        <f t="shared" si="95"/>
        <v>0</v>
      </c>
      <c r="AG852" t="str">
        <f t="shared" si="96"/>
        <v/>
      </c>
      <c r="AH852" t="str">
        <f t="shared" si="97"/>
        <v/>
      </c>
      <c r="AI852">
        <f t="shared" si="98"/>
        <v>0</v>
      </c>
      <c r="AJ852">
        <f t="shared" si="99"/>
        <v>0</v>
      </c>
      <c r="AK852">
        <v>0</v>
      </c>
      <c r="AL852" t="str">
        <f>IF(AA852="","",IFERROR(IF(ISNUMBER('Procyclean MG'!D353),'Procyclean MG'!D353,IF(ISNUMBER(SEARCH("12",'Procyclean MG'!D353)),EDATE(AB852,12),IF(ISNUMBER(SEARCH("6",'Procyclean MG'!D353)),EDATE(AB852,6),IF(ISNUMBER(SEARCH("3",'Procyclean MG'!D353)),EDATE(AB852,3),DATEVALUE('Procyclean MG'!D353))))),""))</f>
        <v/>
      </c>
      <c r="AM852" t="str">
        <f t="shared" ca="1" si="100"/>
        <v/>
      </c>
    </row>
    <row r="853" spans="27:39" x14ac:dyDescent="0.3">
      <c r="AA853" t="str">
        <f>IF(COUNTA('Procyclean MG'!A354,'Procyclean MG'!B354,'Procyclean MG'!C354)&gt;0,"MG","")</f>
        <v/>
      </c>
      <c r="AB853" t="str">
        <f>IFERROR(IF(ISNUMBER('Procyclean MG'!A354),'Procyclean MG'!A354,DATEVALUE('Procyclean MG'!A354)),"")</f>
        <v/>
      </c>
      <c r="AC853" t="str">
        <f>IF(AA853="","",'Procyclean MG'!B354)</f>
        <v/>
      </c>
      <c r="AD853" t="str">
        <f>IF(AA853="","",IFERROR(1*'Procyclean MG'!C354,IFERROR(_xludf.NUMBERVALUE('Procyclean MG'!C354,".",","),IFERROR(_xludf.NUMBERVALUE('Procyclean MG'!C354,",","."),0))))</f>
        <v/>
      </c>
      <c r="AE853" t="str">
        <f>IF(AA853="","",'Procyclean MG'!I354)</f>
        <v/>
      </c>
      <c r="AF853">
        <f t="shared" si="95"/>
        <v>0</v>
      </c>
      <c r="AG853" t="str">
        <f t="shared" si="96"/>
        <v/>
      </c>
      <c r="AH853" t="str">
        <f t="shared" si="97"/>
        <v/>
      </c>
      <c r="AI853">
        <f t="shared" si="98"/>
        <v>0</v>
      </c>
      <c r="AJ853">
        <f t="shared" si="99"/>
        <v>0</v>
      </c>
      <c r="AK853">
        <v>0</v>
      </c>
      <c r="AL853" t="str">
        <f>IF(AA853="","",IFERROR(IF(ISNUMBER('Procyclean MG'!D354),'Procyclean MG'!D354,IF(ISNUMBER(SEARCH("12",'Procyclean MG'!D354)),EDATE(AB853,12),IF(ISNUMBER(SEARCH("6",'Procyclean MG'!D354)),EDATE(AB853,6),IF(ISNUMBER(SEARCH("3",'Procyclean MG'!D354)),EDATE(AB853,3),DATEVALUE('Procyclean MG'!D354))))),""))</f>
        <v/>
      </c>
      <c r="AM853" t="str">
        <f t="shared" ca="1" si="100"/>
        <v/>
      </c>
    </row>
    <row r="854" spans="27:39" x14ac:dyDescent="0.3">
      <c r="AA854" t="str">
        <f>IF(COUNTA('Procyclean MG'!A355,'Procyclean MG'!B355,'Procyclean MG'!C355)&gt;0,"MG","")</f>
        <v/>
      </c>
      <c r="AB854" t="str">
        <f>IFERROR(IF(ISNUMBER('Procyclean MG'!A355),'Procyclean MG'!A355,DATEVALUE('Procyclean MG'!A355)),"")</f>
        <v/>
      </c>
      <c r="AC854" t="str">
        <f>IF(AA854="","",'Procyclean MG'!B355)</f>
        <v/>
      </c>
      <c r="AD854" t="str">
        <f>IF(AA854="","",IFERROR(1*'Procyclean MG'!C355,IFERROR(_xludf.NUMBERVALUE('Procyclean MG'!C355,".",","),IFERROR(_xludf.NUMBERVALUE('Procyclean MG'!C355,",","."),0))))</f>
        <v/>
      </c>
      <c r="AE854" t="str">
        <f>IF(AA854="","",'Procyclean MG'!I355)</f>
        <v/>
      </c>
      <c r="AF854">
        <f t="shared" si="95"/>
        <v>0</v>
      </c>
      <c r="AG854" t="str">
        <f t="shared" si="96"/>
        <v/>
      </c>
      <c r="AH854" t="str">
        <f t="shared" si="97"/>
        <v/>
      </c>
      <c r="AI854">
        <f t="shared" si="98"/>
        <v>0</v>
      </c>
      <c r="AJ854">
        <f t="shared" si="99"/>
        <v>0</v>
      </c>
      <c r="AK854">
        <v>0</v>
      </c>
      <c r="AL854" t="str">
        <f>IF(AA854="","",IFERROR(IF(ISNUMBER('Procyclean MG'!D355),'Procyclean MG'!D355,IF(ISNUMBER(SEARCH("12",'Procyclean MG'!D355)),EDATE(AB854,12),IF(ISNUMBER(SEARCH("6",'Procyclean MG'!D355)),EDATE(AB854,6),IF(ISNUMBER(SEARCH("3",'Procyclean MG'!D355)),EDATE(AB854,3),DATEVALUE('Procyclean MG'!D355))))),""))</f>
        <v/>
      </c>
      <c r="AM854" t="str">
        <f t="shared" ca="1" si="100"/>
        <v/>
      </c>
    </row>
    <row r="855" spans="27:39" x14ac:dyDescent="0.3">
      <c r="AA855" t="str">
        <f>IF(COUNTA('Procyclean MG'!A356,'Procyclean MG'!B356,'Procyclean MG'!C356)&gt;0,"MG","")</f>
        <v/>
      </c>
      <c r="AB855" t="str">
        <f>IFERROR(IF(ISNUMBER('Procyclean MG'!A356),'Procyclean MG'!A356,DATEVALUE('Procyclean MG'!A356)),"")</f>
        <v/>
      </c>
      <c r="AC855" t="str">
        <f>IF(AA855="","",'Procyclean MG'!B356)</f>
        <v/>
      </c>
      <c r="AD855" t="str">
        <f>IF(AA855="","",IFERROR(1*'Procyclean MG'!C356,IFERROR(_xludf.NUMBERVALUE('Procyclean MG'!C356,".",","),IFERROR(_xludf.NUMBERVALUE('Procyclean MG'!C356,",","."),0))))</f>
        <v/>
      </c>
      <c r="AE855" t="str">
        <f>IF(AA855="","",'Procyclean MG'!I356)</f>
        <v/>
      </c>
      <c r="AF855">
        <f t="shared" si="95"/>
        <v>0</v>
      </c>
      <c r="AG855" t="str">
        <f t="shared" si="96"/>
        <v/>
      </c>
      <c r="AH855" t="str">
        <f t="shared" si="97"/>
        <v/>
      </c>
      <c r="AI855">
        <f t="shared" si="98"/>
        <v>0</v>
      </c>
      <c r="AJ855">
        <f t="shared" si="99"/>
        <v>0</v>
      </c>
      <c r="AK855">
        <v>0</v>
      </c>
      <c r="AL855" t="str">
        <f>IF(AA855="","",IFERROR(IF(ISNUMBER('Procyclean MG'!D356),'Procyclean MG'!D356,IF(ISNUMBER(SEARCH("12",'Procyclean MG'!D356)),EDATE(AB855,12),IF(ISNUMBER(SEARCH("6",'Procyclean MG'!D356)),EDATE(AB855,6),IF(ISNUMBER(SEARCH("3",'Procyclean MG'!D356)),EDATE(AB855,3),DATEVALUE('Procyclean MG'!D356))))),""))</f>
        <v/>
      </c>
      <c r="AM855" t="str">
        <f t="shared" ca="1" si="100"/>
        <v/>
      </c>
    </row>
    <row r="856" spans="27:39" x14ac:dyDescent="0.3">
      <c r="AA856" t="str">
        <f>IF(COUNTA('Procyclean MG'!A357,'Procyclean MG'!B357,'Procyclean MG'!C357)&gt;0,"MG","")</f>
        <v/>
      </c>
      <c r="AB856" t="str">
        <f>IFERROR(IF(ISNUMBER('Procyclean MG'!A357),'Procyclean MG'!A357,DATEVALUE('Procyclean MG'!A357)),"")</f>
        <v/>
      </c>
      <c r="AC856" t="str">
        <f>IF(AA856="","",'Procyclean MG'!B357)</f>
        <v/>
      </c>
      <c r="AD856" t="str">
        <f>IF(AA856="","",IFERROR(1*'Procyclean MG'!C357,IFERROR(_xludf.NUMBERVALUE('Procyclean MG'!C357,".",","),IFERROR(_xludf.NUMBERVALUE('Procyclean MG'!C357,",","."),0))))</f>
        <v/>
      </c>
      <c r="AE856" t="str">
        <f>IF(AA856="","",'Procyclean MG'!I357)</f>
        <v/>
      </c>
      <c r="AF856">
        <f t="shared" si="95"/>
        <v>0</v>
      </c>
      <c r="AG856" t="str">
        <f t="shared" si="96"/>
        <v/>
      </c>
      <c r="AH856" t="str">
        <f t="shared" si="97"/>
        <v/>
      </c>
      <c r="AI856">
        <f t="shared" si="98"/>
        <v>0</v>
      </c>
      <c r="AJ856">
        <f t="shared" si="99"/>
        <v>0</v>
      </c>
      <c r="AK856">
        <v>0</v>
      </c>
      <c r="AL856" t="str">
        <f>IF(AA856="","",IFERROR(IF(ISNUMBER('Procyclean MG'!D357),'Procyclean MG'!D357,IF(ISNUMBER(SEARCH("12",'Procyclean MG'!D357)),EDATE(AB856,12),IF(ISNUMBER(SEARCH("6",'Procyclean MG'!D357)),EDATE(AB856,6),IF(ISNUMBER(SEARCH("3",'Procyclean MG'!D357)),EDATE(AB856,3),DATEVALUE('Procyclean MG'!D357))))),""))</f>
        <v/>
      </c>
      <c r="AM856" t="str">
        <f t="shared" ca="1" si="100"/>
        <v/>
      </c>
    </row>
    <row r="857" spans="27:39" x14ac:dyDescent="0.3">
      <c r="AA857" t="str">
        <f>IF(COUNTA('Procyclean MG'!A358,'Procyclean MG'!B358,'Procyclean MG'!C358)&gt;0,"MG","")</f>
        <v/>
      </c>
      <c r="AB857" t="str">
        <f>IFERROR(IF(ISNUMBER('Procyclean MG'!A358),'Procyclean MG'!A358,DATEVALUE('Procyclean MG'!A358)),"")</f>
        <v/>
      </c>
      <c r="AC857" t="str">
        <f>IF(AA857="","",'Procyclean MG'!B358)</f>
        <v/>
      </c>
      <c r="AD857" t="str">
        <f>IF(AA857="","",IFERROR(1*'Procyclean MG'!C358,IFERROR(_xludf.NUMBERVALUE('Procyclean MG'!C358,".",","),IFERROR(_xludf.NUMBERVALUE('Procyclean MG'!C358,",","."),0))))</f>
        <v/>
      </c>
      <c r="AE857" t="str">
        <f>IF(AA857="","",'Procyclean MG'!I358)</f>
        <v/>
      </c>
      <c r="AF857">
        <f t="shared" si="95"/>
        <v>0</v>
      </c>
      <c r="AG857" t="str">
        <f t="shared" si="96"/>
        <v/>
      </c>
      <c r="AH857" t="str">
        <f t="shared" si="97"/>
        <v/>
      </c>
      <c r="AI857">
        <f t="shared" si="98"/>
        <v>0</v>
      </c>
      <c r="AJ857">
        <f t="shared" si="99"/>
        <v>0</v>
      </c>
      <c r="AK857">
        <v>0</v>
      </c>
      <c r="AL857" t="str">
        <f>IF(AA857="","",IFERROR(IF(ISNUMBER('Procyclean MG'!D358),'Procyclean MG'!D358,IF(ISNUMBER(SEARCH("12",'Procyclean MG'!D358)),EDATE(AB857,12),IF(ISNUMBER(SEARCH("6",'Procyclean MG'!D358)),EDATE(AB857,6),IF(ISNUMBER(SEARCH("3",'Procyclean MG'!D358)),EDATE(AB857,3),DATEVALUE('Procyclean MG'!D358))))),""))</f>
        <v/>
      </c>
      <c r="AM857" t="str">
        <f t="shared" ca="1" si="100"/>
        <v/>
      </c>
    </row>
    <row r="858" spans="27:39" x14ac:dyDescent="0.3">
      <c r="AA858" t="str">
        <f>IF(COUNTA('Procyclean MG'!A359,'Procyclean MG'!B359,'Procyclean MG'!C359)&gt;0,"MG","")</f>
        <v/>
      </c>
      <c r="AB858" t="str">
        <f>IFERROR(IF(ISNUMBER('Procyclean MG'!A359),'Procyclean MG'!A359,DATEVALUE('Procyclean MG'!A359)),"")</f>
        <v/>
      </c>
      <c r="AC858" t="str">
        <f>IF(AA858="","",'Procyclean MG'!B359)</f>
        <v/>
      </c>
      <c r="AD858" t="str">
        <f>IF(AA858="","",IFERROR(1*'Procyclean MG'!C359,IFERROR(_xludf.NUMBERVALUE('Procyclean MG'!C359,".",","),IFERROR(_xludf.NUMBERVALUE('Procyclean MG'!C359,",","."),0))))</f>
        <v/>
      </c>
      <c r="AE858" t="str">
        <f>IF(AA858="","",'Procyclean MG'!I359)</f>
        <v/>
      </c>
      <c r="AF858">
        <f t="shared" si="95"/>
        <v>0</v>
      </c>
      <c r="AG858" t="str">
        <f t="shared" si="96"/>
        <v/>
      </c>
      <c r="AH858" t="str">
        <f t="shared" si="97"/>
        <v/>
      </c>
      <c r="AI858">
        <f t="shared" si="98"/>
        <v>0</v>
      </c>
      <c r="AJ858">
        <f t="shared" si="99"/>
        <v>0</v>
      </c>
      <c r="AK858">
        <v>0</v>
      </c>
      <c r="AL858" t="str">
        <f>IF(AA858="","",IFERROR(IF(ISNUMBER('Procyclean MG'!D359),'Procyclean MG'!D359,IF(ISNUMBER(SEARCH("12",'Procyclean MG'!D359)),EDATE(AB858,12),IF(ISNUMBER(SEARCH("6",'Procyclean MG'!D359)),EDATE(AB858,6),IF(ISNUMBER(SEARCH("3",'Procyclean MG'!D359)),EDATE(AB858,3),DATEVALUE('Procyclean MG'!D359))))),""))</f>
        <v/>
      </c>
      <c r="AM858" t="str">
        <f t="shared" ca="1" si="100"/>
        <v/>
      </c>
    </row>
    <row r="859" spans="27:39" x14ac:dyDescent="0.3">
      <c r="AA859" t="str">
        <f>IF(COUNTA('Procyclean MG'!A360,'Procyclean MG'!B360,'Procyclean MG'!C360)&gt;0,"MG","")</f>
        <v/>
      </c>
      <c r="AB859" t="str">
        <f>IFERROR(IF(ISNUMBER('Procyclean MG'!A360),'Procyclean MG'!A360,DATEVALUE('Procyclean MG'!A360)),"")</f>
        <v/>
      </c>
      <c r="AC859" t="str">
        <f>IF(AA859="","",'Procyclean MG'!B360)</f>
        <v/>
      </c>
      <c r="AD859" t="str">
        <f>IF(AA859="","",IFERROR(1*'Procyclean MG'!C360,IFERROR(_xludf.NUMBERVALUE('Procyclean MG'!C360,".",","),IFERROR(_xludf.NUMBERVALUE('Procyclean MG'!C360,",","."),0))))</f>
        <v/>
      </c>
      <c r="AE859" t="str">
        <f>IF(AA859="","",'Procyclean MG'!I360)</f>
        <v/>
      </c>
      <c r="AF859">
        <f t="shared" si="95"/>
        <v>0</v>
      </c>
      <c r="AG859" t="str">
        <f t="shared" si="96"/>
        <v/>
      </c>
      <c r="AH859" t="str">
        <f t="shared" si="97"/>
        <v/>
      </c>
      <c r="AI859">
        <f t="shared" si="98"/>
        <v>0</v>
      </c>
      <c r="AJ859">
        <f t="shared" si="99"/>
        <v>0</v>
      </c>
      <c r="AK859">
        <v>0</v>
      </c>
      <c r="AL859" t="str">
        <f>IF(AA859="","",IFERROR(IF(ISNUMBER('Procyclean MG'!D360),'Procyclean MG'!D360,IF(ISNUMBER(SEARCH("12",'Procyclean MG'!D360)),EDATE(AB859,12),IF(ISNUMBER(SEARCH("6",'Procyclean MG'!D360)),EDATE(AB859,6),IF(ISNUMBER(SEARCH("3",'Procyclean MG'!D360)),EDATE(AB859,3),DATEVALUE('Procyclean MG'!D360))))),""))</f>
        <v/>
      </c>
      <c r="AM859" t="str">
        <f t="shared" ca="1" si="100"/>
        <v/>
      </c>
    </row>
    <row r="860" spans="27:39" x14ac:dyDescent="0.3">
      <c r="AA860" t="str">
        <f>IF(COUNTA('Procyclean MG'!A361,'Procyclean MG'!B361,'Procyclean MG'!C361)&gt;0,"MG","")</f>
        <v/>
      </c>
      <c r="AB860" t="str">
        <f>IFERROR(IF(ISNUMBER('Procyclean MG'!A361),'Procyclean MG'!A361,DATEVALUE('Procyclean MG'!A361)),"")</f>
        <v/>
      </c>
      <c r="AC860" t="str">
        <f>IF(AA860="","",'Procyclean MG'!B361)</f>
        <v/>
      </c>
      <c r="AD860" t="str">
        <f>IF(AA860="","",IFERROR(1*'Procyclean MG'!C361,IFERROR(_xludf.NUMBERVALUE('Procyclean MG'!C361,".",","),IFERROR(_xludf.NUMBERVALUE('Procyclean MG'!C361,",","."),0))))</f>
        <v/>
      </c>
      <c r="AE860" t="str">
        <f>IF(AA860="","",'Procyclean MG'!I361)</f>
        <v/>
      </c>
      <c r="AF860">
        <f t="shared" si="95"/>
        <v>0</v>
      </c>
      <c r="AG860" t="str">
        <f t="shared" si="96"/>
        <v/>
      </c>
      <c r="AH860" t="str">
        <f t="shared" si="97"/>
        <v/>
      </c>
      <c r="AI860">
        <f t="shared" si="98"/>
        <v>0</v>
      </c>
      <c r="AJ860">
        <f t="shared" si="99"/>
        <v>0</v>
      </c>
      <c r="AK860">
        <v>0</v>
      </c>
      <c r="AL860" t="str">
        <f>IF(AA860="","",IFERROR(IF(ISNUMBER('Procyclean MG'!D361),'Procyclean MG'!D361,IF(ISNUMBER(SEARCH("12",'Procyclean MG'!D361)),EDATE(AB860,12),IF(ISNUMBER(SEARCH("6",'Procyclean MG'!D361)),EDATE(AB860,6),IF(ISNUMBER(SEARCH("3",'Procyclean MG'!D361)),EDATE(AB860,3),DATEVALUE('Procyclean MG'!D361))))),""))</f>
        <v/>
      </c>
      <c r="AM860" t="str">
        <f t="shared" ca="1" si="100"/>
        <v/>
      </c>
    </row>
    <row r="861" spans="27:39" x14ac:dyDescent="0.3">
      <c r="AA861" t="str">
        <f>IF(COUNTA('Procyclean MG'!A362,'Procyclean MG'!B362,'Procyclean MG'!C362)&gt;0,"MG","")</f>
        <v/>
      </c>
      <c r="AB861" t="str">
        <f>IFERROR(IF(ISNUMBER('Procyclean MG'!A362),'Procyclean MG'!A362,DATEVALUE('Procyclean MG'!A362)),"")</f>
        <v/>
      </c>
      <c r="AC861" t="str">
        <f>IF(AA861="","",'Procyclean MG'!B362)</f>
        <v/>
      </c>
      <c r="AD861" t="str">
        <f>IF(AA861="","",IFERROR(1*'Procyclean MG'!C362,IFERROR(_xludf.NUMBERVALUE('Procyclean MG'!C362,".",","),IFERROR(_xludf.NUMBERVALUE('Procyclean MG'!C362,",","."),0))))</f>
        <v/>
      </c>
      <c r="AE861" t="str">
        <f>IF(AA861="","",'Procyclean MG'!I362)</f>
        <v/>
      </c>
      <c r="AF861">
        <f t="shared" si="95"/>
        <v>0</v>
      </c>
      <c r="AG861" t="str">
        <f t="shared" si="96"/>
        <v/>
      </c>
      <c r="AH861" t="str">
        <f t="shared" si="97"/>
        <v/>
      </c>
      <c r="AI861">
        <f t="shared" si="98"/>
        <v>0</v>
      </c>
      <c r="AJ861">
        <f t="shared" si="99"/>
        <v>0</v>
      </c>
      <c r="AK861">
        <v>0</v>
      </c>
      <c r="AL861" t="str">
        <f>IF(AA861="","",IFERROR(IF(ISNUMBER('Procyclean MG'!D362),'Procyclean MG'!D362,IF(ISNUMBER(SEARCH("12",'Procyclean MG'!D362)),EDATE(AB861,12),IF(ISNUMBER(SEARCH("6",'Procyclean MG'!D362)),EDATE(AB861,6),IF(ISNUMBER(SEARCH("3",'Procyclean MG'!D362)),EDATE(AB861,3),DATEVALUE('Procyclean MG'!D362))))),""))</f>
        <v/>
      </c>
      <c r="AM861" t="str">
        <f t="shared" ca="1" si="100"/>
        <v/>
      </c>
    </row>
    <row r="862" spans="27:39" x14ac:dyDescent="0.3">
      <c r="AA862" t="str">
        <f>IF(COUNTA('Procyclean MG'!A363,'Procyclean MG'!B363,'Procyclean MG'!C363)&gt;0,"MG","")</f>
        <v/>
      </c>
      <c r="AB862" t="str">
        <f>IFERROR(IF(ISNUMBER('Procyclean MG'!A363),'Procyclean MG'!A363,DATEVALUE('Procyclean MG'!A363)),"")</f>
        <v/>
      </c>
      <c r="AC862" t="str">
        <f>IF(AA862="","",'Procyclean MG'!B363)</f>
        <v/>
      </c>
      <c r="AD862" t="str">
        <f>IF(AA862="","",IFERROR(1*'Procyclean MG'!C363,IFERROR(_xludf.NUMBERVALUE('Procyclean MG'!C363,".",","),IFERROR(_xludf.NUMBERVALUE('Procyclean MG'!C363,",","."),0))))</f>
        <v/>
      </c>
      <c r="AE862" t="str">
        <f>IF(AA862="","",'Procyclean MG'!I363)</f>
        <v/>
      </c>
      <c r="AF862">
        <f t="shared" si="95"/>
        <v>0</v>
      </c>
      <c r="AG862" t="str">
        <f t="shared" si="96"/>
        <v/>
      </c>
      <c r="AH862" t="str">
        <f t="shared" si="97"/>
        <v/>
      </c>
      <c r="AI862">
        <f t="shared" si="98"/>
        <v>0</v>
      </c>
      <c r="AJ862">
        <f t="shared" si="99"/>
        <v>0</v>
      </c>
      <c r="AK862">
        <v>0</v>
      </c>
      <c r="AL862" t="str">
        <f>IF(AA862="","",IFERROR(IF(ISNUMBER('Procyclean MG'!D363),'Procyclean MG'!D363,IF(ISNUMBER(SEARCH("12",'Procyclean MG'!D363)),EDATE(AB862,12),IF(ISNUMBER(SEARCH("6",'Procyclean MG'!D363)),EDATE(AB862,6),IF(ISNUMBER(SEARCH("3",'Procyclean MG'!D363)),EDATE(AB862,3),DATEVALUE('Procyclean MG'!D363))))),""))</f>
        <v/>
      </c>
      <c r="AM862" t="str">
        <f t="shared" ca="1" si="100"/>
        <v/>
      </c>
    </row>
    <row r="863" spans="27:39" x14ac:dyDescent="0.3">
      <c r="AA863" t="str">
        <f>IF(COUNTA('Procyclean MG'!A364,'Procyclean MG'!B364,'Procyclean MG'!C364)&gt;0,"MG","")</f>
        <v/>
      </c>
      <c r="AB863" t="str">
        <f>IFERROR(IF(ISNUMBER('Procyclean MG'!A364),'Procyclean MG'!A364,DATEVALUE('Procyclean MG'!A364)),"")</f>
        <v/>
      </c>
      <c r="AC863" t="str">
        <f>IF(AA863="","",'Procyclean MG'!B364)</f>
        <v/>
      </c>
      <c r="AD863" t="str">
        <f>IF(AA863="","",IFERROR(1*'Procyclean MG'!C364,IFERROR(_xludf.NUMBERVALUE('Procyclean MG'!C364,".",","),IFERROR(_xludf.NUMBERVALUE('Procyclean MG'!C364,",","."),0))))</f>
        <v/>
      </c>
      <c r="AE863" t="str">
        <f>IF(AA863="","",'Procyclean MG'!I364)</f>
        <v/>
      </c>
      <c r="AF863">
        <f t="shared" si="95"/>
        <v>0</v>
      </c>
      <c r="AG863" t="str">
        <f t="shared" si="96"/>
        <v/>
      </c>
      <c r="AH863" t="str">
        <f t="shared" si="97"/>
        <v/>
      </c>
      <c r="AI863">
        <f t="shared" si="98"/>
        <v>0</v>
      </c>
      <c r="AJ863">
        <f t="shared" si="99"/>
        <v>0</v>
      </c>
      <c r="AK863">
        <v>0</v>
      </c>
      <c r="AL863" t="str">
        <f>IF(AA863="","",IFERROR(IF(ISNUMBER('Procyclean MG'!D364),'Procyclean MG'!D364,IF(ISNUMBER(SEARCH("12",'Procyclean MG'!D364)),EDATE(AB863,12),IF(ISNUMBER(SEARCH("6",'Procyclean MG'!D364)),EDATE(AB863,6),IF(ISNUMBER(SEARCH("3",'Procyclean MG'!D364)),EDATE(AB863,3),DATEVALUE('Procyclean MG'!D364))))),""))</f>
        <v/>
      </c>
      <c r="AM863" t="str">
        <f t="shared" ca="1" si="100"/>
        <v/>
      </c>
    </row>
    <row r="864" spans="27:39" x14ac:dyDescent="0.3">
      <c r="AA864" t="str">
        <f>IF(COUNTA('Procyclean MG'!A365,'Procyclean MG'!B365,'Procyclean MG'!C365)&gt;0,"MG","")</f>
        <v/>
      </c>
      <c r="AB864" t="str">
        <f>IFERROR(IF(ISNUMBER('Procyclean MG'!A365),'Procyclean MG'!A365,DATEVALUE('Procyclean MG'!A365)),"")</f>
        <v/>
      </c>
      <c r="AC864" t="str">
        <f>IF(AA864="","",'Procyclean MG'!B365)</f>
        <v/>
      </c>
      <c r="AD864" t="str">
        <f>IF(AA864="","",IFERROR(1*'Procyclean MG'!C365,IFERROR(_xludf.NUMBERVALUE('Procyclean MG'!C365,".",","),IFERROR(_xludf.NUMBERVALUE('Procyclean MG'!C365,",","."),0))))</f>
        <v/>
      </c>
      <c r="AE864" t="str">
        <f>IF(AA864="","",'Procyclean MG'!I365)</f>
        <v/>
      </c>
      <c r="AF864">
        <f t="shared" si="95"/>
        <v>0</v>
      </c>
      <c r="AG864" t="str">
        <f t="shared" si="96"/>
        <v/>
      </c>
      <c r="AH864" t="str">
        <f t="shared" si="97"/>
        <v/>
      </c>
      <c r="AI864">
        <f t="shared" si="98"/>
        <v>0</v>
      </c>
      <c r="AJ864">
        <f t="shared" si="99"/>
        <v>0</v>
      </c>
      <c r="AK864">
        <v>0</v>
      </c>
      <c r="AL864" t="str">
        <f>IF(AA864="","",IFERROR(IF(ISNUMBER('Procyclean MG'!D365),'Procyclean MG'!D365,IF(ISNUMBER(SEARCH("12",'Procyclean MG'!D365)),EDATE(AB864,12),IF(ISNUMBER(SEARCH("6",'Procyclean MG'!D365)),EDATE(AB864,6),IF(ISNUMBER(SEARCH("3",'Procyclean MG'!D365)),EDATE(AB864,3),DATEVALUE('Procyclean MG'!D365))))),""))</f>
        <v/>
      </c>
      <c r="AM864" t="str">
        <f t="shared" ca="1" si="100"/>
        <v/>
      </c>
    </row>
    <row r="865" spans="27:39" x14ac:dyDescent="0.3">
      <c r="AA865" t="str">
        <f>IF(COUNTA('Procyclean MG'!A366,'Procyclean MG'!B366,'Procyclean MG'!C366)&gt;0,"MG","")</f>
        <v/>
      </c>
      <c r="AB865" t="str">
        <f>IFERROR(IF(ISNUMBER('Procyclean MG'!A366),'Procyclean MG'!A366,DATEVALUE('Procyclean MG'!A366)),"")</f>
        <v/>
      </c>
      <c r="AC865" t="str">
        <f>IF(AA865="","",'Procyclean MG'!B366)</f>
        <v/>
      </c>
      <c r="AD865" t="str">
        <f>IF(AA865="","",IFERROR(1*'Procyclean MG'!C366,IFERROR(_xludf.NUMBERVALUE('Procyclean MG'!C366,".",","),IFERROR(_xludf.NUMBERVALUE('Procyclean MG'!C366,",","."),0))))</f>
        <v/>
      </c>
      <c r="AE865" t="str">
        <f>IF(AA865="","",'Procyclean MG'!I366)</f>
        <v/>
      </c>
      <c r="AF865">
        <f t="shared" si="95"/>
        <v>0</v>
      </c>
      <c r="AG865" t="str">
        <f t="shared" si="96"/>
        <v/>
      </c>
      <c r="AH865" t="str">
        <f t="shared" si="97"/>
        <v/>
      </c>
      <c r="AI865">
        <f t="shared" si="98"/>
        <v>0</v>
      </c>
      <c r="AJ865">
        <f t="shared" si="99"/>
        <v>0</v>
      </c>
      <c r="AK865">
        <v>0</v>
      </c>
      <c r="AL865" t="str">
        <f>IF(AA865="","",IFERROR(IF(ISNUMBER('Procyclean MG'!D366),'Procyclean MG'!D366,IF(ISNUMBER(SEARCH("12",'Procyclean MG'!D366)),EDATE(AB865,12),IF(ISNUMBER(SEARCH("6",'Procyclean MG'!D366)),EDATE(AB865,6),IF(ISNUMBER(SEARCH("3",'Procyclean MG'!D366)),EDATE(AB865,3),DATEVALUE('Procyclean MG'!D366))))),""))</f>
        <v/>
      </c>
      <c r="AM865" t="str">
        <f t="shared" ca="1" si="100"/>
        <v/>
      </c>
    </row>
    <row r="866" spans="27:39" x14ac:dyDescent="0.3">
      <c r="AA866" t="str">
        <f>IF(COUNTA('Procyclean MG'!A367,'Procyclean MG'!B367,'Procyclean MG'!C367)&gt;0,"MG","")</f>
        <v/>
      </c>
      <c r="AB866" t="str">
        <f>IFERROR(IF(ISNUMBER('Procyclean MG'!A367),'Procyclean MG'!A367,DATEVALUE('Procyclean MG'!A367)),"")</f>
        <v/>
      </c>
      <c r="AC866" t="str">
        <f>IF(AA866="","",'Procyclean MG'!B367)</f>
        <v/>
      </c>
      <c r="AD866" t="str">
        <f>IF(AA866="","",IFERROR(1*'Procyclean MG'!C367,IFERROR(_xludf.NUMBERVALUE('Procyclean MG'!C367,".",","),IFERROR(_xludf.NUMBERVALUE('Procyclean MG'!C367,",","."),0))))</f>
        <v/>
      </c>
      <c r="AE866" t="str">
        <f>IF(AA866="","",'Procyclean MG'!I367)</f>
        <v/>
      </c>
      <c r="AF866">
        <f t="shared" si="95"/>
        <v>0</v>
      </c>
      <c r="AG866" t="str">
        <f t="shared" si="96"/>
        <v/>
      </c>
      <c r="AH866" t="str">
        <f t="shared" si="97"/>
        <v/>
      </c>
      <c r="AI866">
        <f t="shared" si="98"/>
        <v>0</v>
      </c>
      <c r="AJ866">
        <f t="shared" si="99"/>
        <v>0</v>
      </c>
      <c r="AK866">
        <v>0</v>
      </c>
      <c r="AL866" t="str">
        <f>IF(AA866="","",IFERROR(IF(ISNUMBER('Procyclean MG'!D367),'Procyclean MG'!D367,IF(ISNUMBER(SEARCH("12",'Procyclean MG'!D367)),EDATE(AB866,12),IF(ISNUMBER(SEARCH("6",'Procyclean MG'!D367)),EDATE(AB866,6),IF(ISNUMBER(SEARCH("3",'Procyclean MG'!D367)),EDATE(AB866,3),DATEVALUE('Procyclean MG'!D367))))),""))</f>
        <v/>
      </c>
      <c r="AM866" t="str">
        <f t="shared" ca="1" si="100"/>
        <v/>
      </c>
    </row>
    <row r="867" spans="27:39" x14ac:dyDescent="0.3">
      <c r="AA867" t="str">
        <f>IF(COUNTA('Procyclean MG'!A368,'Procyclean MG'!B368,'Procyclean MG'!C368)&gt;0,"MG","")</f>
        <v/>
      </c>
      <c r="AB867" t="str">
        <f>IFERROR(IF(ISNUMBER('Procyclean MG'!A368),'Procyclean MG'!A368,DATEVALUE('Procyclean MG'!A368)),"")</f>
        <v/>
      </c>
      <c r="AC867" t="str">
        <f>IF(AA867="","",'Procyclean MG'!B368)</f>
        <v/>
      </c>
      <c r="AD867" t="str">
        <f>IF(AA867="","",IFERROR(1*'Procyclean MG'!C368,IFERROR(_xludf.NUMBERVALUE('Procyclean MG'!C368,".",","),IFERROR(_xludf.NUMBERVALUE('Procyclean MG'!C368,",","."),0))))</f>
        <v/>
      </c>
      <c r="AE867" t="str">
        <f>IF(AA867="","",'Procyclean MG'!I368)</f>
        <v/>
      </c>
      <c r="AF867">
        <f t="shared" si="95"/>
        <v>0</v>
      </c>
      <c r="AG867" t="str">
        <f t="shared" si="96"/>
        <v/>
      </c>
      <c r="AH867" t="str">
        <f t="shared" si="97"/>
        <v/>
      </c>
      <c r="AI867">
        <f t="shared" si="98"/>
        <v>0</v>
      </c>
      <c r="AJ867">
        <f t="shared" si="99"/>
        <v>0</v>
      </c>
      <c r="AK867">
        <v>0</v>
      </c>
      <c r="AL867" t="str">
        <f>IF(AA867="","",IFERROR(IF(ISNUMBER('Procyclean MG'!D368),'Procyclean MG'!D368,IF(ISNUMBER(SEARCH("12",'Procyclean MG'!D368)),EDATE(AB867,12),IF(ISNUMBER(SEARCH("6",'Procyclean MG'!D368)),EDATE(AB867,6),IF(ISNUMBER(SEARCH("3",'Procyclean MG'!D368)),EDATE(AB867,3),DATEVALUE('Procyclean MG'!D368))))),""))</f>
        <v/>
      </c>
      <c r="AM867" t="str">
        <f t="shared" ca="1" si="100"/>
        <v/>
      </c>
    </row>
    <row r="868" spans="27:39" x14ac:dyDescent="0.3">
      <c r="AA868" t="str">
        <f>IF(COUNTA('Procyclean MG'!A369,'Procyclean MG'!B369,'Procyclean MG'!C369)&gt;0,"MG","")</f>
        <v/>
      </c>
      <c r="AB868" t="str">
        <f>IFERROR(IF(ISNUMBER('Procyclean MG'!A369),'Procyclean MG'!A369,DATEVALUE('Procyclean MG'!A369)),"")</f>
        <v/>
      </c>
      <c r="AC868" t="str">
        <f>IF(AA868="","",'Procyclean MG'!B369)</f>
        <v/>
      </c>
      <c r="AD868" t="str">
        <f>IF(AA868="","",IFERROR(1*'Procyclean MG'!C369,IFERROR(_xludf.NUMBERVALUE('Procyclean MG'!C369,".",","),IFERROR(_xludf.NUMBERVALUE('Procyclean MG'!C369,",","."),0))))</f>
        <v/>
      </c>
      <c r="AE868" t="str">
        <f>IF(AA868="","",'Procyclean MG'!I369)</f>
        <v/>
      </c>
      <c r="AF868">
        <f t="shared" si="95"/>
        <v>0</v>
      </c>
      <c r="AG868" t="str">
        <f t="shared" si="96"/>
        <v/>
      </c>
      <c r="AH868" t="str">
        <f t="shared" si="97"/>
        <v/>
      </c>
      <c r="AI868">
        <f t="shared" si="98"/>
        <v>0</v>
      </c>
      <c r="AJ868">
        <f t="shared" si="99"/>
        <v>0</v>
      </c>
      <c r="AK868">
        <v>0</v>
      </c>
      <c r="AL868" t="str">
        <f>IF(AA868="","",IFERROR(IF(ISNUMBER('Procyclean MG'!D369),'Procyclean MG'!D369,IF(ISNUMBER(SEARCH("12",'Procyclean MG'!D369)),EDATE(AB868,12),IF(ISNUMBER(SEARCH("6",'Procyclean MG'!D369)),EDATE(AB868,6),IF(ISNUMBER(SEARCH("3",'Procyclean MG'!D369)),EDATE(AB868,3),DATEVALUE('Procyclean MG'!D369))))),""))</f>
        <v/>
      </c>
      <c r="AM868" t="str">
        <f t="shared" ca="1" si="100"/>
        <v/>
      </c>
    </row>
    <row r="869" spans="27:39" x14ac:dyDescent="0.3">
      <c r="AA869" t="str">
        <f>IF(COUNTA('Procyclean MG'!A370,'Procyclean MG'!B370,'Procyclean MG'!C370)&gt;0,"MG","")</f>
        <v/>
      </c>
      <c r="AB869" t="str">
        <f>IFERROR(IF(ISNUMBER('Procyclean MG'!A370),'Procyclean MG'!A370,DATEVALUE('Procyclean MG'!A370)),"")</f>
        <v/>
      </c>
      <c r="AC869" t="str">
        <f>IF(AA869="","",'Procyclean MG'!B370)</f>
        <v/>
      </c>
      <c r="AD869" t="str">
        <f>IF(AA869="","",IFERROR(1*'Procyclean MG'!C370,IFERROR(_xludf.NUMBERVALUE('Procyclean MG'!C370,".",","),IFERROR(_xludf.NUMBERVALUE('Procyclean MG'!C370,",","."),0))))</f>
        <v/>
      </c>
      <c r="AE869" t="str">
        <f>IF(AA869="","",'Procyclean MG'!I370)</f>
        <v/>
      </c>
      <c r="AF869">
        <f t="shared" si="95"/>
        <v>0</v>
      </c>
      <c r="AG869" t="str">
        <f t="shared" si="96"/>
        <v/>
      </c>
      <c r="AH869" t="str">
        <f t="shared" si="97"/>
        <v/>
      </c>
      <c r="AI869">
        <f t="shared" si="98"/>
        <v>0</v>
      </c>
      <c r="AJ869">
        <f t="shared" si="99"/>
        <v>0</v>
      </c>
      <c r="AK869">
        <v>0</v>
      </c>
      <c r="AL869" t="str">
        <f>IF(AA869="","",IFERROR(IF(ISNUMBER('Procyclean MG'!D370),'Procyclean MG'!D370,IF(ISNUMBER(SEARCH("12",'Procyclean MG'!D370)),EDATE(AB869,12),IF(ISNUMBER(SEARCH("6",'Procyclean MG'!D370)),EDATE(AB869,6),IF(ISNUMBER(SEARCH("3",'Procyclean MG'!D370)),EDATE(AB869,3),DATEVALUE('Procyclean MG'!D370))))),""))</f>
        <v/>
      </c>
      <c r="AM869" t="str">
        <f t="shared" ca="1" si="100"/>
        <v/>
      </c>
    </row>
    <row r="870" spans="27:39" x14ac:dyDescent="0.3">
      <c r="AA870" t="str">
        <f>IF(COUNTA('Procyclean MG'!A371,'Procyclean MG'!B371,'Procyclean MG'!C371)&gt;0,"MG","")</f>
        <v/>
      </c>
      <c r="AB870" t="str">
        <f>IFERROR(IF(ISNUMBER('Procyclean MG'!A371),'Procyclean MG'!A371,DATEVALUE('Procyclean MG'!A371)),"")</f>
        <v/>
      </c>
      <c r="AC870" t="str">
        <f>IF(AA870="","",'Procyclean MG'!B371)</f>
        <v/>
      </c>
      <c r="AD870" t="str">
        <f>IF(AA870="","",IFERROR(1*'Procyclean MG'!C371,IFERROR(_xludf.NUMBERVALUE('Procyclean MG'!C371,".",","),IFERROR(_xludf.NUMBERVALUE('Procyclean MG'!C371,",","."),0))))</f>
        <v/>
      </c>
      <c r="AE870" t="str">
        <f>IF(AA870="","",'Procyclean MG'!I371)</f>
        <v/>
      </c>
      <c r="AF870">
        <f t="shared" si="95"/>
        <v>0</v>
      </c>
      <c r="AG870" t="str">
        <f t="shared" si="96"/>
        <v/>
      </c>
      <c r="AH870" t="str">
        <f t="shared" si="97"/>
        <v/>
      </c>
      <c r="AI870">
        <f t="shared" si="98"/>
        <v>0</v>
      </c>
      <c r="AJ870">
        <f t="shared" si="99"/>
        <v>0</v>
      </c>
      <c r="AK870">
        <v>0</v>
      </c>
      <c r="AL870" t="str">
        <f>IF(AA870="","",IFERROR(IF(ISNUMBER('Procyclean MG'!D371),'Procyclean MG'!D371,IF(ISNUMBER(SEARCH("12",'Procyclean MG'!D371)),EDATE(AB870,12),IF(ISNUMBER(SEARCH("6",'Procyclean MG'!D371)),EDATE(AB870,6),IF(ISNUMBER(SEARCH("3",'Procyclean MG'!D371)),EDATE(AB870,3),DATEVALUE('Procyclean MG'!D371))))),""))</f>
        <v/>
      </c>
      <c r="AM870" t="str">
        <f t="shared" ca="1" si="100"/>
        <v/>
      </c>
    </row>
    <row r="871" spans="27:39" x14ac:dyDescent="0.3">
      <c r="AA871" t="str">
        <f>IF(COUNTA('Procyclean MG'!A372,'Procyclean MG'!B372,'Procyclean MG'!C372)&gt;0,"MG","")</f>
        <v/>
      </c>
      <c r="AB871" t="str">
        <f>IFERROR(IF(ISNUMBER('Procyclean MG'!A372),'Procyclean MG'!A372,DATEVALUE('Procyclean MG'!A372)),"")</f>
        <v/>
      </c>
      <c r="AC871" t="str">
        <f>IF(AA871="","",'Procyclean MG'!B372)</f>
        <v/>
      </c>
      <c r="AD871" t="str">
        <f>IF(AA871="","",IFERROR(1*'Procyclean MG'!C372,IFERROR(_xludf.NUMBERVALUE('Procyclean MG'!C372,".",","),IFERROR(_xludf.NUMBERVALUE('Procyclean MG'!C372,",","."),0))))</f>
        <v/>
      </c>
      <c r="AE871" t="str">
        <f>IF(AA871="","",'Procyclean MG'!I372)</f>
        <v/>
      </c>
      <c r="AF871">
        <f t="shared" si="95"/>
        <v>0</v>
      </c>
      <c r="AG871" t="str">
        <f t="shared" si="96"/>
        <v/>
      </c>
      <c r="AH871" t="str">
        <f t="shared" si="97"/>
        <v/>
      </c>
      <c r="AI871">
        <f t="shared" si="98"/>
        <v>0</v>
      </c>
      <c r="AJ871">
        <f t="shared" si="99"/>
        <v>0</v>
      </c>
      <c r="AK871">
        <v>0</v>
      </c>
      <c r="AL871" t="str">
        <f>IF(AA871="","",IFERROR(IF(ISNUMBER('Procyclean MG'!D372),'Procyclean MG'!D372,IF(ISNUMBER(SEARCH("12",'Procyclean MG'!D372)),EDATE(AB871,12),IF(ISNUMBER(SEARCH("6",'Procyclean MG'!D372)),EDATE(AB871,6),IF(ISNUMBER(SEARCH("3",'Procyclean MG'!D372)),EDATE(AB871,3),DATEVALUE('Procyclean MG'!D372))))),""))</f>
        <v/>
      </c>
      <c r="AM871" t="str">
        <f t="shared" ca="1" si="100"/>
        <v/>
      </c>
    </row>
    <row r="872" spans="27:39" x14ac:dyDescent="0.3">
      <c r="AA872" t="str">
        <f>IF(COUNTA('Procyclean MG'!A373,'Procyclean MG'!B373,'Procyclean MG'!C373)&gt;0,"MG","")</f>
        <v/>
      </c>
      <c r="AB872" t="str">
        <f>IFERROR(IF(ISNUMBER('Procyclean MG'!A373),'Procyclean MG'!A373,DATEVALUE('Procyclean MG'!A373)),"")</f>
        <v/>
      </c>
      <c r="AC872" t="str">
        <f>IF(AA872="","",'Procyclean MG'!B373)</f>
        <v/>
      </c>
      <c r="AD872" t="str">
        <f>IF(AA872="","",IFERROR(1*'Procyclean MG'!C373,IFERROR(_xludf.NUMBERVALUE('Procyclean MG'!C373,".",","),IFERROR(_xludf.NUMBERVALUE('Procyclean MG'!C373,",","."),0))))</f>
        <v/>
      </c>
      <c r="AE872" t="str">
        <f>IF(AA872="","",'Procyclean MG'!I373)</f>
        <v/>
      </c>
      <c r="AF872">
        <f t="shared" si="95"/>
        <v>0</v>
      </c>
      <c r="AG872" t="str">
        <f t="shared" si="96"/>
        <v/>
      </c>
      <c r="AH872" t="str">
        <f t="shared" si="97"/>
        <v/>
      </c>
      <c r="AI872">
        <f t="shared" si="98"/>
        <v>0</v>
      </c>
      <c r="AJ872">
        <f t="shared" si="99"/>
        <v>0</v>
      </c>
      <c r="AK872">
        <v>0</v>
      </c>
      <c r="AL872" t="str">
        <f>IF(AA872="","",IFERROR(IF(ISNUMBER('Procyclean MG'!D373),'Procyclean MG'!D373,IF(ISNUMBER(SEARCH("12",'Procyclean MG'!D373)),EDATE(AB872,12),IF(ISNUMBER(SEARCH("6",'Procyclean MG'!D373)),EDATE(AB872,6),IF(ISNUMBER(SEARCH("3",'Procyclean MG'!D373)),EDATE(AB872,3),DATEVALUE('Procyclean MG'!D373))))),""))</f>
        <v/>
      </c>
      <c r="AM872" t="str">
        <f t="shared" ca="1" si="100"/>
        <v/>
      </c>
    </row>
    <row r="873" spans="27:39" x14ac:dyDescent="0.3">
      <c r="AA873" t="str">
        <f>IF(COUNTA('Procyclean MG'!A374,'Procyclean MG'!B374,'Procyclean MG'!C374)&gt;0,"MG","")</f>
        <v/>
      </c>
      <c r="AB873" t="str">
        <f>IFERROR(IF(ISNUMBER('Procyclean MG'!A374),'Procyclean MG'!A374,DATEVALUE('Procyclean MG'!A374)),"")</f>
        <v/>
      </c>
      <c r="AC873" t="str">
        <f>IF(AA873="","",'Procyclean MG'!B374)</f>
        <v/>
      </c>
      <c r="AD873" t="str">
        <f>IF(AA873="","",IFERROR(1*'Procyclean MG'!C374,IFERROR(_xludf.NUMBERVALUE('Procyclean MG'!C374,".",","),IFERROR(_xludf.NUMBERVALUE('Procyclean MG'!C374,",","."),0))))</f>
        <v/>
      </c>
      <c r="AE873" t="str">
        <f>IF(AA873="","",'Procyclean MG'!I374)</f>
        <v/>
      </c>
      <c r="AF873">
        <f t="shared" si="95"/>
        <v>0</v>
      </c>
      <c r="AG873" t="str">
        <f t="shared" si="96"/>
        <v/>
      </c>
      <c r="AH873" t="str">
        <f t="shared" si="97"/>
        <v/>
      </c>
      <c r="AI873">
        <f t="shared" si="98"/>
        <v>0</v>
      </c>
      <c r="AJ873">
        <f t="shared" si="99"/>
        <v>0</v>
      </c>
      <c r="AK873">
        <v>0</v>
      </c>
      <c r="AL873" t="str">
        <f>IF(AA873="","",IFERROR(IF(ISNUMBER('Procyclean MG'!D374),'Procyclean MG'!D374,IF(ISNUMBER(SEARCH("12",'Procyclean MG'!D374)),EDATE(AB873,12),IF(ISNUMBER(SEARCH("6",'Procyclean MG'!D374)),EDATE(AB873,6),IF(ISNUMBER(SEARCH("3",'Procyclean MG'!D374)),EDATE(AB873,3),DATEVALUE('Procyclean MG'!D374))))),""))</f>
        <v/>
      </c>
      <c r="AM873" t="str">
        <f t="shared" ca="1" si="100"/>
        <v/>
      </c>
    </row>
    <row r="874" spans="27:39" x14ac:dyDescent="0.3">
      <c r="AA874" t="str">
        <f>IF(COUNTA('Procyclean MG'!A375,'Procyclean MG'!B375,'Procyclean MG'!C375)&gt;0,"MG","")</f>
        <v/>
      </c>
      <c r="AB874" t="str">
        <f>IFERROR(IF(ISNUMBER('Procyclean MG'!A375),'Procyclean MG'!A375,DATEVALUE('Procyclean MG'!A375)),"")</f>
        <v/>
      </c>
      <c r="AC874" t="str">
        <f>IF(AA874="","",'Procyclean MG'!B375)</f>
        <v/>
      </c>
      <c r="AD874" t="str">
        <f>IF(AA874="","",IFERROR(1*'Procyclean MG'!C375,IFERROR(_xludf.NUMBERVALUE('Procyclean MG'!C375,".",","),IFERROR(_xludf.NUMBERVALUE('Procyclean MG'!C375,",","."),0))))</f>
        <v/>
      </c>
      <c r="AE874" t="str">
        <f>IF(AA874="","",'Procyclean MG'!I375)</f>
        <v/>
      </c>
      <c r="AF874">
        <f t="shared" si="95"/>
        <v>0</v>
      </c>
      <c r="AG874" t="str">
        <f t="shared" si="96"/>
        <v/>
      </c>
      <c r="AH874" t="str">
        <f t="shared" si="97"/>
        <v/>
      </c>
      <c r="AI874">
        <f t="shared" si="98"/>
        <v>0</v>
      </c>
      <c r="AJ874">
        <f t="shared" si="99"/>
        <v>0</v>
      </c>
      <c r="AK874">
        <v>0</v>
      </c>
      <c r="AL874" t="str">
        <f>IF(AA874="","",IFERROR(IF(ISNUMBER('Procyclean MG'!D375),'Procyclean MG'!D375,IF(ISNUMBER(SEARCH("12",'Procyclean MG'!D375)),EDATE(AB874,12),IF(ISNUMBER(SEARCH("6",'Procyclean MG'!D375)),EDATE(AB874,6),IF(ISNUMBER(SEARCH("3",'Procyclean MG'!D375)),EDATE(AB874,3),DATEVALUE('Procyclean MG'!D375))))),""))</f>
        <v/>
      </c>
      <c r="AM874" t="str">
        <f t="shared" ca="1" si="100"/>
        <v/>
      </c>
    </row>
    <row r="875" spans="27:39" x14ac:dyDescent="0.3">
      <c r="AA875" t="str">
        <f>IF(COUNTA('Procyclean MG'!A376,'Procyclean MG'!B376,'Procyclean MG'!C376)&gt;0,"MG","")</f>
        <v/>
      </c>
      <c r="AB875" t="str">
        <f>IFERROR(IF(ISNUMBER('Procyclean MG'!A376),'Procyclean MG'!A376,DATEVALUE('Procyclean MG'!A376)),"")</f>
        <v/>
      </c>
      <c r="AC875" t="str">
        <f>IF(AA875="","",'Procyclean MG'!B376)</f>
        <v/>
      </c>
      <c r="AD875" t="str">
        <f>IF(AA875="","",IFERROR(1*'Procyclean MG'!C376,IFERROR(_xludf.NUMBERVALUE('Procyclean MG'!C376,".",","),IFERROR(_xludf.NUMBERVALUE('Procyclean MG'!C376,",","."),0))))</f>
        <v/>
      </c>
      <c r="AE875" t="str">
        <f>IF(AA875="","",'Procyclean MG'!I376)</f>
        <v/>
      </c>
      <c r="AF875">
        <f t="shared" si="95"/>
        <v>0</v>
      </c>
      <c r="AG875" t="str">
        <f t="shared" si="96"/>
        <v/>
      </c>
      <c r="AH875" t="str">
        <f t="shared" si="97"/>
        <v/>
      </c>
      <c r="AI875">
        <f t="shared" si="98"/>
        <v>0</v>
      </c>
      <c r="AJ875">
        <f t="shared" si="99"/>
        <v>0</v>
      </c>
      <c r="AK875">
        <v>0</v>
      </c>
      <c r="AL875" t="str">
        <f>IF(AA875="","",IFERROR(IF(ISNUMBER('Procyclean MG'!D376),'Procyclean MG'!D376,IF(ISNUMBER(SEARCH("12",'Procyclean MG'!D376)),EDATE(AB875,12),IF(ISNUMBER(SEARCH("6",'Procyclean MG'!D376)),EDATE(AB875,6),IF(ISNUMBER(SEARCH("3",'Procyclean MG'!D376)),EDATE(AB875,3),DATEVALUE('Procyclean MG'!D376))))),""))</f>
        <v/>
      </c>
      <c r="AM875" t="str">
        <f t="shared" ca="1" si="100"/>
        <v/>
      </c>
    </row>
    <row r="876" spans="27:39" x14ac:dyDescent="0.3">
      <c r="AA876" t="str">
        <f>IF(COUNTA('Procyclean MG'!A377,'Procyclean MG'!B377,'Procyclean MG'!C377)&gt;0,"MG","")</f>
        <v/>
      </c>
      <c r="AB876" t="str">
        <f>IFERROR(IF(ISNUMBER('Procyclean MG'!A377),'Procyclean MG'!A377,DATEVALUE('Procyclean MG'!A377)),"")</f>
        <v/>
      </c>
      <c r="AC876" t="str">
        <f>IF(AA876="","",'Procyclean MG'!B377)</f>
        <v/>
      </c>
      <c r="AD876" t="str">
        <f>IF(AA876="","",IFERROR(1*'Procyclean MG'!C377,IFERROR(_xludf.NUMBERVALUE('Procyclean MG'!C377,".",","),IFERROR(_xludf.NUMBERVALUE('Procyclean MG'!C377,",","."),0))))</f>
        <v/>
      </c>
      <c r="AE876" t="str">
        <f>IF(AA876="","",'Procyclean MG'!I377)</f>
        <v/>
      </c>
      <c r="AF876">
        <f t="shared" si="95"/>
        <v>0</v>
      </c>
      <c r="AG876" t="str">
        <f t="shared" si="96"/>
        <v/>
      </c>
      <c r="AH876" t="str">
        <f t="shared" si="97"/>
        <v/>
      </c>
      <c r="AI876">
        <f t="shared" si="98"/>
        <v>0</v>
      </c>
      <c r="AJ876">
        <f t="shared" si="99"/>
        <v>0</v>
      </c>
      <c r="AK876">
        <v>0</v>
      </c>
      <c r="AL876" t="str">
        <f>IF(AA876="","",IFERROR(IF(ISNUMBER('Procyclean MG'!D377),'Procyclean MG'!D377,IF(ISNUMBER(SEARCH("12",'Procyclean MG'!D377)),EDATE(AB876,12),IF(ISNUMBER(SEARCH("6",'Procyclean MG'!D377)),EDATE(AB876,6),IF(ISNUMBER(SEARCH("3",'Procyclean MG'!D377)),EDATE(AB876,3),DATEVALUE('Procyclean MG'!D377))))),""))</f>
        <v/>
      </c>
      <c r="AM876" t="str">
        <f t="shared" ca="1" si="100"/>
        <v/>
      </c>
    </row>
    <row r="877" spans="27:39" x14ac:dyDescent="0.3">
      <c r="AA877" t="str">
        <f>IF(COUNTA('Procyclean MG'!A378,'Procyclean MG'!B378,'Procyclean MG'!C378)&gt;0,"MG","")</f>
        <v/>
      </c>
      <c r="AB877" t="str">
        <f>IFERROR(IF(ISNUMBER('Procyclean MG'!A378),'Procyclean MG'!A378,DATEVALUE('Procyclean MG'!A378)),"")</f>
        <v/>
      </c>
      <c r="AC877" t="str">
        <f>IF(AA877="","",'Procyclean MG'!B378)</f>
        <v/>
      </c>
      <c r="AD877" t="str">
        <f>IF(AA877="","",IFERROR(1*'Procyclean MG'!C378,IFERROR(_xludf.NUMBERVALUE('Procyclean MG'!C378,".",","),IFERROR(_xludf.NUMBERVALUE('Procyclean MG'!C378,",","."),0))))</f>
        <v/>
      </c>
      <c r="AE877" t="str">
        <f>IF(AA877="","",'Procyclean MG'!I378)</f>
        <v/>
      </c>
      <c r="AF877">
        <f t="shared" si="95"/>
        <v>0</v>
      </c>
      <c r="AG877" t="str">
        <f t="shared" si="96"/>
        <v/>
      </c>
      <c r="AH877" t="str">
        <f t="shared" si="97"/>
        <v/>
      </c>
      <c r="AI877">
        <f t="shared" si="98"/>
        <v>0</v>
      </c>
      <c r="AJ877">
        <f t="shared" si="99"/>
        <v>0</v>
      </c>
      <c r="AK877">
        <v>0</v>
      </c>
      <c r="AL877" t="str">
        <f>IF(AA877="","",IFERROR(IF(ISNUMBER('Procyclean MG'!D378),'Procyclean MG'!D378,IF(ISNUMBER(SEARCH("12",'Procyclean MG'!D378)),EDATE(AB877,12),IF(ISNUMBER(SEARCH("6",'Procyclean MG'!D378)),EDATE(AB877,6),IF(ISNUMBER(SEARCH("3",'Procyclean MG'!D378)),EDATE(AB877,3),DATEVALUE('Procyclean MG'!D378))))),""))</f>
        <v/>
      </c>
      <c r="AM877" t="str">
        <f t="shared" ca="1" si="100"/>
        <v/>
      </c>
    </row>
    <row r="878" spans="27:39" x14ac:dyDescent="0.3">
      <c r="AA878" t="str">
        <f>IF(COUNTA('Procyclean MG'!A379,'Procyclean MG'!B379,'Procyclean MG'!C379)&gt;0,"MG","")</f>
        <v/>
      </c>
      <c r="AB878" t="str">
        <f>IFERROR(IF(ISNUMBER('Procyclean MG'!A379),'Procyclean MG'!A379,DATEVALUE('Procyclean MG'!A379)),"")</f>
        <v/>
      </c>
      <c r="AC878" t="str">
        <f>IF(AA878="","",'Procyclean MG'!B379)</f>
        <v/>
      </c>
      <c r="AD878" t="str">
        <f>IF(AA878="","",IFERROR(1*'Procyclean MG'!C379,IFERROR(_xludf.NUMBERVALUE('Procyclean MG'!C379,".",","),IFERROR(_xludf.NUMBERVALUE('Procyclean MG'!C379,",","."),0))))</f>
        <v/>
      </c>
      <c r="AE878" t="str">
        <f>IF(AA878="","",'Procyclean MG'!I379)</f>
        <v/>
      </c>
      <c r="AF878">
        <f t="shared" si="95"/>
        <v>0</v>
      </c>
      <c r="AG878" t="str">
        <f t="shared" si="96"/>
        <v/>
      </c>
      <c r="AH878" t="str">
        <f t="shared" si="97"/>
        <v/>
      </c>
      <c r="AI878">
        <f t="shared" si="98"/>
        <v>0</v>
      </c>
      <c r="AJ878">
        <f t="shared" si="99"/>
        <v>0</v>
      </c>
      <c r="AK878">
        <v>0</v>
      </c>
      <c r="AL878" t="str">
        <f>IF(AA878="","",IFERROR(IF(ISNUMBER('Procyclean MG'!D379),'Procyclean MG'!D379,IF(ISNUMBER(SEARCH("12",'Procyclean MG'!D379)),EDATE(AB878,12),IF(ISNUMBER(SEARCH("6",'Procyclean MG'!D379)),EDATE(AB878,6),IF(ISNUMBER(SEARCH("3",'Procyclean MG'!D379)),EDATE(AB878,3),DATEVALUE('Procyclean MG'!D379))))),""))</f>
        <v/>
      </c>
      <c r="AM878" t="str">
        <f t="shared" ca="1" si="100"/>
        <v/>
      </c>
    </row>
    <row r="879" spans="27:39" x14ac:dyDescent="0.3">
      <c r="AA879" t="str">
        <f>IF(COUNTA('Procyclean MG'!A380,'Procyclean MG'!B380,'Procyclean MG'!C380)&gt;0,"MG","")</f>
        <v/>
      </c>
      <c r="AB879" t="str">
        <f>IFERROR(IF(ISNUMBER('Procyclean MG'!A380),'Procyclean MG'!A380,DATEVALUE('Procyclean MG'!A380)),"")</f>
        <v/>
      </c>
      <c r="AC879" t="str">
        <f>IF(AA879="","",'Procyclean MG'!B380)</f>
        <v/>
      </c>
      <c r="AD879" t="str">
        <f>IF(AA879="","",IFERROR(1*'Procyclean MG'!C380,IFERROR(_xludf.NUMBERVALUE('Procyclean MG'!C380,".",","),IFERROR(_xludf.NUMBERVALUE('Procyclean MG'!C380,",","."),0))))</f>
        <v/>
      </c>
      <c r="AE879" t="str">
        <f>IF(AA879="","",'Procyclean MG'!I380)</f>
        <v/>
      </c>
      <c r="AF879">
        <f t="shared" si="95"/>
        <v>0</v>
      </c>
      <c r="AG879" t="str">
        <f t="shared" si="96"/>
        <v/>
      </c>
      <c r="AH879" t="str">
        <f t="shared" si="97"/>
        <v/>
      </c>
      <c r="AI879">
        <f t="shared" si="98"/>
        <v>0</v>
      </c>
      <c r="AJ879">
        <f t="shared" si="99"/>
        <v>0</v>
      </c>
      <c r="AK879">
        <v>0</v>
      </c>
      <c r="AL879" t="str">
        <f>IF(AA879="","",IFERROR(IF(ISNUMBER('Procyclean MG'!D380),'Procyclean MG'!D380,IF(ISNUMBER(SEARCH("12",'Procyclean MG'!D380)),EDATE(AB879,12),IF(ISNUMBER(SEARCH("6",'Procyclean MG'!D380)),EDATE(AB879,6),IF(ISNUMBER(SEARCH("3",'Procyclean MG'!D380)),EDATE(AB879,3),DATEVALUE('Procyclean MG'!D380))))),""))</f>
        <v/>
      </c>
      <c r="AM879" t="str">
        <f t="shared" ca="1" si="100"/>
        <v/>
      </c>
    </row>
    <row r="880" spans="27:39" x14ac:dyDescent="0.3">
      <c r="AA880" t="str">
        <f>IF(COUNTA('Procyclean MG'!A381,'Procyclean MG'!B381,'Procyclean MG'!C381)&gt;0,"MG","")</f>
        <v/>
      </c>
      <c r="AB880" t="str">
        <f>IFERROR(IF(ISNUMBER('Procyclean MG'!A381),'Procyclean MG'!A381,DATEVALUE('Procyclean MG'!A381)),"")</f>
        <v/>
      </c>
      <c r="AC880" t="str">
        <f>IF(AA880="","",'Procyclean MG'!B381)</f>
        <v/>
      </c>
      <c r="AD880" t="str">
        <f>IF(AA880="","",IFERROR(1*'Procyclean MG'!C381,IFERROR(_xludf.NUMBERVALUE('Procyclean MG'!C381,".",","),IFERROR(_xludf.NUMBERVALUE('Procyclean MG'!C381,",","."),0))))</f>
        <v/>
      </c>
      <c r="AE880" t="str">
        <f>IF(AA880="","",'Procyclean MG'!I381)</f>
        <v/>
      </c>
      <c r="AF880">
        <f t="shared" si="95"/>
        <v>0</v>
      </c>
      <c r="AG880" t="str">
        <f t="shared" si="96"/>
        <v/>
      </c>
      <c r="AH880" t="str">
        <f t="shared" si="97"/>
        <v/>
      </c>
      <c r="AI880">
        <f t="shared" si="98"/>
        <v>0</v>
      </c>
      <c r="AJ880">
        <f t="shared" si="99"/>
        <v>0</v>
      </c>
      <c r="AK880">
        <v>0</v>
      </c>
      <c r="AL880" t="str">
        <f>IF(AA880="","",IFERROR(IF(ISNUMBER('Procyclean MG'!D381),'Procyclean MG'!D381,IF(ISNUMBER(SEARCH("12",'Procyclean MG'!D381)),EDATE(AB880,12),IF(ISNUMBER(SEARCH("6",'Procyclean MG'!D381)),EDATE(AB880,6),IF(ISNUMBER(SEARCH("3",'Procyclean MG'!D381)),EDATE(AB880,3),DATEVALUE('Procyclean MG'!D381))))),""))</f>
        <v/>
      </c>
      <c r="AM880" t="str">
        <f t="shared" ca="1" si="100"/>
        <v/>
      </c>
    </row>
    <row r="881" spans="27:39" x14ac:dyDescent="0.3">
      <c r="AA881" t="str">
        <f>IF(COUNTA('Procyclean MG'!A382,'Procyclean MG'!B382,'Procyclean MG'!C382)&gt;0,"MG","")</f>
        <v/>
      </c>
      <c r="AB881" t="str">
        <f>IFERROR(IF(ISNUMBER('Procyclean MG'!A382),'Procyclean MG'!A382,DATEVALUE('Procyclean MG'!A382)),"")</f>
        <v/>
      </c>
      <c r="AC881" t="str">
        <f>IF(AA881="","",'Procyclean MG'!B382)</f>
        <v/>
      </c>
      <c r="AD881" t="str">
        <f>IF(AA881="","",IFERROR(1*'Procyclean MG'!C382,IFERROR(_xludf.NUMBERVALUE('Procyclean MG'!C382,".",","),IFERROR(_xludf.NUMBERVALUE('Procyclean MG'!C382,",","."),0))))</f>
        <v/>
      </c>
      <c r="AE881" t="str">
        <f>IF(AA881="","",'Procyclean MG'!I382)</f>
        <v/>
      </c>
      <c r="AF881">
        <f t="shared" si="95"/>
        <v>0</v>
      </c>
      <c r="AG881" t="str">
        <f t="shared" si="96"/>
        <v/>
      </c>
      <c r="AH881" t="str">
        <f t="shared" si="97"/>
        <v/>
      </c>
      <c r="AI881">
        <f t="shared" si="98"/>
        <v>0</v>
      </c>
      <c r="AJ881">
        <f t="shared" si="99"/>
        <v>0</v>
      </c>
      <c r="AK881">
        <v>0</v>
      </c>
      <c r="AL881" t="str">
        <f>IF(AA881="","",IFERROR(IF(ISNUMBER('Procyclean MG'!D382),'Procyclean MG'!D382,IF(ISNUMBER(SEARCH("12",'Procyclean MG'!D382)),EDATE(AB881,12),IF(ISNUMBER(SEARCH("6",'Procyclean MG'!D382)),EDATE(AB881,6),IF(ISNUMBER(SEARCH("3",'Procyclean MG'!D382)),EDATE(AB881,3),DATEVALUE('Procyclean MG'!D382))))),""))</f>
        <v/>
      </c>
      <c r="AM881" t="str">
        <f t="shared" ca="1" si="100"/>
        <v/>
      </c>
    </row>
    <row r="882" spans="27:39" x14ac:dyDescent="0.3">
      <c r="AA882" t="str">
        <f>IF(COUNTA('Procyclean MG'!A383,'Procyclean MG'!B383,'Procyclean MG'!C383)&gt;0,"MG","")</f>
        <v/>
      </c>
      <c r="AB882" t="str">
        <f>IFERROR(IF(ISNUMBER('Procyclean MG'!A383),'Procyclean MG'!A383,DATEVALUE('Procyclean MG'!A383)),"")</f>
        <v/>
      </c>
      <c r="AC882" t="str">
        <f>IF(AA882="","",'Procyclean MG'!B383)</f>
        <v/>
      </c>
      <c r="AD882" t="str">
        <f>IF(AA882="","",IFERROR(1*'Procyclean MG'!C383,IFERROR(_xludf.NUMBERVALUE('Procyclean MG'!C383,".",","),IFERROR(_xludf.NUMBERVALUE('Procyclean MG'!C383,",","."),0))))</f>
        <v/>
      </c>
      <c r="AE882" t="str">
        <f>IF(AA882="","",'Procyclean MG'!I383)</f>
        <v/>
      </c>
      <c r="AF882">
        <f t="shared" si="95"/>
        <v>0</v>
      </c>
      <c r="AG882" t="str">
        <f t="shared" si="96"/>
        <v/>
      </c>
      <c r="AH882" t="str">
        <f t="shared" si="97"/>
        <v/>
      </c>
      <c r="AI882">
        <f t="shared" si="98"/>
        <v>0</v>
      </c>
      <c r="AJ882">
        <f t="shared" si="99"/>
        <v>0</v>
      </c>
      <c r="AK882">
        <v>0</v>
      </c>
      <c r="AL882" t="str">
        <f>IF(AA882="","",IFERROR(IF(ISNUMBER('Procyclean MG'!D383),'Procyclean MG'!D383,IF(ISNUMBER(SEARCH("12",'Procyclean MG'!D383)),EDATE(AB882,12),IF(ISNUMBER(SEARCH("6",'Procyclean MG'!D383)),EDATE(AB882,6),IF(ISNUMBER(SEARCH("3",'Procyclean MG'!D383)),EDATE(AB882,3),DATEVALUE('Procyclean MG'!D383))))),""))</f>
        <v/>
      </c>
      <c r="AM882" t="str">
        <f t="shared" ca="1" si="100"/>
        <v/>
      </c>
    </row>
    <row r="883" spans="27:39" x14ac:dyDescent="0.3">
      <c r="AA883" t="str">
        <f>IF(COUNTA('Procyclean MG'!A384,'Procyclean MG'!B384,'Procyclean MG'!C384)&gt;0,"MG","")</f>
        <v/>
      </c>
      <c r="AB883" t="str">
        <f>IFERROR(IF(ISNUMBER('Procyclean MG'!A384),'Procyclean MG'!A384,DATEVALUE('Procyclean MG'!A384)),"")</f>
        <v/>
      </c>
      <c r="AC883" t="str">
        <f>IF(AA883="","",'Procyclean MG'!B384)</f>
        <v/>
      </c>
      <c r="AD883" t="str">
        <f>IF(AA883="","",IFERROR(1*'Procyclean MG'!C384,IFERROR(_xludf.NUMBERVALUE('Procyclean MG'!C384,".",","),IFERROR(_xludf.NUMBERVALUE('Procyclean MG'!C384,",","."),0))))</f>
        <v/>
      </c>
      <c r="AE883" t="str">
        <f>IF(AA883="","",'Procyclean MG'!I384)</f>
        <v/>
      </c>
      <c r="AF883">
        <f t="shared" si="95"/>
        <v>0</v>
      </c>
      <c r="AG883" t="str">
        <f t="shared" si="96"/>
        <v/>
      </c>
      <c r="AH883" t="str">
        <f t="shared" si="97"/>
        <v/>
      </c>
      <c r="AI883">
        <f t="shared" si="98"/>
        <v>0</v>
      </c>
      <c r="AJ883">
        <f t="shared" si="99"/>
        <v>0</v>
      </c>
      <c r="AK883">
        <v>0</v>
      </c>
      <c r="AL883" t="str">
        <f>IF(AA883="","",IFERROR(IF(ISNUMBER('Procyclean MG'!D384),'Procyclean MG'!D384,IF(ISNUMBER(SEARCH("12",'Procyclean MG'!D384)),EDATE(AB883,12),IF(ISNUMBER(SEARCH("6",'Procyclean MG'!D384)),EDATE(AB883,6),IF(ISNUMBER(SEARCH("3",'Procyclean MG'!D384)),EDATE(AB883,3),DATEVALUE('Procyclean MG'!D384))))),""))</f>
        <v/>
      </c>
      <c r="AM883" t="str">
        <f t="shared" ca="1" si="100"/>
        <v/>
      </c>
    </row>
    <row r="884" spans="27:39" x14ac:dyDescent="0.3">
      <c r="AA884" t="str">
        <f>IF(COUNTA('Procyclean MG'!A385,'Procyclean MG'!B385,'Procyclean MG'!C385)&gt;0,"MG","")</f>
        <v/>
      </c>
      <c r="AB884" t="str">
        <f>IFERROR(IF(ISNUMBER('Procyclean MG'!A385),'Procyclean MG'!A385,DATEVALUE('Procyclean MG'!A385)),"")</f>
        <v/>
      </c>
      <c r="AC884" t="str">
        <f>IF(AA884="","",'Procyclean MG'!B385)</f>
        <v/>
      </c>
      <c r="AD884" t="str">
        <f>IF(AA884="","",IFERROR(1*'Procyclean MG'!C385,IFERROR(_xludf.NUMBERVALUE('Procyclean MG'!C385,".",","),IFERROR(_xludf.NUMBERVALUE('Procyclean MG'!C385,",","."),0))))</f>
        <v/>
      </c>
      <c r="AE884" t="str">
        <f>IF(AA884="","",'Procyclean MG'!I385)</f>
        <v/>
      </c>
      <c r="AF884">
        <f t="shared" si="95"/>
        <v>0</v>
      </c>
      <c r="AG884" t="str">
        <f t="shared" si="96"/>
        <v/>
      </c>
      <c r="AH884" t="str">
        <f t="shared" si="97"/>
        <v/>
      </c>
      <c r="AI884">
        <f t="shared" si="98"/>
        <v>0</v>
      </c>
      <c r="AJ884">
        <f t="shared" si="99"/>
        <v>0</v>
      </c>
      <c r="AK884">
        <v>0</v>
      </c>
      <c r="AL884" t="str">
        <f>IF(AA884="","",IFERROR(IF(ISNUMBER('Procyclean MG'!D385),'Procyclean MG'!D385,IF(ISNUMBER(SEARCH("12",'Procyclean MG'!D385)),EDATE(AB884,12),IF(ISNUMBER(SEARCH("6",'Procyclean MG'!D385)),EDATE(AB884,6),IF(ISNUMBER(SEARCH("3",'Procyclean MG'!D385)),EDATE(AB884,3),DATEVALUE('Procyclean MG'!D385))))),""))</f>
        <v/>
      </c>
      <c r="AM884" t="str">
        <f t="shared" ca="1" si="100"/>
        <v/>
      </c>
    </row>
    <row r="885" spans="27:39" x14ac:dyDescent="0.3">
      <c r="AA885" t="str">
        <f>IF(COUNTA('Procyclean MG'!A386,'Procyclean MG'!B386,'Procyclean MG'!C386)&gt;0,"MG","")</f>
        <v/>
      </c>
      <c r="AB885" t="str">
        <f>IFERROR(IF(ISNUMBER('Procyclean MG'!A386),'Procyclean MG'!A386,DATEVALUE('Procyclean MG'!A386)),"")</f>
        <v/>
      </c>
      <c r="AC885" t="str">
        <f>IF(AA885="","",'Procyclean MG'!B386)</f>
        <v/>
      </c>
      <c r="AD885" t="str">
        <f>IF(AA885="","",IFERROR(1*'Procyclean MG'!C386,IFERROR(_xludf.NUMBERVALUE('Procyclean MG'!C386,".",","),IFERROR(_xludf.NUMBERVALUE('Procyclean MG'!C386,",","."),0))))</f>
        <v/>
      </c>
      <c r="AE885" t="str">
        <f>IF(AA885="","",'Procyclean MG'!I386)</f>
        <v/>
      </c>
      <c r="AF885">
        <f t="shared" si="95"/>
        <v>0</v>
      </c>
      <c r="AG885" t="str">
        <f t="shared" si="96"/>
        <v/>
      </c>
      <c r="AH885" t="str">
        <f t="shared" si="97"/>
        <v/>
      </c>
      <c r="AI885">
        <f t="shared" si="98"/>
        <v>0</v>
      </c>
      <c r="AJ885">
        <f t="shared" si="99"/>
        <v>0</v>
      </c>
      <c r="AK885">
        <v>0</v>
      </c>
      <c r="AL885" t="str">
        <f>IF(AA885="","",IFERROR(IF(ISNUMBER('Procyclean MG'!D386),'Procyclean MG'!D386,IF(ISNUMBER(SEARCH("12",'Procyclean MG'!D386)),EDATE(AB885,12),IF(ISNUMBER(SEARCH("6",'Procyclean MG'!D386)),EDATE(AB885,6),IF(ISNUMBER(SEARCH("3",'Procyclean MG'!D386)),EDATE(AB885,3),DATEVALUE('Procyclean MG'!D386))))),""))</f>
        <v/>
      </c>
      <c r="AM885" t="str">
        <f t="shared" ca="1" si="100"/>
        <v/>
      </c>
    </row>
    <row r="886" spans="27:39" x14ac:dyDescent="0.3">
      <c r="AA886" t="str">
        <f>IF(COUNTA('Procyclean MG'!A387,'Procyclean MG'!B387,'Procyclean MG'!C387)&gt;0,"MG","")</f>
        <v/>
      </c>
      <c r="AB886" t="str">
        <f>IFERROR(IF(ISNUMBER('Procyclean MG'!A387),'Procyclean MG'!A387,DATEVALUE('Procyclean MG'!A387)),"")</f>
        <v/>
      </c>
      <c r="AC886" t="str">
        <f>IF(AA886="","",'Procyclean MG'!B387)</f>
        <v/>
      </c>
      <c r="AD886" t="str">
        <f>IF(AA886="","",IFERROR(1*'Procyclean MG'!C387,IFERROR(_xludf.NUMBERVALUE('Procyclean MG'!C387,".",","),IFERROR(_xludf.NUMBERVALUE('Procyclean MG'!C387,",","."),0))))</f>
        <v/>
      </c>
      <c r="AE886" t="str">
        <f>IF(AA886="","",'Procyclean MG'!I387)</f>
        <v/>
      </c>
      <c r="AF886">
        <f t="shared" si="95"/>
        <v>0</v>
      </c>
      <c r="AG886" t="str">
        <f t="shared" si="96"/>
        <v/>
      </c>
      <c r="AH886" t="str">
        <f t="shared" si="97"/>
        <v/>
      </c>
      <c r="AI886">
        <f t="shared" si="98"/>
        <v>0</v>
      </c>
      <c r="AJ886">
        <f t="shared" si="99"/>
        <v>0</v>
      </c>
      <c r="AK886">
        <v>0</v>
      </c>
      <c r="AL886" t="str">
        <f>IF(AA886="","",IFERROR(IF(ISNUMBER('Procyclean MG'!D387),'Procyclean MG'!D387,IF(ISNUMBER(SEARCH("12",'Procyclean MG'!D387)),EDATE(AB886,12),IF(ISNUMBER(SEARCH("6",'Procyclean MG'!D387)),EDATE(AB886,6),IF(ISNUMBER(SEARCH("3",'Procyclean MG'!D387)),EDATE(AB886,3),DATEVALUE('Procyclean MG'!D387))))),""))</f>
        <v/>
      </c>
      <c r="AM886" t="str">
        <f t="shared" ca="1" si="100"/>
        <v/>
      </c>
    </row>
    <row r="887" spans="27:39" x14ac:dyDescent="0.3">
      <c r="AA887" t="str">
        <f>IF(COUNTA('Procyclean MG'!A388,'Procyclean MG'!B388,'Procyclean MG'!C388)&gt;0,"MG","")</f>
        <v/>
      </c>
      <c r="AB887" t="str">
        <f>IFERROR(IF(ISNUMBER('Procyclean MG'!A388),'Procyclean MG'!A388,DATEVALUE('Procyclean MG'!A388)),"")</f>
        <v/>
      </c>
      <c r="AC887" t="str">
        <f>IF(AA887="","",'Procyclean MG'!B388)</f>
        <v/>
      </c>
      <c r="AD887" t="str">
        <f>IF(AA887="","",IFERROR(1*'Procyclean MG'!C388,IFERROR(_xludf.NUMBERVALUE('Procyclean MG'!C388,".",","),IFERROR(_xludf.NUMBERVALUE('Procyclean MG'!C388,",","."),0))))</f>
        <v/>
      </c>
      <c r="AE887" t="str">
        <f>IF(AA887="","",'Procyclean MG'!I388)</f>
        <v/>
      </c>
      <c r="AF887">
        <f t="shared" si="95"/>
        <v>0</v>
      </c>
      <c r="AG887" t="str">
        <f t="shared" si="96"/>
        <v/>
      </c>
      <c r="AH887" t="str">
        <f t="shared" si="97"/>
        <v/>
      </c>
      <c r="AI887">
        <f t="shared" si="98"/>
        <v>0</v>
      </c>
      <c r="AJ887">
        <f t="shared" si="99"/>
        <v>0</v>
      </c>
      <c r="AK887">
        <v>0</v>
      </c>
      <c r="AL887" t="str">
        <f>IF(AA887="","",IFERROR(IF(ISNUMBER('Procyclean MG'!D388),'Procyclean MG'!D388,IF(ISNUMBER(SEARCH("12",'Procyclean MG'!D388)),EDATE(AB887,12),IF(ISNUMBER(SEARCH("6",'Procyclean MG'!D388)),EDATE(AB887,6),IF(ISNUMBER(SEARCH("3",'Procyclean MG'!D388)),EDATE(AB887,3),DATEVALUE('Procyclean MG'!D388))))),""))</f>
        <v/>
      </c>
      <c r="AM887" t="str">
        <f t="shared" ca="1" si="100"/>
        <v/>
      </c>
    </row>
    <row r="888" spans="27:39" x14ac:dyDescent="0.3">
      <c r="AA888" t="str">
        <f>IF(COUNTA('Procyclean MG'!A389,'Procyclean MG'!B389,'Procyclean MG'!C389)&gt;0,"MG","")</f>
        <v/>
      </c>
      <c r="AB888" t="str">
        <f>IFERROR(IF(ISNUMBER('Procyclean MG'!A389),'Procyclean MG'!A389,DATEVALUE('Procyclean MG'!A389)),"")</f>
        <v/>
      </c>
      <c r="AC888" t="str">
        <f>IF(AA888="","",'Procyclean MG'!B389)</f>
        <v/>
      </c>
      <c r="AD888" t="str">
        <f>IF(AA888="","",IFERROR(1*'Procyclean MG'!C389,IFERROR(_xludf.NUMBERVALUE('Procyclean MG'!C389,".",","),IFERROR(_xludf.NUMBERVALUE('Procyclean MG'!C389,",","."),0))))</f>
        <v/>
      </c>
      <c r="AE888" t="str">
        <f>IF(AA888="","",'Procyclean MG'!I389)</f>
        <v/>
      </c>
      <c r="AF888">
        <f t="shared" si="95"/>
        <v>0</v>
      </c>
      <c r="AG888" t="str">
        <f t="shared" si="96"/>
        <v/>
      </c>
      <c r="AH888" t="str">
        <f t="shared" si="97"/>
        <v/>
      </c>
      <c r="AI888">
        <f t="shared" si="98"/>
        <v>0</v>
      </c>
      <c r="AJ888">
        <f t="shared" si="99"/>
        <v>0</v>
      </c>
      <c r="AK888">
        <v>0</v>
      </c>
      <c r="AL888" t="str">
        <f>IF(AA888="","",IFERROR(IF(ISNUMBER('Procyclean MG'!D389),'Procyclean MG'!D389,IF(ISNUMBER(SEARCH("12",'Procyclean MG'!D389)),EDATE(AB888,12),IF(ISNUMBER(SEARCH("6",'Procyclean MG'!D389)),EDATE(AB888,6),IF(ISNUMBER(SEARCH("3",'Procyclean MG'!D389)),EDATE(AB888,3),DATEVALUE('Procyclean MG'!D389))))),""))</f>
        <v/>
      </c>
      <c r="AM888" t="str">
        <f t="shared" ca="1" si="100"/>
        <v/>
      </c>
    </row>
    <row r="889" spans="27:39" x14ac:dyDescent="0.3">
      <c r="AA889" t="str">
        <f>IF(COUNTA('Procyclean MG'!A390,'Procyclean MG'!B390,'Procyclean MG'!C390)&gt;0,"MG","")</f>
        <v/>
      </c>
      <c r="AB889" t="str">
        <f>IFERROR(IF(ISNUMBER('Procyclean MG'!A390),'Procyclean MG'!A390,DATEVALUE('Procyclean MG'!A390)),"")</f>
        <v/>
      </c>
      <c r="AC889" t="str">
        <f>IF(AA889="","",'Procyclean MG'!B390)</f>
        <v/>
      </c>
      <c r="AD889" t="str">
        <f>IF(AA889="","",IFERROR(1*'Procyclean MG'!C390,IFERROR(_xludf.NUMBERVALUE('Procyclean MG'!C390,".",","),IFERROR(_xludf.NUMBERVALUE('Procyclean MG'!C390,",","."),0))))</f>
        <v/>
      </c>
      <c r="AE889" t="str">
        <f>IF(AA889="","",'Procyclean MG'!I390)</f>
        <v/>
      </c>
      <c r="AF889">
        <f t="shared" si="95"/>
        <v>0</v>
      </c>
      <c r="AG889" t="str">
        <f t="shared" si="96"/>
        <v/>
      </c>
      <c r="AH889" t="str">
        <f t="shared" si="97"/>
        <v/>
      </c>
      <c r="AI889">
        <f t="shared" si="98"/>
        <v>0</v>
      </c>
      <c r="AJ889">
        <f t="shared" si="99"/>
        <v>0</v>
      </c>
      <c r="AK889">
        <v>0</v>
      </c>
      <c r="AL889" t="str">
        <f>IF(AA889="","",IFERROR(IF(ISNUMBER('Procyclean MG'!D390),'Procyclean MG'!D390,IF(ISNUMBER(SEARCH("12",'Procyclean MG'!D390)),EDATE(AB889,12),IF(ISNUMBER(SEARCH("6",'Procyclean MG'!D390)),EDATE(AB889,6),IF(ISNUMBER(SEARCH("3",'Procyclean MG'!D390)),EDATE(AB889,3),DATEVALUE('Procyclean MG'!D390))))),""))</f>
        <v/>
      </c>
      <c r="AM889" t="str">
        <f t="shared" ca="1" si="100"/>
        <v/>
      </c>
    </row>
    <row r="890" spans="27:39" x14ac:dyDescent="0.3">
      <c r="AA890" t="str">
        <f>IF(COUNTA('Procyclean MG'!A391,'Procyclean MG'!B391,'Procyclean MG'!C391)&gt;0,"MG","")</f>
        <v/>
      </c>
      <c r="AB890" t="str">
        <f>IFERROR(IF(ISNUMBER('Procyclean MG'!A391),'Procyclean MG'!A391,DATEVALUE('Procyclean MG'!A391)),"")</f>
        <v/>
      </c>
      <c r="AC890" t="str">
        <f>IF(AA890="","",'Procyclean MG'!B391)</f>
        <v/>
      </c>
      <c r="AD890" t="str">
        <f>IF(AA890="","",IFERROR(1*'Procyclean MG'!C391,IFERROR(_xludf.NUMBERVALUE('Procyclean MG'!C391,".",","),IFERROR(_xludf.NUMBERVALUE('Procyclean MG'!C391,",","."),0))))</f>
        <v/>
      </c>
      <c r="AE890" t="str">
        <f>IF(AA890="","",'Procyclean MG'!I391)</f>
        <v/>
      </c>
      <c r="AF890">
        <f t="shared" si="95"/>
        <v>0</v>
      </c>
      <c r="AG890" t="str">
        <f t="shared" si="96"/>
        <v/>
      </c>
      <c r="AH890" t="str">
        <f t="shared" si="97"/>
        <v/>
      </c>
      <c r="AI890">
        <f t="shared" si="98"/>
        <v>0</v>
      </c>
      <c r="AJ890">
        <f t="shared" si="99"/>
        <v>0</v>
      </c>
      <c r="AK890">
        <v>0</v>
      </c>
      <c r="AL890" t="str">
        <f>IF(AA890="","",IFERROR(IF(ISNUMBER('Procyclean MG'!D391),'Procyclean MG'!D391,IF(ISNUMBER(SEARCH("12",'Procyclean MG'!D391)),EDATE(AB890,12),IF(ISNUMBER(SEARCH("6",'Procyclean MG'!D391)),EDATE(AB890,6),IF(ISNUMBER(SEARCH("3",'Procyclean MG'!D391)),EDATE(AB890,3),DATEVALUE('Procyclean MG'!D391))))),""))</f>
        <v/>
      </c>
      <c r="AM890" t="str">
        <f t="shared" ca="1" si="100"/>
        <v/>
      </c>
    </row>
    <row r="891" spans="27:39" x14ac:dyDescent="0.3">
      <c r="AA891" t="str">
        <f>IF(COUNTA('Procyclean MG'!A392,'Procyclean MG'!B392,'Procyclean MG'!C392)&gt;0,"MG","")</f>
        <v/>
      </c>
      <c r="AB891" t="str">
        <f>IFERROR(IF(ISNUMBER('Procyclean MG'!A392),'Procyclean MG'!A392,DATEVALUE('Procyclean MG'!A392)),"")</f>
        <v/>
      </c>
      <c r="AC891" t="str">
        <f>IF(AA891="","",'Procyclean MG'!B392)</f>
        <v/>
      </c>
      <c r="AD891" t="str">
        <f>IF(AA891="","",IFERROR(1*'Procyclean MG'!C392,IFERROR(_xludf.NUMBERVALUE('Procyclean MG'!C392,".",","),IFERROR(_xludf.NUMBERVALUE('Procyclean MG'!C392,",","."),0))))</f>
        <v/>
      </c>
      <c r="AE891" t="str">
        <f>IF(AA891="","",'Procyclean MG'!I392)</f>
        <v/>
      </c>
      <c r="AF891">
        <f t="shared" si="95"/>
        <v>0</v>
      </c>
      <c r="AG891" t="str">
        <f t="shared" si="96"/>
        <v/>
      </c>
      <c r="AH891" t="str">
        <f t="shared" si="97"/>
        <v/>
      </c>
      <c r="AI891">
        <f t="shared" si="98"/>
        <v>0</v>
      </c>
      <c r="AJ891">
        <f t="shared" si="99"/>
        <v>0</v>
      </c>
      <c r="AK891">
        <v>0</v>
      </c>
      <c r="AL891" t="str">
        <f>IF(AA891="","",IFERROR(IF(ISNUMBER('Procyclean MG'!D392),'Procyclean MG'!D392,IF(ISNUMBER(SEARCH("12",'Procyclean MG'!D392)),EDATE(AB891,12),IF(ISNUMBER(SEARCH("6",'Procyclean MG'!D392)),EDATE(AB891,6),IF(ISNUMBER(SEARCH("3",'Procyclean MG'!D392)),EDATE(AB891,3),DATEVALUE('Procyclean MG'!D392))))),""))</f>
        <v/>
      </c>
      <c r="AM891" t="str">
        <f t="shared" ca="1" si="100"/>
        <v/>
      </c>
    </row>
    <row r="892" spans="27:39" x14ac:dyDescent="0.3">
      <c r="AA892" t="str">
        <f>IF(COUNTA('Procyclean MG'!A393,'Procyclean MG'!B393,'Procyclean MG'!C393)&gt;0,"MG","")</f>
        <v/>
      </c>
      <c r="AB892" t="str">
        <f>IFERROR(IF(ISNUMBER('Procyclean MG'!A393),'Procyclean MG'!A393,DATEVALUE('Procyclean MG'!A393)),"")</f>
        <v/>
      </c>
      <c r="AC892" t="str">
        <f>IF(AA892="","",'Procyclean MG'!B393)</f>
        <v/>
      </c>
      <c r="AD892" t="str">
        <f>IF(AA892="","",IFERROR(1*'Procyclean MG'!C393,IFERROR(_xludf.NUMBERVALUE('Procyclean MG'!C393,".",","),IFERROR(_xludf.NUMBERVALUE('Procyclean MG'!C393,",","."),0))))</f>
        <v/>
      </c>
      <c r="AE892" t="str">
        <f>IF(AA892="","",'Procyclean MG'!I393)</f>
        <v/>
      </c>
      <c r="AF892">
        <f t="shared" si="95"/>
        <v>0</v>
      </c>
      <c r="AG892" t="str">
        <f t="shared" si="96"/>
        <v/>
      </c>
      <c r="AH892" t="str">
        <f t="shared" si="97"/>
        <v/>
      </c>
      <c r="AI892">
        <f t="shared" si="98"/>
        <v>0</v>
      </c>
      <c r="AJ892">
        <f t="shared" si="99"/>
        <v>0</v>
      </c>
      <c r="AK892">
        <v>0</v>
      </c>
      <c r="AL892" t="str">
        <f>IF(AA892="","",IFERROR(IF(ISNUMBER('Procyclean MG'!D393),'Procyclean MG'!D393,IF(ISNUMBER(SEARCH("12",'Procyclean MG'!D393)),EDATE(AB892,12),IF(ISNUMBER(SEARCH("6",'Procyclean MG'!D393)),EDATE(AB892,6),IF(ISNUMBER(SEARCH("3",'Procyclean MG'!D393)),EDATE(AB892,3),DATEVALUE('Procyclean MG'!D393))))),""))</f>
        <v/>
      </c>
      <c r="AM892" t="str">
        <f t="shared" ca="1" si="100"/>
        <v/>
      </c>
    </row>
    <row r="893" spans="27:39" x14ac:dyDescent="0.3">
      <c r="AA893" t="str">
        <f>IF(COUNTA('Procyclean MG'!A394,'Procyclean MG'!B394,'Procyclean MG'!C394)&gt;0,"MG","")</f>
        <v/>
      </c>
      <c r="AB893" t="str">
        <f>IFERROR(IF(ISNUMBER('Procyclean MG'!A394),'Procyclean MG'!A394,DATEVALUE('Procyclean MG'!A394)),"")</f>
        <v/>
      </c>
      <c r="AC893" t="str">
        <f>IF(AA893="","",'Procyclean MG'!B394)</f>
        <v/>
      </c>
      <c r="AD893" t="str">
        <f>IF(AA893="","",IFERROR(1*'Procyclean MG'!C394,IFERROR(_xludf.NUMBERVALUE('Procyclean MG'!C394,".",","),IFERROR(_xludf.NUMBERVALUE('Procyclean MG'!C394,",","."),0))))</f>
        <v/>
      </c>
      <c r="AE893" t="str">
        <f>IF(AA893="","",'Procyclean MG'!I394)</f>
        <v/>
      </c>
      <c r="AF893">
        <f t="shared" si="95"/>
        <v>0</v>
      </c>
      <c r="AG893" t="str">
        <f t="shared" si="96"/>
        <v/>
      </c>
      <c r="AH893" t="str">
        <f t="shared" si="97"/>
        <v/>
      </c>
      <c r="AI893">
        <f t="shared" si="98"/>
        <v>0</v>
      </c>
      <c r="AJ893">
        <f t="shared" si="99"/>
        <v>0</v>
      </c>
      <c r="AK893">
        <v>0</v>
      </c>
      <c r="AL893" t="str">
        <f>IF(AA893="","",IFERROR(IF(ISNUMBER('Procyclean MG'!D394),'Procyclean MG'!D394,IF(ISNUMBER(SEARCH("12",'Procyclean MG'!D394)),EDATE(AB893,12),IF(ISNUMBER(SEARCH("6",'Procyclean MG'!D394)),EDATE(AB893,6),IF(ISNUMBER(SEARCH("3",'Procyclean MG'!D394)),EDATE(AB893,3),DATEVALUE('Procyclean MG'!D394))))),""))</f>
        <v/>
      </c>
      <c r="AM893" t="str">
        <f t="shared" ca="1" si="100"/>
        <v/>
      </c>
    </row>
    <row r="894" spans="27:39" x14ac:dyDescent="0.3">
      <c r="AA894" t="str">
        <f>IF(COUNTA('Procyclean MG'!A395,'Procyclean MG'!B395,'Procyclean MG'!C395)&gt;0,"MG","")</f>
        <v/>
      </c>
      <c r="AB894" t="str">
        <f>IFERROR(IF(ISNUMBER('Procyclean MG'!A395),'Procyclean MG'!A395,DATEVALUE('Procyclean MG'!A395)),"")</f>
        <v/>
      </c>
      <c r="AC894" t="str">
        <f>IF(AA894="","",'Procyclean MG'!B395)</f>
        <v/>
      </c>
      <c r="AD894" t="str">
        <f>IF(AA894="","",IFERROR(1*'Procyclean MG'!C395,IFERROR(_xludf.NUMBERVALUE('Procyclean MG'!C395,".",","),IFERROR(_xludf.NUMBERVALUE('Procyclean MG'!C395,",","."),0))))</f>
        <v/>
      </c>
      <c r="AE894" t="str">
        <f>IF(AA894="","",'Procyclean MG'!I395)</f>
        <v/>
      </c>
      <c r="AF894">
        <f t="shared" si="95"/>
        <v>0</v>
      </c>
      <c r="AG894" t="str">
        <f t="shared" si="96"/>
        <v/>
      </c>
      <c r="AH894" t="str">
        <f t="shared" si="97"/>
        <v/>
      </c>
      <c r="AI894">
        <f t="shared" si="98"/>
        <v>0</v>
      </c>
      <c r="AJ894">
        <f t="shared" si="99"/>
        <v>0</v>
      </c>
      <c r="AK894">
        <v>0</v>
      </c>
      <c r="AL894" t="str">
        <f>IF(AA894="","",IFERROR(IF(ISNUMBER('Procyclean MG'!D395),'Procyclean MG'!D395,IF(ISNUMBER(SEARCH("12",'Procyclean MG'!D395)),EDATE(AB894,12),IF(ISNUMBER(SEARCH("6",'Procyclean MG'!D395)),EDATE(AB894,6),IF(ISNUMBER(SEARCH("3",'Procyclean MG'!D395)),EDATE(AB894,3),DATEVALUE('Procyclean MG'!D395))))),""))</f>
        <v/>
      </c>
      <c r="AM894" t="str">
        <f t="shared" ca="1" si="100"/>
        <v/>
      </c>
    </row>
    <row r="895" spans="27:39" x14ac:dyDescent="0.3">
      <c r="AA895" t="str">
        <f>IF(COUNTA('Procyclean MG'!A396,'Procyclean MG'!B396,'Procyclean MG'!C396)&gt;0,"MG","")</f>
        <v/>
      </c>
      <c r="AB895" t="str">
        <f>IFERROR(IF(ISNUMBER('Procyclean MG'!A396),'Procyclean MG'!A396,DATEVALUE('Procyclean MG'!A396)),"")</f>
        <v/>
      </c>
      <c r="AC895" t="str">
        <f>IF(AA895="","",'Procyclean MG'!B396)</f>
        <v/>
      </c>
      <c r="AD895" t="str">
        <f>IF(AA895="","",IFERROR(1*'Procyclean MG'!C396,IFERROR(_xludf.NUMBERVALUE('Procyclean MG'!C396,".",","),IFERROR(_xludf.NUMBERVALUE('Procyclean MG'!C396,",","."),0))))</f>
        <v/>
      </c>
      <c r="AE895" t="str">
        <f>IF(AA895="","",'Procyclean MG'!I396)</f>
        <v/>
      </c>
      <c r="AF895">
        <f t="shared" si="95"/>
        <v>0</v>
      </c>
      <c r="AG895" t="str">
        <f t="shared" si="96"/>
        <v/>
      </c>
      <c r="AH895" t="str">
        <f t="shared" si="97"/>
        <v/>
      </c>
      <c r="AI895">
        <f t="shared" si="98"/>
        <v>0</v>
      </c>
      <c r="AJ895">
        <f t="shared" si="99"/>
        <v>0</v>
      </c>
      <c r="AK895">
        <v>0</v>
      </c>
      <c r="AL895" t="str">
        <f>IF(AA895="","",IFERROR(IF(ISNUMBER('Procyclean MG'!D396),'Procyclean MG'!D396,IF(ISNUMBER(SEARCH("12",'Procyclean MG'!D396)),EDATE(AB895,12),IF(ISNUMBER(SEARCH("6",'Procyclean MG'!D396)),EDATE(AB895,6),IF(ISNUMBER(SEARCH("3",'Procyclean MG'!D396)),EDATE(AB895,3),DATEVALUE('Procyclean MG'!D396))))),""))</f>
        <v/>
      </c>
      <c r="AM895" t="str">
        <f t="shared" ca="1" si="100"/>
        <v/>
      </c>
    </row>
    <row r="896" spans="27:39" x14ac:dyDescent="0.3">
      <c r="AA896" t="str">
        <f>IF(COUNTA('Procyclean MG'!A397,'Procyclean MG'!B397,'Procyclean MG'!C397)&gt;0,"MG","")</f>
        <v/>
      </c>
      <c r="AB896" t="str">
        <f>IFERROR(IF(ISNUMBER('Procyclean MG'!A397),'Procyclean MG'!A397,DATEVALUE('Procyclean MG'!A397)),"")</f>
        <v/>
      </c>
      <c r="AC896" t="str">
        <f>IF(AA896="","",'Procyclean MG'!B397)</f>
        <v/>
      </c>
      <c r="AD896" t="str">
        <f>IF(AA896="","",IFERROR(1*'Procyclean MG'!C397,IFERROR(_xludf.NUMBERVALUE('Procyclean MG'!C397,".",","),IFERROR(_xludf.NUMBERVALUE('Procyclean MG'!C397,",","."),0))))</f>
        <v/>
      </c>
      <c r="AE896" t="str">
        <f>IF(AA896="","",'Procyclean MG'!I397)</f>
        <v/>
      </c>
      <c r="AF896">
        <f t="shared" si="95"/>
        <v>0</v>
      </c>
      <c r="AG896" t="str">
        <f t="shared" si="96"/>
        <v/>
      </c>
      <c r="AH896" t="str">
        <f t="shared" si="97"/>
        <v/>
      </c>
      <c r="AI896">
        <f t="shared" si="98"/>
        <v>0</v>
      </c>
      <c r="AJ896">
        <f t="shared" si="99"/>
        <v>0</v>
      </c>
      <c r="AK896">
        <v>0</v>
      </c>
      <c r="AL896" t="str">
        <f>IF(AA896="","",IFERROR(IF(ISNUMBER('Procyclean MG'!D397),'Procyclean MG'!D397,IF(ISNUMBER(SEARCH("12",'Procyclean MG'!D397)),EDATE(AB896,12),IF(ISNUMBER(SEARCH("6",'Procyclean MG'!D397)),EDATE(AB896,6),IF(ISNUMBER(SEARCH("3",'Procyclean MG'!D397)),EDATE(AB896,3),DATEVALUE('Procyclean MG'!D397))))),""))</f>
        <v/>
      </c>
      <c r="AM896" t="str">
        <f t="shared" ca="1" si="100"/>
        <v/>
      </c>
    </row>
    <row r="897" spans="27:39" x14ac:dyDescent="0.3">
      <c r="AA897" t="str">
        <f>IF(COUNTA('Procyclean MG'!A398,'Procyclean MG'!B398,'Procyclean MG'!C398)&gt;0,"MG","")</f>
        <v/>
      </c>
      <c r="AB897" t="str">
        <f>IFERROR(IF(ISNUMBER('Procyclean MG'!A398),'Procyclean MG'!A398,DATEVALUE('Procyclean MG'!A398)),"")</f>
        <v/>
      </c>
      <c r="AC897" t="str">
        <f>IF(AA897="","",'Procyclean MG'!B398)</f>
        <v/>
      </c>
      <c r="AD897" t="str">
        <f>IF(AA897="","",IFERROR(1*'Procyclean MG'!C398,IFERROR(_xludf.NUMBERVALUE('Procyclean MG'!C398,".",","),IFERROR(_xludf.NUMBERVALUE('Procyclean MG'!C398,",","."),0))))</f>
        <v/>
      </c>
      <c r="AE897" t="str">
        <f>IF(AA897="","",'Procyclean MG'!I398)</f>
        <v/>
      </c>
      <c r="AF897">
        <f t="shared" si="95"/>
        <v>0</v>
      </c>
      <c r="AG897" t="str">
        <f t="shared" si="96"/>
        <v/>
      </c>
      <c r="AH897" t="str">
        <f t="shared" si="97"/>
        <v/>
      </c>
      <c r="AI897">
        <f t="shared" si="98"/>
        <v>0</v>
      </c>
      <c r="AJ897">
        <f t="shared" si="99"/>
        <v>0</v>
      </c>
      <c r="AK897">
        <v>0</v>
      </c>
      <c r="AL897" t="str">
        <f>IF(AA897="","",IFERROR(IF(ISNUMBER('Procyclean MG'!D398),'Procyclean MG'!D398,IF(ISNUMBER(SEARCH("12",'Procyclean MG'!D398)),EDATE(AB897,12),IF(ISNUMBER(SEARCH("6",'Procyclean MG'!D398)),EDATE(AB897,6),IF(ISNUMBER(SEARCH("3",'Procyclean MG'!D398)),EDATE(AB897,3),DATEVALUE('Procyclean MG'!D398))))),""))</f>
        <v/>
      </c>
      <c r="AM897" t="str">
        <f t="shared" ca="1" si="100"/>
        <v/>
      </c>
    </row>
    <row r="898" spans="27:39" x14ac:dyDescent="0.3">
      <c r="AA898" t="str">
        <f>IF(COUNTA('Procyclean MG'!A399,'Procyclean MG'!B399,'Procyclean MG'!C399)&gt;0,"MG","")</f>
        <v/>
      </c>
      <c r="AB898" t="str">
        <f>IFERROR(IF(ISNUMBER('Procyclean MG'!A399),'Procyclean MG'!A399,DATEVALUE('Procyclean MG'!A399)),"")</f>
        <v/>
      </c>
      <c r="AC898" t="str">
        <f>IF(AA898="","",'Procyclean MG'!B399)</f>
        <v/>
      </c>
      <c r="AD898" t="str">
        <f>IF(AA898="","",IFERROR(1*'Procyclean MG'!C399,IFERROR(_xludf.NUMBERVALUE('Procyclean MG'!C399,".",","),IFERROR(_xludf.NUMBERVALUE('Procyclean MG'!C399,",","."),0))))</f>
        <v/>
      </c>
      <c r="AE898" t="str">
        <f>IF(AA898="","",'Procyclean MG'!I399)</f>
        <v/>
      </c>
      <c r="AF898">
        <f t="shared" ref="AF898:AF961" si="101">IF(AA898="",0,--AND(ISNUMBER(SEARCH("aprov",AE898)),NOT(ISNUMBER(SEARCH("reprov",AE898)))))</f>
        <v>0</v>
      </c>
      <c r="AG898" t="str">
        <f t="shared" ref="AG898:AG961" si="102">IF(AB898="","",YEAR(AB898))</f>
        <v/>
      </c>
      <c r="AH898" t="str">
        <f t="shared" ref="AH898:AH961" si="103">IF(AB898="","",MONTH(AB898))</f>
        <v/>
      </c>
      <c r="AI898">
        <f t="shared" ref="AI898:AI961" si="104">IF(AB898="",0,AB898+ROW()/1000000)</f>
        <v>0</v>
      </c>
      <c r="AJ898">
        <f t="shared" ref="AJ898:AJ961" si="105">--(AA898&lt;&gt;"")</f>
        <v>0</v>
      </c>
      <c r="AK898">
        <v>0</v>
      </c>
      <c r="AL898" t="str">
        <f>IF(AA898="","",IFERROR(IF(ISNUMBER('Procyclean MG'!D399),'Procyclean MG'!D399,IF(ISNUMBER(SEARCH("12",'Procyclean MG'!D399)),EDATE(AB898,12),IF(ISNUMBER(SEARCH("6",'Procyclean MG'!D399)),EDATE(AB898,6),IF(ISNUMBER(SEARCH("3",'Procyclean MG'!D399)),EDATE(AB898,3),DATEVALUE('Procyclean MG'!D399))))),""))</f>
        <v/>
      </c>
      <c r="AM898" t="str">
        <f t="shared" ref="AM898:AM961" ca="1" si="106">IF(AND(AJ898=1,AL898&lt;&gt;"",AL898&gt;=TODAY(),AG898=$W$3),AL898+ROW()/1000000,"")</f>
        <v/>
      </c>
    </row>
    <row r="899" spans="27:39" x14ac:dyDescent="0.3">
      <c r="AA899" t="str">
        <f>IF(COUNTA('Procyclean MG'!A400,'Procyclean MG'!B400,'Procyclean MG'!C400)&gt;0,"MG","")</f>
        <v/>
      </c>
      <c r="AB899" t="str">
        <f>IFERROR(IF(ISNUMBER('Procyclean MG'!A400),'Procyclean MG'!A400,DATEVALUE('Procyclean MG'!A400)),"")</f>
        <v/>
      </c>
      <c r="AC899" t="str">
        <f>IF(AA899="","",'Procyclean MG'!B400)</f>
        <v/>
      </c>
      <c r="AD899" t="str">
        <f>IF(AA899="","",IFERROR(1*'Procyclean MG'!C400,IFERROR(_xludf.NUMBERVALUE('Procyclean MG'!C400,".",","),IFERROR(_xludf.NUMBERVALUE('Procyclean MG'!C400,",","."),0))))</f>
        <v/>
      </c>
      <c r="AE899" t="str">
        <f>IF(AA899="","",'Procyclean MG'!I400)</f>
        <v/>
      </c>
      <c r="AF899">
        <f t="shared" si="101"/>
        <v>0</v>
      </c>
      <c r="AG899" t="str">
        <f t="shared" si="102"/>
        <v/>
      </c>
      <c r="AH899" t="str">
        <f t="shared" si="103"/>
        <v/>
      </c>
      <c r="AI899">
        <f t="shared" si="104"/>
        <v>0</v>
      </c>
      <c r="AJ899">
        <f t="shared" si="105"/>
        <v>0</v>
      </c>
      <c r="AK899">
        <v>0</v>
      </c>
      <c r="AL899" t="str">
        <f>IF(AA899="","",IFERROR(IF(ISNUMBER('Procyclean MG'!D400),'Procyclean MG'!D400,IF(ISNUMBER(SEARCH("12",'Procyclean MG'!D400)),EDATE(AB899,12),IF(ISNUMBER(SEARCH("6",'Procyclean MG'!D400)),EDATE(AB899,6),IF(ISNUMBER(SEARCH("3",'Procyclean MG'!D400)),EDATE(AB899,3),DATEVALUE('Procyclean MG'!D400))))),""))</f>
        <v/>
      </c>
      <c r="AM899" t="str">
        <f t="shared" ca="1" si="106"/>
        <v/>
      </c>
    </row>
    <row r="900" spans="27:39" x14ac:dyDescent="0.3">
      <c r="AA900" t="str">
        <f>IF(COUNTA('Procyclean MG'!A401,'Procyclean MG'!B401,'Procyclean MG'!C401)&gt;0,"MG","")</f>
        <v/>
      </c>
      <c r="AB900" t="str">
        <f>IFERROR(IF(ISNUMBER('Procyclean MG'!A401),'Procyclean MG'!A401,DATEVALUE('Procyclean MG'!A401)),"")</f>
        <v/>
      </c>
      <c r="AC900" t="str">
        <f>IF(AA900="","",'Procyclean MG'!B401)</f>
        <v/>
      </c>
      <c r="AD900" t="str">
        <f>IF(AA900="","",IFERROR(1*'Procyclean MG'!C401,IFERROR(_xludf.NUMBERVALUE('Procyclean MG'!C401,".",","),IFERROR(_xludf.NUMBERVALUE('Procyclean MG'!C401,",","."),0))))</f>
        <v/>
      </c>
      <c r="AE900" t="str">
        <f>IF(AA900="","",'Procyclean MG'!I401)</f>
        <v/>
      </c>
      <c r="AF900">
        <f t="shared" si="101"/>
        <v>0</v>
      </c>
      <c r="AG900" t="str">
        <f t="shared" si="102"/>
        <v/>
      </c>
      <c r="AH900" t="str">
        <f t="shared" si="103"/>
        <v/>
      </c>
      <c r="AI900">
        <f t="shared" si="104"/>
        <v>0</v>
      </c>
      <c r="AJ900">
        <f t="shared" si="105"/>
        <v>0</v>
      </c>
      <c r="AK900">
        <v>0</v>
      </c>
      <c r="AL900" t="str">
        <f>IF(AA900="","",IFERROR(IF(ISNUMBER('Procyclean MG'!D401),'Procyclean MG'!D401,IF(ISNUMBER(SEARCH("12",'Procyclean MG'!D401)),EDATE(AB900,12),IF(ISNUMBER(SEARCH("6",'Procyclean MG'!D401)),EDATE(AB900,6),IF(ISNUMBER(SEARCH("3",'Procyclean MG'!D401)),EDATE(AB900,3),DATEVALUE('Procyclean MG'!D401))))),""))</f>
        <v/>
      </c>
      <c r="AM900" t="str">
        <f t="shared" ca="1" si="106"/>
        <v/>
      </c>
    </row>
    <row r="901" spans="27:39" x14ac:dyDescent="0.3">
      <c r="AA901" t="str">
        <f>IF(COUNTA('Procyclean MG'!A402,'Procyclean MG'!B402,'Procyclean MG'!C402)&gt;0,"MG","")</f>
        <v/>
      </c>
      <c r="AB901" t="str">
        <f>IFERROR(IF(ISNUMBER('Procyclean MG'!A402),'Procyclean MG'!A402,DATEVALUE('Procyclean MG'!A402)),"")</f>
        <v/>
      </c>
      <c r="AC901" t="str">
        <f>IF(AA901="","",'Procyclean MG'!B402)</f>
        <v/>
      </c>
      <c r="AD901" t="str">
        <f>IF(AA901="","",IFERROR(1*'Procyclean MG'!C402,IFERROR(_xludf.NUMBERVALUE('Procyclean MG'!C402,".",","),IFERROR(_xludf.NUMBERVALUE('Procyclean MG'!C402,",","."),0))))</f>
        <v/>
      </c>
      <c r="AE901" t="str">
        <f>IF(AA901="","",'Procyclean MG'!I402)</f>
        <v/>
      </c>
      <c r="AF901">
        <f t="shared" si="101"/>
        <v>0</v>
      </c>
      <c r="AG901" t="str">
        <f t="shared" si="102"/>
        <v/>
      </c>
      <c r="AH901" t="str">
        <f t="shared" si="103"/>
        <v/>
      </c>
      <c r="AI901">
        <f t="shared" si="104"/>
        <v>0</v>
      </c>
      <c r="AJ901">
        <f t="shared" si="105"/>
        <v>0</v>
      </c>
      <c r="AK901">
        <v>0</v>
      </c>
      <c r="AL901" t="str">
        <f>IF(AA901="","",IFERROR(IF(ISNUMBER('Procyclean MG'!D402),'Procyclean MG'!D402,IF(ISNUMBER(SEARCH("12",'Procyclean MG'!D402)),EDATE(AB901,12),IF(ISNUMBER(SEARCH("6",'Procyclean MG'!D402)),EDATE(AB901,6),IF(ISNUMBER(SEARCH("3",'Procyclean MG'!D402)),EDATE(AB901,3),DATEVALUE('Procyclean MG'!D402))))),""))</f>
        <v/>
      </c>
      <c r="AM901" t="str">
        <f t="shared" ca="1" si="106"/>
        <v/>
      </c>
    </row>
    <row r="902" spans="27:39" x14ac:dyDescent="0.3">
      <c r="AA902" t="str">
        <f>IF(COUNTA('Procyclean MG'!A403,'Procyclean MG'!B403,'Procyclean MG'!C403)&gt;0,"MG","")</f>
        <v/>
      </c>
      <c r="AB902" t="str">
        <f>IFERROR(IF(ISNUMBER('Procyclean MG'!A403),'Procyclean MG'!A403,DATEVALUE('Procyclean MG'!A403)),"")</f>
        <v/>
      </c>
      <c r="AC902" t="str">
        <f>IF(AA902="","",'Procyclean MG'!B403)</f>
        <v/>
      </c>
      <c r="AD902" t="str">
        <f>IF(AA902="","",IFERROR(1*'Procyclean MG'!C403,IFERROR(_xludf.NUMBERVALUE('Procyclean MG'!C403,".",","),IFERROR(_xludf.NUMBERVALUE('Procyclean MG'!C403,",","."),0))))</f>
        <v/>
      </c>
      <c r="AE902" t="str">
        <f>IF(AA902="","",'Procyclean MG'!I403)</f>
        <v/>
      </c>
      <c r="AF902">
        <f t="shared" si="101"/>
        <v>0</v>
      </c>
      <c r="AG902" t="str">
        <f t="shared" si="102"/>
        <v/>
      </c>
      <c r="AH902" t="str">
        <f t="shared" si="103"/>
        <v/>
      </c>
      <c r="AI902">
        <f t="shared" si="104"/>
        <v>0</v>
      </c>
      <c r="AJ902">
        <f t="shared" si="105"/>
        <v>0</v>
      </c>
      <c r="AK902">
        <v>0</v>
      </c>
      <c r="AL902" t="str">
        <f>IF(AA902="","",IFERROR(IF(ISNUMBER('Procyclean MG'!D403),'Procyclean MG'!D403,IF(ISNUMBER(SEARCH("12",'Procyclean MG'!D403)),EDATE(AB902,12),IF(ISNUMBER(SEARCH("6",'Procyclean MG'!D403)),EDATE(AB902,6),IF(ISNUMBER(SEARCH("3",'Procyclean MG'!D403)),EDATE(AB902,3),DATEVALUE('Procyclean MG'!D403))))),""))</f>
        <v/>
      </c>
      <c r="AM902" t="str">
        <f t="shared" ca="1" si="106"/>
        <v/>
      </c>
    </row>
    <row r="903" spans="27:39" x14ac:dyDescent="0.3">
      <c r="AA903" t="str">
        <f>IF(COUNTA('Procyclean MG'!A404,'Procyclean MG'!B404,'Procyclean MG'!C404)&gt;0,"MG","")</f>
        <v/>
      </c>
      <c r="AB903" t="str">
        <f>IFERROR(IF(ISNUMBER('Procyclean MG'!A404),'Procyclean MG'!A404,DATEVALUE('Procyclean MG'!A404)),"")</f>
        <v/>
      </c>
      <c r="AC903" t="str">
        <f>IF(AA903="","",'Procyclean MG'!B404)</f>
        <v/>
      </c>
      <c r="AD903" t="str">
        <f>IF(AA903="","",IFERROR(1*'Procyclean MG'!C404,IFERROR(_xludf.NUMBERVALUE('Procyclean MG'!C404,".",","),IFERROR(_xludf.NUMBERVALUE('Procyclean MG'!C404,",","."),0))))</f>
        <v/>
      </c>
      <c r="AE903" t="str">
        <f>IF(AA903="","",'Procyclean MG'!I404)</f>
        <v/>
      </c>
      <c r="AF903">
        <f t="shared" si="101"/>
        <v>0</v>
      </c>
      <c r="AG903" t="str">
        <f t="shared" si="102"/>
        <v/>
      </c>
      <c r="AH903" t="str">
        <f t="shared" si="103"/>
        <v/>
      </c>
      <c r="AI903">
        <f t="shared" si="104"/>
        <v>0</v>
      </c>
      <c r="AJ903">
        <f t="shared" si="105"/>
        <v>0</v>
      </c>
      <c r="AK903">
        <v>0</v>
      </c>
      <c r="AL903" t="str">
        <f>IF(AA903="","",IFERROR(IF(ISNUMBER('Procyclean MG'!D404),'Procyclean MG'!D404,IF(ISNUMBER(SEARCH("12",'Procyclean MG'!D404)),EDATE(AB903,12),IF(ISNUMBER(SEARCH("6",'Procyclean MG'!D404)),EDATE(AB903,6),IF(ISNUMBER(SEARCH("3",'Procyclean MG'!D404)),EDATE(AB903,3),DATEVALUE('Procyclean MG'!D404))))),""))</f>
        <v/>
      </c>
      <c r="AM903" t="str">
        <f t="shared" ca="1" si="106"/>
        <v/>
      </c>
    </row>
    <row r="904" spans="27:39" x14ac:dyDescent="0.3">
      <c r="AA904" t="str">
        <f>IF(COUNTA('Procyclean MG'!A405,'Procyclean MG'!B405,'Procyclean MG'!C405)&gt;0,"MG","")</f>
        <v/>
      </c>
      <c r="AB904" t="str">
        <f>IFERROR(IF(ISNUMBER('Procyclean MG'!A405),'Procyclean MG'!A405,DATEVALUE('Procyclean MG'!A405)),"")</f>
        <v/>
      </c>
      <c r="AC904" t="str">
        <f>IF(AA904="","",'Procyclean MG'!B405)</f>
        <v/>
      </c>
      <c r="AD904" t="str">
        <f>IF(AA904="","",IFERROR(1*'Procyclean MG'!C405,IFERROR(_xludf.NUMBERVALUE('Procyclean MG'!C405,".",","),IFERROR(_xludf.NUMBERVALUE('Procyclean MG'!C405,",","."),0))))</f>
        <v/>
      </c>
      <c r="AE904" t="str">
        <f>IF(AA904="","",'Procyclean MG'!I405)</f>
        <v/>
      </c>
      <c r="AF904">
        <f t="shared" si="101"/>
        <v>0</v>
      </c>
      <c r="AG904" t="str">
        <f t="shared" si="102"/>
        <v/>
      </c>
      <c r="AH904" t="str">
        <f t="shared" si="103"/>
        <v/>
      </c>
      <c r="AI904">
        <f t="shared" si="104"/>
        <v>0</v>
      </c>
      <c r="AJ904">
        <f t="shared" si="105"/>
        <v>0</v>
      </c>
      <c r="AK904">
        <v>0</v>
      </c>
      <c r="AL904" t="str">
        <f>IF(AA904="","",IFERROR(IF(ISNUMBER('Procyclean MG'!D405),'Procyclean MG'!D405,IF(ISNUMBER(SEARCH("12",'Procyclean MG'!D405)),EDATE(AB904,12),IF(ISNUMBER(SEARCH("6",'Procyclean MG'!D405)),EDATE(AB904,6),IF(ISNUMBER(SEARCH("3",'Procyclean MG'!D405)),EDATE(AB904,3),DATEVALUE('Procyclean MG'!D405))))),""))</f>
        <v/>
      </c>
      <c r="AM904" t="str">
        <f t="shared" ca="1" si="106"/>
        <v/>
      </c>
    </row>
    <row r="905" spans="27:39" x14ac:dyDescent="0.3">
      <c r="AA905" t="str">
        <f>IF(COUNTA('Procyclean MG'!A406,'Procyclean MG'!B406,'Procyclean MG'!C406)&gt;0,"MG","")</f>
        <v/>
      </c>
      <c r="AB905" t="str">
        <f>IFERROR(IF(ISNUMBER('Procyclean MG'!A406),'Procyclean MG'!A406,DATEVALUE('Procyclean MG'!A406)),"")</f>
        <v/>
      </c>
      <c r="AC905" t="str">
        <f>IF(AA905="","",'Procyclean MG'!B406)</f>
        <v/>
      </c>
      <c r="AD905" t="str">
        <f>IF(AA905="","",IFERROR(1*'Procyclean MG'!C406,IFERROR(_xludf.NUMBERVALUE('Procyclean MG'!C406,".",","),IFERROR(_xludf.NUMBERVALUE('Procyclean MG'!C406,",","."),0))))</f>
        <v/>
      </c>
      <c r="AE905" t="str">
        <f>IF(AA905="","",'Procyclean MG'!I406)</f>
        <v/>
      </c>
      <c r="AF905">
        <f t="shared" si="101"/>
        <v>0</v>
      </c>
      <c r="AG905" t="str">
        <f t="shared" si="102"/>
        <v/>
      </c>
      <c r="AH905" t="str">
        <f t="shared" si="103"/>
        <v/>
      </c>
      <c r="AI905">
        <f t="shared" si="104"/>
        <v>0</v>
      </c>
      <c r="AJ905">
        <f t="shared" si="105"/>
        <v>0</v>
      </c>
      <c r="AK905">
        <v>0</v>
      </c>
      <c r="AL905" t="str">
        <f>IF(AA905="","",IFERROR(IF(ISNUMBER('Procyclean MG'!D406),'Procyclean MG'!D406,IF(ISNUMBER(SEARCH("12",'Procyclean MG'!D406)),EDATE(AB905,12),IF(ISNUMBER(SEARCH("6",'Procyclean MG'!D406)),EDATE(AB905,6),IF(ISNUMBER(SEARCH("3",'Procyclean MG'!D406)),EDATE(AB905,3),DATEVALUE('Procyclean MG'!D406))))),""))</f>
        <v/>
      </c>
      <c r="AM905" t="str">
        <f t="shared" ca="1" si="106"/>
        <v/>
      </c>
    </row>
    <row r="906" spans="27:39" x14ac:dyDescent="0.3">
      <c r="AA906" t="str">
        <f>IF(COUNTA('Procyclean MG'!A407,'Procyclean MG'!B407,'Procyclean MG'!C407)&gt;0,"MG","")</f>
        <v/>
      </c>
      <c r="AB906" t="str">
        <f>IFERROR(IF(ISNUMBER('Procyclean MG'!A407),'Procyclean MG'!A407,DATEVALUE('Procyclean MG'!A407)),"")</f>
        <v/>
      </c>
      <c r="AC906" t="str">
        <f>IF(AA906="","",'Procyclean MG'!B407)</f>
        <v/>
      </c>
      <c r="AD906" t="str">
        <f>IF(AA906="","",IFERROR(1*'Procyclean MG'!C407,IFERROR(_xludf.NUMBERVALUE('Procyclean MG'!C407,".",","),IFERROR(_xludf.NUMBERVALUE('Procyclean MG'!C407,",","."),0))))</f>
        <v/>
      </c>
      <c r="AE906" t="str">
        <f>IF(AA906="","",'Procyclean MG'!I407)</f>
        <v/>
      </c>
      <c r="AF906">
        <f t="shared" si="101"/>
        <v>0</v>
      </c>
      <c r="AG906" t="str">
        <f t="shared" si="102"/>
        <v/>
      </c>
      <c r="AH906" t="str">
        <f t="shared" si="103"/>
        <v/>
      </c>
      <c r="AI906">
        <f t="shared" si="104"/>
        <v>0</v>
      </c>
      <c r="AJ906">
        <f t="shared" si="105"/>
        <v>0</v>
      </c>
      <c r="AK906">
        <v>0</v>
      </c>
      <c r="AL906" t="str">
        <f>IF(AA906="","",IFERROR(IF(ISNUMBER('Procyclean MG'!D407),'Procyclean MG'!D407,IF(ISNUMBER(SEARCH("12",'Procyclean MG'!D407)),EDATE(AB906,12),IF(ISNUMBER(SEARCH("6",'Procyclean MG'!D407)),EDATE(AB906,6),IF(ISNUMBER(SEARCH("3",'Procyclean MG'!D407)),EDATE(AB906,3),DATEVALUE('Procyclean MG'!D407))))),""))</f>
        <v/>
      </c>
      <c r="AM906" t="str">
        <f t="shared" ca="1" si="106"/>
        <v/>
      </c>
    </row>
    <row r="907" spans="27:39" x14ac:dyDescent="0.3">
      <c r="AA907" t="str">
        <f>IF(COUNTA('Procyclean MG'!A408,'Procyclean MG'!B408,'Procyclean MG'!C408)&gt;0,"MG","")</f>
        <v/>
      </c>
      <c r="AB907" t="str">
        <f>IFERROR(IF(ISNUMBER('Procyclean MG'!A408),'Procyclean MG'!A408,DATEVALUE('Procyclean MG'!A408)),"")</f>
        <v/>
      </c>
      <c r="AC907" t="str">
        <f>IF(AA907="","",'Procyclean MG'!B408)</f>
        <v/>
      </c>
      <c r="AD907" t="str">
        <f>IF(AA907="","",IFERROR(1*'Procyclean MG'!C408,IFERROR(_xludf.NUMBERVALUE('Procyclean MG'!C408,".",","),IFERROR(_xludf.NUMBERVALUE('Procyclean MG'!C408,",","."),0))))</f>
        <v/>
      </c>
      <c r="AE907" t="str">
        <f>IF(AA907="","",'Procyclean MG'!I408)</f>
        <v/>
      </c>
      <c r="AF907">
        <f t="shared" si="101"/>
        <v>0</v>
      </c>
      <c r="AG907" t="str">
        <f t="shared" si="102"/>
        <v/>
      </c>
      <c r="AH907" t="str">
        <f t="shared" si="103"/>
        <v/>
      </c>
      <c r="AI907">
        <f t="shared" si="104"/>
        <v>0</v>
      </c>
      <c r="AJ907">
        <f t="shared" si="105"/>
        <v>0</v>
      </c>
      <c r="AK907">
        <v>0</v>
      </c>
      <c r="AL907" t="str">
        <f>IF(AA907="","",IFERROR(IF(ISNUMBER('Procyclean MG'!D408),'Procyclean MG'!D408,IF(ISNUMBER(SEARCH("12",'Procyclean MG'!D408)),EDATE(AB907,12),IF(ISNUMBER(SEARCH("6",'Procyclean MG'!D408)),EDATE(AB907,6),IF(ISNUMBER(SEARCH("3",'Procyclean MG'!D408)),EDATE(AB907,3),DATEVALUE('Procyclean MG'!D408))))),""))</f>
        <v/>
      </c>
      <c r="AM907" t="str">
        <f t="shared" ca="1" si="106"/>
        <v/>
      </c>
    </row>
    <row r="908" spans="27:39" x14ac:dyDescent="0.3">
      <c r="AA908" t="str">
        <f>IF(COUNTA('Procyclean MG'!A409,'Procyclean MG'!B409,'Procyclean MG'!C409)&gt;0,"MG","")</f>
        <v/>
      </c>
      <c r="AB908" t="str">
        <f>IFERROR(IF(ISNUMBER('Procyclean MG'!A409),'Procyclean MG'!A409,DATEVALUE('Procyclean MG'!A409)),"")</f>
        <v/>
      </c>
      <c r="AC908" t="str">
        <f>IF(AA908="","",'Procyclean MG'!B409)</f>
        <v/>
      </c>
      <c r="AD908" t="str">
        <f>IF(AA908="","",IFERROR(1*'Procyclean MG'!C409,IFERROR(_xludf.NUMBERVALUE('Procyclean MG'!C409,".",","),IFERROR(_xludf.NUMBERVALUE('Procyclean MG'!C409,",","."),0))))</f>
        <v/>
      </c>
      <c r="AE908" t="str">
        <f>IF(AA908="","",'Procyclean MG'!I409)</f>
        <v/>
      </c>
      <c r="AF908">
        <f t="shared" si="101"/>
        <v>0</v>
      </c>
      <c r="AG908" t="str">
        <f t="shared" si="102"/>
        <v/>
      </c>
      <c r="AH908" t="str">
        <f t="shared" si="103"/>
        <v/>
      </c>
      <c r="AI908">
        <f t="shared" si="104"/>
        <v>0</v>
      </c>
      <c r="AJ908">
        <f t="shared" si="105"/>
        <v>0</v>
      </c>
      <c r="AK908">
        <v>0</v>
      </c>
      <c r="AL908" t="str">
        <f>IF(AA908="","",IFERROR(IF(ISNUMBER('Procyclean MG'!D409),'Procyclean MG'!D409,IF(ISNUMBER(SEARCH("12",'Procyclean MG'!D409)),EDATE(AB908,12),IF(ISNUMBER(SEARCH("6",'Procyclean MG'!D409)),EDATE(AB908,6),IF(ISNUMBER(SEARCH("3",'Procyclean MG'!D409)),EDATE(AB908,3),DATEVALUE('Procyclean MG'!D409))))),""))</f>
        <v/>
      </c>
      <c r="AM908" t="str">
        <f t="shared" ca="1" si="106"/>
        <v/>
      </c>
    </row>
    <row r="909" spans="27:39" x14ac:dyDescent="0.3">
      <c r="AA909" t="str">
        <f>IF(COUNTA('Procyclean MG'!A410,'Procyclean MG'!B410,'Procyclean MG'!C410)&gt;0,"MG","")</f>
        <v/>
      </c>
      <c r="AB909" t="str">
        <f>IFERROR(IF(ISNUMBER('Procyclean MG'!A410),'Procyclean MG'!A410,DATEVALUE('Procyclean MG'!A410)),"")</f>
        <v/>
      </c>
      <c r="AC909" t="str">
        <f>IF(AA909="","",'Procyclean MG'!B410)</f>
        <v/>
      </c>
      <c r="AD909" t="str">
        <f>IF(AA909="","",IFERROR(1*'Procyclean MG'!C410,IFERROR(_xludf.NUMBERVALUE('Procyclean MG'!C410,".",","),IFERROR(_xludf.NUMBERVALUE('Procyclean MG'!C410,",","."),0))))</f>
        <v/>
      </c>
      <c r="AE909" t="str">
        <f>IF(AA909="","",'Procyclean MG'!I410)</f>
        <v/>
      </c>
      <c r="AF909">
        <f t="shared" si="101"/>
        <v>0</v>
      </c>
      <c r="AG909" t="str">
        <f t="shared" si="102"/>
        <v/>
      </c>
      <c r="AH909" t="str">
        <f t="shared" si="103"/>
        <v/>
      </c>
      <c r="AI909">
        <f t="shared" si="104"/>
        <v>0</v>
      </c>
      <c r="AJ909">
        <f t="shared" si="105"/>
        <v>0</v>
      </c>
      <c r="AK909">
        <v>0</v>
      </c>
      <c r="AL909" t="str">
        <f>IF(AA909="","",IFERROR(IF(ISNUMBER('Procyclean MG'!D410),'Procyclean MG'!D410,IF(ISNUMBER(SEARCH("12",'Procyclean MG'!D410)),EDATE(AB909,12),IF(ISNUMBER(SEARCH("6",'Procyclean MG'!D410)),EDATE(AB909,6),IF(ISNUMBER(SEARCH("3",'Procyclean MG'!D410)),EDATE(AB909,3),DATEVALUE('Procyclean MG'!D410))))),""))</f>
        <v/>
      </c>
      <c r="AM909" t="str">
        <f t="shared" ca="1" si="106"/>
        <v/>
      </c>
    </row>
    <row r="910" spans="27:39" x14ac:dyDescent="0.3">
      <c r="AA910" t="str">
        <f>IF(COUNTA('Procyclean MG'!A411,'Procyclean MG'!B411,'Procyclean MG'!C411)&gt;0,"MG","")</f>
        <v/>
      </c>
      <c r="AB910" t="str">
        <f>IFERROR(IF(ISNUMBER('Procyclean MG'!A411),'Procyclean MG'!A411,DATEVALUE('Procyclean MG'!A411)),"")</f>
        <v/>
      </c>
      <c r="AC910" t="str">
        <f>IF(AA910="","",'Procyclean MG'!B411)</f>
        <v/>
      </c>
      <c r="AD910" t="str">
        <f>IF(AA910="","",IFERROR(1*'Procyclean MG'!C411,IFERROR(_xludf.NUMBERVALUE('Procyclean MG'!C411,".",","),IFERROR(_xludf.NUMBERVALUE('Procyclean MG'!C411,",","."),0))))</f>
        <v/>
      </c>
      <c r="AE910" t="str">
        <f>IF(AA910="","",'Procyclean MG'!I411)</f>
        <v/>
      </c>
      <c r="AF910">
        <f t="shared" si="101"/>
        <v>0</v>
      </c>
      <c r="AG910" t="str">
        <f t="shared" si="102"/>
        <v/>
      </c>
      <c r="AH910" t="str">
        <f t="shared" si="103"/>
        <v/>
      </c>
      <c r="AI910">
        <f t="shared" si="104"/>
        <v>0</v>
      </c>
      <c r="AJ910">
        <f t="shared" si="105"/>
        <v>0</v>
      </c>
      <c r="AK910">
        <v>0</v>
      </c>
      <c r="AL910" t="str">
        <f>IF(AA910="","",IFERROR(IF(ISNUMBER('Procyclean MG'!D411),'Procyclean MG'!D411,IF(ISNUMBER(SEARCH("12",'Procyclean MG'!D411)),EDATE(AB910,12),IF(ISNUMBER(SEARCH("6",'Procyclean MG'!D411)),EDATE(AB910,6),IF(ISNUMBER(SEARCH("3",'Procyclean MG'!D411)),EDATE(AB910,3),DATEVALUE('Procyclean MG'!D411))))),""))</f>
        <v/>
      </c>
      <c r="AM910" t="str">
        <f t="shared" ca="1" si="106"/>
        <v/>
      </c>
    </row>
    <row r="911" spans="27:39" x14ac:dyDescent="0.3">
      <c r="AA911" t="str">
        <f>IF(COUNTA('Procyclean MG'!A412,'Procyclean MG'!B412,'Procyclean MG'!C412)&gt;0,"MG","")</f>
        <v/>
      </c>
      <c r="AB911" t="str">
        <f>IFERROR(IF(ISNUMBER('Procyclean MG'!A412),'Procyclean MG'!A412,DATEVALUE('Procyclean MG'!A412)),"")</f>
        <v/>
      </c>
      <c r="AC911" t="str">
        <f>IF(AA911="","",'Procyclean MG'!B412)</f>
        <v/>
      </c>
      <c r="AD911" t="str">
        <f>IF(AA911="","",IFERROR(1*'Procyclean MG'!C412,IFERROR(_xludf.NUMBERVALUE('Procyclean MG'!C412,".",","),IFERROR(_xludf.NUMBERVALUE('Procyclean MG'!C412,",","."),0))))</f>
        <v/>
      </c>
      <c r="AE911" t="str">
        <f>IF(AA911="","",'Procyclean MG'!I412)</f>
        <v/>
      </c>
      <c r="AF911">
        <f t="shared" si="101"/>
        <v>0</v>
      </c>
      <c r="AG911" t="str">
        <f t="shared" si="102"/>
        <v/>
      </c>
      <c r="AH911" t="str">
        <f t="shared" si="103"/>
        <v/>
      </c>
      <c r="AI911">
        <f t="shared" si="104"/>
        <v>0</v>
      </c>
      <c r="AJ911">
        <f t="shared" si="105"/>
        <v>0</v>
      </c>
      <c r="AK911">
        <v>0</v>
      </c>
      <c r="AL911" t="str">
        <f>IF(AA911="","",IFERROR(IF(ISNUMBER('Procyclean MG'!D412),'Procyclean MG'!D412,IF(ISNUMBER(SEARCH("12",'Procyclean MG'!D412)),EDATE(AB911,12),IF(ISNUMBER(SEARCH("6",'Procyclean MG'!D412)),EDATE(AB911,6),IF(ISNUMBER(SEARCH("3",'Procyclean MG'!D412)),EDATE(AB911,3),DATEVALUE('Procyclean MG'!D412))))),""))</f>
        <v/>
      </c>
      <c r="AM911" t="str">
        <f t="shared" ca="1" si="106"/>
        <v/>
      </c>
    </row>
    <row r="912" spans="27:39" x14ac:dyDescent="0.3">
      <c r="AA912" t="str">
        <f>IF(COUNTA('Procyclean MG'!A413,'Procyclean MG'!B413,'Procyclean MG'!C413)&gt;0,"MG","")</f>
        <v/>
      </c>
      <c r="AB912" t="str">
        <f>IFERROR(IF(ISNUMBER('Procyclean MG'!A413),'Procyclean MG'!A413,DATEVALUE('Procyclean MG'!A413)),"")</f>
        <v/>
      </c>
      <c r="AC912" t="str">
        <f>IF(AA912="","",'Procyclean MG'!B413)</f>
        <v/>
      </c>
      <c r="AD912" t="str">
        <f>IF(AA912="","",IFERROR(1*'Procyclean MG'!C413,IFERROR(_xludf.NUMBERVALUE('Procyclean MG'!C413,".",","),IFERROR(_xludf.NUMBERVALUE('Procyclean MG'!C413,",","."),0))))</f>
        <v/>
      </c>
      <c r="AE912" t="str">
        <f>IF(AA912="","",'Procyclean MG'!I413)</f>
        <v/>
      </c>
      <c r="AF912">
        <f t="shared" si="101"/>
        <v>0</v>
      </c>
      <c r="AG912" t="str">
        <f t="shared" si="102"/>
        <v/>
      </c>
      <c r="AH912" t="str">
        <f t="shared" si="103"/>
        <v/>
      </c>
      <c r="AI912">
        <f t="shared" si="104"/>
        <v>0</v>
      </c>
      <c r="AJ912">
        <f t="shared" si="105"/>
        <v>0</v>
      </c>
      <c r="AK912">
        <v>0</v>
      </c>
      <c r="AL912" t="str">
        <f>IF(AA912="","",IFERROR(IF(ISNUMBER('Procyclean MG'!D413),'Procyclean MG'!D413,IF(ISNUMBER(SEARCH("12",'Procyclean MG'!D413)),EDATE(AB912,12),IF(ISNUMBER(SEARCH("6",'Procyclean MG'!D413)),EDATE(AB912,6),IF(ISNUMBER(SEARCH("3",'Procyclean MG'!D413)),EDATE(AB912,3),DATEVALUE('Procyclean MG'!D413))))),""))</f>
        <v/>
      </c>
      <c r="AM912" t="str">
        <f t="shared" ca="1" si="106"/>
        <v/>
      </c>
    </row>
    <row r="913" spans="27:39" x14ac:dyDescent="0.3">
      <c r="AA913" t="str">
        <f>IF(COUNTA('Procyclean MG'!A414,'Procyclean MG'!B414,'Procyclean MG'!C414)&gt;0,"MG","")</f>
        <v/>
      </c>
      <c r="AB913" t="str">
        <f>IFERROR(IF(ISNUMBER('Procyclean MG'!A414),'Procyclean MG'!A414,DATEVALUE('Procyclean MG'!A414)),"")</f>
        <v/>
      </c>
      <c r="AC913" t="str">
        <f>IF(AA913="","",'Procyclean MG'!B414)</f>
        <v/>
      </c>
      <c r="AD913" t="str">
        <f>IF(AA913="","",IFERROR(1*'Procyclean MG'!C414,IFERROR(_xludf.NUMBERVALUE('Procyclean MG'!C414,".",","),IFERROR(_xludf.NUMBERVALUE('Procyclean MG'!C414,",","."),0))))</f>
        <v/>
      </c>
      <c r="AE913" t="str">
        <f>IF(AA913="","",'Procyclean MG'!I414)</f>
        <v/>
      </c>
      <c r="AF913">
        <f t="shared" si="101"/>
        <v>0</v>
      </c>
      <c r="AG913" t="str">
        <f t="shared" si="102"/>
        <v/>
      </c>
      <c r="AH913" t="str">
        <f t="shared" si="103"/>
        <v/>
      </c>
      <c r="AI913">
        <f t="shared" si="104"/>
        <v>0</v>
      </c>
      <c r="AJ913">
        <f t="shared" si="105"/>
        <v>0</v>
      </c>
      <c r="AK913">
        <v>0</v>
      </c>
      <c r="AL913" t="str">
        <f>IF(AA913="","",IFERROR(IF(ISNUMBER('Procyclean MG'!D414),'Procyclean MG'!D414,IF(ISNUMBER(SEARCH("12",'Procyclean MG'!D414)),EDATE(AB913,12),IF(ISNUMBER(SEARCH("6",'Procyclean MG'!D414)),EDATE(AB913,6),IF(ISNUMBER(SEARCH("3",'Procyclean MG'!D414)),EDATE(AB913,3),DATEVALUE('Procyclean MG'!D414))))),""))</f>
        <v/>
      </c>
      <c r="AM913" t="str">
        <f t="shared" ca="1" si="106"/>
        <v/>
      </c>
    </row>
    <row r="914" spans="27:39" x14ac:dyDescent="0.3">
      <c r="AA914" t="str">
        <f>IF(COUNTA('Procyclean MG'!A415,'Procyclean MG'!B415,'Procyclean MG'!C415)&gt;0,"MG","")</f>
        <v/>
      </c>
      <c r="AB914" t="str">
        <f>IFERROR(IF(ISNUMBER('Procyclean MG'!A415),'Procyclean MG'!A415,DATEVALUE('Procyclean MG'!A415)),"")</f>
        <v/>
      </c>
      <c r="AC914" t="str">
        <f>IF(AA914="","",'Procyclean MG'!B415)</f>
        <v/>
      </c>
      <c r="AD914" t="str">
        <f>IF(AA914="","",IFERROR(1*'Procyclean MG'!C415,IFERROR(_xludf.NUMBERVALUE('Procyclean MG'!C415,".",","),IFERROR(_xludf.NUMBERVALUE('Procyclean MG'!C415,",","."),0))))</f>
        <v/>
      </c>
      <c r="AE914" t="str">
        <f>IF(AA914="","",'Procyclean MG'!I415)</f>
        <v/>
      </c>
      <c r="AF914">
        <f t="shared" si="101"/>
        <v>0</v>
      </c>
      <c r="AG914" t="str">
        <f t="shared" si="102"/>
        <v/>
      </c>
      <c r="AH914" t="str">
        <f t="shared" si="103"/>
        <v/>
      </c>
      <c r="AI914">
        <f t="shared" si="104"/>
        <v>0</v>
      </c>
      <c r="AJ914">
        <f t="shared" si="105"/>
        <v>0</v>
      </c>
      <c r="AK914">
        <v>0</v>
      </c>
      <c r="AL914" t="str">
        <f>IF(AA914="","",IFERROR(IF(ISNUMBER('Procyclean MG'!D415),'Procyclean MG'!D415,IF(ISNUMBER(SEARCH("12",'Procyclean MG'!D415)),EDATE(AB914,12),IF(ISNUMBER(SEARCH("6",'Procyclean MG'!D415)),EDATE(AB914,6),IF(ISNUMBER(SEARCH("3",'Procyclean MG'!D415)),EDATE(AB914,3),DATEVALUE('Procyclean MG'!D415))))),""))</f>
        <v/>
      </c>
      <c r="AM914" t="str">
        <f t="shared" ca="1" si="106"/>
        <v/>
      </c>
    </row>
    <row r="915" spans="27:39" x14ac:dyDescent="0.3">
      <c r="AA915" t="str">
        <f>IF(COUNTA('Procyclean MG'!A416,'Procyclean MG'!B416,'Procyclean MG'!C416)&gt;0,"MG","")</f>
        <v/>
      </c>
      <c r="AB915" t="str">
        <f>IFERROR(IF(ISNUMBER('Procyclean MG'!A416),'Procyclean MG'!A416,DATEVALUE('Procyclean MG'!A416)),"")</f>
        <v/>
      </c>
      <c r="AC915" t="str">
        <f>IF(AA915="","",'Procyclean MG'!B416)</f>
        <v/>
      </c>
      <c r="AD915" t="str">
        <f>IF(AA915="","",IFERROR(1*'Procyclean MG'!C416,IFERROR(_xludf.NUMBERVALUE('Procyclean MG'!C416,".",","),IFERROR(_xludf.NUMBERVALUE('Procyclean MG'!C416,",","."),0))))</f>
        <v/>
      </c>
      <c r="AE915" t="str">
        <f>IF(AA915="","",'Procyclean MG'!I416)</f>
        <v/>
      </c>
      <c r="AF915">
        <f t="shared" si="101"/>
        <v>0</v>
      </c>
      <c r="AG915" t="str">
        <f t="shared" si="102"/>
        <v/>
      </c>
      <c r="AH915" t="str">
        <f t="shared" si="103"/>
        <v/>
      </c>
      <c r="AI915">
        <f t="shared" si="104"/>
        <v>0</v>
      </c>
      <c r="AJ915">
        <f t="shared" si="105"/>
        <v>0</v>
      </c>
      <c r="AK915">
        <v>0</v>
      </c>
      <c r="AL915" t="str">
        <f>IF(AA915="","",IFERROR(IF(ISNUMBER('Procyclean MG'!D416),'Procyclean MG'!D416,IF(ISNUMBER(SEARCH("12",'Procyclean MG'!D416)),EDATE(AB915,12),IF(ISNUMBER(SEARCH("6",'Procyclean MG'!D416)),EDATE(AB915,6),IF(ISNUMBER(SEARCH("3",'Procyclean MG'!D416)),EDATE(AB915,3),DATEVALUE('Procyclean MG'!D416))))),""))</f>
        <v/>
      </c>
      <c r="AM915" t="str">
        <f t="shared" ca="1" si="106"/>
        <v/>
      </c>
    </row>
    <row r="916" spans="27:39" x14ac:dyDescent="0.3">
      <c r="AA916" t="str">
        <f>IF(COUNTA('Procyclean MG'!A417,'Procyclean MG'!B417,'Procyclean MG'!C417)&gt;0,"MG","")</f>
        <v/>
      </c>
      <c r="AB916" t="str">
        <f>IFERROR(IF(ISNUMBER('Procyclean MG'!A417),'Procyclean MG'!A417,DATEVALUE('Procyclean MG'!A417)),"")</f>
        <v/>
      </c>
      <c r="AC916" t="str">
        <f>IF(AA916="","",'Procyclean MG'!B417)</f>
        <v/>
      </c>
      <c r="AD916" t="str">
        <f>IF(AA916="","",IFERROR(1*'Procyclean MG'!C417,IFERROR(_xludf.NUMBERVALUE('Procyclean MG'!C417,".",","),IFERROR(_xludf.NUMBERVALUE('Procyclean MG'!C417,",","."),0))))</f>
        <v/>
      </c>
      <c r="AE916" t="str">
        <f>IF(AA916="","",'Procyclean MG'!I417)</f>
        <v/>
      </c>
      <c r="AF916">
        <f t="shared" si="101"/>
        <v>0</v>
      </c>
      <c r="AG916" t="str">
        <f t="shared" si="102"/>
        <v/>
      </c>
      <c r="AH916" t="str">
        <f t="shared" si="103"/>
        <v/>
      </c>
      <c r="AI916">
        <f t="shared" si="104"/>
        <v>0</v>
      </c>
      <c r="AJ916">
        <f t="shared" si="105"/>
        <v>0</v>
      </c>
      <c r="AK916">
        <v>0</v>
      </c>
      <c r="AL916" t="str">
        <f>IF(AA916="","",IFERROR(IF(ISNUMBER('Procyclean MG'!D417),'Procyclean MG'!D417,IF(ISNUMBER(SEARCH("12",'Procyclean MG'!D417)),EDATE(AB916,12),IF(ISNUMBER(SEARCH("6",'Procyclean MG'!D417)),EDATE(AB916,6),IF(ISNUMBER(SEARCH("3",'Procyclean MG'!D417)),EDATE(AB916,3),DATEVALUE('Procyclean MG'!D417))))),""))</f>
        <v/>
      </c>
      <c r="AM916" t="str">
        <f t="shared" ca="1" si="106"/>
        <v/>
      </c>
    </row>
    <row r="917" spans="27:39" x14ac:dyDescent="0.3">
      <c r="AA917" t="str">
        <f>IF(COUNTA('Procyclean MG'!A418,'Procyclean MG'!B418,'Procyclean MG'!C418)&gt;0,"MG","")</f>
        <v/>
      </c>
      <c r="AB917" t="str">
        <f>IFERROR(IF(ISNUMBER('Procyclean MG'!A418),'Procyclean MG'!A418,DATEVALUE('Procyclean MG'!A418)),"")</f>
        <v/>
      </c>
      <c r="AC917" t="str">
        <f>IF(AA917="","",'Procyclean MG'!B418)</f>
        <v/>
      </c>
      <c r="AD917" t="str">
        <f>IF(AA917="","",IFERROR(1*'Procyclean MG'!C418,IFERROR(_xludf.NUMBERVALUE('Procyclean MG'!C418,".",","),IFERROR(_xludf.NUMBERVALUE('Procyclean MG'!C418,",","."),0))))</f>
        <v/>
      </c>
      <c r="AE917" t="str">
        <f>IF(AA917="","",'Procyclean MG'!I418)</f>
        <v/>
      </c>
      <c r="AF917">
        <f t="shared" si="101"/>
        <v>0</v>
      </c>
      <c r="AG917" t="str">
        <f t="shared" si="102"/>
        <v/>
      </c>
      <c r="AH917" t="str">
        <f t="shared" si="103"/>
        <v/>
      </c>
      <c r="AI917">
        <f t="shared" si="104"/>
        <v>0</v>
      </c>
      <c r="AJ917">
        <f t="shared" si="105"/>
        <v>0</v>
      </c>
      <c r="AK917">
        <v>0</v>
      </c>
      <c r="AL917" t="str">
        <f>IF(AA917="","",IFERROR(IF(ISNUMBER('Procyclean MG'!D418),'Procyclean MG'!D418,IF(ISNUMBER(SEARCH("12",'Procyclean MG'!D418)),EDATE(AB917,12),IF(ISNUMBER(SEARCH("6",'Procyclean MG'!D418)),EDATE(AB917,6),IF(ISNUMBER(SEARCH("3",'Procyclean MG'!D418)),EDATE(AB917,3),DATEVALUE('Procyclean MG'!D418))))),""))</f>
        <v/>
      </c>
      <c r="AM917" t="str">
        <f t="shared" ca="1" si="106"/>
        <v/>
      </c>
    </row>
    <row r="918" spans="27:39" x14ac:dyDescent="0.3">
      <c r="AA918" t="str">
        <f>IF(COUNTA('Procyclean MG'!A419,'Procyclean MG'!B419,'Procyclean MG'!C419)&gt;0,"MG","")</f>
        <v/>
      </c>
      <c r="AB918" t="str">
        <f>IFERROR(IF(ISNUMBER('Procyclean MG'!A419),'Procyclean MG'!A419,DATEVALUE('Procyclean MG'!A419)),"")</f>
        <v/>
      </c>
      <c r="AC918" t="str">
        <f>IF(AA918="","",'Procyclean MG'!B419)</f>
        <v/>
      </c>
      <c r="AD918" t="str">
        <f>IF(AA918="","",IFERROR(1*'Procyclean MG'!C419,IFERROR(_xludf.NUMBERVALUE('Procyclean MG'!C419,".",","),IFERROR(_xludf.NUMBERVALUE('Procyclean MG'!C419,",","."),0))))</f>
        <v/>
      </c>
      <c r="AE918" t="str">
        <f>IF(AA918="","",'Procyclean MG'!I419)</f>
        <v/>
      </c>
      <c r="AF918">
        <f t="shared" si="101"/>
        <v>0</v>
      </c>
      <c r="AG918" t="str">
        <f t="shared" si="102"/>
        <v/>
      </c>
      <c r="AH918" t="str">
        <f t="shared" si="103"/>
        <v/>
      </c>
      <c r="AI918">
        <f t="shared" si="104"/>
        <v>0</v>
      </c>
      <c r="AJ918">
        <f t="shared" si="105"/>
        <v>0</v>
      </c>
      <c r="AK918">
        <v>0</v>
      </c>
      <c r="AL918" t="str">
        <f>IF(AA918="","",IFERROR(IF(ISNUMBER('Procyclean MG'!D419),'Procyclean MG'!D419,IF(ISNUMBER(SEARCH("12",'Procyclean MG'!D419)),EDATE(AB918,12),IF(ISNUMBER(SEARCH("6",'Procyclean MG'!D419)),EDATE(AB918,6),IF(ISNUMBER(SEARCH("3",'Procyclean MG'!D419)),EDATE(AB918,3),DATEVALUE('Procyclean MG'!D419))))),""))</f>
        <v/>
      </c>
      <c r="AM918" t="str">
        <f t="shared" ca="1" si="106"/>
        <v/>
      </c>
    </row>
    <row r="919" spans="27:39" x14ac:dyDescent="0.3">
      <c r="AA919" t="str">
        <f>IF(COUNTA('Procyclean MG'!A420,'Procyclean MG'!B420,'Procyclean MG'!C420)&gt;0,"MG","")</f>
        <v/>
      </c>
      <c r="AB919" t="str">
        <f>IFERROR(IF(ISNUMBER('Procyclean MG'!A420),'Procyclean MG'!A420,DATEVALUE('Procyclean MG'!A420)),"")</f>
        <v/>
      </c>
      <c r="AC919" t="str">
        <f>IF(AA919="","",'Procyclean MG'!B420)</f>
        <v/>
      </c>
      <c r="AD919" t="str">
        <f>IF(AA919="","",IFERROR(1*'Procyclean MG'!C420,IFERROR(_xludf.NUMBERVALUE('Procyclean MG'!C420,".",","),IFERROR(_xludf.NUMBERVALUE('Procyclean MG'!C420,",","."),0))))</f>
        <v/>
      </c>
      <c r="AE919" t="str">
        <f>IF(AA919="","",'Procyclean MG'!I420)</f>
        <v/>
      </c>
      <c r="AF919">
        <f t="shared" si="101"/>
        <v>0</v>
      </c>
      <c r="AG919" t="str">
        <f t="shared" si="102"/>
        <v/>
      </c>
      <c r="AH919" t="str">
        <f t="shared" si="103"/>
        <v/>
      </c>
      <c r="AI919">
        <f t="shared" si="104"/>
        <v>0</v>
      </c>
      <c r="AJ919">
        <f t="shared" si="105"/>
        <v>0</v>
      </c>
      <c r="AK919">
        <v>0</v>
      </c>
      <c r="AL919" t="str">
        <f>IF(AA919="","",IFERROR(IF(ISNUMBER('Procyclean MG'!D420),'Procyclean MG'!D420,IF(ISNUMBER(SEARCH("12",'Procyclean MG'!D420)),EDATE(AB919,12),IF(ISNUMBER(SEARCH("6",'Procyclean MG'!D420)),EDATE(AB919,6),IF(ISNUMBER(SEARCH("3",'Procyclean MG'!D420)),EDATE(AB919,3),DATEVALUE('Procyclean MG'!D420))))),""))</f>
        <v/>
      </c>
      <c r="AM919" t="str">
        <f t="shared" ca="1" si="106"/>
        <v/>
      </c>
    </row>
    <row r="920" spans="27:39" x14ac:dyDescent="0.3">
      <c r="AA920" t="str">
        <f>IF(COUNTA('Procyclean MG'!A421,'Procyclean MG'!B421,'Procyclean MG'!C421)&gt;0,"MG","")</f>
        <v/>
      </c>
      <c r="AB920" t="str">
        <f>IFERROR(IF(ISNUMBER('Procyclean MG'!A421),'Procyclean MG'!A421,DATEVALUE('Procyclean MG'!A421)),"")</f>
        <v/>
      </c>
      <c r="AC920" t="str">
        <f>IF(AA920="","",'Procyclean MG'!B421)</f>
        <v/>
      </c>
      <c r="AD920" t="str">
        <f>IF(AA920="","",IFERROR(1*'Procyclean MG'!C421,IFERROR(_xludf.NUMBERVALUE('Procyclean MG'!C421,".",","),IFERROR(_xludf.NUMBERVALUE('Procyclean MG'!C421,",","."),0))))</f>
        <v/>
      </c>
      <c r="AE920" t="str">
        <f>IF(AA920="","",'Procyclean MG'!I421)</f>
        <v/>
      </c>
      <c r="AF920">
        <f t="shared" si="101"/>
        <v>0</v>
      </c>
      <c r="AG920" t="str">
        <f t="shared" si="102"/>
        <v/>
      </c>
      <c r="AH920" t="str">
        <f t="shared" si="103"/>
        <v/>
      </c>
      <c r="AI920">
        <f t="shared" si="104"/>
        <v>0</v>
      </c>
      <c r="AJ920">
        <f t="shared" si="105"/>
        <v>0</v>
      </c>
      <c r="AK920">
        <v>0</v>
      </c>
      <c r="AL920" t="str">
        <f>IF(AA920="","",IFERROR(IF(ISNUMBER('Procyclean MG'!D421),'Procyclean MG'!D421,IF(ISNUMBER(SEARCH("12",'Procyclean MG'!D421)),EDATE(AB920,12),IF(ISNUMBER(SEARCH("6",'Procyclean MG'!D421)),EDATE(AB920,6),IF(ISNUMBER(SEARCH("3",'Procyclean MG'!D421)),EDATE(AB920,3),DATEVALUE('Procyclean MG'!D421))))),""))</f>
        <v/>
      </c>
      <c r="AM920" t="str">
        <f t="shared" ca="1" si="106"/>
        <v/>
      </c>
    </row>
    <row r="921" spans="27:39" x14ac:dyDescent="0.3">
      <c r="AA921" t="str">
        <f>IF(COUNTA('Procyclean MG'!A422,'Procyclean MG'!B422,'Procyclean MG'!C422)&gt;0,"MG","")</f>
        <v/>
      </c>
      <c r="AB921" t="str">
        <f>IFERROR(IF(ISNUMBER('Procyclean MG'!A422),'Procyclean MG'!A422,DATEVALUE('Procyclean MG'!A422)),"")</f>
        <v/>
      </c>
      <c r="AC921" t="str">
        <f>IF(AA921="","",'Procyclean MG'!B422)</f>
        <v/>
      </c>
      <c r="AD921" t="str">
        <f>IF(AA921="","",IFERROR(1*'Procyclean MG'!C422,IFERROR(_xludf.NUMBERVALUE('Procyclean MG'!C422,".",","),IFERROR(_xludf.NUMBERVALUE('Procyclean MG'!C422,",","."),0))))</f>
        <v/>
      </c>
      <c r="AE921" t="str">
        <f>IF(AA921="","",'Procyclean MG'!I422)</f>
        <v/>
      </c>
      <c r="AF921">
        <f t="shared" si="101"/>
        <v>0</v>
      </c>
      <c r="AG921" t="str">
        <f t="shared" si="102"/>
        <v/>
      </c>
      <c r="AH921" t="str">
        <f t="shared" si="103"/>
        <v/>
      </c>
      <c r="AI921">
        <f t="shared" si="104"/>
        <v>0</v>
      </c>
      <c r="AJ921">
        <f t="shared" si="105"/>
        <v>0</v>
      </c>
      <c r="AK921">
        <v>0</v>
      </c>
      <c r="AL921" t="str">
        <f>IF(AA921="","",IFERROR(IF(ISNUMBER('Procyclean MG'!D422),'Procyclean MG'!D422,IF(ISNUMBER(SEARCH("12",'Procyclean MG'!D422)),EDATE(AB921,12),IF(ISNUMBER(SEARCH("6",'Procyclean MG'!D422)),EDATE(AB921,6),IF(ISNUMBER(SEARCH("3",'Procyclean MG'!D422)),EDATE(AB921,3),DATEVALUE('Procyclean MG'!D422))))),""))</f>
        <v/>
      </c>
      <c r="AM921" t="str">
        <f t="shared" ca="1" si="106"/>
        <v/>
      </c>
    </row>
    <row r="922" spans="27:39" x14ac:dyDescent="0.3">
      <c r="AA922" t="str">
        <f>IF(COUNTA('Procyclean MG'!A423,'Procyclean MG'!B423,'Procyclean MG'!C423)&gt;0,"MG","")</f>
        <v/>
      </c>
      <c r="AB922" t="str">
        <f>IFERROR(IF(ISNUMBER('Procyclean MG'!A423),'Procyclean MG'!A423,DATEVALUE('Procyclean MG'!A423)),"")</f>
        <v/>
      </c>
      <c r="AC922" t="str">
        <f>IF(AA922="","",'Procyclean MG'!B423)</f>
        <v/>
      </c>
      <c r="AD922" t="str">
        <f>IF(AA922="","",IFERROR(1*'Procyclean MG'!C423,IFERROR(_xludf.NUMBERVALUE('Procyclean MG'!C423,".",","),IFERROR(_xludf.NUMBERVALUE('Procyclean MG'!C423,",","."),0))))</f>
        <v/>
      </c>
      <c r="AE922" t="str">
        <f>IF(AA922="","",'Procyclean MG'!I423)</f>
        <v/>
      </c>
      <c r="AF922">
        <f t="shared" si="101"/>
        <v>0</v>
      </c>
      <c r="AG922" t="str">
        <f t="shared" si="102"/>
        <v/>
      </c>
      <c r="AH922" t="str">
        <f t="shared" si="103"/>
        <v/>
      </c>
      <c r="AI922">
        <f t="shared" si="104"/>
        <v>0</v>
      </c>
      <c r="AJ922">
        <f t="shared" si="105"/>
        <v>0</v>
      </c>
      <c r="AK922">
        <v>0</v>
      </c>
      <c r="AL922" t="str">
        <f>IF(AA922="","",IFERROR(IF(ISNUMBER('Procyclean MG'!D423),'Procyclean MG'!D423,IF(ISNUMBER(SEARCH("12",'Procyclean MG'!D423)),EDATE(AB922,12),IF(ISNUMBER(SEARCH("6",'Procyclean MG'!D423)),EDATE(AB922,6),IF(ISNUMBER(SEARCH("3",'Procyclean MG'!D423)),EDATE(AB922,3),DATEVALUE('Procyclean MG'!D423))))),""))</f>
        <v/>
      </c>
      <c r="AM922" t="str">
        <f t="shared" ca="1" si="106"/>
        <v/>
      </c>
    </row>
    <row r="923" spans="27:39" x14ac:dyDescent="0.3">
      <c r="AA923" t="str">
        <f>IF(COUNTA('Procyclean MG'!A424,'Procyclean MG'!B424,'Procyclean MG'!C424)&gt;0,"MG","")</f>
        <v/>
      </c>
      <c r="AB923" t="str">
        <f>IFERROR(IF(ISNUMBER('Procyclean MG'!A424),'Procyclean MG'!A424,DATEVALUE('Procyclean MG'!A424)),"")</f>
        <v/>
      </c>
      <c r="AC923" t="str">
        <f>IF(AA923="","",'Procyclean MG'!B424)</f>
        <v/>
      </c>
      <c r="AD923" t="str">
        <f>IF(AA923="","",IFERROR(1*'Procyclean MG'!C424,IFERROR(_xludf.NUMBERVALUE('Procyclean MG'!C424,".",","),IFERROR(_xludf.NUMBERVALUE('Procyclean MG'!C424,",","."),0))))</f>
        <v/>
      </c>
      <c r="AE923" t="str">
        <f>IF(AA923="","",'Procyclean MG'!I424)</f>
        <v/>
      </c>
      <c r="AF923">
        <f t="shared" si="101"/>
        <v>0</v>
      </c>
      <c r="AG923" t="str">
        <f t="shared" si="102"/>
        <v/>
      </c>
      <c r="AH923" t="str">
        <f t="shared" si="103"/>
        <v/>
      </c>
      <c r="AI923">
        <f t="shared" si="104"/>
        <v>0</v>
      </c>
      <c r="AJ923">
        <f t="shared" si="105"/>
        <v>0</v>
      </c>
      <c r="AK923">
        <v>0</v>
      </c>
      <c r="AL923" t="str">
        <f>IF(AA923="","",IFERROR(IF(ISNUMBER('Procyclean MG'!D424),'Procyclean MG'!D424,IF(ISNUMBER(SEARCH("12",'Procyclean MG'!D424)),EDATE(AB923,12),IF(ISNUMBER(SEARCH("6",'Procyclean MG'!D424)),EDATE(AB923,6),IF(ISNUMBER(SEARCH("3",'Procyclean MG'!D424)),EDATE(AB923,3),DATEVALUE('Procyclean MG'!D424))))),""))</f>
        <v/>
      </c>
      <c r="AM923" t="str">
        <f t="shared" ca="1" si="106"/>
        <v/>
      </c>
    </row>
    <row r="924" spans="27:39" x14ac:dyDescent="0.3">
      <c r="AA924" t="str">
        <f>IF(COUNTA('Procyclean MG'!A425,'Procyclean MG'!B425,'Procyclean MG'!C425)&gt;0,"MG","")</f>
        <v/>
      </c>
      <c r="AB924" t="str">
        <f>IFERROR(IF(ISNUMBER('Procyclean MG'!A425),'Procyclean MG'!A425,DATEVALUE('Procyclean MG'!A425)),"")</f>
        <v/>
      </c>
      <c r="AC924" t="str">
        <f>IF(AA924="","",'Procyclean MG'!B425)</f>
        <v/>
      </c>
      <c r="AD924" t="str">
        <f>IF(AA924="","",IFERROR(1*'Procyclean MG'!C425,IFERROR(_xludf.NUMBERVALUE('Procyclean MG'!C425,".",","),IFERROR(_xludf.NUMBERVALUE('Procyclean MG'!C425,",","."),0))))</f>
        <v/>
      </c>
      <c r="AE924" t="str">
        <f>IF(AA924="","",'Procyclean MG'!I425)</f>
        <v/>
      </c>
      <c r="AF924">
        <f t="shared" si="101"/>
        <v>0</v>
      </c>
      <c r="AG924" t="str">
        <f t="shared" si="102"/>
        <v/>
      </c>
      <c r="AH924" t="str">
        <f t="shared" si="103"/>
        <v/>
      </c>
      <c r="AI924">
        <f t="shared" si="104"/>
        <v>0</v>
      </c>
      <c r="AJ924">
        <f t="shared" si="105"/>
        <v>0</v>
      </c>
      <c r="AK924">
        <v>0</v>
      </c>
      <c r="AL924" t="str">
        <f>IF(AA924="","",IFERROR(IF(ISNUMBER('Procyclean MG'!D425),'Procyclean MG'!D425,IF(ISNUMBER(SEARCH("12",'Procyclean MG'!D425)),EDATE(AB924,12),IF(ISNUMBER(SEARCH("6",'Procyclean MG'!D425)),EDATE(AB924,6),IF(ISNUMBER(SEARCH("3",'Procyclean MG'!D425)),EDATE(AB924,3),DATEVALUE('Procyclean MG'!D425))))),""))</f>
        <v/>
      </c>
      <c r="AM924" t="str">
        <f t="shared" ca="1" si="106"/>
        <v/>
      </c>
    </row>
    <row r="925" spans="27:39" x14ac:dyDescent="0.3">
      <c r="AA925" t="str">
        <f>IF(COUNTA('Procyclean MG'!A426,'Procyclean MG'!B426,'Procyclean MG'!C426)&gt;0,"MG","")</f>
        <v/>
      </c>
      <c r="AB925" t="str">
        <f>IFERROR(IF(ISNUMBER('Procyclean MG'!A426),'Procyclean MG'!A426,DATEVALUE('Procyclean MG'!A426)),"")</f>
        <v/>
      </c>
      <c r="AC925" t="str">
        <f>IF(AA925="","",'Procyclean MG'!B426)</f>
        <v/>
      </c>
      <c r="AD925" t="str">
        <f>IF(AA925="","",IFERROR(1*'Procyclean MG'!C426,IFERROR(_xludf.NUMBERVALUE('Procyclean MG'!C426,".",","),IFERROR(_xludf.NUMBERVALUE('Procyclean MG'!C426,",","."),0))))</f>
        <v/>
      </c>
      <c r="AE925" t="str">
        <f>IF(AA925="","",'Procyclean MG'!I426)</f>
        <v/>
      </c>
      <c r="AF925">
        <f t="shared" si="101"/>
        <v>0</v>
      </c>
      <c r="AG925" t="str">
        <f t="shared" si="102"/>
        <v/>
      </c>
      <c r="AH925" t="str">
        <f t="shared" si="103"/>
        <v/>
      </c>
      <c r="AI925">
        <f t="shared" si="104"/>
        <v>0</v>
      </c>
      <c r="AJ925">
        <f t="shared" si="105"/>
        <v>0</v>
      </c>
      <c r="AK925">
        <v>0</v>
      </c>
      <c r="AL925" t="str">
        <f>IF(AA925="","",IFERROR(IF(ISNUMBER('Procyclean MG'!D426),'Procyclean MG'!D426,IF(ISNUMBER(SEARCH("12",'Procyclean MG'!D426)),EDATE(AB925,12),IF(ISNUMBER(SEARCH("6",'Procyclean MG'!D426)),EDATE(AB925,6),IF(ISNUMBER(SEARCH("3",'Procyclean MG'!D426)),EDATE(AB925,3),DATEVALUE('Procyclean MG'!D426))))),""))</f>
        <v/>
      </c>
      <c r="AM925" t="str">
        <f t="shared" ca="1" si="106"/>
        <v/>
      </c>
    </row>
    <row r="926" spans="27:39" x14ac:dyDescent="0.3">
      <c r="AA926" t="str">
        <f>IF(COUNTA('Procyclean MG'!A427,'Procyclean MG'!B427,'Procyclean MG'!C427)&gt;0,"MG","")</f>
        <v/>
      </c>
      <c r="AB926" t="str">
        <f>IFERROR(IF(ISNUMBER('Procyclean MG'!A427),'Procyclean MG'!A427,DATEVALUE('Procyclean MG'!A427)),"")</f>
        <v/>
      </c>
      <c r="AC926" t="str">
        <f>IF(AA926="","",'Procyclean MG'!B427)</f>
        <v/>
      </c>
      <c r="AD926" t="str">
        <f>IF(AA926="","",IFERROR(1*'Procyclean MG'!C427,IFERROR(_xludf.NUMBERVALUE('Procyclean MG'!C427,".",","),IFERROR(_xludf.NUMBERVALUE('Procyclean MG'!C427,",","."),0))))</f>
        <v/>
      </c>
      <c r="AE926" t="str">
        <f>IF(AA926="","",'Procyclean MG'!I427)</f>
        <v/>
      </c>
      <c r="AF926">
        <f t="shared" si="101"/>
        <v>0</v>
      </c>
      <c r="AG926" t="str">
        <f t="shared" si="102"/>
        <v/>
      </c>
      <c r="AH926" t="str">
        <f t="shared" si="103"/>
        <v/>
      </c>
      <c r="AI926">
        <f t="shared" si="104"/>
        <v>0</v>
      </c>
      <c r="AJ926">
        <f t="shared" si="105"/>
        <v>0</v>
      </c>
      <c r="AK926">
        <v>0</v>
      </c>
      <c r="AL926" t="str">
        <f>IF(AA926="","",IFERROR(IF(ISNUMBER('Procyclean MG'!D427),'Procyclean MG'!D427,IF(ISNUMBER(SEARCH("12",'Procyclean MG'!D427)),EDATE(AB926,12),IF(ISNUMBER(SEARCH("6",'Procyclean MG'!D427)),EDATE(AB926,6),IF(ISNUMBER(SEARCH("3",'Procyclean MG'!D427)),EDATE(AB926,3),DATEVALUE('Procyclean MG'!D427))))),""))</f>
        <v/>
      </c>
      <c r="AM926" t="str">
        <f t="shared" ca="1" si="106"/>
        <v/>
      </c>
    </row>
    <row r="927" spans="27:39" x14ac:dyDescent="0.3">
      <c r="AA927" t="str">
        <f>IF(COUNTA('Procyclean MG'!A428,'Procyclean MG'!B428,'Procyclean MG'!C428)&gt;0,"MG","")</f>
        <v/>
      </c>
      <c r="AB927" t="str">
        <f>IFERROR(IF(ISNUMBER('Procyclean MG'!A428),'Procyclean MG'!A428,DATEVALUE('Procyclean MG'!A428)),"")</f>
        <v/>
      </c>
      <c r="AC927" t="str">
        <f>IF(AA927="","",'Procyclean MG'!B428)</f>
        <v/>
      </c>
      <c r="AD927" t="str">
        <f>IF(AA927="","",IFERROR(1*'Procyclean MG'!C428,IFERROR(_xludf.NUMBERVALUE('Procyclean MG'!C428,".",","),IFERROR(_xludf.NUMBERVALUE('Procyclean MG'!C428,",","."),0))))</f>
        <v/>
      </c>
      <c r="AE927" t="str">
        <f>IF(AA927="","",'Procyclean MG'!I428)</f>
        <v/>
      </c>
      <c r="AF927">
        <f t="shared" si="101"/>
        <v>0</v>
      </c>
      <c r="AG927" t="str">
        <f t="shared" si="102"/>
        <v/>
      </c>
      <c r="AH927" t="str">
        <f t="shared" si="103"/>
        <v/>
      </c>
      <c r="AI927">
        <f t="shared" si="104"/>
        <v>0</v>
      </c>
      <c r="AJ927">
        <f t="shared" si="105"/>
        <v>0</v>
      </c>
      <c r="AK927">
        <v>0</v>
      </c>
      <c r="AL927" t="str">
        <f>IF(AA927="","",IFERROR(IF(ISNUMBER('Procyclean MG'!D428),'Procyclean MG'!D428,IF(ISNUMBER(SEARCH("12",'Procyclean MG'!D428)),EDATE(AB927,12),IF(ISNUMBER(SEARCH("6",'Procyclean MG'!D428)),EDATE(AB927,6),IF(ISNUMBER(SEARCH("3",'Procyclean MG'!D428)),EDATE(AB927,3),DATEVALUE('Procyclean MG'!D428))))),""))</f>
        <v/>
      </c>
      <c r="AM927" t="str">
        <f t="shared" ca="1" si="106"/>
        <v/>
      </c>
    </row>
    <row r="928" spans="27:39" x14ac:dyDescent="0.3">
      <c r="AA928" t="str">
        <f>IF(COUNTA('Procyclean MG'!A429,'Procyclean MG'!B429,'Procyclean MG'!C429)&gt;0,"MG","")</f>
        <v/>
      </c>
      <c r="AB928" t="str">
        <f>IFERROR(IF(ISNUMBER('Procyclean MG'!A429),'Procyclean MG'!A429,DATEVALUE('Procyclean MG'!A429)),"")</f>
        <v/>
      </c>
      <c r="AC928" t="str">
        <f>IF(AA928="","",'Procyclean MG'!B429)</f>
        <v/>
      </c>
      <c r="AD928" t="str">
        <f>IF(AA928="","",IFERROR(1*'Procyclean MG'!C429,IFERROR(_xludf.NUMBERVALUE('Procyclean MG'!C429,".",","),IFERROR(_xludf.NUMBERVALUE('Procyclean MG'!C429,",","."),0))))</f>
        <v/>
      </c>
      <c r="AE928" t="str">
        <f>IF(AA928="","",'Procyclean MG'!I429)</f>
        <v/>
      </c>
      <c r="AF928">
        <f t="shared" si="101"/>
        <v>0</v>
      </c>
      <c r="AG928" t="str">
        <f t="shared" si="102"/>
        <v/>
      </c>
      <c r="AH928" t="str">
        <f t="shared" si="103"/>
        <v/>
      </c>
      <c r="AI928">
        <f t="shared" si="104"/>
        <v>0</v>
      </c>
      <c r="AJ928">
        <f t="shared" si="105"/>
        <v>0</v>
      </c>
      <c r="AK928">
        <v>0</v>
      </c>
      <c r="AL928" t="str">
        <f>IF(AA928="","",IFERROR(IF(ISNUMBER('Procyclean MG'!D429),'Procyclean MG'!D429,IF(ISNUMBER(SEARCH("12",'Procyclean MG'!D429)),EDATE(AB928,12),IF(ISNUMBER(SEARCH("6",'Procyclean MG'!D429)),EDATE(AB928,6),IF(ISNUMBER(SEARCH("3",'Procyclean MG'!D429)),EDATE(AB928,3),DATEVALUE('Procyclean MG'!D429))))),""))</f>
        <v/>
      </c>
      <c r="AM928" t="str">
        <f t="shared" ca="1" si="106"/>
        <v/>
      </c>
    </row>
    <row r="929" spans="27:39" x14ac:dyDescent="0.3">
      <c r="AA929" t="str">
        <f>IF(COUNTA('Procyclean MG'!A430,'Procyclean MG'!B430,'Procyclean MG'!C430)&gt;0,"MG","")</f>
        <v/>
      </c>
      <c r="AB929" t="str">
        <f>IFERROR(IF(ISNUMBER('Procyclean MG'!A430),'Procyclean MG'!A430,DATEVALUE('Procyclean MG'!A430)),"")</f>
        <v/>
      </c>
      <c r="AC929" t="str">
        <f>IF(AA929="","",'Procyclean MG'!B430)</f>
        <v/>
      </c>
      <c r="AD929" t="str">
        <f>IF(AA929="","",IFERROR(1*'Procyclean MG'!C430,IFERROR(_xludf.NUMBERVALUE('Procyclean MG'!C430,".",","),IFERROR(_xludf.NUMBERVALUE('Procyclean MG'!C430,",","."),0))))</f>
        <v/>
      </c>
      <c r="AE929" t="str">
        <f>IF(AA929="","",'Procyclean MG'!I430)</f>
        <v/>
      </c>
      <c r="AF929">
        <f t="shared" si="101"/>
        <v>0</v>
      </c>
      <c r="AG929" t="str">
        <f t="shared" si="102"/>
        <v/>
      </c>
      <c r="AH929" t="str">
        <f t="shared" si="103"/>
        <v/>
      </c>
      <c r="AI929">
        <f t="shared" si="104"/>
        <v>0</v>
      </c>
      <c r="AJ929">
        <f t="shared" si="105"/>
        <v>0</v>
      </c>
      <c r="AK929">
        <v>0</v>
      </c>
      <c r="AL929" t="str">
        <f>IF(AA929="","",IFERROR(IF(ISNUMBER('Procyclean MG'!D430),'Procyclean MG'!D430,IF(ISNUMBER(SEARCH("12",'Procyclean MG'!D430)),EDATE(AB929,12),IF(ISNUMBER(SEARCH("6",'Procyclean MG'!D430)),EDATE(AB929,6),IF(ISNUMBER(SEARCH("3",'Procyclean MG'!D430)),EDATE(AB929,3),DATEVALUE('Procyclean MG'!D430))))),""))</f>
        <v/>
      </c>
      <c r="AM929" t="str">
        <f t="shared" ca="1" si="106"/>
        <v/>
      </c>
    </row>
    <row r="930" spans="27:39" x14ac:dyDescent="0.3">
      <c r="AA930" t="str">
        <f>IF(COUNTA('Procyclean MG'!A431,'Procyclean MG'!B431,'Procyclean MG'!C431)&gt;0,"MG","")</f>
        <v/>
      </c>
      <c r="AB930" t="str">
        <f>IFERROR(IF(ISNUMBER('Procyclean MG'!A431),'Procyclean MG'!A431,DATEVALUE('Procyclean MG'!A431)),"")</f>
        <v/>
      </c>
      <c r="AC930" t="str">
        <f>IF(AA930="","",'Procyclean MG'!B431)</f>
        <v/>
      </c>
      <c r="AD930" t="str">
        <f>IF(AA930="","",IFERROR(1*'Procyclean MG'!C431,IFERROR(_xludf.NUMBERVALUE('Procyclean MG'!C431,".",","),IFERROR(_xludf.NUMBERVALUE('Procyclean MG'!C431,",","."),0))))</f>
        <v/>
      </c>
      <c r="AE930" t="str">
        <f>IF(AA930="","",'Procyclean MG'!I431)</f>
        <v/>
      </c>
      <c r="AF930">
        <f t="shared" si="101"/>
        <v>0</v>
      </c>
      <c r="AG930" t="str">
        <f t="shared" si="102"/>
        <v/>
      </c>
      <c r="AH930" t="str">
        <f t="shared" si="103"/>
        <v/>
      </c>
      <c r="AI930">
        <f t="shared" si="104"/>
        <v>0</v>
      </c>
      <c r="AJ930">
        <f t="shared" si="105"/>
        <v>0</v>
      </c>
      <c r="AK930">
        <v>0</v>
      </c>
      <c r="AL930" t="str">
        <f>IF(AA930="","",IFERROR(IF(ISNUMBER('Procyclean MG'!D431),'Procyclean MG'!D431,IF(ISNUMBER(SEARCH("12",'Procyclean MG'!D431)),EDATE(AB930,12),IF(ISNUMBER(SEARCH("6",'Procyclean MG'!D431)),EDATE(AB930,6),IF(ISNUMBER(SEARCH("3",'Procyclean MG'!D431)),EDATE(AB930,3),DATEVALUE('Procyclean MG'!D431))))),""))</f>
        <v/>
      </c>
      <c r="AM930" t="str">
        <f t="shared" ca="1" si="106"/>
        <v/>
      </c>
    </row>
    <row r="931" spans="27:39" x14ac:dyDescent="0.3">
      <c r="AA931" t="str">
        <f>IF(COUNTA('Procyclean MG'!A432,'Procyclean MG'!B432,'Procyclean MG'!C432)&gt;0,"MG","")</f>
        <v/>
      </c>
      <c r="AB931" t="str">
        <f>IFERROR(IF(ISNUMBER('Procyclean MG'!A432),'Procyclean MG'!A432,DATEVALUE('Procyclean MG'!A432)),"")</f>
        <v/>
      </c>
      <c r="AC931" t="str">
        <f>IF(AA931="","",'Procyclean MG'!B432)</f>
        <v/>
      </c>
      <c r="AD931" t="str">
        <f>IF(AA931="","",IFERROR(1*'Procyclean MG'!C432,IFERROR(_xludf.NUMBERVALUE('Procyclean MG'!C432,".",","),IFERROR(_xludf.NUMBERVALUE('Procyclean MG'!C432,",","."),0))))</f>
        <v/>
      </c>
      <c r="AE931" t="str">
        <f>IF(AA931="","",'Procyclean MG'!I432)</f>
        <v/>
      </c>
      <c r="AF931">
        <f t="shared" si="101"/>
        <v>0</v>
      </c>
      <c r="AG931" t="str">
        <f t="shared" si="102"/>
        <v/>
      </c>
      <c r="AH931" t="str">
        <f t="shared" si="103"/>
        <v/>
      </c>
      <c r="AI931">
        <f t="shared" si="104"/>
        <v>0</v>
      </c>
      <c r="AJ931">
        <f t="shared" si="105"/>
        <v>0</v>
      </c>
      <c r="AK931">
        <v>0</v>
      </c>
      <c r="AL931" t="str">
        <f>IF(AA931="","",IFERROR(IF(ISNUMBER('Procyclean MG'!D432),'Procyclean MG'!D432,IF(ISNUMBER(SEARCH("12",'Procyclean MG'!D432)),EDATE(AB931,12),IF(ISNUMBER(SEARCH("6",'Procyclean MG'!D432)),EDATE(AB931,6),IF(ISNUMBER(SEARCH("3",'Procyclean MG'!D432)),EDATE(AB931,3),DATEVALUE('Procyclean MG'!D432))))),""))</f>
        <v/>
      </c>
      <c r="AM931" t="str">
        <f t="shared" ca="1" si="106"/>
        <v/>
      </c>
    </row>
    <row r="932" spans="27:39" x14ac:dyDescent="0.3">
      <c r="AA932" t="str">
        <f>IF(COUNTA('Procyclean MG'!A433,'Procyclean MG'!B433,'Procyclean MG'!C433)&gt;0,"MG","")</f>
        <v/>
      </c>
      <c r="AB932" t="str">
        <f>IFERROR(IF(ISNUMBER('Procyclean MG'!A433),'Procyclean MG'!A433,DATEVALUE('Procyclean MG'!A433)),"")</f>
        <v/>
      </c>
      <c r="AC932" t="str">
        <f>IF(AA932="","",'Procyclean MG'!B433)</f>
        <v/>
      </c>
      <c r="AD932" t="str">
        <f>IF(AA932="","",IFERROR(1*'Procyclean MG'!C433,IFERROR(_xludf.NUMBERVALUE('Procyclean MG'!C433,".",","),IFERROR(_xludf.NUMBERVALUE('Procyclean MG'!C433,",","."),0))))</f>
        <v/>
      </c>
      <c r="AE932" t="str">
        <f>IF(AA932="","",'Procyclean MG'!I433)</f>
        <v/>
      </c>
      <c r="AF932">
        <f t="shared" si="101"/>
        <v>0</v>
      </c>
      <c r="AG932" t="str">
        <f t="shared" si="102"/>
        <v/>
      </c>
      <c r="AH932" t="str">
        <f t="shared" si="103"/>
        <v/>
      </c>
      <c r="AI932">
        <f t="shared" si="104"/>
        <v>0</v>
      </c>
      <c r="AJ932">
        <f t="shared" si="105"/>
        <v>0</v>
      </c>
      <c r="AK932">
        <v>0</v>
      </c>
      <c r="AL932" t="str">
        <f>IF(AA932="","",IFERROR(IF(ISNUMBER('Procyclean MG'!D433),'Procyclean MG'!D433,IF(ISNUMBER(SEARCH("12",'Procyclean MG'!D433)),EDATE(AB932,12),IF(ISNUMBER(SEARCH("6",'Procyclean MG'!D433)),EDATE(AB932,6),IF(ISNUMBER(SEARCH("3",'Procyclean MG'!D433)),EDATE(AB932,3),DATEVALUE('Procyclean MG'!D433))))),""))</f>
        <v/>
      </c>
      <c r="AM932" t="str">
        <f t="shared" ca="1" si="106"/>
        <v/>
      </c>
    </row>
    <row r="933" spans="27:39" x14ac:dyDescent="0.3">
      <c r="AA933" t="str">
        <f>IF(COUNTA('Procyclean MG'!A434,'Procyclean MG'!B434,'Procyclean MG'!C434)&gt;0,"MG","")</f>
        <v/>
      </c>
      <c r="AB933" t="str">
        <f>IFERROR(IF(ISNUMBER('Procyclean MG'!A434),'Procyclean MG'!A434,DATEVALUE('Procyclean MG'!A434)),"")</f>
        <v/>
      </c>
      <c r="AC933" t="str">
        <f>IF(AA933="","",'Procyclean MG'!B434)</f>
        <v/>
      </c>
      <c r="AD933" t="str">
        <f>IF(AA933="","",IFERROR(1*'Procyclean MG'!C434,IFERROR(_xludf.NUMBERVALUE('Procyclean MG'!C434,".",","),IFERROR(_xludf.NUMBERVALUE('Procyclean MG'!C434,",","."),0))))</f>
        <v/>
      </c>
      <c r="AE933" t="str">
        <f>IF(AA933="","",'Procyclean MG'!I434)</f>
        <v/>
      </c>
      <c r="AF933">
        <f t="shared" si="101"/>
        <v>0</v>
      </c>
      <c r="AG933" t="str">
        <f t="shared" si="102"/>
        <v/>
      </c>
      <c r="AH933" t="str">
        <f t="shared" si="103"/>
        <v/>
      </c>
      <c r="AI933">
        <f t="shared" si="104"/>
        <v>0</v>
      </c>
      <c r="AJ933">
        <f t="shared" si="105"/>
        <v>0</v>
      </c>
      <c r="AK933">
        <v>0</v>
      </c>
      <c r="AL933" t="str">
        <f>IF(AA933="","",IFERROR(IF(ISNUMBER('Procyclean MG'!D434),'Procyclean MG'!D434,IF(ISNUMBER(SEARCH("12",'Procyclean MG'!D434)),EDATE(AB933,12),IF(ISNUMBER(SEARCH("6",'Procyclean MG'!D434)),EDATE(AB933,6),IF(ISNUMBER(SEARCH("3",'Procyclean MG'!D434)),EDATE(AB933,3),DATEVALUE('Procyclean MG'!D434))))),""))</f>
        <v/>
      </c>
      <c r="AM933" t="str">
        <f t="shared" ca="1" si="106"/>
        <v/>
      </c>
    </row>
    <row r="934" spans="27:39" x14ac:dyDescent="0.3">
      <c r="AA934" t="str">
        <f>IF(COUNTA('Procyclean MG'!A435,'Procyclean MG'!B435,'Procyclean MG'!C435)&gt;0,"MG","")</f>
        <v/>
      </c>
      <c r="AB934" t="str">
        <f>IFERROR(IF(ISNUMBER('Procyclean MG'!A435),'Procyclean MG'!A435,DATEVALUE('Procyclean MG'!A435)),"")</f>
        <v/>
      </c>
      <c r="AC934" t="str">
        <f>IF(AA934="","",'Procyclean MG'!B435)</f>
        <v/>
      </c>
      <c r="AD934" t="str">
        <f>IF(AA934="","",IFERROR(1*'Procyclean MG'!C435,IFERROR(_xludf.NUMBERVALUE('Procyclean MG'!C435,".",","),IFERROR(_xludf.NUMBERVALUE('Procyclean MG'!C435,",","."),0))))</f>
        <v/>
      </c>
      <c r="AE934" t="str">
        <f>IF(AA934="","",'Procyclean MG'!I435)</f>
        <v/>
      </c>
      <c r="AF934">
        <f t="shared" si="101"/>
        <v>0</v>
      </c>
      <c r="AG934" t="str">
        <f t="shared" si="102"/>
        <v/>
      </c>
      <c r="AH934" t="str">
        <f t="shared" si="103"/>
        <v/>
      </c>
      <c r="AI934">
        <f t="shared" si="104"/>
        <v>0</v>
      </c>
      <c r="AJ934">
        <f t="shared" si="105"/>
        <v>0</v>
      </c>
      <c r="AK934">
        <v>0</v>
      </c>
      <c r="AL934" t="str">
        <f>IF(AA934="","",IFERROR(IF(ISNUMBER('Procyclean MG'!D435),'Procyclean MG'!D435,IF(ISNUMBER(SEARCH("12",'Procyclean MG'!D435)),EDATE(AB934,12),IF(ISNUMBER(SEARCH("6",'Procyclean MG'!D435)),EDATE(AB934,6),IF(ISNUMBER(SEARCH("3",'Procyclean MG'!D435)),EDATE(AB934,3),DATEVALUE('Procyclean MG'!D435))))),""))</f>
        <v/>
      </c>
      <c r="AM934" t="str">
        <f t="shared" ca="1" si="106"/>
        <v/>
      </c>
    </row>
    <row r="935" spans="27:39" x14ac:dyDescent="0.3">
      <c r="AA935" t="str">
        <f>IF(COUNTA('Procyclean MG'!A436,'Procyclean MG'!B436,'Procyclean MG'!C436)&gt;0,"MG","")</f>
        <v/>
      </c>
      <c r="AB935" t="str">
        <f>IFERROR(IF(ISNUMBER('Procyclean MG'!A436),'Procyclean MG'!A436,DATEVALUE('Procyclean MG'!A436)),"")</f>
        <v/>
      </c>
      <c r="AC935" t="str">
        <f>IF(AA935="","",'Procyclean MG'!B436)</f>
        <v/>
      </c>
      <c r="AD935" t="str">
        <f>IF(AA935="","",IFERROR(1*'Procyclean MG'!C436,IFERROR(_xludf.NUMBERVALUE('Procyclean MG'!C436,".",","),IFERROR(_xludf.NUMBERVALUE('Procyclean MG'!C436,",","."),0))))</f>
        <v/>
      </c>
      <c r="AE935" t="str">
        <f>IF(AA935="","",'Procyclean MG'!I436)</f>
        <v/>
      </c>
      <c r="AF935">
        <f t="shared" si="101"/>
        <v>0</v>
      </c>
      <c r="AG935" t="str">
        <f t="shared" si="102"/>
        <v/>
      </c>
      <c r="AH935" t="str">
        <f t="shared" si="103"/>
        <v/>
      </c>
      <c r="AI935">
        <f t="shared" si="104"/>
        <v>0</v>
      </c>
      <c r="AJ935">
        <f t="shared" si="105"/>
        <v>0</v>
      </c>
      <c r="AK935">
        <v>0</v>
      </c>
      <c r="AL935" t="str">
        <f>IF(AA935="","",IFERROR(IF(ISNUMBER('Procyclean MG'!D436),'Procyclean MG'!D436,IF(ISNUMBER(SEARCH("12",'Procyclean MG'!D436)),EDATE(AB935,12),IF(ISNUMBER(SEARCH("6",'Procyclean MG'!D436)),EDATE(AB935,6),IF(ISNUMBER(SEARCH("3",'Procyclean MG'!D436)),EDATE(AB935,3),DATEVALUE('Procyclean MG'!D436))))),""))</f>
        <v/>
      </c>
      <c r="AM935" t="str">
        <f t="shared" ca="1" si="106"/>
        <v/>
      </c>
    </row>
    <row r="936" spans="27:39" x14ac:dyDescent="0.3">
      <c r="AA936" t="str">
        <f>IF(COUNTA('Procyclean MG'!A437,'Procyclean MG'!B437,'Procyclean MG'!C437)&gt;0,"MG","")</f>
        <v/>
      </c>
      <c r="AB936" t="str">
        <f>IFERROR(IF(ISNUMBER('Procyclean MG'!A437),'Procyclean MG'!A437,DATEVALUE('Procyclean MG'!A437)),"")</f>
        <v/>
      </c>
      <c r="AC936" t="str">
        <f>IF(AA936="","",'Procyclean MG'!B437)</f>
        <v/>
      </c>
      <c r="AD936" t="str">
        <f>IF(AA936="","",IFERROR(1*'Procyclean MG'!C437,IFERROR(_xludf.NUMBERVALUE('Procyclean MG'!C437,".",","),IFERROR(_xludf.NUMBERVALUE('Procyclean MG'!C437,",","."),0))))</f>
        <v/>
      </c>
      <c r="AE936" t="str">
        <f>IF(AA936="","",'Procyclean MG'!I437)</f>
        <v/>
      </c>
      <c r="AF936">
        <f t="shared" si="101"/>
        <v>0</v>
      </c>
      <c r="AG936" t="str">
        <f t="shared" si="102"/>
        <v/>
      </c>
      <c r="AH936" t="str">
        <f t="shared" si="103"/>
        <v/>
      </c>
      <c r="AI936">
        <f t="shared" si="104"/>
        <v>0</v>
      </c>
      <c r="AJ936">
        <f t="shared" si="105"/>
        <v>0</v>
      </c>
      <c r="AK936">
        <v>0</v>
      </c>
      <c r="AL936" t="str">
        <f>IF(AA936="","",IFERROR(IF(ISNUMBER('Procyclean MG'!D437),'Procyclean MG'!D437,IF(ISNUMBER(SEARCH("12",'Procyclean MG'!D437)),EDATE(AB936,12),IF(ISNUMBER(SEARCH("6",'Procyclean MG'!D437)),EDATE(AB936,6),IF(ISNUMBER(SEARCH("3",'Procyclean MG'!D437)),EDATE(AB936,3),DATEVALUE('Procyclean MG'!D437))))),""))</f>
        <v/>
      </c>
      <c r="AM936" t="str">
        <f t="shared" ca="1" si="106"/>
        <v/>
      </c>
    </row>
    <row r="937" spans="27:39" x14ac:dyDescent="0.3">
      <c r="AA937" t="str">
        <f>IF(COUNTA('Procyclean MG'!A438,'Procyclean MG'!B438,'Procyclean MG'!C438)&gt;0,"MG","")</f>
        <v/>
      </c>
      <c r="AB937" t="str">
        <f>IFERROR(IF(ISNUMBER('Procyclean MG'!A438),'Procyclean MG'!A438,DATEVALUE('Procyclean MG'!A438)),"")</f>
        <v/>
      </c>
      <c r="AC937" t="str">
        <f>IF(AA937="","",'Procyclean MG'!B438)</f>
        <v/>
      </c>
      <c r="AD937" t="str">
        <f>IF(AA937="","",IFERROR(1*'Procyclean MG'!C438,IFERROR(_xludf.NUMBERVALUE('Procyclean MG'!C438,".",","),IFERROR(_xludf.NUMBERVALUE('Procyclean MG'!C438,",","."),0))))</f>
        <v/>
      </c>
      <c r="AE937" t="str">
        <f>IF(AA937="","",'Procyclean MG'!I438)</f>
        <v/>
      </c>
      <c r="AF937">
        <f t="shared" si="101"/>
        <v>0</v>
      </c>
      <c r="AG937" t="str">
        <f t="shared" si="102"/>
        <v/>
      </c>
      <c r="AH937" t="str">
        <f t="shared" si="103"/>
        <v/>
      </c>
      <c r="AI937">
        <f t="shared" si="104"/>
        <v>0</v>
      </c>
      <c r="AJ937">
        <f t="shared" si="105"/>
        <v>0</v>
      </c>
      <c r="AK937">
        <v>0</v>
      </c>
      <c r="AL937" t="str">
        <f>IF(AA937="","",IFERROR(IF(ISNUMBER('Procyclean MG'!D438),'Procyclean MG'!D438,IF(ISNUMBER(SEARCH("12",'Procyclean MG'!D438)),EDATE(AB937,12),IF(ISNUMBER(SEARCH("6",'Procyclean MG'!D438)),EDATE(AB937,6),IF(ISNUMBER(SEARCH("3",'Procyclean MG'!D438)),EDATE(AB937,3),DATEVALUE('Procyclean MG'!D438))))),""))</f>
        <v/>
      </c>
      <c r="AM937" t="str">
        <f t="shared" ca="1" si="106"/>
        <v/>
      </c>
    </row>
    <row r="938" spans="27:39" x14ac:dyDescent="0.3">
      <c r="AA938" t="str">
        <f>IF(COUNTA('Procyclean MG'!A439,'Procyclean MG'!B439,'Procyclean MG'!C439)&gt;0,"MG","")</f>
        <v/>
      </c>
      <c r="AB938" t="str">
        <f>IFERROR(IF(ISNUMBER('Procyclean MG'!A439),'Procyclean MG'!A439,DATEVALUE('Procyclean MG'!A439)),"")</f>
        <v/>
      </c>
      <c r="AC938" t="str">
        <f>IF(AA938="","",'Procyclean MG'!B439)</f>
        <v/>
      </c>
      <c r="AD938" t="str">
        <f>IF(AA938="","",IFERROR(1*'Procyclean MG'!C439,IFERROR(_xludf.NUMBERVALUE('Procyclean MG'!C439,".",","),IFERROR(_xludf.NUMBERVALUE('Procyclean MG'!C439,",","."),0))))</f>
        <v/>
      </c>
      <c r="AE938" t="str">
        <f>IF(AA938="","",'Procyclean MG'!I439)</f>
        <v/>
      </c>
      <c r="AF938">
        <f t="shared" si="101"/>
        <v>0</v>
      </c>
      <c r="AG938" t="str">
        <f t="shared" si="102"/>
        <v/>
      </c>
      <c r="AH938" t="str">
        <f t="shared" si="103"/>
        <v/>
      </c>
      <c r="AI938">
        <f t="shared" si="104"/>
        <v>0</v>
      </c>
      <c r="AJ938">
        <f t="shared" si="105"/>
        <v>0</v>
      </c>
      <c r="AK938">
        <v>0</v>
      </c>
      <c r="AL938" t="str">
        <f>IF(AA938="","",IFERROR(IF(ISNUMBER('Procyclean MG'!D439),'Procyclean MG'!D439,IF(ISNUMBER(SEARCH("12",'Procyclean MG'!D439)),EDATE(AB938,12),IF(ISNUMBER(SEARCH("6",'Procyclean MG'!D439)),EDATE(AB938,6),IF(ISNUMBER(SEARCH("3",'Procyclean MG'!D439)),EDATE(AB938,3),DATEVALUE('Procyclean MG'!D439))))),""))</f>
        <v/>
      </c>
      <c r="AM938" t="str">
        <f t="shared" ca="1" si="106"/>
        <v/>
      </c>
    </row>
    <row r="939" spans="27:39" x14ac:dyDescent="0.3">
      <c r="AA939" t="str">
        <f>IF(COUNTA('Procyclean MG'!A440,'Procyclean MG'!B440,'Procyclean MG'!C440)&gt;0,"MG","")</f>
        <v/>
      </c>
      <c r="AB939" t="str">
        <f>IFERROR(IF(ISNUMBER('Procyclean MG'!A440),'Procyclean MG'!A440,DATEVALUE('Procyclean MG'!A440)),"")</f>
        <v/>
      </c>
      <c r="AC939" t="str">
        <f>IF(AA939="","",'Procyclean MG'!B440)</f>
        <v/>
      </c>
      <c r="AD939" t="str">
        <f>IF(AA939="","",IFERROR(1*'Procyclean MG'!C440,IFERROR(_xludf.NUMBERVALUE('Procyclean MG'!C440,".",","),IFERROR(_xludf.NUMBERVALUE('Procyclean MG'!C440,",","."),0))))</f>
        <v/>
      </c>
      <c r="AE939" t="str">
        <f>IF(AA939="","",'Procyclean MG'!I440)</f>
        <v/>
      </c>
      <c r="AF939">
        <f t="shared" si="101"/>
        <v>0</v>
      </c>
      <c r="AG939" t="str">
        <f t="shared" si="102"/>
        <v/>
      </c>
      <c r="AH939" t="str">
        <f t="shared" si="103"/>
        <v/>
      </c>
      <c r="AI939">
        <f t="shared" si="104"/>
        <v>0</v>
      </c>
      <c r="AJ939">
        <f t="shared" si="105"/>
        <v>0</v>
      </c>
      <c r="AK939">
        <v>0</v>
      </c>
      <c r="AL939" t="str">
        <f>IF(AA939="","",IFERROR(IF(ISNUMBER('Procyclean MG'!D440),'Procyclean MG'!D440,IF(ISNUMBER(SEARCH("12",'Procyclean MG'!D440)),EDATE(AB939,12),IF(ISNUMBER(SEARCH("6",'Procyclean MG'!D440)),EDATE(AB939,6),IF(ISNUMBER(SEARCH("3",'Procyclean MG'!D440)),EDATE(AB939,3),DATEVALUE('Procyclean MG'!D440))))),""))</f>
        <v/>
      </c>
      <c r="AM939" t="str">
        <f t="shared" ca="1" si="106"/>
        <v/>
      </c>
    </row>
    <row r="940" spans="27:39" x14ac:dyDescent="0.3">
      <c r="AA940" t="str">
        <f>IF(COUNTA('Procyclean MG'!A441,'Procyclean MG'!B441,'Procyclean MG'!C441)&gt;0,"MG","")</f>
        <v/>
      </c>
      <c r="AB940" t="str">
        <f>IFERROR(IF(ISNUMBER('Procyclean MG'!A441),'Procyclean MG'!A441,DATEVALUE('Procyclean MG'!A441)),"")</f>
        <v/>
      </c>
      <c r="AC940" t="str">
        <f>IF(AA940="","",'Procyclean MG'!B441)</f>
        <v/>
      </c>
      <c r="AD940" t="str">
        <f>IF(AA940="","",IFERROR(1*'Procyclean MG'!C441,IFERROR(_xludf.NUMBERVALUE('Procyclean MG'!C441,".",","),IFERROR(_xludf.NUMBERVALUE('Procyclean MG'!C441,",","."),0))))</f>
        <v/>
      </c>
      <c r="AE940" t="str">
        <f>IF(AA940="","",'Procyclean MG'!I441)</f>
        <v/>
      </c>
      <c r="AF940">
        <f t="shared" si="101"/>
        <v>0</v>
      </c>
      <c r="AG940" t="str">
        <f t="shared" si="102"/>
        <v/>
      </c>
      <c r="AH940" t="str">
        <f t="shared" si="103"/>
        <v/>
      </c>
      <c r="AI940">
        <f t="shared" si="104"/>
        <v>0</v>
      </c>
      <c r="AJ940">
        <f t="shared" si="105"/>
        <v>0</v>
      </c>
      <c r="AK940">
        <v>0</v>
      </c>
      <c r="AL940" t="str">
        <f>IF(AA940="","",IFERROR(IF(ISNUMBER('Procyclean MG'!D441),'Procyclean MG'!D441,IF(ISNUMBER(SEARCH("12",'Procyclean MG'!D441)),EDATE(AB940,12),IF(ISNUMBER(SEARCH("6",'Procyclean MG'!D441)),EDATE(AB940,6),IF(ISNUMBER(SEARCH("3",'Procyclean MG'!D441)),EDATE(AB940,3),DATEVALUE('Procyclean MG'!D441))))),""))</f>
        <v/>
      </c>
      <c r="AM940" t="str">
        <f t="shared" ca="1" si="106"/>
        <v/>
      </c>
    </row>
    <row r="941" spans="27:39" x14ac:dyDescent="0.3">
      <c r="AA941" t="str">
        <f>IF(COUNTA('Procyclean MG'!A442,'Procyclean MG'!B442,'Procyclean MG'!C442)&gt;0,"MG","")</f>
        <v/>
      </c>
      <c r="AB941" t="str">
        <f>IFERROR(IF(ISNUMBER('Procyclean MG'!A442),'Procyclean MG'!A442,DATEVALUE('Procyclean MG'!A442)),"")</f>
        <v/>
      </c>
      <c r="AC941" t="str">
        <f>IF(AA941="","",'Procyclean MG'!B442)</f>
        <v/>
      </c>
      <c r="AD941" t="str">
        <f>IF(AA941="","",IFERROR(1*'Procyclean MG'!C442,IFERROR(_xludf.NUMBERVALUE('Procyclean MG'!C442,".",","),IFERROR(_xludf.NUMBERVALUE('Procyclean MG'!C442,",","."),0))))</f>
        <v/>
      </c>
      <c r="AE941" t="str">
        <f>IF(AA941="","",'Procyclean MG'!I442)</f>
        <v/>
      </c>
      <c r="AF941">
        <f t="shared" si="101"/>
        <v>0</v>
      </c>
      <c r="AG941" t="str">
        <f t="shared" si="102"/>
        <v/>
      </c>
      <c r="AH941" t="str">
        <f t="shared" si="103"/>
        <v/>
      </c>
      <c r="AI941">
        <f t="shared" si="104"/>
        <v>0</v>
      </c>
      <c r="AJ941">
        <f t="shared" si="105"/>
        <v>0</v>
      </c>
      <c r="AK941">
        <v>0</v>
      </c>
      <c r="AL941" t="str">
        <f>IF(AA941="","",IFERROR(IF(ISNUMBER('Procyclean MG'!D442),'Procyclean MG'!D442,IF(ISNUMBER(SEARCH("12",'Procyclean MG'!D442)),EDATE(AB941,12),IF(ISNUMBER(SEARCH("6",'Procyclean MG'!D442)),EDATE(AB941,6),IF(ISNUMBER(SEARCH("3",'Procyclean MG'!D442)),EDATE(AB941,3),DATEVALUE('Procyclean MG'!D442))))),""))</f>
        <v/>
      </c>
      <c r="AM941" t="str">
        <f t="shared" ca="1" si="106"/>
        <v/>
      </c>
    </row>
    <row r="942" spans="27:39" x14ac:dyDescent="0.3">
      <c r="AA942" t="str">
        <f>IF(COUNTA('Procyclean MG'!A443,'Procyclean MG'!B443,'Procyclean MG'!C443)&gt;0,"MG","")</f>
        <v/>
      </c>
      <c r="AB942" t="str">
        <f>IFERROR(IF(ISNUMBER('Procyclean MG'!A443),'Procyclean MG'!A443,DATEVALUE('Procyclean MG'!A443)),"")</f>
        <v/>
      </c>
      <c r="AC942" t="str">
        <f>IF(AA942="","",'Procyclean MG'!B443)</f>
        <v/>
      </c>
      <c r="AD942" t="str">
        <f>IF(AA942="","",IFERROR(1*'Procyclean MG'!C443,IFERROR(_xludf.NUMBERVALUE('Procyclean MG'!C443,".",","),IFERROR(_xludf.NUMBERVALUE('Procyclean MG'!C443,",","."),0))))</f>
        <v/>
      </c>
      <c r="AE942" t="str">
        <f>IF(AA942="","",'Procyclean MG'!I443)</f>
        <v/>
      </c>
      <c r="AF942">
        <f t="shared" si="101"/>
        <v>0</v>
      </c>
      <c r="AG942" t="str">
        <f t="shared" si="102"/>
        <v/>
      </c>
      <c r="AH942" t="str">
        <f t="shared" si="103"/>
        <v/>
      </c>
      <c r="AI942">
        <f t="shared" si="104"/>
        <v>0</v>
      </c>
      <c r="AJ942">
        <f t="shared" si="105"/>
        <v>0</v>
      </c>
      <c r="AK942">
        <v>0</v>
      </c>
      <c r="AL942" t="str">
        <f>IF(AA942="","",IFERROR(IF(ISNUMBER('Procyclean MG'!D443),'Procyclean MG'!D443,IF(ISNUMBER(SEARCH("12",'Procyclean MG'!D443)),EDATE(AB942,12),IF(ISNUMBER(SEARCH("6",'Procyclean MG'!D443)),EDATE(AB942,6),IF(ISNUMBER(SEARCH("3",'Procyclean MG'!D443)),EDATE(AB942,3),DATEVALUE('Procyclean MG'!D443))))),""))</f>
        <v/>
      </c>
      <c r="AM942" t="str">
        <f t="shared" ca="1" si="106"/>
        <v/>
      </c>
    </row>
    <row r="943" spans="27:39" x14ac:dyDescent="0.3">
      <c r="AA943" t="str">
        <f>IF(COUNTA('Procyclean MG'!A444,'Procyclean MG'!B444,'Procyclean MG'!C444)&gt;0,"MG","")</f>
        <v/>
      </c>
      <c r="AB943" t="str">
        <f>IFERROR(IF(ISNUMBER('Procyclean MG'!A444),'Procyclean MG'!A444,DATEVALUE('Procyclean MG'!A444)),"")</f>
        <v/>
      </c>
      <c r="AC943" t="str">
        <f>IF(AA943="","",'Procyclean MG'!B444)</f>
        <v/>
      </c>
      <c r="AD943" t="str">
        <f>IF(AA943="","",IFERROR(1*'Procyclean MG'!C444,IFERROR(_xludf.NUMBERVALUE('Procyclean MG'!C444,".",","),IFERROR(_xludf.NUMBERVALUE('Procyclean MG'!C444,",","."),0))))</f>
        <v/>
      </c>
      <c r="AE943" t="str">
        <f>IF(AA943="","",'Procyclean MG'!I444)</f>
        <v/>
      </c>
      <c r="AF943">
        <f t="shared" si="101"/>
        <v>0</v>
      </c>
      <c r="AG943" t="str">
        <f t="shared" si="102"/>
        <v/>
      </c>
      <c r="AH943" t="str">
        <f t="shared" si="103"/>
        <v/>
      </c>
      <c r="AI943">
        <f t="shared" si="104"/>
        <v>0</v>
      </c>
      <c r="AJ943">
        <f t="shared" si="105"/>
        <v>0</v>
      </c>
      <c r="AK943">
        <v>0</v>
      </c>
      <c r="AL943" t="str">
        <f>IF(AA943="","",IFERROR(IF(ISNUMBER('Procyclean MG'!D444),'Procyclean MG'!D444,IF(ISNUMBER(SEARCH("12",'Procyclean MG'!D444)),EDATE(AB943,12),IF(ISNUMBER(SEARCH("6",'Procyclean MG'!D444)),EDATE(AB943,6),IF(ISNUMBER(SEARCH("3",'Procyclean MG'!D444)),EDATE(AB943,3),DATEVALUE('Procyclean MG'!D444))))),""))</f>
        <v/>
      </c>
      <c r="AM943" t="str">
        <f t="shared" ca="1" si="106"/>
        <v/>
      </c>
    </row>
    <row r="944" spans="27:39" x14ac:dyDescent="0.3">
      <c r="AA944" t="str">
        <f>IF(COUNTA('Procyclean MG'!A445,'Procyclean MG'!B445,'Procyclean MG'!C445)&gt;0,"MG","")</f>
        <v/>
      </c>
      <c r="AB944" t="str">
        <f>IFERROR(IF(ISNUMBER('Procyclean MG'!A445),'Procyclean MG'!A445,DATEVALUE('Procyclean MG'!A445)),"")</f>
        <v/>
      </c>
      <c r="AC944" t="str">
        <f>IF(AA944="","",'Procyclean MG'!B445)</f>
        <v/>
      </c>
      <c r="AD944" t="str">
        <f>IF(AA944="","",IFERROR(1*'Procyclean MG'!C445,IFERROR(_xludf.NUMBERVALUE('Procyclean MG'!C445,".",","),IFERROR(_xludf.NUMBERVALUE('Procyclean MG'!C445,",","."),0))))</f>
        <v/>
      </c>
      <c r="AE944" t="str">
        <f>IF(AA944="","",'Procyclean MG'!I445)</f>
        <v/>
      </c>
      <c r="AF944">
        <f t="shared" si="101"/>
        <v>0</v>
      </c>
      <c r="AG944" t="str">
        <f t="shared" si="102"/>
        <v/>
      </c>
      <c r="AH944" t="str">
        <f t="shared" si="103"/>
        <v/>
      </c>
      <c r="AI944">
        <f t="shared" si="104"/>
        <v>0</v>
      </c>
      <c r="AJ944">
        <f t="shared" si="105"/>
        <v>0</v>
      </c>
      <c r="AK944">
        <v>0</v>
      </c>
      <c r="AL944" t="str">
        <f>IF(AA944="","",IFERROR(IF(ISNUMBER('Procyclean MG'!D445),'Procyclean MG'!D445,IF(ISNUMBER(SEARCH("12",'Procyclean MG'!D445)),EDATE(AB944,12),IF(ISNUMBER(SEARCH("6",'Procyclean MG'!D445)),EDATE(AB944,6),IF(ISNUMBER(SEARCH("3",'Procyclean MG'!D445)),EDATE(AB944,3),DATEVALUE('Procyclean MG'!D445))))),""))</f>
        <v/>
      </c>
      <c r="AM944" t="str">
        <f t="shared" ca="1" si="106"/>
        <v/>
      </c>
    </row>
    <row r="945" spans="27:39" x14ac:dyDescent="0.3">
      <c r="AA945" t="str">
        <f>IF(COUNTA('Procyclean MG'!A446,'Procyclean MG'!B446,'Procyclean MG'!C446)&gt;0,"MG","")</f>
        <v/>
      </c>
      <c r="AB945" t="str">
        <f>IFERROR(IF(ISNUMBER('Procyclean MG'!A446),'Procyclean MG'!A446,DATEVALUE('Procyclean MG'!A446)),"")</f>
        <v/>
      </c>
      <c r="AC945" t="str">
        <f>IF(AA945="","",'Procyclean MG'!B446)</f>
        <v/>
      </c>
      <c r="AD945" t="str">
        <f>IF(AA945="","",IFERROR(1*'Procyclean MG'!C446,IFERROR(_xludf.NUMBERVALUE('Procyclean MG'!C446,".",","),IFERROR(_xludf.NUMBERVALUE('Procyclean MG'!C446,",","."),0))))</f>
        <v/>
      </c>
      <c r="AE945" t="str">
        <f>IF(AA945="","",'Procyclean MG'!I446)</f>
        <v/>
      </c>
      <c r="AF945">
        <f t="shared" si="101"/>
        <v>0</v>
      </c>
      <c r="AG945" t="str">
        <f t="shared" si="102"/>
        <v/>
      </c>
      <c r="AH945" t="str">
        <f t="shared" si="103"/>
        <v/>
      </c>
      <c r="AI945">
        <f t="shared" si="104"/>
        <v>0</v>
      </c>
      <c r="AJ945">
        <f t="shared" si="105"/>
        <v>0</v>
      </c>
      <c r="AK945">
        <v>0</v>
      </c>
      <c r="AL945" t="str">
        <f>IF(AA945="","",IFERROR(IF(ISNUMBER('Procyclean MG'!D446),'Procyclean MG'!D446,IF(ISNUMBER(SEARCH("12",'Procyclean MG'!D446)),EDATE(AB945,12),IF(ISNUMBER(SEARCH("6",'Procyclean MG'!D446)),EDATE(AB945,6),IF(ISNUMBER(SEARCH("3",'Procyclean MG'!D446)),EDATE(AB945,3),DATEVALUE('Procyclean MG'!D446))))),""))</f>
        <v/>
      </c>
      <c r="AM945" t="str">
        <f t="shared" ca="1" si="106"/>
        <v/>
      </c>
    </row>
    <row r="946" spans="27:39" x14ac:dyDescent="0.3">
      <c r="AA946" t="str">
        <f>IF(COUNTA('Procyclean MG'!A447,'Procyclean MG'!B447,'Procyclean MG'!C447)&gt;0,"MG","")</f>
        <v/>
      </c>
      <c r="AB946" t="str">
        <f>IFERROR(IF(ISNUMBER('Procyclean MG'!A447),'Procyclean MG'!A447,DATEVALUE('Procyclean MG'!A447)),"")</f>
        <v/>
      </c>
      <c r="AC946" t="str">
        <f>IF(AA946="","",'Procyclean MG'!B447)</f>
        <v/>
      </c>
      <c r="AD946" t="str">
        <f>IF(AA946="","",IFERROR(1*'Procyclean MG'!C447,IFERROR(_xludf.NUMBERVALUE('Procyclean MG'!C447,".",","),IFERROR(_xludf.NUMBERVALUE('Procyclean MG'!C447,",","."),0))))</f>
        <v/>
      </c>
      <c r="AE946" t="str">
        <f>IF(AA946="","",'Procyclean MG'!I447)</f>
        <v/>
      </c>
      <c r="AF946">
        <f t="shared" si="101"/>
        <v>0</v>
      </c>
      <c r="AG946" t="str">
        <f t="shared" si="102"/>
        <v/>
      </c>
      <c r="AH946" t="str">
        <f t="shared" si="103"/>
        <v/>
      </c>
      <c r="AI946">
        <f t="shared" si="104"/>
        <v>0</v>
      </c>
      <c r="AJ946">
        <f t="shared" si="105"/>
        <v>0</v>
      </c>
      <c r="AK946">
        <v>0</v>
      </c>
      <c r="AL946" t="str">
        <f>IF(AA946="","",IFERROR(IF(ISNUMBER('Procyclean MG'!D447),'Procyclean MG'!D447,IF(ISNUMBER(SEARCH("12",'Procyclean MG'!D447)),EDATE(AB946,12),IF(ISNUMBER(SEARCH("6",'Procyclean MG'!D447)),EDATE(AB946,6),IF(ISNUMBER(SEARCH("3",'Procyclean MG'!D447)),EDATE(AB946,3),DATEVALUE('Procyclean MG'!D447))))),""))</f>
        <v/>
      </c>
      <c r="AM946" t="str">
        <f t="shared" ca="1" si="106"/>
        <v/>
      </c>
    </row>
    <row r="947" spans="27:39" x14ac:dyDescent="0.3">
      <c r="AA947" t="str">
        <f>IF(COUNTA('Procyclean MG'!A448,'Procyclean MG'!B448,'Procyclean MG'!C448)&gt;0,"MG","")</f>
        <v/>
      </c>
      <c r="AB947" t="str">
        <f>IFERROR(IF(ISNUMBER('Procyclean MG'!A448),'Procyclean MG'!A448,DATEVALUE('Procyclean MG'!A448)),"")</f>
        <v/>
      </c>
      <c r="AC947" t="str">
        <f>IF(AA947="","",'Procyclean MG'!B448)</f>
        <v/>
      </c>
      <c r="AD947" t="str">
        <f>IF(AA947="","",IFERROR(1*'Procyclean MG'!C448,IFERROR(_xludf.NUMBERVALUE('Procyclean MG'!C448,".",","),IFERROR(_xludf.NUMBERVALUE('Procyclean MG'!C448,",","."),0))))</f>
        <v/>
      </c>
      <c r="AE947" t="str">
        <f>IF(AA947="","",'Procyclean MG'!I448)</f>
        <v/>
      </c>
      <c r="AF947">
        <f t="shared" si="101"/>
        <v>0</v>
      </c>
      <c r="AG947" t="str">
        <f t="shared" si="102"/>
        <v/>
      </c>
      <c r="AH947" t="str">
        <f t="shared" si="103"/>
        <v/>
      </c>
      <c r="AI947">
        <f t="shared" si="104"/>
        <v>0</v>
      </c>
      <c r="AJ947">
        <f t="shared" si="105"/>
        <v>0</v>
      </c>
      <c r="AK947">
        <v>0</v>
      </c>
      <c r="AL947" t="str">
        <f>IF(AA947="","",IFERROR(IF(ISNUMBER('Procyclean MG'!D448),'Procyclean MG'!D448,IF(ISNUMBER(SEARCH("12",'Procyclean MG'!D448)),EDATE(AB947,12),IF(ISNUMBER(SEARCH("6",'Procyclean MG'!D448)),EDATE(AB947,6),IF(ISNUMBER(SEARCH("3",'Procyclean MG'!D448)),EDATE(AB947,3),DATEVALUE('Procyclean MG'!D448))))),""))</f>
        <v/>
      </c>
      <c r="AM947" t="str">
        <f t="shared" ca="1" si="106"/>
        <v/>
      </c>
    </row>
    <row r="948" spans="27:39" x14ac:dyDescent="0.3">
      <c r="AA948" t="str">
        <f>IF(COUNTA('Procyclean MG'!A449,'Procyclean MG'!B449,'Procyclean MG'!C449)&gt;0,"MG","")</f>
        <v/>
      </c>
      <c r="AB948" t="str">
        <f>IFERROR(IF(ISNUMBER('Procyclean MG'!A449),'Procyclean MG'!A449,DATEVALUE('Procyclean MG'!A449)),"")</f>
        <v/>
      </c>
      <c r="AC948" t="str">
        <f>IF(AA948="","",'Procyclean MG'!B449)</f>
        <v/>
      </c>
      <c r="AD948" t="str">
        <f>IF(AA948="","",IFERROR(1*'Procyclean MG'!C449,IFERROR(_xludf.NUMBERVALUE('Procyclean MG'!C449,".",","),IFERROR(_xludf.NUMBERVALUE('Procyclean MG'!C449,",","."),0))))</f>
        <v/>
      </c>
      <c r="AE948" t="str">
        <f>IF(AA948="","",'Procyclean MG'!I449)</f>
        <v/>
      </c>
      <c r="AF948">
        <f t="shared" si="101"/>
        <v>0</v>
      </c>
      <c r="AG948" t="str">
        <f t="shared" si="102"/>
        <v/>
      </c>
      <c r="AH948" t="str">
        <f t="shared" si="103"/>
        <v/>
      </c>
      <c r="AI948">
        <f t="shared" si="104"/>
        <v>0</v>
      </c>
      <c r="AJ948">
        <f t="shared" si="105"/>
        <v>0</v>
      </c>
      <c r="AK948">
        <v>0</v>
      </c>
      <c r="AL948" t="str">
        <f>IF(AA948="","",IFERROR(IF(ISNUMBER('Procyclean MG'!D449),'Procyclean MG'!D449,IF(ISNUMBER(SEARCH("12",'Procyclean MG'!D449)),EDATE(AB948,12),IF(ISNUMBER(SEARCH("6",'Procyclean MG'!D449)),EDATE(AB948,6),IF(ISNUMBER(SEARCH("3",'Procyclean MG'!D449)),EDATE(AB948,3),DATEVALUE('Procyclean MG'!D449))))),""))</f>
        <v/>
      </c>
      <c r="AM948" t="str">
        <f t="shared" ca="1" si="106"/>
        <v/>
      </c>
    </row>
    <row r="949" spans="27:39" x14ac:dyDescent="0.3">
      <c r="AA949" t="str">
        <f>IF(COUNTA('Procyclean MG'!A450,'Procyclean MG'!B450,'Procyclean MG'!C450)&gt;0,"MG","")</f>
        <v/>
      </c>
      <c r="AB949" t="str">
        <f>IFERROR(IF(ISNUMBER('Procyclean MG'!A450),'Procyclean MG'!A450,DATEVALUE('Procyclean MG'!A450)),"")</f>
        <v/>
      </c>
      <c r="AC949" t="str">
        <f>IF(AA949="","",'Procyclean MG'!B450)</f>
        <v/>
      </c>
      <c r="AD949" t="str">
        <f>IF(AA949="","",IFERROR(1*'Procyclean MG'!C450,IFERROR(_xludf.NUMBERVALUE('Procyclean MG'!C450,".",","),IFERROR(_xludf.NUMBERVALUE('Procyclean MG'!C450,",","."),0))))</f>
        <v/>
      </c>
      <c r="AE949" t="str">
        <f>IF(AA949="","",'Procyclean MG'!I450)</f>
        <v/>
      </c>
      <c r="AF949">
        <f t="shared" si="101"/>
        <v>0</v>
      </c>
      <c r="AG949" t="str">
        <f t="shared" si="102"/>
        <v/>
      </c>
      <c r="AH949" t="str">
        <f t="shared" si="103"/>
        <v/>
      </c>
      <c r="AI949">
        <f t="shared" si="104"/>
        <v>0</v>
      </c>
      <c r="AJ949">
        <f t="shared" si="105"/>
        <v>0</v>
      </c>
      <c r="AK949">
        <v>0</v>
      </c>
      <c r="AL949" t="str">
        <f>IF(AA949="","",IFERROR(IF(ISNUMBER('Procyclean MG'!D450),'Procyclean MG'!D450,IF(ISNUMBER(SEARCH("12",'Procyclean MG'!D450)),EDATE(AB949,12),IF(ISNUMBER(SEARCH("6",'Procyclean MG'!D450)),EDATE(AB949,6),IF(ISNUMBER(SEARCH("3",'Procyclean MG'!D450)),EDATE(AB949,3),DATEVALUE('Procyclean MG'!D450))))),""))</f>
        <v/>
      </c>
      <c r="AM949" t="str">
        <f t="shared" ca="1" si="106"/>
        <v/>
      </c>
    </row>
    <row r="950" spans="27:39" x14ac:dyDescent="0.3">
      <c r="AA950" t="str">
        <f>IF(COUNTA('Procyclean MG'!A451,'Procyclean MG'!B451,'Procyclean MG'!C451)&gt;0,"MG","")</f>
        <v/>
      </c>
      <c r="AB950" t="str">
        <f>IFERROR(IF(ISNUMBER('Procyclean MG'!A451),'Procyclean MG'!A451,DATEVALUE('Procyclean MG'!A451)),"")</f>
        <v/>
      </c>
      <c r="AC950" t="str">
        <f>IF(AA950="","",'Procyclean MG'!B451)</f>
        <v/>
      </c>
      <c r="AD950" t="str">
        <f>IF(AA950="","",IFERROR(1*'Procyclean MG'!C451,IFERROR(_xludf.NUMBERVALUE('Procyclean MG'!C451,".",","),IFERROR(_xludf.NUMBERVALUE('Procyclean MG'!C451,",","."),0))))</f>
        <v/>
      </c>
      <c r="AE950" t="str">
        <f>IF(AA950="","",'Procyclean MG'!I451)</f>
        <v/>
      </c>
      <c r="AF950">
        <f t="shared" si="101"/>
        <v>0</v>
      </c>
      <c r="AG950" t="str">
        <f t="shared" si="102"/>
        <v/>
      </c>
      <c r="AH950" t="str">
        <f t="shared" si="103"/>
        <v/>
      </c>
      <c r="AI950">
        <f t="shared" si="104"/>
        <v>0</v>
      </c>
      <c r="AJ950">
        <f t="shared" si="105"/>
        <v>0</v>
      </c>
      <c r="AK950">
        <v>0</v>
      </c>
      <c r="AL950" t="str">
        <f>IF(AA950="","",IFERROR(IF(ISNUMBER('Procyclean MG'!D451),'Procyclean MG'!D451,IF(ISNUMBER(SEARCH("12",'Procyclean MG'!D451)),EDATE(AB950,12),IF(ISNUMBER(SEARCH("6",'Procyclean MG'!D451)),EDATE(AB950,6),IF(ISNUMBER(SEARCH("3",'Procyclean MG'!D451)),EDATE(AB950,3),DATEVALUE('Procyclean MG'!D451))))),""))</f>
        <v/>
      </c>
      <c r="AM950" t="str">
        <f t="shared" ca="1" si="106"/>
        <v/>
      </c>
    </row>
    <row r="951" spans="27:39" x14ac:dyDescent="0.3">
      <c r="AA951" t="str">
        <f>IF(COUNTA('Procyclean MG'!A452,'Procyclean MG'!B452,'Procyclean MG'!C452)&gt;0,"MG","")</f>
        <v/>
      </c>
      <c r="AB951" t="str">
        <f>IFERROR(IF(ISNUMBER('Procyclean MG'!A452),'Procyclean MG'!A452,DATEVALUE('Procyclean MG'!A452)),"")</f>
        <v/>
      </c>
      <c r="AC951" t="str">
        <f>IF(AA951="","",'Procyclean MG'!B452)</f>
        <v/>
      </c>
      <c r="AD951" t="str">
        <f>IF(AA951="","",IFERROR(1*'Procyclean MG'!C452,IFERROR(_xludf.NUMBERVALUE('Procyclean MG'!C452,".",","),IFERROR(_xludf.NUMBERVALUE('Procyclean MG'!C452,",","."),0))))</f>
        <v/>
      </c>
      <c r="AE951" t="str">
        <f>IF(AA951="","",'Procyclean MG'!I452)</f>
        <v/>
      </c>
      <c r="AF951">
        <f t="shared" si="101"/>
        <v>0</v>
      </c>
      <c r="AG951" t="str">
        <f t="shared" si="102"/>
        <v/>
      </c>
      <c r="AH951" t="str">
        <f t="shared" si="103"/>
        <v/>
      </c>
      <c r="AI951">
        <f t="shared" si="104"/>
        <v>0</v>
      </c>
      <c r="AJ951">
        <f t="shared" si="105"/>
        <v>0</v>
      </c>
      <c r="AK951">
        <v>0</v>
      </c>
      <c r="AL951" t="str">
        <f>IF(AA951="","",IFERROR(IF(ISNUMBER('Procyclean MG'!D452),'Procyclean MG'!D452,IF(ISNUMBER(SEARCH("12",'Procyclean MG'!D452)),EDATE(AB951,12),IF(ISNUMBER(SEARCH("6",'Procyclean MG'!D452)),EDATE(AB951,6),IF(ISNUMBER(SEARCH("3",'Procyclean MG'!D452)),EDATE(AB951,3),DATEVALUE('Procyclean MG'!D452))))),""))</f>
        <v/>
      </c>
      <c r="AM951" t="str">
        <f t="shared" ca="1" si="106"/>
        <v/>
      </c>
    </row>
    <row r="952" spans="27:39" x14ac:dyDescent="0.3">
      <c r="AA952" t="str">
        <f>IF(COUNTA('Procyclean MG'!A453,'Procyclean MG'!B453,'Procyclean MG'!C453)&gt;0,"MG","")</f>
        <v/>
      </c>
      <c r="AB952" t="str">
        <f>IFERROR(IF(ISNUMBER('Procyclean MG'!A453),'Procyclean MG'!A453,DATEVALUE('Procyclean MG'!A453)),"")</f>
        <v/>
      </c>
      <c r="AC952" t="str">
        <f>IF(AA952="","",'Procyclean MG'!B453)</f>
        <v/>
      </c>
      <c r="AD952" t="str">
        <f>IF(AA952="","",IFERROR(1*'Procyclean MG'!C453,IFERROR(_xludf.NUMBERVALUE('Procyclean MG'!C453,".",","),IFERROR(_xludf.NUMBERVALUE('Procyclean MG'!C453,",","."),0))))</f>
        <v/>
      </c>
      <c r="AE952" t="str">
        <f>IF(AA952="","",'Procyclean MG'!I453)</f>
        <v/>
      </c>
      <c r="AF952">
        <f t="shared" si="101"/>
        <v>0</v>
      </c>
      <c r="AG952" t="str">
        <f t="shared" si="102"/>
        <v/>
      </c>
      <c r="AH952" t="str">
        <f t="shared" si="103"/>
        <v/>
      </c>
      <c r="AI952">
        <f t="shared" si="104"/>
        <v>0</v>
      </c>
      <c r="AJ952">
        <f t="shared" si="105"/>
        <v>0</v>
      </c>
      <c r="AK952">
        <v>0</v>
      </c>
      <c r="AL952" t="str">
        <f>IF(AA952="","",IFERROR(IF(ISNUMBER('Procyclean MG'!D453),'Procyclean MG'!D453,IF(ISNUMBER(SEARCH("12",'Procyclean MG'!D453)),EDATE(AB952,12),IF(ISNUMBER(SEARCH("6",'Procyclean MG'!D453)),EDATE(AB952,6),IF(ISNUMBER(SEARCH("3",'Procyclean MG'!D453)),EDATE(AB952,3),DATEVALUE('Procyclean MG'!D453))))),""))</f>
        <v/>
      </c>
      <c r="AM952" t="str">
        <f t="shared" ca="1" si="106"/>
        <v/>
      </c>
    </row>
    <row r="953" spans="27:39" x14ac:dyDescent="0.3">
      <c r="AA953" t="str">
        <f>IF(COUNTA('Procyclean MG'!A454,'Procyclean MG'!B454,'Procyclean MG'!C454)&gt;0,"MG","")</f>
        <v/>
      </c>
      <c r="AB953" t="str">
        <f>IFERROR(IF(ISNUMBER('Procyclean MG'!A454),'Procyclean MG'!A454,DATEVALUE('Procyclean MG'!A454)),"")</f>
        <v/>
      </c>
      <c r="AC953" t="str">
        <f>IF(AA953="","",'Procyclean MG'!B454)</f>
        <v/>
      </c>
      <c r="AD953" t="str">
        <f>IF(AA953="","",IFERROR(1*'Procyclean MG'!C454,IFERROR(_xludf.NUMBERVALUE('Procyclean MG'!C454,".",","),IFERROR(_xludf.NUMBERVALUE('Procyclean MG'!C454,",","."),0))))</f>
        <v/>
      </c>
      <c r="AE953" t="str">
        <f>IF(AA953="","",'Procyclean MG'!I454)</f>
        <v/>
      </c>
      <c r="AF953">
        <f t="shared" si="101"/>
        <v>0</v>
      </c>
      <c r="AG953" t="str">
        <f t="shared" si="102"/>
        <v/>
      </c>
      <c r="AH953" t="str">
        <f t="shared" si="103"/>
        <v/>
      </c>
      <c r="AI953">
        <f t="shared" si="104"/>
        <v>0</v>
      </c>
      <c r="AJ953">
        <f t="shared" si="105"/>
        <v>0</v>
      </c>
      <c r="AK953">
        <v>0</v>
      </c>
      <c r="AL953" t="str">
        <f>IF(AA953="","",IFERROR(IF(ISNUMBER('Procyclean MG'!D454),'Procyclean MG'!D454,IF(ISNUMBER(SEARCH("12",'Procyclean MG'!D454)),EDATE(AB953,12),IF(ISNUMBER(SEARCH("6",'Procyclean MG'!D454)),EDATE(AB953,6),IF(ISNUMBER(SEARCH("3",'Procyclean MG'!D454)),EDATE(AB953,3),DATEVALUE('Procyclean MG'!D454))))),""))</f>
        <v/>
      </c>
      <c r="AM953" t="str">
        <f t="shared" ca="1" si="106"/>
        <v/>
      </c>
    </row>
    <row r="954" spans="27:39" x14ac:dyDescent="0.3">
      <c r="AA954" t="str">
        <f>IF(COUNTA('Procyclean MG'!A455,'Procyclean MG'!B455,'Procyclean MG'!C455)&gt;0,"MG","")</f>
        <v/>
      </c>
      <c r="AB954" t="str">
        <f>IFERROR(IF(ISNUMBER('Procyclean MG'!A455),'Procyclean MG'!A455,DATEVALUE('Procyclean MG'!A455)),"")</f>
        <v/>
      </c>
      <c r="AC954" t="str">
        <f>IF(AA954="","",'Procyclean MG'!B455)</f>
        <v/>
      </c>
      <c r="AD954" t="str">
        <f>IF(AA954="","",IFERROR(1*'Procyclean MG'!C455,IFERROR(_xludf.NUMBERVALUE('Procyclean MG'!C455,".",","),IFERROR(_xludf.NUMBERVALUE('Procyclean MG'!C455,",","."),0))))</f>
        <v/>
      </c>
      <c r="AE954" t="str">
        <f>IF(AA954="","",'Procyclean MG'!I455)</f>
        <v/>
      </c>
      <c r="AF954">
        <f t="shared" si="101"/>
        <v>0</v>
      </c>
      <c r="AG954" t="str">
        <f t="shared" si="102"/>
        <v/>
      </c>
      <c r="AH954" t="str">
        <f t="shared" si="103"/>
        <v/>
      </c>
      <c r="AI954">
        <f t="shared" si="104"/>
        <v>0</v>
      </c>
      <c r="AJ954">
        <f t="shared" si="105"/>
        <v>0</v>
      </c>
      <c r="AK954">
        <v>0</v>
      </c>
      <c r="AL954" t="str">
        <f>IF(AA954="","",IFERROR(IF(ISNUMBER('Procyclean MG'!D455),'Procyclean MG'!D455,IF(ISNUMBER(SEARCH("12",'Procyclean MG'!D455)),EDATE(AB954,12),IF(ISNUMBER(SEARCH("6",'Procyclean MG'!D455)),EDATE(AB954,6),IF(ISNUMBER(SEARCH("3",'Procyclean MG'!D455)),EDATE(AB954,3),DATEVALUE('Procyclean MG'!D455))))),""))</f>
        <v/>
      </c>
      <c r="AM954" t="str">
        <f t="shared" ca="1" si="106"/>
        <v/>
      </c>
    </row>
    <row r="955" spans="27:39" x14ac:dyDescent="0.3">
      <c r="AA955" t="str">
        <f>IF(COUNTA('Procyclean MG'!A456,'Procyclean MG'!B456,'Procyclean MG'!C456)&gt;0,"MG","")</f>
        <v/>
      </c>
      <c r="AB955" t="str">
        <f>IFERROR(IF(ISNUMBER('Procyclean MG'!A456),'Procyclean MG'!A456,DATEVALUE('Procyclean MG'!A456)),"")</f>
        <v/>
      </c>
      <c r="AC955" t="str">
        <f>IF(AA955="","",'Procyclean MG'!B456)</f>
        <v/>
      </c>
      <c r="AD955" t="str">
        <f>IF(AA955="","",IFERROR(1*'Procyclean MG'!C456,IFERROR(_xludf.NUMBERVALUE('Procyclean MG'!C456,".",","),IFERROR(_xludf.NUMBERVALUE('Procyclean MG'!C456,",","."),0))))</f>
        <v/>
      </c>
      <c r="AE955" t="str">
        <f>IF(AA955="","",'Procyclean MG'!I456)</f>
        <v/>
      </c>
      <c r="AF955">
        <f t="shared" si="101"/>
        <v>0</v>
      </c>
      <c r="AG955" t="str">
        <f t="shared" si="102"/>
        <v/>
      </c>
      <c r="AH955" t="str">
        <f t="shared" si="103"/>
        <v/>
      </c>
      <c r="AI955">
        <f t="shared" si="104"/>
        <v>0</v>
      </c>
      <c r="AJ955">
        <f t="shared" si="105"/>
        <v>0</v>
      </c>
      <c r="AK955">
        <v>0</v>
      </c>
      <c r="AL955" t="str">
        <f>IF(AA955="","",IFERROR(IF(ISNUMBER('Procyclean MG'!D456),'Procyclean MG'!D456,IF(ISNUMBER(SEARCH("12",'Procyclean MG'!D456)),EDATE(AB955,12),IF(ISNUMBER(SEARCH("6",'Procyclean MG'!D456)),EDATE(AB955,6),IF(ISNUMBER(SEARCH("3",'Procyclean MG'!D456)),EDATE(AB955,3),DATEVALUE('Procyclean MG'!D456))))),""))</f>
        <v/>
      </c>
      <c r="AM955" t="str">
        <f t="shared" ca="1" si="106"/>
        <v/>
      </c>
    </row>
    <row r="956" spans="27:39" x14ac:dyDescent="0.3">
      <c r="AA956" t="str">
        <f>IF(COUNTA('Procyclean MG'!A457,'Procyclean MG'!B457,'Procyclean MG'!C457)&gt;0,"MG","")</f>
        <v/>
      </c>
      <c r="AB956" t="str">
        <f>IFERROR(IF(ISNUMBER('Procyclean MG'!A457),'Procyclean MG'!A457,DATEVALUE('Procyclean MG'!A457)),"")</f>
        <v/>
      </c>
      <c r="AC956" t="str">
        <f>IF(AA956="","",'Procyclean MG'!B457)</f>
        <v/>
      </c>
      <c r="AD956" t="str">
        <f>IF(AA956="","",IFERROR(1*'Procyclean MG'!C457,IFERROR(_xludf.NUMBERVALUE('Procyclean MG'!C457,".",","),IFERROR(_xludf.NUMBERVALUE('Procyclean MG'!C457,",","."),0))))</f>
        <v/>
      </c>
      <c r="AE956" t="str">
        <f>IF(AA956="","",'Procyclean MG'!I457)</f>
        <v/>
      </c>
      <c r="AF956">
        <f t="shared" si="101"/>
        <v>0</v>
      </c>
      <c r="AG956" t="str">
        <f t="shared" si="102"/>
        <v/>
      </c>
      <c r="AH956" t="str">
        <f t="shared" si="103"/>
        <v/>
      </c>
      <c r="AI956">
        <f t="shared" si="104"/>
        <v>0</v>
      </c>
      <c r="AJ956">
        <f t="shared" si="105"/>
        <v>0</v>
      </c>
      <c r="AK956">
        <v>0</v>
      </c>
      <c r="AL956" t="str">
        <f>IF(AA956="","",IFERROR(IF(ISNUMBER('Procyclean MG'!D457),'Procyclean MG'!D457,IF(ISNUMBER(SEARCH("12",'Procyclean MG'!D457)),EDATE(AB956,12),IF(ISNUMBER(SEARCH("6",'Procyclean MG'!D457)),EDATE(AB956,6),IF(ISNUMBER(SEARCH("3",'Procyclean MG'!D457)),EDATE(AB956,3),DATEVALUE('Procyclean MG'!D457))))),""))</f>
        <v/>
      </c>
      <c r="AM956" t="str">
        <f t="shared" ca="1" si="106"/>
        <v/>
      </c>
    </row>
    <row r="957" spans="27:39" x14ac:dyDescent="0.3">
      <c r="AA957" t="str">
        <f>IF(COUNTA('Procyclean MG'!A458,'Procyclean MG'!B458,'Procyclean MG'!C458)&gt;0,"MG","")</f>
        <v/>
      </c>
      <c r="AB957" t="str">
        <f>IFERROR(IF(ISNUMBER('Procyclean MG'!A458),'Procyclean MG'!A458,DATEVALUE('Procyclean MG'!A458)),"")</f>
        <v/>
      </c>
      <c r="AC957" t="str">
        <f>IF(AA957="","",'Procyclean MG'!B458)</f>
        <v/>
      </c>
      <c r="AD957" t="str">
        <f>IF(AA957="","",IFERROR(1*'Procyclean MG'!C458,IFERROR(_xludf.NUMBERVALUE('Procyclean MG'!C458,".",","),IFERROR(_xludf.NUMBERVALUE('Procyclean MG'!C458,",","."),0))))</f>
        <v/>
      </c>
      <c r="AE957" t="str">
        <f>IF(AA957="","",'Procyclean MG'!I458)</f>
        <v/>
      </c>
      <c r="AF957">
        <f t="shared" si="101"/>
        <v>0</v>
      </c>
      <c r="AG957" t="str">
        <f t="shared" si="102"/>
        <v/>
      </c>
      <c r="AH957" t="str">
        <f t="shared" si="103"/>
        <v/>
      </c>
      <c r="AI957">
        <f t="shared" si="104"/>
        <v>0</v>
      </c>
      <c r="AJ957">
        <f t="shared" si="105"/>
        <v>0</v>
      </c>
      <c r="AK957">
        <v>0</v>
      </c>
      <c r="AL957" t="str">
        <f>IF(AA957="","",IFERROR(IF(ISNUMBER('Procyclean MG'!D458),'Procyclean MG'!D458,IF(ISNUMBER(SEARCH("12",'Procyclean MG'!D458)),EDATE(AB957,12),IF(ISNUMBER(SEARCH("6",'Procyclean MG'!D458)),EDATE(AB957,6),IF(ISNUMBER(SEARCH("3",'Procyclean MG'!D458)),EDATE(AB957,3),DATEVALUE('Procyclean MG'!D458))))),""))</f>
        <v/>
      </c>
      <c r="AM957" t="str">
        <f t="shared" ca="1" si="106"/>
        <v/>
      </c>
    </row>
    <row r="958" spans="27:39" x14ac:dyDescent="0.3">
      <c r="AA958" t="str">
        <f>IF(COUNTA('Procyclean MG'!A459,'Procyclean MG'!B459,'Procyclean MG'!C459)&gt;0,"MG","")</f>
        <v/>
      </c>
      <c r="AB958" t="str">
        <f>IFERROR(IF(ISNUMBER('Procyclean MG'!A459),'Procyclean MG'!A459,DATEVALUE('Procyclean MG'!A459)),"")</f>
        <v/>
      </c>
      <c r="AC958" t="str">
        <f>IF(AA958="","",'Procyclean MG'!B459)</f>
        <v/>
      </c>
      <c r="AD958" t="str">
        <f>IF(AA958="","",IFERROR(1*'Procyclean MG'!C459,IFERROR(_xludf.NUMBERVALUE('Procyclean MG'!C459,".",","),IFERROR(_xludf.NUMBERVALUE('Procyclean MG'!C459,",","."),0))))</f>
        <v/>
      </c>
      <c r="AE958" t="str">
        <f>IF(AA958="","",'Procyclean MG'!I459)</f>
        <v/>
      </c>
      <c r="AF958">
        <f t="shared" si="101"/>
        <v>0</v>
      </c>
      <c r="AG958" t="str">
        <f t="shared" si="102"/>
        <v/>
      </c>
      <c r="AH958" t="str">
        <f t="shared" si="103"/>
        <v/>
      </c>
      <c r="AI958">
        <f t="shared" si="104"/>
        <v>0</v>
      </c>
      <c r="AJ958">
        <f t="shared" si="105"/>
        <v>0</v>
      </c>
      <c r="AK958">
        <v>0</v>
      </c>
      <c r="AL958" t="str">
        <f>IF(AA958="","",IFERROR(IF(ISNUMBER('Procyclean MG'!D459),'Procyclean MG'!D459,IF(ISNUMBER(SEARCH("12",'Procyclean MG'!D459)),EDATE(AB958,12),IF(ISNUMBER(SEARCH("6",'Procyclean MG'!D459)),EDATE(AB958,6),IF(ISNUMBER(SEARCH("3",'Procyclean MG'!D459)),EDATE(AB958,3),DATEVALUE('Procyclean MG'!D459))))),""))</f>
        <v/>
      </c>
      <c r="AM958" t="str">
        <f t="shared" ca="1" si="106"/>
        <v/>
      </c>
    </row>
    <row r="959" spans="27:39" x14ac:dyDescent="0.3">
      <c r="AA959" t="str">
        <f>IF(COUNTA('Procyclean MG'!A460,'Procyclean MG'!B460,'Procyclean MG'!C460)&gt;0,"MG","")</f>
        <v/>
      </c>
      <c r="AB959" t="str">
        <f>IFERROR(IF(ISNUMBER('Procyclean MG'!A460),'Procyclean MG'!A460,DATEVALUE('Procyclean MG'!A460)),"")</f>
        <v/>
      </c>
      <c r="AC959" t="str">
        <f>IF(AA959="","",'Procyclean MG'!B460)</f>
        <v/>
      </c>
      <c r="AD959" t="str">
        <f>IF(AA959="","",IFERROR(1*'Procyclean MG'!C460,IFERROR(_xludf.NUMBERVALUE('Procyclean MG'!C460,".",","),IFERROR(_xludf.NUMBERVALUE('Procyclean MG'!C460,",","."),0))))</f>
        <v/>
      </c>
      <c r="AE959" t="str">
        <f>IF(AA959="","",'Procyclean MG'!I460)</f>
        <v/>
      </c>
      <c r="AF959">
        <f t="shared" si="101"/>
        <v>0</v>
      </c>
      <c r="AG959" t="str">
        <f t="shared" si="102"/>
        <v/>
      </c>
      <c r="AH959" t="str">
        <f t="shared" si="103"/>
        <v/>
      </c>
      <c r="AI959">
        <f t="shared" si="104"/>
        <v>0</v>
      </c>
      <c r="AJ959">
        <f t="shared" si="105"/>
        <v>0</v>
      </c>
      <c r="AK959">
        <v>0</v>
      </c>
      <c r="AL959" t="str">
        <f>IF(AA959="","",IFERROR(IF(ISNUMBER('Procyclean MG'!D460),'Procyclean MG'!D460,IF(ISNUMBER(SEARCH("12",'Procyclean MG'!D460)),EDATE(AB959,12),IF(ISNUMBER(SEARCH("6",'Procyclean MG'!D460)),EDATE(AB959,6),IF(ISNUMBER(SEARCH("3",'Procyclean MG'!D460)),EDATE(AB959,3),DATEVALUE('Procyclean MG'!D460))))),""))</f>
        <v/>
      </c>
      <c r="AM959" t="str">
        <f t="shared" ca="1" si="106"/>
        <v/>
      </c>
    </row>
    <row r="960" spans="27:39" x14ac:dyDescent="0.3">
      <c r="AA960" t="str">
        <f>IF(COUNTA('Procyclean MG'!A461,'Procyclean MG'!B461,'Procyclean MG'!C461)&gt;0,"MG","")</f>
        <v/>
      </c>
      <c r="AB960" t="str">
        <f>IFERROR(IF(ISNUMBER('Procyclean MG'!A461),'Procyclean MG'!A461,DATEVALUE('Procyclean MG'!A461)),"")</f>
        <v/>
      </c>
      <c r="AC960" t="str">
        <f>IF(AA960="","",'Procyclean MG'!B461)</f>
        <v/>
      </c>
      <c r="AD960" t="str">
        <f>IF(AA960="","",IFERROR(1*'Procyclean MG'!C461,IFERROR(_xludf.NUMBERVALUE('Procyclean MG'!C461,".",","),IFERROR(_xludf.NUMBERVALUE('Procyclean MG'!C461,",","."),0))))</f>
        <v/>
      </c>
      <c r="AE960" t="str">
        <f>IF(AA960="","",'Procyclean MG'!I461)</f>
        <v/>
      </c>
      <c r="AF960">
        <f t="shared" si="101"/>
        <v>0</v>
      </c>
      <c r="AG960" t="str">
        <f t="shared" si="102"/>
        <v/>
      </c>
      <c r="AH960" t="str">
        <f t="shared" si="103"/>
        <v/>
      </c>
      <c r="AI960">
        <f t="shared" si="104"/>
        <v>0</v>
      </c>
      <c r="AJ960">
        <f t="shared" si="105"/>
        <v>0</v>
      </c>
      <c r="AK960">
        <v>0</v>
      </c>
      <c r="AL960" t="str">
        <f>IF(AA960="","",IFERROR(IF(ISNUMBER('Procyclean MG'!D461),'Procyclean MG'!D461,IF(ISNUMBER(SEARCH("12",'Procyclean MG'!D461)),EDATE(AB960,12),IF(ISNUMBER(SEARCH("6",'Procyclean MG'!D461)),EDATE(AB960,6),IF(ISNUMBER(SEARCH("3",'Procyclean MG'!D461)),EDATE(AB960,3),DATEVALUE('Procyclean MG'!D461))))),""))</f>
        <v/>
      </c>
      <c r="AM960" t="str">
        <f t="shared" ca="1" si="106"/>
        <v/>
      </c>
    </row>
    <row r="961" spans="27:39" x14ac:dyDescent="0.3">
      <c r="AA961" t="str">
        <f>IF(COUNTA('Procyclean MG'!A462,'Procyclean MG'!B462,'Procyclean MG'!C462)&gt;0,"MG","")</f>
        <v/>
      </c>
      <c r="AB961" t="str">
        <f>IFERROR(IF(ISNUMBER('Procyclean MG'!A462),'Procyclean MG'!A462,DATEVALUE('Procyclean MG'!A462)),"")</f>
        <v/>
      </c>
      <c r="AC961" t="str">
        <f>IF(AA961="","",'Procyclean MG'!B462)</f>
        <v/>
      </c>
      <c r="AD961" t="str">
        <f>IF(AA961="","",IFERROR(1*'Procyclean MG'!C462,IFERROR(_xludf.NUMBERVALUE('Procyclean MG'!C462,".",","),IFERROR(_xludf.NUMBERVALUE('Procyclean MG'!C462,",","."),0))))</f>
        <v/>
      </c>
      <c r="AE961" t="str">
        <f>IF(AA961="","",'Procyclean MG'!I462)</f>
        <v/>
      </c>
      <c r="AF961">
        <f t="shared" si="101"/>
        <v>0</v>
      </c>
      <c r="AG961" t="str">
        <f t="shared" si="102"/>
        <v/>
      </c>
      <c r="AH961" t="str">
        <f t="shared" si="103"/>
        <v/>
      </c>
      <c r="AI961">
        <f t="shared" si="104"/>
        <v>0</v>
      </c>
      <c r="AJ961">
        <f t="shared" si="105"/>
        <v>0</v>
      </c>
      <c r="AK961">
        <v>0</v>
      </c>
      <c r="AL961" t="str">
        <f>IF(AA961="","",IFERROR(IF(ISNUMBER('Procyclean MG'!D462),'Procyclean MG'!D462,IF(ISNUMBER(SEARCH("12",'Procyclean MG'!D462)),EDATE(AB961,12),IF(ISNUMBER(SEARCH("6",'Procyclean MG'!D462)),EDATE(AB961,6),IF(ISNUMBER(SEARCH("3",'Procyclean MG'!D462)),EDATE(AB961,3),DATEVALUE('Procyclean MG'!D462))))),""))</f>
        <v/>
      </c>
      <c r="AM961" t="str">
        <f t="shared" ca="1" si="106"/>
        <v/>
      </c>
    </row>
    <row r="962" spans="27:39" x14ac:dyDescent="0.3">
      <c r="AA962" t="str">
        <f>IF(COUNTA('Procyclean MG'!A463,'Procyclean MG'!B463,'Procyclean MG'!C463)&gt;0,"MG","")</f>
        <v/>
      </c>
      <c r="AB962" t="str">
        <f>IFERROR(IF(ISNUMBER('Procyclean MG'!A463),'Procyclean MG'!A463,DATEVALUE('Procyclean MG'!A463)),"")</f>
        <v/>
      </c>
      <c r="AC962" t="str">
        <f>IF(AA962="","",'Procyclean MG'!B463)</f>
        <v/>
      </c>
      <c r="AD962" t="str">
        <f>IF(AA962="","",IFERROR(1*'Procyclean MG'!C463,IFERROR(_xludf.NUMBERVALUE('Procyclean MG'!C463,".",","),IFERROR(_xludf.NUMBERVALUE('Procyclean MG'!C463,",","."),0))))</f>
        <v/>
      </c>
      <c r="AE962" t="str">
        <f>IF(AA962="","",'Procyclean MG'!I463)</f>
        <v/>
      </c>
      <c r="AF962">
        <f t="shared" ref="AF962:AF1025" si="107">IF(AA962="",0,--AND(ISNUMBER(SEARCH("aprov",AE962)),NOT(ISNUMBER(SEARCH("reprov",AE962)))))</f>
        <v>0</v>
      </c>
      <c r="AG962" t="str">
        <f t="shared" ref="AG962:AG1025" si="108">IF(AB962="","",YEAR(AB962))</f>
        <v/>
      </c>
      <c r="AH962" t="str">
        <f t="shared" ref="AH962:AH1025" si="109">IF(AB962="","",MONTH(AB962))</f>
        <v/>
      </c>
      <c r="AI962">
        <f t="shared" ref="AI962:AI1025" si="110">IF(AB962="",0,AB962+ROW()/1000000)</f>
        <v>0</v>
      </c>
      <c r="AJ962">
        <f t="shared" ref="AJ962:AJ1025" si="111">--(AA962&lt;&gt;"")</f>
        <v>0</v>
      </c>
      <c r="AK962">
        <v>0</v>
      </c>
      <c r="AL962" t="str">
        <f>IF(AA962="","",IFERROR(IF(ISNUMBER('Procyclean MG'!D463),'Procyclean MG'!D463,IF(ISNUMBER(SEARCH("12",'Procyclean MG'!D463)),EDATE(AB962,12),IF(ISNUMBER(SEARCH("6",'Procyclean MG'!D463)),EDATE(AB962,6),IF(ISNUMBER(SEARCH("3",'Procyclean MG'!D463)),EDATE(AB962,3),DATEVALUE('Procyclean MG'!D463))))),""))</f>
        <v/>
      </c>
      <c r="AM962" t="str">
        <f t="shared" ref="AM962:AM1025" ca="1" si="112">IF(AND(AJ962=1,AL962&lt;&gt;"",AL962&gt;=TODAY(),AG962=$W$3),AL962+ROW()/1000000,"")</f>
        <v/>
      </c>
    </row>
    <row r="963" spans="27:39" x14ac:dyDescent="0.3">
      <c r="AA963" t="str">
        <f>IF(COUNTA('Procyclean MG'!A464,'Procyclean MG'!B464,'Procyclean MG'!C464)&gt;0,"MG","")</f>
        <v/>
      </c>
      <c r="AB963" t="str">
        <f>IFERROR(IF(ISNUMBER('Procyclean MG'!A464),'Procyclean MG'!A464,DATEVALUE('Procyclean MG'!A464)),"")</f>
        <v/>
      </c>
      <c r="AC963" t="str">
        <f>IF(AA963="","",'Procyclean MG'!B464)</f>
        <v/>
      </c>
      <c r="AD963" t="str">
        <f>IF(AA963="","",IFERROR(1*'Procyclean MG'!C464,IFERROR(_xludf.NUMBERVALUE('Procyclean MG'!C464,".",","),IFERROR(_xludf.NUMBERVALUE('Procyclean MG'!C464,",","."),0))))</f>
        <v/>
      </c>
      <c r="AE963" t="str">
        <f>IF(AA963="","",'Procyclean MG'!I464)</f>
        <v/>
      </c>
      <c r="AF963">
        <f t="shared" si="107"/>
        <v>0</v>
      </c>
      <c r="AG963" t="str">
        <f t="shared" si="108"/>
        <v/>
      </c>
      <c r="AH963" t="str">
        <f t="shared" si="109"/>
        <v/>
      </c>
      <c r="AI963">
        <f t="shared" si="110"/>
        <v>0</v>
      </c>
      <c r="AJ963">
        <f t="shared" si="111"/>
        <v>0</v>
      </c>
      <c r="AK963">
        <v>0</v>
      </c>
      <c r="AL963" t="str">
        <f>IF(AA963="","",IFERROR(IF(ISNUMBER('Procyclean MG'!D464),'Procyclean MG'!D464,IF(ISNUMBER(SEARCH("12",'Procyclean MG'!D464)),EDATE(AB963,12),IF(ISNUMBER(SEARCH("6",'Procyclean MG'!D464)),EDATE(AB963,6),IF(ISNUMBER(SEARCH("3",'Procyclean MG'!D464)),EDATE(AB963,3),DATEVALUE('Procyclean MG'!D464))))),""))</f>
        <v/>
      </c>
      <c r="AM963" t="str">
        <f t="shared" ca="1" si="112"/>
        <v/>
      </c>
    </row>
    <row r="964" spans="27:39" x14ac:dyDescent="0.3">
      <c r="AA964" t="str">
        <f>IF(COUNTA('Procyclean MG'!A465,'Procyclean MG'!B465,'Procyclean MG'!C465)&gt;0,"MG","")</f>
        <v/>
      </c>
      <c r="AB964" t="str">
        <f>IFERROR(IF(ISNUMBER('Procyclean MG'!A465),'Procyclean MG'!A465,DATEVALUE('Procyclean MG'!A465)),"")</f>
        <v/>
      </c>
      <c r="AC964" t="str">
        <f>IF(AA964="","",'Procyclean MG'!B465)</f>
        <v/>
      </c>
      <c r="AD964" t="str">
        <f>IF(AA964="","",IFERROR(1*'Procyclean MG'!C465,IFERROR(_xludf.NUMBERVALUE('Procyclean MG'!C465,".",","),IFERROR(_xludf.NUMBERVALUE('Procyclean MG'!C465,",","."),0))))</f>
        <v/>
      </c>
      <c r="AE964" t="str">
        <f>IF(AA964="","",'Procyclean MG'!I465)</f>
        <v/>
      </c>
      <c r="AF964">
        <f t="shared" si="107"/>
        <v>0</v>
      </c>
      <c r="AG964" t="str">
        <f t="shared" si="108"/>
        <v/>
      </c>
      <c r="AH964" t="str">
        <f t="shared" si="109"/>
        <v/>
      </c>
      <c r="AI964">
        <f t="shared" si="110"/>
        <v>0</v>
      </c>
      <c r="AJ964">
        <f t="shared" si="111"/>
        <v>0</v>
      </c>
      <c r="AK964">
        <v>0</v>
      </c>
      <c r="AL964" t="str">
        <f>IF(AA964="","",IFERROR(IF(ISNUMBER('Procyclean MG'!D465),'Procyclean MG'!D465,IF(ISNUMBER(SEARCH("12",'Procyclean MG'!D465)),EDATE(AB964,12),IF(ISNUMBER(SEARCH("6",'Procyclean MG'!D465)),EDATE(AB964,6),IF(ISNUMBER(SEARCH("3",'Procyclean MG'!D465)),EDATE(AB964,3),DATEVALUE('Procyclean MG'!D465))))),""))</f>
        <v/>
      </c>
      <c r="AM964" t="str">
        <f t="shared" ca="1" si="112"/>
        <v/>
      </c>
    </row>
    <row r="965" spans="27:39" x14ac:dyDescent="0.3">
      <c r="AA965" t="str">
        <f>IF(COUNTA('Procyclean MG'!A466,'Procyclean MG'!B466,'Procyclean MG'!C466)&gt;0,"MG","")</f>
        <v/>
      </c>
      <c r="AB965" t="str">
        <f>IFERROR(IF(ISNUMBER('Procyclean MG'!A466),'Procyclean MG'!A466,DATEVALUE('Procyclean MG'!A466)),"")</f>
        <v/>
      </c>
      <c r="AC965" t="str">
        <f>IF(AA965="","",'Procyclean MG'!B466)</f>
        <v/>
      </c>
      <c r="AD965" t="str">
        <f>IF(AA965="","",IFERROR(1*'Procyclean MG'!C466,IFERROR(_xludf.NUMBERVALUE('Procyclean MG'!C466,".",","),IFERROR(_xludf.NUMBERVALUE('Procyclean MG'!C466,",","."),0))))</f>
        <v/>
      </c>
      <c r="AE965" t="str">
        <f>IF(AA965="","",'Procyclean MG'!I466)</f>
        <v/>
      </c>
      <c r="AF965">
        <f t="shared" si="107"/>
        <v>0</v>
      </c>
      <c r="AG965" t="str">
        <f t="shared" si="108"/>
        <v/>
      </c>
      <c r="AH965" t="str">
        <f t="shared" si="109"/>
        <v/>
      </c>
      <c r="AI965">
        <f t="shared" si="110"/>
        <v>0</v>
      </c>
      <c r="AJ965">
        <f t="shared" si="111"/>
        <v>0</v>
      </c>
      <c r="AK965">
        <v>0</v>
      </c>
      <c r="AL965" t="str">
        <f>IF(AA965="","",IFERROR(IF(ISNUMBER('Procyclean MG'!D466),'Procyclean MG'!D466,IF(ISNUMBER(SEARCH("12",'Procyclean MG'!D466)),EDATE(AB965,12),IF(ISNUMBER(SEARCH("6",'Procyclean MG'!D466)),EDATE(AB965,6),IF(ISNUMBER(SEARCH("3",'Procyclean MG'!D466)),EDATE(AB965,3),DATEVALUE('Procyclean MG'!D466))))),""))</f>
        <v/>
      </c>
      <c r="AM965" t="str">
        <f t="shared" ca="1" si="112"/>
        <v/>
      </c>
    </row>
    <row r="966" spans="27:39" x14ac:dyDescent="0.3">
      <c r="AA966" t="str">
        <f>IF(COUNTA('Procyclean MG'!A467,'Procyclean MG'!B467,'Procyclean MG'!C467)&gt;0,"MG","")</f>
        <v/>
      </c>
      <c r="AB966" t="str">
        <f>IFERROR(IF(ISNUMBER('Procyclean MG'!A467),'Procyclean MG'!A467,DATEVALUE('Procyclean MG'!A467)),"")</f>
        <v/>
      </c>
      <c r="AC966" t="str">
        <f>IF(AA966="","",'Procyclean MG'!B467)</f>
        <v/>
      </c>
      <c r="AD966" t="str">
        <f>IF(AA966="","",IFERROR(1*'Procyclean MG'!C467,IFERROR(_xludf.NUMBERVALUE('Procyclean MG'!C467,".",","),IFERROR(_xludf.NUMBERVALUE('Procyclean MG'!C467,",","."),0))))</f>
        <v/>
      </c>
      <c r="AE966" t="str">
        <f>IF(AA966="","",'Procyclean MG'!I467)</f>
        <v/>
      </c>
      <c r="AF966">
        <f t="shared" si="107"/>
        <v>0</v>
      </c>
      <c r="AG966" t="str">
        <f t="shared" si="108"/>
        <v/>
      </c>
      <c r="AH966" t="str">
        <f t="shared" si="109"/>
        <v/>
      </c>
      <c r="AI966">
        <f t="shared" si="110"/>
        <v>0</v>
      </c>
      <c r="AJ966">
        <f t="shared" si="111"/>
        <v>0</v>
      </c>
      <c r="AK966">
        <v>0</v>
      </c>
      <c r="AL966" t="str">
        <f>IF(AA966="","",IFERROR(IF(ISNUMBER('Procyclean MG'!D467),'Procyclean MG'!D467,IF(ISNUMBER(SEARCH("12",'Procyclean MG'!D467)),EDATE(AB966,12),IF(ISNUMBER(SEARCH("6",'Procyclean MG'!D467)),EDATE(AB966,6),IF(ISNUMBER(SEARCH("3",'Procyclean MG'!D467)),EDATE(AB966,3),DATEVALUE('Procyclean MG'!D467))))),""))</f>
        <v/>
      </c>
      <c r="AM966" t="str">
        <f t="shared" ca="1" si="112"/>
        <v/>
      </c>
    </row>
    <row r="967" spans="27:39" x14ac:dyDescent="0.3">
      <c r="AA967" t="str">
        <f>IF(COUNTA('Procyclean MG'!A468,'Procyclean MG'!B468,'Procyclean MG'!C468)&gt;0,"MG","")</f>
        <v/>
      </c>
      <c r="AB967" t="str">
        <f>IFERROR(IF(ISNUMBER('Procyclean MG'!A468),'Procyclean MG'!A468,DATEVALUE('Procyclean MG'!A468)),"")</f>
        <v/>
      </c>
      <c r="AC967" t="str">
        <f>IF(AA967="","",'Procyclean MG'!B468)</f>
        <v/>
      </c>
      <c r="AD967" t="str">
        <f>IF(AA967="","",IFERROR(1*'Procyclean MG'!C468,IFERROR(_xludf.NUMBERVALUE('Procyclean MG'!C468,".",","),IFERROR(_xludf.NUMBERVALUE('Procyclean MG'!C468,",","."),0))))</f>
        <v/>
      </c>
      <c r="AE967" t="str">
        <f>IF(AA967="","",'Procyclean MG'!I468)</f>
        <v/>
      </c>
      <c r="AF967">
        <f t="shared" si="107"/>
        <v>0</v>
      </c>
      <c r="AG967" t="str">
        <f t="shared" si="108"/>
        <v/>
      </c>
      <c r="AH967" t="str">
        <f t="shared" si="109"/>
        <v/>
      </c>
      <c r="AI967">
        <f t="shared" si="110"/>
        <v>0</v>
      </c>
      <c r="AJ967">
        <f t="shared" si="111"/>
        <v>0</v>
      </c>
      <c r="AK967">
        <v>0</v>
      </c>
      <c r="AL967" t="str">
        <f>IF(AA967="","",IFERROR(IF(ISNUMBER('Procyclean MG'!D468),'Procyclean MG'!D468,IF(ISNUMBER(SEARCH("12",'Procyclean MG'!D468)),EDATE(AB967,12),IF(ISNUMBER(SEARCH("6",'Procyclean MG'!D468)),EDATE(AB967,6),IF(ISNUMBER(SEARCH("3",'Procyclean MG'!D468)),EDATE(AB967,3),DATEVALUE('Procyclean MG'!D468))))),""))</f>
        <v/>
      </c>
      <c r="AM967" t="str">
        <f t="shared" ca="1" si="112"/>
        <v/>
      </c>
    </row>
    <row r="968" spans="27:39" x14ac:dyDescent="0.3">
      <c r="AA968" t="str">
        <f>IF(COUNTA('Procyclean MG'!A469,'Procyclean MG'!B469,'Procyclean MG'!C469)&gt;0,"MG","")</f>
        <v/>
      </c>
      <c r="AB968" t="str">
        <f>IFERROR(IF(ISNUMBER('Procyclean MG'!A469),'Procyclean MG'!A469,DATEVALUE('Procyclean MG'!A469)),"")</f>
        <v/>
      </c>
      <c r="AC968" t="str">
        <f>IF(AA968="","",'Procyclean MG'!B469)</f>
        <v/>
      </c>
      <c r="AD968" t="str">
        <f>IF(AA968="","",IFERROR(1*'Procyclean MG'!C469,IFERROR(_xludf.NUMBERVALUE('Procyclean MG'!C469,".",","),IFERROR(_xludf.NUMBERVALUE('Procyclean MG'!C469,",","."),0))))</f>
        <v/>
      </c>
      <c r="AE968" t="str">
        <f>IF(AA968="","",'Procyclean MG'!I469)</f>
        <v/>
      </c>
      <c r="AF968">
        <f t="shared" si="107"/>
        <v>0</v>
      </c>
      <c r="AG968" t="str">
        <f t="shared" si="108"/>
        <v/>
      </c>
      <c r="AH968" t="str">
        <f t="shared" si="109"/>
        <v/>
      </c>
      <c r="AI968">
        <f t="shared" si="110"/>
        <v>0</v>
      </c>
      <c r="AJ968">
        <f t="shared" si="111"/>
        <v>0</v>
      </c>
      <c r="AK968">
        <v>0</v>
      </c>
      <c r="AL968" t="str">
        <f>IF(AA968="","",IFERROR(IF(ISNUMBER('Procyclean MG'!D469),'Procyclean MG'!D469,IF(ISNUMBER(SEARCH("12",'Procyclean MG'!D469)),EDATE(AB968,12),IF(ISNUMBER(SEARCH("6",'Procyclean MG'!D469)),EDATE(AB968,6),IF(ISNUMBER(SEARCH("3",'Procyclean MG'!D469)),EDATE(AB968,3),DATEVALUE('Procyclean MG'!D469))))),""))</f>
        <v/>
      </c>
      <c r="AM968" t="str">
        <f t="shared" ca="1" si="112"/>
        <v/>
      </c>
    </row>
    <row r="969" spans="27:39" x14ac:dyDescent="0.3">
      <c r="AA969" t="str">
        <f>IF(COUNTA('Procyclean MG'!A470,'Procyclean MG'!B470,'Procyclean MG'!C470)&gt;0,"MG","")</f>
        <v/>
      </c>
      <c r="AB969" t="str">
        <f>IFERROR(IF(ISNUMBER('Procyclean MG'!A470),'Procyclean MG'!A470,DATEVALUE('Procyclean MG'!A470)),"")</f>
        <v/>
      </c>
      <c r="AC969" t="str">
        <f>IF(AA969="","",'Procyclean MG'!B470)</f>
        <v/>
      </c>
      <c r="AD969" t="str">
        <f>IF(AA969="","",IFERROR(1*'Procyclean MG'!C470,IFERROR(_xludf.NUMBERVALUE('Procyclean MG'!C470,".",","),IFERROR(_xludf.NUMBERVALUE('Procyclean MG'!C470,",","."),0))))</f>
        <v/>
      </c>
      <c r="AE969" t="str">
        <f>IF(AA969="","",'Procyclean MG'!I470)</f>
        <v/>
      </c>
      <c r="AF969">
        <f t="shared" si="107"/>
        <v>0</v>
      </c>
      <c r="AG969" t="str">
        <f t="shared" si="108"/>
        <v/>
      </c>
      <c r="AH969" t="str">
        <f t="shared" si="109"/>
        <v/>
      </c>
      <c r="AI969">
        <f t="shared" si="110"/>
        <v>0</v>
      </c>
      <c r="AJ969">
        <f t="shared" si="111"/>
        <v>0</v>
      </c>
      <c r="AK969">
        <v>0</v>
      </c>
      <c r="AL969" t="str">
        <f>IF(AA969="","",IFERROR(IF(ISNUMBER('Procyclean MG'!D470),'Procyclean MG'!D470,IF(ISNUMBER(SEARCH("12",'Procyclean MG'!D470)),EDATE(AB969,12),IF(ISNUMBER(SEARCH("6",'Procyclean MG'!D470)),EDATE(AB969,6),IF(ISNUMBER(SEARCH("3",'Procyclean MG'!D470)),EDATE(AB969,3),DATEVALUE('Procyclean MG'!D470))))),""))</f>
        <v/>
      </c>
      <c r="AM969" t="str">
        <f t="shared" ca="1" si="112"/>
        <v/>
      </c>
    </row>
    <row r="970" spans="27:39" x14ac:dyDescent="0.3">
      <c r="AA970" t="str">
        <f>IF(COUNTA('Procyclean MG'!A471,'Procyclean MG'!B471,'Procyclean MG'!C471)&gt;0,"MG","")</f>
        <v/>
      </c>
      <c r="AB970" t="str">
        <f>IFERROR(IF(ISNUMBER('Procyclean MG'!A471),'Procyclean MG'!A471,DATEVALUE('Procyclean MG'!A471)),"")</f>
        <v/>
      </c>
      <c r="AC970" t="str">
        <f>IF(AA970="","",'Procyclean MG'!B471)</f>
        <v/>
      </c>
      <c r="AD970" t="str">
        <f>IF(AA970="","",IFERROR(1*'Procyclean MG'!C471,IFERROR(_xludf.NUMBERVALUE('Procyclean MG'!C471,".",","),IFERROR(_xludf.NUMBERVALUE('Procyclean MG'!C471,",","."),0))))</f>
        <v/>
      </c>
      <c r="AE970" t="str">
        <f>IF(AA970="","",'Procyclean MG'!I471)</f>
        <v/>
      </c>
      <c r="AF970">
        <f t="shared" si="107"/>
        <v>0</v>
      </c>
      <c r="AG970" t="str">
        <f t="shared" si="108"/>
        <v/>
      </c>
      <c r="AH970" t="str">
        <f t="shared" si="109"/>
        <v/>
      </c>
      <c r="AI970">
        <f t="shared" si="110"/>
        <v>0</v>
      </c>
      <c r="AJ970">
        <f t="shared" si="111"/>
        <v>0</v>
      </c>
      <c r="AK970">
        <v>0</v>
      </c>
      <c r="AL970" t="str">
        <f>IF(AA970="","",IFERROR(IF(ISNUMBER('Procyclean MG'!D471),'Procyclean MG'!D471,IF(ISNUMBER(SEARCH("12",'Procyclean MG'!D471)),EDATE(AB970,12),IF(ISNUMBER(SEARCH("6",'Procyclean MG'!D471)),EDATE(AB970,6),IF(ISNUMBER(SEARCH("3",'Procyclean MG'!D471)),EDATE(AB970,3),DATEVALUE('Procyclean MG'!D471))))),""))</f>
        <v/>
      </c>
      <c r="AM970" t="str">
        <f t="shared" ca="1" si="112"/>
        <v/>
      </c>
    </row>
    <row r="971" spans="27:39" x14ac:dyDescent="0.3">
      <c r="AA971" t="str">
        <f>IF(COUNTA('Procyclean MG'!A472,'Procyclean MG'!B472,'Procyclean MG'!C472)&gt;0,"MG","")</f>
        <v/>
      </c>
      <c r="AB971" t="str">
        <f>IFERROR(IF(ISNUMBER('Procyclean MG'!A472),'Procyclean MG'!A472,DATEVALUE('Procyclean MG'!A472)),"")</f>
        <v/>
      </c>
      <c r="AC971" t="str">
        <f>IF(AA971="","",'Procyclean MG'!B472)</f>
        <v/>
      </c>
      <c r="AD971" t="str">
        <f>IF(AA971="","",IFERROR(1*'Procyclean MG'!C472,IFERROR(_xludf.NUMBERVALUE('Procyclean MG'!C472,".",","),IFERROR(_xludf.NUMBERVALUE('Procyclean MG'!C472,",","."),0))))</f>
        <v/>
      </c>
      <c r="AE971" t="str">
        <f>IF(AA971="","",'Procyclean MG'!I472)</f>
        <v/>
      </c>
      <c r="AF971">
        <f t="shared" si="107"/>
        <v>0</v>
      </c>
      <c r="AG971" t="str">
        <f t="shared" si="108"/>
        <v/>
      </c>
      <c r="AH971" t="str">
        <f t="shared" si="109"/>
        <v/>
      </c>
      <c r="AI971">
        <f t="shared" si="110"/>
        <v>0</v>
      </c>
      <c r="AJ971">
        <f t="shared" si="111"/>
        <v>0</v>
      </c>
      <c r="AK971">
        <v>0</v>
      </c>
      <c r="AL971" t="str">
        <f>IF(AA971="","",IFERROR(IF(ISNUMBER('Procyclean MG'!D472),'Procyclean MG'!D472,IF(ISNUMBER(SEARCH("12",'Procyclean MG'!D472)),EDATE(AB971,12),IF(ISNUMBER(SEARCH("6",'Procyclean MG'!D472)),EDATE(AB971,6),IF(ISNUMBER(SEARCH("3",'Procyclean MG'!D472)),EDATE(AB971,3),DATEVALUE('Procyclean MG'!D472))))),""))</f>
        <v/>
      </c>
      <c r="AM971" t="str">
        <f t="shared" ca="1" si="112"/>
        <v/>
      </c>
    </row>
    <row r="972" spans="27:39" x14ac:dyDescent="0.3">
      <c r="AA972" t="str">
        <f>IF(COUNTA('Procyclean MG'!A473,'Procyclean MG'!B473,'Procyclean MG'!C473)&gt;0,"MG","")</f>
        <v/>
      </c>
      <c r="AB972" t="str">
        <f>IFERROR(IF(ISNUMBER('Procyclean MG'!A473),'Procyclean MG'!A473,DATEVALUE('Procyclean MG'!A473)),"")</f>
        <v/>
      </c>
      <c r="AC972" t="str">
        <f>IF(AA972="","",'Procyclean MG'!B473)</f>
        <v/>
      </c>
      <c r="AD972" t="str">
        <f>IF(AA972="","",IFERROR(1*'Procyclean MG'!C473,IFERROR(_xludf.NUMBERVALUE('Procyclean MG'!C473,".",","),IFERROR(_xludf.NUMBERVALUE('Procyclean MG'!C473,",","."),0))))</f>
        <v/>
      </c>
      <c r="AE972" t="str">
        <f>IF(AA972="","",'Procyclean MG'!I473)</f>
        <v/>
      </c>
      <c r="AF972">
        <f t="shared" si="107"/>
        <v>0</v>
      </c>
      <c r="AG972" t="str">
        <f t="shared" si="108"/>
        <v/>
      </c>
      <c r="AH972" t="str">
        <f t="shared" si="109"/>
        <v/>
      </c>
      <c r="AI972">
        <f t="shared" si="110"/>
        <v>0</v>
      </c>
      <c r="AJ972">
        <f t="shared" si="111"/>
        <v>0</v>
      </c>
      <c r="AK972">
        <v>0</v>
      </c>
      <c r="AL972" t="str">
        <f>IF(AA972="","",IFERROR(IF(ISNUMBER('Procyclean MG'!D473),'Procyclean MG'!D473,IF(ISNUMBER(SEARCH("12",'Procyclean MG'!D473)),EDATE(AB972,12),IF(ISNUMBER(SEARCH("6",'Procyclean MG'!D473)),EDATE(AB972,6),IF(ISNUMBER(SEARCH("3",'Procyclean MG'!D473)),EDATE(AB972,3),DATEVALUE('Procyclean MG'!D473))))),""))</f>
        <v/>
      </c>
      <c r="AM972" t="str">
        <f t="shared" ca="1" si="112"/>
        <v/>
      </c>
    </row>
    <row r="973" spans="27:39" x14ac:dyDescent="0.3">
      <c r="AA973" t="str">
        <f>IF(COUNTA('Procyclean MG'!A474,'Procyclean MG'!B474,'Procyclean MG'!C474)&gt;0,"MG","")</f>
        <v/>
      </c>
      <c r="AB973" t="str">
        <f>IFERROR(IF(ISNUMBER('Procyclean MG'!A474),'Procyclean MG'!A474,DATEVALUE('Procyclean MG'!A474)),"")</f>
        <v/>
      </c>
      <c r="AC973" t="str">
        <f>IF(AA973="","",'Procyclean MG'!B474)</f>
        <v/>
      </c>
      <c r="AD973" t="str">
        <f>IF(AA973="","",IFERROR(1*'Procyclean MG'!C474,IFERROR(_xludf.NUMBERVALUE('Procyclean MG'!C474,".",","),IFERROR(_xludf.NUMBERVALUE('Procyclean MG'!C474,",","."),0))))</f>
        <v/>
      </c>
      <c r="AE973" t="str">
        <f>IF(AA973="","",'Procyclean MG'!I474)</f>
        <v/>
      </c>
      <c r="AF973">
        <f t="shared" si="107"/>
        <v>0</v>
      </c>
      <c r="AG973" t="str">
        <f t="shared" si="108"/>
        <v/>
      </c>
      <c r="AH973" t="str">
        <f t="shared" si="109"/>
        <v/>
      </c>
      <c r="AI973">
        <f t="shared" si="110"/>
        <v>0</v>
      </c>
      <c r="AJ973">
        <f t="shared" si="111"/>
        <v>0</v>
      </c>
      <c r="AK973">
        <v>0</v>
      </c>
      <c r="AL973" t="str">
        <f>IF(AA973="","",IFERROR(IF(ISNUMBER('Procyclean MG'!D474),'Procyclean MG'!D474,IF(ISNUMBER(SEARCH("12",'Procyclean MG'!D474)),EDATE(AB973,12),IF(ISNUMBER(SEARCH("6",'Procyclean MG'!D474)),EDATE(AB973,6),IF(ISNUMBER(SEARCH("3",'Procyclean MG'!D474)),EDATE(AB973,3),DATEVALUE('Procyclean MG'!D474))))),""))</f>
        <v/>
      </c>
      <c r="AM973" t="str">
        <f t="shared" ca="1" si="112"/>
        <v/>
      </c>
    </row>
    <row r="974" spans="27:39" x14ac:dyDescent="0.3">
      <c r="AA974" t="str">
        <f>IF(COUNTA('Procyclean MG'!A475,'Procyclean MG'!B475,'Procyclean MG'!C475)&gt;0,"MG","")</f>
        <v/>
      </c>
      <c r="AB974" t="str">
        <f>IFERROR(IF(ISNUMBER('Procyclean MG'!A475),'Procyclean MG'!A475,DATEVALUE('Procyclean MG'!A475)),"")</f>
        <v/>
      </c>
      <c r="AC974" t="str">
        <f>IF(AA974="","",'Procyclean MG'!B475)</f>
        <v/>
      </c>
      <c r="AD974" t="str">
        <f>IF(AA974="","",IFERROR(1*'Procyclean MG'!C475,IFERROR(_xludf.NUMBERVALUE('Procyclean MG'!C475,".",","),IFERROR(_xludf.NUMBERVALUE('Procyclean MG'!C475,",","."),0))))</f>
        <v/>
      </c>
      <c r="AE974" t="str">
        <f>IF(AA974="","",'Procyclean MG'!I475)</f>
        <v/>
      </c>
      <c r="AF974">
        <f t="shared" si="107"/>
        <v>0</v>
      </c>
      <c r="AG974" t="str">
        <f t="shared" si="108"/>
        <v/>
      </c>
      <c r="AH974" t="str">
        <f t="shared" si="109"/>
        <v/>
      </c>
      <c r="AI974">
        <f t="shared" si="110"/>
        <v>0</v>
      </c>
      <c r="AJ974">
        <f t="shared" si="111"/>
        <v>0</v>
      </c>
      <c r="AK974">
        <v>0</v>
      </c>
      <c r="AL974" t="str">
        <f>IF(AA974="","",IFERROR(IF(ISNUMBER('Procyclean MG'!D475),'Procyclean MG'!D475,IF(ISNUMBER(SEARCH("12",'Procyclean MG'!D475)),EDATE(AB974,12),IF(ISNUMBER(SEARCH("6",'Procyclean MG'!D475)),EDATE(AB974,6),IF(ISNUMBER(SEARCH("3",'Procyclean MG'!D475)),EDATE(AB974,3),DATEVALUE('Procyclean MG'!D475))))),""))</f>
        <v/>
      </c>
      <c r="AM974" t="str">
        <f t="shared" ca="1" si="112"/>
        <v/>
      </c>
    </row>
    <row r="975" spans="27:39" x14ac:dyDescent="0.3">
      <c r="AA975" t="str">
        <f>IF(COUNTA('Procyclean MG'!A476,'Procyclean MG'!B476,'Procyclean MG'!C476)&gt;0,"MG","")</f>
        <v/>
      </c>
      <c r="AB975" t="str">
        <f>IFERROR(IF(ISNUMBER('Procyclean MG'!A476),'Procyclean MG'!A476,DATEVALUE('Procyclean MG'!A476)),"")</f>
        <v/>
      </c>
      <c r="AC975" t="str">
        <f>IF(AA975="","",'Procyclean MG'!B476)</f>
        <v/>
      </c>
      <c r="AD975" t="str">
        <f>IF(AA975="","",IFERROR(1*'Procyclean MG'!C476,IFERROR(_xludf.NUMBERVALUE('Procyclean MG'!C476,".",","),IFERROR(_xludf.NUMBERVALUE('Procyclean MG'!C476,",","."),0))))</f>
        <v/>
      </c>
      <c r="AE975" t="str">
        <f>IF(AA975="","",'Procyclean MG'!I476)</f>
        <v/>
      </c>
      <c r="AF975">
        <f t="shared" si="107"/>
        <v>0</v>
      </c>
      <c r="AG975" t="str">
        <f t="shared" si="108"/>
        <v/>
      </c>
      <c r="AH975" t="str">
        <f t="shared" si="109"/>
        <v/>
      </c>
      <c r="AI975">
        <f t="shared" si="110"/>
        <v>0</v>
      </c>
      <c r="AJ975">
        <f t="shared" si="111"/>
        <v>0</v>
      </c>
      <c r="AK975">
        <v>0</v>
      </c>
      <c r="AL975" t="str">
        <f>IF(AA975="","",IFERROR(IF(ISNUMBER('Procyclean MG'!D476),'Procyclean MG'!D476,IF(ISNUMBER(SEARCH("12",'Procyclean MG'!D476)),EDATE(AB975,12),IF(ISNUMBER(SEARCH("6",'Procyclean MG'!D476)),EDATE(AB975,6),IF(ISNUMBER(SEARCH("3",'Procyclean MG'!D476)),EDATE(AB975,3),DATEVALUE('Procyclean MG'!D476))))),""))</f>
        <v/>
      </c>
      <c r="AM975" t="str">
        <f t="shared" ca="1" si="112"/>
        <v/>
      </c>
    </row>
    <row r="976" spans="27:39" x14ac:dyDescent="0.3">
      <c r="AA976" t="str">
        <f>IF(COUNTA('Procyclean MG'!A477,'Procyclean MG'!B477,'Procyclean MG'!C477)&gt;0,"MG","")</f>
        <v/>
      </c>
      <c r="AB976" t="str">
        <f>IFERROR(IF(ISNUMBER('Procyclean MG'!A477),'Procyclean MG'!A477,DATEVALUE('Procyclean MG'!A477)),"")</f>
        <v/>
      </c>
      <c r="AC976" t="str">
        <f>IF(AA976="","",'Procyclean MG'!B477)</f>
        <v/>
      </c>
      <c r="AD976" t="str">
        <f>IF(AA976="","",IFERROR(1*'Procyclean MG'!C477,IFERROR(_xludf.NUMBERVALUE('Procyclean MG'!C477,".",","),IFERROR(_xludf.NUMBERVALUE('Procyclean MG'!C477,",","."),0))))</f>
        <v/>
      </c>
      <c r="AE976" t="str">
        <f>IF(AA976="","",'Procyclean MG'!I477)</f>
        <v/>
      </c>
      <c r="AF976">
        <f t="shared" si="107"/>
        <v>0</v>
      </c>
      <c r="AG976" t="str">
        <f t="shared" si="108"/>
        <v/>
      </c>
      <c r="AH976" t="str">
        <f t="shared" si="109"/>
        <v/>
      </c>
      <c r="AI976">
        <f t="shared" si="110"/>
        <v>0</v>
      </c>
      <c r="AJ976">
        <f t="shared" si="111"/>
        <v>0</v>
      </c>
      <c r="AK976">
        <v>0</v>
      </c>
      <c r="AL976" t="str">
        <f>IF(AA976="","",IFERROR(IF(ISNUMBER('Procyclean MG'!D477),'Procyclean MG'!D477,IF(ISNUMBER(SEARCH("12",'Procyclean MG'!D477)),EDATE(AB976,12),IF(ISNUMBER(SEARCH("6",'Procyclean MG'!D477)),EDATE(AB976,6),IF(ISNUMBER(SEARCH("3",'Procyclean MG'!D477)),EDATE(AB976,3),DATEVALUE('Procyclean MG'!D477))))),""))</f>
        <v/>
      </c>
      <c r="AM976" t="str">
        <f t="shared" ca="1" si="112"/>
        <v/>
      </c>
    </row>
    <row r="977" spans="27:39" x14ac:dyDescent="0.3">
      <c r="AA977" t="str">
        <f>IF(COUNTA('Procyclean MG'!A478,'Procyclean MG'!B478,'Procyclean MG'!C478)&gt;0,"MG","")</f>
        <v/>
      </c>
      <c r="AB977" t="str">
        <f>IFERROR(IF(ISNUMBER('Procyclean MG'!A478),'Procyclean MG'!A478,DATEVALUE('Procyclean MG'!A478)),"")</f>
        <v/>
      </c>
      <c r="AC977" t="str">
        <f>IF(AA977="","",'Procyclean MG'!B478)</f>
        <v/>
      </c>
      <c r="AD977" t="str">
        <f>IF(AA977="","",IFERROR(1*'Procyclean MG'!C478,IFERROR(_xludf.NUMBERVALUE('Procyclean MG'!C478,".",","),IFERROR(_xludf.NUMBERVALUE('Procyclean MG'!C478,",","."),0))))</f>
        <v/>
      </c>
      <c r="AE977" t="str">
        <f>IF(AA977="","",'Procyclean MG'!I478)</f>
        <v/>
      </c>
      <c r="AF977">
        <f t="shared" si="107"/>
        <v>0</v>
      </c>
      <c r="AG977" t="str">
        <f t="shared" si="108"/>
        <v/>
      </c>
      <c r="AH977" t="str">
        <f t="shared" si="109"/>
        <v/>
      </c>
      <c r="AI977">
        <f t="shared" si="110"/>
        <v>0</v>
      </c>
      <c r="AJ977">
        <f t="shared" si="111"/>
        <v>0</v>
      </c>
      <c r="AK977">
        <v>0</v>
      </c>
      <c r="AL977" t="str">
        <f>IF(AA977="","",IFERROR(IF(ISNUMBER('Procyclean MG'!D478),'Procyclean MG'!D478,IF(ISNUMBER(SEARCH("12",'Procyclean MG'!D478)),EDATE(AB977,12),IF(ISNUMBER(SEARCH("6",'Procyclean MG'!D478)),EDATE(AB977,6),IF(ISNUMBER(SEARCH("3",'Procyclean MG'!D478)),EDATE(AB977,3),DATEVALUE('Procyclean MG'!D478))))),""))</f>
        <v/>
      </c>
      <c r="AM977" t="str">
        <f t="shared" ca="1" si="112"/>
        <v/>
      </c>
    </row>
    <row r="978" spans="27:39" x14ac:dyDescent="0.3">
      <c r="AA978" t="str">
        <f>IF(COUNTA('Procyclean MG'!A479,'Procyclean MG'!B479,'Procyclean MG'!C479)&gt;0,"MG","")</f>
        <v/>
      </c>
      <c r="AB978" t="str">
        <f>IFERROR(IF(ISNUMBER('Procyclean MG'!A479),'Procyclean MG'!A479,DATEVALUE('Procyclean MG'!A479)),"")</f>
        <v/>
      </c>
      <c r="AC978" t="str">
        <f>IF(AA978="","",'Procyclean MG'!B479)</f>
        <v/>
      </c>
      <c r="AD978" t="str">
        <f>IF(AA978="","",IFERROR(1*'Procyclean MG'!C479,IFERROR(_xludf.NUMBERVALUE('Procyclean MG'!C479,".",","),IFERROR(_xludf.NUMBERVALUE('Procyclean MG'!C479,",","."),0))))</f>
        <v/>
      </c>
      <c r="AE978" t="str">
        <f>IF(AA978="","",'Procyclean MG'!I479)</f>
        <v/>
      </c>
      <c r="AF978">
        <f t="shared" si="107"/>
        <v>0</v>
      </c>
      <c r="AG978" t="str">
        <f t="shared" si="108"/>
        <v/>
      </c>
      <c r="AH978" t="str">
        <f t="shared" si="109"/>
        <v/>
      </c>
      <c r="AI978">
        <f t="shared" si="110"/>
        <v>0</v>
      </c>
      <c r="AJ978">
        <f t="shared" si="111"/>
        <v>0</v>
      </c>
      <c r="AK978">
        <v>0</v>
      </c>
      <c r="AL978" t="str">
        <f>IF(AA978="","",IFERROR(IF(ISNUMBER('Procyclean MG'!D479),'Procyclean MG'!D479,IF(ISNUMBER(SEARCH("12",'Procyclean MG'!D479)),EDATE(AB978,12),IF(ISNUMBER(SEARCH("6",'Procyclean MG'!D479)),EDATE(AB978,6),IF(ISNUMBER(SEARCH("3",'Procyclean MG'!D479)),EDATE(AB978,3),DATEVALUE('Procyclean MG'!D479))))),""))</f>
        <v/>
      </c>
      <c r="AM978" t="str">
        <f t="shared" ca="1" si="112"/>
        <v/>
      </c>
    </row>
    <row r="979" spans="27:39" x14ac:dyDescent="0.3">
      <c r="AA979" t="str">
        <f>IF(COUNTA('Procyclean MG'!A480,'Procyclean MG'!B480,'Procyclean MG'!C480)&gt;0,"MG","")</f>
        <v/>
      </c>
      <c r="AB979" t="str">
        <f>IFERROR(IF(ISNUMBER('Procyclean MG'!A480),'Procyclean MG'!A480,DATEVALUE('Procyclean MG'!A480)),"")</f>
        <v/>
      </c>
      <c r="AC979" t="str">
        <f>IF(AA979="","",'Procyclean MG'!B480)</f>
        <v/>
      </c>
      <c r="AD979" t="str">
        <f>IF(AA979="","",IFERROR(1*'Procyclean MG'!C480,IFERROR(_xludf.NUMBERVALUE('Procyclean MG'!C480,".",","),IFERROR(_xludf.NUMBERVALUE('Procyclean MG'!C480,",","."),0))))</f>
        <v/>
      </c>
      <c r="AE979" t="str">
        <f>IF(AA979="","",'Procyclean MG'!I480)</f>
        <v/>
      </c>
      <c r="AF979">
        <f t="shared" si="107"/>
        <v>0</v>
      </c>
      <c r="AG979" t="str">
        <f t="shared" si="108"/>
        <v/>
      </c>
      <c r="AH979" t="str">
        <f t="shared" si="109"/>
        <v/>
      </c>
      <c r="AI979">
        <f t="shared" si="110"/>
        <v>0</v>
      </c>
      <c r="AJ979">
        <f t="shared" si="111"/>
        <v>0</v>
      </c>
      <c r="AK979">
        <v>0</v>
      </c>
      <c r="AL979" t="str">
        <f>IF(AA979="","",IFERROR(IF(ISNUMBER('Procyclean MG'!D480),'Procyclean MG'!D480,IF(ISNUMBER(SEARCH("12",'Procyclean MG'!D480)),EDATE(AB979,12),IF(ISNUMBER(SEARCH("6",'Procyclean MG'!D480)),EDATE(AB979,6),IF(ISNUMBER(SEARCH("3",'Procyclean MG'!D480)),EDATE(AB979,3),DATEVALUE('Procyclean MG'!D480))))),""))</f>
        <v/>
      </c>
      <c r="AM979" t="str">
        <f t="shared" ca="1" si="112"/>
        <v/>
      </c>
    </row>
    <row r="980" spans="27:39" x14ac:dyDescent="0.3">
      <c r="AA980" t="str">
        <f>IF(COUNTA('Procyclean MG'!A481,'Procyclean MG'!B481,'Procyclean MG'!C481)&gt;0,"MG","")</f>
        <v/>
      </c>
      <c r="AB980" t="str">
        <f>IFERROR(IF(ISNUMBER('Procyclean MG'!A481),'Procyclean MG'!A481,DATEVALUE('Procyclean MG'!A481)),"")</f>
        <v/>
      </c>
      <c r="AC980" t="str">
        <f>IF(AA980="","",'Procyclean MG'!B481)</f>
        <v/>
      </c>
      <c r="AD980" t="str">
        <f>IF(AA980="","",IFERROR(1*'Procyclean MG'!C481,IFERROR(_xludf.NUMBERVALUE('Procyclean MG'!C481,".",","),IFERROR(_xludf.NUMBERVALUE('Procyclean MG'!C481,",","."),0))))</f>
        <v/>
      </c>
      <c r="AE980" t="str">
        <f>IF(AA980="","",'Procyclean MG'!I481)</f>
        <v/>
      </c>
      <c r="AF980">
        <f t="shared" si="107"/>
        <v>0</v>
      </c>
      <c r="AG980" t="str">
        <f t="shared" si="108"/>
        <v/>
      </c>
      <c r="AH980" t="str">
        <f t="shared" si="109"/>
        <v/>
      </c>
      <c r="AI980">
        <f t="shared" si="110"/>
        <v>0</v>
      </c>
      <c r="AJ980">
        <f t="shared" si="111"/>
        <v>0</v>
      </c>
      <c r="AK980">
        <v>0</v>
      </c>
      <c r="AL980" t="str">
        <f>IF(AA980="","",IFERROR(IF(ISNUMBER('Procyclean MG'!D481),'Procyclean MG'!D481,IF(ISNUMBER(SEARCH("12",'Procyclean MG'!D481)),EDATE(AB980,12),IF(ISNUMBER(SEARCH("6",'Procyclean MG'!D481)),EDATE(AB980,6),IF(ISNUMBER(SEARCH("3",'Procyclean MG'!D481)),EDATE(AB980,3),DATEVALUE('Procyclean MG'!D481))))),""))</f>
        <v/>
      </c>
      <c r="AM980" t="str">
        <f t="shared" ca="1" si="112"/>
        <v/>
      </c>
    </row>
    <row r="981" spans="27:39" x14ac:dyDescent="0.3">
      <c r="AA981" t="str">
        <f>IF(COUNTA('Procyclean MG'!A482,'Procyclean MG'!B482,'Procyclean MG'!C482)&gt;0,"MG","")</f>
        <v/>
      </c>
      <c r="AB981" t="str">
        <f>IFERROR(IF(ISNUMBER('Procyclean MG'!A482),'Procyclean MG'!A482,DATEVALUE('Procyclean MG'!A482)),"")</f>
        <v/>
      </c>
      <c r="AC981" t="str">
        <f>IF(AA981="","",'Procyclean MG'!B482)</f>
        <v/>
      </c>
      <c r="AD981" t="str">
        <f>IF(AA981="","",IFERROR(1*'Procyclean MG'!C482,IFERROR(_xludf.NUMBERVALUE('Procyclean MG'!C482,".",","),IFERROR(_xludf.NUMBERVALUE('Procyclean MG'!C482,",","."),0))))</f>
        <v/>
      </c>
      <c r="AE981" t="str">
        <f>IF(AA981="","",'Procyclean MG'!I482)</f>
        <v/>
      </c>
      <c r="AF981">
        <f t="shared" si="107"/>
        <v>0</v>
      </c>
      <c r="AG981" t="str">
        <f t="shared" si="108"/>
        <v/>
      </c>
      <c r="AH981" t="str">
        <f t="shared" si="109"/>
        <v/>
      </c>
      <c r="AI981">
        <f t="shared" si="110"/>
        <v>0</v>
      </c>
      <c r="AJ981">
        <f t="shared" si="111"/>
        <v>0</v>
      </c>
      <c r="AK981">
        <v>0</v>
      </c>
      <c r="AL981" t="str">
        <f>IF(AA981="","",IFERROR(IF(ISNUMBER('Procyclean MG'!D482),'Procyclean MG'!D482,IF(ISNUMBER(SEARCH("12",'Procyclean MG'!D482)),EDATE(AB981,12),IF(ISNUMBER(SEARCH("6",'Procyclean MG'!D482)),EDATE(AB981,6),IF(ISNUMBER(SEARCH("3",'Procyclean MG'!D482)),EDATE(AB981,3),DATEVALUE('Procyclean MG'!D482))))),""))</f>
        <v/>
      </c>
      <c r="AM981" t="str">
        <f t="shared" ca="1" si="112"/>
        <v/>
      </c>
    </row>
    <row r="982" spans="27:39" x14ac:dyDescent="0.3">
      <c r="AA982" t="str">
        <f>IF(COUNTA('Procyclean MG'!A483,'Procyclean MG'!B483,'Procyclean MG'!C483)&gt;0,"MG","")</f>
        <v/>
      </c>
      <c r="AB982" t="str">
        <f>IFERROR(IF(ISNUMBER('Procyclean MG'!A483),'Procyclean MG'!A483,DATEVALUE('Procyclean MG'!A483)),"")</f>
        <v/>
      </c>
      <c r="AC982" t="str">
        <f>IF(AA982="","",'Procyclean MG'!B483)</f>
        <v/>
      </c>
      <c r="AD982" t="str">
        <f>IF(AA982="","",IFERROR(1*'Procyclean MG'!C483,IFERROR(_xludf.NUMBERVALUE('Procyclean MG'!C483,".",","),IFERROR(_xludf.NUMBERVALUE('Procyclean MG'!C483,",","."),0))))</f>
        <v/>
      </c>
      <c r="AE982" t="str">
        <f>IF(AA982="","",'Procyclean MG'!I483)</f>
        <v/>
      </c>
      <c r="AF982">
        <f t="shared" si="107"/>
        <v>0</v>
      </c>
      <c r="AG982" t="str">
        <f t="shared" si="108"/>
        <v/>
      </c>
      <c r="AH982" t="str">
        <f t="shared" si="109"/>
        <v/>
      </c>
      <c r="AI982">
        <f t="shared" si="110"/>
        <v>0</v>
      </c>
      <c r="AJ982">
        <f t="shared" si="111"/>
        <v>0</v>
      </c>
      <c r="AK982">
        <v>0</v>
      </c>
      <c r="AL982" t="str">
        <f>IF(AA982="","",IFERROR(IF(ISNUMBER('Procyclean MG'!D483),'Procyclean MG'!D483,IF(ISNUMBER(SEARCH("12",'Procyclean MG'!D483)),EDATE(AB982,12),IF(ISNUMBER(SEARCH("6",'Procyclean MG'!D483)),EDATE(AB982,6),IF(ISNUMBER(SEARCH("3",'Procyclean MG'!D483)),EDATE(AB982,3),DATEVALUE('Procyclean MG'!D483))))),""))</f>
        <v/>
      </c>
      <c r="AM982" t="str">
        <f t="shared" ca="1" si="112"/>
        <v/>
      </c>
    </row>
    <row r="983" spans="27:39" x14ac:dyDescent="0.3">
      <c r="AA983" t="str">
        <f>IF(COUNTA('Procyclean MG'!A484,'Procyclean MG'!B484,'Procyclean MG'!C484)&gt;0,"MG","")</f>
        <v/>
      </c>
      <c r="AB983" t="str">
        <f>IFERROR(IF(ISNUMBER('Procyclean MG'!A484),'Procyclean MG'!A484,DATEVALUE('Procyclean MG'!A484)),"")</f>
        <v/>
      </c>
      <c r="AC983" t="str">
        <f>IF(AA983="","",'Procyclean MG'!B484)</f>
        <v/>
      </c>
      <c r="AD983" t="str">
        <f>IF(AA983="","",IFERROR(1*'Procyclean MG'!C484,IFERROR(_xludf.NUMBERVALUE('Procyclean MG'!C484,".",","),IFERROR(_xludf.NUMBERVALUE('Procyclean MG'!C484,",","."),0))))</f>
        <v/>
      </c>
      <c r="AE983" t="str">
        <f>IF(AA983="","",'Procyclean MG'!I484)</f>
        <v/>
      </c>
      <c r="AF983">
        <f t="shared" si="107"/>
        <v>0</v>
      </c>
      <c r="AG983" t="str">
        <f t="shared" si="108"/>
        <v/>
      </c>
      <c r="AH983" t="str">
        <f t="shared" si="109"/>
        <v/>
      </c>
      <c r="AI983">
        <f t="shared" si="110"/>
        <v>0</v>
      </c>
      <c r="AJ983">
        <f t="shared" si="111"/>
        <v>0</v>
      </c>
      <c r="AK983">
        <v>0</v>
      </c>
      <c r="AL983" t="str">
        <f>IF(AA983="","",IFERROR(IF(ISNUMBER('Procyclean MG'!D484),'Procyclean MG'!D484,IF(ISNUMBER(SEARCH("12",'Procyclean MG'!D484)),EDATE(AB983,12),IF(ISNUMBER(SEARCH("6",'Procyclean MG'!D484)),EDATE(AB983,6),IF(ISNUMBER(SEARCH("3",'Procyclean MG'!D484)),EDATE(AB983,3),DATEVALUE('Procyclean MG'!D484))))),""))</f>
        <v/>
      </c>
      <c r="AM983" t="str">
        <f t="shared" ca="1" si="112"/>
        <v/>
      </c>
    </row>
    <row r="984" spans="27:39" x14ac:dyDescent="0.3">
      <c r="AA984" t="str">
        <f>IF(COUNTA('Procyclean MG'!A485,'Procyclean MG'!B485,'Procyclean MG'!C485)&gt;0,"MG","")</f>
        <v/>
      </c>
      <c r="AB984" t="str">
        <f>IFERROR(IF(ISNUMBER('Procyclean MG'!A485),'Procyclean MG'!A485,DATEVALUE('Procyclean MG'!A485)),"")</f>
        <v/>
      </c>
      <c r="AC984" t="str">
        <f>IF(AA984="","",'Procyclean MG'!B485)</f>
        <v/>
      </c>
      <c r="AD984" t="str">
        <f>IF(AA984="","",IFERROR(1*'Procyclean MG'!C485,IFERROR(_xludf.NUMBERVALUE('Procyclean MG'!C485,".",","),IFERROR(_xludf.NUMBERVALUE('Procyclean MG'!C485,",","."),0))))</f>
        <v/>
      </c>
      <c r="AE984" t="str">
        <f>IF(AA984="","",'Procyclean MG'!I485)</f>
        <v/>
      </c>
      <c r="AF984">
        <f t="shared" si="107"/>
        <v>0</v>
      </c>
      <c r="AG984" t="str">
        <f t="shared" si="108"/>
        <v/>
      </c>
      <c r="AH984" t="str">
        <f t="shared" si="109"/>
        <v/>
      </c>
      <c r="AI984">
        <f t="shared" si="110"/>
        <v>0</v>
      </c>
      <c r="AJ984">
        <f t="shared" si="111"/>
        <v>0</v>
      </c>
      <c r="AK984">
        <v>0</v>
      </c>
      <c r="AL984" t="str">
        <f>IF(AA984="","",IFERROR(IF(ISNUMBER('Procyclean MG'!D485),'Procyclean MG'!D485,IF(ISNUMBER(SEARCH("12",'Procyclean MG'!D485)),EDATE(AB984,12),IF(ISNUMBER(SEARCH("6",'Procyclean MG'!D485)),EDATE(AB984,6),IF(ISNUMBER(SEARCH("3",'Procyclean MG'!D485)),EDATE(AB984,3),DATEVALUE('Procyclean MG'!D485))))),""))</f>
        <v/>
      </c>
      <c r="AM984" t="str">
        <f t="shared" ca="1" si="112"/>
        <v/>
      </c>
    </row>
    <row r="985" spans="27:39" x14ac:dyDescent="0.3">
      <c r="AA985" t="str">
        <f>IF(COUNTA('Procyclean MG'!A486,'Procyclean MG'!B486,'Procyclean MG'!C486)&gt;0,"MG","")</f>
        <v/>
      </c>
      <c r="AB985" t="str">
        <f>IFERROR(IF(ISNUMBER('Procyclean MG'!A486),'Procyclean MG'!A486,DATEVALUE('Procyclean MG'!A486)),"")</f>
        <v/>
      </c>
      <c r="AC985" t="str">
        <f>IF(AA985="","",'Procyclean MG'!B486)</f>
        <v/>
      </c>
      <c r="AD985" t="str">
        <f>IF(AA985="","",IFERROR(1*'Procyclean MG'!C486,IFERROR(_xludf.NUMBERVALUE('Procyclean MG'!C486,".",","),IFERROR(_xludf.NUMBERVALUE('Procyclean MG'!C486,",","."),0))))</f>
        <v/>
      </c>
      <c r="AE985" t="str">
        <f>IF(AA985="","",'Procyclean MG'!I486)</f>
        <v/>
      </c>
      <c r="AF985">
        <f t="shared" si="107"/>
        <v>0</v>
      </c>
      <c r="AG985" t="str">
        <f t="shared" si="108"/>
        <v/>
      </c>
      <c r="AH985" t="str">
        <f t="shared" si="109"/>
        <v/>
      </c>
      <c r="AI985">
        <f t="shared" si="110"/>
        <v>0</v>
      </c>
      <c r="AJ985">
        <f t="shared" si="111"/>
        <v>0</v>
      </c>
      <c r="AK985">
        <v>0</v>
      </c>
      <c r="AL985" t="str">
        <f>IF(AA985="","",IFERROR(IF(ISNUMBER('Procyclean MG'!D486),'Procyclean MG'!D486,IF(ISNUMBER(SEARCH("12",'Procyclean MG'!D486)),EDATE(AB985,12),IF(ISNUMBER(SEARCH("6",'Procyclean MG'!D486)),EDATE(AB985,6),IF(ISNUMBER(SEARCH("3",'Procyclean MG'!D486)),EDATE(AB985,3),DATEVALUE('Procyclean MG'!D486))))),""))</f>
        <v/>
      </c>
      <c r="AM985" t="str">
        <f t="shared" ca="1" si="112"/>
        <v/>
      </c>
    </row>
    <row r="986" spans="27:39" x14ac:dyDescent="0.3">
      <c r="AA986" t="str">
        <f>IF(COUNTA('Procyclean MG'!A487,'Procyclean MG'!B487,'Procyclean MG'!C487)&gt;0,"MG","")</f>
        <v/>
      </c>
      <c r="AB986" t="str">
        <f>IFERROR(IF(ISNUMBER('Procyclean MG'!A487),'Procyclean MG'!A487,DATEVALUE('Procyclean MG'!A487)),"")</f>
        <v/>
      </c>
      <c r="AC986" t="str">
        <f>IF(AA986="","",'Procyclean MG'!B487)</f>
        <v/>
      </c>
      <c r="AD986" t="str">
        <f>IF(AA986="","",IFERROR(1*'Procyclean MG'!C487,IFERROR(_xludf.NUMBERVALUE('Procyclean MG'!C487,".",","),IFERROR(_xludf.NUMBERVALUE('Procyclean MG'!C487,",","."),0))))</f>
        <v/>
      </c>
      <c r="AE986" t="str">
        <f>IF(AA986="","",'Procyclean MG'!I487)</f>
        <v/>
      </c>
      <c r="AF986">
        <f t="shared" si="107"/>
        <v>0</v>
      </c>
      <c r="AG986" t="str">
        <f t="shared" si="108"/>
        <v/>
      </c>
      <c r="AH986" t="str">
        <f t="shared" si="109"/>
        <v/>
      </c>
      <c r="AI986">
        <f t="shared" si="110"/>
        <v>0</v>
      </c>
      <c r="AJ986">
        <f t="shared" si="111"/>
        <v>0</v>
      </c>
      <c r="AK986">
        <v>0</v>
      </c>
      <c r="AL986" t="str">
        <f>IF(AA986="","",IFERROR(IF(ISNUMBER('Procyclean MG'!D487),'Procyclean MG'!D487,IF(ISNUMBER(SEARCH("12",'Procyclean MG'!D487)),EDATE(AB986,12),IF(ISNUMBER(SEARCH("6",'Procyclean MG'!D487)),EDATE(AB986,6),IF(ISNUMBER(SEARCH("3",'Procyclean MG'!D487)),EDATE(AB986,3),DATEVALUE('Procyclean MG'!D487))))),""))</f>
        <v/>
      </c>
      <c r="AM986" t="str">
        <f t="shared" ca="1" si="112"/>
        <v/>
      </c>
    </row>
    <row r="987" spans="27:39" x14ac:dyDescent="0.3">
      <c r="AA987" t="str">
        <f>IF(COUNTA('Procyclean MG'!A488,'Procyclean MG'!B488,'Procyclean MG'!C488)&gt;0,"MG","")</f>
        <v/>
      </c>
      <c r="AB987" t="str">
        <f>IFERROR(IF(ISNUMBER('Procyclean MG'!A488),'Procyclean MG'!A488,DATEVALUE('Procyclean MG'!A488)),"")</f>
        <v/>
      </c>
      <c r="AC987" t="str">
        <f>IF(AA987="","",'Procyclean MG'!B488)</f>
        <v/>
      </c>
      <c r="AD987" t="str">
        <f>IF(AA987="","",IFERROR(1*'Procyclean MG'!C488,IFERROR(_xludf.NUMBERVALUE('Procyclean MG'!C488,".",","),IFERROR(_xludf.NUMBERVALUE('Procyclean MG'!C488,",","."),0))))</f>
        <v/>
      </c>
      <c r="AE987" t="str">
        <f>IF(AA987="","",'Procyclean MG'!I488)</f>
        <v/>
      </c>
      <c r="AF987">
        <f t="shared" si="107"/>
        <v>0</v>
      </c>
      <c r="AG987" t="str">
        <f t="shared" si="108"/>
        <v/>
      </c>
      <c r="AH987" t="str">
        <f t="shared" si="109"/>
        <v/>
      </c>
      <c r="AI987">
        <f t="shared" si="110"/>
        <v>0</v>
      </c>
      <c r="AJ987">
        <f t="shared" si="111"/>
        <v>0</v>
      </c>
      <c r="AK987">
        <v>0</v>
      </c>
      <c r="AL987" t="str">
        <f>IF(AA987="","",IFERROR(IF(ISNUMBER('Procyclean MG'!D488),'Procyclean MG'!D488,IF(ISNUMBER(SEARCH("12",'Procyclean MG'!D488)),EDATE(AB987,12),IF(ISNUMBER(SEARCH("6",'Procyclean MG'!D488)),EDATE(AB987,6),IF(ISNUMBER(SEARCH("3",'Procyclean MG'!D488)),EDATE(AB987,3),DATEVALUE('Procyclean MG'!D488))))),""))</f>
        <v/>
      </c>
      <c r="AM987" t="str">
        <f t="shared" ca="1" si="112"/>
        <v/>
      </c>
    </row>
    <row r="988" spans="27:39" x14ac:dyDescent="0.3">
      <c r="AA988" t="str">
        <f>IF(COUNTA('Procyclean MG'!A489,'Procyclean MG'!B489,'Procyclean MG'!C489)&gt;0,"MG","")</f>
        <v/>
      </c>
      <c r="AB988" t="str">
        <f>IFERROR(IF(ISNUMBER('Procyclean MG'!A489),'Procyclean MG'!A489,DATEVALUE('Procyclean MG'!A489)),"")</f>
        <v/>
      </c>
      <c r="AC988" t="str">
        <f>IF(AA988="","",'Procyclean MG'!B489)</f>
        <v/>
      </c>
      <c r="AD988" t="str">
        <f>IF(AA988="","",IFERROR(1*'Procyclean MG'!C489,IFERROR(_xludf.NUMBERVALUE('Procyclean MG'!C489,".",","),IFERROR(_xludf.NUMBERVALUE('Procyclean MG'!C489,",","."),0))))</f>
        <v/>
      </c>
      <c r="AE988" t="str">
        <f>IF(AA988="","",'Procyclean MG'!I489)</f>
        <v/>
      </c>
      <c r="AF988">
        <f t="shared" si="107"/>
        <v>0</v>
      </c>
      <c r="AG988" t="str">
        <f t="shared" si="108"/>
        <v/>
      </c>
      <c r="AH988" t="str">
        <f t="shared" si="109"/>
        <v/>
      </c>
      <c r="AI988">
        <f t="shared" si="110"/>
        <v>0</v>
      </c>
      <c r="AJ988">
        <f t="shared" si="111"/>
        <v>0</v>
      </c>
      <c r="AK988">
        <v>0</v>
      </c>
      <c r="AL988" t="str">
        <f>IF(AA988="","",IFERROR(IF(ISNUMBER('Procyclean MG'!D489),'Procyclean MG'!D489,IF(ISNUMBER(SEARCH("12",'Procyclean MG'!D489)),EDATE(AB988,12),IF(ISNUMBER(SEARCH("6",'Procyclean MG'!D489)),EDATE(AB988,6),IF(ISNUMBER(SEARCH("3",'Procyclean MG'!D489)),EDATE(AB988,3),DATEVALUE('Procyclean MG'!D489))))),""))</f>
        <v/>
      </c>
      <c r="AM988" t="str">
        <f t="shared" ca="1" si="112"/>
        <v/>
      </c>
    </row>
    <row r="989" spans="27:39" x14ac:dyDescent="0.3">
      <c r="AA989" t="str">
        <f>IF(COUNTA('Procyclean MG'!A490,'Procyclean MG'!B490,'Procyclean MG'!C490)&gt;0,"MG","")</f>
        <v/>
      </c>
      <c r="AB989" t="str">
        <f>IFERROR(IF(ISNUMBER('Procyclean MG'!A490),'Procyclean MG'!A490,DATEVALUE('Procyclean MG'!A490)),"")</f>
        <v/>
      </c>
      <c r="AC989" t="str">
        <f>IF(AA989="","",'Procyclean MG'!B490)</f>
        <v/>
      </c>
      <c r="AD989" t="str">
        <f>IF(AA989="","",IFERROR(1*'Procyclean MG'!C490,IFERROR(_xludf.NUMBERVALUE('Procyclean MG'!C490,".",","),IFERROR(_xludf.NUMBERVALUE('Procyclean MG'!C490,",","."),0))))</f>
        <v/>
      </c>
      <c r="AE989" t="str">
        <f>IF(AA989="","",'Procyclean MG'!I490)</f>
        <v/>
      </c>
      <c r="AF989">
        <f t="shared" si="107"/>
        <v>0</v>
      </c>
      <c r="AG989" t="str">
        <f t="shared" si="108"/>
        <v/>
      </c>
      <c r="AH989" t="str">
        <f t="shared" si="109"/>
        <v/>
      </c>
      <c r="AI989">
        <f t="shared" si="110"/>
        <v>0</v>
      </c>
      <c r="AJ989">
        <f t="shared" si="111"/>
        <v>0</v>
      </c>
      <c r="AK989">
        <v>0</v>
      </c>
      <c r="AL989" t="str">
        <f>IF(AA989="","",IFERROR(IF(ISNUMBER('Procyclean MG'!D490),'Procyclean MG'!D490,IF(ISNUMBER(SEARCH("12",'Procyclean MG'!D490)),EDATE(AB989,12),IF(ISNUMBER(SEARCH("6",'Procyclean MG'!D490)),EDATE(AB989,6),IF(ISNUMBER(SEARCH("3",'Procyclean MG'!D490)),EDATE(AB989,3),DATEVALUE('Procyclean MG'!D490))))),""))</f>
        <v/>
      </c>
      <c r="AM989" t="str">
        <f t="shared" ca="1" si="112"/>
        <v/>
      </c>
    </row>
    <row r="990" spans="27:39" x14ac:dyDescent="0.3">
      <c r="AA990" t="str">
        <f>IF(COUNTA('Procyclean MG'!A491,'Procyclean MG'!B491,'Procyclean MG'!C491)&gt;0,"MG","")</f>
        <v/>
      </c>
      <c r="AB990" t="str">
        <f>IFERROR(IF(ISNUMBER('Procyclean MG'!A491),'Procyclean MG'!A491,DATEVALUE('Procyclean MG'!A491)),"")</f>
        <v/>
      </c>
      <c r="AC990" t="str">
        <f>IF(AA990="","",'Procyclean MG'!B491)</f>
        <v/>
      </c>
      <c r="AD990" t="str">
        <f>IF(AA990="","",IFERROR(1*'Procyclean MG'!C491,IFERROR(_xludf.NUMBERVALUE('Procyclean MG'!C491,".",","),IFERROR(_xludf.NUMBERVALUE('Procyclean MG'!C491,",","."),0))))</f>
        <v/>
      </c>
      <c r="AE990" t="str">
        <f>IF(AA990="","",'Procyclean MG'!I491)</f>
        <v/>
      </c>
      <c r="AF990">
        <f t="shared" si="107"/>
        <v>0</v>
      </c>
      <c r="AG990" t="str">
        <f t="shared" si="108"/>
        <v/>
      </c>
      <c r="AH990" t="str">
        <f t="shared" si="109"/>
        <v/>
      </c>
      <c r="AI990">
        <f t="shared" si="110"/>
        <v>0</v>
      </c>
      <c r="AJ990">
        <f t="shared" si="111"/>
        <v>0</v>
      </c>
      <c r="AK990">
        <v>0</v>
      </c>
      <c r="AL990" t="str">
        <f>IF(AA990="","",IFERROR(IF(ISNUMBER('Procyclean MG'!D491),'Procyclean MG'!D491,IF(ISNUMBER(SEARCH("12",'Procyclean MG'!D491)),EDATE(AB990,12),IF(ISNUMBER(SEARCH("6",'Procyclean MG'!D491)),EDATE(AB990,6),IF(ISNUMBER(SEARCH("3",'Procyclean MG'!D491)),EDATE(AB990,3),DATEVALUE('Procyclean MG'!D491))))),""))</f>
        <v/>
      </c>
      <c r="AM990" t="str">
        <f t="shared" ca="1" si="112"/>
        <v/>
      </c>
    </row>
    <row r="991" spans="27:39" x14ac:dyDescent="0.3">
      <c r="AA991" t="str">
        <f>IF(COUNTA('Procyclean MG'!A492,'Procyclean MG'!B492,'Procyclean MG'!C492)&gt;0,"MG","")</f>
        <v/>
      </c>
      <c r="AB991" t="str">
        <f>IFERROR(IF(ISNUMBER('Procyclean MG'!A492),'Procyclean MG'!A492,DATEVALUE('Procyclean MG'!A492)),"")</f>
        <v/>
      </c>
      <c r="AC991" t="str">
        <f>IF(AA991="","",'Procyclean MG'!B492)</f>
        <v/>
      </c>
      <c r="AD991" t="str">
        <f>IF(AA991="","",IFERROR(1*'Procyclean MG'!C492,IFERROR(_xludf.NUMBERVALUE('Procyclean MG'!C492,".",","),IFERROR(_xludf.NUMBERVALUE('Procyclean MG'!C492,",","."),0))))</f>
        <v/>
      </c>
      <c r="AE991" t="str">
        <f>IF(AA991="","",'Procyclean MG'!I492)</f>
        <v/>
      </c>
      <c r="AF991">
        <f t="shared" si="107"/>
        <v>0</v>
      </c>
      <c r="AG991" t="str">
        <f t="shared" si="108"/>
        <v/>
      </c>
      <c r="AH991" t="str">
        <f t="shared" si="109"/>
        <v/>
      </c>
      <c r="AI991">
        <f t="shared" si="110"/>
        <v>0</v>
      </c>
      <c r="AJ991">
        <f t="shared" si="111"/>
        <v>0</v>
      </c>
      <c r="AK991">
        <v>0</v>
      </c>
      <c r="AL991" t="str">
        <f>IF(AA991="","",IFERROR(IF(ISNUMBER('Procyclean MG'!D492),'Procyclean MG'!D492,IF(ISNUMBER(SEARCH("12",'Procyclean MG'!D492)),EDATE(AB991,12),IF(ISNUMBER(SEARCH("6",'Procyclean MG'!D492)),EDATE(AB991,6),IF(ISNUMBER(SEARCH("3",'Procyclean MG'!D492)),EDATE(AB991,3),DATEVALUE('Procyclean MG'!D492))))),""))</f>
        <v/>
      </c>
      <c r="AM991" t="str">
        <f t="shared" ca="1" si="112"/>
        <v/>
      </c>
    </row>
    <row r="992" spans="27:39" x14ac:dyDescent="0.3">
      <c r="AA992" t="str">
        <f>IF(COUNTA('Procyclean MG'!A493,'Procyclean MG'!B493,'Procyclean MG'!C493)&gt;0,"MG","")</f>
        <v/>
      </c>
      <c r="AB992" t="str">
        <f>IFERROR(IF(ISNUMBER('Procyclean MG'!A493),'Procyclean MG'!A493,DATEVALUE('Procyclean MG'!A493)),"")</f>
        <v/>
      </c>
      <c r="AC992" t="str">
        <f>IF(AA992="","",'Procyclean MG'!B493)</f>
        <v/>
      </c>
      <c r="AD992" t="str">
        <f>IF(AA992="","",IFERROR(1*'Procyclean MG'!C493,IFERROR(_xludf.NUMBERVALUE('Procyclean MG'!C493,".",","),IFERROR(_xludf.NUMBERVALUE('Procyclean MG'!C493,",","."),0))))</f>
        <v/>
      </c>
      <c r="AE992" t="str">
        <f>IF(AA992="","",'Procyclean MG'!I493)</f>
        <v/>
      </c>
      <c r="AF992">
        <f t="shared" si="107"/>
        <v>0</v>
      </c>
      <c r="AG992" t="str">
        <f t="shared" si="108"/>
        <v/>
      </c>
      <c r="AH992" t="str">
        <f t="shared" si="109"/>
        <v/>
      </c>
      <c r="AI992">
        <f t="shared" si="110"/>
        <v>0</v>
      </c>
      <c r="AJ992">
        <f t="shared" si="111"/>
        <v>0</v>
      </c>
      <c r="AK992">
        <v>0</v>
      </c>
      <c r="AL992" t="str">
        <f>IF(AA992="","",IFERROR(IF(ISNUMBER('Procyclean MG'!D493),'Procyclean MG'!D493,IF(ISNUMBER(SEARCH("12",'Procyclean MG'!D493)),EDATE(AB992,12),IF(ISNUMBER(SEARCH("6",'Procyclean MG'!D493)),EDATE(AB992,6),IF(ISNUMBER(SEARCH("3",'Procyclean MG'!D493)),EDATE(AB992,3),DATEVALUE('Procyclean MG'!D493))))),""))</f>
        <v/>
      </c>
      <c r="AM992" t="str">
        <f t="shared" ca="1" si="112"/>
        <v/>
      </c>
    </row>
    <row r="993" spans="27:39" x14ac:dyDescent="0.3">
      <c r="AA993" t="str">
        <f>IF(COUNTA('Procyclean MG'!A494,'Procyclean MG'!B494,'Procyclean MG'!C494)&gt;0,"MG","")</f>
        <v/>
      </c>
      <c r="AB993" t="str">
        <f>IFERROR(IF(ISNUMBER('Procyclean MG'!A494),'Procyclean MG'!A494,DATEVALUE('Procyclean MG'!A494)),"")</f>
        <v/>
      </c>
      <c r="AC993" t="str">
        <f>IF(AA993="","",'Procyclean MG'!B494)</f>
        <v/>
      </c>
      <c r="AD993" t="str">
        <f>IF(AA993="","",IFERROR(1*'Procyclean MG'!C494,IFERROR(_xludf.NUMBERVALUE('Procyclean MG'!C494,".",","),IFERROR(_xludf.NUMBERVALUE('Procyclean MG'!C494,",","."),0))))</f>
        <v/>
      </c>
      <c r="AE993" t="str">
        <f>IF(AA993="","",'Procyclean MG'!I494)</f>
        <v/>
      </c>
      <c r="AF993">
        <f t="shared" si="107"/>
        <v>0</v>
      </c>
      <c r="AG993" t="str">
        <f t="shared" si="108"/>
        <v/>
      </c>
      <c r="AH993" t="str">
        <f t="shared" si="109"/>
        <v/>
      </c>
      <c r="AI993">
        <f t="shared" si="110"/>
        <v>0</v>
      </c>
      <c r="AJ993">
        <f t="shared" si="111"/>
        <v>0</v>
      </c>
      <c r="AK993">
        <v>0</v>
      </c>
      <c r="AL993" t="str">
        <f>IF(AA993="","",IFERROR(IF(ISNUMBER('Procyclean MG'!D494),'Procyclean MG'!D494,IF(ISNUMBER(SEARCH("12",'Procyclean MG'!D494)),EDATE(AB993,12),IF(ISNUMBER(SEARCH("6",'Procyclean MG'!D494)),EDATE(AB993,6),IF(ISNUMBER(SEARCH("3",'Procyclean MG'!D494)),EDATE(AB993,3),DATEVALUE('Procyclean MG'!D494))))),""))</f>
        <v/>
      </c>
      <c r="AM993" t="str">
        <f t="shared" ca="1" si="112"/>
        <v/>
      </c>
    </row>
    <row r="994" spans="27:39" x14ac:dyDescent="0.3">
      <c r="AA994" t="str">
        <f>IF(COUNTA('Procyclean MG'!A495,'Procyclean MG'!B495,'Procyclean MG'!C495)&gt;0,"MG","")</f>
        <v/>
      </c>
      <c r="AB994" t="str">
        <f>IFERROR(IF(ISNUMBER('Procyclean MG'!A495),'Procyclean MG'!A495,DATEVALUE('Procyclean MG'!A495)),"")</f>
        <v/>
      </c>
      <c r="AC994" t="str">
        <f>IF(AA994="","",'Procyclean MG'!B495)</f>
        <v/>
      </c>
      <c r="AD994" t="str">
        <f>IF(AA994="","",IFERROR(1*'Procyclean MG'!C495,IFERROR(_xludf.NUMBERVALUE('Procyclean MG'!C495,".",","),IFERROR(_xludf.NUMBERVALUE('Procyclean MG'!C495,",","."),0))))</f>
        <v/>
      </c>
      <c r="AE994" t="str">
        <f>IF(AA994="","",'Procyclean MG'!I495)</f>
        <v/>
      </c>
      <c r="AF994">
        <f t="shared" si="107"/>
        <v>0</v>
      </c>
      <c r="AG994" t="str">
        <f t="shared" si="108"/>
        <v/>
      </c>
      <c r="AH994" t="str">
        <f t="shared" si="109"/>
        <v/>
      </c>
      <c r="AI994">
        <f t="shared" si="110"/>
        <v>0</v>
      </c>
      <c r="AJ994">
        <f t="shared" si="111"/>
        <v>0</v>
      </c>
      <c r="AK994">
        <v>0</v>
      </c>
      <c r="AL994" t="str">
        <f>IF(AA994="","",IFERROR(IF(ISNUMBER('Procyclean MG'!D495),'Procyclean MG'!D495,IF(ISNUMBER(SEARCH("12",'Procyclean MG'!D495)),EDATE(AB994,12),IF(ISNUMBER(SEARCH("6",'Procyclean MG'!D495)),EDATE(AB994,6),IF(ISNUMBER(SEARCH("3",'Procyclean MG'!D495)),EDATE(AB994,3),DATEVALUE('Procyclean MG'!D495))))),""))</f>
        <v/>
      </c>
      <c r="AM994" t="str">
        <f t="shared" ca="1" si="112"/>
        <v/>
      </c>
    </row>
    <row r="995" spans="27:39" x14ac:dyDescent="0.3">
      <c r="AA995" t="str">
        <f>IF(COUNTA('Procyclean MG'!A496,'Procyclean MG'!B496,'Procyclean MG'!C496)&gt;0,"MG","")</f>
        <v/>
      </c>
      <c r="AB995" t="str">
        <f>IFERROR(IF(ISNUMBER('Procyclean MG'!A496),'Procyclean MG'!A496,DATEVALUE('Procyclean MG'!A496)),"")</f>
        <v/>
      </c>
      <c r="AC995" t="str">
        <f>IF(AA995="","",'Procyclean MG'!B496)</f>
        <v/>
      </c>
      <c r="AD995" t="str">
        <f>IF(AA995="","",IFERROR(1*'Procyclean MG'!C496,IFERROR(_xludf.NUMBERVALUE('Procyclean MG'!C496,".",","),IFERROR(_xludf.NUMBERVALUE('Procyclean MG'!C496,",","."),0))))</f>
        <v/>
      </c>
      <c r="AE995" t="str">
        <f>IF(AA995="","",'Procyclean MG'!I496)</f>
        <v/>
      </c>
      <c r="AF995">
        <f t="shared" si="107"/>
        <v>0</v>
      </c>
      <c r="AG995" t="str">
        <f t="shared" si="108"/>
        <v/>
      </c>
      <c r="AH995" t="str">
        <f t="shared" si="109"/>
        <v/>
      </c>
      <c r="AI995">
        <f t="shared" si="110"/>
        <v>0</v>
      </c>
      <c r="AJ995">
        <f t="shared" si="111"/>
        <v>0</v>
      </c>
      <c r="AK995">
        <v>0</v>
      </c>
      <c r="AL995" t="str">
        <f>IF(AA995="","",IFERROR(IF(ISNUMBER('Procyclean MG'!D496),'Procyclean MG'!D496,IF(ISNUMBER(SEARCH("12",'Procyclean MG'!D496)),EDATE(AB995,12),IF(ISNUMBER(SEARCH("6",'Procyclean MG'!D496)),EDATE(AB995,6),IF(ISNUMBER(SEARCH("3",'Procyclean MG'!D496)),EDATE(AB995,3),DATEVALUE('Procyclean MG'!D496))))),""))</f>
        <v/>
      </c>
      <c r="AM995" t="str">
        <f t="shared" ca="1" si="112"/>
        <v/>
      </c>
    </row>
    <row r="996" spans="27:39" x14ac:dyDescent="0.3">
      <c r="AA996" t="str">
        <f>IF(COUNTA('Procyclean MG'!A497,'Procyclean MG'!B497,'Procyclean MG'!C497)&gt;0,"MG","")</f>
        <v/>
      </c>
      <c r="AB996" t="str">
        <f>IFERROR(IF(ISNUMBER('Procyclean MG'!A497),'Procyclean MG'!A497,DATEVALUE('Procyclean MG'!A497)),"")</f>
        <v/>
      </c>
      <c r="AC996" t="str">
        <f>IF(AA996="","",'Procyclean MG'!B497)</f>
        <v/>
      </c>
      <c r="AD996" t="str">
        <f>IF(AA996="","",IFERROR(1*'Procyclean MG'!C497,IFERROR(_xludf.NUMBERVALUE('Procyclean MG'!C497,".",","),IFERROR(_xludf.NUMBERVALUE('Procyclean MG'!C497,",","."),0))))</f>
        <v/>
      </c>
      <c r="AE996" t="str">
        <f>IF(AA996="","",'Procyclean MG'!I497)</f>
        <v/>
      </c>
      <c r="AF996">
        <f t="shared" si="107"/>
        <v>0</v>
      </c>
      <c r="AG996" t="str">
        <f t="shared" si="108"/>
        <v/>
      </c>
      <c r="AH996" t="str">
        <f t="shared" si="109"/>
        <v/>
      </c>
      <c r="AI996">
        <f t="shared" si="110"/>
        <v>0</v>
      </c>
      <c r="AJ996">
        <f t="shared" si="111"/>
        <v>0</v>
      </c>
      <c r="AK996">
        <v>0</v>
      </c>
      <c r="AL996" t="str">
        <f>IF(AA996="","",IFERROR(IF(ISNUMBER('Procyclean MG'!D497),'Procyclean MG'!D497,IF(ISNUMBER(SEARCH("12",'Procyclean MG'!D497)),EDATE(AB996,12),IF(ISNUMBER(SEARCH("6",'Procyclean MG'!D497)),EDATE(AB996,6),IF(ISNUMBER(SEARCH("3",'Procyclean MG'!D497)),EDATE(AB996,3),DATEVALUE('Procyclean MG'!D497))))),""))</f>
        <v/>
      </c>
      <c r="AM996" t="str">
        <f t="shared" ca="1" si="112"/>
        <v/>
      </c>
    </row>
    <row r="997" spans="27:39" x14ac:dyDescent="0.3">
      <c r="AA997" t="str">
        <f>IF(COUNTA('Procyclean MG'!A498,'Procyclean MG'!B498,'Procyclean MG'!C498)&gt;0,"MG","")</f>
        <v/>
      </c>
      <c r="AB997" t="str">
        <f>IFERROR(IF(ISNUMBER('Procyclean MG'!A498),'Procyclean MG'!A498,DATEVALUE('Procyclean MG'!A498)),"")</f>
        <v/>
      </c>
      <c r="AC997" t="str">
        <f>IF(AA997="","",'Procyclean MG'!B498)</f>
        <v/>
      </c>
      <c r="AD997" t="str">
        <f>IF(AA997="","",IFERROR(1*'Procyclean MG'!C498,IFERROR(_xludf.NUMBERVALUE('Procyclean MG'!C498,".",","),IFERROR(_xludf.NUMBERVALUE('Procyclean MG'!C498,",","."),0))))</f>
        <v/>
      </c>
      <c r="AE997" t="str">
        <f>IF(AA997="","",'Procyclean MG'!I498)</f>
        <v/>
      </c>
      <c r="AF997">
        <f t="shared" si="107"/>
        <v>0</v>
      </c>
      <c r="AG997" t="str">
        <f t="shared" si="108"/>
        <v/>
      </c>
      <c r="AH997" t="str">
        <f t="shared" si="109"/>
        <v/>
      </c>
      <c r="AI997">
        <f t="shared" si="110"/>
        <v>0</v>
      </c>
      <c r="AJ997">
        <f t="shared" si="111"/>
        <v>0</v>
      </c>
      <c r="AK997">
        <v>0</v>
      </c>
      <c r="AL997" t="str">
        <f>IF(AA997="","",IFERROR(IF(ISNUMBER('Procyclean MG'!D498),'Procyclean MG'!D498,IF(ISNUMBER(SEARCH("12",'Procyclean MG'!D498)),EDATE(AB997,12),IF(ISNUMBER(SEARCH("6",'Procyclean MG'!D498)),EDATE(AB997,6),IF(ISNUMBER(SEARCH("3",'Procyclean MG'!D498)),EDATE(AB997,3),DATEVALUE('Procyclean MG'!D498))))),""))</f>
        <v/>
      </c>
      <c r="AM997" t="str">
        <f t="shared" ca="1" si="112"/>
        <v/>
      </c>
    </row>
    <row r="998" spans="27:39" x14ac:dyDescent="0.3">
      <c r="AA998" t="str">
        <f>IF(COUNTA('Procyclean MG'!A499,'Procyclean MG'!B499,'Procyclean MG'!C499)&gt;0,"MG","")</f>
        <v/>
      </c>
      <c r="AB998" t="str">
        <f>IFERROR(IF(ISNUMBER('Procyclean MG'!A499),'Procyclean MG'!A499,DATEVALUE('Procyclean MG'!A499)),"")</f>
        <v/>
      </c>
      <c r="AC998" t="str">
        <f>IF(AA998="","",'Procyclean MG'!B499)</f>
        <v/>
      </c>
      <c r="AD998" t="str">
        <f>IF(AA998="","",IFERROR(1*'Procyclean MG'!C499,IFERROR(_xludf.NUMBERVALUE('Procyclean MG'!C499,".",","),IFERROR(_xludf.NUMBERVALUE('Procyclean MG'!C499,",","."),0))))</f>
        <v/>
      </c>
      <c r="AE998" t="str">
        <f>IF(AA998="","",'Procyclean MG'!I499)</f>
        <v/>
      </c>
      <c r="AF998">
        <f t="shared" si="107"/>
        <v>0</v>
      </c>
      <c r="AG998" t="str">
        <f t="shared" si="108"/>
        <v/>
      </c>
      <c r="AH998" t="str">
        <f t="shared" si="109"/>
        <v/>
      </c>
      <c r="AI998">
        <f t="shared" si="110"/>
        <v>0</v>
      </c>
      <c r="AJ998">
        <f t="shared" si="111"/>
        <v>0</v>
      </c>
      <c r="AK998">
        <v>0</v>
      </c>
      <c r="AL998" t="str">
        <f>IF(AA998="","",IFERROR(IF(ISNUMBER('Procyclean MG'!D499),'Procyclean MG'!D499,IF(ISNUMBER(SEARCH("12",'Procyclean MG'!D499)),EDATE(AB998,12),IF(ISNUMBER(SEARCH("6",'Procyclean MG'!D499)),EDATE(AB998,6),IF(ISNUMBER(SEARCH("3",'Procyclean MG'!D499)),EDATE(AB998,3),DATEVALUE('Procyclean MG'!D499))))),""))</f>
        <v/>
      </c>
      <c r="AM998" t="str">
        <f t="shared" ca="1" si="112"/>
        <v/>
      </c>
    </row>
    <row r="999" spans="27:39" x14ac:dyDescent="0.3">
      <c r="AA999" t="str">
        <f>IF(COUNTA('Procyclean MG'!A500,'Procyclean MG'!B500,'Procyclean MG'!C500)&gt;0,"MG","")</f>
        <v/>
      </c>
      <c r="AB999" t="str">
        <f>IFERROR(IF(ISNUMBER('Procyclean MG'!A500),'Procyclean MG'!A500,DATEVALUE('Procyclean MG'!A500)),"")</f>
        <v/>
      </c>
      <c r="AC999" t="str">
        <f>IF(AA999="","",'Procyclean MG'!B500)</f>
        <v/>
      </c>
      <c r="AD999" t="str">
        <f>IF(AA999="","",IFERROR(1*'Procyclean MG'!C500,IFERROR(_xludf.NUMBERVALUE('Procyclean MG'!C500,".",","),IFERROR(_xludf.NUMBERVALUE('Procyclean MG'!C500,",","."),0))))</f>
        <v/>
      </c>
      <c r="AE999" t="str">
        <f>IF(AA999="","",'Procyclean MG'!I500)</f>
        <v/>
      </c>
      <c r="AF999">
        <f t="shared" si="107"/>
        <v>0</v>
      </c>
      <c r="AG999" t="str">
        <f t="shared" si="108"/>
        <v/>
      </c>
      <c r="AH999" t="str">
        <f t="shared" si="109"/>
        <v/>
      </c>
      <c r="AI999">
        <f t="shared" si="110"/>
        <v>0</v>
      </c>
      <c r="AJ999">
        <f t="shared" si="111"/>
        <v>0</v>
      </c>
      <c r="AK999">
        <v>0</v>
      </c>
      <c r="AL999" t="str">
        <f>IF(AA999="","",IFERROR(IF(ISNUMBER('Procyclean MG'!D500),'Procyclean MG'!D500,IF(ISNUMBER(SEARCH("12",'Procyclean MG'!D500)),EDATE(AB999,12),IF(ISNUMBER(SEARCH("6",'Procyclean MG'!D500)),EDATE(AB999,6),IF(ISNUMBER(SEARCH("3",'Procyclean MG'!D500)),EDATE(AB999,3),DATEVALUE('Procyclean MG'!D500))))),""))</f>
        <v/>
      </c>
      <c r="AM999" t="str">
        <f t="shared" ca="1" si="112"/>
        <v/>
      </c>
    </row>
    <row r="1000" spans="27:39" x14ac:dyDescent="0.3">
      <c r="AA1000" t="str">
        <f>IF(COUNTA('Procyclean MG'!A501,'Procyclean MG'!B501,'Procyclean MG'!C501)&gt;0,"MG","")</f>
        <v/>
      </c>
      <c r="AB1000" t="str">
        <f>IFERROR(IF(ISNUMBER('Procyclean MG'!A501),'Procyclean MG'!A501,DATEVALUE('Procyclean MG'!A501)),"")</f>
        <v/>
      </c>
      <c r="AC1000" t="str">
        <f>IF(AA1000="","",'Procyclean MG'!B501)</f>
        <v/>
      </c>
      <c r="AD1000" t="str">
        <f>IF(AA1000="","",IFERROR(1*'Procyclean MG'!C501,IFERROR(_xludf.NUMBERVALUE('Procyclean MG'!C501,".",","),IFERROR(_xludf.NUMBERVALUE('Procyclean MG'!C501,",","."),0))))</f>
        <v/>
      </c>
      <c r="AE1000" t="str">
        <f>IF(AA1000="","",'Procyclean MG'!I501)</f>
        <v/>
      </c>
      <c r="AF1000">
        <f t="shared" si="107"/>
        <v>0</v>
      </c>
      <c r="AG1000" t="str">
        <f t="shared" si="108"/>
        <v/>
      </c>
      <c r="AH1000" t="str">
        <f t="shared" si="109"/>
        <v/>
      </c>
      <c r="AI1000">
        <f t="shared" si="110"/>
        <v>0</v>
      </c>
      <c r="AJ1000">
        <f t="shared" si="111"/>
        <v>0</v>
      </c>
      <c r="AK1000">
        <v>0</v>
      </c>
      <c r="AL1000" t="str">
        <f>IF(AA1000="","",IFERROR(IF(ISNUMBER('Procyclean MG'!D501),'Procyclean MG'!D501,IF(ISNUMBER(SEARCH("12",'Procyclean MG'!D501)),EDATE(AB1000,12),IF(ISNUMBER(SEARCH("6",'Procyclean MG'!D501)),EDATE(AB1000,6),IF(ISNUMBER(SEARCH("3",'Procyclean MG'!D501)),EDATE(AB1000,3),DATEVALUE('Procyclean MG'!D501))))),""))</f>
        <v/>
      </c>
      <c r="AM1000" t="str">
        <f t="shared" ca="1" si="112"/>
        <v/>
      </c>
    </row>
    <row r="1001" spans="27:39" x14ac:dyDescent="0.3">
      <c r="AA1001" t="str">
        <f>IF(COUNTA('Procyclean MG'!A502,'Procyclean MG'!B502,'Procyclean MG'!C502)&gt;0,"MG","")</f>
        <v/>
      </c>
      <c r="AB1001" t="str">
        <f>IFERROR(IF(ISNUMBER('Procyclean MG'!A502),'Procyclean MG'!A502,DATEVALUE('Procyclean MG'!A502)),"")</f>
        <v/>
      </c>
      <c r="AC1001" t="str">
        <f>IF(AA1001="","",'Procyclean MG'!B502)</f>
        <v/>
      </c>
      <c r="AD1001" t="str">
        <f>IF(AA1001="","",IFERROR(1*'Procyclean MG'!C502,IFERROR(_xludf.NUMBERVALUE('Procyclean MG'!C502,".",","),IFERROR(_xludf.NUMBERVALUE('Procyclean MG'!C502,",","."),0))))</f>
        <v/>
      </c>
      <c r="AE1001" t="str">
        <f>IF(AA1001="","",'Procyclean MG'!I502)</f>
        <v/>
      </c>
      <c r="AF1001">
        <f t="shared" si="107"/>
        <v>0</v>
      </c>
      <c r="AG1001" t="str">
        <f t="shared" si="108"/>
        <v/>
      </c>
      <c r="AH1001" t="str">
        <f t="shared" si="109"/>
        <v/>
      </c>
      <c r="AI1001">
        <f t="shared" si="110"/>
        <v>0</v>
      </c>
      <c r="AJ1001">
        <f t="shared" si="111"/>
        <v>0</v>
      </c>
      <c r="AK1001">
        <v>0</v>
      </c>
      <c r="AL1001" t="str">
        <f>IF(AA1001="","",IFERROR(IF(ISNUMBER('Procyclean MG'!D502),'Procyclean MG'!D502,IF(ISNUMBER(SEARCH("12",'Procyclean MG'!D502)),EDATE(AB1001,12),IF(ISNUMBER(SEARCH("6",'Procyclean MG'!D502)),EDATE(AB1001,6),IF(ISNUMBER(SEARCH("3",'Procyclean MG'!D502)),EDATE(AB1001,3),DATEVALUE('Procyclean MG'!D502))))),""))</f>
        <v/>
      </c>
      <c r="AM1001" t="str">
        <f t="shared" ca="1" si="112"/>
        <v/>
      </c>
    </row>
    <row r="1002" spans="27:39" x14ac:dyDescent="0.3">
      <c r="AA1002" t="str">
        <f>IF(COUNTA('Procyclean 130'!A3,'Procyclean 130'!B3,'Procyclean 130'!C3)&gt;0,"130","")</f>
        <v>130</v>
      </c>
      <c r="AB1002">
        <f>IFERROR(IF(ISNUMBER('Procyclean 130'!A3),'Procyclean 130'!A3,DATEVALUE('Procyclean 130'!A3)),"")</f>
        <v>44832</v>
      </c>
      <c r="AC1002" t="str">
        <f>IF(AA1002="","",'Procyclean 130'!B3)</f>
        <v>7070/22</v>
      </c>
      <c r="AD1002">
        <f>IF(AA1002="","",IFERROR(1*'Procyclean 130'!C3,IFERROR(_xludf.NUMBERVALUE('Procyclean 130'!C3,".",","),IFERROR(_xludf.NUMBERVALUE('Procyclean 130'!C3,",","."),0))))</f>
        <v>600</v>
      </c>
      <c r="AE1002" t="str">
        <f>IF(AA1002="","",'Procyclean 130'!J3)</f>
        <v>APROVADO</v>
      </c>
      <c r="AF1002">
        <f t="shared" si="107"/>
        <v>1</v>
      </c>
      <c r="AG1002">
        <f t="shared" si="108"/>
        <v>2022</v>
      </c>
      <c r="AH1002">
        <f t="shared" si="109"/>
        <v>9</v>
      </c>
      <c r="AI1002">
        <f t="shared" si="110"/>
        <v>44832.001001999997</v>
      </c>
      <c r="AJ1002">
        <f t="shared" si="111"/>
        <v>1</v>
      </c>
      <c r="AK1002">
        <v>0</v>
      </c>
      <c r="AL1002">
        <f>IF(AA1002="","",IFERROR(IF(ISNUMBER('Procyclean 130'!D3),'Procyclean 130'!D3,IF(ISNUMBER(SEARCH("12",'Procyclean 130'!D3)),EDATE(AB1002,12),IF(ISNUMBER(SEARCH("6",'Procyclean 130'!D3)),EDATE(AB1002,6),IF(ISNUMBER(SEARCH("3",'Procyclean 130'!D3)),EDATE(AB1002,3),DATEVALUE('Procyclean 130'!D3))))),""))</f>
        <v>45197</v>
      </c>
      <c r="AM1002" t="str">
        <f t="shared" ca="1" si="112"/>
        <v/>
      </c>
    </row>
    <row r="1003" spans="27:39" x14ac:dyDescent="0.3">
      <c r="AA1003" t="str">
        <f>IF(COUNTA('Procyclean 130'!A4,'Procyclean 130'!B4,'Procyclean 130'!C4)&gt;0,"130","")</f>
        <v/>
      </c>
      <c r="AB1003" t="str">
        <f>IFERROR(IF(ISNUMBER('Procyclean 130'!A4),'Procyclean 130'!A4,DATEVALUE('Procyclean 130'!A4)),"")</f>
        <v/>
      </c>
      <c r="AC1003" t="str">
        <f>IF(AA1003="","",'Procyclean 130'!B4)</f>
        <v/>
      </c>
      <c r="AD1003" t="str">
        <f>IF(AA1003="","",IFERROR(1*'Procyclean 130'!C4,IFERROR(_xludf.NUMBERVALUE('Procyclean 130'!C4,".",","),IFERROR(_xludf.NUMBERVALUE('Procyclean 130'!C4,",","."),0))))</f>
        <v/>
      </c>
      <c r="AE1003" t="str">
        <f>IF(AA1003="","",'Procyclean 130'!J4)</f>
        <v/>
      </c>
      <c r="AF1003">
        <f t="shared" si="107"/>
        <v>0</v>
      </c>
      <c r="AG1003" t="str">
        <f t="shared" si="108"/>
        <v/>
      </c>
      <c r="AH1003" t="str">
        <f t="shared" si="109"/>
        <v/>
      </c>
      <c r="AI1003">
        <f t="shared" si="110"/>
        <v>0</v>
      </c>
      <c r="AJ1003">
        <f t="shared" si="111"/>
        <v>0</v>
      </c>
      <c r="AK1003">
        <v>0</v>
      </c>
      <c r="AL1003" t="str">
        <f>IF(AA1003="","",IFERROR(IF(ISNUMBER('Procyclean 130'!D4),'Procyclean 130'!D4,IF(ISNUMBER(SEARCH("12",'Procyclean 130'!D4)),EDATE(AB1003,12),IF(ISNUMBER(SEARCH("6",'Procyclean 130'!D4)),EDATE(AB1003,6),IF(ISNUMBER(SEARCH("3",'Procyclean 130'!D4)),EDATE(AB1003,3),DATEVALUE('Procyclean 130'!D4))))),""))</f>
        <v/>
      </c>
      <c r="AM1003" t="str">
        <f t="shared" ca="1" si="112"/>
        <v/>
      </c>
    </row>
    <row r="1004" spans="27:39" x14ac:dyDescent="0.3">
      <c r="AA1004" t="str">
        <f>IF(COUNTA('Procyclean 130'!A5,'Procyclean 130'!B5,'Procyclean 130'!C5)&gt;0,"130","")</f>
        <v/>
      </c>
      <c r="AB1004" t="str">
        <f>IFERROR(IF(ISNUMBER('Procyclean 130'!A5),'Procyclean 130'!A5,DATEVALUE('Procyclean 130'!A5)),"")</f>
        <v/>
      </c>
      <c r="AC1004" t="str">
        <f>IF(AA1004="","",'Procyclean 130'!B5)</f>
        <v/>
      </c>
      <c r="AD1004" t="str">
        <f>IF(AA1004="","",IFERROR(1*'Procyclean 130'!C5,IFERROR(_xludf.NUMBERVALUE('Procyclean 130'!C5,".",","),IFERROR(_xludf.NUMBERVALUE('Procyclean 130'!C5,",","."),0))))</f>
        <v/>
      </c>
      <c r="AE1004" t="str">
        <f>IF(AA1004="","",'Procyclean 130'!J5)</f>
        <v/>
      </c>
      <c r="AF1004">
        <f t="shared" si="107"/>
        <v>0</v>
      </c>
      <c r="AG1004" t="str">
        <f t="shared" si="108"/>
        <v/>
      </c>
      <c r="AH1004" t="str">
        <f t="shared" si="109"/>
        <v/>
      </c>
      <c r="AI1004">
        <f t="shared" si="110"/>
        <v>0</v>
      </c>
      <c r="AJ1004">
        <f t="shared" si="111"/>
        <v>0</v>
      </c>
      <c r="AK1004">
        <v>0</v>
      </c>
      <c r="AL1004" t="str">
        <f>IF(AA1004="","",IFERROR(IF(ISNUMBER('Procyclean 130'!D5),'Procyclean 130'!D5,IF(ISNUMBER(SEARCH("12",'Procyclean 130'!D5)),EDATE(AB1004,12),IF(ISNUMBER(SEARCH("6",'Procyclean 130'!D5)),EDATE(AB1004,6),IF(ISNUMBER(SEARCH("3",'Procyclean 130'!D5)),EDATE(AB1004,3),DATEVALUE('Procyclean 130'!D5))))),""))</f>
        <v/>
      </c>
      <c r="AM1004" t="str">
        <f t="shared" ca="1" si="112"/>
        <v/>
      </c>
    </row>
    <row r="1005" spans="27:39" x14ac:dyDescent="0.3">
      <c r="AA1005" t="str">
        <f>IF(COUNTA('Procyclean 130'!A6,'Procyclean 130'!B6,'Procyclean 130'!C6)&gt;0,"130","")</f>
        <v/>
      </c>
      <c r="AB1005" t="str">
        <f>IFERROR(IF(ISNUMBER('Procyclean 130'!A6),'Procyclean 130'!A6,DATEVALUE('Procyclean 130'!A6)),"")</f>
        <v/>
      </c>
      <c r="AC1005" t="str">
        <f>IF(AA1005="","",'Procyclean 130'!B6)</f>
        <v/>
      </c>
      <c r="AD1005" t="str">
        <f>IF(AA1005="","",IFERROR(1*'Procyclean 130'!C6,IFERROR(_xludf.NUMBERVALUE('Procyclean 130'!C6,".",","),IFERROR(_xludf.NUMBERVALUE('Procyclean 130'!C6,",","."),0))))</f>
        <v/>
      </c>
      <c r="AE1005" t="str">
        <f>IF(AA1005="","",'Procyclean 130'!J6)</f>
        <v/>
      </c>
      <c r="AF1005">
        <f t="shared" si="107"/>
        <v>0</v>
      </c>
      <c r="AG1005" t="str">
        <f t="shared" si="108"/>
        <v/>
      </c>
      <c r="AH1005" t="str">
        <f t="shared" si="109"/>
        <v/>
      </c>
      <c r="AI1005">
        <f t="shared" si="110"/>
        <v>0</v>
      </c>
      <c r="AJ1005">
        <f t="shared" si="111"/>
        <v>0</v>
      </c>
      <c r="AK1005">
        <v>0</v>
      </c>
      <c r="AL1005" t="str">
        <f>IF(AA1005="","",IFERROR(IF(ISNUMBER('Procyclean 130'!D6),'Procyclean 130'!D6,IF(ISNUMBER(SEARCH("12",'Procyclean 130'!D6)),EDATE(AB1005,12),IF(ISNUMBER(SEARCH("6",'Procyclean 130'!D6)),EDATE(AB1005,6),IF(ISNUMBER(SEARCH("3",'Procyclean 130'!D6)),EDATE(AB1005,3),DATEVALUE('Procyclean 130'!D6))))),""))</f>
        <v/>
      </c>
      <c r="AM1005" t="str">
        <f t="shared" ca="1" si="112"/>
        <v/>
      </c>
    </row>
    <row r="1006" spans="27:39" x14ac:dyDescent="0.3">
      <c r="AA1006" t="str">
        <f>IF(COUNTA('Procyclean 130'!A7,'Procyclean 130'!B7,'Procyclean 130'!C7)&gt;0,"130","")</f>
        <v/>
      </c>
      <c r="AB1006" t="str">
        <f>IFERROR(IF(ISNUMBER('Procyclean 130'!A7),'Procyclean 130'!A7,DATEVALUE('Procyclean 130'!A7)),"")</f>
        <v/>
      </c>
      <c r="AC1006" t="str">
        <f>IF(AA1006="","",'Procyclean 130'!B7)</f>
        <v/>
      </c>
      <c r="AD1006" t="str">
        <f>IF(AA1006="","",IFERROR(1*'Procyclean 130'!C7,IFERROR(_xludf.NUMBERVALUE('Procyclean 130'!C7,".",","),IFERROR(_xludf.NUMBERVALUE('Procyclean 130'!C7,",","."),0))))</f>
        <v/>
      </c>
      <c r="AE1006" t="str">
        <f>IF(AA1006="","",'Procyclean 130'!J7)</f>
        <v/>
      </c>
      <c r="AF1006">
        <f t="shared" si="107"/>
        <v>0</v>
      </c>
      <c r="AG1006" t="str">
        <f t="shared" si="108"/>
        <v/>
      </c>
      <c r="AH1006" t="str">
        <f t="shared" si="109"/>
        <v/>
      </c>
      <c r="AI1006">
        <f t="shared" si="110"/>
        <v>0</v>
      </c>
      <c r="AJ1006">
        <f t="shared" si="111"/>
        <v>0</v>
      </c>
      <c r="AK1006">
        <v>0</v>
      </c>
      <c r="AL1006" t="str">
        <f>IF(AA1006="","",IFERROR(IF(ISNUMBER('Procyclean 130'!D7),'Procyclean 130'!D7,IF(ISNUMBER(SEARCH("12",'Procyclean 130'!D7)),EDATE(AB1006,12),IF(ISNUMBER(SEARCH("6",'Procyclean 130'!D7)),EDATE(AB1006,6),IF(ISNUMBER(SEARCH("3",'Procyclean 130'!D7)),EDATE(AB1006,3),DATEVALUE('Procyclean 130'!D7))))),""))</f>
        <v/>
      </c>
      <c r="AM1006" t="str">
        <f t="shared" ca="1" si="112"/>
        <v/>
      </c>
    </row>
    <row r="1007" spans="27:39" x14ac:dyDescent="0.3">
      <c r="AA1007" t="str">
        <f>IF(COUNTA('Procyclean 130'!A8,'Procyclean 130'!B8,'Procyclean 130'!C8)&gt;0,"130","")</f>
        <v/>
      </c>
      <c r="AB1007" t="str">
        <f>IFERROR(IF(ISNUMBER('Procyclean 130'!A8),'Procyclean 130'!A8,DATEVALUE('Procyclean 130'!A8)),"")</f>
        <v/>
      </c>
      <c r="AC1007" t="str">
        <f>IF(AA1007="","",'Procyclean 130'!B8)</f>
        <v/>
      </c>
      <c r="AD1007" t="str">
        <f>IF(AA1007="","",IFERROR(1*'Procyclean 130'!C8,IFERROR(_xludf.NUMBERVALUE('Procyclean 130'!C8,".",","),IFERROR(_xludf.NUMBERVALUE('Procyclean 130'!C8,",","."),0))))</f>
        <v/>
      </c>
      <c r="AE1007" t="str">
        <f>IF(AA1007="","",'Procyclean 130'!J8)</f>
        <v/>
      </c>
      <c r="AF1007">
        <f t="shared" si="107"/>
        <v>0</v>
      </c>
      <c r="AG1007" t="str">
        <f t="shared" si="108"/>
        <v/>
      </c>
      <c r="AH1007" t="str">
        <f t="shared" si="109"/>
        <v/>
      </c>
      <c r="AI1007">
        <f t="shared" si="110"/>
        <v>0</v>
      </c>
      <c r="AJ1007">
        <f t="shared" si="111"/>
        <v>0</v>
      </c>
      <c r="AK1007">
        <v>0</v>
      </c>
      <c r="AL1007" t="str">
        <f>IF(AA1007="","",IFERROR(IF(ISNUMBER('Procyclean 130'!D8),'Procyclean 130'!D8,IF(ISNUMBER(SEARCH("12",'Procyclean 130'!D8)),EDATE(AB1007,12),IF(ISNUMBER(SEARCH("6",'Procyclean 130'!D8)),EDATE(AB1007,6),IF(ISNUMBER(SEARCH("3",'Procyclean 130'!D8)),EDATE(AB1007,3),DATEVALUE('Procyclean 130'!D8))))),""))</f>
        <v/>
      </c>
      <c r="AM1007" t="str">
        <f t="shared" ca="1" si="112"/>
        <v/>
      </c>
    </row>
    <row r="1008" spans="27:39" x14ac:dyDescent="0.3">
      <c r="AA1008" t="str">
        <f>IF(COUNTA('Procyclean 130'!A9,'Procyclean 130'!B9,'Procyclean 130'!C9)&gt;0,"130","")</f>
        <v/>
      </c>
      <c r="AB1008" t="str">
        <f>IFERROR(IF(ISNUMBER('Procyclean 130'!A9),'Procyclean 130'!A9,DATEVALUE('Procyclean 130'!A9)),"")</f>
        <v/>
      </c>
      <c r="AC1008" t="str">
        <f>IF(AA1008="","",'Procyclean 130'!B9)</f>
        <v/>
      </c>
      <c r="AD1008" t="str">
        <f>IF(AA1008="","",IFERROR(1*'Procyclean 130'!C9,IFERROR(_xludf.NUMBERVALUE('Procyclean 130'!C9,".",","),IFERROR(_xludf.NUMBERVALUE('Procyclean 130'!C9,",","."),0))))</f>
        <v/>
      </c>
      <c r="AE1008" t="str">
        <f>IF(AA1008="","",'Procyclean 130'!J9)</f>
        <v/>
      </c>
      <c r="AF1008">
        <f t="shared" si="107"/>
        <v>0</v>
      </c>
      <c r="AG1008" t="str">
        <f t="shared" si="108"/>
        <v/>
      </c>
      <c r="AH1008" t="str">
        <f t="shared" si="109"/>
        <v/>
      </c>
      <c r="AI1008">
        <f t="shared" si="110"/>
        <v>0</v>
      </c>
      <c r="AJ1008">
        <f t="shared" si="111"/>
        <v>0</v>
      </c>
      <c r="AK1008">
        <v>0</v>
      </c>
      <c r="AL1008" t="str">
        <f>IF(AA1008="","",IFERROR(IF(ISNUMBER('Procyclean 130'!D9),'Procyclean 130'!D9,IF(ISNUMBER(SEARCH("12",'Procyclean 130'!D9)),EDATE(AB1008,12),IF(ISNUMBER(SEARCH("6",'Procyclean 130'!D9)),EDATE(AB1008,6),IF(ISNUMBER(SEARCH("3",'Procyclean 130'!D9)),EDATE(AB1008,3),DATEVALUE('Procyclean 130'!D9))))),""))</f>
        <v/>
      </c>
      <c r="AM1008" t="str">
        <f t="shared" ca="1" si="112"/>
        <v/>
      </c>
    </row>
    <row r="1009" spans="27:39" x14ac:dyDescent="0.3">
      <c r="AA1009" t="str">
        <f>IF(COUNTA('Procyclean 130'!A10,'Procyclean 130'!B10,'Procyclean 130'!C10)&gt;0,"130","")</f>
        <v/>
      </c>
      <c r="AB1009" t="str">
        <f>IFERROR(IF(ISNUMBER('Procyclean 130'!A10),'Procyclean 130'!A10,DATEVALUE('Procyclean 130'!A10)),"")</f>
        <v/>
      </c>
      <c r="AC1009" t="str">
        <f>IF(AA1009="","",'Procyclean 130'!B10)</f>
        <v/>
      </c>
      <c r="AD1009" t="str">
        <f>IF(AA1009="","",IFERROR(1*'Procyclean 130'!C10,IFERROR(_xludf.NUMBERVALUE('Procyclean 130'!C10,".",","),IFERROR(_xludf.NUMBERVALUE('Procyclean 130'!C10,",","."),0))))</f>
        <v/>
      </c>
      <c r="AE1009" t="str">
        <f>IF(AA1009="","",'Procyclean 130'!J10)</f>
        <v/>
      </c>
      <c r="AF1009">
        <f t="shared" si="107"/>
        <v>0</v>
      </c>
      <c r="AG1009" t="str">
        <f t="shared" si="108"/>
        <v/>
      </c>
      <c r="AH1009" t="str">
        <f t="shared" si="109"/>
        <v/>
      </c>
      <c r="AI1009">
        <f t="shared" si="110"/>
        <v>0</v>
      </c>
      <c r="AJ1009">
        <f t="shared" si="111"/>
        <v>0</v>
      </c>
      <c r="AK1009">
        <v>0</v>
      </c>
      <c r="AL1009" t="str">
        <f>IF(AA1009="","",IFERROR(IF(ISNUMBER('Procyclean 130'!D10),'Procyclean 130'!D10,IF(ISNUMBER(SEARCH("12",'Procyclean 130'!D10)),EDATE(AB1009,12),IF(ISNUMBER(SEARCH("6",'Procyclean 130'!D10)),EDATE(AB1009,6),IF(ISNUMBER(SEARCH("3",'Procyclean 130'!D10)),EDATE(AB1009,3),DATEVALUE('Procyclean 130'!D10))))),""))</f>
        <v/>
      </c>
      <c r="AM1009" t="str">
        <f t="shared" ca="1" si="112"/>
        <v/>
      </c>
    </row>
    <row r="1010" spans="27:39" x14ac:dyDescent="0.3">
      <c r="AA1010" t="str">
        <f>IF(COUNTA('Procyclean 130'!A11,'Procyclean 130'!B11,'Procyclean 130'!C11)&gt;0,"130","")</f>
        <v/>
      </c>
      <c r="AB1010" t="str">
        <f>IFERROR(IF(ISNUMBER('Procyclean 130'!A11),'Procyclean 130'!A11,DATEVALUE('Procyclean 130'!A11)),"")</f>
        <v/>
      </c>
      <c r="AC1010" t="str">
        <f>IF(AA1010="","",'Procyclean 130'!B11)</f>
        <v/>
      </c>
      <c r="AD1010" t="str">
        <f>IF(AA1010="","",IFERROR(1*'Procyclean 130'!C11,IFERROR(_xludf.NUMBERVALUE('Procyclean 130'!C11,".",","),IFERROR(_xludf.NUMBERVALUE('Procyclean 130'!C11,",","."),0))))</f>
        <v/>
      </c>
      <c r="AE1010" t="str">
        <f>IF(AA1010="","",'Procyclean 130'!J11)</f>
        <v/>
      </c>
      <c r="AF1010">
        <f t="shared" si="107"/>
        <v>0</v>
      </c>
      <c r="AG1010" t="str">
        <f t="shared" si="108"/>
        <v/>
      </c>
      <c r="AH1010" t="str">
        <f t="shared" si="109"/>
        <v/>
      </c>
      <c r="AI1010">
        <f t="shared" si="110"/>
        <v>0</v>
      </c>
      <c r="AJ1010">
        <f t="shared" si="111"/>
        <v>0</v>
      </c>
      <c r="AK1010">
        <v>0</v>
      </c>
      <c r="AL1010" t="str">
        <f>IF(AA1010="","",IFERROR(IF(ISNUMBER('Procyclean 130'!D11),'Procyclean 130'!D11,IF(ISNUMBER(SEARCH("12",'Procyclean 130'!D11)),EDATE(AB1010,12),IF(ISNUMBER(SEARCH("6",'Procyclean 130'!D11)),EDATE(AB1010,6),IF(ISNUMBER(SEARCH("3",'Procyclean 130'!D11)),EDATE(AB1010,3),DATEVALUE('Procyclean 130'!D11))))),""))</f>
        <v/>
      </c>
      <c r="AM1010" t="str">
        <f t="shared" ca="1" si="112"/>
        <v/>
      </c>
    </row>
    <row r="1011" spans="27:39" x14ac:dyDescent="0.3">
      <c r="AA1011" t="str">
        <f>IF(COUNTA('Procyclean 130'!A12,'Procyclean 130'!B12,'Procyclean 130'!C12)&gt;0,"130","")</f>
        <v/>
      </c>
      <c r="AB1011" t="str">
        <f>IFERROR(IF(ISNUMBER('Procyclean 130'!A12),'Procyclean 130'!A12,DATEVALUE('Procyclean 130'!A12)),"")</f>
        <v/>
      </c>
      <c r="AC1011" t="str">
        <f>IF(AA1011="","",'Procyclean 130'!B12)</f>
        <v/>
      </c>
      <c r="AD1011" t="str">
        <f>IF(AA1011="","",IFERROR(1*'Procyclean 130'!C12,IFERROR(_xludf.NUMBERVALUE('Procyclean 130'!C12,".",","),IFERROR(_xludf.NUMBERVALUE('Procyclean 130'!C12,",","."),0))))</f>
        <v/>
      </c>
      <c r="AE1011" t="str">
        <f>IF(AA1011="","",'Procyclean 130'!J12)</f>
        <v/>
      </c>
      <c r="AF1011">
        <f t="shared" si="107"/>
        <v>0</v>
      </c>
      <c r="AG1011" t="str">
        <f t="shared" si="108"/>
        <v/>
      </c>
      <c r="AH1011" t="str">
        <f t="shared" si="109"/>
        <v/>
      </c>
      <c r="AI1011">
        <f t="shared" si="110"/>
        <v>0</v>
      </c>
      <c r="AJ1011">
        <f t="shared" si="111"/>
        <v>0</v>
      </c>
      <c r="AK1011">
        <v>0</v>
      </c>
      <c r="AL1011" t="str">
        <f>IF(AA1011="","",IFERROR(IF(ISNUMBER('Procyclean 130'!D12),'Procyclean 130'!D12,IF(ISNUMBER(SEARCH("12",'Procyclean 130'!D12)),EDATE(AB1011,12),IF(ISNUMBER(SEARCH("6",'Procyclean 130'!D12)),EDATE(AB1011,6),IF(ISNUMBER(SEARCH("3",'Procyclean 130'!D12)),EDATE(AB1011,3),DATEVALUE('Procyclean 130'!D12))))),""))</f>
        <v/>
      </c>
      <c r="AM1011" t="str">
        <f t="shared" ca="1" si="112"/>
        <v/>
      </c>
    </row>
    <row r="1012" spans="27:39" x14ac:dyDescent="0.3">
      <c r="AA1012" t="str">
        <f>IF(COUNTA('Procyclean 130'!A13,'Procyclean 130'!B13,'Procyclean 130'!C13)&gt;0,"130","")</f>
        <v/>
      </c>
      <c r="AB1012" t="str">
        <f>IFERROR(IF(ISNUMBER('Procyclean 130'!A13),'Procyclean 130'!A13,DATEVALUE('Procyclean 130'!A13)),"")</f>
        <v/>
      </c>
      <c r="AC1012" t="str">
        <f>IF(AA1012="","",'Procyclean 130'!B13)</f>
        <v/>
      </c>
      <c r="AD1012" t="str">
        <f>IF(AA1012="","",IFERROR(1*'Procyclean 130'!C13,IFERROR(_xludf.NUMBERVALUE('Procyclean 130'!C13,".",","),IFERROR(_xludf.NUMBERVALUE('Procyclean 130'!C13,",","."),0))))</f>
        <v/>
      </c>
      <c r="AE1012" t="str">
        <f>IF(AA1012="","",'Procyclean 130'!J13)</f>
        <v/>
      </c>
      <c r="AF1012">
        <f t="shared" si="107"/>
        <v>0</v>
      </c>
      <c r="AG1012" t="str">
        <f t="shared" si="108"/>
        <v/>
      </c>
      <c r="AH1012" t="str">
        <f t="shared" si="109"/>
        <v/>
      </c>
      <c r="AI1012">
        <f t="shared" si="110"/>
        <v>0</v>
      </c>
      <c r="AJ1012">
        <f t="shared" si="111"/>
        <v>0</v>
      </c>
      <c r="AK1012">
        <v>0</v>
      </c>
      <c r="AL1012" t="str">
        <f>IF(AA1012="","",IFERROR(IF(ISNUMBER('Procyclean 130'!D13),'Procyclean 130'!D13,IF(ISNUMBER(SEARCH("12",'Procyclean 130'!D13)),EDATE(AB1012,12),IF(ISNUMBER(SEARCH("6",'Procyclean 130'!D13)),EDATE(AB1012,6),IF(ISNUMBER(SEARCH("3",'Procyclean 130'!D13)),EDATE(AB1012,3),DATEVALUE('Procyclean 130'!D13))))),""))</f>
        <v/>
      </c>
      <c r="AM1012" t="str">
        <f t="shared" ca="1" si="112"/>
        <v/>
      </c>
    </row>
    <row r="1013" spans="27:39" x14ac:dyDescent="0.3">
      <c r="AA1013" t="str">
        <f>IF(COUNTA('Procyclean 130'!A14,'Procyclean 130'!B14,'Procyclean 130'!C14)&gt;0,"130","")</f>
        <v/>
      </c>
      <c r="AB1013" t="str">
        <f>IFERROR(IF(ISNUMBER('Procyclean 130'!A14),'Procyclean 130'!A14,DATEVALUE('Procyclean 130'!A14)),"")</f>
        <v/>
      </c>
      <c r="AC1013" t="str">
        <f>IF(AA1013="","",'Procyclean 130'!B14)</f>
        <v/>
      </c>
      <c r="AD1013" t="str">
        <f>IF(AA1013="","",IFERROR(1*'Procyclean 130'!C14,IFERROR(_xludf.NUMBERVALUE('Procyclean 130'!C14,".",","),IFERROR(_xludf.NUMBERVALUE('Procyclean 130'!C14,",","."),0))))</f>
        <v/>
      </c>
      <c r="AE1013" t="str">
        <f>IF(AA1013="","",'Procyclean 130'!J14)</f>
        <v/>
      </c>
      <c r="AF1013">
        <f t="shared" si="107"/>
        <v>0</v>
      </c>
      <c r="AG1013" t="str">
        <f t="shared" si="108"/>
        <v/>
      </c>
      <c r="AH1013" t="str">
        <f t="shared" si="109"/>
        <v/>
      </c>
      <c r="AI1013">
        <f t="shared" si="110"/>
        <v>0</v>
      </c>
      <c r="AJ1013">
        <f t="shared" si="111"/>
        <v>0</v>
      </c>
      <c r="AK1013">
        <v>0</v>
      </c>
      <c r="AL1013" t="str">
        <f>IF(AA1013="","",IFERROR(IF(ISNUMBER('Procyclean 130'!D14),'Procyclean 130'!D14,IF(ISNUMBER(SEARCH("12",'Procyclean 130'!D14)),EDATE(AB1013,12),IF(ISNUMBER(SEARCH("6",'Procyclean 130'!D14)),EDATE(AB1013,6),IF(ISNUMBER(SEARCH("3",'Procyclean 130'!D14)),EDATE(AB1013,3),DATEVALUE('Procyclean 130'!D14))))),""))</f>
        <v/>
      </c>
      <c r="AM1013" t="str">
        <f t="shared" ca="1" si="112"/>
        <v/>
      </c>
    </row>
    <row r="1014" spans="27:39" x14ac:dyDescent="0.3">
      <c r="AA1014" t="str">
        <f>IF(COUNTA('Procyclean 130'!A15,'Procyclean 130'!B15,'Procyclean 130'!C15)&gt;0,"130","")</f>
        <v/>
      </c>
      <c r="AB1014" t="str">
        <f>IFERROR(IF(ISNUMBER('Procyclean 130'!A15),'Procyclean 130'!A15,DATEVALUE('Procyclean 130'!A15)),"")</f>
        <v/>
      </c>
      <c r="AC1014" t="str">
        <f>IF(AA1014="","",'Procyclean 130'!B15)</f>
        <v/>
      </c>
      <c r="AD1014" t="str">
        <f>IF(AA1014="","",IFERROR(1*'Procyclean 130'!C15,IFERROR(_xludf.NUMBERVALUE('Procyclean 130'!C15,".",","),IFERROR(_xludf.NUMBERVALUE('Procyclean 130'!C15,",","."),0))))</f>
        <v/>
      </c>
      <c r="AE1014" t="str">
        <f>IF(AA1014="","",'Procyclean 130'!J15)</f>
        <v/>
      </c>
      <c r="AF1014">
        <f t="shared" si="107"/>
        <v>0</v>
      </c>
      <c r="AG1014" t="str">
        <f t="shared" si="108"/>
        <v/>
      </c>
      <c r="AH1014" t="str">
        <f t="shared" si="109"/>
        <v/>
      </c>
      <c r="AI1014">
        <f t="shared" si="110"/>
        <v>0</v>
      </c>
      <c r="AJ1014">
        <f t="shared" si="111"/>
        <v>0</v>
      </c>
      <c r="AK1014">
        <v>0</v>
      </c>
      <c r="AL1014" t="str">
        <f>IF(AA1014="","",IFERROR(IF(ISNUMBER('Procyclean 130'!D15),'Procyclean 130'!D15,IF(ISNUMBER(SEARCH("12",'Procyclean 130'!D15)),EDATE(AB1014,12),IF(ISNUMBER(SEARCH("6",'Procyclean 130'!D15)),EDATE(AB1014,6),IF(ISNUMBER(SEARCH("3",'Procyclean 130'!D15)),EDATE(AB1014,3),DATEVALUE('Procyclean 130'!D15))))),""))</f>
        <v/>
      </c>
      <c r="AM1014" t="str">
        <f t="shared" ca="1" si="112"/>
        <v/>
      </c>
    </row>
    <row r="1015" spans="27:39" x14ac:dyDescent="0.3">
      <c r="AA1015" t="str">
        <f>IF(COUNTA('Procyclean 130'!A16,'Procyclean 130'!B16,'Procyclean 130'!C16)&gt;0,"130","")</f>
        <v/>
      </c>
      <c r="AB1015" t="str">
        <f>IFERROR(IF(ISNUMBER('Procyclean 130'!A16),'Procyclean 130'!A16,DATEVALUE('Procyclean 130'!A16)),"")</f>
        <v/>
      </c>
      <c r="AC1015" t="str">
        <f>IF(AA1015="","",'Procyclean 130'!B16)</f>
        <v/>
      </c>
      <c r="AD1015" t="str">
        <f>IF(AA1015="","",IFERROR(1*'Procyclean 130'!C16,IFERROR(_xludf.NUMBERVALUE('Procyclean 130'!C16,".",","),IFERROR(_xludf.NUMBERVALUE('Procyclean 130'!C16,",","."),0))))</f>
        <v/>
      </c>
      <c r="AE1015" t="str">
        <f>IF(AA1015="","",'Procyclean 130'!J16)</f>
        <v/>
      </c>
      <c r="AF1015">
        <f t="shared" si="107"/>
        <v>0</v>
      </c>
      <c r="AG1015" t="str">
        <f t="shared" si="108"/>
        <v/>
      </c>
      <c r="AH1015" t="str">
        <f t="shared" si="109"/>
        <v/>
      </c>
      <c r="AI1015">
        <f t="shared" si="110"/>
        <v>0</v>
      </c>
      <c r="AJ1015">
        <f t="shared" si="111"/>
        <v>0</v>
      </c>
      <c r="AK1015">
        <v>0</v>
      </c>
      <c r="AL1015" t="str">
        <f>IF(AA1015="","",IFERROR(IF(ISNUMBER('Procyclean 130'!D16),'Procyclean 130'!D16,IF(ISNUMBER(SEARCH("12",'Procyclean 130'!D16)),EDATE(AB1015,12),IF(ISNUMBER(SEARCH("6",'Procyclean 130'!D16)),EDATE(AB1015,6),IF(ISNUMBER(SEARCH("3",'Procyclean 130'!D16)),EDATE(AB1015,3),DATEVALUE('Procyclean 130'!D16))))),""))</f>
        <v/>
      </c>
      <c r="AM1015" t="str">
        <f t="shared" ca="1" si="112"/>
        <v/>
      </c>
    </row>
    <row r="1016" spans="27:39" x14ac:dyDescent="0.3">
      <c r="AA1016" t="str">
        <f>IF(COUNTA('Procyclean 130'!A17,'Procyclean 130'!B17,'Procyclean 130'!C17)&gt;0,"130","")</f>
        <v/>
      </c>
      <c r="AB1016" t="str">
        <f>IFERROR(IF(ISNUMBER('Procyclean 130'!A17),'Procyclean 130'!A17,DATEVALUE('Procyclean 130'!A17)),"")</f>
        <v/>
      </c>
      <c r="AC1016" t="str">
        <f>IF(AA1016="","",'Procyclean 130'!B17)</f>
        <v/>
      </c>
      <c r="AD1016" t="str">
        <f>IF(AA1016="","",IFERROR(1*'Procyclean 130'!C17,IFERROR(_xludf.NUMBERVALUE('Procyclean 130'!C17,".",","),IFERROR(_xludf.NUMBERVALUE('Procyclean 130'!C17,",","."),0))))</f>
        <v/>
      </c>
      <c r="AE1016" t="str">
        <f>IF(AA1016="","",'Procyclean 130'!J17)</f>
        <v/>
      </c>
      <c r="AF1016">
        <f t="shared" si="107"/>
        <v>0</v>
      </c>
      <c r="AG1016" t="str">
        <f t="shared" si="108"/>
        <v/>
      </c>
      <c r="AH1016" t="str">
        <f t="shared" si="109"/>
        <v/>
      </c>
      <c r="AI1016">
        <f t="shared" si="110"/>
        <v>0</v>
      </c>
      <c r="AJ1016">
        <f t="shared" si="111"/>
        <v>0</v>
      </c>
      <c r="AK1016">
        <v>0</v>
      </c>
      <c r="AL1016" t="str">
        <f>IF(AA1016="","",IFERROR(IF(ISNUMBER('Procyclean 130'!D17),'Procyclean 130'!D17,IF(ISNUMBER(SEARCH("12",'Procyclean 130'!D17)),EDATE(AB1016,12),IF(ISNUMBER(SEARCH("6",'Procyclean 130'!D17)),EDATE(AB1016,6),IF(ISNUMBER(SEARCH("3",'Procyclean 130'!D17)),EDATE(AB1016,3),DATEVALUE('Procyclean 130'!D17))))),""))</f>
        <v/>
      </c>
      <c r="AM1016" t="str">
        <f t="shared" ca="1" si="112"/>
        <v/>
      </c>
    </row>
    <row r="1017" spans="27:39" x14ac:dyDescent="0.3">
      <c r="AA1017" t="str">
        <f>IF(COUNTA('Procyclean 130'!A18,'Procyclean 130'!B18,'Procyclean 130'!C18)&gt;0,"130","")</f>
        <v/>
      </c>
      <c r="AB1017" t="str">
        <f>IFERROR(IF(ISNUMBER('Procyclean 130'!A18),'Procyclean 130'!A18,DATEVALUE('Procyclean 130'!A18)),"")</f>
        <v/>
      </c>
      <c r="AC1017" t="str">
        <f>IF(AA1017="","",'Procyclean 130'!B18)</f>
        <v/>
      </c>
      <c r="AD1017" t="str">
        <f>IF(AA1017="","",IFERROR(1*'Procyclean 130'!C18,IFERROR(_xludf.NUMBERVALUE('Procyclean 130'!C18,".",","),IFERROR(_xludf.NUMBERVALUE('Procyclean 130'!C18,",","."),0))))</f>
        <v/>
      </c>
      <c r="AE1017" t="str">
        <f>IF(AA1017="","",'Procyclean 130'!J18)</f>
        <v/>
      </c>
      <c r="AF1017">
        <f t="shared" si="107"/>
        <v>0</v>
      </c>
      <c r="AG1017" t="str">
        <f t="shared" si="108"/>
        <v/>
      </c>
      <c r="AH1017" t="str">
        <f t="shared" si="109"/>
        <v/>
      </c>
      <c r="AI1017">
        <f t="shared" si="110"/>
        <v>0</v>
      </c>
      <c r="AJ1017">
        <f t="shared" si="111"/>
        <v>0</v>
      </c>
      <c r="AK1017">
        <v>0</v>
      </c>
      <c r="AL1017" t="str">
        <f>IF(AA1017="","",IFERROR(IF(ISNUMBER('Procyclean 130'!D18),'Procyclean 130'!D18,IF(ISNUMBER(SEARCH("12",'Procyclean 130'!D18)),EDATE(AB1017,12),IF(ISNUMBER(SEARCH("6",'Procyclean 130'!D18)),EDATE(AB1017,6),IF(ISNUMBER(SEARCH("3",'Procyclean 130'!D18)),EDATE(AB1017,3),DATEVALUE('Procyclean 130'!D18))))),""))</f>
        <v/>
      </c>
      <c r="AM1017" t="str">
        <f t="shared" ca="1" si="112"/>
        <v/>
      </c>
    </row>
    <row r="1018" spans="27:39" x14ac:dyDescent="0.3">
      <c r="AA1018" t="str">
        <f>IF(COUNTA('Procyclean 130'!A19,'Procyclean 130'!B19,'Procyclean 130'!C19)&gt;0,"130","")</f>
        <v/>
      </c>
      <c r="AB1018" t="str">
        <f>IFERROR(IF(ISNUMBER('Procyclean 130'!A19),'Procyclean 130'!A19,DATEVALUE('Procyclean 130'!A19)),"")</f>
        <v/>
      </c>
      <c r="AC1018" t="str">
        <f>IF(AA1018="","",'Procyclean 130'!B19)</f>
        <v/>
      </c>
      <c r="AD1018" t="str">
        <f>IF(AA1018="","",IFERROR(1*'Procyclean 130'!C19,IFERROR(_xludf.NUMBERVALUE('Procyclean 130'!C19,".",","),IFERROR(_xludf.NUMBERVALUE('Procyclean 130'!C19,",","."),0))))</f>
        <v/>
      </c>
      <c r="AE1018" t="str">
        <f>IF(AA1018="","",'Procyclean 130'!J19)</f>
        <v/>
      </c>
      <c r="AF1018">
        <f t="shared" si="107"/>
        <v>0</v>
      </c>
      <c r="AG1018" t="str">
        <f t="shared" si="108"/>
        <v/>
      </c>
      <c r="AH1018" t="str">
        <f t="shared" si="109"/>
        <v/>
      </c>
      <c r="AI1018">
        <f t="shared" si="110"/>
        <v>0</v>
      </c>
      <c r="AJ1018">
        <f t="shared" si="111"/>
        <v>0</v>
      </c>
      <c r="AK1018">
        <v>0</v>
      </c>
      <c r="AL1018" t="str">
        <f>IF(AA1018="","",IFERROR(IF(ISNUMBER('Procyclean 130'!D19),'Procyclean 130'!D19,IF(ISNUMBER(SEARCH("12",'Procyclean 130'!D19)),EDATE(AB1018,12),IF(ISNUMBER(SEARCH("6",'Procyclean 130'!D19)),EDATE(AB1018,6),IF(ISNUMBER(SEARCH("3",'Procyclean 130'!D19)),EDATE(AB1018,3),DATEVALUE('Procyclean 130'!D19))))),""))</f>
        <v/>
      </c>
      <c r="AM1018" t="str">
        <f t="shared" ca="1" si="112"/>
        <v/>
      </c>
    </row>
    <row r="1019" spans="27:39" x14ac:dyDescent="0.3">
      <c r="AA1019" t="str">
        <f>IF(COUNTA('Procyclean 130'!A20,'Procyclean 130'!B20,'Procyclean 130'!C20)&gt;0,"130","")</f>
        <v/>
      </c>
      <c r="AB1019" t="str">
        <f>IFERROR(IF(ISNUMBER('Procyclean 130'!A20),'Procyclean 130'!A20,DATEVALUE('Procyclean 130'!A20)),"")</f>
        <v/>
      </c>
      <c r="AC1019" t="str">
        <f>IF(AA1019="","",'Procyclean 130'!B20)</f>
        <v/>
      </c>
      <c r="AD1019" t="str">
        <f>IF(AA1019="","",IFERROR(1*'Procyclean 130'!C20,IFERROR(_xludf.NUMBERVALUE('Procyclean 130'!C20,".",","),IFERROR(_xludf.NUMBERVALUE('Procyclean 130'!C20,",","."),0))))</f>
        <v/>
      </c>
      <c r="AE1019" t="str">
        <f>IF(AA1019="","",'Procyclean 130'!J20)</f>
        <v/>
      </c>
      <c r="AF1019">
        <f t="shared" si="107"/>
        <v>0</v>
      </c>
      <c r="AG1019" t="str">
        <f t="shared" si="108"/>
        <v/>
      </c>
      <c r="AH1019" t="str">
        <f t="shared" si="109"/>
        <v/>
      </c>
      <c r="AI1019">
        <f t="shared" si="110"/>
        <v>0</v>
      </c>
      <c r="AJ1019">
        <f t="shared" si="111"/>
        <v>0</v>
      </c>
      <c r="AK1019">
        <v>0</v>
      </c>
      <c r="AL1019" t="str">
        <f>IF(AA1019="","",IFERROR(IF(ISNUMBER('Procyclean 130'!D20),'Procyclean 130'!D20,IF(ISNUMBER(SEARCH("12",'Procyclean 130'!D20)),EDATE(AB1019,12),IF(ISNUMBER(SEARCH("6",'Procyclean 130'!D20)),EDATE(AB1019,6),IF(ISNUMBER(SEARCH("3",'Procyclean 130'!D20)),EDATE(AB1019,3),DATEVALUE('Procyclean 130'!D20))))),""))</f>
        <v/>
      </c>
      <c r="AM1019" t="str">
        <f t="shared" ca="1" si="112"/>
        <v/>
      </c>
    </row>
    <row r="1020" spans="27:39" x14ac:dyDescent="0.3">
      <c r="AA1020" t="str">
        <f>IF(COUNTA('Procyclean 130'!A21,'Procyclean 130'!B21,'Procyclean 130'!C21)&gt;0,"130","")</f>
        <v/>
      </c>
      <c r="AB1020" t="str">
        <f>IFERROR(IF(ISNUMBER('Procyclean 130'!A21),'Procyclean 130'!A21,DATEVALUE('Procyclean 130'!A21)),"")</f>
        <v/>
      </c>
      <c r="AC1020" t="str">
        <f>IF(AA1020="","",'Procyclean 130'!B21)</f>
        <v/>
      </c>
      <c r="AD1020" t="str">
        <f>IF(AA1020="","",IFERROR(1*'Procyclean 130'!C21,IFERROR(_xludf.NUMBERVALUE('Procyclean 130'!C21,".",","),IFERROR(_xludf.NUMBERVALUE('Procyclean 130'!C21,",","."),0))))</f>
        <v/>
      </c>
      <c r="AE1020" t="str">
        <f>IF(AA1020="","",'Procyclean 130'!J21)</f>
        <v/>
      </c>
      <c r="AF1020">
        <f t="shared" si="107"/>
        <v>0</v>
      </c>
      <c r="AG1020" t="str">
        <f t="shared" si="108"/>
        <v/>
      </c>
      <c r="AH1020" t="str">
        <f t="shared" si="109"/>
        <v/>
      </c>
      <c r="AI1020">
        <f t="shared" si="110"/>
        <v>0</v>
      </c>
      <c r="AJ1020">
        <f t="shared" si="111"/>
        <v>0</v>
      </c>
      <c r="AK1020">
        <v>0</v>
      </c>
      <c r="AL1020" t="str">
        <f>IF(AA1020="","",IFERROR(IF(ISNUMBER('Procyclean 130'!D21),'Procyclean 130'!D21,IF(ISNUMBER(SEARCH("12",'Procyclean 130'!D21)),EDATE(AB1020,12),IF(ISNUMBER(SEARCH("6",'Procyclean 130'!D21)),EDATE(AB1020,6),IF(ISNUMBER(SEARCH("3",'Procyclean 130'!D21)),EDATE(AB1020,3),DATEVALUE('Procyclean 130'!D21))))),""))</f>
        <v/>
      </c>
      <c r="AM1020" t="str">
        <f t="shared" ca="1" si="112"/>
        <v/>
      </c>
    </row>
    <row r="1021" spans="27:39" x14ac:dyDescent="0.3">
      <c r="AA1021" t="str">
        <f>IF(COUNTA('Procyclean 130'!A22,'Procyclean 130'!B22,'Procyclean 130'!C22)&gt;0,"130","")</f>
        <v/>
      </c>
      <c r="AB1021" t="str">
        <f>IFERROR(IF(ISNUMBER('Procyclean 130'!A22),'Procyclean 130'!A22,DATEVALUE('Procyclean 130'!A22)),"")</f>
        <v/>
      </c>
      <c r="AC1021" t="str">
        <f>IF(AA1021="","",'Procyclean 130'!B22)</f>
        <v/>
      </c>
      <c r="AD1021" t="str">
        <f>IF(AA1021="","",IFERROR(1*'Procyclean 130'!C22,IFERROR(_xludf.NUMBERVALUE('Procyclean 130'!C22,".",","),IFERROR(_xludf.NUMBERVALUE('Procyclean 130'!C22,",","."),0))))</f>
        <v/>
      </c>
      <c r="AE1021" t="str">
        <f>IF(AA1021="","",'Procyclean 130'!J22)</f>
        <v/>
      </c>
      <c r="AF1021">
        <f t="shared" si="107"/>
        <v>0</v>
      </c>
      <c r="AG1021" t="str">
        <f t="shared" si="108"/>
        <v/>
      </c>
      <c r="AH1021" t="str">
        <f t="shared" si="109"/>
        <v/>
      </c>
      <c r="AI1021">
        <f t="shared" si="110"/>
        <v>0</v>
      </c>
      <c r="AJ1021">
        <f t="shared" si="111"/>
        <v>0</v>
      </c>
      <c r="AK1021">
        <v>0</v>
      </c>
      <c r="AL1021" t="str">
        <f>IF(AA1021="","",IFERROR(IF(ISNUMBER('Procyclean 130'!D22),'Procyclean 130'!D22,IF(ISNUMBER(SEARCH("12",'Procyclean 130'!D22)),EDATE(AB1021,12),IF(ISNUMBER(SEARCH("6",'Procyclean 130'!D22)),EDATE(AB1021,6),IF(ISNUMBER(SEARCH("3",'Procyclean 130'!D22)),EDATE(AB1021,3),DATEVALUE('Procyclean 130'!D22))))),""))</f>
        <v/>
      </c>
      <c r="AM1021" t="str">
        <f t="shared" ca="1" si="112"/>
        <v/>
      </c>
    </row>
    <row r="1022" spans="27:39" x14ac:dyDescent="0.3">
      <c r="AA1022" t="str">
        <f>IF(COUNTA('Procyclean 130'!A23,'Procyclean 130'!B23,'Procyclean 130'!C23)&gt;0,"130","")</f>
        <v/>
      </c>
      <c r="AB1022" t="str">
        <f>IFERROR(IF(ISNUMBER('Procyclean 130'!A23),'Procyclean 130'!A23,DATEVALUE('Procyclean 130'!A23)),"")</f>
        <v/>
      </c>
      <c r="AC1022" t="str">
        <f>IF(AA1022="","",'Procyclean 130'!B23)</f>
        <v/>
      </c>
      <c r="AD1022" t="str">
        <f>IF(AA1022="","",IFERROR(1*'Procyclean 130'!C23,IFERROR(_xludf.NUMBERVALUE('Procyclean 130'!C23,".",","),IFERROR(_xludf.NUMBERVALUE('Procyclean 130'!C23,",","."),0))))</f>
        <v/>
      </c>
      <c r="AE1022" t="str">
        <f>IF(AA1022="","",'Procyclean 130'!J23)</f>
        <v/>
      </c>
      <c r="AF1022">
        <f t="shared" si="107"/>
        <v>0</v>
      </c>
      <c r="AG1022" t="str">
        <f t="shared" si="108"/>
        <v/>
      </c>
      <c r="AH1022" t="str">
        <f t="shared" si="109"/>
        <v/>
      </c>
      <c r="AI1022">
        <f t="shared" si="110"/>
        <v>0</v>
      </c>
      <c r="AJ1022">
        <f t="shared" si="111"/>
        <v>0</v>
      </c>
      <c r="AK1022">
        <v>0</v>
      </c>
      <c r="AL1022" t="str">
        <f>IF(AA1022="","",IFERROR(IF(ISNUMBER('Procyclean 130'!D23),'Procyclean 130'!D23,IF(ISNUMBER(SEARCH("12",'Procyclean 130'!D23)),EDATE(AB1022,12),IF(ISNUMBER(SEARCH("6",'Procyclean 130'!D23)),EDATE(AB1022,6),IF(ISNUMBER(SEARCH("3",'Procyclean 130'!D23)),EDATE(AB1022,3),DATEVALUE('Procyclean 130'!D23))))),""))</f>
        <v/>
      </c>
      <c r="AM1022" t="str">
        <f t="shared" ca="1" si="112"/>
        <v/>
      </c>
    </row>
    <row r="1023" spans="27:39" x14ac:dyDescent="0.3">
      <c r="AA1023" t="str">
        <f>IF(COUNTA('Procyclean 130'!A24,'Procyclean 130'!B24,'Procyclean 130'!C24)&gt;0,"130","")</f>
        <v/>
      </c>
      <c r="AB1023" t="str">
        <f>IFERROR(IF(ISNUMBER('Procyclean 130'!A24),'Procyclean 130'!A24,DATEVALUE('Procyclean 130'!A24)),"")</f>
        <v/>
      </c>
      <c r="AC1023" t="str">
        <f>IF(AA1023="","",'Procyclean 130'!B24)</f>
        <v/>
      </c>
      <c r="AD1023" t="str">
        <f>IF(AA1023="","",IFERROR(1*'Procyclean 130'!C24,IFERROR(_xludf.NUMBERVALUE('Procyclean 130'!C24,".",","),IFERROR(_xludf.NUMBERVALUE('Procyclean 130'!C24,",","."),0))))</f>
        <v/>
      </c>
      <c r="AE1023" t="str">
        <f>IF(AA1023="","",'Procyclean 130'!J24)</f>
        <v/>
      </c>
      <c r="AF1023">
        <f t="shared" si="107"/>
        <v>0</v>
      </c>
      <c r="AG1023" t="str">
        <f t="shared" si="108"/>
        <v/>
      </c>
      <c r="AH1023" t="str">
        <f t="shared" si="109"/>
        <v/>
      </c>
      <c r="AI1023">
        <f t="shared" si="110"/>
        <v>0</v>
      </c>
      <c r="AJ1023">
        <f t="shared" si="111"/>
        <v>0</v>
      </c>
      <c r="AK1023">
        <v>0</v>
      </c>
      <c r="AL1023" t="str">
        <f>IF(AA1023="","",IFERROR(IF(ISNUMBER('Procyclean 130'!D24),'Procyclean 130'!D24,IF(ISNUMBER(SEARCH("12",'Procyclean 130'!D24)),EDATE(AB1023,12),IF(ISNUMBER(SEARCH("6",'Procyclean 130'!D24)),EDATE(AB1023,6),IF(ISNUMBER(SEARCH("3",'Procyclean 130'!D24)),EDATE(AB1023,3),DATEVALUE('Procyclean 130'!D24))))),""))</f>
        <v/>
      </c>
      <c r="AM1023" t="str">
        <f t="shared" ca="1" si="112"/>
        <v/>
      </c>
    </row>
    <row r="1024" spans="27:39" x14ac:dyDescent="0.3">
      <c r="AA1024" t="str">
        <f>IF(COUNTA('Procyclean 130'!A25,'Procyclean 130'!B25,'Procyclean 130'!C25)&gt;0,"130","")</f>
        <v/>
      </c>
      <c r="AB1024" t="str">
        <f>IFERROR(IF(ISNUMBER('Procyclean 130'!A25),'Procyclean 130'!A25,DATEVALUE('Procyclean 130'!A25)),"")</f>
        <v/>
      </c>
      <c r="AC1024" t="str">
        <f>IF(AA1024="","",'Procyclean 130'!B25)</f>
        <v/>
      </c>
      <c r="AD1024" t="str">
        <f>IF(AA1024="","",IFERROR(1*'Procyclean 130'!C25,IFERROR(_xludf.NUMBERVALUE('Procyclean 130'!C25,".",","),IFERROR(_xludf.NUMBERVALUE('Procyclean 130'!C25,",","."),0))))</f>
        <v/>
      </c>
      <c r="AE1024" t="str">
        <f>IF(AA1024="","",'Procyclean 130'!J25)</f>
        <v/>
      </c>
      <c r="AF1024">
        <f t="shared" si="107"/>
        <v>0</v>
      </c>
      <c r="AG1024" t="str">
        <f t="shared" si="108"/>
        <v/>
      </c>
      <c r="AH1024" t="str">
        <f t="shared" si="109"/>
        <v/>
      </c>
      <c r="AI1024">
        <f t="shared" si="110"/>
        <v>0</v>
      </c>
      <c r="AJ1024">
        <f t="shared" si="111"/>
        <v>0</v>
      </c>
      <c r="AK1024">
        <v>0</v>
      </c>
      <c r="AL1024" t="str">
        <f>IF(AA1024="","",IFERROR(IF(ISNUMBER('Procyclean 130'!D25),'Procyclean 130'!D25,IF(ISNUMBER(SEARCH("12",'Procyclean 130'!D25)),EDATE(AB1024,12),IF(ISNUMBER(SEARCH("6",'Procyclean 130'!D25)),EDATE(AB1024,6),IF(ISNUMBER(SEARCH("3",'Procyclean 130'!D25)),EDATE(AB1024,3),DATEVALUE('Procyclean 130'!D25))))),""))</f>
        <v/>
      </c>
      <c r="AM1024" t="str">
        <f t="shared" ca="1" si="112"/>
        <v/>
      </c>
    </row>
    <row r="1025" spans="27:39" x14ac:dyDescent="0.3">
      <c r="AA1025" t="str">
        <f>IF(COUNTA('Procyclean 130'!A26,'Procyclean 130'!B26,'Procyclean 130'!C26)&gt;0,"130","")</f>
        <v/>
      </c>
      <c r="AB1025" t="str">
        <f>IFERROR(IF(ISNUMBER('Procyclean 130'!A26),'Procyclean 130'!A26,DATEVALUE('Procyclean 130'!A26)),"")</f>
        <v/>
      </c>
      <c r="AC1025" t="str">
        <f>IF(AA1025="","",'Procyclean 130'!B26)</f>
        <v/>
      </c>
      <c r="AD1025" t="str">
        <f>IF(AA1025="","",IFERROR(1*'Procyclean 130'!C26,IFERROR(_xludf.NUMBERVALUE('Procyclean 130'!C26,".",","),IFERROR(_xludf.NUMBERVALUE('Procyclean 130'!C26,",","."),0))))</f>
        <v/>
      </c>
      <c r="AE1025" t="str">
        <f>IF(AA1025="","",'Procyclean 130'!J26)</f>
        <v/>
      </c>
      <c r="AF1025">
        <f t="shared" si="107"/>
        <v>0</v>
      </c>
      <c r="AG1025" t="str">
        <f t="shared" si="108"/>
        <v/>
      </c>
      <c r="AH1025" t="str">
        <f t="shared" si="109"/>
        <v/>
      </c>
      <c r="AI1025">
        <f t="shared" si="110"/>
        <v>0</v>
      </c>
      <c r="AJ1025">
        <f t="shared" si="111"/>
        <v>0</v>
      </c>
      <c r="AK1025">
        <v>0</v>
      </c>
      <c r="AL1025" t="str">
        <f>IF(AA1025="","",IFERROR(IF(ISNUMBER('Procyclean 130'!D26),'Procyclean 130'!D26,IF(ISNUMBER(SEARCH("12",'Procyclean 130'!D26)),EDATE(AB1025,12),IF(ISNUMBER(SEARCH("6",'Procyclean 130'!D26)),EDATE(AB1025,6),IF(ISNUMBER(SEARCH("3",'Procyclean 130'!D26)),EDATE(AB1025,3),DATEVALUE('Procyclean 130'!D26))))),""))</f>
        <v/>
      </c>
      <c r="AM1025" t="str">
        <f t="shared" ca="1" si="112"/>
        <v/>
      </c>
    </row>
    <row r="1026" spans="27:39" x14ac:dyDescent="0.3">
      <c r="AA1026" t="str">
        <f>IF(COUNTA('Procyclean 130'!A27,'Procyclean 130'!B27,'Procyclean 130'!C27)&gt;0,"130","")</f>
        <v/>
      </c>
      <c r="AB1026" t="str">
        <f>IFERROR(IF(ISNUMBER('Procyclean 130'!A27),'Procyclean 130'!A27,DATEVALUE('Procyclean 130'!A27)),"")</f>
        <v/>
      </c>
      <c r="AC1026" t="str">
        <f>IF(AA1026="","",'Procyclean 130'!B27)</f>
        <v/>
      </c>
      <c r="AD1026" t="str">
        <f>IF(AA1026="","",IFERROR(1*'Procyclean 130'!C27,IFERROR(_xludf.NUMBERVALUE('Procyclean 130'!C27,".",","),IFERROR(_xludf.NUMBERVALUE('Procyclean 130'!C27,",","."),0))))</f>
        <v/>
      </c>
      <c r="AE1026" t="str">
        <f>IF(AA1026="","",'Procyclean 130'!J27)</f>
        <v/>
      </c>
      <c r="AF1026">
        <f t="shared" ref="AF1026:AF1089" si="113">IF(AA1026="",0,--AND(ISNUMBER(SEARCH("aprov",AE1026)),NOT(ISNUMBER(SEARCH("reprov",AE1026)))))</f>
        <v>0</v>
      </c>
      <c r="AG1026" t="str">
        <f t="shared" ref="AG1026:AG1089" si="114">IF(AB1026="","",YEAR(AB1026))</f>
        <v/>
      </c>
      <c r="AH1026" t="str">
        <f t="shared" ref="AH1026:AH1089" si="115">IF(AB1026="","",MONTH(AB1026))</f>
        <v/>
      </c>
      <c r="AI1026">
        <f t="shared" ref="AI1026:AI1089" si="116">IF(AB1026="",0,AB1026+ROW()/1000000)</f>
        <v>0</v>
      </c>
      <c r="AJ1026">
        <f t="shared" ref="AJ1026:AJ1089" si="117">--(AA1026&lt;&gt;"")</f>
        <v>0</v>
      </c>
      <c r="AK1026">
        <v>0</v>
      </c>
      <c r="AL1026" t="str">
        <f>IF(AA1026="","",IFERROR(IF(ISNUMBER('Procyclean 130'!D27),'Procyclean 130'!D27,IF(ISNUMBER(SEARCH("12",'Procyclean 130'!D27)),EDATE(AB1026,12),IF(ISNUMBER(SEARCH("6",'Procyclean 130'!D27)),EDATE(AB1026,6),IF(ISNUMBER(SEARCH("3",'Procyclean 130'!D27)),EDATE(AB1026,3),DATEVALUE('Procyclean 130'!D27))))),""))</f>
        <v/>
      </c>
      <c r="AM1026" t="str">
        <f t="shared" ref="AM1026:AM1089" ca="1" si="118">IF(AND(AJ1026=1,AL1026&lt;&gt;"",AL1026&gt;=TODAY(),AG1026=$W$3),AL1026+ROW()/1000000,"")</f>
        <v/>
      </c>
    </row>
    <row r="1027" spans="27:39" x14ac:dyDescent="0.3">
      <c r="AA1027" t="str">
        <f>IF(COUNTA('Procyclean 130'!A28,'Procyclean 130'!B28,'Procyclean 130'!C28)&gt;0,"130","")</f>
        <v/>
      </c>
      <c r="AB1027" t="str">
        <f>IFERROR(IF(ISNUMBER('Procyclean 130'!A28),'Procyclean 130'!A28,DATEVALUE('Procyclean 130'!A28)),"")</f>
        <v/>
      </c>
      <c r="AC1027" t="str">
        <f>IF(AA1027="","",'Procyclean 130'!B28)</f>
        <v/>
      </c>
      <c r="AD1027" t="str">
        <f>IF(AA1027="","",IFERROR(1*'Procyclean 130'!C28,IFERROR(_xludf.NUMBERVALUE('Procyclean 130'!C28,".",","),IFERROR(_xludf.NUMBERVALUE('Procyclean 130'!C28,",","."),0))))</f>
        <v/>
      </c>
      <c r="AE1027" t="str">
        <f>IF(AA1027="","",'Procyclean 130'!J28)</f>
        <v/>
      </c>
      <c r="AF1027">
        <f t="shared" si="113"/>
        <v>0</v>
      </c>
      <c r="AG1027" t="str">
        <f t="shared" si="114"/>
        <v/>
      </c>
      <c r="AH1027" t="str">
        <f t="shared" si="115"/>
        <v/>
      </c>
      <c r="AI1027">
        <f t="shared" si="116"/>
        <v>0</v>
      </c>
      <c r="AJ1027">
        <f t="shared" si="117"/>
        <v>0</v>
      </c>
      <c r="AK1027">
        <v>0</v>
      </c>
      <c r="AL1027" t="str">
        <f>IF(AA1027="","",IFERROR(IF(ISNUMBER('Procyclean 130'!D28),'Procyclean 130'!D28,IF(ISNUMBER(SEARCH("12",'Procyclean 130'!D28)),EDATE(AB1027,12),IF(ISNUMBER(SEARCH("6",'Procyclean 130'!D28)),EDATE(AB1027,6),IF(ISNUMBER(SEARCH("3",'Procyclean 130'!D28)),EDATE(AB1027,3),DATEVALUE('Procyclean 130'!D28))))),""))</f>
        <v/>
      </c>
      <c r="AM1027" t="str">
        <f t="shared" ca="1" si="118"/>
        <v/>
      </c>
    </row>
    <row r="1028" spans="27:39" x14ac:dyDescent="0.3">
      <c r="AA1028" t="str">
        <f>IF(COUNTA('Procyclean 130'!A29,'Procyclean 130'!B29,'Procyclean 130'!C29)&gt;0,"130","")</f>
        <v/>
      </c>
      <c r="AB1028" t="str">
        <f>IFERROR(IF(ISNUMBER('Procyclean 130'!A29),'Procyclean 130'!A29,DATEVALUE('Procyclean 130'!A29)),"")</f>
        <v/>
      </c>
      <c r="AC1028" t="str">
        <f>IF(AA1028="","",'Procyclean 130'!B29)</f>
        <v/>
      </c>
      <c r="AD1028" t="str">
        <f>IF(AA1028="","",IFERROR(1*'Procyclean 130'!C29,IFERROR(_xludf.NUMBERVALUE('Procyclean 130'!C29,".",","),IFERROR(_xludf.NUMBERVALUE('Procyclean 130'!C29,",","."),0))))</f>
        <v/>
      </c>
      <c r="AE1028" t="str">
        <f>IF(AA1028="","",'Procyclean 130'!J29)</f>
        <v/>
      </c>
      <c r="AF1028">
        <f t="shared" si="113"/>
        <v>0</v>
      </c>
      <c r="AG1028" t="str">
        <f t="shared" si="114"/>
        <v/>
      </c>
      <c r="AH1028" t="str">
        <f t="shared" si="115"/>
        <v/>
      </c>
      <c r="AI1028">
        <f t="shared" si="116"/>
        <v>0</v>
      </c>
      <c r="AJ1028">
        <f t="shared" si="117"/>
        <v>0</v>
      </c>
      <c r="AK1028">
        <v>0</v>
      </c>
      <c r="AL1028" t="str">
        <f>IF(AA1028="","",IFERROR(IF(ISNUMBER('Procyclean 130'!D29),'Procyclean 130'!D29,IF(ISNUMBER(SEARCH("12",'Procyclean 130'!D29)),EDATE(AB1028,12),IF(ISNUMBER(SEARCH("6",'Procyclean 130'!D29)),EDATE(AB1028,6),IF(ISNUMBER(SEARCH("3",'Procyclean 130'!D29)),EDATE(AB1028,3),DATEVALUE('Procyclean 130'!D29))))),""))</f>
        <v/>
      </c>
      <c r="AM1028" t="str">
        <f t="shared" ca="1" si="118"/>
        <v/>
      </c>
    </row>
    <row r="1029" spans="27:39" x14ac:dyDescent="0.3">
      <c r="AA1029" t="str">
        <f>IF(COUNTA('Procyclean 130'!A30,'Procyclean 130'!B30,'Procyclean 130'!C30)&gt;0,"130","")</f>
        <v/>
      </c>
      <c r="AB1029" t="str">
        <f>IFERROR(IF(ISNUMBER('Procyclean 130'!A30),'Procyclean 130'!A30,DATEVALUE('Procyclean 130'!A30)),"")</f>
        <v/>
      </c>
      <c r="AC1029" t="str">
        <f>IF(AA1029="","",'Procyclean 130'!B30)</f>
        <v/>
      </c>
      <c r="AD1029" t="str">
        <f>IF(AA1029="","",IFERROR(1*'Procyclean 130'!C30,IFERROR(_xludf.NUMBERVALUE('Procyclean 130'!C30,".",","),IFERROR(_xludf.NUMBERVALUE('Procyclean 130'!C30,",","."),0))))</f>
        <v/>
      </c>
      <c r="AE1029" t="str">
        <f>IF(AA1029="","",'Procyclean 130'!J30)</f>
        <v/>
      </c>
      <c r="AF1029">
        <f t="shared" si="113"/>
        <v>0</v>
      </c>
      <c r="AG1029" t="str">
        <f t="shared" si="114"/>
        <v/>
      </c>
      <c r="AH1029" t="str">
        <f t="shared" si="115"/>
        <v/>
      </c>
      <c r="AI1029">
        <f t="shared" si="116"/>
        <v>0</v>
      </c>
      <c r="AJ1029">
        <f t="shared" si="117"/>
        <v>0</v>
      </c>
      <c r="AK1029">
        <v>0</v>
      </c>
      <c r="AL1029" t="str">
        <f>IF(AA1029="","",IFERROR(IF(ISNUMBER('Procyclean 130'!D30),'Procyclean 130'!D30,IF(ISNUMBER(SEARCH("12",'Procyclean 130'!D30)),EDATE(AB1029,12),IF(ISNUMBER(SEARCH("6",'Procyclean 130'!D30)),EDATE(AB1029,6),IF(ISNUMBER(SEARCH("3",'Procyclean 130'!D30)),EDATE(AB1029,3),DATEVALUE('Procyclean 130'!D30))))),""))</f>
        <v/>
      </c>
      <c r="AM1029" t="str">
        <f t="shared" ca="1" si="118"/>
        <v/>
      </c>
    </row>
    <row r="1030" spans="27:39" x14ac:dyDescent="0.3">
      <c r="AA1030" t="str">
        <f>IF(COUNTA('Procyclean 130'!A31,'Procyclean 130'!B31,'Procyclean 130'!C31)&gt;0,"130","")</f>
        <v/>
      </c>
      <c r="AB1030" t="str">
        <f>IFERROR(IF(ISNUMBER('Procyclean 130'!A31),'Procyclean 130'!A31,DATEVALUE('Procyclean 130'!A31)),"")</f>
        <v/>
      </c>
      <c r="AC1030" t="str">
        <f>IF(AA1030="","",'Procyclean 130'!B31)</f>
        <v/>
      </c>
      <c r="AD1030" t="str">
        <f>IF(AA1030="","",IFERROR(1*'Procyclean 130'!C31,IFERROR(_xludf.NUMBERVALUE('Procyclean 130'!C31,".",","),IFERROR(_xludf.NUMBERVALUE('Procyclean 130'!C31,",","."),0))))</f>
        <v/>
      </c>
      <c r="AE1030" t="str">
        <f>IF(AA1030="","",'Procyclean 130'!J31)</f>
        <v/>
      </c>
      <c r="AF1030">
        <f t="shared" si="113"/>
        <v>0</v>
      </c>
      <c r="AG1030" t="str">
        <f t="shared" si="114"/>
        <v/>
      </c>
      <c r="AH1030" t="str">
        <f t="shared" si="115"/>
        <v/>
      </c>
      <c r="AI1030">
        <f t="shared" si="116"/>
        <v>0</v>
      </c>
      <c r="AJ1030">
        <f t="shared" si="117"/>
        <v>0</v>
      </c>
      <c r="AK1030">
        <v>0</v>
      </c>
      <c r="AL1030" t="str">
        <f>IF(AA1030="","",IFERROR(IF(ISNUMBER('Procyclean 130'!D31),'Procyclean 130'!D31,IF(ISNUMBER(SEARCH("12",'Procyclean 130'!D31)),EDATE(AB1030,12),IF(ISNUMBER(SEARCH("6",'Procyclean 130'!D31)),EDATE(AB1030,6),IF(ISNUMBER(SEARCH("3",'Procyclean 130'!D31)),EDATE(AB1030,3),DATEVALUE('Procyclean 130'!D31))))),""))</f>
        <v/>
      </c>
      <c r="AM1030" t="str">
        <f t="shared" ca="1" si="118"/>
        <v/>
      </c>
    </row>
    <row r="1031" spans="27:39" x14ac:dyDescent="0.3">
      <c r="AA1031" t="str">
        <f>IF(COUNTA('Procyclean 130'!A32,'Procyclean 130'!B32,'Procyclean 130'!C32)&gt;0,"130","")</f>
        <v/>
      </c>
      <c r="AB1031" t="str">
        <f>IFERROR(IF(ISNUMBER('Procyclean 130'!A32),'Procyclean 130'!A32,DATEVALUE('Procyclean 130'!A32)),"")</f>
        <v/>
      </c>
      <c r="AC1031" t="str">
        <f>IF(AA1031="","",'Procyclean 130'!B32)</f>
        <v/>
      </c>
      <c r="AD1031" t="str">
        <f>IF(AA1031="","",IFERROR(1*'Procyclean 130'!C32,IFERROR(_xludf.NUMBERVALUE('Procyclean 130'!C32,".",","),IFERROR(_xludf.NUMBERVALUE('Procyclean 130'!C32,",","."),0))))</f>
        <v/>
      </c>
      <c r="AE1031" t="str">
        <f>IF(AA1031="","",'Procyclean 130'!J32)</f>
        <v/>
      </c>
      <c r="AF1031">
        <f t="shared" si="113"/>
        <v>0</v>
      </c>
      <c r="AG1031" t="str">
        <f t="shared" si="114"/>
        <v/>
      </c>
      <c r="AH1031" t="str">
        <f t="shared" si="115"/>
        <v/>
      </c>
      <c r="AI1031">
        <f t="shared" si="116"/>
        <v>0</v>
      </c>
      <c r="AJ1031">
        <f t="shared" si="117"/>
        <v>0</v>
      </c>
      <c r="AK1031">
        <v>0</v>
      </c>
      <c r="AL1031" t="str">
        <f>IF(AA1031="","",IFERROR(IF(ISNUMBER('Procyclean 130'!D32),'Procyclean 130'!D32,IF(ISNUMBER(SEARCH("12",'Procyclean 130'!D32)),EDATE(AB1031,12),IF(ISNUMBER(SEARCH("6",'Procyclean 130'!D32)),EDATE(AB1031,6),IF(ISNUMBER(SEARCH("3",'Procyclean 130'!D32)),EDATE(AB1031,3),DATEVALUE('Procyclean 130'!D32))))),""))</f>
        <v/>
      </c>
      <c r="AM1031" t="str">
        <f t="shared" ca="1" si="118"/>
        <v/>
      </c>
    </row>
    <row r="1032" spans="27:39" x14ac:dyDescent="0.3">
      <c r="AA1032" t="str">
        <f>IF(COUNTA('Procyclean 130'!A33,'Procyclean 130'!B33,'Procyclean 130'!C33)&gt;0,"130","")</f>
        <v/>
      </c>
      <c r="AB1032" t="str">
        <f>IFERROR(IF(ISNUMBER('Procyclean 130'!A33),'Procyclean 130'!A33,DATEVALUE('Procyclean 130'!A33)),"")</f>
        <v/>
      </c>
      <c r="AC1032" t="str">
        <f>IF(AA1032="","",'Procyclean 130'!B33)</f>
        <v/>
      </c>
      <c r="AD1032" t="str">
        <f>IF(AA1032="","",IFERROR(1*'Procyclean 130'!C33,IFERROR(_xludf.NUMBERVALUE('Procyclean 130'!C33,".",","),IFERROR(_xludf.NUMBERVALUE('Procyclean 130'!C33,",","."),0))))</f>
        <v/>
      </c>
      <c r="AE1032" t="str">
        <f>IF(AA1032="","",'Procyclean 130'!J33)</f>
        <v/>
      </c>
      <c r="AF1032">
        <f t="shared" si="113"/>
        <v>0</v>
      </c>
      <c r="AG1032" t="str">
        <f t="shared" si="114"/>
        <v/>
      </c>
      <c r="AH1032" t="str">
        <f t="shared" si="115"/>
        <v/>
      </c>
      <c r="AI1032">
        <f t="shared" si="116"/>
        <v>0</v>
      </c>
      <c r="AJ1032">
        <f t="shared" si="117"/>
        <v>0</v>
      </c>
      <c r="AK1032">
        <v>0</v>
      </c>
      <c r="AL1032" t="str">
        <f>IF(AA1032="","",IFERROR(IF(ISNUMBER('Procyclean 130'!D33),'Procyclean 130'!D33,IF(ISNUMBER(SEARCH("12",'Procyclean 130'!D33)),EDATE(AB1032,12),IF(ISNUMBER(SEARCH("6",'Procyclean 130'!D33)),EDATE(AB1032,6),IF(ISNUMBER(SEARCH("3",'Procyclean 130'!D33)),EDATE(AB1032,3),DATEVALUE('Procyclean 130'!D33))))),""))</f>
        <v/>
      </c>
      <c r="AM1032" t="str">
        <f t="shared" ca="1" si="118"/>
        <v/>
      </c>
    </row>
    <row r="1033" spans="27:39" x14ac:dyDescent="0.3">
      <c r="AA1033" t="str">
        <f>IF(COUNTA('Procyclean 130'!A34,'Procyclean 130'!B34,'Procyclean 130'!C34)&gt;0,"130","")</f>
        <v/>
      </c>
      <c r="AB1033" t="str">
        <f>IFERROR(IF(ISNUMBER('Procyclean 130'!A34),'Procyclean 130'!A34,DATEVALUE('Procyclean 130'!A34)),"")</f>
        <v/>
      </c>
      <c r="AC1033" t="str">
        <f>IF(AA1033="","",'Procyclean 130'!B34)</f>
        <v/>
      </c>
      <c r="AD1033" t="str">
        <f>IF(AA1033="","",IFERROR(1*'Procyclean 130'!C34,IFERROR(_xludf.NUMBERVALUE('Procyclean 130'!C34,".",","),IFERROR(_xludf.NUMBERVALUE('Procyclean 130'!C34,",","."),0))))</f>
        <v/>
      </c>
      <c r="AE1033" t="str">
        <f>IF(AA1033="","",'Procyclean 130'!J34)</f>
        <v/>
      </c>
      <c r="AF1033">
        <f t="shared" si="113"/>
        <v>0</v>
      </c>
      <c r="AG1033" t="str">
        <f t="shared" si="114"/>
        <v/>
      </c>
      <c r="AH1033" t="str">
        <f t="shared" si="115"/>
        <v/>
      </c>
      <c r="AI1033">
        <f t="shared" si="116"/>
        <v>0</v>
      </c>
      <c r="AJ1033">
        <f t="shared" si="117"/>
        <v>0</v>
      </c>
      <c r="AK1033">
        <v>0</v>
      </c>
      <c r="AL1033" t="str">
        <f>IF(AA1033="","",IFERROR(IF(ISNUMBER('Procyclean 130'!D34),'Procyclean 130'!D34,IF(ISNUMBER(SEARCH("12",'Procyclean 130'!D34)),EDATE(AB1033,12),IF(ISNUMBER(SEARCH("6",'Procyclean 130'!D34)),EDATE(AB1033,6),IF(ISNUMBER(SEARCH("3",'Procyclean 130'!D34)),EDATE(AB1033,3),DATEVALUE('Procyclean 130'!D34))))),""))</f>
        <v/>
      </c>
      <c r="AM1033" t="str">
        <f t="shared" ca="1" si="118"/>
        <v/>
      </c>
    </row>
    <row r="1034" spans="27:39" x14ac:dyDescent="0.3">
      <c r="AA1034" t="str">
        <f>IF(COUNTA('Procyclean 130'!A35,'Procyclean 130'!B35,'Procyclean 130'!C35)&gt;0,"130","")</f>
        <v/>
      </c>
      <c r="AB1034" t="str">
        <f>IFERROR(IF(ISNUMBER('Procyclean 130'!A35),'Procyclean 130'!A35,DATEVALUE('Procyclean 130'!A35)),"")</f>
        <v/>
      </c>
      <c r="AC1034" t="str">
        <f>IF(AA1034="","",'Procyclean 130'!B35)</f>
        <v/>
      </c>
      <c r="AD1034" t="str">
        <f>IF(AA1034="","",IFERROR(1*'Procyclean 130'!C35,IFERROR(_xludf.NUMBERVALUE('Procyclean 130'!C35,".",","),IFERROR(_xludf.NUMBERVALUE('Procyclean 130'!C35,",","."),0))))</f>
        <v/>
      </c>
      <c r="AE1034" t="str">
        <f>IF(AA1034="","",'Procyclean 130'!J35)</f>
        <v/>
      </c>
      <c r="AF1034">
        <f t="shared" si="113"/>
        <v>0</v>
      </c>
      <c r="AG1034" t="str">
        <f t="shared" si="114"/>
        <v/>
      </c>
      <c r="AH1034" t="str">
        <f t="shared" si="115"/>
        <v/>
      </c>
      <c r="AI1034">
        <f t="shared" si="116"/>
        <v>0</v>
      </c>
      <c r="AJ1034">
        <f t="shared" si="117"/>
        <v>0</v>
      </c>
      <c r="AK1034">
        <v>0</v>
      </c>
      <c r="AL1034" t="str">
        <f>IF(AA1034="","",IFERROR(IF(ISNUMBER('Procyclean 130'!D35),'Procyclean 130'!D35,IF(ISNUMBER(SEARCH("12",'Procyclean 130'!D35)),EDATE(AB1034,12),IF(ISNUMBER(SEARCH("6",'Procyclean 130'!D35)),EDATE(AB1034,6),IF(ISNUMBER(SEARCH("3",'Procyclean 130'!D35)),EDATE(AB1034,3),DATEVALUE('Procyclean 130'!D35))))),""))</f>
        <v/>
      </c>
      <c r="AM1034" t="str">
        <f t="shared" ca="1" si="118"/>
        <v/>
      </c>
    </row>
    <row r="1035" spans="27:39" x14ac:dyDescent="0.3">
      <c r="AA1035" t="str">
        <f>IF(COUNTA('Procyclean 130'!A36,'Procyclean 130'!B36,'Procyclean 130'!C36)&gt;0,"130","")</f>
        <v/>
      </c>
      <c r="AB1035" t="str">
        <f>IFERROR(IF(ISNUMBER('Procyclean 130'!A36),'Procyclean 130'!A36,DATEVALUE('Procyclean 130'!A36)),"")</f>
        <v/>
      </c>
      <c r="AC1035" t="str">
        <f>IF(AA1035="","",'Procyclean 130'!B36)</f>
        <v/>
      </c>
      <c r="AD1035" t="str">
        <f>IF(AA1035="","",IFERROR(1*'Procyclean 130'!C36,IFERROR(_xludf.NUMBERVALUE('Procyclean 130'!C36,".",","),IFERROR(_xludf.NUMBERVALUE('Procyclean 130'!C36,",","."),0))))</f>
        <v/>
      </c>
      <c r="AE1035" t="str">
        <f>IF(AA1035="","",'Procyclean 130'!J36)</f>
        <v/>
      </c>
      <c r="AF1035">
        <f t="shared" si="113"/>
        <v>0</v>
      </c>
      <c r="AG1035" t="str">
        <f t="shared" si="114"/>
        <v/>
      </c>
      <c r="AH1035" t="str">
        <f t="shared" si="115"/>
        <v/>
      </c>
      <c r="AI1035">
        <f t="shared" si="116"/>
        <v>0</v>
      </c>
      <c r="AJ1035">
        <f t="shared" si="117"/>
        <v>0</v>
      </c>
      <c r="AK1035">
        <v>0</v>
      </c>
      <c r="AL1035" t="str">
        <f>IF(AA1035="","",IFERROR(IF(ISNUMBER('Procyclean 130'!D36),'Procyclean 130'!D36,IF(ISNUMBER(SEARCH("12",'Procyclean 130'!D36)),EDATE(AB1035,12),IF(ISNUMBER(SEARCH("6",'Procyclean 130'!D36)),EDATE(AB1035,6),IF(ISNUMBER(SEARCH("3",'Procyclean 130'!D36)),EDATE(AB1035,3),DATEVALUE('Procyclean 130'!D36))))),""))</f>
        <v/>
      </c>
      <c r="AM1035" t="str">
        <f t="shared" ca="1" si="118"/>
        <v/>
      </c>
    </row>
    <row r="1036" spans="27:39" x14ac:dyDescent="0.3">
      <c r="AA1036" t="str">
        <f>IF(COUNTA('Procyclean 130'!A37,'Procyclean 130'!B37,'Procyclean 130'!C37)&gt;0,"130","")</f>
        <v/>
      </c>
      <c r="AB1036" t="str">
        <f>IFERROR(IF(ISNUMBER('Procyclean 130'!A37),'Procyclean 130'!A37,DATEVALUE('Procyclean 130'!A37)),"")</f>
        <v/>
      </c>
      <c r="AC1036" t="str">
        <f>IF(AA1036="","",'Procyclean 130'!B37)</f>
        <v/>
      </c>
      <c r="AD1036" t="str">
        <f>IF(AA1036="","",IFERROR(1*'Procyclean 130'!C37,IFERROR(_xludf.NUMBERVALUE('Procyclean 130'!C37,".",","),IFERROR(_xludf.NUMBERVALUE('Procyclean 130'!C37,",","."),0))))</f>
        <v/>
      </c>
      <c r="AE1036" t="str">
        <f>IF(AA1036="","",'Procyclean 130'!J37)</f>
        <v/>
      </c>
      <c r="AF1036">
        <f t="shared" si="113"/>
        <v>0</v>
      </c>
      <c r="AG1036" t="str">
        <f t="shared" si="114"/>
        <v/>
      </c>
      <c r="AH1036" t="str">
        <f t="shared" si="115"/>
        <v/>
      </c>
      <c r="AI1036">
        <f t="shared" si="116"/>
        <v>0</v>
      </c>
      <c r="AJ1036">
        <f t="shared" si="117"/>
        <v>0</v>
      </c>
      <c r="AK1036">
        <v>0</v>
      </c>
      <c r="AL1036" t="str">
        <f>IF(AA1036="","",IFERROR(IF(ISNUMBER('Procyclean 130'!D37),'Procyclean 130'!D37,IF(ISNUMBER(SEARCH("12",'Procyclean 130'!D37)),EDATE(AB1036,12),IF(ISNUMBER(SEARCH("6",'Procyclean 130'!D37)),EDATE(AB1036,6),IF(ISNUMBER(SEARCH("3",'Procyclean 130'!D37)),EDATE(AB1036,3),DATEVALUE('Procyclean 130'!D37))))),""))</f>
        <v/>
      </c>
      <c r="AM1036" t="str">
        <f t="shared" ca="1" si="118"/>
        <v/>
      </c>
    </row>
    <row r="1037" spans="27:39" x14ac:dyDescent="0.3">
      <c r="AA1037" t="str">
        <f>IF(COUNTA('Procyclean 130'!A38,'Procyclean 130'!B38,'Procyclean 130'!C38)&gt;0,"130","")</f>
        <v/>
      </c>
      <c r="AB1037" t="str">
        <f>IFERROR(IF(ISNUMBER('Procyclean 130'!A38),'Procyclean 130'!A38,DATEVALUE('Procyclean 130'!A38)),"")</f>
        <v/>
      </c>
      <c r="AC1037" t="str">
        <f>IF(AA1037="","",'Procyclean 130'!B38)</f>
        <v/>
      </c>
      <c r="AD1037" t="str">
        <f>IF(AA1037="","",IFERROR(1*'Procyclean 130'!C38,IFERROR(_xludf.NUMBERVALUE('Procyclean 130'!C38,".",","),IFERROR(_xludf.NUMBERVALUE('Procyclean 130'!C38,",","."),0))))</f>
        <v/>
      </c>
      <c r="AE1037" t="str">
        <f>IF(AA1037="","",'Procyclean 130'!J38)</f>
        <v/>
      </c>
      <c r="AF1037">
        <f t="shared" si="113"/>
        <v>0</v>
      </c>
      <c r="AG1037" t="str">
        <f t="shared" si="114"/>
        <v/>
      </c>
      <c r="AH1037" t="str">
        <f t="shared" si="115"/>
        <v/>
      </c>
      <c r="AI1037">
        <f t="shared" si="116"/>
        <v>0</v>
      </c>
      <c r="AJ1037">
        <f t="shared" si="117"/>
        <v>0</v>
      </c>
      <c r="AK1037">
        <v>0</v>
      </c>
      <c r="AL1037" t="str">
        <f>IF(AA1037="","",IFERROR(IF(ISNUMBER('Procyclean 130'!D38),'Procyclean 130'!D38,IF(ISNUMBER(SEARCH("12",'Procyclean 130'!D38)),EDATE(AB1037,12),IF(ISNUMBER(SEARCH("6",'Procyclean 130'!D38)),EDATE(AB1037,6),IF(ISNUMBER(SEARCH("3",'Procyclean 130'!D38)),EDATE(AB1037,3),DATEVALUE('Procyclean 130'!D38))))),""))</f>
        <v/>
      </c>
      <c r="AM1037" t="str">
        <f t="shared" ca="1" si="118"/>
        <v/>
      </c>
    </row>
    <row r="1038" spans="27:39" x14ac:dyDescent="0.3">
      <c r="AA1038" t="str">
        <f>IF(COUNTA('Procyclean 130'!A39,'Procyclean 130'!B39,'Procyclean 130'!C39)&gt;0,"130","")</f>
        <v/>
      </c>
      <c r="AB1038" t="str">
        <f>IFERROR(IF(ISNUMBER('Procyclean 130'!A39),'Procyclean 130'!A39,DATEVALUE('Procyclean 130'!A39)),"")</f>
        <v/>
      </c>
      <c r="AC1038" t="str">
        <f>IF(AA1038="","",'Procyclean 130'!B39)</f>
        <v/>
      </c>
      <c r="AD1038" t="str">
        <f>IF(AA1038="","",IFERROR(1*'Procyclean 130'!C39,IFERROR(_xludf.NUMBERVALUE('Procyclean 130'!C39,".",","),IFERROR(_xludf.NUMBERVALUE('Procyclean 130'!C39,",","."),0))))</f>
        <v/>
      </c>
      <c r="AE1038" t="str">
        <f>IF(AA1038="","",'Procyclean 130'!J39)</f>
        <v/>
      </c>
      <c r="AF1038">
        <f t="shared" si="113"/>
        <v>0</v>
      </c>
      <c r="AG1038" t="str">
        <f t="shared" si="114"/>
        <v/>
      </c>
      <c r="AH1038" t="str">
        <f t="shared" si="115"/>
        <v/>
      </c>
      <c r="AI1038">
        <f t="shared" si="116"/>
        <v>0</v>
      </c>
      <c r="AJ1038">
        <f t="shared" si="117"/>
        <v>0</v>
      </c>
      <c r="AK1038">
        <v>0</v>
      </c>
      <c r="AL1038" t="str">
        <f>IF(AA1038="","",IFERROR(IF(ISNUMBER('Procyclean 130'!D39),'Procyclean 130'!D39,IF(ISNUMBER(SEARCH("12",'Procyclean 130'!D39)),EDATE(AB1038,12),IF(ISNUMBER(SEARCH("6",'Procyclean 130'!D39)),EDATE(AB1038,6),IF(ISNUMBER(SEARCH("3",'Procyclean 130'!D39)),EDATE(AB1038,3),DATEVALUE('Procyclean 130'!D39))))),""))</f>
        <v/>
      </c>
      <c r="AM1038" t="str">
        <f t="shared" ca="1" si="118"/>
        <v/>
      </c>
    </row>
    <row r="1039" spans="27:39" x14ac:dyDescent="0.3">
      <c r="AA1039" t="str">
        <f>IF(COUNTA('Procyclean 130'!A40,'Procyclean 130'!B40,'Procyclean 130'!C40)&gt;0,"130","")</f>
        <v/>
      </c>
      <c r="AB1039" t="str">
        <f>IFERROR(IF(ISNUMBER('Procyclean 130'!A40),'Procyclean 130'!A40,DATEVALUE('Procyclean 130'!A40)),"")</f>
        <v/>
      </c>
      <c r="AC1039" t="str">
        <f>IF(AA1039="","",'Procyclean 130'!B40)</f>
        <v/>
      </c>
      <c r="AD1039" t="str">
        <f>IF(AA1039="","",IFERROR(1*'Procyclean 130'!C40,IFERROR(_xludf.NUMBERVALUE('Procyclean 130'!C40,".",","),IFERROR(_xludf.NUMBERVALUE('Procyclean 130'!C40,",","."),0))))</f>
        <v/>
      </c>
      <c r="AE1039" t="str">
        <f>IF(AA1039="","",'Procyclean 130'!J40)</f>
        <v/>
      </c>
      <c r="AF1039">
        <f t="shared" si="113"/>
        <v>0</v>
      </c>
      <c r="AG1039" t="str">
        <f t="shared" si="114"/>
        <v/>
      </c>
      <c r="AH1039" t="str">
        <f t="shared" si="115"/>
        <v/>
      </c>
      <c r="AI1039">
        <f t="shared" si="116"/>
        <v>0</v>
      </c>
      <c r="AJ1039">
        <f t="shared" si="117"/>
        <v>0</v>
      </c>
      <c r="AK1039">
        <v>0</v>
      </c>
      <c r="AL1039" t="str">
        <f>IF(AA1039="","",IFERROR(IF(ISNUMBER('Procyclean 130'!D40),'Procyclean 130'!D40,IF(ISNUMBER(SEARCH("12",'Procyclean 130'!D40)),EDATE(AB1039,12),IF(ISNUMBER(SEARCH("6",'Procyclean 130'!D40)),EDATE(AB1039,6),IF(ISNUMBER(SEARCH("3",'Procyclean 130'!D40)),EDATE(AB1039,3),DATEVALUE('Procyclean 130'!D40))))),""))</f>
        <v/>
      </c>
      <c r="AM1039" t="str">
        <f t="shared" ca="1" si="118"/>
        <v/>
      </c>
    </row>
    <row r="1040" spans="27:39" x14ac:dyDescent="0.3">
      <c r="AA1040" t="str">
        <f>IF(COUNTA('Procyclean 130'!A41,'Procyclean 130'!B41,'Procyclean 130'!C41)&gt;0,"130","")</f>
        <v/>
      </c>
      <c r="AB1040" t="str">
        <f>IFERROR(IF(ISNUMBER('Procyclean 130'!A41),'Procyclean 130'!A41,DATEVALUE('Procyclean 130'!A41)),"")</f>
        <v/>
      </c>
      <c r="AC1040" t="str">
        <f>IF(AA1040="","",'Procyclean 130'!B41)</f>
        <v/>
      </c>
      <c r="AD1040" t="str">
        <f>IF(AA1040="","",IFERROR(1*'Procyclean 130'!C41,IFERROR(_xludf.NUMBERVALUE('Procyclean 130'!C41,".",","),IFERROR(_xludf.NUMBERVALUE('Procyclean 130'!C41,",","."),0))))</f>
        <v/>
      </c>
      <c r="AE1040" t="str">
        <f>IF(AA1040="","",'Procyclean 130'!J41)</f>
        <v/>
      </c>
      <c r="AF1040">
        <f t="shared" si="113"/>
        <v>0</v>
      </c>
      <c r="AG1040" t="str">
        <f t="shared" si="114"/>
        <v/>
      </c>
      <c r="AH1040" t="str">
        <f t="shared" si="115"/>
        <v/>
      </c>
      <c r="AI1040">
        <f t="shared" si="116"/>
        <v>0</v>
      </c>
      <c r="AJ1040">
        <f t="shared" si="117"/>
        <v>0</v>
      </c>
      <c r="AK1040">
        <v>0</v>
      </c>
      <c r="AL1040" t="str">
        <f>IF(AA1040="","",IFERROR(IF(ISNUMBER('Procyclean 130'!D41),'Procyclean 130'!D41,IF(ISNUMBER(SEARCH("12",'Procyclean 130'!D41)),EDATE(AB1040,12),IF(ISNUMBER(SEARCH("6",'Procyclean 130'!D41)),EDATE(AB1040,6),IF(ISNUMBER(SEARCH("3",'Procyclean 130'!D41)),EDATE(AB1040,3),DATEVALUE('Procyclean 130'!D41))))),""))</f>
        <v/>
      </c>
      <c r="AM1040" t="str">
        <f t="shared" ca="1" si="118"/>
        <v/>
      </c>
    </row>
    <row r="1041" spans="27:39" x14ac:dyDescent="0.3">
      <c r="AA1041" t="str">
        <f>IF(COUNTA('Procyclean 130'!A42,'Procyclean 130'!B42,'Procyclean 130'!C42)&gt;0,"130","")</f>
        <v/>
      </c>
      <c r="AB1041" t="str">
        <f>IFERROR(IF(ISNUMBER('Procyclean 130'!A42),'Procyclean 130'!A42,DATEVALUE('Procyclean 130'!A42)),"")</f>
        <v/>
      </c>
      <c r="AC1041" t="str">
        <f>IF(AA1041="","",'Procyclean 130'!B42)</f>
        <v/>
      </c>
      <c r="AD1041" t="str">
        <f>IF(AA1041="","",IFERROR(1*'Procyclean 130'!C42,IFERROR(_xludf.NUMBERVALUE('Procyclean 130'!C42,".",","),IFERROR(_xludf.NUMBERVALUE('Procyclean 130'!C42,",","."),0))))</f>
        <v/>
      </c>
      <c r="AE1041" t="str">
        <f>IF(AA1041="","",'Procyclean 130'!J42)</f>
        <v/>
      </c>
      <c r="AF1041">
        <f t="shared" si="113"/>
        <v>0</v>
      </c>
      <c r="AG1041" t="str">
        <f t="shared" si="114"/>
        <v/>
      </c>
      <c r="AH1041" t="str">
        <f t="shared" si="115"/>
        <v/>
      </c>
      <c r="AI1041">
        <f t="shared" si="116"/>
        <v>0</v>
      </c>
      <c r="AJ1041">
        <f t="shared" si="117"/>
        <v>0</v>
      </c>
      <c r="AK1041">
        <v>0</v>
      </c>
      <c r="AL1041" t="str">
        <f>IF(AA1041="","",IFERROR(IF(ISNUMBER('Procyclean 130'!D42),'Procyclean 130'!D42,IF(ISNUMBER(SEARCH("12",'Procyclean 130'!D42)),EDATE(AB1041,12),IF(ISNUMBER(SEARCH("6",'Procyclean 130'!D42)),EDATE(AB1041,6),IF(ISNUMBER(SEARCH("3",'Procyclean 130'!D42)),EDATE(AB1041,3),DATEVALUE('Procyclean 130'!D42))))),""))</f>
        <v/>
      </c>
      <c r="AM1041" t="str">
        <f t="shared" ca="1" si="118"/>
        <v/>
      </c>
    </row>
    <row r="1042" spans="27:39" x14ac:dyDescent="0.3">
      <c r="AA1042" t="str">
        <f>IF(COUNTA('Procyclean 130'!A43,'Procyclean 130'!B43,'Procyclean 130'!C43)&gt;0,"130","")</f>
        <v/>
      </c>
      <c r="AB1042" t="str">
        <f>IFERROR(IF(ISNUMBER('Procyclean 130'!A43),'Procyclean 130'!A43,DATEVALUE('Procyclean 130'!A43)),"")</f>
        <v/>
      </c>
      <c r="AC1042" t="str">
        <f>IF(AA1042="","",'Procyclean 130'!B43)</f>
        <v/>
      </c>
      <c r="AD1042" t="str">
        <f>IF(AA1042="","",IFERROR(1*'Procyclean 130'!C43,IFERROR(_xludf.NUMBERVALUE('Procyclean 130'!C43,".",","),IFERROR(_xludf.NUMBERVALUE('Procyclean 130'!C43,",","."),0))))</f>
        <v/>
      </c>
      <c r="AE1042" t="str">
        <f>IF(AA1042="","",'Procyclean 130'!J43)</f>
        <v/>
      </c>
      <c r="AF1042">
        <f t="shared" si="113"/>
        <v>0</v>
      </c>
      <c r="AG1042" t="str">
        <f t="shared" si="114"/>
        <v/>
      </c>
      <c r="AH1042" t="str">
        <f t="shared" si="115"/>
        <v/>
      </c>
      <c r="AI1042">
        <f t="shared" si="116"/>
        <v>0</v>
      </c>
      <c r="AJ1042">
        <f t="shared" si="117"/>
        <v>0</v>
      </c>
      <c r="AK1042">
        <v>0</v>
      </c>
      <c r="AL1042" t="str">
        <f>IF(AA1042="","",IFERROR(IF(ISNUMBER('Procyclean 130'!D43),'Procyclean 130'!D43,IF(ISNUMBER(SEARCH("12",'Procyclean 130'!D43)),EDATE(AB1042,12),IF(ISNUMBER(SEARCH("6",'Procyclean 130'!D43)),EDATE(AB1042,6),IF(ISNUMBER(SEARCH("3",'Procyclean 130'!D43)),EDATE(AB1042,3),DATEVALUE('Procyclean 130'!D43))))),""))</f>
        <v/>
      </c>
      <c r="AM1042" t="str">
        <f t="shared" ca="1" si="118"/>
        <v/>
      </c>
    </row>
    <row r="1043" spans="27:39" x14ac:dyDescent="0.3">
      <c r="AA1043" t="str">
        <f>IF(COUNTA('Procyclean 130'!A44,'Procyclean 130'!B44,'Procyclean 130'!C44)&gt;0,"130","")</f>
        <v/>
      </c>
      <c r="AB1043" t="str">
        <f>IFERROR(IF(ISNUMBER('Procyclean 130'!A44),'Procyclean 130'!A44,DATEVALUE('Procyclean 130'!A44)),"")</f>
        <v/>
      </c>
      <c r="AC1043" t="str">
        <f>IF(AA1043="","",'Procyclean 130'!B44)</f>
        <v/>
      </c>
      <c r="AD1043" t="str">
        <f>IF(AA1043="","",IFERROR(1*'Procyclean 130'!C44,IFERROR(_xludf.NUMBERVALUE('Procyclean 130'!C44,".",","),IFERROR(_xludf.NUMBERVALUE('Procyclean 130'!C44,",","."),0))))</f>
        <v/>
      </c>
      <c r="AE1043" t="str">
        <f>IF(AA1043="","",'Procyclean 130'!J44)</f>
        <v/>
      </c>
      <c r="AF1043">
        <f t="shared" si="113"/>
        <v>0</v>
      </c>
      <c r="AG1043" t="str">
        <f t="shared" si="114"/>
        <v/>
      </c>
      <c r="AH1043" t="str">
        <f t="shared" si="115"/>
        <v/>
      </c>
      <c r="AI1043">
        <f t="shared" si="116"/>
        <v>0</v>
      </c>
      <c r="AJ1043">
        <f t="shared" si="117"/>
        <v>0</v>
      </c>
      <c r="AK1043">
        <v>0</v>
      </c>
      <c r="AL1043" t="str">
        <f>IF(AA1043="","",IFERROR(IF(ISNUMBER('Procyclean 130'!D44),'Procyclean 130'!D44,IF(ISNUMBER(SEARCH("12",'Procyclean 130'!D44)),EDATE(AB1043,12),IF(ISNUMBER(SEARCH("6",'Procyclean 130'!D44)),EDATE(AB1043,6),IF(ISNUMBER(SEARCH("3",'Procyclean 130'!D44)),EDATE(AB1043,3),DATEVALUE('Procyclean 130'!D44))))),""))</f>
        <v/>
      </c>
      <c r="AM1043" t="str">
        <f t="shared" ca="1" si="118"/>
        <v/>
      </c>
    </row>
    <row r="1044" spans="27:39" x14ac:dyDescent="0.3">
      <c r="AA1044" t="str">
        <f>IF(COUNTA('Procyclean 130'!A45,'Procyclean 130'!B45,'Procyclean 130'!C45)&gt;0,"130","")</f>
        <v/>
      </c>
      <c r="AB1044" t="str">
        <f>IFERROR(IF(ISNUMBER('Procyclean 130'!A45),'Procyclean 130'!A45,DATEVALUE('Procyclean 130'!A45)),"")</f>
        <v/>
      </c>
      <c r="AC1044" t="str">
        <f>IF(AA1044="","",'Procyclean 130'!B45)</f>
        <v/>
      </c>
      <c r="AD1044" t="str">
        <f>IF(AA1044="","",IFERROR(1*'Procyclean 130'!C45,IFERROR(_xludf.NUMBERVALUE('Procyclean 130'!C45,".",","),IFERROR(_xludf.NUMBERVALUE('Procyclean 130'!C45,",","."),0))))</f>
        <v/>
      </c>
      <c r="AE1044" t="str">
        <f>IF(AA1044="","",'Procyclean 130'!J45)</f>
        <v/>
      </c>
      <c r="AF1044">
        <f t="shared" si="113"/>
        <v>0</v>
      </c>
      <c r="AG1044" t="str">
        <f t="shared" si="114"/>
        <v/>
      </c>
      <c r="AH1044" t="str">
        <f t="shared" si="115"/>
        <v/>
      </c>
      <c r="AI1044">
        <f t="shared" si="116"/>
        <v>0</v>
      </c>
      <c r="AJ1044">
        <f t="shared" si="117"/>
        <v>0</v>
      </c>
      <c r="AK1044">
        <v>0</v>
      </c>
      <c r="AL1044" t="str">
        <f>IF(AA1044="","",IFERROR(IF(ISNUMBER('Procyclean 130'!D45),'Procyclean 130'!D45,IF(ISNUMBER(SEARCH("12",'Procyclean 130'!D45)),EDATE(AB1044,12),IF(ISNUMBER(SEARCH("6",'Procyclean 130'!D45)),EDATE(AB1044,6),IF(ISNUMBER(SEARCH("3",'Procyclean 130'!D45)),EDATE(AB1044,3),DATEVALUE('Procyclean 130'!D45))))),""))</f>
        <v/>
      </c>
      <c r="AM1044" t="str">
        <f t="shared" ca="1" si="118"/>
        <v/>
      </c>
    </row>
    <row r="1045" spans="27:39" x14ac:dyDescent="0.3">
      <c r="AA1045" t="str">
        <f>IF(COUNTA('Procyclean 130'!A46,'Procyclean 130'!B46,'Procyclean 130'!C46)&gt;0,"130","")</f>
        <v/>
      </c>
      <c r="AB1045" t="str">
        <f>IFERROR(IF(ISNUMBER('Procyclean 130'!A46),'Procyclean 130'!A46,DATEVALUE('Procyclean 130'!A46)),"")</f>
        <v/>
      </c>
      <c r="AC1045" t="str">
        <f>IF(AA1045="","",'Procyclean 130'!B46)</f>
        <v/>
      </c>
      <c r="AD1045" t="str">
        <f>IF(AA1045="","",IFERROR(1*'Procyclean 130'!C46,IFERROR(_xludf.NUMBERVALUE('Procyclean 130'!C46,".",","),IFERROR(_xludf.NUMBERVALUE('Procyclean 130'!C46,",","."),0))))</f>
        <v/>
      </c>
      <c r="AE1045" t="str">
        <f>IF(AA1045="","",'Procyclean 130'!J46)</f>
        <v/>
      </c>
      <c r="AF1045">
        <f t="shared" si="113"/>
        <v>0</v>
      </c>
      <c r="AG1045" t="str">
        <f t="shared" si="114"/>
        <v/>
      </c>
      <c r="AH1045" t="str">
        <f t="shared" si="115"/>
        <v/>
      </c>
      <c r="AI1045">
        <f t="shared" si="116"/>
        <v>0</v>
      </c>
      <c r="AJ1045">
        <f t="shared" si="117"/>
        <v>0</v>
      </c>
      <c r="AK1045">
        <v>0</v>
      </c>
      <c r="AL1045" t="str">
        <f>IF(AA1045="","",IFERROR(IF(ISNUMBER('Procyclean 130'!D46),'Procyclean 130'!D46,IF(ISNUMBER(SEARCH("12",'Procyclean 130'!D46)),EDATE(AB1045,12),IF(ISNUMBER(SEARCH("6",'Procyclean 130'!D46)),EDATE(AB1045,6),IF(ISNUMBER(SEARCH("3",'Procyclean 130'!D46)),EDATE(AB1045,3),DATEVALUE('Procyclean 130'!D46))))),""))</f>
        <v/>
      </c>
      <c r="AM1045" t="str">
        <f t="shared" ca="1" si="118"/>
        <v/>
      </c>
    </row>
    <row r="1046" spans="27:39" x14ac:dyDescent="0.3">
      <c r="AA1046" t="str">
        <f>IF(COUNTA('Procyclean 130'!A47,'Procyclean 130'!B47,'Procyclean 130'!C47)&gt;0,"130","")</f>
        <v/>
      </c>
      <c r="AB1046" t="str">
        <f>IFERROR(IF(ISNUMBER('Procyclean 130'!A47),'Procyclean 130'!A47,DATEVALUE('Procyclean 130'!A47)),"")</f>
        <v/>
      </c>
      <c r="AC1046" t="str">
        <f>IF(AA1046="","",'Procyclean 130'!B47)</f>
        <v/>
      </c>
      <c r="AD1046" t="str">
        <f>IF(AA1046="","",IFERROR(1*'Procyclean 130'!C47,IFERROR(_xludf.NUMBERVALUE('Procyclean 130'!C47,".",","),IFERROR(_xludf.NUMBERVALUE('Procyclean 130'!C47,",","."),0))))</f>
        <v/>
      </c>
      <c r="AE1046" t="str">
        <f>IF(AA1046="","",'Procyclean 130'!J47)</f>
        <v/>
      </c>
      <c r="AF1046">
        <f t="shared" si="113"/>
        <v>0</v>
      </c>
      <c r="AG1046" t="str">
        <f t="shared" si="114"/>
        <v/>
      </c>
      <c r="AH1046" t="str">
        <f t="shared" si="115"/>
        <v/>
      </c>
      <c r="AI1046">
        <f t="shared" si="116"/>
        <v>0</v>
      </c>
      <c r="AJ1046">
        <f t="shared" si="117"/>
        <v>0</v>
      </c>
      <c r="AK1046">
        <v>0</v>
      </c>
      <c r="AL1046" t="str">
        <f>IF(AA1046="","",IFERROR(IF(ISNUMBER('Procyclean 130'!D47),'Procyclean 130'!D47,IF(ISNUMBER(SEARCH("12",'Procyclean 130'!D47)),EDATE(AB1046,12),IF(ISNUMBER(SEARCH("6",'Procyclean 130'!D47)),EDATE(AB1046,6),IF(ISNUMBER(SEARCH("3",'Procyclean 130'!D47)),EDATE(AB1046,3),DATEVALUE('Procyclean 130'!D47))))),""))</f>
        <v/>
      </c>
      <c r="AM1046" t="str">
        <f t="shared" ca="1" si="118"/>
        <v/>
      </c>
    </row>
    <row r="1047" spans="27:39" x14ac:dyDescent="0.3">
      <c r="AA1047" t="str">
        <f>IF(COUNTA('Procyclean 130'!A48,'Procyclean 130'!B48,'Procyclean 130'!C48)&gt;0,"130","")</f>
        <v/>
      </c>
      <c r="AB1047" t="str">
        <f>IFERROR(IF(ISNUMBER('Procyclean 130'!A48),'Procyclean 130'!A48,DATEVALUE('Procyclean 130'!A48)),"")</f>
        <v/>
      </c>
      <c r="AC1047" t="str">
        <f>IF(AA1047="","",'Procyclean 130'!B48)</f>
        <v/>
      </c>
      <c r="AD1047" t="str">
        <f>IF(AA1047="","",IFERROR(1*'Procyclean 130'!C48,IFERROR(_xludf.NUMBERVALUE('Procyclean 130'!C48,".",","),IFERROR(_xludf.NUMBERVALUE('Procyclean 130'!C48,",","."),0))))</f>
        <v/>
      </c>
      <c r="AE1047" t="str">
        <f>IF(AA1047="","",'Procyclean 130'!J48)</f>
        <v/>
      </c>
      <c r="AF1047">
        <f t="shared" si="113"/>
        <v>0</v>
      </c>
      <c r="AG1047" t="str">
        <f t="shared" si="114"/>
        <v/>
      </c>
      <c r="AH1047" t="str">
        <f t="shared" si="115"/>
        <v/>
      </c>
      <c r="AI1047">
        <f t="shared" si="116"/>
        <v>0</v>
      </c>
      <c r="AJ1047">
        <f t="shared" si="117"/>
        <v>0</v>
      </c>
      <c r="AK1047">
        <v>0</v>
      </c>
      <c r="AL1047" t="str">
        <f>IF(AA1047="","",IFERROR(IF(ISNUMBER('Procyclean 130'!D48),'Procyclean 130'!D48,IF(ISNUMBER(SEARCH("12",'Procyclean 130'!D48)),EDATE(AB1047,12),IF(ISNUMBER(SEARCH("6",'Procyclean 130'!D48)),EDATE(AB1047,6),IF(ISNUMBER(SEARCH("3",'Procyclean 130'!D48)),EDATE(AB1047,3),DATEVALUE('Procyclean 130'!D48))))),""))</f>
        <v/>
      </c>
      <c r="AM1047" t="str">
        <f t="shared" ca="1" si="118"/>
        <v/>
      </c>
    </row>
    <row r="1048" spans="27:39" x14ac:dyDescent="0.3">
      <c r="AA1048" t="str">
        <f>IF(COUNTA('Procyclean 130'!A49,'Procyclean 130'!B49,'Procyclean 130'!C49)&gt;0,"130","")</f>
        <v/>
      </c>
      <c r="AB1048" t="str">
        <f>IFERROR(IF(ISNUMBER('Procyclean 130'!A49),'Procyclean 130'!A49,DATEVALUE('Procyclean 130'!A49)),"")</f>
        <v/>
      </c>
      <c r="AC1048" t="str">
        <f>IF(AA1048="","",'Procyclean 130'!B49)</f>
        <v/>
      </c>
      <c r="AD1048" t="str">
        <f>IF(AA1048="","",IFERROR(1*'Procyclean 130'!C49,IFERROR(_xludf.NUMBERVALUE('Procyclean 130'!C49,".",","),IFERROR(_xludf.NUMBERVALUE('Procyclean 130'!C49,",","."),0))))</f>
        <v/>
      </c>
      <c r="AE1048" t="str">
        <f>IF(AA1048="","",'Procyclean 130'!J49)</f>
        <v/>
      </c>
      <c r="AF1048">
        <f t="shared" si="113"/>
        <v>0</v>
      </c>
      <c r="AG1048" t="str">
        <f t="shared" si="114"/>
        <v/>
      </c>
      <c r="AH1048" t="str">
        <f t="shared" si="115"/>
        <v/>
      </c>
      <c r="AI1048">
        <f t="shared" si="116"/>
        <v>0</v>
      </c>
      <c r="AJ1048">
        <f t="shared" si="117"/>
        <v>0</v>
      </c>
      <c r="AK1048">
        <v>0</v>
      </c>
      <c r="AL1048" t="str">
        <f>IF(AA1048="","",IFERROR(IF(ISNUMBER('Procyclean 130'!D49),'Procyclean 130'!D49,IF(ISNUMBER(SEARCH("12",'Procyclean 130'!D49)),EDATE(AB1048,12),IF(ISNUMBER(SEARCH("6",'Procyclean 130'!D49)),EDATE(AB1048,6),IF(ISNUMBER(SEARCH("3",'Procyclean 130'!D49)),EDATE(AB1048,3),DATEVALUE('Procyclean 130'!D49))))),""))</f>
        <v/>
      </c>
      <c r="AM1048" t="str">
        <f t="shared" ca="1" si="118"/>
        <v/>
      </c>
    </row>
    <row r="1049" spans="27:39" x14ac:dyDescent="0.3">
      <c r="AA1049" t="str">
        <f>IF(COUNTA('Procyclean 130'!A50,'Procyclean 130'!B50,'Procyclean 130'!C50)&gt;0,"130","")</f>
        <v/>
      </c>
      <c r="AB1049" t="str">
        <f>IFERROR(IF(ISNUMBER('Procyclean 130'!A50),'Procyclean 130'!A50,DATEVALUE('Procyclean 130'!A50)),"")</f>
        <v/>
      </c>
      <c r="AC1049" t="str">
        <f>IF(AA1049="","",'Procyclean 130'!B50)</f>
        <v/>
      </c>
      <c r="AD1049" t="str">
        <f>IF(AA1049="","",IFERROR(1*'Procyclean 130'!C50,IFERROR(_xludf.NUMBERVALUE('Procyclean 130'!C50,".",","),IFERROR(_xludf.NUMBERVALUE('Procyclean 130'!C50,",","."),0))))</f>
        <v/>
      </c>
      <c r="AE1049" t="str">
        <f>IF(AA1049="","",'Procyclean 130'!J50)</f>
        <v/>
      </c>
      <c r="AF1049">
        <f t="shared" si="113"/>
        <v>0</v>
      </c>
      <c r="AG1049" t="str">
        <f t="shared" si="114"/>
        <v/>
      </c>
      <c r="AH1049" t="str">
        <f t="shared" si="115"/>
        <v/>
      </c>
      <c r="AI1049">
        <f t="shared" si="116"/>
        <v>0</v>
      </c>
      <c r="AJ1049">
        <f t="shared" si="117"/>
        <v>0</v>
      </c>
      <c r="AK1049">
        <v>0</v>
      </c>
      <c r="AL1049" t="str">
        <f>IF(AA1049="","",IFERROR(IF(ISNUMBER('Procyclean 130'!D50),'Procyclean 130'!D50,IF(ISNUMBER(SEARCH("12",'Procyclean 130'!D50)),EDATE(AB1049,12),IF(ISNUMBER(SEARCH("6",'Procyclean 130'!D50)),EDATE(AB1049,6),IF(ISNUMBER(SEARCH("3",'Procyclean 130'!D50)),EDATE(AB1049,3),DATEVALUE('Procyclean 130'!D50))))),""))</f>
        <v/>
      </c>
      <c r="AM1049" t="str">
        <f t="shared" ca="1" si="118"/>
        <v/>
      </c>
    </row>
    <row r="1050" spans="27:39" x14ac:dyDescent="0.3">
      <c r="AA1050" t="str">
        <f>IF(COUNTA('Procyclean 130'!A51,'Procyclean 130'!B51,'Procyclean 130'!C51)&gt;0,"130","")</f>
        <v/>
      </c>
      <c r="AB1050" t="str">
        <f>IFERROR(IF(ISNUMBER('Procyclean 130'!A51),'Procyclean 130'!A51,DATEVALUE('Procyclean 130'!A51)),"")</f>
        <v/>
      </c>
      <c r="AC1050" t="str">
        <f>IF(AA1050="","",'Procyclean 130'!B51)</f>
        <v/>
      </c>
      <c r="AD1050" t="str">
        <f>IF(AA1050="","",IFERROR(1*'Procyclean 130'!C51,IFERROR(_xludf.NUMBERVALUE('Procyclean 130'!C51,".",","),IFERROR(_xludf.NUMBERVALUE('Procyclean 130'!C51,",","."),0))))</f>
        <v/>
      </c>
      <c r="AE1050" t="str">
        <f>IF(AA1050="","",'Procyclean 130'!J51)</f>
        <v/>
      </c>
      <c r="AF1050">
        <f t="shared" si="113"/>
        <v>0</v>
      </c>
      <c r="AG1050" t="str">
        <f t="shared" si="114"/>
        <v/>
      </c>
      <c r="AH1050" t="str">
        <f t="shared" si="115"/>
        <v/>
      </c>
      <c r="AI1050">
        <f t="shared" si="116"/>
        <v>0</v>
      </c>
      <c r="AJ1050">
        <f t="shared" si="117"/>
        <v>0</v>
      </c>
      <c r="AK1050">
        <v>0</v>
      </c>
      <c r="AL1050" t="str">
        <f>IF(AA1050="","",IFERROR(IF(ISNUMBER('Procyclean 130'!D51),'Procyclean 130'!D51,IF(ISNUMBER(SEARCH("12",'Procyclean 130'!D51)),EDATE(AB1050,12),IF(ISNUMBER(SEARCH("6",'Procyclean 130'!D51)),EDATE(AB1050,6),IF(ISNUMBER(SEARCH("3",'Procyclean 130'!D51)),EDATE(AB1050,3),DATEVALUE('Procyclean 130'!D51))))),""))</f>
        <v/>
      </c>
      <c r="AM1050" t="str">
        <f t="shared" ca="1" si="118"/>
        <v/>
      </c>
    </row>
    <row r="1051" spans="27:39" x14ac:dyDescent="0.3">
      <c r="AA1051" t="str">
        <f>IF(COUNTA('Procyclean 130'!A52,'Procyclean 130'!B52,'Procyclean 130'!C52)&gt;0,"130","")</f>
        <v/>
      </c>
      <c r="AB1051" t="str">
        <f>IFERROR(IF(ISNUMBER('Procyclean 130'!A52),'Procyclean 130'!A52,DATEVALUE('Procyclean 130'!A52)),"")</f>
        <v/>
      </c>
      <c r="AC1051" t="str">
        <f>IF(AA1051="","",'Procyclean 130'!B52)</f>
        <v/>
      </c>
      <c r="AD1051" t="str">
        <f>IF(AA1051="","",IFERROR(1*'Procyclean 130'!C52,IFERROR(_xludf.NUMBERVALUE('Procyclean 130'!C52,".",","),IFERROR(_xludf.NUMBERVALUE('Procyclean 130'!C52,",","."),0))))</f>
        <v/>
      </c>
      <c r="AE1051" t="str">
        <f>IF(AA1051="","",'Procyclean 130'!J52)</f>
        <v/>
      </c>
      <c r="AF1051">
        <f t="shared" si="113"/>
        <v>0</v>
      </c>
      <c r="AG1051" t="str">
        <f t="shared" si="114"/>
        <v/>
      </c>
      <c r="AH1051" t="str">
        <f t="shared" si="115"/>
        <v/>
      </c>
      <c r="AI1051">
        <f t="shared" si="116"/>
        <v>0</v>
      </c>
      <c r="AJ1051">
        <f t="shared" si="117"/>
        <v>0</v>
      </c>
      <c r="AK1051">
        <v>0</v>
      </c>
      <c r="AL1051" t="str">
        <f>IF(AA1051="","",IFERROR(IF(ISNUMBER('Procyclean 130'!D52),'Procyclean 130'!D52,IF(ISNUMBER(SEARCH("12",'Procyclean 130'!D52)),EDATE(AB1051,12),IF(ISNUMBER(SEARCH("6",'Procyclean 130'!D52)),EDATE(AB1051,6),IF(ISNUMBER(SEARCH("3",'Procyclean 130'!D52)),EDATE(AB1051,3),DATEVALUE('Procyclean 130'!D52))))),""))</f>
        <v/>
      </c>
      <c r="AM1051" t="str">
        <f t="shared" ca="1" si="118"/>
        <v/>
      </c>
    </row>
    <row r="1052" spans="27:39" x14ac:dyDescent="0.3">
      <c r="AA1052" t="str">
        <f>IF(COUNTA('Procyclean 130'!A53,'Procyclean 130'!B53,'Procyclean 130'!C53)&gt;0,"130","")</f>
        <v/>
      </c>
      <c r="AB1052" t="str">
        <f>IFERROR(IF(ISNUMBER('Procyclean 130'!A53),'Procyclean 130'!A53,DATEVALUE('Procyclean 130'!A53)),"")</f>
        <v/>
      </c>
      <c r="AC1052" t="str">
        <f>IF(AA1052="","",'Procyclean 130'!B53)</f>
        <v/>
      </c>
      <c r="AD1052" t="str">
        <f>IF(AA1052="","",IFERROR(1*'Procyclean 130'!C53,IFERROR(_xludf.NUMBERVALUE('Procyclean 130'!C53,".",","),IFERROR(_xludf.NUMBERVALUE('Procyclean 130'!C53,",","."),0))))</f>
        <v/>
      </c>
      <c r="AE1052" t="str">
        <f>IF(AA1052="","",'Procyclean 130'!J53)</f>
        <v/>
      </c>
      <c r="AF1052">
        <f t="shared" si="113"/>
        <v>0</v>
      </c>
      <c r="AG1052" t="str">
        <f t="shared" si="114"/>
        <v/>
      </c>
      <c r="AH1052" t="str">
        <f t="shared" si="115"/>
        <v/>
      </c>
      <c r="AI1052">
        <f t="shared" si="116"/>
        <v>0</v>
      </c>
      <c r="AJ1052">
        <f t="shared" si="117"/>
        <v>0</v>
      </c>
      <c r="AK1052">
        <v>0</v>
      </c>
      <c r="AL1052" t="str">
        <f>IF(AA1052="","",IFERROR(IF(ISNUMBER('Procyclean 130'!D53),'Procyclean 130'!D53,IF(ISNUMBER(SEARCH("12",'Procyclean 130'!D53)),EDATE(AB1052,12),IF(ISNUMBER(SEARCH("6",'Procyclean 130'!D53)),EDATE(AB1052,6),IF(ISNUMBER(SEARCH("3",'Procyclean 130'!D53)),EDATE(AB1052,3),DATEVALUE('Procyclean 130'!D53))))),""))</f>
        <v/>
      </c>
      <c r="AM1052" t="str">
        <f t="shared" ca="1" si="118"/>
        <v/>
      </c>
    </row>
    <row r="1053" spans="27:39" x14ac:dyDescent="0.3">
      <c r="AA1053" t="str">
        <f>IF(COUNTA('Procyclean 130'!A54,'Procyclean 130'!B54,'Procyclean 130'!C54)&gt;0,"130","")</f>
        <v/>
      </c>
      <c r="AB1053" t="str">
        <f>IFERROR(IF(ISNUMBER('Procyclean 130'!A54),'Procyclean 130'!A54,DATEVALUE('Procyclean 130'!A54)),"")</f>
        <v/>
      </c>
      <c r="AC1053" t="str">
        <f>IF(AA1053="","",'Procyclean 130'!B54)</f>
        <v/>
      </c>
      <c r="AD1053" t="str">
        <f>IF(AA1053="","",IFERROR(1*'Procyclean 130'!C54,IFERROR(_xludf.NUMBERVALUE('Procyclean 130'!C54,".",","),IFERROR(_xludf.NUMBERVALUE('Procyclean 130'!C54,",","."),0))))</f>
        <v/>
      </c>
      <c r="AE1053" t="str">
        <f>IF(AA1053="","",'Procyclean 130'!J54)</f>
        <v/>
      </c>
      <c r="AF1053">
        <f t="shared" si="113"/>
        <v>0</v>
      </c>
      <c r="AG1053" t="str">
        <f t="shared" si="114"/>
        <v/>
      </c>
      <c r="AH1053" t="str">
        <f t="shared" si="115"/>
        <v/>
      </c>
      <c r="AI1053">
        <f t="shared" si="116"/>
        <v>0</v>
      </c>
      <c r="AJ1053">
        <f t="shared" si="117"/>
        <v>0</v>
      </c>
      <c r="AK1053">
        <v>0</v>
      </c>
      <c r="AL1053" t="str">
        <f>IF(AA1053="","",IFERROR(IF(ISNUMBER('Procyclean 130'!D54),'Procyclean 130'!D54,IF(ISNUMBER(SEARCH("12",'Procyclean 130'!D54)),EDATE(AB1053,12),IF(ISNUMBER(SEARCH("6",'Procyclean 130'!D54)),EDATE(AB1053,6),IF(ISNUMBER(SEARCH("3",'Procyclean 130'!D54)),EDATE(AB1053,3),DATEVALUE('Procyclean 130'!D54))))),""))</f>
        <v/>
      </c>
      <c r="AM1053" t="str">
        <f t="shared" ca="1" si="118"/>
        <v/>
      </c>
    </row>
    <row r="1054" spans="27:39" x14ac:dyDescent="0.3">
      <c r="AA1054" t="str">
        <f>IF(COUNTA('Procyclean 130'!A55,'Procyclean 130'!B55,'Procyclean 130'!C55)&gt;0,"130","")</f>
        <v/>
      </c>
      <c r="AB1054" t="str">
        <f>IFERROR(IF(ISNUMBER('Procyclean 130'!A55),'Procyclean 130'!A55,DATEVALUE('Procyclean 130'!A55)),"")</f>
        <v/>
      </c>
      <c r="AC1054" t="str">
        <f>IF(AA1054="","",'Procyclean 130'!B55)</f>
        <v/>
      </c>
      <c r="AD1054" t="str">
        <f>IF(AA1054="","",IFERROR(1*'Procyclean 130'!C55,IFERROR(_xludf.NUMBERVALUE('Procyclean 130'!C55,".",","),IFERROR(_xludf.NUMBERVALUE('Procyclean 130'!C55,",","."),0))))</f>
        <v/>
      </c>
      <c r="AE1054" t="str">
        <f>IF(AA1054="","",'Procyclean 130'!J55)</f>
        <v/>
      </c>
      <c r="AF1054">
        <f t="shared" si="113"/>
        <v>0</v>
      </c>
      <c r="AG1054" t="str">
        <f t="shared" si="114"/>
        <v/>
      </c>
      <c r="AH1054" t="str">
        <f t="shared" si="115"/>
        <v/>
      </c>
      <c r="AI1054">
        <f t="shared" si="116"/>
        <v>0</v>
      </c>
      <c r="AJ1054">
        <f t="shared" si="117"/>
        <v>0</v>
      </c>
      <c r="AK1054">
        <v>0</v>
      </c>
      <c r="AL1054" t="str">
        <f>IF(AA1054="","",IFERROR(IF(ISNUMBER('Procyclean 130'!D55),'Procyclean 130'!D55,IF(ISNUMBER(SEARCH("12",'Procyclean 130'!D55)),EDATE(AB1054,12),IF(ISNUMBER(SEARCH("6",'Procyclean 130'!D55)),EDATE(AB1054,6),IF(ISNUMBER(SEARCH("3",'Procyclean 130'!D55)),EDATE(AB1054,3),DATEVALUE('Procyclean 130'!D55))))),""))</f>
        <v/>
      </c>
      <c r="AM1054" t="str">
        <f t="shared" ca="1" si="118"/>
        <v/>
      </c>
    </row>
    <row r="1055" spans="27:39" x14ac:dyDescent="0.3">
      <c r="AA1055" t="str">
        <f>IF(COUNTA('Procyclean 130'!A56,'Procyclean 130'!B56,'Procyclean 130'!C56)&gt;0,"130","")</f>
        <v/>
      </c>
      <c r="AB1055" t="str">
        <f>IFERROR(IF(ISNUMBER('Procyclean 130'!A56),'Procyclean 130'!A56,DATEVALUE('Procyclean 130'!A56)),"")</f>
        <v/>
      </c>
      <c r="AC1055" t="str">
        <f>IF(AA1055="","",'Procyclean 130'!B56)</f>
        <v/>
      </c>
      <c r="AD1055" t="str">
        <f>IF(AA1055="","",IFERROR(1*'Procyclean 130'!C56,IFERROR(_xludf.NUMBERVALUE('Procyclean 130'!C56,".",","),IFERROR(_xludf.NUMBERVALUE('Procyclean 130'!C56,",","."),0))))</f>
        <v/>
      </c>
      <c r="AE1055" t="str">
        <f>IF(AA1055="","",'Procyclean 130'!J56)</f>
        <v/>
      </c>
      <c r="AF1055">
        <f t="shared" si="113"/>
        <v>0</v>
      </c>
      <c r="AG1055" t="str">
        <f t="shared" si="114"/>
        <v/>
      </c>
      <c r="AH1055" t="str">
        <f t="shared" si="115"/>
        <v/>
      </c>
      <c r="AI1055">
        <f t="shared" si="116"/>
        <v>0</v>
      </c>
      <c r="AJ1055">
        <f t="shared" si="117"/>
        <v>0</v>
      </c>
      <c r="AK1055">
        <v>0</v>
      </c>
      <c r="AL1055" t="str">
        <f>IF(AA1055="","",IFERROR(IF(ISNUMBER('Procyclean 130'!D56),'Procyclean 130'!D56,IF(ISNUMBER(SEARCH("12",'Procyclean 130'!D56)),EDATE(AB1055,12),IF(ISNUMBER(SEARCH("6",'Procyclean 130'!D56)),EDATE(AB1055,6),IF(ISNUMBER(SEARCH("3",'Procyclean 130'!D56)),EDATE(AB1055,3),DATEVALUE('Procyclean 130'!D56))))),""))</f>
        <v/>
      </c>
      <c r="AM1055" t="str">
        <f t="shared" ca="1" si="118"/>
        <v/>
      </c>
    </row>
    <row r="1056" spans="27:39" x14ac:dyDescent="0.3">
      <c r="AA1056" t="str">
        <f>IF(COUNTA('Procyclean 130'!A57,'Procyclean 130'!B57,'Procyclean 130'!C57)&gt;0,"130","")</f>
        <v/>
      </c>
      <c r="AB1056" t="str">
        <f>IFERROR(IF(ISNUMBER('Procyclean 130'!A57),'Procyclean 130'!A57,DATEVALUE('Procyclean 130'!A57)),"")</f>
        <v/>
      </c>
      <c r="AC1056" t="str">
        <f>IF(AA1056="","",'Procyclean 130'!B57)</f>
        <v/>
      </c>
      <c r="AD1056" t="str">
        <f>IF(AA1056="","",IFERROR(1*'Procyclean 130'!C57,IFERROR(_xludf.NUMBERVALUE('Procyclean 130'!C57,".",","),IFERROR(_xludf.NUMBERVALUE('Procyclean 130'!C57,",","."),0))))</f>
        <v/>
      </c>
      <c r="AE1056" t="str">
        <f>IF(AA1056="","",'Procyclean 130'!J57)</f>
        <v/>
      </c>
      <c r="AF1056">
        <f t="shared" si="113"/>
        <v>0</v>
      </c>
      <c r="AG1056" t="str">
        <f t="shared" si="114"/>
        <v/>
      </c>
      <c r="AH1056" t="str">
        <f t="shared" si="115"/>
        <v/>
      </c>
      <c r="AI1056">
        <f t="shared" si="116"/>
        <v>0</v>
      </c>
      <c r="AJ1056">
        <f t="shared" si="117"/>
        <v>0</v>
      </c>
      <c r="AK1056">
        <v>0</v>
      </c>
      <c r="AL1056" t="str">
        <f>IF(AA1056="","",IFERROR(IF(ISNUMBER('Procyclean 130'!D57),'Procyclean 130'!D57,IF(ISNUMBER(SEARCH("12",'Procyclean 130'!D57)),EDATE(AB1056,12),IF(ISNUMBER(SEARCH("6",'Procyclean 130'!D57)),EDATE(AB1056,6),IF(ISNUMBER(SEARCH("3",'Procyclean 130'!D57)),EDATE(AB1056,3),DATEVALUE('Procyclean 130'!D57))))),""))</f>
        <v/>
      </c>
      <c r="AM1056" t="str">
        <f t="shared" ca="1" si="118"/>
        <v/>
      </c>
    </row>
    <row r="1057" spans="27:39" x14ac:dyDescent="0.3">
      <c r="AA1057" t="str">
        <f>IF(COUNTA('Procyclean 130'!A58,'Procyclean 130'!B58,'Procyclean 130'!C58)&gt;0,"130","")</f>
        <v/>
      </c>
      <c r="AB1057" t="str">
        <f>IFERROR(IF(ISNUMBER('Procyclean 130'!A58),'Procyclean 130'!A58,DATEVALUE('Procyclean 130'!A58)),"")</f>
        <v/>
      </c>
      <c r="AC1057" t="str">
        <f>IF(AA1057="","",'Procyclean 130'!B58)</f>
        <v/>
      </c>
      <c r="AD1057" t="str">
        <f>IF(AA1057="","",IFERROR(1*'Procyclean 130'!C58,IFERROR(_xludf.NUMBERVALUE('Procyclean 130'!C58,".",","),IFERROR(_xludf.NUMBERVALUE('Procyclean 130'!C58,",","."),0))))</f>
        <v/>
      </c>
      <c r="AE1057" t="str">
        <f>IF(AA1057="","",'Procyclean 130'!J58)</f>
        <v/>
      </c>
      <c r="AF1057">
        <f t="shared" si="113"/>
        <v>0</v>
      </c>
      <c r="AG1057" t="str">
        <f t="shared" si="114"/>
        <v/>
      </c>
      <c r="AH1057" t="str">
        <f t="shared" si="115"/>
        <v/>
      </c>
      <c r="AI1057">
        <f t="shared" si="116"/>
        <v>0</v>
      </c>
      <c r="AJ1057">
        <f t="shared" si="117"/>
        <v>0</v>
      </c>
      <c r="AK1057">
        <v>0</v>
      </c>
      <c r="AL1057" t="str">
        <f>IF(AA1057="","",IFERROR(IF(ISNUMBER('Procyclean 130'!D58),'Procyclean 130'!D58,IF(ISNUMBER(SEARCH("12",'Procyclean 130'!D58)),EDATE(AB1057,12),IF(ISNUMBER(SEARCH("6",'Procyclean 130'!D58)),EDATE(AB1057,6),IF(ISNUMBER(SEARCH("3",'Procyclean 130'!D58)),EDATE(AB1057,3),DATEVALUE('Procyclean 130'!D58))))),""))</f>
        <v/>
      </c>
      <c r="AM1057" t="str">
        <f t="shared" ca="1" si="118"/>
        <v/>
      </c>
    </row>
    <row r="1058" spans="27:39" x14ac:dyDescent="0.3">
      <c r="AA1058" t="str">
        <f>IF(COUNTA('Procyclean 130'!A59,'Procyclean 130'!B59,'Procyclean 130'!C59)&gt;0,"130","")</f>
        <v/>
      </c>
      <c r="AB1058" t="str">
        <f>IFERROR(IF(ISNUMBER('Procyclean 130'!A59),'Procyclean 130'!A59,DATEVALUE('Procyclean 130'!A59)),"")</f>
        <v/>
      </c>
      <c r="AC1058" t="str">
        <f>IF(AA1058="","",'Procyclean 130'!B59)</f>
        <v/>
      </c>
      <c r="AD1058" t="str">
        <f>IF(AA1058="","",IFERROR(1*'Procyclean 130'!C59,IFERROR(_xludf.NUMBERVALUE('Procyclean 130'!C59,".",","),IFERROR(_xludf.NUMBERVALUE('Procyclean 130'!C59,",","."),0))))</f>
        <v/>
      </c>
      <c r="AE1058" t="str">
        <f>IF(AA1058="","",'Procyclean 130'!J59)</f>
        <v/>
      </c>
      <c r="AF1058">
        <f t="shared" si="113"/>
        <v>0</v>
      </c>
      <c r="AG1058" t="str">
        <f t="shared" si="114"/>
        <v/>
      </c>
      <c r="AH1058" t="str">
        <f t="shared" si="115"/>
        <v/>
      </c>
      <c r="AI1058">
        <f t="shared" si="116"/>
        <v>0</v>
      </c>
      <c r="AJ1058">
        <f t="shared" si="117"/>
        <v>0</v>
      </c>
      <c r="AK1058">
        <v>0</v>
      </c>
      <c r="AL1058" t="str">
        <f>IF(AA1058="","",IFERROR(IF(ISNUMBER('Procyclean 130'!D59),'Procyclean 130'!D59,IF(ISNUMBER(SEARCH("12",'Procyclean 130'!D59)),EDATE(AB1058,12),IF(ISNUMBER(SEARCH("6",'Procyclean 130'!D59)),EDATE(AB1058,6),IF(ISNUMBER(SEARCH("3",'Procyclean 130'!D59)),EDATE(AB1058,3),DATEVALUE('Procyclean 130'!D59))))),""))</f>
        <v/>
      </c>
      <c r="AM1058" t="str">
        <f t="shared" ca="1" si="118"/>
        <v/>
      </c>
    </row>
    <row r="1059" spans="27:39" x14ac:dyDescent="0.3">
      <c r="AA1059" t="str">
        <f>IF(COUNTA('Procyclean 130'!A60,'Procyclean 130'!B60,'Procyclean 130'!C60)&gt;0,"130","")</f>
        <v/>
      </c>
      <c r="AB1059" t="str">
        <f>IFERROR(IF(ISNUMBER('Procyclean 130'!A60),'Procyclean 130'!A60,DATEVALUE('Procyclean 130'!A60)),"")</f>
        <v/>
      </c>
      <c r="AC1059" t="str">
        <f>IF(AA1059="","",'Procyclean 130'!B60)</f>
        <v/>
      </c>
      <c r="AD1059" t="str">
        <f>IF(AA1059="","",IFERROR(1*'Procyclean 130'!C60,IFERROR(_xludf.NUMBERVALUE('Procyclean 130'!C60,".",","),IFERROR(_xludf.NUMBERVALUE('Procyclean 130'!C60,",","."),0))))</f>
        <v/>
      </c>
      <c r="AE1059" t="str">
        <f>IF(AA1059="","",'Procyclean 130'!J60)</f>
        <v/>
      </c>
      <c r="AF1059">
        <f t="shared" si="113"/>
        <v>0</v>
      </c>
      <c r="AG1059" t="str">
        <f t="shared" si="114"/>
        <v/>
      </c>
      <c r="AH1059" t="str">
        <f t="shared" si="115"/>
        <v/>
      </c>
      <c r="AI1059">
        <f t="shared" si="116"/>
        <v>0</v>
      </c>
      <c r="AJ1059">
        <f t="shared" si="117"/>
        <v>0</v>
      </c>
      <c r="AK1059">
        <v>0</v>
      </c>
      <c r="AL1059" t="str">
        <f>IF(AA1059="","",IFERROR(IF(ISNUMBER('Procyclean 130'!D60),'Procyclean 130'!D60,IF(ISNUMBER(SEARCH("12",'Procyclean 130'!D60)),EDATE(AB1059,12),IF(ISNUMBER(SEARCH("6",'Procyclean 130'!D60)),EDATE(AB1059,6),IF(ISNUMBER(SEARCH("3",'Procyclean 130'!D60)),EDATE(AB1059,3),DATEVALUE('Procyclean 130'!D60))))),""))</f>
        <v/>
      </c>
      <c r="AM1059" t="str">
        <f t="shared" ca="1" si="118"/>
        <v/>
      </c>
    </row>
    <row r="1060" spans="27:39" x14ac:dyDescent="0.3">
      <c r="AA1060" t="str">
        <f>IF(COUNTA('Procyclean 130'!A61,'Procyclean 130'!B61,'Procyclean 130'!C61)&gt;0,"130","")</f>
        <v/>
      </c>
      <c r="AB1060" t="str">
        <f>IFERROR(IF(ISNUMBER('Procyclean 130'!A61),'Procyclean 130'!A61,DATEVALUE('Procyclean 130'!A61)),"")</f>
        <v/>
      </c>
      <c r="AC1060" t="str">
        <f>IF(AA1060="","",'Procyclean 130'!B61)</f>
        <v/>
      </c>
      <c r="AD1060" t="str">
        <f>IF(AA1060="","",IFERROR(1*'Procyclean 130'!C61,IFERROR(_xludf.NUMBERVALUE('Procyclean 130'!C61,".",","),IFERROR(_xludf.NUMBERVALUE('Procyclean 130'!C61,",","."),0))))</f>
        <v/>
      </c>
      <c r="AE1060" t="str">
        <f>IF(AA1060="","",'Procyclean 130'!J61)</f>
        <v/>
      </c>
      <c r="AF1060">
        <f t="shared" si="113"/>
        <v>0</v>
      </c>
      <c r="AG1060" t="str">
        <f t="shared" si="114"/>
        <v/>
      </c>
      <c r="AH1060" t="str">
        <f t="shared" si="115"/>
        <v/>
      </c>
      <c r="AI1060">
        <f t="shared" si="116"/>
        <v>0</v>
      </c>
      <c r="AJ1060">
        <f t="shared" si="117"/>
        <v>0</v>
      </c>
      <c r="AK1060">
        <v>0</v>
      </c>
      <c r="AL1060" t="str">
        <f>IF(AA1060="","",IFERROR(IF(ISNUMBER('Procyclean 130'!D61),'Procyclean 130'!D61,IF(ISNUMBER(SEARCH("12",'Procyclean 130'!D61)),EDATE(AB1060,12),IF(ISNUMBER(SEARCH("6",'Procyclean 130'!D61)),EDATE(AB1060,6),IF(ISNUMBER(SEARCH("3",'Procyclean 130'!D61)),EDATE(AB1060,3),DATEVALUE('Procyclean 130'!D61))))),""))</f>
        <v/>
      </c>
      <c r="AM1060" t="str">
        <f t="shared" ca="1" si="118"/>
        <v/>
      </c>
    </row>
    <row r="1061" spans="27:39" x14ac:dyDescent="0.3">
      <c r="AA1061" t="str">
        <f>IF(COUNTA('Procyclean 130'!A62,'Procyclean 130'!B62,'Procyclean 130'!C62)&gt;0,"130","")</f>
        <v/>
      </c>
      <c r="AB1061" t="str">
        <f>IFERROR(IF(ISNUMBER('Procyclean 130'!A62),'Procyclean 130'!A62,DATEVALUE('Procyclean 130'!A62)),"")</f>
        <v/>
      </c>
      <c r="AC1061" t="str">
        <f>IF(AA1061="","",'Procyclean 130'!B62)</f>
        <v/>
      </c>
      <c r="AD1061" t="str">
        <f>IF(AA1061="","",IFERROR(1*'Procyclean 130'!C62,IFERROR(_xludf.NUMBERVALUE('Procyclean 130'!C62,".",","),IFERROR(_xludf.NUMBERVALUE('Procyclean 130'!C62,",","."),0))))</f>
        <v/>
      </c>
      <c r="AE1061" t="str">
        <f>IF(AA1061="","",'Procyclean 130'!J62)</f>
        <v/>
      </c>
      <c r="AF1061">
        <f t="shared" si="113"/>
        <v>0</v>
      </c>
      <c r="AG1061" t="str">
        <f t="shared" si="114"/>
        <v/>
      </c>
      <c r="AH1061" t="str">
        <f t="shared" si="115"/>
        <v/>
      </c>
      <c r="AI1061">
        <f t="shared" si="116"/>
        <v>0</v>
      </c>
      <c r="AJ1061">
        <f t="shared" si="117"/>
        <v>0</v>
      </c>
      <c r="AK1061">
        <v>0</v>
      </c>
      <c r="AL1061" t="str">
        <f>IF(AA1061="","",IFERROR(IF(ISNUMBER('Procyclean 130'!D62),'Procyclean 130'!D62,IF(ISNUMBER(SEARCH("12",'Procyclean 130'!D62)),EDATE(AB1061,12),IF(ISNUMBER(SEARCH("6",'Procyclean 130'!D62)),EDATE(AB1061,6),IF(ISNUMBER(SEARCH("3",'Procyclean 130'!D62)),EDATE(AB1061,3),DATEVALUE('Procyclean 130'!D62))))),""))</f>
        <v/>
      </c>
      <c r="AM1061" t="str">
        <f t="shared" ca="1" si="118"/>
        <v/>
      </c>
    </row>
    <row r="1062" spans="27:39" x14ac:dyDescent="0.3">
      <c r="AA1062" t="str">
        <f>IF(COUNTA('Procyclean 130'!A63,'Procyclean 130'!B63,'Procyclean 130'!C63)&gt;0,"130","")</f>
        <v/>
      </c>
      <c r="AB1062" t="str">
        <f>IFERROR(IF(ISNUMBER('Procyclean 130'!A63),'Procyclean 130'!A63,DATEVALUE('Procyclean 130'!A63)),"")</f>
        <v/>
      </c>
      <c r="AC1062" t="str">
        <f>IF(AA1062="","",'Procyclean 130'!B63)</f>
        <v/>
      </c>
      <c r="AD1062" t="str">
        <f>IF(AA1062="","",IFERROR(1*'Procyclean 130'!C63,IFERROR(_xludf.NUMBERVALUE('Procyclean 130'!C63,".",","),IFERROR(_xludf.NUMBERVALUE('Procyclean 130'!C63,",","."),0))))</f>
        <v/>
      </c>
      <c r="AE1062" t="str">
        <f>IF(AA1062="","",'Procyclean 130'!J63)</f>
        <v/>
      </c>
      <c r="AF1062">
        <f t="shared" si="113"/>
        <v>0</v>
      </c>
      <c r="AG1062" t="str">
        <f t="shared" si="114"/>
        <v/>
      </c>
      <c r="AH1062" t="str">
        <f t="shared" si="115"/>
        <v/>
      </c>
      <c r="AI1062">
        <f t="shared" si="116"/>
        <v>0</v>
      </c>
      <c r="AJ1062">
        <f t="shared" si="117"/>
        <v>0</v>
      </c>
      <c r="AK1062">
        <v>0</v>
      </c>
      <c r="AL1062" t="str">
        <f>IF(AA1062="","",IFERROR(IF(ISNUMBER('Procyclean 130'!D63),'Procyclean 130'!D63,IF(ISNUMBER(SEARCH("12",'Procyclean 130'!D63)),EDATE(AB1062,12),IF(ISNUMBER(SEARCH("6",'Procyclean 130'!D63)),EDATE(AB1062,6),IF(ISNUMBER(SEARCH("3",'Procyclean 130'!D63)),EDATE(AB1062,3),DATEVALUE('Procyclean 130'!D63))))),""))</f>
        <v/>
      </c>
      <c r="AM1062" t="str">
        <f t="shared" ca="1" si="118"/>
        <v/>
      </c>
    </row>
    <row r="1063" spans="27:39" x14ac:dyDescent="0.3">
      <c r="AA1063" t="str">
        <f>IF(COUNTA('Procyclean 130'!A64,'Procyclean 130'!B64,'Procyclean 130'!C64)&gt;0,"130","")</f>
        <v/>
      </c>
      <c r="AB1063" t="str">
        <f>IFERROR(IF(ISNUMBER('Procyclean 130'!A64),'Procyclean 130'!A64,DATEVALUE('Procyclean 130'!A64)),"")</f>
        <v/>
      </c>
      <c r="AC1063" t="str">
        <f>IF(AA1063="","",'Procyclean 130'!B64)</f>
        <v/>
      </c>
      <c r="AD1063" t="str">
        <f>IF(AA1063="","",IFERROR(1*'Procyclean 130'!C64,IFERROR(_xludf.NUMBERVALUE('Procyclean 130'!C64,".",","),IFERROR(_xludf.NUMBERVALUE('Procyclean 130'!C64,",","."),0))))</f>
        <v/>
      </c>
      <c r="AE1063" t="str">
        <f>IF(AA1063="","",'Procyclean 130'!J64)</f>
        <v/>
      </c>
      <c r="AF1063">
        <f t="shared" si="113"/>
        <v>0</v>
      </c>
      <c r="AG1063" t="str">
        <f t="shared" si="114"/>
        <v/>
      </c>
      <c r="AH1063" t="str">
        <f t="shared" si="115"/>
        <v/>
      </c>
      <c r="AI1063">
        <f t="shared" si="116"/>
        <v>0</v>
      </c>
      <c r="AJ1063">
        <f t="shared" si="117"/>
        <v>0</v>
      </c>
      <c r="AK1063">
        <v>0</v>
      </c>
      <c r="AL1063" t="str">
        <f>IF(AA1063="","",IFERROR(IF(ISNUMBER('Procyclean 130'!D64),'Procyclean 130'!D64,IF(ISNUMBER(SEARCH("12",'Procyclean 130'!D64)),EDATE(AB1063,12),IF(ISNUMBER(SEARCH("6",'Procyclean 130'!D64)),EDATE(AB1063,6),IF(ISNUMBER(SEARCH("3",'Procyclean 130'!D64)),EDATE(AB1063,3),DATEVALUE('Procyclean 130'!D64))))),""))</f>
        <v/>
      </c>
      <c r="AM1063" t="str">
        <f t="shared" ca="1" si="118"/>
        <v/>
      </c>
    </row>
    <row r="1064" spans="27:39" x14ac:dyDescent="0.3">
      <c r="AA1064" t="str">
        <f>IF(COUNTA('Procyclean 130'!A65,'Procyclean 130'!B65,'Procyclean 130'!C65)&gt;0,"130","")</f>
        <v/>
      </c>
      <c r="AB1064" t="str">
        <f>IFERROR(IF(ISNUMBER('Procyclean 130'!A65),'Procyclean 130'!A65,DATEVALUE('Procyclean 130'!A65)),"")</f>
        <v/>
      </c>
      <c r="AC1064" t="str">
        <f>IF(AA1064="","",'Procyclean 130'!B65)</f>
        <v/>
      </c>
      <c r="AD1064" t="str">
        <f>IF(AA1064="","",IFERROR(1*'Procyclean 130'!C65,IFERROR(_xludf.NUMBERVALUE('Procyclean 130'!C65,".",","),IFERROR(_xludf.NUMBERVALUE('Procyclean 130'!C65,",","."),0))))</f>
        <v/>
      </c>
      <c r="AE1064" t="str">
        <f>IF(AA1064="","",'Procyclean 130'!J65)</f>
        <v/>
      </c>
      <c r="AF1064">
        <f t="shared" si="113"/>
        <v>0</v>
      </c>
      <c r="AG1064" t="str">
        <f t="shared" si="114"/>
        <v/>
      </c>
      <c r="AH1064" t="str">
        <f t="shared" si="115"/>
        <v/>
      </c>
      <c r="AI1064">
        <f t="shared" si="116"/>
        <v>0</v>
      </c>
      <c r="AJ1064">
        <f t="shared" si="117"/>
        <v>0</v>
      </c>
      <c r="AK1064">
        <v>0</v>
      </c>
      <c r="AL1064" t="str">
        <f>IF(AA1064="","",IFERROR(IF(ISNUMBER('Procyclean 130'!D65),'Procyclean 130'!D65,IF(ISNUMBER(SEARCH("12",'Procyclean 130'!D65)),EDATE(AB1064,12),IF(ISNUMBER(SEARCH("6",'Procyclean 130'!D65)),EDATE(AB1064,6),IF(ISNUMBER(SEARCH("3",'Procyclean 130'!D65)),EDATE(AB1064,3),DATEVALUE('Procyclean 130'!D65))))),""))</f>
        <v/>
      </c>
      <c r="AM1064" t="str">
        <f t="shared" ca="1" si="118"/>
        <v/>
      </c>
    </row>
    <row r="1065" spans="27:39" x14ac:dyDescent="0.3">
      <c r="AA1065" t="str">
        <f>IF(COUNTA('Procyclean 130'!A66,'Procyclean 130'!B66,'Procyclean 130'!C66)&gt;0,"130","")</f>
        <v/>
      </c>
      <c r="AB1065" t="str">
        <f>IFERROR(IF(ISNUMBER('Procyclean 130'!A66),'Procyclean 130'!A66,DATEVALUE('Procyclean 130'!A66)),"")</f>
        <v/>
      </c>
      <c r="AC1065" t="str">
        <f>IF(AA1065="","",'Procyclean 130'!B66)</f>
        <v/>
      </c>
      <c r="AD1065" t="str">
        <f>IF(AA1065="","",IFERROR(1*'Procyclean 130'!C66,IFERROR(_xludf.NUMBERVALUE('Procyclean 130'!C66,".",","),IFERROR(_xludf.NUMBERVALUE('Procyclean 130'!C66,",","."),0))))</f>
        <v/>
      </c>
      <c r="AE1065" t="str">
        <f>IF(AA1065="","",'Procyclean 130'!J66)</f>
        <v/>
      </c>
      <c r="AF1065">
        <f t="shared" si="113"/>
        <v>0</v>
      </c>
      <c r="AG1065" t="str">
        <f t="shared" si="114"/>
        <v/>
      </c>
      <c r="AH1065" t="str">
        <f t="shared" si="115"/>
        <v/>
      </c>
      <c r="AI1065">
        <f t="shared" si="116"/>
        <v>0</v>
      </c>
      <c r="AJ1065">
        <f t="shared" si="117"/>
        <v>0</v>
      </c>
      <c r="AK1065">
        <v>0</v>
      </c>
      <c r="AL1065" t="str">
        <f>IF(AA1065="","",IFERROR(IF(ISNUMBER('Procyclean 130'!D66),'Procyclean 130'!D66,IF(ISNUMBER(SEARCH("12",'Procyclean 130'!D66)),EDATE(AB1065,12),IF(ISNUMBER(SEARCH("6",'Procyclean 130'!D66)),EDATE(AB1065,6),IF(ISNUMBER(SEARCH("3",'Procyclean 130'!D66)),EDATE(AB1065,3),DATEVALUE('Procyclean 130'!D66))))),""))</f>
        <v/>
      </c>
      <c r="AM1065" t="str">
        <f t="shared" ca="1" si="118"/>
        <v/>
      </c>
    </row>
    <row r="1066" spans="27:39" x14ac:dyDescent="0.3">
      <c r="AA1066" t="str">
        <f>IF(COUNTA('Procyclean 130'!A67,'Procyclean 130'!B67,'Procyclean 130'!C67)&gt;0,"130","")</f>
        <v/>
      </c>
      <c r="AB1066" t="str">
        <f>IFERROR(IF(ISNUMBER('Procyclean 130'!A67),'Procyclean 130'!A67,DATEVALUE('Procyclean 130'!A67)),"")</f>
        <v/>
      </c>
      <c r="AC1066" t="str">
        <f>IF(AA1066="","",'Procyclean 130'!B67)</f>
        <v/>
      </c>
      <c r="AD1066" t="str">
        <f>IF(AA1066="","",IFERROR(1*'Procyclean 130'!C67,IFERROR(_xludf.NUMBERVALUE('Procyclean 130'!C67,".",","),IFERROR(_xludf.NUMBERVALUE('Procyclean 130'!C67,",","."),0))))</f>
        <v/>
      </c>
      <c r="AE1066" t="str">
        <f>IF(AA1066="","",'Procyclean 130'!J67)</f>
        <v/>
      </c>
      <c r="AF1066">
        <f t="shared" si="113"/>
        <v>0</v>
      </c>
      <c r="AG1066" t="str">
        <f t="shared" si="114"/>
        <v/>
      </c>
      <c r="AH1066" t="str">
        <f t="shared" si="115"/>
        <v/>
      </c>
      <c r="AI1066">
        <f t="shared" si="116"/>
        <v>0</v>
      </c>
      <c r="AJ1066">
        <f t="shared" si="117"/>
        <v>0</v>
      </c>
      <c r="AK1066">
        <v>0</v>
      </c>
      <c r="AL1066" t="str">
        <f>IF(AA1066="","",IFERROR(IF(ISNUMBER('Procyclean 130'!D67),'Procyclean 130'!D67,IF(ISNUMBER(SEARCH("12",'Procyclean 130'!D67)),EDATE(AB1066,12),IF(ISNUMBER(SEARCH("6",'Procyclean 130'!D67)),EDATE(AB1066,6),IF(ISNUMBER(SEARCH("3",'Procyclean 130'!D67)),EDATE(AB1066,3),DATEVALUE('Procyclean 130'!D67))))),""))</f>
        <v/>
      </c>
      <c r="AM1066" t="str">
        <f t="shared" ca="1" si="118"/>
        <v/>
      </c>
    </row>
    <row r="1067" spans="27:39" x14ac:dyDescent="0.3">
      <c r="AA1067" t="str">
        <f>IF(COUNTA('Procyclean 130'!A68,'Procyclean 130'!B68,'Procyclean 130'!C68)&gt;0,"130","")</f>
        <v/>
      </c>
      <c r="AB1067" t="str">
        <f>IFERROR(IF(ISNUMBER('Procyclean 130'!A68),'Procyclean 130'!A68,DATEVALUE('Procyclean 130'!A68)),"")</f>
        <v/>
      </c>
      <c r="AC1067" t="str">
        <f>IF(AA1067="","",'Procyclean 130'!B68)</f>
        <v/>
      </c>
      <c r="AD1067" t="str">
        <f>IF(AA1067="","",IFERROR(1*'Procyclean 130'!C68,IFERROR(_xludf.NUMBERVALUE('Procyclean 130'!C68,".",","),IFERROR(_xludf.NUMBERVALUE('Procyclean 130'!C68,",","."),0))))</f>
        <v/>
      </c>
      <c r="AE1067" t="str">
        <f>IF(AA1067="","",'Procyclean 130'!J68)</f>
        <v/>
      </c>
      <c r="AF1067">
        <f t="shared" si="113"/>
        <v>0</v>
      </c>
      <c r="AG1067" t="str">
        <f t="shared" si="114"/>
        <v/>
      </c>
      <c r="AH1067" t="str">
        <f t="shared" si="115"/>
        <v/>
      </c>
      <c r="AI1067">
        <f t="shared" si="116"/>
        <v>0</v>
      </c>
      <c r="AJ1067">
        <f t="shared" si="117"/>
        <v>0</v>
      </c>
      <c r="AK1067">
        <v>0</v>
      </c>
      <c r="AL1067" t="str">
        <f>IF(AA1067="","",IFERROR(IF(ISNUMBER('Procyclean 130'!D68),'Procyclean 130'!D68,IF(ISNUMBER(SEARCH("12",'Procyclean 130'!D68)),EDATE(AB1067,12),IF(ISNUMBER(SEARCH("6",'Procyclean 130'!D68)),EDATE(AB1067,6),IF(ISNUMBER(SEARCH("3",'Procyclean 130'!D68)),EDATE(AB1067,3),DATEVALUE('Procyclean 130'!D68))))),""))</f>
        <v/>
      </c>
      <c r="AM1067" t="str">
        <f t="shared" ca="1" si="118"/>
        <v/>
      </c>
    </row>
    <row r="1068" spans="27:39" x14ac:dyDescent="0.3">
      <c r="AA1068" t="str">
        <f>IF(COUNTA('Procyclean 130'!A69,'Procyclean 130'!B69,'Procyclean 130'!C69)&gt;0,"130","")</f>
        <v/>
      </c>
      <c r="AB1068" t="str">
        <f>IFERROR(IF(ISNUMBER('Procyclean 130'!A69),'Procyclean 130'!A69,DATEVALUE('Procyclean 130'!A69)),"")</f>
        <v/>
      </c>
      <c r="AC1068" t="str">
        <f>IF(AA1068="","",'Procyclean 130'!B69)</f>
        <v/>
      </c>
      <c r="AD1068" t="str">
        <f>IF(AA1068="","",IFERROR(1*'Procyclean 130'!C69,IFERROR(_xludf.NUMBERVALUE('Procyclean 130'!C69,".",","),IFERROR(_xludf.NUMBERVALUE('Procyclean 130'!C69,",","."),0))))</f>
        <v/>
      </c>
      <c r="AE1068" t="str">
        <f>IF(AA1068="","",'Procyclean 130'!J69)</f>
        <v/>
      </c>
      <c r="AF1068">
        <f t="shared" si="113"/>
        <v>0</v>
      </c>
      <c r="AG1068" t="str">
        <f t="shared" si="114"/>
        <v/>
      </c>
      <c r="AH1068" t="str">
        <f t="shared" si="115"/>
        <v/>
      </c>
      <c r="AI1068">
        <f t="shared" si="116"/>
        <v>0</v>
      </c>
      <c r="AJ1068">
        <f t="shared" si="117"/>
        <v>0</v>
      </c>
      <c r="AK1068">
        <v>0</v>
      </c>
      <c r="AL1068" t="str">
        <f>IF(AA1068="","",IFERROR(IF(ISNUMBER('Procyclean 130'!D69),'Procyclean 130'!D69,IF(ISNUMBER(SEARCH("12",'Procyclean 130'!D69)),EDATE(AB1068,12),IF(ISNUMBER(SEARCH("6",'Procyclean 130'!D69)),EDATE(AB1068,6),IF(ISNUMBER(SEARCH("3",'Procyclean 130'!D69)),EDATE(AB1068,3),DATEVALUE('Procyclean 130'!D69))))),""))</f>
        <v/>
      </c>
      <c r="AM1068" t="str">
        <f t="shared" ca="1" si="118"/>
        <v/>
      </c>
    </row>
    <row r="1069" spans="27:39" x14ac:dyDescent="0.3">
      <c r="AA1069" t="str">
        <f>IF(COUNTA('Procyclean 130'!A70,'Procyclean 130'!B70,'Procyclean 130'!C70)&gt;0,"130","")</f>
        <v/>
      </c>
      <c r="AB1069" t="str">
        <f>IFERROR(IF(ISNUMBER('Procyclean 130'!A70),'Procyclean 130'!A70,DATEVALUE('Procyclean 130'!A70)),"")</f>
        <v/>
      </c>
      <c r="AC1069" t="str">
        <f>IF(AA1069="","",'Procyclean 130'!B70)</f>
        <v/>
      </c>
      <c r="AD1069" t="str">
        <f>IF(AA1069="","",IFERROR(1*'Procyclean 130'!C70,IFERROR(_xludf.NUMBERVALUE('Procyclean 130'!C70,".",","),IFERROR(_xludf.NUMBERVALUE('Procyclean 130'!C70,",","."),0))))</f>
        <v/>
      </c>
      <c r="AE1069" t="str">
        <f>IF(AA1069="","",'Procyclean 130'!J70)</f>
        <v/>
      </c>
      <c r="AF1069">
        <f t="shared" si="113"/>
        <v>0</v>
      </c>
      <c r="AG1069" t="str">
        <f t="shared" si="114"/>
        <v/>
      </c>
      <c r="AH1069" t="str">
        <f t="shared" si="115"/>
        <v/>
      </c>
      <c r="AI1069">
        <f t="shared" si="116"/>
        <v>0</v>
      </c>
      <c r="AJ1069">
        <f t="shared" si="117"/>
        <v>0</v>
      </c>
      <c r="AK1069">
        <v>0</v>
      </c>
      <c r="AL1069" t="str">
        <f>IF(AA1069="","",IFERROR(IF(ISNUMBER('Procyclean 130'!D70),'Procyclean 130'!D70,IF(ISNUMBER(SEARCH("12",'Procyclean 130'!D70)),EDATE(AB1069,12),IF(ISNUMBER(SEARCH("6",'Procyclean 130'!D70)),EDATE(AB1069,6),IF(ISNUMBER(SEARCH("3",'Procyclean 130'!D70)),EDATE(AB1069,3),DATEVALUE('Procyclean 130'!D70))))),""))</f>
        <v/>
      </c>
      <c r="AM1069" t="str">
        <f t="shared" ca="1" si="118"/>
        <v/>
      </c>
    </row>
    <row r="1070" spans="27:39" x14ac:dyDescent="0.3">
      <c r="AA1070" t="str">
        <f>IF(COUNTA('Procyclean 130'!A71,'Procyclean 130'!B71,'Procyclean 130'!C71)&gt;0,"130","")</f>
        <v/>
      </c>
      <c r="AB1070" t="str">
        <f>IFERROR(IF(ISNUMBER('Procyclean 130'!A71),'Procyclean 130'!A71,DATEVALUE('Procyclean 130'!A71)),"")</f>
        <v/>
      </c>
      <c r="AC1070" t="str">
        <f>IF(AA1070="","",'Procyclean 130'!B71)</f>
        <v/>
      </c>
      <c r="AD1070" t="str">
        <f>IF(AA1070="","",IFERROR(1*'Procyclean 130'!C71,IFERROR(_xludf.NUMBERVALUE('Procyclean 130'!C71,".",","),IFERROR(_xludf.NUMBERVALUE('Procyclean 130'!C71,",","."),0))))</f>
        <v/>
      </c>
      <c r="AE1070" t="str">
        <f>IF(AA1070="","",'Procyclean 130'!J71)</f>
        <v/>
      </c>
      <c r="AF1070">
        <f t="shared" si="113"/>
        <v>0</v>
      </c>
      <c r="AG1070" t="str">
        <f t="shared" si="114"/>
        <v/>
      </c>
      <c r="AH1070" t="str">
        <f t="shared" si="115"/>
        <v/>
      </c>
      <c r="AI1070">
        <f t="shared" si="116"/>
        <v>0</v>
      </c>
      <c r="AJ1070">
        <f t="shared" si="117"/>
        <v>0</v>
      </c>
      <c r="AK1070">
        <v>0</v>
      </c>
      <c r="AL1070" t="str">
        <f>IF(AA1070="","",IFERROR(IF(ISNUMBER('Procyclean 130'!D71),'Procyclean 130'!D71,IF(ISNUMBER(SEARCH("12",'Procyclean 130'!D71)),EDATE(AB1070,12),IF(ISNUMBER(SEARCH("6",'Procyclean 130'!D71)),EDATE(AB1070,6),IF(ISNUMBER(SEARCH("3",'Procyclean 130'!D71)),EDATE(AB1070,3),DATEVALUE('Procyclean 130'!D71))))),""))</f>
        <v/>
      </c>
      <c r="AM1070" t="str">
        <f t="shared" ca="1" si="118"/>
        <v/>
      </c>
    </row>
    <row r="1071" spans="27:39" x14ac:dyDescent="0.3">
      <c r="AA1071" t="str">
        <f>IF(COUNTA('Procyclean 130'!A72,'Procyclean 130'!B72,'Procyclean 130'!C72)&gt;0,"130","")</f>
        <v/>
      </c>
      <c r="AB1071" t="str">
        <f>IFERROR(IF(ISNUMBER('Procyclean 130'!A72),'Procyclean 130'!A72,DATEVALUE('Procyclean 130'!A72)),"")</f>
        <v/>
      </c>
      <c r="AC1071" t="str">
        <f>IF(AA1071="","",'Procyclean 130'!B72)</f>
        <v/>
      </c>
      <c r="AD1071" t="str">
        <f>IF(AA1071="","",IFERROR(1*'Procyclean 130'!C72,IFERROR(_xludf.NUMBERVALUE('Procyclean 130'!C72,".",","),IFERROR(_xludf.NUMBERVALUE('Procyclean 130'!C72,",","."),0))))</f>
        <v/>
      </c>
      <c r="AE1071" t="str">
        <f>IF(AA1071="","",'Procyclean 130'!J72)</f>
        <v/>
      </c>
      <c r="AF1071">
        <f t="shared" si="113"/>
        <v>0</v>
      </c>
      <c r="AG1071" t="str">
        <f t="shared" si="114"/>
        <v/>
      </c>
      <c r="AH1071" t="str">
        <f t="shared" si="115"/>
        <v/>
      </c>
      <c r="AI1071">
        <f t="shared" si="116"/>
        <v>0</v>
      </c>
      <c r="AJ1071">
        <f t="shared" si="117"/>
        <v>0</v>
      </c>
      <c r="AK1071">
        <v>0</v>
      </c>
      <c r="AL1071" t="str">
        <f>IF(AA1071="","",IFERROR(IF(ISNUMBER('Procyclean 130'!D72),'Procyclean 130'!D72,IF(ISNUMBER(SEARCH("12",'Procyclean 130'!D72)),EDATE(AB1071,12),IF(ISNUMBER(SEARCH("6",'Procyclean 130'!D72)),EDATE(AB1071,6),IF(ISNUMBER(SEARCH("3",'Procyclean 130'!D72)),EDATE(AB1071,3),DATEVALUE('Procyclean 130'!D72))))),""))</f>
        <v/>
      </c>
      <c r="AM1071" t="str">
        <f t="shared" ca="1" si="118"/>
        <v/>
      </c>
    </row>
    <row r="1072" spans="27:39" x14ac:dyDescent="0.3">
      <c r="AA1072" t="str">
        <f>IF(COUNTA('Procyclean 130'!A73,'Procyclean 130'!B73,'Procyclean 130'!C73)&gt;0,"130","")</f>
        <v/>
      </c>
      <c r="AB1072" t="str">
        <f>IFERROR(IF(ISNUMBER('Procyclean 130'!A73),'Procyclean 130'!A73,DATEVALUE('Procyclean 130'!A73)),"")</f>
        <v/>
      </c>
      <c r="AC1072" t="str">
        <f>IF(AA1072="","",'Procyclean 130'!B73)</f>
        <v/>
      </c>
      <c r="AD1072" t="str">
        <f>IF(AA1072="","",IFERROR(1*'Procyclean 130'!C73,IFERROR(_xludf.NUMBERVALUE('Procyclean 130'!C73,".",","),IFERROR(_xludf.NUMBERVALUE('Procyclean 130'!C73,",","."),0))))</f>
        <v/>
      </c>
      <c r="AE1072" t="str">
        <f>IF(AA1072="","",'Procyclean 130'!J73)</f>
        <v/>
      </c>
      <c r="AF1072">
        <f t="shared" si="113"/>
        <v>0</v>
      </c>
      <c r="AG1072" t="str">
        <f t="shared" si="114"/>
        <v/>
      </c>
      <c r="AH1072" t="str">
        <f t="shared" si="115"/>
        <v/>
      </c>
      <c r="AI1072">
        <f t="shared" si="116"/>
        <v>0</v>
      </c>
      <c r="AJ1072">
        <f t="shared" si="117"/>
        <v>0</v>
      </c>
      <c r="AK1072">
        <v>0</v>
      </c>
      <c r="AL1072" t="str">
        <f>IF(AA1072="","",IFERROR(IF(ISNUMBER('Procyclean 130'!D73),'Procyclean 130'!D73,IF(ISNUMBER(SEARCH("12",'Procyclean 130'!D73)),EDATE(AB1072,12),IF(ISNUMBER(SEARCH("6",'Procyclean 130'!D73)),EDATE(AB1072,6),IF(ISNUMBER(SEARCH("3",'Procyclean 130'!D73)),EDATE(AB1072,3),DATEVALUE('Procyclean 130'!D73))))),""))</f>
        <v/>
      </c>
      <c r="AM1072" t="str">
        <f t="shared" ca="1" si="118"/>
        <v/>
      </c>
    </row>
    <row r="1073" spans="27:39" x14ac:dyDescent="0.3">
      <c r="AA1073" t="str">
        <f>IF(COUNTA('Procyclean 130'!A74,'Procyclean 130'!B74,'Procyclean 130'!C74)&gt;0,"130","")</f>
        <v/>
      </c>
      <c r="AB1073" t="str">
        <f>IFERROR(IF(ISNUMBER('Procyclean 130'!A74),'Procyclean 130'!A74,DATEVALUE('Procyclean 130'!A74)),"")</f>
        <v/>
      </c>
      <c r="AC1073" t="str">
        <f>IF(AA1073="","",'Procyclean 130'!B74)</f>
        <v/>
      </c>
      <c r="AD1073" t="str">
        <f>IF(AA1073="","",IFERROR(1*'Procyclean 130'!C74,IFERROR(_xludf.NUMBERVALUE('Procyclean 130'!C74,".",","),IFERROR(_xludf.NUMBERVALUE('Procyclean 130'!C74,",","."),0))))</f>
        <v/>
      </c>
      <c r="AE1073" t="str">
        <f>IF(AA1073="","",'Procyclean 130'!J74)</f>
        <v/>
      </c>
      <c r="AF1073">
        <f t="shared" si="113"/>
        <v>0</v>
      </c>
      <c r="AG1073" t="str">
        <f t="shared" si="114"/>
        <v/>
      </c>
      <c r="AH1073" t="str">
        <f t="shared" si="115"/>
        <v/>
      </c>
      <c r="AI1073">
        <f t="shared" si="116"/>
        <v>0</v>
      </c>
      <c r="AJ1073">
        <f t="shared" si="117"/>
        <v>0</v>
      </c>
      <c r="AK1073">
        <v>0</v>
      </c>
      <c r="AL1073" t="str">
        <f>IF(AA1073="","",IFERROR(IF(ISNUMBER('Procyclean 130'!D74),'Procyclean 130'!D74,IF(ISNUMBER(SEARCH("12",'Procyclean 130'!D74)),EDATE(AB1073,12),IF(ISNUMBER(SEARCH("6",'Procyclean 130'!D74)),EDATE(AB1073,6),IF(ISNUMBER(SEARCH("3",'Procyclean 130'!D74)),EDATE(AB1073,3),DATEVALUE('Procyclean 130'!D74))))),""))</f>
        <v/>
      </c>
      <c r="AM1073" t="str">
        <f t="shared" ca="1" si="118"/>
        <v/>
      </c>
    </row>
    <row r="1074" spans="27:39" x14ac:dyDescent="0.3">
      <c r="AA1074" t="str">
        <f>IF(COUNTA('Procyclean 130'!A75,'Procyclean 130'!B75,'Procyclean 130'!C75)&gt;0,"130","")</f>
        <v/>
      </c>
      <c r="AB1074" t="str">
        <f>IFERROR(IF(ISNUMBER('Procyclean 130'!A75),'Procyclean 130'!A75,DATEVALUE('Procyclean 130'!A75)),"")</f>
        <v/>
      </c>
      <c r="AC1074" t="str">
        <f>IF(AA1074="","",'Procyclean 130'!B75)</f>
        <v/>
      </c>
      <c r="AD1074" t="str">
        <f>IF(AA1074="","",IFERROR(1*'Procyclean 130'!C75,IFERROR(_xludf.NUMBERVALUE('Procyclean 130'!C75,".",","),IFERROR(_xludf.NUMBERVALUE('Procyclean 130'!C75,",","."),0))))</f>
        <v/>
      </c>
      <c r="AE1074" t="str">
        <f>IF(AA1074="","",'Procyclean 130'!J75)</f>
        <v/>
      </c>
      <c r="AF1074">
        <f t="shared" si="113"/>
        <v>0</v>
      </c>
      <c r="AG1074" t="str">
        <f t="shared" si="114"/>
        <v/>
      </c>
      <c r="AH1074" t="str">
        <f t="shared" si="115"/>
        <v/>
      </c>
      <c r="AI1074">
        <f t="shared" si="116"/>
        <v>0</v>
      </c>
      <c r="AJ1074">
        <f t="shared" si="117"/>
        <v>0</v>
      </c>
      <c r="AK1074">
        <v>0</v>
      </c>
      <c r="AL1074" t="str">
        <f>IF(AA1074="","",IFERROR(IF(ISNUMBER('Procyclean 130'!D75),'Procyclean 130'!D75,IF(ISNUMBER(SEARCH("12",'Procyclean 130'!D75)),EDATE(AB1074,12),IF(ISNUMBER(SEARCH("6",'Procyclean 130'!D75)),EDATE(AB1074,6),IF(ISNUMBER(SEARCH("3",'Procyclean 130'!D75)),EDATE(AB1074,3),DATEVALUE('Procyclean 130'!D75))))),""))</f>
        <v/>
      </c>
      <c r="AM1074" t="str">
        <f t="shared" ca="1" si="118"/>
        <v/>
      </c>
    </row>
    <row r="1075" spans="27:39" x14ac:dyDescent="0.3">
      <c r="AA1075" t="str">
        <f>IF(COUNTA('Procyclean 130'!A76,'Procyclean 130'!B76,'Procyclean 130'!C76)&gt;0,"130","")</f>
        <v/>
      </c>
      <c r="AB1075" t="str">
        <f>IFERROR(IF(ISNUMBER('Procyclean 130'!A76),'Procyclean 130'!A76,DATEVALUE('Procyclean 130'!A76)),"")</f>
        <v/>
      </c>
      <c r="AC1075" t="str">
        <f>IF(AA1075="","",'Procyclean 130'!B76)</f>
        <v/>
      </c>
      <c r="AD1075" t="str">
        <f>IF(AA1075="","",IFERROR(1*'Procyclean 130'!C76,IFERROR(_xludf.NUMBERVALUE('Procyclean 130'!C76,".",","),IFERROR(_xludf.NUMBERVALUE('Procyclean 130'!C76,",","."),0))))</f>
        <v/>
      </c>
      <c r="AE1075" t="str">
        <f>IF(AA1075="","",'Procyclean 130'!J76)</f>
        <v/>
      </c>
      <c r="AF1075">
        <f t="shared" si="113"/>
        <v>0</v>
      </c>
      <c r="AG1075" t="str">
        <f t="shared" si="114"/>
        <v/>
      </c>
      <c r="AH1075" t="str">
        <f t="shared" si="115"/>
        <v/>
      </c>
      <c r="AI1075">
        <f t="shared" si="116"/>
        <v>0</v>
      </c>
      <c r="AJ1075">
        <f t="shared" si="117"/>
        <v>0</v>
      </c>
      <c r="AK1075">
        <v>0</v>
      </c>
      <c r="AL1075" t="str">
        <f>IF(AA1075="","",IFERROR(IF(ISNUMBER('Procyclean 130'!D76),'Procyclean 130'!D76,IF(ISNUMBER(SEARCH("12",'Procyclean 130'!D76)),EDATE(AB1075,12),IF(ISNUMBER(SEARCH("6",'Procyclean 130'!D76)),EDATE(AB1075,6),IF(ISNUMBER(SEARCH("3",'Procyclean 130'!D76)),EDATE(AB1075,3),DATEVALUE('Procyclean 130'!D76))))),""))</f>
        <v/>
      </c>
      <c r="AM1075" t="str">
        <f t="shared" ca="1" si="118"/>
        <v/>
      </c>
    </row>
    <row r="1076" spans="27:39" x14ac:dyDescent="0.3">
      <c r="AA1076" t="str">
        <f>IF(COUNTA('Procyclean 130'!A77,'Procyclean 130'!B77,'Procyclean 130'!C77)&gt;0,"130","")</f>
        <v/>
      </c>
      <c r="AB1076" t="str">
        <f>IFERROR(IF(ISNUMBER('Procyclean 130'!A77),'Procyclean 130'!A77,DATEVALUE('Procyclean 130'!A77)),"")</f>
        <v/>
      </c>
      <c r="AC1076" t="str">
        <f>IF(AA1076="","",'Procyclean 130'!B77)</f>
        <v/>
      </c>
      <c r="AD1076" t="str">
        <f>IF(AA1076="","",IFERROR(1*'Procyclean 130'!C77,IFERROR(_xludf.NUMBERVALUE('Procyclean 130'!C77,".",","),IFERROR(_xludf.NUMBERVALUE('Procyclean 130'!C77,",","."),0))))</f>
        <v/>
      </c>
      <c r="AE1076" t="str">
        <f>IF(AA1076="","",'Procyclean 130'!J77)</f>
        <v/>
      </c>
      <c r="AF1076">
        <f t="shared" si="113"/>
        <v>0</v>
      </c>
      <c r="AG1076" t="str">
        <f t="shared" si="114"/>
        <v/>
      </c>
      <c r="AH1076" t="str">
        <f t="shared" si="115"/>
        <v/>
      </c>
      <c r="AI1076">
        <f t="shared" si="116"/>
        <v>0</v>
      </c>
      <c r="AJ1076">
        <f t="shared" si="117"/>
        <v>0</v>
      </c>
      <c r="AK1076">
        <v>0</v>
      </c>
      <c r="AL1076" t="str">
        <f>IF(AA1076="","",IFERROR(IF(ISNUMBER('Procyclean 130'!D77),'Procyclean 130'!D77,IF(ISNUMBER(SEARCH("12",'Procyclean 130'!D77)),EDATE(AB1076,12),IF(ISNUMBER(SEARCH("6",'Procyclean 130'!D77)),EDATE(AB1076,6),IF(ISNUMBER(SEARCH("3",'Procyclean 130'!D77)),EDATE(AB1076,3),DATEVALUE('Procyclean 130'!D77))))),""))</f>
        <v/>
      </c>
      <c r="AM1076" t="str">
        <f t="shared" ca="1" si="118"/>
        <v/>
      </c>
    </row>
    <row r="1077" spans="27:39" x14ac:dyDescent="0.3">
      <c r="AA1077" t="str">
        <f>IF(COUNTA('Procyclean 130'!A78,'Procyclean 130'!B78,'Procyclean 130'!C78)&gt;0,"130","")</f>
        <v/>
      </c>
      <c r="AB1077" t="str">
        <f>IFERROR(IF(ISNUMBER('Procyclean 130'!A78),'Procyclean 130'!A78,DATEVALUE('Procyclean 130'!A78)),"")</f>
        <v/>
      </c>
      <c r="AC1077" t="str">
        <f>IF(AA1077="","",'Procyclean 130'!B78)</f>
        <v/>
      </c>
      <c r="AD1077" t="str">
        <f>IF(AA1077="","",IFERROR(1*'Procyclean 130'!C78,IFERROR(_xludf.NUMBERVALUE('Procyclean 130'!C78,".",","),IFERROR(_xludf.NUMBERVALUE('Procyclean 130'!C78,",","."),0))))</f>
        <v/>
      </c>
      <c r="AE1077" t="str">
        <f>IF(AA1077="","",'Procyclean 130'!J78)</f>
        <v/>
      </c>
      <c r="AF1077">
        <f t="shared" si="113"/>
        <v>0</v>
      </c>
      <c r="AG1077" t="str">
        <f t="shared" si="114"/>
        <v/>
      </c>
      <c r="AH1077" t="str">
        <f t="shared" si="115"/>
        <v/>
      </c>
      <c r="AI1077">
        <f t="shared" si="116"/>
        <v>0</v>
      </c>
      <c r="AJ1077">
        <f t="shared" si="117"/>
        <v>0</v>
      </c>
      <c r="AK1077">
        <v>0</v>
      </c>
      <c r="AL1077" t="str">
        <f>IF(AA1077="","",IFERROR(IF(ISNUMBER('Procyclean 130'!D78),'Procyclean 130'!D78,IF(ISNUMBER(SEARCH("12",'Procyclean 130'!D78)),EDATE(AB1077,12),IF(ISNUMBER(SEARCH("6",'Procyclean 130'!D78)),EDATE(AB1077,6),IF(ISNUMBER(SEARCH("3",'Procyclean 130'!D78)),EDATE(AB1077,3),DATEVALUE('Procyclean 130'!D78))))),""))</f>
        <v/>
      </c>
      <c r="AM1077" t="str">
        <f t="shared" ca="1" si="118"/>
        <v/>
      </c>
    </row>
    <row r="1078" spans="27:39" x14ac:dyDescent="0.3">
      <c r="AA1078" t="str">
        <f>IF(COUNTA('Procyclean 130'!A79,'Procyclean 130'!B79,'Procyclean 130'!C79)&gt;0,"130","")</f>
        <v/>
      </c>
      <c r="AB1078" t="str">
        <f>IFERROR(IF(ISNUMBER('Procyclean 130'!A79),'Procyclean 130'!A79,DATEVALUE('Procyclean 130'!A79)),"")</f>
        <v/>
      </c>
      <c r="AC1078" t="str">
        <f>IF(AA1078="","",'Procyclean 130'!B79)</f>
        <v/>
      </c>
      <c r="AD1078" t="str">
        <f>IF(AA1078="","",IFERROR(1*'Procyclean 130'!C79,IFERROR(_xludf.NUMBERVALUE('Procyclean 130'!C79,".",","),IFERROR(_xludf.NUMBERVALUE('Procyclean 130'!C79,",","."),0))))</f>
        <v/>
      </c>
      <c r="AE1078" t="str">
        <f>IF(AA1078="","",'Procyclean 130'!J79)</f>
        <v/>
      </c>
      <c r="AF1078">
        <f t="shared" si="113"/>
        <v>0</v>
      </c>
      <c r="AG1078" t="str">
        <f t="shared" si="114"/>
        <v/>
      </c>
      <c r="AH1078" t="str">
        <f t="shared" si="115"/>
        <v/>
      </c>
      <c r="AI1078">
        <f t="shared" si="116"/>
        <v>0</v>
      </c>
      <c r="AJ1078">
        <f t="shared" si="117"/>
        <v>0</v>
      </c>
      <c r="AK1078">
        <v>0</v>
      </c>
      <c r="AL1078" t="str">
        <f>IF(AA1078="","",IFERROR(IF(ISNUMBER('Procyclean 130'!D79),'Procyclean 130'!D79,IF(ISNUMBER(SEARCH("12",'Procyclean 130'!D79)),EDATE(AB1078,12),IF(ISNUMBER(SEARCH("6",'Procyclean 130'!D79)),EDATE(AB1078,6),IF(ISNUMBER(SEARCH("3",'Procyclean 130'!D79)),EDATE(AB1078,3),DATEVALUE('Procyclean 130'!D79))))),""))</f>
        <v/>
      </c>
      <c r="AM1078" t="str">
        <f t="shared" ca="1" si="118"/>
        <v/>
      </c>
    </row>
    <row r="1079" spans="27:39" x14ac:dyDescent="0.3">
      <c r="AA1079" t="str">
        <f>IF(COUNTA('Procyclean 130'!A80,'Procyclean 130'!B80,'Procyclean 130'!C80)&gt;0,"130","")</f>
        <v/>
      </c>
      <c r="AB1079" t="str">
        <f>IFERROR(IF(ISNUMBER('Procyclean 130'!A80),'Procyclean 130'!A80,DATEVALUE('Procyclean 130'!A80)),"")</f>
        <v/>
      </c>
      <c r="AC1079" t="str">
        <f>IF(AA1079="","",'Procyclean 130'!B80)</f>
        <v/>
      </c>
      <c r="AD1079" t="str">
        <f>IF(AA1079="","",IFERROR(1*'Procyclean 130'!C80,IFERROR(_xludf.NUMBERVALUE('Procyclean 130'!C80,".",","),IFERROR(_xludf.NUMBERVALUE('Procyclean 130'!C80,",","."),0))))</f>
        <v/>
      </c>
      <c r="AE1079" t="str">
        <f>IF(AA1079="","",'Procyclean 130'!J80)</f>
        <v/>
      </c>
      <c r="AF1079">
        <f t="shared" si="113"/>
        <v>0</v>
      </c>
      <c r="AG1079" t="str">
        <f t="shared" si="114"/>
        <v/>
      </c>
      <c r="AH1079" t="str">
        <f t="shared" si="115"/>
        <v/>
      </c>
      <c r="AI1079">
        <f t="shared" si="116"/>
        <v>0</v>
      </c>
      <c r="AJ1079">
        <f t="shared" si="117"/>
        <v>0</v>
      </c>
      <c r="AK1079">
        <v>0</v>
      </c>
      <c r="AL1079" t="str">
        <f>IF(AA1079="","",IFERROR(IF(ISNUMBER('Procyclean 130'!D80),'Procyclean 130'!D80,IF(ISNUMBER(SEARCH("12",'Procyclean 130'!D80)),EDATE(AB1079,12),IF(ISNUMBER(SEARCH("6",'Procyclean 130'!D80)),EDATE(AB1079,6),IF(ISNUMBER(SEARCH("3",'Procyclean 130'!D80)),EDATE(AB1079,3),DATEVALUE('Procyclean 130'!D80))))),""))</f>
        <v/>
      </c>
      <c r="AM1079" t="str">
        <f t="shared" ca="1" si="118"/>
        <v/>
      </c>
    </row>
    <row r="1080" spans="27:39" x14ac:dyDescent="0.3">
      <c r="AA1080" t="str">
        <f>IF(COUNTA('Procyclean 130'!A81,'Procyclean 130'!B81,'Procyclean 130'!C81)&gt;0,"130","")</f>
        <v/>
      </c>
      <c r="AB1080" t="str">
        <f>IFERROR(IF(ISNUMBER('Procyclean 130'!A81),'Procyclean 130'!A81,DATEVALUE('Procyclean 130'!A81)),"")</f>
        <v/>
      </c>
      <c r="AC1080" t="str">
        <f>IF(AA1080="","",'Procyclean 130'!B81)</f>
        <v/>
      </c>
      <c r="AD1080" t="str">
        <f>IF(AA1080="","",IFERROR(1*'Procyclean 130'!C81,IFERROR(_xludf.NUMBERVALUE('Procyclean 130'!C81,".",","),IFERROR(_xludf.NUMBERVALUE('Procyclean 130'!C81,",","."),0))))</f>
        <v/>
      </c>
      <c r="AE1080" t="str">
        <f>IF(AA1080="","",'Procyclean 130'!J81)</f>
        <v/>
      </c>
      <c r="AF1080">
        <f t="shared" si="113"/>
        <v>0</v>
      </c>
      <c r="AG1080" t="str">
        <f t="shared" si="114"/>
        <v/>
      </c>
      <c r="AH1080" t="str">
        <f t="shared" si="115"/>
        <v/>
      </c>
      <c r="AI1080">
        <f t="shared" si="116"/>
        <v>0</v>
      </c>
      <c r="AJ1080">
        <f t="shared" si="117"/>
        <v>0</v>
      </c>
      <c r="AK1080">
        <v>0</v>
      </c>
      <c r="AL1080" t="str">
        <f>IF(AA1080="","",IFERROR(IF(ISNUMBER('Procyclean 130'!D81),'Procyclean 130'!D81,IF(ISNUMBER(SEARCH("12",'Procyclean 130'!D81)),EDATE(AB1080,12),IF(ISNUMBER(SEARCH("6",'Procyclean 130'!D81)),EDATE(AB1080,6),IF(ISNUMBER(SEARCH("3",'Procyclean 130'!D81)),EDATE(AB1080,3),DATEVALUE('Procyclean 130'!D81))))),""))</f>
        <v/>
      </c>
      <c r="AM1080" t="str">
        <f t="shared" ca="1" si="118"/>
        <v/>
      </c>
    </row>
    <row r="1081" spans="27:39" x14ac:dyDescent="0.3">
      <c r="AA1081" t="str">
        <f>IF(COUNTA('Procyclean 130'!A82,'Procyclean 130'!B82,'Procyclean 130'!C82)&gt;0,"130","")</f>
        <v/>
      </c>
      <c r="AB1081" t="str">
        <f>IFERROR(IF(ISNUMBER('Procyclean 130'!A82),'Procyclean 130'!A82,DATEVALUE('Procyclean 130'!A82)),"")</f>
        <v/>
      </c>
      <c r="AC1081" t="str">
        <f>IF(AA1081="","",'Procyclean 130'!B82)</f>
        <v/>
      </c>
      <c r="AD1081" t="str">
        <f>IF(AA1081="","",IFERROR(1*'Procyclean 130'!C82,IFERROR(_xludf.NUMBERVALUE('Procyclean 130'!C82,".",","),IFERROR(_xludf.NUMBERVALUE('Procyclean 130'!C82,",","."),0))))</f>
        <v/>
      </c>
      <c r="AE1081" t="str">
        <f>IF(AA1081="","",'Procyclean 130'!J82)</f>
        <v/>
      </c>
      <c r="AF1081">
        <f t="shared" si="113"/>
        <v>0</v>
      </c>
      <c r="AG1081" t="str">
        <f t="shared" si="114"/>
        <v/>
      </c>
      <c r="AH1081" t="str">
        <f t="shared" si="115"/>
        <v/>
      </c>
      <c r="AI1081">
        <f t="shared" si="116"/>
        <v>0</v>
      </c>
      <c r="AJ1081">
        <f t="shared" si="117"/>
        <v>0</v>
      </c>
      <c r="AK1081">
        <v>0</v>
      </c>
      <c r="AL1081" t="str">
        <f>IF(AA1081="","",IFERROR(IF(ISNUMBER('Procyclean 130'!D82),'Procyclean 130'!D82,IF(ISNUMBER(SEARCH("12",'Procyclean 130'!D82)),EDATE(AB1081,12),IF(ISNUMBER(SEARCH("6",'Procyclean 130'!D82)),EDATE(AB1081,6),IF(ISNUMBER(SEARCH("3",'Procyclean 130'!D82)),EDATE(AB1081,3),DATEVALUE('Procyclean 130'!D82))))),""))</f>
        <v/>
      </c>
      <c r="AM1081" t="str">
        <f t="shared" ca="1" si="118"/>
        <v/>
      </c>
    </row>
    <row r="1082" spans="27:39" x14ac:dyDescent="0.3">
      <c r="AA1082" t="str">
        <f>IF(COUNTA('Procyclean 130'!A83,'Procyclean 130'!B83,'Procyclean 130'!C83)&gt;0,"130","")</f>
        <v/>
      </c>
      <c r="AB1082" t="str">
        <f>IFERROR(IF(ISNUMBER('Procyclean 130'!A83),'Procyclean 130'!A83,DATEVALUE('Procyclean 130'!A83)),"")</f>
        <v/>
      </c>
      <c r="AC1082" t="str">
        <f>IF(AA1082="","",'Procyclean 130'!B83)</f>
        <v/>
      </c>
      <c r="AD1082" t="str">
        <f>IF(AA1082="","",IFERROR(1*'Procyclean 130'!C83,IFERROR(_xludf.NUMBERVALUE('Procyclean 130'!C83,".",","),IFERROR(_xludf.NUMBERVALUE('Procyclean 130'!C83,",","."),0))))</f>
        <v/>
      </c>
      <c r="AE1082" t="str">
        <f>IF(AA1082="","",'Procyclean 130'!J83)</f>
        <v/>
      </c>
      <c r="AF1082">
        <f t="shared" si="113"/>
        <v>0</v>
      </c>
      <c r="AG1082" t="str">
        <f t="shared" si="114"/>
        <v/>
      </c>
      <c r="AH1082" t="str">
        <f t="shared" si="115"/>
        <v/>
      </c>
      <c r="AI1082">
        <f t="shared" si="116"/>
        <v>0</v>
      </c>
      <c r="AJ1082">
        <f t="shared" si="117"/>
        <v>0</v>
      </c>
      <c r="AK1082">
        <v>0</v>
      </c>
      <c r="AL1082" t="str">
        <f>IF(AA1082="","",IFERROR(IF(ISNUMBER('Procyclean 130'!D83),'Procyclean 130'!D83,IF(ISNUMBER(SEARCH("12",'Procyclean 130'!D83)),EDATE(AB1082,12),IF(ISNUMBER(SEARCH("6",'Procyclean 130'!D83)),EDATE(AB1082,6),IF(ISNUMBER(SEARCH("3",'Procyclean 130'!D83)),EDATE(AB1082,3),DATEVALUE('Procyclean 130'!D83))))),""))</f>
        <v/>
      </c>
      <c r="AM1082" t="str">
        <f t="shared" ca="1" si="118"/>
        <v/>
      </c>
    </row>
    <row r="1083" spans="27:39" x14ac:dyDescent="0.3">
      <c r="AA1083" t="str">
        <f>IF(COUNTA('Procyclean 130'!A84,'Procyclean 130'!B84,'Procyclean 130'!C84)&gt;0,"130","")</f>
        <v/>
      </c>
      <c r="AB1083" t="str">
        <f>IFERROR(IF(ISNUMBER('Procyclean 130'!A84),'Procyclean 130'!A84,DATEVALUE('Procyclean 130'!A84)),"")</f>
        <v/>
      </c>
      <c r="AC1083" t="str">
        <f>IF(AA1083="","",'Procyclean 130'!B84)</f>
        <v/>
      </c>
      <c r="AD1083" t="str">
        <f>IF(AA1083="","",IFERROR(1*'Procyclean 130'!C84,IFERROR(_xludf.NUMBERVALUE('Procyclean 130'!C84,".",","),IFERROR(_xludf.NUMBERVALUE('Procyclean 130'!C84,",","."),0))))</f>
        <v/>
      </c>
      <c r="AE1083" t="str">
        <f>IF(AA1083="","",'Procyclean 130'!J84)</f>
        <v/>
      </c>
      <c r="AF1083">
        <f t="shared" si="113"/>
        <v>0</v>
      </c>
      <c r="AG1083" t="str">
        <f t="shared" si="114"/>
        <v/>
      </c>
      <c r="AH1083" t="str">
        <f t="shared" si="115"/>
        <v/>
      </c>
      <c r="AI1083">
        <f t="shared" si="116"/>
        <v>0</v>
      </c>
      <c r="AJ1083">
        <f t="shared" si="117"/>
        <v>0</v>
      </c>
      <c r="AK1083">
        <v>0</v>
      </c>
      <c r="AL1083" t="str">
        <f>IF(AA1083="","",IFERROR(IF(ISNUMBER('Procyclean 130'!D84),'Procyclean 130'!D84,IF(ISNUMBER(SEARCH("12",'Procyclean 130'!D84)),EDATE(AB1083,12),IF(ISNUMBER(SEARCH("6",'Procyclean 130'!D84)),EDATE(AB1083,6),IF(ISNUMBER(SEARCH("3",'Procyclean 130'!D84)),EDATE(AB1083,3),DATEVALUE('Procyclean 130'!D84))))),""))</f>
        <v/>
      </c>
      <c r="AM1083" t="str">
        <f t="shared" ca="1" si="118"/>
        <v/>
      </c>
    </row>
    <row r="1084" spans="27:39" x14ac:dyDescent="0.3">
      <c r="AA1084" t="str">
        <f>IF(COUNTA('Procyclean 130'!A85,'Procyclean 130'!B85,'Procyclean 130'!C85)&gt;0,"130","")</f>
        <v/>
      </c>
      <c r="AB1084" t="str">
        <f>IFERROR(IF(ISNUMBER('Procyclean 130'!A85),'Procyclean 130'!A85,DATEVALUE('Procyclean 130'!A85)),"")</f>
        <v/>
      </c>
      <c r="AC1084" t="str">
        <f>IF(AA1084="","",'Procyclean 130'!B85)</f>
        <v/>
      </c>
      <c r="AD1084" t="str">
        <f>IF(AA1084="","",IFERROR(1*'Procyclean 130'!C85,IFERROR(_xludf.NUMBERVALUE('Procyclean 130'!C85,".",","),IFERROR(_xludf.NUMBERVALUE('Procyclean 130'!C85,",","."),0))))</f>
        <v/>
      </c>
      <c r="AE1084" t="str">
        <f>IF(AA1084="","",'Procyclean 130'!J85)</f>
        <v/>
      </c>
      <c r="AF1084">
        <f t="shared" si="113"/>
        <v>0</v>
      </c>
      <c r="AG1084" t="str">
        <f t="shared" si="114"/>
        <v/>
      </c>
      <c r="AH1084" t="str">
        <f t="shared" si="115"/>
        <v/>
      </c>
      <c r="AI1084">
        <f t="shared" si="116"/>
        <v>0</v>
      </c>
      <c r="AJ1084">
        <f t="shared" si="117"/>
        <v>0</v>
      </c>
      <c r="AK1084">
        <v>0</v>
      </c>
      <c r="AL1084" t="str">
        <f>IF(AA1084="","",IFERROR(IF(ISNUMBER('Procyclean 130'!D85),'Procyclean 130'!D85,IF(ISNUMBER(SEARCH("12",'Procyclean 130'!D85)),EDATE(AB1084,12),IF(ISNUMBER(SEARCH("6",'Procyclean 130'!D85)),EDATE(AB1084,6),IF(ISNUMBER(SEARCH("3",'Procyclean 130'!D85)),EDATE(AB1084,3),DATEVALUE('Procyclean 130'!D85))))),""))</f>
        <v/>
      </c>
      <c r="AM1084" t="str">
        <f t="shared" ca="1" si="118"/>
        <v/>
      </c>
    </row>
    <row r="1085" spans="27:39" x14ac:dyDescent="0.3">
      <c r="AA1085" t="str">
        <f>IF(COUNTA('Procyclean 130'!A86,'Procyclean 130'!B86,'Procyclean 130'!C86)&gt;0,"130","")</f>
        <v/>
      </c>
      <c r="AB1085" t="str">
        <f>IFERROR(IF(ISNUMBER('Procyclean 130'!A86),'Procyclean 130'!A86,DATEVALUE('Procyclean 130'!A86)),"")</f>
        <v/>
      </c>
      <c r="AC1085" t="str">
        <f>IF(AA1085="","",'Procyclean 130'!B86)</f>
        <v/>
      </c>
      <c r="AD1085" t="str">
        <f>IF(AA1085="","",IFERROR(1*'Procyclean 130'!C86,IFERROR(_xludf.NUMBERVALUE('Procyclean 130'!C86,".",","),IFERROR(_xludf.NUMBERVALUE('Procyclean 130'!C86,",","."),0))))</f>
        <v/>
      </c>
      <c r="AE1085" t="str">
        <f>IF(AA1085="","",'Procyclean 130'!J86)</f>
        <v/>
      </c>
      <c r="AF1085">
        <f t="shared" si="113"/>
        <v>0</v>
      </c>
      <c r="AG1085" t="str">
        <f t="shared" si="114"/>
        <v/>
      </c>
      <c r="AH1085" t="str">
        <f t="shared" si="115"/>
        <v/>
      </c>
      <c r="AI1085">
        <f t="shared" si="116"/>
        <v>0</v>
      </c>
      <c r="AJ1085">
        <f t="shared" si="117"/>
        <v>0</v>
      </c>
      <c r="AK1085">
        <v>0</v>
      </c>
      <c r="AL1085" t="str">
        <f>IF(AA1085="","",IFERROR(IF(ISNUMBER('Procyclean 130'!D86),'Procyclean 130'!D86,IF(ISNUMBER(SEARCH("12",'Procyclean 130'!D86)),EDATE(AB1085,12),IF(ISNUMBER(SEARCH("6",'Procyclean 130'!D86)),EDATE(AB1085,6),IF(ISNUMBER(SEARCH("3",'Procyclean 130'!D86)),EDATE(AB1085,3),DATEVALUE('Procyclean 130'!D86))))),""))</f>
        <v/>
      </c>
      <c r="AM1085" t="str">
        <f t="shared" ca="1" si="118"/>
        <v/>
      </c>
    </row>
    <row r="1086" spans="27:39" x14ac:dyDescent="0.3">
      <c r="AA1086" t="str">
        <f>IF(COUNTA('Procyclean 130'!A87,'Procyclean 130'!B87,'Procyclean 130'!C87)&gt;0,"130","")</f>
        <v/>
      </c>
      <c r="AB1086" t="str">
        <f>IFERROR(IF(ISNUMBER('Procyclean 130'!A87),'Procyclean 130'!A87,DATEVALUE('Procyclean 130'!A87)),"")</f>
        <v/>
      </c>
      <c r="AC1086" t="str">
        <f>IF(AA1086="","",'Procyclean 130'!B87)</f>
        <v/>
      </c>
      <c r="AD1086" t="str">
        <f>IF(AA1086="","",IFERROR(1*'Procyclean 130'!C87,IFERROR(_xludf.NUMBERVALUE('Procyclean 130'!C87,".",","),IFERROR(_xludf.NUMBERVALUE('Procyclean 130'!C87,",","."),0))))</f>
        <v/>
      </c>
      <c r="AE1086" t="str">
        <f>IF(AA1086="","",'Procyclean 130'!J87)</f>
        <v/>
      </c>
      <c r="AF1086">
        <f t="shared" si="113"/>
        <v>0</v>
      </c>
      <c r="AG1086" t="str">
        <f t="shared" si="114"/>
        <v/>
      </c>
      <c r="AH1086" t="str">
        <f t="shared" si="115"/>
        <v/>
      </c>
      <c r="AI1086">
        <f t="shared" si="116"/>
        <v>0</v>
      </c>
      <c r="AJ1086">
        <f t="shared" si="117"/>
        <v>0</v>
      </c>
      <c r="AK1086">
        <v>0</v>
      </c>
      <c r="AL1086" t="str">
        <f>IF(AA1086="","",IFERROR(IF(ISNUMBER('Procyclean 130'!D87),'Procyclean 130'!D87,IF(ISNUMBER(SEARCH("12",'Procyclean 130'!D87)),EDATE(AB1086,12),IF(ISNUMBER(SEARCH("6",'Procyclean 130'!D87)),EDATE(AB1086,6),IF(ISNUMBER(SEARCH("3",'Procyclean 130'!D87)),EDATE(AB1086,3),DATEVALUE('Procyclean 130'!D87))))),""))</f>
        <v/>
      </c>
      <c r="AM1086" t="str">
        <f t="shared" ca="1" si="118"/>
        <v/>
      </c>
    </row>
    <row r="1087" spans="27:39" x14ac:dyDescent="0.3">
      <c r="AA1087" t="str">
        <f>IF(COUNTA('Procyclean 130'!A88,'Procyclean 130'!B88,'Procyclean 130'!C88)&gt;0,"130","")</f>
        <v/>
      </c>
      <c r="AB1087" t="str">
        <f>IFERROR(IF(ISNUMBER('Procyclean 130'!A88),'Procyclean 130'!A88,DATEVALUE('Procyclean 130'!A88)),"")</f>
        <v/>
      </c>
      <c r="AC1087" t="str">
        <f>IF(AA1087="","",'Procyclean 130'!B88)</f>
        <v/>
      </c>
      <c r="AD1087" t="str">
        <f>IF(AA1087="","",IFERROR(1*'Procyclean 130'!C88,IFERROR(_xludf.NUMBERVALUE('Procyclean 130'!C88,".",","),IFERROR(_xludf.NUMBERVALUE('Procyclean 130'!C88,",","."),0))))</f>
        <v/>
      </c>
      <c r="AE1087" t="str">
        <f>IF(AA1087="","",'Procyclean 130'!J88)</f>
        <v/>
      </c>
      <c r="AF1087">
        <f t="shared" si="113"/>
        <v>0</v>
      </c>
      <c r="AG1087" t="str">
        <f t="shared" si="114"/>
        <v/>
      </c>
      <c r="AH1087" t="str">
        <f t="shared" si="115"/>
        <v/>
      </c>
      <c r="AI1087">
        <f t="shared" si="116"/>
        <v>0</v>
      </c>
      <c r="AJ1087">
        <f t="shared" si="117"/>
        <v>0</v>
      </c>
      <c r="AK1087">
        <v>0</v>
      </c>
      <c r="AL1087" t="str">
        <f>IF(AA1087="","",IFERROR(IF(ISNUMBER('Procyclean 130'!D88),'Procyclean 130'!D88,IF(ISNUMBER(SEARCH("12",'Procyclean 130'!D88)),EDATE(AB1087,12),IF(ISNUMBER(SEARCH("6",'Procyclean 130'!D88)),EDATE(AB1087,6),IF(ISNUMBER(SEARCH("3",'Procyclean 130'!D88)),EDATE(AB1087,3),DATEVALUE('Procyclean 130'!D88))))),""))</f>
        <v/>
      </c>
      <c r="AM1087" t="str">
        <f t="shared" ca="1" si="118"/>
        <v/>
      </c>
    </row>
    <row r="1088" spans="27:39" x14ac:dyDescent="0.3">
      <c r="AA1088" t="str">
        <f>IF(COUNTA('Procyclean 130'!A89,'Procyclean 130'!B89,'Procyclean 130'!C89)&gt;0,"130","")</f>
        <v/>
      </c>
      <c r="AB1088" t="str">
        <f>IFERROR(IF(ISNUMBER('Procyclean 130'!A89),'Procyclean 130'!A89,DATEVALUE('Procyclean 130'!A89)),"")</f>
        <v/>
      </c>
      <c r="AC1088" t="str">
        <f>IF(AA1088="","",'Procyclean 130'!B89)</f>
        <v/>
      </c>
      <c r="AD1088" t="str">
        <f>IF(AA1088="","",IFERROR(1*'Procyclean 130'!C89,IFERROR(_xludf.NUMBERVALUE('Procyclean 130'!C89,".",","),IFERROR(_xludf.NUMBERVALUE('Procyclean 130'!C89,",","."),0))))</f>
        <v/>
      </c>
      <c r="AE1088" t="str">
        <f>IF(AA1088="","",'Procyclean 130'!J89)</f>
        <v/>
      </c>
      <c r="AF1088">
        <f t="shared" si="113"/>
        <v>0</v>
      </c>
      <c r="AG1088" t="str">
        <f t="shared" si="114"/>
        <v/>
      </c>
      <c r="AH1088" t="str">
        <f t="shared" si="115"/>
        <v/>
      </c>
      <c r="AI1088">
        <f t="shared" si="116"/>
        <v>0</v>
      </c>
      <c r="AJ1088">
        <f t="shared" si="117"/>
        <v>0</v>
      </c>
      <c r="AK1088">
        <v>0</v>
      </c>
      <c r="AL1088" t="str">
        <f>IF(AA1088="","",IFERROR(IF(ISNUMBER('Procyclean 130'!D89),'Procyclean 130'!D89,IF(ISNUMBER(SEARCH("12",'Procyclean 130'!D89)),EDATE(AB1088,12),IF(ISNUMBER(SEARCH("6",'Procyclean 130'!D89)),EDATE(AB1088,6),IF(ISNUMBER(SEARCH("3",'Procyclean 130'!D89)),EDATE(AB1088,3),DATEVALUE('Procyclean 130'!D89))))),""))</f>
        <v/>
      </c>
      <c r="AM1088" t="str">
        <f t="shared" ca="1" si="118"/>
        <v/>
      </c>
    </row>
    <row r="1089" spans="27:39" x14ac:dyDescent="0.3">
      <c r="AA1089" t="str">
        <f>IF(COUNTA('Procyclean 130'!A90,'Procyclean 130'!B90,'Procyclean 130'!C90)&gt;0,"130","")</f>
        <v/>
      </c>
      <c r="AB1089" t="str">
        <f>IFERROR(IF(ISNUMBER('Procyclean 130'!A90),'Procyclean 130'!A90,DATEVALUE('Procyclean 130'!A90)),"")</f>
        <v/>
      </c>
      <c r="AC1089" t="str">
        <f>IF(AA1089="","",'Procyclean 130'!B90)</f>
        <v/>
      </c>
      <c r="AD1089" t="str">
        <f>IF(AA1089="","",IFERROR(1*'Procyclean 130'!C90,IFERROR(_xludf.NUMBERVALUE('Procyclean 130'!C90,".",","),IFERROR(_xludf.NUMBERVALUE('Procyclean 130'!C90,",","."),0))))</f>
        <v/>
      </c>
      <c r="AE1089" t="str">
        <f>IF(AA1089="","",'Procyclean 130'!J90)</f>
        <v/>
      </c>
      <c r="AF1089">
        <f t="shared" si="113"/>
        <v>0</v>
      </c>
      <c r="AG1089" t="str">
        <f t="shared" si="114"/>
        <v/>
      </c>
      <c r="AH1089" t="str">
        <f t="shared" si="115"/>
        <v/>
      </c>
      <c r="AI1089">
        <f t="shared" si="116"/>
        <v>0</v>
      </c>
      <c r="AJ1089">
        <f t="shared" si="117"/>
        <v>0</v>
      </c>
      <c r="AK1089">
        <v>0</v>
      </c>
      <c r="AL1089" t="str">
        <f>IF(AA1089="","",IFERROR(IF(ISNUMBER('Procyclean 130'!D90),'Procyclean 130'!D90,IF(ISNUMBER(SEARCH("12",'Procyclean 130'!D90)),EDATE(AB1089,12),IF(ISNUMBER(SEARCH("6",'Procyclean 130'!D90)),EDATE(AB1089,6),IF(ISNUMBER(SEARCH("3",'Procyclean 130'!D90)),EDATE(AB1089,3),DATEVALUE('Procyclean 130'!D90))))),""))</f>
        <v/>
      </c>
      <c r="AM1089" t="str">
        <f t="shared" ca="1" si="118"/>
        <v/>
      </c>
    </row>
    <row r="1090" spans="27:39" x14ac:dyDescent="0.3">
      <c r="AA1090" t="str">
        <f>IF(COUNTA('Procyclean 130'!A91,'Procyclean 130'!B91,'Procyclean 130'!C91)&gt;0,"130","")</f>
        <v/>
      </c>
      <c r="AB1090" t="str">
        <f>IFERROR(IF(ISNUMBER('Procyclean 130'!A91),'Procyclean 130'!A91,DATEVALUE('Procyclean 130'!A91)),"")</f>
        <v/>
      </c>
      <c r="AC1090" t="str">
        <f>IF(AA1090="","",'Procyclean 130'!B91)</f>
        <v/>
      </c>
      <c r="AD1090" t="str">
        <f>IF(AA1090="","",IFERROR(1*'Procyclean 130'!C91,IFERROR(_xludf.NUMBERVALUE('Procyclean 130'!C91,".",","),IFERROR(_xludf.NUMBERVALUE('Procyclean 130'!C91,",","."),0))))</f>
        <v/>
      </c>
      <c r="AE1090" t="str">
        <f>IF(AA1090="","",'Procyclean 130'!J91)</f>
        <v/>
      </c>
      <c r="AF1090">
        <f t="shared" ref="AF1090:AF1153" si="119">IF(AA1090="",0,--AND(ISNUMBER(SEARCH("aprov",AE1090)),NOT(ISNUMBER(SEARCH("reprov",AE1090)))))</f>
        <v>0</v>
      </c>
      <c r="AG1090" t="str">
        <f t="shared" ref="AG1090:AG1153" si="120">IF(AB1090="","",YEAR(AB1090))</f>
        <v/>
      </c>
      <c r="AH1090" t="str">
        <f t="shared" ref="AH1090:AH1153" si="121">IF(AB1090="","",MONTH(AB1090))</f>
        <v/>
      </c>
      <c r="AI1090">
        <f t="shared" ref="AI1090:AI1153" si="122">IF(AB1090="",0,AB1090+ROW()/1000000)</f>
        <v>0</v>
      </c>
      <c r="AJ1090">
        <f t="shared" ref="AJ1090:AJ1153" si="123">--(AA1090&lt;&gt;"")</f>
        <v>0</v>
      </c>
      <c r="AK1090">
        <v>0</v>
      </c>
      <c r="AL1090" t="str">
        <f>IF(AA1090="","",IFERROR(IF(ISNUMBER('Procyclean 130'!D91),'Procyclean 130'!D91,IF(ISNUMBER(SEARCH("12",'Procyclean 130'!D91)),EDATE(AB1090,12),IF(ISNUMBER(SEARCH("6",'Procyclean 130'!D91)),EDATE(AB1090,6),IF(ISNUMBER(SEARCH("3",'Procyclean 130'!D91)),EDATE(AB1090,3),DATEVALUE('Procyclean 130'!D91))))),""))</f>
        <v/>
      </c>
      <c r="AM1090" t="str">
        <f t="shared" ref="AM1090:AM1153" ca="1" si="124">IF(AND(AJ1090=1,AL1090&lt;&gt;"",AL1090&gt;=TODAY(),AG1090=$W$3),AL1090+ROW()/1000000,"")</f>
        <v/>
      </c>
    </row>
    <row r="1091" spans="27:39" x14ac:dyDescent="0.3">
      <c r="AA1091" t="str">
        <f>IF(COUNTA('Procyclean 130'!A92,'Procyclean 130'!B92,'Procyclean 130'!C92)&gt;0,"130","")</f>
        <v/>
      </c>
      <c r="AB1091" t="str">
        <f>IFERROR(IF(ISNUMBER('Procyclean 130'!A92),'Procyclean 130'!A92,DATEVALUE('Procyclean 130'!A92)),"")</f>
        <v/>
      </c>
      <c r="AC1091" t="str">
        <f>IF(AA1091="","",'Procyclean 130'!B92)</f>
        <v/>
      </c>
      <c r="AD1091" t="str">
        <f>IF(AA1091="","",IFERROR(1*'Procyclean 130'!C92,IFERROR(_xludf.NUMBERVALUE('Procyclean 130'!C92,".",","),IFERROR(_xludf.NUMBERVALUE('Procyclean 130'!C92,",","."),0))))</f>
        <v/>
      </c>
      <c r="AE1091" t="str">
        <f>IF(AA1091="","",'Procyclean 130'!J92)</f>
        <v/>
      </c>
      <c r="AF1091">
        <f t="shared" si="119"/>
        <v>0</v>
      </c>
      <c r="AG1091" t="str">
        <f t="shared" si="120"/>
        <v/>
      </c>
      <c r="AH1091" t="str">
        <f t="shared" si="121"/>
        <v/>
      </c>
      <c r="AI1091">
        <f t="shared" si="122"/>
        <v>0</v>
      </c>
      <c r="AJ1091">
        <f t="shared" si="123"/>
        <v>0</v>
      </c>
      <c r="AK1091">
        <v>0</v>
      </c>
      <c r="AL1091" t="str">
        <f>IF(AA1091="","",IFERROR(IF(ISNUMBER('Procyclean 130'!D92),'Procyclean 130'!D92,IF(ISNUMBER(SEARCH("12",'Procyclean 130'!D92)),EDATE(AB1091,12),IF(ISNUMBER(SEARCH("6",'Procyclean 130'!D92)),EDATE(AB1091,6),IF(ISNUMBER(SEARCH("3",'Procyclean 130'!D92)),EDATE(AB1091,3),DATEVALUE('Procyclean 130'!D92))))),""))</f>
        <v/>
      </c>
      <c r="AM1091" t="str">
        <f t="shared" ca="1" si="124"/>
        <v/>
      </c>
    </row>
    <row r="1092" spans="27:39" x14ac:dyDescent="0.3">
      <c r="AA1092" t="str">
        <f>IF(COUNTA('Procyclean 130'!A93,'Procyclean 130'!B93,'Procyclean 130'!C93)&gt;0,"130","")</f>
        <v/>
      </c>
      <c r="AB1092" t="str">
        <f>IFERROR(IF(ISNUMBER('Procyclean 130'!A93),'Procyclean 130'!A93,DATEVALUE('Procyclean 130'!A93)),"")</f>
        <v/>
      </c>
      <c r="AC1092" t="str">
        <f>IF(AA1092="","",'Procyclean 130'!B93)</f>
        <v/>
      </c>
      <c r="AD1092" t="str">
        <f>IF(AA1092="","",IFERROR(1*'Procyclean 130'!C93,IFERROR(_xludf.NUMBERVALUE('Procyclean 130'!C93,".",","),IFERROR(_xludf.NUMBERVALUE('Procyclean 130'!C93,",","."),0))))</f>
        <v/>
      </c>
      <c r="AE1092" t="str">
        <f>IF(AA1092="","",'Procyclean 130'!J93)</f>
        <v/>
      </c>
      <c r="AF1092">
        <f t="shared" si="119"/>
        <v>0</v>
      </c>
      <c r="AG1092" t="str">
        <f t="shared" si="120"/>
        <v/>
      </c>
      <c r="AH1092" t="str">
        <f t="shared" si="121"/>
        <v/>
      </c>
      <c r="AI1092">
        <f t="shared" si="122"/>
        <v>0</v>
      </c>
      <c r="AJ1092">
        <f t="shared" si="123"/>
        <v>0</v>
      </c>
      <c r="AK1092">
        <v>0</v>
      </c>
      <c r="AL1092" t="str">
        <f>IF(AA1092="","",IFERROR(IF(ISNUMBER('Procyclean 130'!D93),'Procyclean 130'!D93,IF(ISNUMBER(SEARCH("12",'Procyclean 130'!D93)),EDATE(AB1092,12),IF(ISNUMBER(SEARCH("6",'Procyclean 130'!D93)),EDATE(AB1092,6),IF(ISNUMBER(SEARCH("3",'Procyclean 130'!D93)),EDATE(AB1092,3),DATEVALUE('Procyclean 130'!D93))))),""))</f>
        <v/>
      </c>
      <c r="AM1092" t="str">
        <f t="shared" ca="1" si="124"/>
        <v/>
      </c>
    </row>
    <row r="1093" spans="27:39" x14ac:dyDescent="0.3">
      <c r="AA1093" t="str">
        <f>IF(COUNTA('Procyclean 130'!A94,'Procyclean 130'!B94,'Procyclean 130'!C94)&gt;0,"130","")</f>
        <v/>
      </c>
      <c r="AB1093" t="str">
        <f>IFERROR(IF(ISNUMBER('Procyclean 130'!A94),'Procyclean 130'!A94,DATEVALUE('Procyclean 130'!A94)),"")</f>
        <v/>
      </c>
      <c r="AC1093" t="str">
        <f>IF(AA1093="","",'Procyclean 130'!B94)</f>
        <v/>
      </c>
      <c r="AD1093" t="str">
        <f>IF(AA1093="","",IFERROR(1*'Procyclean 130'!C94,IFERROR(_xludf.NUMBERVALUE('Procyclean 130'!C94,".",","),IFERROR(_xludf.NUMBERVALUE('Procyclean 130'!C94,",","."),0))))</f>
        <v/>
      </c>
      <c r="AE1093" t="str">
        <f>IF(AA1093="","",'Procyclean 130'!J94)</f>
        <v/>
      </c>
      <c r="AF1093">
        <f t="shared" si="119"/>
        <v>0</v>
      </c>
      <c r="AG1093" t="str">
        <f t="shared" si="120"/>
        <v/>
      </c>
      <c r="AH1093" t="str">
        <f t="shared" si="121"/>
        <v/>
      </c>
      <c r="AI1093">
        <f t="shared" si="122"/>
        <v>0</v>
      </c>
      <c r="AJ1093">
        <f t="shared" si="123"/>
        <v>0</v>
      </c>
      <c r="AK1093">
        <v>0</v>
      </c>
      <c r="AL1093" t="str">
        <f>IF(AA1093="","",IFERROR(IF(ISNUMBER('Procyclean 130'!D94),'Procyclean 130'!D94,IF(ISNUMBER(SEARCH("12",'Procyclean 130'!D94)),EDATE(AB1093,12),IF(ISNUMBER(SEARCH("6",'Procyclean 130'!D94)),EDATE(AB1093,6),IF(ISNUMBER(SEARCH("3",'Procyclean 130'!D94)),EDATE(AB1093,3),DATEVALUE('Procyclean 130'!D94))))),""))</f>
        <v/>
      </c>
      <c r="AM1093" t="str">
        <f t="shared" ca="1" si="124"/>
        <v/>
      </c>
    </row>
    <row r="1094" spans="27:39" x14ac:dyDescent="0.3">
      <c r="AA1094" t="str">
        <f>IF(COUNTA('Procyclean 130'!A95,'Procyclean 130'!B95,'Procyclean 130'!C95)&gt;0,"130","")</f>
        <v/>
      </c>
      <c r="AB1094" t="str">
        <f>IFERROR(IF(ISNUMBER('Procyclean 130'!A95),'Procyclean 130'!A95,DATEVALUE('Procyclean 130'!A95)),"")</f>
        <v/>
      </c>
      <c r="AC1094" t="str">
        <f>IF(AA1094="","",'Procyclean 130'!B95)</f>
        <v/>
      </c>
      <c r="AD1094" t="str">
        <f>IF(AA1094="","",IFERROR(1*'Procyclean 130'!C95,IFERROR(_xludf.NUMBERVALUE('Procyclean 130'!C95,".",","),IFERROR(_xludf.NUMBERVALUE('Procyclean 130'!C95,",","."),0))))</f>
        <v/>
      </c>
      <c r="AE1094" t="str">
        <f>IF(AA1094="","",'Procyclean 130'!J95)</f>
        <v/>
      </c>
      <c r="AF1094">
        <f t="shared" si="119"/>
        <v>0</v>
      </c>
      <c r="AG1094" t="str">
        <f t="shared" si="120"/>
        <v/>
      </c>
      <c r="AH1094" t="str">
        <f t="shared" si="121"/>
        <v/>
      </c>
      <c r="AI1094">
        <f t="shared" si="122"/>
        <v>0</v>
      </c>
      <c r="AJ1094">
        <f t="shared" si="123"/>
        <v>0</v>
      </c>
      <c r="AK1094">
        <v>0</v>
      </c>
      <c r="AL1094" t="str">
        <f>IF(AA1094="","",IFERROR(IF(ISNUMBER('Procyclean 130'!D95),'Procyclean 130'!D95,IF(ISNUMBER(SEARCH("12",'Procyclean 130'!D95)),EDATE(AB1094,12),IF(ISNUMBER(SEARCH("6",'Procyclean 130'!D95)),EDATE(AB1094,6),IF(ISNUMBER(SEARCH("3",'Procyclean 130'!D95)),EDATE(AB1094,3),DATEVALUE('Procyclean 130'!D95))))),""))</f>
        <v/>
      </c>
      <c r="AM1094" t="str">
        <f t="shared" ca="1" si="124"/>
        <v/>
      </c>
    </row>
    <row r="1095" spans="27:39" x14ac:dyDescent="0.3">
      <c r="AA1095" t="str">
        <f>IF(COUNTA('Procyclean 130'!A96,'Procyclean 130'!B96,'Procyclean 130'!C96)&gt;0,"130","")</f>
        <v/>
      </c>
      <c r="AB1095" t="str">
        <f>IFERROR(IF(ISNUMBER('Procyclean 130'!A96),'Procyclean 130'!A96,DATEVALUE('Procyclean 130'!A96)),"")</f>
        <v/>
      </c>
      <c r="AC1095" t="str">
        <f>IF(AA1095="","",'Procyclean 130'!B96)</f>
        <v/>
      </c>
      <c r="AD1095" t="str">
        <f>IF(AA1095="","",IFERROR(1*'Procyclean 130'!C96,IFERROR(_xludf.NUMBERVALUE('Procyclean 130'!C96,".",","),IFERROR(_xludf.NUMBERVALUE('Procyclean 130'!C96,",","."),0))))</f>
        <v/>
      </c>
      <c r="AE1095" t="str">
        <f>IF(AA1095="","",'Procyclean 130'!J96)</f>
        <v/>
      </c>
      <c r="AF1095">
        <f t="shared" si="119"/>
        <v>0</v>
      </c>
      <c r="AG1095" t="str">
        <f t="shared" si="120"/>
        <v/>
      </c>
      <c r="AH1095" t="str">
        <f t="shared" si="121"/>
        <v/>
      </c>
      <c r="AI1095">
        <f t="shared" si="122"/>
        <v>0</v>
      </c>
      <c r="AJ1095">
        <f t="shared" si="123"/>
        <v>0</v>
      </c>
      <c r="AK1095">
        <v>0</v>
      </c>
      <c r="AL1095" t="str">
        <f>IF(AA1095="","",IFERROR(IF(ISNUMBER('Procyclean 130'!D96),'Procyclean 130'!D96,IF(ISNUMBER(SEARCH("12",'Procyclean 130'!D96)),EDATE(AB1095,12),IF(ISNUMBER(SEARCH("6",'Procyclean 130'!D96)),EDATE(AB1095,6),IF(ISNUMBER(SEARCH("3",'Procyclean 130'!D96)),EDATE(AB1095,3),DATEVALUE('Procyclean 130'!D96))))),""))</f>
        <v/>
      </c>
      <c r="AM1095" t="str">
        <f t="shared" ca="1" si="124"/>
        <v/>
      </c>
    </row>
    <row r="1096" spans="27:39" x14ac:dyDescent="0.3">
      <c r="AA1096" t="str">
        <f>IF(COUNTA('Procyclean 130'!A97,'Procyclean 130'!B97,'Procyclean 130'!C97)&gt;0,"130","")</f>
        <v/>
      </c>
      <c r="AB1096" t="str">
        <f>IFERROR(IF(ISNUMBER('Procyclean 130'!A97),'Procyclean 130'!A97,DATEVALUE('Procyclean 130'!A97)),"")</f>
        <v/>
      </c>
      <c r="AC1096" t="str">
        <f>IF(AA1096="","",'Procyclean 130'!B97)</f>
        <v/>
      </c>
      <c r="AD1096" t="str">
        <f>IF(AA1096="","",IFERROR(1*'Procyclean 130'!C97,IFERROR(_xludf.NUMBERVALUE('Procyclean 130'!C97,".",","),IFERROR(_xludf.NUMBERVALUE('Procyclean 130'!C97,",","."),0))))</f>
        <v/>
      </c>
      <c r="AE1096" t="str">
        <f>IF(AA1096="","",'Procyclean 130'!J97)</f>
        <v/>
      </c>
      <c r="AF1096">
        <f t="shared" si="119"/>
        <v>0</v>
      </c>
      <c r="AG1096" t="str">
        <f t="shared" si="120"/>
        <v/>
      </c>
      <c r="AH1096" t="str">
        <f t="shared" si="121"/>
        <v/>
      </c>
      <c r="AI1096">
        <f t="shared" si="122"/>
        <v>0</v>
      </c>
      <c r="AJ1096">
        <f t="shared" si="123"/>
        <v>0</v>
      </c>
      <c r="AK1096">
        <v>0</v>
      </c>
      <c r="AL1096" t="str">
        <f>IF(AA1096="","",IFERROR(IF(ISNUMBER('Procyclean 130'!D97),'Procyclean 130'!D97,IF(ISNUMBER(SEARCH("12",'Procyclean 130'!D97)),EDATE(AB1096,12),IF(ISNUMBER(SEARCH("6",'Procyclean 130'!D97)),EDATE(AB1096,6),IF(ISNUMBER(SEARCH("3",'Procyclean 130'!D97)),EDATE(AB1096,3),DATEVALUE('Procyclean 130'!D97))))),""))</f>
        <v/>
      </c>
      <c r="AM1096" t="str">
        <f t="shared" ca="1" si="124"/>
        <v/>
      </c>
    </row>
    <row r="1097" spans="27:39" x14ac:dyDescent="0.3">
      <c r="AA1097" t="str">
        <f>IF(COUNTA('Procyclean 130'!A98,'Procyclean 130'!B98,'Procyclean 130'!C98)&gt;0,"130","")</f>
        <v/>
      </c>
      <c r="AB1097" t="str">
        <f>IFERROR(IF(ISNUMBER('Procyclean 130'!A98),'Procyclean 130'!A98,DATEVALUE('Procyclean 130'!A98)),"")</f>
        <v/>
      </c>
      <c r="AC1097" t="str">
        <f>IF(AA1097="","",'Procyclean 130'!B98)</f>
        <v/>
      </c>
      <c r="AD1097" t="str">
        <f>IF(AA1097="","",IFERROR(1*'Procyclean 130'!C98,IFERROR(_xludf.NUMBERVALUE('Procyclean 130'!C98,".",","),IFERROR(_xludf.NUMBERVALUE('Procyclean 130'!C98,",","."),0))))</f>
        <v/>
      </c>
      <c r="AE1097" t="str">
        <f>IF(AA1097="","",'Procyclean 130'!J98)</f>
        <v/>
      </c>
      <c r="AF1097">
        <f t="shared" si="119"/>
        <v>0</v>
      </c>
      <c r="AG1097" t="str">
        <f t="shared" si="120"/>
        <v/>
      </c>
      <c r="AH1097" t="str">
        <f t="shared" si="121"/>
        <v/>
      </c>
      <c r="AI1097">
        <f t="shared" si="122"/>
        <v>0</v>
      </c>
      <c r="AJ1097">
        <f t="shared" si="123"/>
        <v>0</v>
      </c>
      <c r="AK1097">
        <v>0</v>
      </c>
      <c r="AL1097" t="str">
        <f>IF(AA1097="","",IFERROR(IF(ISNUMBER('Procyclean 130'!D98),'Procyclean 130'!D98,IF(ISNUMBER(SEARCH("12",'Procyclean 130'!D98)),EDATE(AB1097,12),IF(ISNUMBER(SEARCH("6",'Procyclean 130'!D98)),EDATE(AB1097,6),IF(ISNUMBER(SEARCH("3",'Procyclean 130'!D98)),EDATE(AB1097,3),DATEVALUE('Procyclean 130'!D98))))),""))</f>
        <v/>
      </c>
      <c r="AM1097" t="str">
        <f t="shared" ca="1" si="124"/>
        <v/>
      </c>
    </row>
    <row r="1098" spans="27:39" x14ac:dyDescent="0.3">
      <c r="AA1098" t="str">
        <f>IF(COUNTA('Procyclean 130'!A99,'Procyclean 130'!B99,'Procyclean 130'!C99)&gt;0,"130","")</f>
        <v/>
      </c>
      <c r="AB1098" t="str">
        <f>IFERROR(IF(ISNUMBER('Procyclean 130'!A99),'Procyclean 130'!A99,DATEVALUE('Procyclean 130'!A99)),"")</f>
        <v/>
      </c>
      <c r="AC1098" t="str">
        <f>IF(AA1098="","",'Procyclean 130'!B99)</f>
        <v/>
      </c>
      <c r="AD1098" t="str">
        <f>IF(AA1098="","",IFERROR(1*'Procyclean 130'!C99,IFERROR(_xludf.NUMBERVALUE('Procyclean 130'!C99,".",","),IFERROR(_xludf.NUMBERVALUE('Procyclean 130'!C99,",","."),0))))</f>
        <v/>
      </c>
      <c r="AE1098" t="str">
        <f>IF(AA1098="","",'Procyclean 130'!J99)</f>
        <v/>
      </c>
      <c r="AF1098">
        <f t="shared" si="119"/>
        <v>0</v>
      </c>
      <c r="AG1098" t="str">
        <f t="shared" si="120"/>
        <v/>
      </c>
      <c r="AH1098" t="str">
        <f t="shared" si="121"/>
        <v/>
      </c>
      <c r="AI1098">
        <f t="shared" si="122"/>
        <v>0</v>
      </c>
      <c r="AJ1098">
        <f t="shared" si="123"/>
        <v>0</v>
      </c>
      <c r="AK1098">
        <v>0</v>
      </c>
      <c r="AL1098" t="str">
        <f>IF(AA1098="","",IFERROR(IF(ISNUMBER('Procyclean 130'!D99),'Procyclean 130'!D99,IF(ISNUMBER(SEARCH("12",'Procyclean 130'!D99)),EDATE(AB1098,12),IF(ISNUMBER(SEARCH("6",'Procyclean 130'!D99)),EDATE(AB1098,6),IF(ISNUMBER(SEARCH("3",'Procyclean 130'!D99)),EDATE(AB1098,3),DATEVALUE('Procyclean 130'!D99))))),""))</f>
        <v/>
      </c>
      <c r="AM1098" t="str">
        <f t="shared" ca="1" si="124"/>
        <v/>
      </c>
    </row>
    <row r="1099" spans="27:39" x14ac:dyDescent="0.3">
      <c r="AA1099" t="str">
        <f>IF(COUNTA('Procyclean 130'!A100,'Procyclean 130'!B100,'Procyclean 130'!C100)&gt;0,"130","")</f>
        <v/>
      </c>
      <c r="AB1099" t="str">
        <f>IFERROR(IF(ISNUMBER('Procyclean 130'!A100),'Procyclean 130'!A100,DATEVALUE('Procyclean 130'!A100)),"")</f>
        <v/>
      </c>
      <c r="AC1099" t="str">
        <f>IF(AA1099="","",'Procyclean 130'!B100)</f>
        <v/>
      </c>
      <c r="AD1099" t="str">
        <f>IF(AA1099="","",IFERROR(1*'Procyclean 130'!C100,IFERROR(_xludf.NUMBERVALUE('Procyclean 130'!C100,".",","),IFERROR(_xludf.NUMBERVALUE('Procyclean 130'!C100,",","."),0))))</f>
        <v/>
      </c>
      <c r="AE1099" t="str">
        <f>IF(AA1099="","",'Procyclean 130'!J100)</f>
        <v/>
      </c>
      <c r="AF1099">
        <f t="shared" si="119"/>
        <v>0</v>
      </c>
      <c r="AG1099" t="str">
        <f t="shared" si="120"/>
        <v/>
      </c>
      <c r="AH1099" t="str">
        <f t="shared" si="121"/>
        <v/>
      </c>
      <c r="AI1099">
        <f t="shared" si="122"/>
        <v>0</v>
      </c>
      <c r="AJ1099">
        <f t="shared" si="123"/>
        <v>0</v>
      </c>
      <c r="AK1099">
        <v>0</v>
      </c>
      <c r="AL1099" t="str">
        <f>IF(AA1099="","",IFERROR(IF(ISNUMBER('Procyclean 130'!D100),'Procyclean 130'!D100,IF(ISNUMBER(SEARCH("12",'Procyclean 130'!D100)),EDATE(AB1099,12),IF(ISNUMBER(SEARCH("6",'Procyclean 130'!D100)),EDATE(AB1099,6),IF(ISNUMBER(SEARCH("3",'Procyclean 130'!D100)),EDATE(AB1099,3),DATEVALUE('Procyclean 130'!D100))))),""))</f>
        <v/>
      </c>
      <c r="AM1099" t="str">
        <f t="shared" ca="1" si="124"/>
        <v/>
      </c>
    </row>
    <row r="1100" spans="27:39" x14ac:dyDescent="0.3">
      <c r="AA1100" t="str">
        <f>IF(COUNTA('Procyclean 130'!A101,'Procyclean 130'!B101,'Procyclean 130'!C101)&gt;0,"130","")</f>
        <v/>
      </c>
      <c r="AB1100" t="str">
        <f>IFERROR(IF(ISNUMBER('Procyclean 130'!A101),'Procyclean 130'!A101,DATEVALUE('Procyclean 130'!A101)),"")</f>
        <v/>
      </c>
      <c r="AC1100" t="str">
        <f>IF(AA1100="","",'Procyclean 130'!B101)</f>
        <v/>
      </c>
      <c r="AD1100" t="str">
        <f>IF(AA1100="","",IFERROR(1*'Procyclean 130'!C101,IFERROR(_xludf.NUMBERVALUE('Procyclean 130'!C101,".",","),IFERROR(_xludf.NUMBERVALUE('Procyclean 130'!C101,",","."),0))))</f>
        <v/>
      </c>
      <c r="AE1100" t="str">
        <f>IF(AA1100="","",'Procyclean 130'!J101)</f>
        <v/>
      </c>
      <c r="AF1100">
        <f t="shared" si="119"/>
        <v>0</v>
      </c>
      <c r="AG1100" t="str">
        <f t="shared" si="120"/>
        <v/>
      </c>
      <c r="AH1100" t="str">
        <f t="shared" si="121"/>
        <v/>
      </c>
      <c r="AI1100">
        <f t="shared" si="122"/>
        <v>0</v>
      </c>
      <c r="AJ1100">
        <f t="shared" si="123"/>
        <v>0</v>
      </c>
      <c r="AK1100">
        <v>0</v>
      </c>
      <c r="AL1100" t="str">
        <f>IF(AA1100="","",IFERROR(IF(ISNUMBER('Procyclean 130'!D101),'Procyclean 130'!D101,IF(ISNUMBER(SEARCH("12",'Procyclean 130'!D101)),EDATE(AB1100,12),IF(ISNUMBER(SEARCH("6",'Procyclean 130'!D101)),EDATE(AB1100,6),IF(ISNUMBER(SEARCH("3",'Procyclean 130'!D101)),EDATE(AB1100,3),DATEVALUE('Procyclean 130'!D101))))),""))</f>
        <v/>
      </c>
      <c r="AM1100" t="str">
        <f t="shared" ca="1" si="124"/>
        <v/>
      </c>
    </row>
    <row r="1101" spans="27:39" x14ac:dyDescent="0.3">
      <c r="AA1101" t="str">
        <f>IF(COUNTA('Procyclean 130'!A102,'Procyclean 130'!B102,'Procyclean 130'!C102)&gt;0,"130","")</f>
        <v/>
      </c>
      <c r="AB1101" t="str">
        <f>IFERROR(IF(ISNUMBER('Procyclean 130'!A102),'Procyclean 130'!A102,DATEVALUE('Procyclean 130'!A102)),"")</f>
        <v/>
      </c>
      <c r="AC1101" t="str">
        <f>IF(AA1101="","",'Procyclean 130'!B102)</f>
        <v/>
      </c>
      <c r="AD1101" t="str">
        <f>IF(AA1101="","",IFERROR(1*'Procyclean 130'!C102,IFERROR(_xludf.NUMBERVALUE('Procyclean 130'!C102,".",","),IFERROR(_xludf.NUMBERVALUE('Procyclean 130'!C102,",","."),0))))</f>
        <v/>
      </c>
      <c r="AE1101" t="str">
        <f>IF(AA1101="","",'Procyclean 130'!J102)</f>
        <v/>
      </c>
      <c r="AF1101">
        <f t="shared" si="119"/>
        <v>0</v>
      </c>
      <c r="AG1101" t="str">
        <f t="shared" si="120"/>
        <v/>
      </c>
      <c r="AH1101" t="str">
        <f t="shared" si="121"/>
        <v/>
      </c>
      <c r="AI1101">
        <f t="shared" si="122"/>
        <v>0</v>
      </c>
      <c r="AJ1101">
        <f t="shared" si="123"/>
        <v>0</v>
      </c>
      <c r="AK1101">
        <v>0</v>
      </c>
      <c r="AL1101" t="str">
        <f>IF(AA1101="","",IFERROR(IF(ISNUMBER('Procyclean 130'!D102),'Procyclean 130'!D102,IF(ISNUMBER(SEARCH("12",'Procyclean 130'!D102)),EDATE(AB1101,12),IF(ISNUMBER(SEARCH("6",'Procyclean 130'!D102)),EDATE(AB1101,6),IF(ISNUMBER(SEARCH("3",'Procyclean 130'!D102)),EDATE(AB1101,3),DATEVALUE('Procyclean 130'!D102))))),""))</f>
        <v/>
      </c>
      <c r="AM1101" t="str">
        <f t="shared" ca="1" si="124"/>
        <v/>
      </c>
    </row>
    <row r="1102" spans="27:39" x14ac:dyDescent="0.3">
      <c r="AA1102" t="str">
        <f>IF(COUNTA('Procyclean 130'!A103,'Procyclean 130'!B103,'Procyclean 130'!C103)&gt;0,"130","")</f>
        <v/>
      </c>
      <c r="AB1102" t="str">
        <f>IFERROR(IF(ISNUMBER('Procyclean 130'!A103),'Procyclean 130'!A103,DATEVALUE('Procyclean 130'!A103)),"")</f>
        <v/>
      </c>
      <c r="AC1102" t="str">
        <f>IF(AA1102="","",'Procyclean 130'!B103)</f>
        <v/>
      </c>
      <c r="AD1102" t="str">
        <f>IF(AA1102="","",IFERROR(1*'Procyclean 130'!C103,IFERROR(_xludf.NUMBERVALUE('Procyclean 130'!C103,".",","),IFERROR(_xludf.NUMBERVALUE('Procyclean 130'!C103,",","."),0))))</f>
        <v/>
      </c>
      <c r="AE1102" t="str">
        <f>IF(AA1102="","",'Procyclean 130'!J103)</f>
        <v/>
      </c>
      <c r="AF1102">
        <f t="shared" si="119"/>
        <v>0</v>
      </c>
      <c r="AG1102" t="str">
        <f t="shared" si="120"/>
        <v/>
      </c>
      <c r="AH1102" t="str">
        <f t="shared" si="121"/>
        <v/>
      </c>
      <c r="AI1102">
        <f t="shared" si="122"/>
        <v>0</v>
      </c>
      <c r="AJ1102">
        <f t="shared" si="123"/>
        <v>0</v>
      </c>
      <c r="AK1102">
        <v>0</v>
      </c>
      <c r="AL1102" t="str">
        <f>IF(AA1102="","",IFERROR(IF(ISNUMBER('Procyclean 130'!D103),'Procyclean 130'!D103,IF(ISNUMBER(SEARCH("12",'Procyclean 130'!D103)),EDATE(AB1102,12),IF(ISNUMBER(SEARCH("6",'Procyclean 130'!D103)),EDATE(AB1102,6),IF(ISNUMBER(SEARCH("3",'Procyclean 130'!D103)),EDATE(AB1102,3),DATEVALUE('Procyclean 130'!D103))))),""))</f>
        <v/>
      </c>
      <c r="AM1102" t="str">
        <f t="shared" ca="1" si="124"/>
        <v/>
      </c>
    </row>
    <row r="1103" spans="27:39" x14ac:dyDescent="0.3">
      <c r="AA1103" t="str">
        <f>IF(COUNTA('Procyclean 130'!A104,'Procyclean 130'!B104,'Procyclean 130'!C104)&gt;0,"130","")</f>
        <v/>
      </c>
      <c r="AB1103" t="str">
        <f>IFERROR(IF(ISNUMBER('Procyclean 130'!A104),'Procyclean 130'!A104,DATEVALUE('Procyclean 130'!A104)),"")</f>
        <v/>
      </c>
      <c r="AC1103" t="str">
        <f>IF(AA1103="","",'Procyclean 130'!B104)</f>
        <v/>
      </c>
      <c r="AD1103" t="str">
        <f>IF(AA1103="","",IFERROR(1*'Procyclean 130'!C104,IFERROR(_xludf.NUMBERVALUE('Procyclean 130'!C104,".",","),IFERROR(_xludf.NUMBERVALUE('Procyclean 130'!C104,",","."),0))))</f>
        <v/>
      </c>
      <c r="AE1103" t="str">
        <f>IF(AA1103="","",'Procyclean 130'!J104)</f>
        <v/>
      </c>
      <c r="AF1103">
        <f t="shared" si="119"/>
        <v>0</v>
      </c>
      <c r="AG1103" t="str">
        <f t="shared" si="120"/>
        <v/>
      </c>
      <c r="AH1103" t="str">
        <f t="shared" si="121"/>
        <v/>
      </c>
      <c r="AI1103">
        <f t="shared" si="122"/>
        <v>0</v>
      </c>
      <c r="AJ1103">
        <f t="shared" si="123"/>
        <v>0</v>
      </c>
      <c r="AK1103">
        <v>0</v>
      </c>
      <c r="AL1103" t="str">
        <f>IF(AA1103="","",IFERROR(IF(ISNUMBER('Procyclean 130'!D104),'Procyclean 130'!D104,IF(ISNUMBER(SEARCH("12",'Procyclean 130'!D104)),EDATE(AB1103,12),IF(ISNUMBER(SEARCH("6",'Procyclean 130'!D104)),EDATE(AB1103,6),IF(ISNUMBER(SEARCH("3",'Procyclean 130'!D104)),EDATE(AB1103,3),DATEVALUE('Procyclean 130'!D104))))),""))</f>
        <v/>
      </c>
      <c r="AM1103" t="str">
        <f t="shared" ca="1" si="124"/>
        <v/>
      </c>
    </row>
    <row r="1104" spans="27:39" x14ac:dyDescent="0.3">
      <c r="AA1104" t="str">
        <f>IF(COUNTA('Procyclean 130'!A105,'Procyclean 130'!B105,'Procyclean 130'!C105)&gt;0,"130","")</f>
        <v/>
      </c>
      <c r="AB1104" t="str">
        <f>IFERROR(IF(ISNUMBER('Procyclean 130'!A105),'Procyclean 130'!A105,DATEVALUE('Procyclean 130'!A105)),"")</f>
        <v/>
      </c>
      <c r="AC1104" t="str">
        <f>IF(AA1104="","",'Procyclean 130'!B105)</f>
        <v/>
      </c>
      <c r="AD1104" t="str">
        <f>IF(AA1104="","",IFERROR(1*'Procyclean 130'!C105,IFERROR(_xludf.NUMBERVALUE('Procyclean 130'!C105,".",","),IFERROR(_xludf.NUMBERVALUE('Procyclean 130'!C105,",","."),0))))</f>
        <v/>
      </c>
      <c r="AE1104" t="str">
        <f>IF(AA1104="","",'Procyclean 130'!J105)</f>
        <v/>
      </c>
      <c r="AF1104">
        <f t="shared" si="119"/>
        <v>0</v>
      </c>
      <c r="AG1104" t="str">
        <f t="shared" si="120"/>
        <v/>
      </c>
      <c r="AH1104" t="str">
        <f t="shared" si="121"/>
        <v/>
      </c>
      <c r="AI1104">
        <f t="shared" si="122"/>
        <v>0</v>
      </c>
      <c r="AJ1104">
        <f t="shared" si="123"/>
        <v>0</v>
      </c>
      <c r="AK1104">
        <v>0</v>
      </c>
      <c r="AL1104" t="str">
        <f>IF(AA1104="","",IFERROR(IF(ISNUMBER('Procyclean 130'!D105),'Procyclean 130'!D105,IF(ISNUMBER(SEARCH("12",'Procyclean 130'!D105)),EDATE(AB1104,12),IF(ISNUMBER(SEARCH("6",'Procyclean 130'!D105)),EDATE(AB1104,6),IF(ISNUMBER(SEARCH("3",'Procyclean 130'!D105)),EDATE(AB1104,3),DATEVALUE('Procyclean 130'!D105))))),""))</f>
        <v/>
      </c>
      <c r="AM1104" t="str">
        <f t="shared" ca="1" si="124"/>
        <v/>
      </c>
    </row>
    <row r="1105" spans="27:39" x14ac:dyDescent="0.3">
      <c r="AA1105" t="str">
        <f>IF(COUNTA('Procyclean 130'!A106,'Procyclean 130'!B106,'Procyclean 130'!C106)&gt;0,"130","")</f>
        <v/>
      </c>
      <c r="AB1105" t="str">
        <f>IFERROR(IF(ISNUMBER('Procyclean 130'!A106),'Procyclean 130'!A106,DATEVALUE('Procyclean 130'!A106)),"")</f>
        <v/>
      </c>
      <c r="AC1105" t="str">
        <f>IF(AA1105="","",'Procyclean 130'!B106)</f>
        <v/>
      </c>
      <c r="AD1105" t="str">
        <f>IF(AA1105="","",IFERROR(1*'Procyclean 130'!C106,IFERROR(_xludf.NUMBERVALUE('Procyclean 130'!C106,".",","),IFERROR(_xludf.NUMBERVALUE('Procyclean 130'!C106,",","."),0))))</f>
        <v/>
      </c>
      <c r="AE1105" t="str">
        <f>IF(AA1105="","",'Procyclean 130'!J106)</f>
        <v/>
      </c>
      <c r="AF1105">
        <f t="shared" si="119"/>
        <v>0</v>
      </c>
      <c r="AG1105" t="str">
        <f t="shared" si="120"/>
        <v/>
      </c>
      <c r="AH1105" t="str">
        <f t="shared" si="121"/>
        <v/>
      </c>
      <c r="AI1105">
        <f t="shared" si="122"/>
        <v>0</v>
      </c>
      <c r="AJ1105">
        <f t="shared" si="123"/>
        <v>0</v>
      </c>
      <c r="AK1105">
        <v>0</v>
      </c>
      <c r="AL1105" t="str">
        <f>IF(AA1105="","",IFERROR(IF(ISNUMBER('Procyclean 130'!D106),'Procyclean 130'!D106,IF(ISNUMBER(SEARCH("12",'Procyclean 130'!D106)),EDATE(AB1105,12),IF(ISNUMBER(SEARCH("6",'Procyclean 130'!D106)),EDATE(AB1105,6),IF(ISNUMBER(SEARCH("3",'Procyclean 130'!D106)),EDATE(AB1105,3),DATEVALUE('Procyclean 130'!D106))))),""))</f>
        <v/>
      </c>
      <c r="AM1105" t="str">
        <f t="shared" ca="1" si="124"/>
        <v/>
      </c>
    </row>
    <row r="1106" spans="27:39" x14ac:dyDescent="0.3">
      <c r="AA1106" t="str">
        <f>IF(COUNTA('Procyclean 130'!A107,'Procyclean 130'!B107,'Procyclean 130'!C107)&gt;0,"130","")</f>
        <v/>
      </c>
      <c r="AB1106" t="str">
        <f>IFERROR(IF(ISNUMBER('Procyclean 130'!A107),'Procyclean 130'!A107,DATEVALUE('Procyclean 130'!A107)),"")</f>
        <v/>
      </c>
      <c r="AC1106" t="str">
        <f>IF(AA1106="","",'Procyclean 130'!B107)</f>
        <v/>
      </c>
      <c r="AD1106" t="str">
        <f>IF(AA1106="","",IFERROR(1*'Procyclean 130'!C107,IFERROR(_xludf.NUMBERVALUE('Procyclean 130'!C107,".",","),IFERROR(_xludf.NUMBERVALUE('Procyclean 130'!C107,",","."),0))))</f>
        <v/>
      </c>
      <c r="AE1106" t="str">
        <f>IF(AA1106="","",'Procyclean 130'!J107)</f>
        <v/>
      </c>
      <c r="AF1106">
        <f t="shared" si="119"/>
        <v>0</v>
      </c>
      <c r="AG1106" t="str">
        <f t="shared" si="120"/>
        <v/>
      </c>
      <c r="AH1106" t="str">
        <f t="shared" si="121"/>
        <v/>
      </c>
      <c r="AI1106">
        <f t="shared" si="122"/>
        <v>0</v>
      </c>
      <c r="AJ1106">
        <f t="shared" si="123"/>
        <v>0</v>
      </c>
      <c r="AK1106">
        <v>0</v>
      </c>
      <c r="AL1106" t="str">
        <f>IF(AA1106="","",IFERROR(IF(ISNUMBER('Procyclean 130'!D107),'Procyclean 130'!D107,IF(ISNUMBER(SEARCH("12",'Procyclean 130'!D107)),EDATE(AB1106,12),IF(ISNUMBER(SEARCH("6",'Procyclean 130'!D107)),EDATE(AB1106,6),IF(ISNUMBER(SEARCH("3",'Procyclean 130'!D107)),EDATE(AB1106,3),DATEVALUE('Procyclean 130'!D107))))),""))</f>
        <v/>
      </c>
      <c r="AM1106" t="str">
        <f t="shared" ca="1" si="124"/>
        <v/>
      </c>
    </row>
    <row r="1107" spans="27:39" x14ac:dyDescent="0.3">
      <c r="AA1107" t="str">
        <f>IF(COUNTA('Procyclean 130'!A108,'Procyclean 130'!B108,'Procyclean 130'!C108)&gt;0,"130","")</f>
        <v/>
      </c>
      <c r="AB1107" t="str">
        <f>IFERROR(IF(ISNUMBER('Procyclean 130'!A108),'Procyclean 130'!A108,DATEVALUE('Procyclean 130'!A108)),"")</f>
        <v/>
      </c>
      <c r="AC1107" t="str">
        <f>IF(AA1107="","",'Procyclean 130'!B108)</f>
        <v/>
      </c>
      <c r="AD1107" t="str">
        <f>IF(AA1107="","",IFERROR(1*'Procyclean 130'!C108,IFERROR(_xludf.NUMBERVALUE('Procyclean 130'!C108,".",","),IFERROR(_xludf.NUMBERVALUE('Procyclean 130'!C108,",","."),0))))</f>
        <v/>
      </c>
      <c r="AE1107" t="str">
        <f>IF(AA1107="","",'Procyclean 130'!J108)</f>
        <v/>
      </c>
      <c r="AF1107">
        <f t="shared" si="119"/>
        <v>0</v>
      </c>
      <c r="AG1107" t="str">
        <f t="shared" si="120"/>
        <v/>
      </c>
      <c r="AH1107" t="str">
        <f t="shared" si="121"/>
        <v/>
      </c>
      <c r="AI1107">
        <f t="shared" si="122"/>
        <v>0</v>
      </c>
      <c r="AJ1107">
        <f t="shared" si="123"/>
        <v>0</v>
      </c>
      <c r="AK1107">
        <v>0</v>
      </c>
      <c r="AL1107" t="str">
        <f>IF(AA1107="","",IFERROR(IF(ISNUMBER('Procyclean 130'!D108),'Procyclean 130'!D108,IF(ISNUMBER(SEARCH("12",'Procyclean 130'!D108)),EDATE(AB1107,12),IF(ISNUMBER(SEARCH("6",'Procyclean 130'!D108)),EDATE(AB1107,6),IF(ISNUMBER(SEARCH("3",'Procyclean 130'!D108)),EDATE(AB1107,3),DATEVALUE('Procyclean 130'!D108))))),""))</f>
        <v/>
      </c>
      <c r="AM1107" t="str">
        <f t="shared" ca="1" si="124"/>
        <v/>
      </c>
    </row>
    <row r="1108" spans="27:39" x14ac:dyDescent="0.3">
      <c r="AA1108" t="str">
        <f>IF(COUNTA('Procyclean 130'!A109,'Procyclean 130'!B109,'Procyclean 130'!C109)&gt;0,"130","")</f>
        <v/>
      </c>
      <c r="AB1108" t="str">
        <f>IFERROR(IF(ISNUMBER('Procyclean 130'!A109),'Procyclean 130'!A109,DATEVALUE('Procyclean 130'!A109)),"")</f>
        <v/>
      </c>
      <c r="AC1108" t="str">
        <f>IF(AA1108="","",'Procyclean 130'!B109)</f>
        <v/>
      </c>
      <c r="AD1108" t="str">
        <f>IF(AA1108="","",IFERROR(1*'Procyclean 130'!C109,IFERROR(_xludf.NUMBERVALUE('Procyclean 130'!C109,".",","),IFERROR(_xludf.NUMBERVALUE('Procyclean 130'!C109,",","."),0))))</f>
        <v/>
      </c>
      <c r="AE1108" t="str">
        <f>IF(AA1108="","",'Procyclean 130'!J109)</f>
        <v/>
      </c>
      <c r="AF1108">
        <f t="shared" si="119"/>
        <v>0</v>
      </c>
      <c r="AG1108" t="str">
        <f t="shared" si="120"/>
        <v/>
      </c>
      <c r="AH1108" t="str">
        <f t="shared" si="121"/>
        <v/>
      </c>
      <c r="AI1108">
        <f t="shared" si="122"/>
        <v>0</v>
      </c>
      <c r="AJ1108">
        <f t="shared" si="123"/>
        <v>0</v>
      </c>
      <c r="AK1108">
        <v>0</v>
      </c>
      <c r="AL1108" t="str">
        <f>IF(AA1108="","",IFERROR(IF(ISNUMBER('Procyclean 130'!D109),'Procyclean 130'!D109,IF(ISNUMBER(SEARCH("12",'Procyclean 130'!D109)),EDATE(AB1108,12),IF(ISNUMBER(SEARCH("6",'Procyclean 130'!D109)),EDATE(AB1108,6),IF(ISNUMBER(SEARCH("3",'Procyclean 130'!D109)),EDATE(AB1108,3),DATEVALUE('Procyclean 130'!D109))))),""))</f>
        <v/>
      </c>
      <c r="AM1108" t="str">
        <f t="shared" ca="1" si="124"/>
        <v/>
      </c>
    </row>
    <row r="1109" spans="27:39" x14ac:dyDescent="0.3">
      <c r="AA1109" t="str">
        <f>IF(COUNTA('Procyclean 130'!A110,'Procyclean 130'!B110,'Procyclean 130'!C110)&gt;0,"130","")</f>
        <v/>
      </c>
      <c r="AB1109" t="str">
        <f>IFERROR(IF(ISNUMBER('Procyclean 130'!A110),'Procyclean 130'!A110,DATEVALUE('Procyclean 130'!A110)),"")</f>
        <v/>
      </c>
      <c r="AC1109" t="str">
        <f>IF(AA1109="","",'Procyclean 130'!B110)</f>
        <v/>
      </c>
      <c r="AD1109" t="str">
        <f>IF(AA1109="","",IFERROR(1*'Procyclean 130'!C110,IFERROR(_xludf.NUMBERVALUE('Procyclean 130'!C110,".",","),IFERROR(_xludf.NUMBERVALUE('Procyclean 130'!C110,",","."),0))))</f>
        <v/>
      </c>
      <c r="AE1109" t="str">
        <f>IF(AA1109="","",'Procyclean 130'!J110)</f>
        <v/>
      </c>
      <c r="AF1109">
        <f t="shared" si="119"/>
        <v>0</v>
      </c>
      <c r="AG1109" t="str">
        <f t="shared" si="120"/>
        <v/>
      </c>
      <c r="AH1109" t="str">
        <f t="shared" si="121"/>
        <v/>
      </c>
      <c r="AI1109">
        <f t="shared" si="122"/>
        <v>0</v>
      </c>
      <c r="AJ1109">
        <f t="shared" si="123"/>
        <v>0</v>
      </c>
      <c r="AK1109">
        <v>0</v>
      </c>
      <c r="AL1109" t="str">
        <f>IF(AA1109="","",IFERROR(IF(ISNUMBER('Procyclean 130'!D110),'Procyclean 130'!D110,IF(ISNUMBER(SEARCH("12",'Procyclean 130'!D110)),EDATE(AB1109,12),IF(ISNUMBER(SEARCH("6",'Procyclean 130'!D110)),EDATE(AB1109,6),IF(ISNUMBER(SEARCH("3",'Procyclean 130'!D110)),EDATE(AB1109,3),DATEVALUE('Procyclean 130'!D110))))),""))</f>
        <v/>
      </c>
      <c r="AM1109" t="str">
        <f t="shared" ca="1" si="124"/>
        <v/>
      </c>
    </row>
    <row r="1110" spans="27:39" x14ac:dyDescent="0.3">
      <c r="AA1110" t="str">
        <f>IF(COUNTA('Procyclean 130'!A111,'Procyclean 130'!B111,'Procyclean 130'!C111)&gt;0,"130","")</f>
        <v/>
      </c>
      <c r="AB1110" t="str">
        <f>IFERROR(IF(ISNUMBER('Procyclean 130'!A111),'Procyclean 130'!A111,DATEVALUE('Procyclean 130'!A111)),"")</f>
        <v/>
      </c>
      <c r="AC1110" t="str">
        <f>IF(AA1110="","",'Procyclean 130'!B111)</f>
        <v/>
      </c>
      <c r="AD1110" t="str">
        <f>IF(AA1110="","",IFERROR(1*'Procyclean 130'!C111,IFERROR(_xludf.NUMBERVALUE('Procyclean 130'!C111,".",","),IFERROR(_xludf.NUMBERVALUE('Procyclean 130'!C111,",","."),0))))</f>
        <v/>
      </c>
      <c r="AE1110" t="str">
        <f>IF(AA1110="","",'Procyclean 130'!J111)</f>
        <v/>
      </c>
      <c r="AF1110">
        <f t="shared" si="119"/>
        <v>0</v>
      </c>
      <c r="AG1110" t="str">
        <f t="shared" si="120"/>
        <v/>
      </c>
      <c r="AH1110" t="str">
        <f t="shared" si="121"/>
        <v/>
      </c>
      <c r="AI1110">
        <f t="shared" si="122"/>
        <v>0</v>
      </c>
      <c r="AJ1110">
        <f t="shared" si="123"/>
        <v>0</v>
      </c>
      <c r="AK1110">
        <v>0</v>
      </c>
      <c r="AL1110" t="str">
        <f>IF(AA1110="","",IFERROR(IF(ISNUMBER('Procyclean 130'!D111),'Procyclean 130'!D111,IF(ISNUMBER(SEARCH("12",'Procyclean 130'!D111)),EDATE(AB1110,12),IF(ISNUMBER(SEARCH("6",'Procyclean 130'!D111)),EDATE(AB1110,6),IF(ISNUMBER(SEARCH("3",'Procyclean 130'!D111)),EDATE(AB1110,3),DATEVALUE('Procyclean 130'!D111))))),""))</f>
        <v/>
      </c>
      <c r="AM1110" t="str">
        <f t="shared" ca="1" si="124"/>
        <v/>
      </c>
    </row>
    <row r="1111" spans="27:39" x14ac:dyDescent="0.3">
      <c r="AA1111" t="str">
        <f>IF(COUNTA('Procyclean 130'!A112,'Procyclean 130'!B112,'Procyclean 130'!C112)&gt;0,"130","")</f>
        <v/>
      </c>
      <c r="AB1111" t="str">
        <f>IFERROR(IF(ISNUMBER('Procyclean 130'!A112),'Procyclean 130'!A112,DATEVALUE('Procyclean 130'!A112)),"")</f>
        <v/>
      </c>
      <c r="AC1111" t="str">
        <f>IF(AA1111="","",'Procyclean 130'!B112)</f>
        <v/>
      </c>
      <c r="AD1111" t="str">
        <f>IF(AA1111="","",IFERROR(1*'Procyclean 130'!C112,IFERROR(_xludf.NUMBERVALUE('Procyclean 130'!C112,".",","),IFERROR(_xludf.NUMBERVALUE('Procyclean 130'!C112,",","."),0))))</f>
        <v/>
      </c>
      <c r="AE1111" t="str">
        <f>IF(AA1111="","",'Procyclean 130'!J112)</f>
        <v/>
      </c>
      <c r="AF1111">
        <f t="shared" si="119"/>
        <v>0</v>
      </c>
      <c r="AG1111" t="str">
        <f t="shared" si="120"/>
        <v/>
      </c>
      <c r="AH1111" t="str">
        <f t="shared" si="121"/>
        <v/>
      </c>
      <c r="AI1111">
        <f t="shared" si="122"/>
        <v>0</v>
      </c>
      <c r="AJ1111">
        <f t="shared" si="123"/>
        <v>0</v>
      </c>
      <c r="AK1111">
        <v>0</v>
      </c>
      <c r="AL1111" t="str">
        <f>IF(AA1111="","",IFERROR(IF(ISNUMBER('Procyclean 130'!D112),'Procyclean 130'!D112,IF(ISNUMBER(SEARCH("12",'Procyclean 130'!D112)),EDATE(AB1111,12),IF(ISNUMBER(SEARCH("6",'Procyclean 130'!D112)),EDATE(AB1111,6),IF(ISNUMBER(SEARCH("3",'Procyclean 130'!D112)),EDATE(AB1111,3),DATEVALUE('Procyclean 130'!D112))))),""))</f>
        <v/>
      </c>
      <c r="AM1111" t="str">
        <f t="shared" ca="1" si="124"/>
        <v/>
      </c>
    </row>
    <row r="1112" spans="27:39" x14ac:dyDescent="0.3">
      <c r="AA1112" t="str">
        <f>IF(COUNTA('Procyclean 130'!A113,'Procyclean 130'!B113,'Procyclean 130'!C113)&gt;0,"130","")</f>
        <v/>
      </c>
      <c r="AB1112" t="str">
        <f>IFERROR(IF(ISNUMBER('Procyclean 130'!A113),'Procyclean 130'!A113,DATEVALUE('Procyclean 130'!A113)),"")</f>
        <v/>
      </c>
      <c r="AC1112" t="str">
        <f>IF(AA1112="","",'Procyclean 130'!B113)</f>
        <v/>
      </c>
      <c r="AD1112" t="str">
        <f>IF(AA1112="","",IFERROR(1*'Procyclean 130'!C113,IFERROR(_xludf.NUMBERVALUE('Procyclean 130'!C113,".",","),IFERROR(_xludf.NUMBERVALUE('Procyclean 130'!C113,",","."),0))))</f>
        <v/>
      </c>
      <c r="AE1112" t="str">
        <f>IF(AA1112="","",'Procyclean 130'!J113)</f>
        <v/>
      </c>
      <c r="AF1112">
        <f t="shared" si="119"/>
        <v>0</v>
      </c>
      <c r="AG1112" t="str">
        <f t="shared" si="120"/>
        <v/>
      </c>
      <c r="AH1112" t="str">
        <f t="shared" si="121"/>
        <v/>
      </c>
      <c r="AI1112">
        <f t="shared" si="122"/>
        <v>0</v>
      </c>
      <c r="AJ1112">
        <f t="shared" si="123"/>
        <v>0</v>
      </c>
      <c r="AK1112">
        <v>0</v>
      </c>
      <c r="AL1112" t="str">
        <f>IF(AA1112="","",IFERROR(IF(ISNUMBER('Procyclean 130'!D113),'Procyclean 130'!D113,IF(ISNUMBER(SEARCH("12",'Procyclean 130'!D113)),EDATE(AB1112,12),IF(ISNUMBER(SEARCH("6",'Procyclean 130'!D113)),EDATE(AB1112,6),IF(ISNUMBER(SEARCH("3",'Procyclean 130'!D113)),EDATE(AB1112,3),DATEVALUE('Procyclean 130'!D113))))),""))</f>
        <v/>
      </c>
      <c r="AM1112" t="str">
        <f t="shared" ca="1" si="124"/>
        <v/>
      </c>
    </row>
    <row r="1113" spans="27:39" x14ac:dyDescent="0.3">
      <c r="AA1113" t="str">
        <f>IF(COUNTA('Procyclean 130'!A114,'Procyclean 130'!B114,'Procyclean 130'!C114)&gt;0,"130","")</f>
        <v/>
      </c>
      <c r="AB1113" t="str">
        <f>IFERROR(IF(ISNUMBER('Procyclean 130'!A114),'Procyclean 130'!A114,DATEVALUE('Procyclean 130'!A114)),"")</f>
        <v/>
      </c>
      <c r="AC1113" t="str">
        <f>IF(AA1113="","",'Procyclean 130'!B114)</f>
        <v/>
      </c>
      <c r="AD1113" t="str">
        <f>IF(AA1113="","",IFERROR(1*'Procyclean 130'!C114,IFERROR(_xludf.NUMBERVALUE('Procyclean 130'!C114,".",","),IFERROR(_xludf.NUMBERVALUE('Procyclean 130'!C114,",","."),0))))</f>
        <v/>
      </c>
      <c r="AE1113" t="str">
        <f>IF(AA1113="","",'Procyclean 130'!J114)</f>
        <v/>
      </c>
      <c r="AF1113">
        <f t="shared" si="119"/>
        <v>0</v>
      </c>
      <c r="AG1113" t="str">
        <f t="shared" si="120"/>
        <v/>
      </c>
      <c r="AH1113" t="str">
        <f t="shared" si="121"/>
        <v/>
      </c>
      <c r="AI1113">
        <f t="shared" si="122"/>
        <v>0</v>
      </c>
      <c r="AJ1113">
        <f t="shared" si="123"/>
        <v>0</v>
      </c>
      <c r="AK1113">
        <v>0</v>
      </c>
      <c r="AL1113" t="str">
        <f>IF(AA1113="","",IFERROR(IF(ISNUMBER('Procyclean 130'!D114),'Procyclean 130'!D114,IF(ISNUMBER(SEARCH("12",'Procyclean 130'!D114)),EDATE(AB1113,12),IF(ISNUMBER(SEARCH("6",'Procyclean 130'!D114)),EDATE(AB1113,6),IF(ISNUMBER(SEARCH("3",'Procyclean 130'!D114)),EDATE(AB1113,3),DATEVALUE('Procyclean 130'!D114))))),""))</f>
        <v/>
      </c>
      <c r="AM1113" t="str">
        <f t="shared" ca="1" si="124"/>
        <v/>
      </c>
    </row>
    <row r="1114" spans="27:39" x14ac:dyDescent="0.3">
      <c r="AA1114" t="str">
        <f>IF(COUNTA('Procyclean 130'!A115,'Procyclean 130'!B115,'Procyclean 130'!C115)&gt;0,"130","")</f>
        <v/>
      </c>
      <c r="AB1114" t="str">
        <f>IFERROR(IF(ISNUMBER('Procyclean 130'!A115),'Procyclean 130'!A115,DATEVALUE('Procyclean 130'!A115)),"")</f>
        <v/>
      </c>
      <c r="AC1114" t="str">
        <f>IF(AA1114="","",'Procyclean 130'!B115)</f>
        <v/>
      </c>
      <c r="AD1114" t="str">
        <f>IF(AA1114="","",IFERROR(1*'Procyclean 130'!C115,IFERROR(_xludf.NUMBERVALUE('Procyclean 130'!C115,".",","),IFERROR(_xludf.NUMBERVALUE('Procyclean 130'!C115,",","."),0))))</f>
        <v/>
      </c>
      <c r="AE1114" t="str">
        <f>IF(AA1114="","",'Procyclean 130'!J115)</f>
        <v/>
      </c>
      <c r="AF1114">
        <f t="shared" si="119"/>
        <v>0</v>
      </c>
      <c r="AG1114" t="str">
        <f t="shared" si="120"/>
        <v/>
      </c>
      <c r="AH1114" t="str">
        <f t="shared" si="121"/>
        <v/>
      </c>
      <c r="AI1114">
        <f t="shared" si="122"/>
        <v>0</v>
      </c>
      <c r="AJ1114">
        <f t="shared" si="123"/>
        <v>0</v>
      </c>
      <c r="AK1114">
        <v>0</v>
      </c>
      <c r="AL1114" t="str">
        <f>IF(AA1114="","",IFERROR(IF(ISNUMBER('Procyclean 130'!D115),'Procyclean 130'!D115,IF(ISNUMBER(SEARCH("12",'Procyclean 130'!D115)),EDATE(AB1114,12),IF(ISNUMBER(SEARCH("6",'Procyclean 130'!D115)),EDATE(AB1114,6),IF(ISNUMBER(SEARCH("3",'Procyclean 130'!D115)),EDATE(AB1114,3),DATEVALUE('Procyclean 130'!D115))))),""))</f>
        <v/>
      </c>
      <c r="AM1114" t="str">
        <f t="shared" ca="1" si="124"/>
        <v/>
      </c>
    </row>
    <row r="1115" spans="27:39" x14ac:dyDescent="0.3">
      <c r="AA1115" t="str">
        <f>IF(COUNTA('Procyclean 130'!A116,'Procyclean 130'!B116,'Procyclean 130'!C116)&gt;0,"130","")</f>
        <v/>
      </c>
      <c r="AB1115" t="str">
        <f>IFERROR(IF(ISNUMBER('Procyclean 130'!A116),'Procyclean 130'!A116,DATEVALUE('Procyclean 130'!A116)),"")</f>
        <v/>
      </c>
      <c r="AC1115" t="str">
        <f>IF(AA1115="","",'Procyclean 130'!B116)</f>
        <v/>
      </c>
      <c r="AD1115" t="str">
        <f>IF(AA1115="","",IFERROR(1*'Procyclean 130'!C116,IFERROR(_xludf.NUMBERVALUE('Procyclean 130'!C116,".",","),IFERROR(_xludf.NUMBERVALUE('Procyclean 130'!C116,",","."),0))))</f>
        <v/>
      </c>
      <c r="AE1115" t="str">
        <f>IF(AA1115="","",'Procyclean 130'!J116)</f>
        <v/>
      </c>
      <c r="AF1115">
        <f t="shared" si="119"/>
        <v>0</v>
      </c>
      <c r="AG1115" t="str">
        <f t="shared" si="120"/>
        <v/>
      </c>
      <c r="AH1115" t="str">
        <f t="shared" si="121"/>
        <v/>
      </c>
      <c r="AI1115">
        <f t="shared" si="122"/>
        <v>0</v>
      </c>
      <c r="AJ1115">
        <f t="shared" si="123"/>
        <v>0</v>
      </c>
      <c r="AK1115">
        <v>0</v>
      </c>
      <c r="AL1115" t="str">
        <f>IF(AA1115="","",IFERROR(IF(ISNUMBER('Procyclean 130'!D116),'Procyclean 130'!D116,IF(ISNUMBER(SEARCH("12",'Procyclean 130'!D116)),EDATE(AB1115,12),IF(ISNUMBER(SEARCH("6",'Procyclean 130'!D116)),EDATE(AB1115,6),IF(ISNUMBER(SEARCH("3",'Procyclean 130'!D116)),EDATE(AB1115,3),DATEVALUE('Procyclean 130'!D116))))),""))</f>
        <v/>
      </c>
      <c r="AM1115" t="str">
        <f t="shared" ca="1" si="124"/>
        <v/>
      </c>
    </row>
    <row r="1116" spans="27:39" x14ac:dyDescent="0.3">
      <c r="AA1116" t="str">
        <f>IF(COUNTA('Procyclean 130'!A117,'Procyclean 130'!B117,'Procyclean 130'!C117)&gt;0,"130","")</f>
        <v/>
      </c>
      <c r="AB1116" t="str">
        <f>IFERROR(IF(ISNUMBER('Procyclean 130'!A117),'Procyclean 130'!A117,DATEVALUE('Procyclean 130'!A117)),"")</f>
        <v/>
      </c>
      <c r="AC1116" t="str">
        <f>IF(AA1116="","",'Procyclean 130'!B117)</f>
        <v/>
      </c>
      <c r="AD1116" t="str">
        <f>IF(AA1116="","",IFERROR(1*'Procyclean 130'!C117,IFERROR(_xludf.NUMBERVALUE('Procyclean 130'!C117,".",","),IFERROR(_xludf.NUMBERVALUE('Procyclean 130'!C117,",","."),0))))</f>
        <v/>
      </c>
      <c r="AE1116" t="str">
        <f>IF(AA1116="","",'Procyclean 130'!J117)</f>
        <v/>
      </c>
      <c r="AF1116">
        <f t="shared" si="119"/>
        <v>0</v>
      </c>
      <c r="AG1116" t="str">
        <f t="shared" si="120"/>
        <v/>
      </c>
      <c r="AH1116" t="str">
        <f t="shared" si="121"/>
        <v/>
      </c>
      <c r="AI1116">
        <f t="shared" si="122"/>
        <v>0</v>
      </c>
      <c r="AJ1116">
        <f t="shared" si="123"/>
        <v>0</v>
      </c>
      <c r="AK1116">
        <v>0</v>
      </c>
      <c r="AL1116" t="str">
        <f>IF(AA1116="","",IFERROR(IF(ISNUMBER('Procyclean 130'!D117),'Procyclean 130'!D117,IF(ISNUMBER(SEARCH("12",'Procyclean 130'!D117)),EDATE(AB1116,12),IF(ISNUMBER(SEARCH("6",'Procyclean 130'!D117)),EDATE(AB1116,6),IF(ISNUMBER(SEARCH("3",'Procyclean 130'!D117)),EDATE(AB1116,3),DATEVALUE('Procyclean 130'!D117))))),""))</f>
        <v/>
      </c>
      <c r="AM1116" t="str">
        <f t="shared" ca="1" si="124"/>
        <v/>
      </c>
    </row>
    <row r="1117" spans="27:39" x14ac:dyDescent="0.3">
      <c r="AA1117" t="str">
        <f>IF(COUNTA('Procyclean 130'!A118,'Procyclean 130'!B118,'Procyclean 130'!C118)&gt;0,"130","")</f>
        <v/>
      </c>
      <c r="AB1117" t="str">
        <f>IFERROR(IF(ISNUMBER('Procyclean 130'!A118),'Procyclean 130'!A118,DATEVALUE('Procyclean 130'!A118)),"")</f>
        <v/>
      </c>
      <c r="AC1117" t="str">
        <f>IF(AA1117="","",'Procyclean 130'!B118)</f>
        <v/>
      </c>
      <c r="AD1117" t="str">
        <f>IF(AA1117="","",IFERROR(1*'Procyclean 130'!C118,IFERROR(_xludf.NUMBERVALUE('Procyclean 130'!C118,".",","),IFERROR(_xludf.NUMBERVALUE('Procyclean 130'!C118,",","."),0))))</f>
        <v/>
      </c>
      <c r="AE1117" t="str">
        <f>IF(AA1117="","",'Procyclean 130'!J118)</f>
        <v/>
      </c>
      <c r="AF1117">
        <f t="shared" si="119"/>
        <v>0</v>
      </c>
      <c r="AG1117" t="str">
        <f t="shared" si="120"/>
        <v/>
      </c>
      <c r="AH1117" t="str">
        <f t="shared" si="121"/>
        <v/>
      </c>
      <c r="AI1117">
        <f t="shared" si="122"/>
        <v>0</v>
      </c>
      <c r="AJ1117">
        <f t="shared" si="123"/>
        <v>0</v>
      </c>
      <c r="AK1117">
        <v>0</v>
      </c>
      <c r="AL1117" t="str">
        <f>IF(AA1117="","",IFERROR(IF(ISNUMBER('Procyclean 130'!D118),'Procyclean 130'!D118,IF(ISNUMBER(SEARCH("12",'Procyclean 130'!D118)),EDATE(AB1117,12),IF(ISNUMBER(SEARCH("6",'Procyclean 130'!D118)),EDATE(AB1117,6),IF(ISNUMBER(SEARCH("3",'Procyclean 130'!D118)),EDATE(AB1117,3),DATEVALUE('Procyclean 130'!D118))))),""))</f>
        <v/>
      </c>
      <c r="AM1117" t="str">
        <f t="shared" ca="1" si="124"/>
        <v/>
      </c>
    </row>
    <row r="1118" spans="27:39" x14ac:dyDescent="0.3">
      <c r="AA1118" t="str">
        <f>IF(COUNTA('Procyclean 130'!A119,'Procyclean 130'!B119,'Procyclean 130'!C119)&gt;0,"130","")</f>
        <v/>
      </c>
      <c r="AB1118" t="str">
        <f>IFERROR(IF(ISNUMBER('Procyclean 130'!A119),'Procyclean 130'!A119,DATEVALUE('Procyclean 130'!A119)),"")</f>
        <v/>
      </c>
      <c r="AC1118" t="str">
        <f>IF(AA1118="","",'Procyclean 130'!B119)</f>
        <v/>
      </c>
      <c r="AD1118" t="str">
        <f>IF(AA1118="","",IFERROR(1*'Procyclean 130'!C119,IFERROR(_xludf.NUMBERVALUE('Procyclean 130'!C119,".",","),IFERROR(_xludf.NUMBERVALUE('Procyclean 130'!C119,",","."),0))))</f>
        <v/>
      </c>
      <c r="AE1118" t="str">
        <f>IF(AA1118="","",'Procyclean 130'!J119)</f>
        <v/>
      </c>
      <c r="AF1118">
        <f t="shared" si="119"/>
        <v>0</v>
      </c>
      <c r="AG1118" t="str">
        <f t="shared" si="120"/>
        <v/>
      </c>
      <c r="AH1118" t="str">
        <f t="shared" si="121"/>
        <v/>
      </c>
      <c r="AI1118">
        <f t="shared" si="122"/>
        <v>0</v>
      </c>
      <c r="AJ1118">
        <f t="shared" si="123"/>
        <v>0</v>
      </c>
      <c r="AK1118">
        <v>0</v>
      </c>
      <c r="AL1118" t="str">
        <f>IF(AA1118="","",IFERROR(IF(ISNUMBER('Procyclean 130'!D119),'Procyclean 130'!D119,IF(ISNUMBER(SEARCH("12",'Procyclean 130'!D119)),EDATE(AB1118,12),IF(ISNUMBER(SEARCH("6",'Procyclean 130'!D119)),EDATE(AB1118,6),IF(ISNUMBER(SEARCH("3",'Procyclean 130'!D119)),EDATE(AB1118,3),DATEVALUE('Procyclean 130'!D119))))),""))</f>
        <v/>
      </c>
      <c r="AM1118" t="str">
        <f t="shared" ca="1" si="124"/>
        <v/>
      </c>
    </row>
    <row r="1119" spans="27:39" x14ac:dyDescent="0.3">
      <c r="AA1119" t="str">
        <f>IF(COUNTA('Procyclean 130'!A120,'Procyclean 130'!B120,'Procyclean 130'!C120)&gt;0,"130","")</f>
        <v/>
      </c>
      <c r="AB1119" t="str">
        <f>IFERROR(IF(ISNUMBER('Procyclean 130'!A120),'Procyclean 130'!A120,DATEVALUE('Procyclean 130'!A120)),"")</f>
        <v/>
      </c>
      <c r="AC1119" t="str">
        <f>IF(AA1119="","",'Procyclean 130'!B120)</f>
        <v/>
      </c>
      <c r="AD1119" t="str">
        <f>IF(AA1119="","",IFERROR(1*'Procyclean 130'!C120,IFERROR(_xludf.NUMBERVALUE('Procyclean 130'!C120,".",","),IFERROR(_xludf.NUMBERVALUE('Procyclean 130'!C120,",","."),0))))</f>
        <v/>
      </c>
      <c r="AE1119" t="str">
        <f>IF(AA1119="","",'Procyclean 130'!J120)</f>
        <v/>
      </c>
      <c r="AF1119">
        <f t="shared" si="119"/>
        <v>0</v>
      </c>
      <c r="AG1119" t="str">
        <f t="shared" si="120"/>
        <v/>
      </c>
      <c r="AH1119" t="str">
        <f t="shared" si="121"/>
        <v/>
      </c>
      <c r="AI1119">
        <f t="shared" si="122"/>
        <v>0</v>
      </c>
      <c r="AJ1119">
        <f t="shared" si="123"/>
        <v>0</v>
      </c>
      <c r="AK1119">
        <v>0</v>
      </c>
      <c r="AL1119" t="str">
        <f>IF(AA1119="","",IFERROR(IF(ISNUMBER('Procyclean 130'!D120),'Procyclean 130'!D120,IF(ISNUMBER(SEARCH("12",'Procyclean 130'!D120)),EDATE(AB1119,12),IF(ISNUMBER(SEARCH("6",'Procyclean 130'!D120)),EDATE(AB1119,6),IF(ISNUMBER(SEARCH("3",'Procyclean 130'!D120)),EDATE(AB1119,3),DATEVALUE('Procyclean 130'!D120))))),""))</f>
        <v/>
      </c>
      <c r="AM1119" t="str">
        <f t="shared" ca="1" si="124"/>
        <v/>
      </c>
    </row>
    <row r="1120" spans="27:39" x14ac:dyDescent="0.3">
      <c r="AA1120" t="str">
        <f>IF(COUNTA('Procyclean 130'!A121,'Procyclean 130'!B121,'Procyclean 130'!C121)&gt;0,"130","")</f>
        <v/>
      </c>
      <c r="AB1120" t="str">
        <f>IFERROR(IF(ISNUMBER('Procyclean 130'!A121),'Procyclean 130'!A121,DATEVALUE('Procyclean 130'!A121)),"")</f>
        <v/>
      </c>
      <c r="AC1120" t="str">
        <f>IF(AA1120="","",'Procyclean 130'!B121)</f>
        <v/>
      </c>
      <c r="AD1120" t="str">
        <f>IF(AA1120="","",IFERROR(1*'Procyclean 130'!C121,IFERROR(_xludf.NUMBERVALUE('Procyclean 130'!C121,".",","),IFERROR(_xludf.NUMBERVALUE('Procyclean 130'!C121,",","."),0))))</f>
        <v/>
      </c>
      <c r="AE1120" t="str">
        <f>IF(AA1120="","",'Procyclean 130'!J121)</f>
        <v/>
      </c>
      <c r="AF1120">
        <f t="shared" si="119"/>
        <v>0</v>
      </c>
      <c r="AG1120" t="str">
        <f t="shared" si="120"/>
        <v/>
      </c>
      <c r="AH1120" t="str">
        <f t="shared" si="121"/>
        <v/>
      </c>
      <c r="AI1120">
        <f t="shared" si="122"/>
        <v>0</v>
      </c>
      <c r="AJ1120">
        <f t="shared" si="123"/>
        <v>0</v>
      </c>
      <c r="AK1120">
        <v>0</v>
      </c>
      <c r="AL1120" t="str">
        <f>IF(AA1120="","",IFERROR(IF(ISNUMBER('Procyclean 130'!D121),'Procyclean 130'!D121,IF(ISNUMBER(SEARCH("12",'Procyclean 130'!D121)),EDATE(AB1120,12),IF(ISNUMBER(SEARCH("6",'Procyclean 130'!D121)),EDATE(AB1120,6),IF(ISNUMBER(SEARCH("3",'Procyclean 130'!D121)),EDATE(AB1120,3),DATEVALUE('Procyclean 130'!D121))))),""))</f>
        <v/>
      </c>
      <c r="AM1120" t="str">
        <f t="shared" ca="1" si="124"/>
        <v/>
      </c>
    </row>
    <row r="1121" spans="27:39" x14ac:dyDescent="0.3">
      <c r="AA1121" t="str">
        <f>IF(COUNTA('Procyclean 130'!A122,'Procyclean 130'!B122,'Procyclean 130'!C122)&gt;0,"130","")</f>
        <v/>
      </c>
      <c r="AB1121" t="str">
        <f>IFERROR(IF(ISNUMBER('Procyclean 130'!A122),'Procyclean 130'!A122,DATEVALUE('Procyclean 130'!A122)),"")</f>
        <v/>
      </c>
      <c r="AC1121" t="str">
        <f>IF(AA1121="","",'Procyclean 130'!B122)</f>
        <v/>
      </c>
      <c r="AD1121" t="str">
        <f>IF(AA1121="","",IFERROR(1*'Procyclean 130'!C122,IFERROR(_xludf.NUMBERVALUE('Procyclean 130'!C122,".",","),IFERROR(_xludf.NUMBERVALUE('Procyclean 130'!C122,",","."),0))))</f>
        <v/>
      </c>
      <c r="AE1121" t="str">
        <f>IF(AA1121="","",'Procyclean 130'!J122)</f>
        <v/>
      </c>
      <c r="AF1121">
        <f t="shared" si="119"/>
        <v>0</v>
      </c>
      <c r="AG1121" t="str">
        <f t="shared" si="120"/>
        <v/>
      </c>
      <c r="AH1121" t="str">
        <f t="shared" si="121"/>
        <v/>
      </c>
      <c r="AI1121">
        <f t="shared" si="122"/>
        <v>0</v>
      </c>
      <c r="AJ1121">
        <f t="shared" si="123"/>
        <v>0</v>
      </c>
      <c r="AK1121">
        <v>0</v>
      </c>
      <c r="AL1121" t="str">
        <f>IF(AA1121="","",IFERROR(IF(ISNUMBER('Procyclean 130'!D122),'Procyclean 130'!D122,IF(ISNUMBER(SEARCH("12",'Procyclean 130'!D122)),EDATE(AB1121,12),IF(ISNUMBER(SEARCH("6",'Procyclean 130'!D122)),EDATE(AB1121,6),IF(ISNUMBER(SEARCH("3",'Procyclean 130'!D122)),EDATE(AB1121,3),DATEVALUE('Procyclean 130'!D122))))),""))</f>
        <v/>
      </c>
      <c r="AM1121" t="str">
        <f t="shared" ca="1" si="124"/>
        <v/>
      </c>
    </row>
    <row r="1122" spans="27:39" x14ac:dyDescent="0.3">
      <c r="AA1122" t="str">
        <f>IF(COUNTA('Procyclean 130'!A123,'Procyclean 130'!B123,'Procyclean 130'!C123)&gt;0,"130","")</f>
        <v/>
      </c>
      <c r="AB1122" t="str">
        <f>IFERROR(IF(ISNUMBER('Procyclean 130'!A123),'Procyclean 130'!A123,DATEVALUE('Procyclean 130'!A123)),"")</f>
        <v/>
      </c>
      <c r="AC1122" t="str">
        <f>IF(AA1122="","",'Procyclean 130'!B123)</f>
        <v/>
      </c>
      <c r="AD1122" t="str">
        <f>IF(AA1122="","",IFERROR(1*'Procyclean 130'!C123,IFERROR(_xludf.NUMBERVALUE('Procyclean 130'!C123,".",","),IFERROR(_xludf.NUMBERVALUE('Procyclean 130'!C123,",","."),0))))</f>
        <v/>
      </c>
      <c r="AE1122" t="str">
        <f>IF(AA1122="","",'Procyclean 130'!J123)</f>
        <v/>
      </c>
      <c r="AF1122">
        <f t="shared" si="119"/>
        <v>0</v>
      </c>
      <c r="AG1122" t="str">
        <f t="shared" si="120"/>
        <v/>
      </c>
      <c r="AH1122" t="str">
        <f t="shared" si="121"/>
        <v/>
      </c>
      <c r="AI1122">
        <f t="shared" si="122"/>
        <v>0</v>
      </c>
      <c r="AJ1122">
        <f t="shared" si="123"/>
        <v>0</v>
      </c>
      <c r="AK1122">
        <v>0</v>
      </c>
      <c r="AL1122" t="str">
        <f>IF(AA1122="","",IFERROR(IF(ISNUMBER('Procyclean 130'!D123),'Procyclean 130'!D123,IF(ISNUMBER(SEARCH("12",'Procyclean 130'!D123)),EDATE(AB1122,12),IF(ISNUMBER(SEARCH("6",'Procyclean 130'!D123)),EDATE(AB1122,6),IF(ISNUMBER(SEARCH("3",'Procyclean 130'!D123)),EDATE(AB1122,3),DATEVALUE('Procyclean 130'!D123))))),""))</f>
        <v/>
      </c>
      <c r="AM1122" t="str">
        <f t="shared" ca="1" si="124"/>
        <v/>
      </c>
    </row>
    <row r="1123" spans="27:39" x14ac:dyDescent="0.3">
      <c r="AA1123" t="str">
        <f>IF(COUNTA('Procyclean 130'!A124,'Procyclean 130'!B124,'Procyclean 130'!C124)&gt;0,"130","")</f>
        <v/>
      </c>
      <c r="AB1123" t="str">
        <f>IFERROR(IF(ISNUMBER('Procyclean 130'!A124),'Procyclean 130'!A124,DATEVALUE('Procyclean 130'!A124)),"")</f>
        <v/>
      </c>
      <c r="AC1123" t="str">
        <f>IF(AA1123="","",'Procyclean 130'!B124)</f>
        <v/>
      </c>
      <c r="AD1123" t="str">
        <f>IF(AA1123="","",IFERROR(1*'Procyclean 130'!C124,IFERROR(_xludf.NUMBERVALUE('Procyclean 130'!C124,".",","),IFERROR(_xludf.NUMBERVALUE('Procyclean 130'!C124,",","."),0))))</f>
        <v/>
      </c>
      <c r="AE1123" t="str">
        <f>IF(AA1123="","",'Procyclean 130'!J124)</f>
        <v/>
      </c>
      <c r="AF1123">
        <f t="shared" si="119"/>
        <v>0</v>
      </c>
      <c r="AG1123" t="str">
        <f t="shared" si="120"/>
        <v/>
      </c>
      <c r="AH1123" t="str">
        <f t="shared" si="121"/>
        <v/>
      </c>
      <c r="AI1123">
        <f t="shared" si="122"/>
        <v>0</v>
      </c>
      <c r="AJ1123">
        <f t="shared" si="123"/>
        <v>0</v>
      </c>
      <c r="AK1123">
        <v>0</v>
      </c>
      <c r="AL1123" t="str">
        <f>IF(AA1123="","",IFERROR(IF(ISNUMBER('Procyclean 130'!D124),'Procyclean 130'!D124,IF(ISNUMBER(SEARCH("12",'Procyclean 130'!D124)),EDATE(AB1123,12),IF(ISNUMBER(SEARCH("6",'Procyclean 130'!D124)),EDATE(AB1123,6),IF(ISNUMBER(SEARCH("3",'Procyclean 130'!D124)),EDATE(AB1123,3),DATEVALUE('Procyclean 130'!D124))))),""))</f>
        <v/>
      </c>
      <c r="AM1123" t="str">
        <f t="shared" ca="1" si="124"/>
        <v/>
      </c>
    </row>
    <row r="1124" spans="27:39" x14ac:dyDescent="0.3">
      <c r="AA1124" t="str">
        <f>IF(COUNTA('Procyclean 130'!A125,'Procyclean 130'!B125,'Procyclean 130'!C125)&gt;0,"130","")</f>
        <v/>
      </c>
      <c r="AB1124" t="str">
        <f>IFERROR(IF(ISNUMBER('Procyclean 130'!A125),'Procyclean 130'!A125,DATEVALUE('Procyclean 130'!A125)),"")</f>
        <v/>
      </c>
      <c r="AC1124" t="str">
        <f>IF(AA1124="","",'Procyclean 130'!B125)</f>
        <v/>
      </c>
      <c r="AD1124" t="str">
        <f>IF(AA1124="","",IFERROR(1*'Procyclean 130'!C125,IFERROR(_xludf.NUMBERVALUE('Procyclean 130'!C125,".",","),IFERROR(_xludf.NUMBERVALUE('Procyclean 130'!C125,",","."),0))))</f>
        <v/>
      </c>
      <c r="AE1124" t="str">
        <f>IF(AA1124="","",'Procyclean 130'!J125)</f>
        <v/>
      </c>
      <c r="AF1124">
        <f t="shared" si="119"/>
        <v>0</v>
      </c>
      <c r="AG1124" t="str">
        <f t="shared" si="120"/>
        <v/>
      </c>
      <c r="AH1124" t="str">
        <f t="shared" si="121"/>
        <v/>
      </c>
      <c r="AI1124">
        <f t="shared" si="122"/>
        <v>0</v>
      </c>
      <c r="AJ1124">
        <f t="shared" si="123"/>
        <v>0</v>
      </c>
      <c r="AK1124">
        <v>0</v>
      </c>
      <c r="AL1124" t="str">
        <f>IF(AA1124="","",IFERROR(IF(ISNUMBER('Procyclean 130'!D125),'Procyclean 130'!D125,IF(ISNUMBER(SEARCH("12",'Procyclean 130'!D125)),EDATE(AB1124,12),IF(ISNUMBER(SEARCH("6",'Procyclean 130'!D125)),EDATE(AB1124,6),IF(ISNUMBER(SEARCH("3",'Procyclean 130'!D125)),EDATE(AB1124,3),DATEVALUE('Procyclean 130'!D125))))),""))</f>
        <v/>
      </c>
      <c r="AM1124" t="str">
        <f t="shared" ca="1" si="124"/>
        <v/>
      </c>
    </row>
    <row r="1125" spans="27:39" x14ac:dyDescent="0.3">
      <c r="AA1125" t="str">
        <f>IF(COUNTA('Procyclean 130'!A126,'Procyclean 130'!B126,'Procyclean 130'!C126)&gt;0,"130","")</f>
        <v/>
      </c>
      <c r="AB1125" t="str">
        <f>IFERROR(IF(ISNUMBER('Procyclean 130'!A126),'Procyclean 130'!A126,DATEVALUE('Procyclean 130'!A126)),"")</f>
        <v/>
      </c>
      <c r="AC1125" t="str">
        <f>IF(AA1125="","",'Procyclean 130'!B126)</f>
        <v/>
      </c>
      <c r="AD1125" t="str">
        <f>IF(AA1125="","",IFERROR(1*'Procyclean 130'!C126,IFERROR(_xludf.NUMBERVALUE('Procyclean 130'!C126,".",","),IFERROR(_xludf.NUMBERVALUE('Procyclean 130'!C126,",","."),0))))</f>
        <v/>
      </c>
      <c r="AE1125" t="str">
        <f>IF(AA1125="","",'Procyclean 130'!J126)</f>
        <v/>
      </c>
      <c r="AF1125">
        <f t="shared" si="119"/>
        <v>0</v>
      </c>
      <c r="AG1125" t="str">
        <f t="shared" si="120"/>
        <v/>
      </c>
      <c r="AH1125" t="str">
        <f t="shared" si="121"/>
        <v/>
      </c>
      <c r="AI1125">
        <f t="shared" si="122"/>
        <v>0</v>
      </c>
      <c r="AJ1125">
        <f t="shared" si="123"/>
        <v>0</v>
      </c>
      <c r="AK1125">
        <v>0</v>
      </c>
      <c r="AL1125" t="str">
        <f>IF(AA1125="","",IFERROR(IF(ISNUMBER('Procyclean 130'!D126),'Procyclean 130'!D126,IF(ISNUMBER(SEARCH("12",'Procyclean 130'!D126)),EDATE(AB1125,12),IF(ISNUMBER(SEARCH("6",'Procyclean 130'!D126)),EDATE(AB1125,6),IF(ISNUMBER(SEARCH("3",'Procyclean 130'!D126)),EDATE(AB1125,3),DATEVALUE('Procyclean 130'!D126))))),""))</f>
        <v/>
      </c>
      <c r="AM1125" t="str">
        <f t="shared" ca="1" si="124"/>
        <v/>
      </c>
    </row>
    <row r="1126" spans="27:39" x14ac:dyDescent="0.3">
      <c r="AA1126" t="str">
        <f>IF(COUNTA('Procyclean 130'!A127,'Procyclean 130'!B127,'Procyclean 130'!C127)&gt;0,"130","")</f>
        <v/>
      </c>
      <c r="AB1126" t="str">
        <f>IFERROR(IF(ISNUMBER('Procyclean 130'!A127),'Procyclean 130'!A127,DATEVALUE('Procyclean 130'!A127)),"")</f>
        <v/>
      </c>
      <c r="AC1126" t="str">
        <f>IF(AA1126="","",'Procyclean 130'!B127)</f>
        <v/>
      </c>
      <c r="AD1126" t="str">
        <f>IF(AA1126="","",IFERROR(1*'Procyclean 130'!C127,IFERROR(_xludf.NUMBERVALUE('Procyclean 130'!C127,".",","),IFERROR(_xludf.NUMBERVALUE('Procyclean 130'!C127,",","."),0))))</f>
        <v/>
      </c>
      <c r="AE1126" t="str">
        <f>IF(AA1126="","",'Procyclean 130'!J127)</f>
        <v/>
      </c>
      <c r="AF1126">
        <f t="shared" si="119"/>
        <v>0</v>
      </c>
      <c r="AG1126" t="str">
        <f t="shared" si="120"/>
        <v/>
      </c>
      <c r="AH1126" t="str">
        <f t="shared" si="121"/>
        <v/>
      </c>
      <c r="AI1126">
        <f t="shared" si="122"/>
        <v>0</v>
      </c>
      <c r="AJ1126">
        <f t="shared" si="123"/>
        <v>0</v>
      </c>
      <c r="AK1126">
        <v>0</v>
      </c>
      <c r="AL1126" t="str">
        <f>IF(AA1126="","",IFERROR(IF(ISNUMBER('Procyclean 130'!D127),'Procyclean 130'!D127,IF(ISNUMBER(SEARCH("12",'Procyclean 130'!D127)),EDATE(AB1126,12),IF(ISNUMBER(SEARCH("6",'Procyclean 130'!D127)),EDATE(AB1126,6),IF(ISNUMBER(SEARCH("3",'Procyclean 130'!D127)),EDATE(AB1126,3),DATEVALUE('Procyclean 130'!D127))))),""))</f>
        <v/>
      </c>
      <c r="AM1126" t="str">
        <f t="shared" ca="1" si="124"/>
        <v/>
      </c>
    </row>
    <row r="1127" spans="27:39" x14ac:dyDescent="0.3">
      <c r="AA1127" t="str">
        <f>IF(COUNTA('Procyclean 130'!A128,'Procyclean 130'!B128,'Procyclean 130'!C128)&gt;0,"130","")</f>
        <v/>
      </c>
      <c r="AB1127" t="str">
        <f>IFERROR(IF(ISNUMBER('Procyclean 130'!A128),'Procyclean 130'!A128,DATEVALUE('Procyclean 130'!A128)),"")</f>
        <v/>
      </c>
      <c r="AC1127" t="str">
        <f>IF(AA1127="","",'Procyclean 130'!B128)</f>
        <v/>
      </c>
      <c r="AD1127" t="str">
        <f>IF(AA1127="","",IFERROR(1*'Procyclean 130'!C128,IFERROR(_xludf.NUMBERVALUE('Procyclean 130'!C128,".",","),IFERROR(_xludf.NUMBERVALUE('Procyclean 130'!C128,",","."),0))))</f>
        <v/>
      </c>
      <c r="AE1127" t="str">
        <f>IF(AA1127="","",'Procyclean 130'!J128)</f>
        <v/>
      </c>
      <c r="AF1127">
        <f t="shared" si="119"/>
        <v>0</v>
      </c>
      <c r="AG1127" t="str">
        <f t="shared" si="120"/>
        <v/>
      </c>
      <c r="AH1127" t="str">
        <f t="shared" si="121"/>
        <v/>
      </c>
      <c r="AI1127">
        <f t="shared" si="122"/>
        <v>0</v>
      </c>
      <c r="AJ1127">
        <f t="shared" si="123"/>
        <v>0</v>
      </c>
      <c r="AK1127">
        <v>0</v>
      </c>
      <c r="AL1127" t="str">
        <f>IF(AA1127="","",IFERROR(IF(ISNUMBER('Procyclean 130'!D128),'Procyclean 130'!D128,IF(ISNUMBER(SEARCH("12",'Procyclean 130'!D128)),EDATE(AB1127,12),IF(ISNUMBER(SEARCH("6",'Procyclean 130'!D128)),EDATE(AB1127,6),IF(ISNUMBER(SEARCH("3",'Procyclean 130'!D128)),EDATE(AB1127,3),DATEVALUE('Procyclean 130'!D128))))),""))</f>
        <v/>
      </c>
      <c r="AM1127" t="str">
        <f t="shared" ca="1" si="124"/>
        <v/>
      </c>
    </row>
    <row r="1128" spans="27:39" x14ac:dyDescent="0.3">
      <c r="AA1128" t="str">
        <f>IF(COUNTA('Procyclean 130'!A129,'Procyclean 130'!B129,'Procyclean 130'!C129)&gt;0,"130","")</f>
        <v/>
      </c>
      <c r="AB1128" t="str">
        <f>IFERROR(IF(ISNUMBER('Procyclean 130'!A129),'Procyclean 130'!A129,DATEVALUE('Procyclean 130'!A129)),"")</f>
        <v/>
      </c>
      <c r="AC1128" t="str">
        <f>IF(AA1128="","",'Procyclean 130'!B129)</f>
        <v/>
      </c>
      <c r="AD1128" t="str">
        <f>IF(AA1128="","",IFERROR(1*'Procyclean 130'!C129,IFERROR(_xludf.NUMBERVALUE('Procyclean 130'!C129,".",","),IFERROR(_xludf.NUMBERVALUE('Procyclean 130'!C129,",","."),0))))</f>
        <v/>
      </c>
      <c r="AE1128" t="str">
        <f>IF(AA1128="","",'Procyclean 130'!J129)</f>
        <v/>
      </c>
      <c r="AF1128">
        <f t="shared" si="119"/>
        <v>0</v>
      </c>
      <c r="AG1128" t="str">
        <f t="shared" si="120"/>
        <v/>
      </c>
      <c r="AH1128" t="str">
        <f t="shared" si="121"/>
        <v/>
      </c>
      <c r="AI1128">
        <f t="shared" si="122"/>
        <v>0</v>
      </c>
      <c r="AJ1128">
        <f t="shared" si="123"/>
        <v>0</v>
      </c>
      <c r="AK1128">
        <v>0</v>
      </c>
      <c r="AL1128" t="str">
        <f>IF(AA1128="","",IFERROR(IF(ISNUMBER('Procyclean 130'!D129),'Procyclean 130'!D129,IF(ISNUMBER(SEARCH("12",'Procyclean 130'!D129)),EDATE(AB1128,12),IF(ISNUMBER(SEARCH("6",'Procyclean 130'!D129)),EDATE(AB1128,6),IF(ISNUMBER(SEARCH("3",'Procyclean 130'!D129)),EDATE(AB1128,3),DATEVALUE('Procyclean 130'!D129))))),""))</f>
        <v/>
      </c>
      <c r="AM1128" t="str">
        <f t="shared" ca="1" si="124"/>
        <v/>
      </c>
    </row>
    <row r="1129" spans="27:39" x14ac:dyDescent="0.3">
      <c r="AA1129" t="str">
        <f>IF(COUNTA('Procyclean 130'!A130,'Procyclean 130'!B130,'Procyclean 130'!C130)&gt;0,"130","")</f>
        <v/>
      </c>
      <c r="AB1129" t="str">
        <f>IFERROR(IF(ISNUMBER('Procyclean 130'!A130),'Procyclean 130'!A130,DATEVALUE('Procyclean 130'!A130)),"")</f>
        <v/>
      </c>
      <c r="AC1129" t="str">
        <f>IF(AA1129="","",'Procyclean 130'!B130)</f>
        <v/>
      </c>
      <c r="AD1129" t="str">
        <f>IF(AA1129="","",IFERROR(1*'Procyclean 130'!C130,IFERROR(_xludf.NUMBERVALUE('Procyclean 130'!C130,".",","),IFERROR(_xludf.NUMBERVALUE('Procyclean 130'!C130,",","."),0))))</f>
        <v/>
      </c>
      <c r="AE1129" t="str">
        <f>IF(AA1129="","",'Procyclean 130'!J130)</f>
        <v/>
      </c>
      <c r="AF1129">
        <f t="shared" si="119"/>
        <v>0</v>
      </c>
      <c r="AG1129" t="str">
        <f t="shared" si="120"/>
        <v/>
      </c>
      <c r="AH1129" t="str">
        <f t="shared" si="121"/>
        <v/>
      </c>
      <c r="AI1129">
        <f t="shared" si="122"/>
        <v>0</v>
      </c>
      <c r="AJ1129">
        <f t="shared" si="123"/>
        <v>0</v>
      </c>
      <c r="AK1129">
        <v>0</v>
      </c>
      <c r="AL1129" t="str">
        <f>IF(AA1129="","",IFERROR(IF(ISNUMBER('Procyclean 130'!D130),'Procyclean 130'!D130,IF(ISNUMBER(SEARCH("12",'Procyclean 130'!D130)),EDATE(AB1129,12),IF(ISNUMBER(SEARCH("6",'Procyclean 130'!D130)),EDATE(AB1129,6),IF(ISNUMBER(SEARCH("3",'Procyclean 130'!D130)),EDATE(AB1129,3),DATEVALUE('Procyclean 130'!D130))))),""))</f>
        <v/>
      </c>
      <c r="AM1129" t="str">
        <f t="shared" ca="1" si="124"/>
        <v/>
      </c>
    </row>
    <row r="1130" spans="27:39" x14ac:dyDescent="0.3">
      <c r="AA1130" t="str">
        <f>IF(COUNTA('Procyclean 130'!A131,'Procyclean 130'!B131,'Procyclean 130'!C131)&gt;0,"130","")</f>
        <v/>
      </c>
      <c r="AB1130" t="str">
        <f>IFERROR(IF(ISNUMBER('Procyclean 130'!A131),'Procyclean 130'!A131,DATEVALUE('Procyclean 130'!A131)),"")</f>
        <v/>
      </c>
      <c r="AC1130" t="str">
        <f>IF(AA1130="","",'Procyclean 130'!B131)</f>
        <v/>
      </c>
      <c r="AD1130" t="str">
        <f>IF(AA1130="","",IFERROR(1*'Procyclean 130'!C131,IFERROR(_xludf.NUMBERVALUE('Procyclean 130'!C131,".",","),IFERROR(_xludf.NUMBERVALUE('Procyclean 130'!C131,",","."),0))))</f>
        <v/>
      </c>
      <c r="AE1130" t="str">
        <f>IF(AA1130="","",'Procyclean 130'!J131)</f>
        <v/>
      </c>
      <c r="AF1130">
        <f t="shared" si="119"/>
        <v>0</v>
      </c>
      <c r="AG1130" t="str">
        <f t="shared" si="120"/>
        <v/>
      </c>
      <c r="AH1130" t="str">
        <f t="shared" si="121"/>
        <v/>
      </c>
      <c r="AI1130">
        <f t="shared" si="122"/>
        <v>0</v>
      </c>
      <c r="AJ1130">
        <f t="shared" si="123"/>
        <v>0</v>
      </c>
      <c r="AK1130">
        <v>0</v>
      </c>
      <c r="AL1130" t="str">
        <f>IF(AA1130="","",IFERROR(IF(ISNUMBER('Procyclean 130'!D131),'Procyclean 130'!D131,IF(ISNUMBER(SEARCH("12",'Procyclean 130'!D131)),EDATE(AB1130,12),IF(ISNUMBER(SEARCH("6",'Procyclean 130'!D131)),EDATE(AB1130,6),IF(ISNUMBER(SEARCH("3",'Procyclean 130'!D131)),EDATE(AB1130,3),DATEVALUE('Procyclean 130'!D131))))),""))</f>
        <v/>
      </c>
      <c r="AM1130" t="str">
        <f t="shared" ca="1" si="124"/>
        <v/>
      </c>
    </row>
    <row r="1131" spans="27:39" x14ac:dyDescent="0.3">
      <c r="AA1131" t="str">
        <f>IF(COUNTA('Procyclean 130'!A132,'Procyclean 130'!B132,'Procyclean 130'!C132)&gt;0,"130","")</f>
        <v/>
      </c>
      <c r="AB1131" t="str">
        <f>IFERROR(IF(ISNUMBER('Procyclean 130'!A132),'Procyclean 130'!A132,DATEVALUE('Procyclean 130'!A132)),"")</f>
        <v/>
      </c>
      <c r="AC1131" t="str">
        <f>IF(AA1131="","",'Procyclean 130'!B132)</f>
        <v/>
      </c>
      <c r="AD1131" t="str">
        <f>IF(AA1131="","",IFERROR(1*'Procyclean 130'!C132,IFERROR(_xludf.NUMBERVALUE('Procyclean 130'!C132,".",","),IFERROR(_xludf.NUMBERVALUE('Procyclean 130'!C132,",","."),0))))</f>
        <v/>
      </c>
      <c r="AE1131" t="str">
        <f>IF(AA1131="","",'Procyclean 130'!J132)</f>
        <v/>
      </c>
      <c r="AF1131">
        <f t="shared" si="119"/>
        <v>0</v>
      </c>
      <c r="AG1131" t="str">
        <f t="shared" si="120"/>
        <v/>
      </c>
      <c r="AH1131" t="str">
        <f t="shared" si="121"/>
        <v/>
      </c>
      <c r="AI1131">
        <f t="shared" si="122"/>
        <v>0</v>
      </c>
      <c r="AJ1131">
        <f t="shared" si="123"/>
        <v>0</v>
      </c>
      <c r="AK1131">
        <v>0</v>
      </c>
      <c r="AL1131" t="str">
        <f>IF(AA1131="","",IFERROR(IF(ISNUMBER('Procyclean 130'!D132),'Procyclean 130'!D132,IF(ISNUMBER(SEARCH("12",'Procyclean 130'!D132)),EDATE(AB1131,12),IF(ISNUMBER(SEARCH("6",'Procyclean 130'!D132)),EDATE(AB1131,6),IF(ISNUMBER(SEARCH("3",'Procyclean 130'!D132)),EDATE(AB1131,3),DATEVALUE('Procyclean 130'!D132))))),""))</f>
        <v/>
      </c>
      <c r="AM1131" t="str">
        <f t="shared" ca="1" si="124"/>
        <v/>
      </c>
    </row>
    <row r="1132" spans="27:39" x14ac:dyDescent="0.3">
      <c r="AA1132" t="str">
        <f>IF(COUNTA('Procyclean 130'!A133,'Procyclean 130'!B133,'Procyclean 130'!C133)&gt;0,"130","")</f>
        <v/>
      </c>
      <c r="AB1132" t="str">
        <f>IFERROR(IF(ISNUMBER('Procyclean 130'!A133),'Procyclean 130'!A133,DATEVALUE('Procyclean 130'!A133)),"")</f>
        <v/>
      </c>
      <c r="AC1132" t="str">
        <f>IF(AA1132="","",'Procyclean 130'!B133)</f>
        <v/>
      </c>
      <c r="AD1132" t="str">
        <f>IF(AA1132="","",IFERROR(1*'Procyclean 130'!C133,IFERROR(_xludf.NUMBERVALUE('Procyclean 130'!C133,".",","),IFERROR(_xludf.NUMBERVALUE('Procyclean 130'!C133,",","."),0))))</f>
        <v/>
      </c>
      <c r="AE1132" t="str">
        <f>IF(AA1132="","",'Procyclean 130'!J133)</f>
        <v/>
      </c>
      <c r="AF1132">
        <f t="shared" si="119"/>
        <v>0</v>
      </c>
      <c r="AG1132" t="str">
        <f t="shared" si="120"/>
        <v/>
      </c>
      <c r="AH1132" t="str">
        <f t="shared" si="121"/>
        <v/>
      </c>
      <c r="AI1132">
        <f t="shared" si="122"/>
        <v>0</v>
      </c>
      <c r="AJ1132">
        <f t="shared" si="123"/>
        <v>0</v>
      </c>
      <c r="AK1132">
        <v>0</v>
      </c>
      <c r="AL1132" t="str">
        <f>IF(AA1132="","",IFERROR(IF(ISNUMBER('Procyclean 130'!D133),'Procyclean 130'!D133,IF(ISNUMBER(SEARCH("12",'Procyclean 130'!D133)),EDATE(AB1132,12),IF(ISNUMBER(SEARCH("6",'Procyclean 130'!D133)),EDATE(AB1132,6),IF(ISNUMBER(SEARCH("3",'Procyclean 130'!D133)),EDATE(AB1132,3),DATEVALUE('Procyclean 130'!D133))))),""))</f>
        <v/>
      </c>
      <c r="AM1132" t="str">
        <f t="shared" ca="1" si="124"/>
        <v/>
      </c>
    </row>
    <row r="1133" spans="27:39" x14ac:dyDescent="0.3">
      <c r="AA1133" t="str">
        <f>IF(COUNTA('Procyclean 130'!A134,'Procyclean 130'!B134,'Procyclean 130'!C134)&gt;0,"130","")</f>
        <v/>
      </c>
      <c r="AB1133" t="str">
        <f>IFERROR(IF(ISNUMBER('Procyclean 130'!A134),'Procyclean 130'!A134,DATEVALUE('Procyclean 130'!A134)),"")</f>
        <v/>
      </c>
      <c r="AC1133" t="str">
        <f>IF(AA1133="","",'Procyclean 130'!B134)</f>
        <v/>
      </c>
      <c r="AD1133" t="str">
        <f>IF(AA1133="","",IFERROR(1*'Procyclean 130'!C134,IFERROR(_xludf.NUMBERVALUE('Procyclean 130'!C134,".",","),IFERROR(_xludf.NUMBERVALUE('Procyclean 130'!C134,",","."),0))))</f>
        <v/>
      </c>
      <c r="AE1133" t="str">
        <f>IF(AA1133="","",'Procyclean 130'!J134)</f>
        <v/>
      </c>
      <c r="AF1133">
        <f t="shared" si="119"/>
        <v>0</v>
      </c>
      <c r="AG1133" t="str">
        <f t="shared" si="120"/>
        <v/>
      </c>
      <c r="AH1133" t="str">
        <f t="shared" si="121"/>
        <v/>
      </c>
      <c r="AI1133">
        <f t="shared" si="122"/>
        <v>0</v>
      </c>
      <c r="AJ1133">
        <f t="shared" si="123"/>
        <v>0</v>
      </c>
      <c r="AK1133">
        <v>0</v>
      </c>
      <c r="AL1133" t="str">
        <f>IF(AA1133="","",IFERROR(IF(ISNUMBER('Procyclean 130'!D134),'Procyclean 130'!D134,IF(ISNUMBER(SEARCH("12",'Procyclean 130'!D134)),EDATE(AB1133,12),IF(ISNUMBER(SEARCH("6",'Procyclean 130'!D134)),EDATE(AB1133,6),IF(ISNUMBER(SEARCH("3",'Procyclean 130'!D134)),EDATE(AB1133,3),DATEVALUE('Procyclean 130'!D134))))),""))</f>
        <v/>
      </c>
      <c r="AM1133" t="str">
        <f t="shared" ca="1" si="124"/>
        <v/>
      </c>
    </row>
    <row r="1134" spans="27:39" x14ac:dyDescent="0.3">
      <c r="AA1134" t="str">
        <f>IF(COUNTA('Procyclean 130'!A135,'Procyclean 130'!B135,'Procyclean 130'!C135)&gt;0,"130","")</f>
        <v/>
      </c>
      <c r="AB1134" t="str">
        <f>IFERROR(IF(ISNUMBER('Procyclean 130'!A135),'Procyclean 130'!A135,DATEVALUE('Procyclean 130'!A135)),"")</f>
        <v/>
      </c>
      <c r="AC1134" t="str">
        <f>IF(AA1134="","",'Procyclean 130'!B135)</f>
        <v/>
      </c>
      <c r="AD1134" t="str">
        <f>IF(AA1134="","",IFERROR(1*'Procyclean 130'!C135,IFERROR(_xludf.NUMBERVALUE('Procyclean 130'!C135,".",","),IFERROR(_xludf.NUMBERVALUE('Procyclean 130'!C135,",","."),0))))</f>
        <v/>
      </c>
      <c r="AE1134" t="str">
        <f>IF(AA1134="","",'Procyclean 130'!J135)</f>
        <v/>
      </c>
      <c r="AF1134">
        <f t="shared" si="119"/>
        <v>0</v>
      </c>
      <c r="AG1134" t="str">
        <f t="shared" si="120"/>
        <v/>
      </c>
      <c r="AH1134" t="str">
        <f t="shared" si="121"/>
        <v/>
      </c>
      <c r="AI1134">
        <f t="shared" si="122"/>
        <v>0</v>
      </c>
      <c r="AJ1134">
        <f t="shared" si="123"/>
        <v>0</v>
      </c>
      <c r="AK1134">
        <v>0</v>
      </c>
      <c r="AL1134" t="str">
        <f>IF(AA1134="","",IFERROR(IF(ISNUMBER('Procyclean 130'!D135),'Procyclean 130'!D135,IF(ISNUMBER(SEARCH("12",'Procyclean 130'!D135)),EDATE(AB1134,12),IF(ISNUMBER(SEARCH("6",'Procyclean 130'!D135)),EDATE(AB1134,6),IF(ISNUMBER(SEARCH("3",'Procyclean 130'!D135)),EDATE(AB1134,3),DATEVALUE('Procyclean 130'!D135))))),""))</f>
        <v/>
      </c>
      <c r="AM1134" t="str">
        <f t="shared" ca="1" si="124"/>
        <v/>
      </c>
    </row>
    <row r="1135" spans="27:39" x14ac:dyDescent="0.3">
      <c r="AA1135" t="str">
        <f>IF(COUNTA('Procyclean 130'!A136,'Procyclean 130'!B136,'Procyclean 130'!C136)&gt;0,"130","")</f>
        <v/>
      </c>
      <c r="AB1135" t="str">
        <f>IFERROR(IF(ISNUMBER('Procyclean 130'!A136),'Procyclean 130'!A136,DATEVALUE('Procyclean 130'!A136)),"")</f>
        <v/>
      </c>
      <c r="AC1135" t="str">
        <f>IF(AA1135="","",'Procyclean 130'!B136)</f>
        <v/>
      </c>
      <c r="AD1135" t="str">
        <f>IF(AA1135="","",IFERROR(1*'Procyclean 130'!C136,IFERROR(_xludf.NUMBERVALUE('Procyclean 130'!C136,".",","),IFERROR(_xludf.NUMBERVALUE('Procyclean 130'!C136,",","."),0))))</f>
        <v/>
      </c>
      <c r="AE1135" t="str">
        <f>IF(AA1135="","",'Procyclean 130'!J136)</f>
        <v/>
      </c>
      <c r="AF1135">
        <f t="shared" si="119"/>
        <v>0</v>
      </c>
      <c r="AG1135" t="str">
        <f t="shared" si="120"/>
        <v/>
      </c>
      <c r="AH1135" t="str">
        <f t="shared" si="121"/>
        <v/>
      </c>
      <c r="AI1135">
        <f t="shared" si="122"/>
        <v>0</v>
      </c>
      <c r="AJ1135">
        <f t="shared" si="123"/>
        <v>0</v>
      </c>
      <c r="AK1135">
        <v>0</v>
      </c>
      <c r="AL1135" t="str">
        <f>IF(AA1135="","",IFERROR(IF(ISNUMBER('Procyclean 130'!D136),'Procyclean 130'!D136,IF(ISNUMBER(SEARCH("12",'Procyclean 130'!D136)),EDATE(AB1135,12),IF(ISNUMBER(SEARCH("6",'Procyclean 130'!D136)),EDATE(AB1135,6),IF(ISNUMBER(SEARCH("3",'Procyclean 130'!D136)),EDATE(AB1135,3),DATEVALUE('Procyclean 130'!D136))))),""))</f>
        <v/>
      </c>
      <c r="AM1135" t="str">
        <f t="shared" ca="1" si="124"/>
        <v/>
      </c>
    </row>
    <row r="1136" spans="27:39" x14ac:dyDescent="0.3">
      <c r="AA1136" t="str">
        <f>IF(COUNTA('Procyclean 130'!A137,'Procyclean 130'!B137,'Procyclean 130'!C137)&gt;0,"130","")</f>
        <v/>
      </c>
      <c r="AB1136" t="str">
        <f>IFERROR(IF(ISNUMBER('Procyclean 130'!A137),'Procyclean 130'!A137,DATEVALUE('Procyclean 130'!A137)),"")</f>
        <v/>
      </c>
      <c r="AC1136" t="str">
        <f>IF(AA1136="","",'Procyclean 130'!B137)</f>
        <v/>
      </c>
      <c r="AD1136" t="str">
        <f>IF(AA1136="","",IFERROR(1*'Procyclean 130'!C137,IFERROR(_xludf.NUMBERVALUE('Procyclean 130'!C137,".",","),IFERROR(_xludf.NUMBERVALUE('Procyclean 130'!C137,",","."),0))))</f>
        <v/>
      </c>
      <c r="AE1136" t="str">
        <f>IF(AA1136="","",'Procyclean 130'!J137)</f>
        <v/>
      </c>
      <c r="AF1136">
        <f t="shared" si="119"/>
        <v>0</v>
      </c>
      <c r="AG1136" t="str">
        <f t="shared" si="120"/>
        <v/>
      </c>
      <c r="AH1136" t="str">
        <f t="shared" si="121"/>
        <v/>
      </c>
      <c r="AI1136">
        <f t="shared" si="122"/>
        <v>0</v>
      </c>
      <c r="AJ1136">
        <f t="shared" si="123"/>
        <v>0</v>
      </c>
      <c r="AK1136">
        <v>0</v>
      </c>
      <c r="AL1136" t="str">
        <f>IF(AA1136="","",IFERROR(IF(ISNUMBER('Procyclean 130'!D137),'Procyclean 130'!D137,IF(ISNUMBER(SEARCH("12",'Procyclean 130'!D137)),EDATE(AB1136,12),IF(ISNUMBER(SEARCH("6",'Procyclean 130'!D137)),EDATE(AB1136,6),IF(ISNUMBER(SEARCH("3",'Procyclean 130'!D137)),EDATE(AB1136,3),DATEVALUE('Procyclean 130'!D137))))),""))</f>
        <v/>
      </c>
      <c r="AM1136" t="str">
        <f t="shared" ca="1" si="124"/>
        <v/>
      </c>
    </row>
    <row r="1137" spans="27:39" x14ac:dyDescent="0.3">
      <c r="AA1137" t="str">
        <f>IF(COUNTA('Procyclean 130'!A138,'Procyclean 130'!B138,'Procyclean 130'!C138)&gt;0,"130","")</f>
        <v/>
      </c>
      <c r="AB1137" t="str">
        <f>IFERROR(IF(ISNUMBER('Procyclean 130'!A138),'Procyclean 130'!A138,DATEVALUE('Procyclean 130'!A138)),"")</f>
        <v/>
      </c>
      <c r="AC1137" t="str">
        <f>IF(AA1137="","",'Procyclean 130'!B138)</f>
        <v/>
      </c>
      <c r="AD1137" t="str">
        <f>IF(AA1137="","",IFERROR(1*'Procyclean 130'!C138,IFERROR(_xludf.NUMBERVALUE('Procyclean 130'!C138,".",","),IFERROR(_xludf.NUMBERVALUE('Procyclean 130'!C138,",","."),0))))</f>
        <v/>
      </c>
      <c r="AE1137" t="str">
        <f>IF(AA1137="","",'Procyclean 130'!J138)</f>
        <v/>
      </c>
      <c r="AF1137">
        <f t="shared" si="119"/>
        <v>0</v>
      </c>
      <c r="AG1137" t="str">
        <f t="shared" si="120"/>
        <v/>
      </c>
      <c r="AH1137" t="str">
        <f t="shared" si="121"/>
        <v/>
      </c>
      <c r="AI1137">
        <f t="shared" si="122"/>
        <v>0</v>
      </c>
      <c r="AJ1137">
        <f t="shared" si="123"/>
        <v>0</v>
      </c>
      <c r="AK1137">
        <v>0</v>
      </c>
      <c r="AL1137" t="str">
        <f>IF(AA1137="","",IFERROR(IF(ISNUMBER('Procyclean 130'!D138),'Procyclean 130'!D138,IF(ISNUMBER(SEARCH("12",'Procyclean 130'!D138)),EDATE(AB1137,12),IF(ISNUMBER(SEARCH("6",'Procyclean 130'!D138)),EDATE(AB1137,6),IF(ISNUMBER(SEARCH("3",'Procyclean 130'!D138)),EDATE(AB1137,3),DATEVALUE('Procyclean 130'!D138))))),""))</f>
        <v/>
      </c>
      <c r="AM1137" t="str">
        <f t="shared" ca="1" si="124"/>
        <v/>
      </c>
    </row>
    <row r="1138" spans="27:39" x14ac:dyDescent="0.3">
      <c r="AA1138" t="str">
        <f>IF(COUNTA('Procyclean 130'!A139,'Procyclean 130'!B139,'Procyclean 130'!C139)&gt;0,"130","")</f>
        <v/>
      </c>
      <c r="AB1138" t="str">
        <f>IFERROR(IF(ISNUMBER('Procyclean 130'!A139),'Procyclean 130'!A139,DATEVALUE('Procyclean 130'!A139)),"")</f>
        <v/>
      </c>
      <c r="AC1138" t="str">
        <f>IF(AA1138="","",'Procyclean 130'!B139)</f>
        <v/>
      </c>
      <c r="AD1138" t="str">
        <f>IF(AA1138="","",IFERROR(1*'Procyclean 130'!C139,IFERROR(_xludf.NUMBERVALUE('Procyclean 130'!C139,".",","),IFERROR(_xludf.NUMBERVALUE('Procyclean 130'!C139,",","."),0))))</f>
        <v/>
      </c>
      <c r="AE1138" t="str">
        <f>IF(AA1138="","",'Procyclean 130'!J139)</f>
        <v/>
      </c>
      <c r="AF1138">
        <f t="shared" si="119"/>
        <v>0</v>
      </c>
      <c r="AG1138" t="str">
        <f t="shared" si="120"/>
        <v/>
      </c>
      <c r="AH1138" t="str">
        <f t="shared" si="121"/>
        <v/>
      </c>
      <c r="AI1138">
        <f t="shared" si="122"/>
        <v>0</v>
      </c>
      <c r="AJ1138">
        <f t="shared" si="123"/>
        <v>0</v>
      </c>
      <c r="AK1138">
        <v>0</v>
      </c>
      <c r="AL1138" t="str">
        <f>IF(AA1138="","",IFERROR(IF(ISNUMBER('Procyclean 130'!D139),'Procyclean 130'!D139,IF(ISNUMBER(SEARCH("12",'Procyclean 130'!D139)),EDATE(AB1138,12),IF(ISNUMBER(SEARCH("6",'Procyclean 130'!D139)),EDATE(AB1138,6),IF(ISNUMBER(SEARCH("3",'Procyclean 130'!D139)),EDATE(AB1138,3),DATEVALUE('Procyclean 130'!D139))))),""))</f>
        <v/>
      </c>
      <c r="AM1138" t="str">
        <f t="shared" ca="1" si="124"/>
        <v/>
      </c>
    </row>
    <row r="1139" spans="27:39" x14ac:dyDescent="0.3">
      <c r="AA1139" t="str">
        <f>IF(COUNTA('Procyclean 130'!A140,'Procyclean 130'!B140,'Procyclean 130'!C140)&gt;0,"130","")</f>
        <v/>
      </c>
      <c r="AB1139" t="str">
        <f>IFERROR(IF(ISNUMBER('Procyclean 130'!A140),'Procyclean 130'!A140,DATEVALUE('Procyclean 130'!A140)),"")</f>
        <v/>
      </c>
      <c r="AC1139" t="str">
        <f>IF(AA1139="","",'Procyclean 130'!B140)</f>
        <v/>
      </c>
      <c r="AD1139" t="str">
        <f>IF(AA1139="","",IFERROR(1*'Procyclean 130'!C140,IFERROR(_xludf.NUMBERVALUE('Procyclean 130'!C140,".",","),IFERROR(_xludf.NUMBERVALUE('Procyclean 130'!C140,",","."),0))))</f>
        <v/>
      </c>
      <c r="AE1139" t="str">
        <f>IF(AA1139="","",'Procyclean 130'!J140)</f>
        <v/>
      </c>
      <c r="AF1139">
        <f t="shared" si="119"/>
        <v>0</v>
      </c>
      <c r="AG1139" t="str">
        <f t="shared" si="120"/>
        <v/>
      </c>
      <c r="AH1139" t="str">
        <f t="shared" si="121"/>
        <v/>
      </c>
      <c r="AI1139">
        <f t="shared" si="122"/>
        <v>0</v>
      </c>
      <c r="AJ1139">
        <f t="shared" si="123"/>
        <v>0</v>
      </c>
      <c r="AK1139">
        <v>0</v>
      </c>
      <c r="AL1139" t="str">
        <f>IF(AA1139="","",IFERROR(IF(ISNUMBER('Procyclean 130'!D140),'Procyclean 130'!D140,IF(ISNUMBER(SEARCH("12",'Procyclean 130'!D140)),EDATE(AB1139,12),IF(ISNUMBER(SEARCH("6",'Procyclean 130'!D140)),EDATE(AB1139,6),IF(ISNUMBER(SEARCH("3",'Procyclean 130'!D140)),EDATE(AB1139,3),DATEVALUE('Procyclean 130'!D140))))),""))</f>
        <v/>
      </c>
      <c r="AM1139" t="str">
        <f t="shared" ca="1" si="124"/>
        <v/>
      </c>
    </row>
    <row r="1140" spans="27:39" x14ac:dyDescent="0.3">
      <c r="AA1140" t="str">
        <f>IF(COUNTA('Procyclean 130'!A141,'Procyclean 130'!B141,'Procyclean 130'!C141)&gt;0,"130","")</f>
        <v/>
      </c>
      <c r="AB1140" t="str">
        <f>IFERROR(IF(ISNUMBER('Procyclean 130'!A141),'Procyclean 130'!A141,DATEVALUE('Procyclean 130'!A141)),"")</f>
        <v/>
      </c>
      <c r="AC1140" t="str">
        <f>IF(AA1140="","",'Procyclean 130'!B141)</f>
        <v/>
      </c>
      <c r="AD1140" t="str">
        <f>IF(AA1140="","",IFERROR(1*'Procyclean 130'!C141,IFERROR(_xludf.NUMBERVALUE('Procyclean 130'!C141,".",","),IFERROR(_xludf.NUMBERVALUE('Procyclean 130'!C141,",","."),0))))</f>
        <v/>
      </c>
      <c r="AE1140" t="str">
        <f>IF(AA1140="","",'Procyclean 130'!J141)</f>
        <v/>
      </c>
      <c r="AF1140">
        <f t="shared" si="119"/>
        <v>0</v>
      </c>
      <c r="AG1140" t="str">
        <f t="shared" si="120"/>
        <v/>
      </c>
      <c r="AH1140" t="str">
        <f t="shared" si="121"/>
        <v/>
      </c>
      <c r="AI1140">
        <f t="shared" si="122"/>
        <v>0</v>
      </c>
      <c r="AJ1140">
        <f t="shared" si="123"/>
        <v>0</v>
      </c>
      <c r="AK1140">
        <v>0</v>
      </c>
      <c r="AL1140" t="str">
        <f>IF(AA1140="","",IFERROR(IF(ISNUMBER('Procyclean 130'!D141),'Procyclean 130'!D141,IF(ISNUMBER(SEARCH("12",'Procyclean 130'!D141)),EDATE(AB1140,12),IF(ISNUMBER(SEARCH("6",'Procyclean 130'!D141)),EDATE(AB1140,6),IF(ISNUMBER(SEARCH("3",'Procyclean 130'!D141)),EDATE(AB1140,3),DATEVALUE('Procyclean 130'!D141))))),""))</f>
        <v/>
      </c>
      <c r="AM1140" t="str">
        <f t="shared" ca="1" si="124"/>
        <v/>
      </c>
    </row>
    <row r="1141" spans="27:39" x14ac:dyDescent="0.3">
      <c r="AA1141" t="str">
        <f>IF(COUNTA('Procyclean 130'!A142,'Procyclean 130'!B142,'Procyclean 130'!C142)&gt;0,"130","")</f>
        <v/>
      </c>
      <c r="AB1141" t="str">
        <f>IFERROR(IF(ISNUMBER('Procyclean 130'!A142),'Procyclean 130'!A142,DATEVALUE('Procyclean 130'!A142)),"")</f>
        <v/>
      </c>
      <c r="AC1141" t="str">
        <f>IF(AA1141="","",'Procyclean 130'!B142)</f>
        <v/>
      </c>
      <c r="AD1141" t="str">
        <f>IF(AA1141="","",IFERROR(1*'Procyclean 130'!C142,IFERROR(_xludf.NUMBERVALUE('Procyclean 130'!C142,".",","),IFERROR(_xludf.NUMBERVALUE('Procyclean 130'!C142,",","."),0))))</f>
        <v/>
      </c>
      <c r="AE1141" t="str">
        <f>IF(AA1141="","",'Procyclean 130'!J142)</f>
        <v/>
      </c>
      <c r="AF1141">
        <f t="shared" si="119"/>
        <v>0</v>
      </c>
      <c r="AG1141" t="str">
        <f t="shared" si="120"/>
        <v/>
      </c>
      <c r="AH1141" t="str">
        <f t="shared" si="121"/>
        <v/>
      </c>
      <c r="AI1141">
        <f t="shared" si="122"/>
        <v>0</v>
      </c>
      <c r="AJ1141">
        <f t="shared" si="123"/>
        <v>0</v>
      </c>
      <c r="AK1141">
        <v>0</v>
      </c>
      <c r="AL1141" t="str">
        <f>IF(AA1141="","",IFERROR(IF(ISNUMBER('Procyclean 130'!D142),'Procyclean 130'!D142,IF(ISNUMBER(SEARCH("12",'Procyclean 130'!D142)),EDATE(AB1141,12),IF(ISNUMBER(SEARCH("6",'Procyclean 130'!D142)),EDATE(AB1141,6),IF(ISNUMBER(SEARCH("3",'Procyclean 130'!D142)),EDATE(AB1141,3),DATEVALUE('Procyclean 130'!D142))))),""))</f>
        <v/>
      </c>
      <c r="AM1141" t="str">
        <f t="shared" ca="1" si="124"/>
        <v/>
      </c>
    </row>
    <row r="1142" spans="27:39" x14ac:dyDescent="0.3">
      <c r="AA1142" t="str">
        <f>IF(COUNTA('Procyclean 130'!A143,'Procyclean 130'!B143,'Procyclean 130'!C143)&gt;0,"130","")</f>
        <v/>
      </c>
      <c r="AB1142" t="str">
        <f>IFERROR(IF(ISNUMBER('Procyclean 130'!A143),'Procyclean 130'!A143,DATEVALUE('Procyclean 130'!A143)),"")</f>
        <v/>
      </c>
      <c r="AC1142" t="str">
        <f>IF(AA1142="","",'Procyclean 130'!B143)</f>
        <v/>
      </c>
      <c r="AD1142" t="str">
        <f>IF(AA1142="","",IFERROR(1*'Procyclean 130'!C143,IFERROR(_xludf.NUMBERVALUE('Procyclean 130'!C143,".",","),IFERROR(_xludf.NUMBERVALUE('Procyclean 130'!C143,",","."),0))))</f>
        <v/>
      </c>
      <c r="AE1142" t="str">
        <f>IF(AA1142="","",'Procyclean 130'!J143)</f>
        <v/>
      </c>
      <c r="AF1142">
        <f t="shared" si="119"/>
        <v>0</v>
      </c>
      <c r="AG1142" t="str">
        <f t="shared" si="120"/>
        <v/>
      </c>
      <c r="AH1142" t="str">
        <f t="shared" si="121"/>
        <v/>
      </c>
      <c r="AI1142">
        <f t="shared" si="122"/>
        <v>0</v>
      </c>
      <c r="AJ1142">
        <f t="shared" si="123"/>
        <v>0</v>
      </c>
      <c r="AK1142">
        <v>0</v>
      </c>
      <c r="AL1142" t="str">
        <f>IF(AA1142="","",IFERROR(IF(ISNUMBER('Procyclean 130'!D143),'Procyclean 130'!D143,IF(ISNUMBER(SEARCH("12",'Procyclean 130'!D143)),EDATE(AB1142,12),IF(ISNUMBER(SEARCH("6",'Procyclean 130'!D143)),EDATE(AB1142,6),IF(ISNUMBER(SEARCH("3",'Procyclean 130'!D143)),EDATE(AB1142,3),DATEVALUE('Procyclean 130'!D143))))),""))</f>
        <v/>
      </c>
      <c r="AM1142" t="str">
        <f t="shared" ca="1" si="124"/>
        <v/>
      </c>
    </row>
    <row r="1143" spans="27:39" x14ac:dyDescent="0.3">
      <c r="AA1143" t="str">
        <f>IF(COUNTA('Procyclean 130'!A144,'Procyclean 130'!B144,'Procyclean 130'!C144)&gt;0,"130","")</f>
        <v/>
      </c>
      <c r="AB1143" t="str">
        <f>IFERROR(IF(ISNUMBER('Procyclean 130'!A144),'Procyclean 130'!A144,DATEVALUE('Procyclean 130'!A144)),"")</f>
        <v/>
      </c>
      <c r="AC1143" t="str">
        <f>IF(AA1143="","",'Procyclean 130'!B144)</f>
        <v/>
      </c>
      <c r="AD1143" t="str">
        <f>IF(AA1143="","",IFERROR(1*'Procyclean 130'!C144,IFERROR(_xludf.NUMBERVALUE('Procyclean 130'!C144,".",","),IFERROR(_xludf.NUMBERVALUE('Procyclean 130'!C144,",","."),0))))</f>
        <v/>
      </c>
      <c r="AE1143" t="str">
        <f>IF(AA1143="","",'Procyclean 130'!J144)</f>
        <v/>
      </c>
      <c r="AF1143">
        <f t="shared" si="119"/>
        <v>0</v>
      </c>
      <c r="AG1143" t="str">
        <f t="shared" si="120"/>
        <v/>
      </c>
      <c r="AH1143" t="str">
        <f t="shared" si="121"/>
        <v/>
      </c>
      <c r="AI1143">
        <f t="shared" si="122"/>
        <v>0</v>
      </c>
      <c r="AJ1143">
        <f t="shared" si="123"/>
        <v>0</v>
      </c>
      <c r="AK1143">
        <v>0</v>
      </c>
      <c r="AL1143" t="str">
        <f>IF(AA1143="","",IFERROR(IF(ISNUMBER('Procyclean 130'!D144),'Procyclean 130'!D144,IF(ISNUMBER(SEARCH("12",'Procyclean 130'!D144)),EDATE(AB1143,12),IF(ISNUMBER(SEARCH("6",'Procyclean 130'!D144)),EDATE(AB1143,6),IF(ISNUMBER(SEARCH("3",'Procyclean 130'!D144)),EDATE(AB1143,3),DATEVALUE('Procyclean 130'!D144))))),""))</f>
        <v/>
      </c>
      <c r="AM1143" t="str">
        <f t="shared" ca="1" si="124"/>
        <v/>
      </c>
    </row>
    <row r="1144" spans="27:39" x14ac:dyDescent="0.3">
      <c r="AA1144" t="str">
        <f>IF(COUNTA('Procyclean 130'!A145,'Procyclean 130'!B145,'Procyclean 130'!C145)&gt;0,"130","")</f>
        <v/>
      </c>
      <c r="AB1144" t="str">
        <f>IFERROR(IF(ISNUMBER('Procyclean 130'!A145),'Procyclean 130'!A145,DATEVALUE('Procyclean 130'!A145)),"")</f>
        <v/>
      </c>
      <c r="AC1144" t="str">
        <f>IF(AA1144="","",'Procyclean 130'!B145)</f>
        <v/>
      </c>
      <c r="AD1144" t="str">
        <f>IF(AA1144="","",IFERROR(1*'Procyclean 130'!C145,IFERROR(_xludf.NUMBERVALUE('Procyclean 130'!C145,".",","),IFERROR(_xludf.NUMBERVALUE('Procyclean 130'!C145,",","."),0))))</f>
        <v/>
      </c>
      <c r="AE1144" t="str">
        <f>IF(AA1144="","",'Procyclean 130'!J145)</f>
        <v/>
      </c>
      <c r="AF1144">
        <f t="shared" si="119"/>
        <v>0</v>
      </c>
      <c r="AG1144" t="str">
        <f t="shared" si="120"/>
        <v/>
      </c>
      <c r="AH1144" t="str">
        <f t="shared" si="121"/>
        <v/>
      </c>
      <c r="AI1144">
        <f t="shared" si="122"/>
        <v>0</v>
      </c>
      <c r="AJ1144">
        <f t="shared" si="123"/>
        <v>0</v>
      </c>
      <c r="AK1144">
        <v>0</v>
      </c>
      <c r="AL1144" t="str">
        <f>IF(AA1144="","",IFERROR(IF(ISNUMBER('Procyclean 130'!D145),'Procyclean 130'!D145,IF(ISNUMBER(SEARCH("12",'Procyclean 130'!D145)),EDATE(AB1144,12),IF(ISNUMBER(SEARCH("6",'Procyclean 130'!D145)),EDATE(AB1144,6),IF(ISNUMBER(SEARCH("3",'Procyclean 130'!D145)),EDATE(AB1144,3),DATEVALUE('Procyclean 130'!D145))))),""))</f>
        <v/>
      </c>
      <c r="AM1144" t="str">
        <f t="shared" ca="1" si="124"/>
        <v/>
      </c>
    </row>
    <row r="1145" spans="27:39" x14ac:dyDescent="0.3">
      <c r="AA1145" t="str">
        <f>IF(COUNTA('Procyclean 130'!A146,'Procyclean 130'!B146,'Procyclean 130'!C146)&gt;0,"130","")</f>
        <v/>
      </c>
      <c r="AB1145" t="str">
        <f>IFERROR(IF(ISNUMBER('Procyclean 130'!A146),'Procyclean 130'!A146,DATEVALUE('Procyclean 130'!A146)),"")</f>
        <v/>
      </c>
      <c r="AC1145" t="str">
        <f>IF(AA1145="","",'Procyclean 130'!B146)</f>
        <v/>
      </c>
      <c r="AD1145" t="str">
        <f>IF(AA1145="","",IFERROR(1*'Procyclean 130'!C146,IFERROR(_xludf.NUMBERVALUE('Procyclean 130'!C146,".",","),IFERROR(_xludf.NUMBERVALUE('Procyclean 130'!C146,",","."),0))))</f>
        <v/>
      </c>
      <c r="AE1145" t="str">
        <f>IF(AA1145="","",'Procyclean 130'!J146)</f>
        <v/>
      </c>
      <c r="AF1145">
        <f t="shared" si="119"/>
        <v>0</v>
      </c>
      <c r="AG1145" t="str">
        <f t="shared" si="120"/>
        <v/>
      </c>
      <c r="AH1145" t="str">
        <f t="shared" si="121"/>
        <v/>
      </c>
      <c r="AI1145">
        <f t="shared" si="122"/>
        <v>0</v>
      </c>
      <c r="AJ1145">
        <f t="shared" si="123"/>
        <v>0</v>
      </c>
      <c r="AK1145">
        <v>0</v>
      </c>
      <c r="AL1145" t="str">
        <f>IF(AA1145="","",IFERROR(IF(ISNUMBER('Procyclean 130'!D146),'Procyclean 130'!D146,IF(ISNUMBER(SEARCH("12",'Procyclean 130'!D146)),EDATE(AB1145,12),IF(ISNUMBER(SEARCH("6",'Procyclean 130'!D146)),EDATE(AB1145,6),IF(ISNUMBER(SEARCH("3",'Procyclean 130'!D146)),EDATE(AB1145,3),DATEVALUE('Procyclean 130'!D146))))),""))</f>
        <v/>
      </c>
      <c r="AM1145" t="str">
        <f t="shared" ca="1" si="124"/>
        <v/>
      </c>
    </row>
    <row r="1146" spans="27:39" x14ac:dyDescent="0.3">
      <c r="AA1146" t="str">
        <f>IF(COUNTA('Procyclean 130'!A147,'Procyclean 130'!B147,'Procyclean 130'!C147)&gt;0,"130","")</f>
        <v/>
      </c>
      <c r="AB1146" t="str">
        <f>IFERROR(IF(ISNUMBER('Procyclean 130'!A147),'Procyclean 130'!A147,DATEVALUE('Procyclean 130'!A147)),"")</f>
        <v/>
      </c>
      <c r="AC1146" t="str">
        <f>IF(AA1146="","",'Procyclean 130'!B147)</f>
        <v/>
      </c>
      <c r="AD1146" t="str">
        <f>IF(AA1146="","",IFERROR(1*'Procyclean 130'!C147,IFERROR(_xludf.NUMBERVALUE('Procyclean 130'!C147,".",","),IFERROR(_xludf.NUMBERVALUE('Procyclean 130'!C147,",","."),0))))</f>
        <v/>
      </c>
      <c r="AE1146" t="str">
        <f>IF(AA1146="","",'Procyclean 130'!J147)</f>
        <v/>
      </c>
      <c r="AF1146">
        <f t="shared" si="119"/>
        <v>0</v>
      </c>
      <c r="AG1146" t="str">
        <f t="shared" si="120"/>
        <v/>
      </c>
      <c r="AH1146" t="str">
        <f t="shared" si="121"/>
        <v/>
      </c>
      <c r="AI1146">
        <f t="shared" si="122"/>
        <v>0</v>
      </c>
      <c r="AJ1146">
        <f t="shared" si="123"/>
        <v>0</v>
      </c>
      <c r="AK1146">
        <v>0</v>
      </c>
      <c r="AL1146" t="str">
        <f>IF(AA1146="","",IFERROR(IF(ISNUMBER('Procyclean 130'!D147),'Procyclean 130'!D147,IF(ISNUMBER(SEARCH("12",'Procyclean 130'!D147)),EDATE(AB1146,12),IF(ISNUMBER(SEARCH("6",'Procyclean 130'!D147)),EDATE(AB1146,6),IF(ISNUMBER(SEARCH("3",'Procyclean 130'!D147)),EDATE(AB1146,3),DATEVALUE('Procyclean 130'!D147))))),""))</f>
        <v/>
      </c>
      <c r="AM1146" t="str">
        <f t="shared" ca="1" si="124"/>
        <v/>
      </c>
    </row>
    <row r="1147" spans="27:39" x14ac:dyDescent="0.3">
      <c r="AA1147" t="str">
        <f>IF(COUNTA('Procyclean 130'!A148,'Procyclean 130'!B148,'Procyclean 130'!C148)&gt;0,"130","")</f>
        <v/>
      </c>
      <c r="AB1147" t="str">
        <f>IFERROR(IF(ISNUMBER('Procyclean 130'!A148),'Procyclean 130'!A148,DATEVALUE('Procyclean 130'!A148)),"")</f>
        <v/>
      </c>
      <c r="AC1147" t="str">
        <f>IF(AA1147="","",'Procyclean 130'!B148)</f>
        <v/>
      </c>
      <c r="AD1147" t="str">
        <f>IF(AA1147="","",IFERROR(1*'Procyclean 130'!C148,IFERROR(_xludf.NUMBERVALUE('Procyclean 130'!C148,".",","),IFERROR(_xludf.NUMBERVALUE('Procyclean 130'!C148,",","."),0))))</f>
        <v/>
      </c>
      <c r="AE1147" t="str">
        <f>IF(AA1147="","",'Procyclean 130'!J148)</f>
        <v/>
      </c>
      <c r="AF1147">
        <f t="shared" si="119"/>
        <v>0</v>
      </c>
      <c r="AG1147" t="str">
        <f t="shared" si="120"/>
        <v/>
      </c>
      <c r="AH1147" t="str">
        <f t="shared" si="121"/>
        <v/>
      </c>
      <c r="AI1147">
        <f t="shared" si="122"/>
        <v>0</v>
      </c>
      <c r="AJ1147">
        <f t="shared" si="123"/>
        <v>0</v>
      </c>
      <c r="AK1147">
        <v>0</v>
      </c>
      <c r="AL1147" t="str">
        <f>IF(AA1147="","",IFERROR(IF(ISNUMBER('Procyclean 130'!D148),'Procyclean 130'!D148,IF(ISNUMBER(SEARCH("12",'Procyclean 130'!D148)),EDATE(AB1147,12),IF(ISNUMBER(SEARCH("6",'Procyclean 130'!D148)),EDATE(AB1147,6),IF(ISNUMBER(SEARCH("3",'Procyclean 130'!D148)),EDATE(AB1147,3),DATEVALUE('Procyclean 130'!D148))))),""))</f>
        <v/>
      </c>
      <c r="AM1147" t="str">
        <f t="shared" ca="1" si="124"/>
        <v/>
      </c>
    </row>
    <row r="1148" spans="27:39" x14ac:dyDescent="0.3">
      <c r="AA1148" t="str">
        <f>IF(COUNTA('Procyclean 130'!A149,'Procyclean 130'!B149,'Procyclean 130'!C149)&gt;0,"130","")</f>
        <v/>
      </c>
      <c r="AB1148" t="str">
        <f>IFERROR(IF(ISNUMBER('Procyclean 130'!A149),'Procyclean 130'!A149,DATEVALUE('Procyclean 130'!A149)),"")</f>
        <v/>
      </c>
      <c r="AC1148" t="str">
        <f>IF(AA1148="","",'Procyclean 130'!B149)</f>
        <v/>
      </c>
      <c r="AD1148" t="str">
        <f>IF(AA1148="","",IFERROR(1*'Procyclean 130'!C149,IFERROR(_xludf.NUMBERVALUE('Procyclean 130'!C149,".",","),IFERROR(_xludf.NUMBERVALUE('Procyclean 130'!C149,",","."),0))))</f>
        <v/>
      </c>
      <c r="AE1148" t="str">
        <f>IF(AA1148="","",'Procyclean 130'!J149)</f>
        <v/>
      </c>
      <c r="AF1148">
        <f t="shared" si="119"/>
        <v>0</v>
      </c>
      <c r="AG1148" t="str">
        <f t="shared" si="120"/>
        <v/>
      </c>
      <c r="AH1148" t="str">
        <f t="shared" si="121"/>
        <v/>
      </c>
      <c r="AI1148">
        <f t="shared" si="122"/>
        <v>0</v>
      </c>
      <c r="AJ1148">
        <f t="shared" si="123"/>
        <v>0</v>
      </c>
      <c r="AK1148">
        <v>0</v>
      </c>
      <c r="AL1148" t="str">
        <f>IF(AA1148="","",IFERROR(IF(ISNUMBER('Procyclean 130'!D149),'Procyclean 130'!D149,IF(ISNUMBER(SEARCH("12",'Procyclean 130'!D149)),EDATE(AB1148,12),IF(ISNUMBER(SEARCH("6",'Procyclean 130'!D149)),EDATE(AB1148,6),IF(ISNUMBER(SEARCH("3",'Procyclean 130'!D149)),EDATE(AB1148,3),DATEVALUE('Procyclean 130'!D149))))),""))</f>
        <v/>
      </c>
      <c r="AM1148" t="str">
        <f t="shared" ca="1" si="124"/>
        <v/>
      </c>
    </row>
    <row r="1149" spans="27:39" x14ac:dyDescent="0.3">
      <c r="AA1149" t="str">
        <f>IF(COUNTA('Procyclean 130'!A150,'Procyclean 130'!B150,'Procyclean 130'!C150)&gt;0,"130","")</f>
        <v/>
      </c>
      <c r="AB1149" t="str">
        <f>IFERROR(IF(ISNUMBER('Procyclean 130'!A150),'Procyclean 130'!A150,DATEVALUE('Procyclean 130'!A150)),"")</f>
        <v/>
      </c>
      <c r="AC1149" t="str">
        <f>IF(AA1149="","",'Procyclean 130'!B150)</f>
        <v/>
      </c>
      <c r="AD1149" t="str">
        <f>IF(AA1149="","",IFERROR(1*'Procyclean 130'!C150,IFERROR(_xludf.NUMBERVALUE('Procyclean 130'!C150,".",","),IFERROR(_xludf.NUMBERVALUE('Procyclean 130'!C150,",","."),0))))</f>
        <v/>
      </c>
      <c r="AE1149" t="str">
        <f>IF(AA1149="","",'Procyclean 130'!J150)</f>
        <v/>
      </c>
      <c r="AF1149">
        <f t="shared" si="119"/>
        <v>0</v>
      </c>
      <c r="AG1149" t="str">
        <f t="shared" si="120"/>
        <v/>
      </c>
      <c r="AH1149" t="str">
        <f t="shared" si="121"/>
        <v/>
      </c>
      <c r="AI1149">
        <f t="shared" si="122"/>
        <v>0</v>
      </c>
      <c r="AJ1149">
        <f t="shared" si="123"/>
        <v>0</v>
      </c>
      <c r="AK1149">
        <v>0</v>
      </c>
      <c r="AL1149" t="str">
        <f>IF(AA1149="","",IFERROR(IF(ISNUMBER('Procyclean 130'!D150),'Procyclean 130'!D150,IF(ISNUMBER(SEARCH("12",'Procyclean 130'!D150)),EDATE(AB1149,12),IF(ISNUMBER(SEARCH("6",'Procyclean 130'!D150)),EDATE(AB1149,6),IF(ISNUMBER(SEARCH("3",'Procyclean 130'!D150)),EDATE(AB1149,3),DATEVALUE('Procyclean 130'!D150))))),""))</f>
        <v/>
      </c>
      <c r="AM1149" t="str">
        <f t="shared" ca="1" si="124"/>
        <v/>
      </c>
    </row>
    <row r="1150" spans="27:39" x14ac:dyDescent="0.3">
      <c r="AA1150" t="str">
        <f>IF(COUNTA('Procyclean 130'!A151,'Procyclean 130'!B151,'Procyclean 130'!C151)&gt;0,"130","")</f>
        <v/>
      </c>
      <c r="AB1150" t="str">
        <f>IFERROR(IF(ISNUMBER('Procyclean 130'!A151),'Procyclean 130'!A151,DATEVALUE('Procyclean 130'!A151)),"")</f>
        <v/>
      </c>
      <c r="AC1150" t="str">
        <f>IF(AA1150="","",'Procyclean 130'!B151)</f>
        <v/>
      </c>
      <c r="AD1150" t="str">
        <f>IF(AA1150="","",IFERROR(1*'Procyclean 130'!C151,IFERROR(_xludf.NUMBERVALUE('Procyclean 130'!C151,".",","),IFERROR(_xludf.NUMBERVALUE('Procyclean 130'!C151,",","."),0))))</f>
        <v/>
      </c>
      <c r="AE1150" t="str">
        <f>IF(AA1150="","",'Procyclean 130'!J151)</f>
        <v/>
      </c>
      <c r="AF1150">
        <f t="shared" si="119"/>
        <v>0</v>
      </c>
      <c r="AG1150" t="str">
        <f t="shared" si="120"/>
        <v/>
      </c>
      <c r="AH1150" t="str">
        <f t="shared" si="121"/>
        <v/>
      </c>
      <c r="AI1150">
        <f t="shared" si="122"/>
        <v>0</v>
      </c>
      <c r="AJ1150">
        <f t="shared" si="123"/>
        <v>0</v>
      </c>
      <c r="AK1150">
        <v>0</v>
      </c>
      <c r="AL1150" t="str">
        <f>IF(AA1150="","",IFERROR(IF(ISNUMBER('Procyclean 130'!D151),'Procyclean 130'!D151,IF(ISNUMBER(SEARCH("12",'Procyclean 130'!D151)),EDATE(AB1150,12),IF(ISNUMBER(SEARCH("6",'Procyclean 130'!D151)),EDATE(AB1150,6),IF(ISNUMBER(SEARCH("3",'Procyclean 130'!D151)),EDATE(AB1150,3),DATEVALUE('Procyclean 130'!D151))))),""))</f>
        <v/>
      </c>
      <c r="AM1150" t="str">
        <f t="shared" ca="1" si="124"/>
        <v/>
      </c>
    </row>
    <row r="1151" spans="27:39" x14ac:dyDescent="0.3">
      <c r="AA1151" t="str">
        <f>IF(COUNTA('Procyclean 130'!A152,'Procyclean 130'!B152,'Procyclean 130'!C152)&gt;0,"130","")</f>
        <v/>
      </c>
      <c r="AB1151" t="str">
        <f>IFERROR(IF(ISNUMBER('Procyclean 130'!A152),'Procyclean 130'!A152,DATEVALUE('Procyclean 130'!A152)),"")</f>
        <v/>
      </c>
      <c r="AC1151" t="str">
        <f>IF(AA1151="","",'Procyclean 130'!B152)</f>
        <v/>
      </c>
      <c r="AD1151" t="str">
        <f>IF(AA1151="","",IFERROR(1*'Procyclean 130'!C152,IFERROR(_xludf.NUMBERVALUE('Procyclean 130'!C152,".",","),IFERROR(_xludf.NUMBERVALUE('Procyclean 130'!C152,",","."),0))))</f>
        <v/>
      </c>
      <c r="AE1151" t="str">
        <f>IF(AA1151="","",'Procyclean 130'!J152)</f>
        <v/>
      </c>
      <c r="AF1151">
        <f t="shared" si="119"/>
        <v>0</v>
      </c>
      <c r="AG1151" t="str">
        <f t="shared" si="120"/>
        <v/>
      </c>
      <c r="AH1151" t="str">
        <f t="shared" si="121"/>
        <v/>
      </c>
      <c r="AI1151">
        <f t="shared" si="122"/>
        <v>0</v>
      </c>
      <c r="AJ1151">
        <f t="shared" si="123"/>
        <v>0</v>
      </c>
      <c r="AK1151">
        <v>0</v>
      </c>
      <c r="AL1151" t="str">
        <f>IF(AA1151="","",IFERROR(IF(ISNUMBER('Procyclean 130'!D152),'Procyclean 130'!D152,IF(ISNUMBER(SEARCH("12",'Procyclean 130'!D152)),EDATE(AB1151,12),IF(ISNUMBER(SEARCH("6",'Procyclean 130'!D152)),EDATE(AB1151,6),IF(ISNUMBER(SEARCH("3",'Procyclean 130'!D152)),EDATE(AB1151,3),DATEVALUE('Procyclean 130'!D152))))),""))</f>
        <v/>
      </c>
      <c r="AM1151" t="str">
        <f t="shared" ca="1" si="124"/>
        <v/>
      </c>
    </row>
    <row r="1152" spans="27:39" x14ac:dyDescent="0.3">
      <c r="AA1152" t="str">
        <f>IF(COUNTA('Procyclean 130'!A153,'Procyclean 130'!B153,'Procyclean 130'!C153)&gt;0,"130","")</f>
        <v/>
      </c>
      <c r="AB1152" t="str">
        <f>IFERROR(IF(ISNUMBER('Procyclean 130'!A153),'Procyclean 130'!A153,DATEVALUE('Procyclean 130'!A153)),"")</f>
        <v/>
      </c>
      <c r="AC1152" t="str">
        <f>IF(AA1152="","",'Procyclean 130'!B153)</f>
        <v/>
      </c>
      <c r="AD1152" t="str">
        <f>IF(AA1152="","",IFERROR(1*'Procyclean 130'!C153,IFERROR(_xludf.NUMBERVALUE('Procyclean 130'!C153,".",","),IFERROR(_xludf.NUMBERVALUE('Procyclean 130'!C153,",","."),0))))</f>
        <v/>
      </c>
      <c r="AE1152" t="str">
        <f>IF(AA1152="","",'Procyclean 130'!J153)</f>
        <v/>
      </c>
      <c r="AF1152">
        <f t="shared" si="119"/>
        <v>0</v>
      </c>
      <c r="AG1152" t="str">
        <f t="shared" si="120"/>
        <v/>
      </c>
      <c r="AH1152" t="str">
        <f t="shared" si="121"/>
        <v/>
      </c>
      <c r="AI1152">
        <f t="shared" si="122"/>
        <v>0</v>
      </c>
      <c r="AJ1152">
        <f t="shared" si="123"/>
        <v>0</v>
      </c>
      <c r="AK1152">
        <v>0</v>
      </c>
      <c r="AL1152" t="str">
        <f>IF(AA1152="","",IFERROR(IF(ISNUMBER('Procyclean 130'!D153),'Procyclean 130'!D153,IF(ISNUMBER(SEARCH("12",'Procyclean 130'!D153)),EDATE(AB1152,12),IF(ISNUMBER(SEARCH("6",'Procyclean 130'!D153)),EDATE(AB1152,6),IF(ISNUMBER(SEARCH("3",'Procyclean 130'!D153)),EDATE(AB1152,3),DATEVALUE('Procyclean 130'!D153))))),""))</f>
        <v/>
      </c>
      <c r="AM1152" t="str">
        <f t="shared" ca="1" si="124"/>
        <v/>
      </c>
    </row>
    <row r="1153" spans="27:39" x14ac:dyDescent="0.3">
      <c r="AA1153" t="str">
        <f>IF(COUNTA('Procyclean 130'!A154,'Procyclean 130'!B154,'Procyclean 130'!C154)&gt;0,"130","")</f>
        <v/>
      </c>
      <c r="AB1153" t="str">
        <f>IFERROR(IF(ISNUMBER('Procyclean 130'!A154),'Procyclean 130'!A154,DATEVALUE('Procyclean 130'!A154)),"")</f>
        <v/>
      </c>
      <c r="AC1153" t="str">
        <f>IF(AA1153="","",'Procyclean 130'!B154)</f>
        <v/>
      </c>
      <c r="AD1153" t="str">
        <f>IF(AA1153="","",IFERROR(1*'Procyclean 130'!C154,IFERROR(_xludf.NUMBERVALUE('Procyclean 130'!C154,".",","),IFERROR(_xludf.NUMBERVALUE('Procyclean 130'!C154,",","."),0))))</f>
        <v/>
      </c>
      <c r="AE1153" t="str">
        <f>IF(AA1153="","",'Procyclean 130'!J154)</f>
        <v/>
      </c>
      <c r="AF1153">
        <f t="shared" si="119"/>
        <v>0</v>
      </c>
      <c r="AG1153" t="str">
        <f t="shared" si="120"/>
        <v/>
      </c>
      <c r="AH1153" t="str">
        <f t="shared" si="121"/>
        <v/>
      </c>
      <c r="AI1153">
        <f t="shared" si="122"/>
        <v>0</v>
      </c>
      <c r="AJ1153">
        <f t="shared" si="123"/>
        <v>0</v>
      </c>
      <c r="AK1153">
        <v>0</v>
      </c>
      <c r="AL1153" t="str">
        <f>IF(AA1153="","",IFERROR(IF(ISNUMBER('Procyclean 130'!D154),'Procyclean 130'!D154,IF(ISNUMBER(SEARCH("12",'Procyclean 130'!D154)),EDATE(AB1153,12),IF(ISNUMBER(SEARCH("6",'Procyclean 130'!D154)),EDATE(AB1153,6),IF(ISNUMBER(SEARCH("3",'Procyclean 130'!D154)),EDATE(AB1153,3),DATEVALUE('Procyclean 130'!D154))))),""))</f>
        <v/>
      </c>
      <c r="AM1153" t="str">
        <f t="shared" ca="1" si="124"/>
        <v/>
      </c>
    </row>
    <row r="1154" spans="27:39" x14ac:dyDescent="0.3">
      <c r="AA1154" t="str">
        <f>IF(COUNTA('Procyclean 130'!A155,'Procyclean 130'!B155,'Procyclean 130'!C155)&gt;0,"130","")</f>
        <v/>
      </c>
      <c r="AB1154" t="str">
        <f>IFERROR(IF(ISNUMBER('Procyclean 130'!A155),'Procyclean 130'!A155,DATEVALUE('Procyclean 130'!A155)),"")</f>
        <v/>
      </c>
      <c r="AC1154" t="str">
        <f>IF(AA1154="","",'Procyclean 130'!B155)</f>
        <v/>
      </c>
      <c r="AD1154" t="str">
        <f>IF(AA1154="","",IFERROR(1*'Procyclean 130'!C155,IFERROR(_xludf.NUMBERVALUE('Procyclean 130'!C155,".",","),IFERROR(_xludf.NUMBERVALUE('Procyclean 130'!C155,",","."),0))))</f>
        <v/>
      </c>
      <c r="AE1154" t="str">
        <f>IF(AA1154="","",'Procyclean 130'!J155)</f>
        <v/>
      </c>
      <c r="AF1154">
        <f t="shared" ref="AF1154:AF1217" si="125">IF(AA1154="",0,--AND(ISNUMBER(SEARCH("aprov",AE1154)),NOT(ISNUMBER(SEARCH("reprov",AE1154)))))</f>
        <v>0</v>
      </c>
      <c r="AG1154" t="str">
        <f t="shared" ref="AG1154:AG1217" si="126">IF(AB1154="","",YEAR(AB1154))</f>
        <v/>
      </c>
      <c r="AH1154" t="str">
        <f t="shared" ref="AH1154:AH1217" si="127">IF(AB1154="","",MONTH(AB1154))</f>
        <v/>
      </c>
      <c r="AI1154">
        <f t="shared" ref="AI1154:AI1217" si="128">IF(AB1154="",0,AB1154+ROW()/1000000)</f>
        <v>0</v>
      </c>
      <c r="AJ1154">
        <f t="shared" ref="AJ1154:AJ1217" si="129">--(AA1154&lt;&gt;"")</f>
        <v>0</v>
      </c>
      <c r="AK1154">
        <v>0</v>
      </c>
      <c r="AL1154" t="str">
        <f>IF(AA1154="","",IFERROR(IF(ISNUMBER('Procyclean 130'!D155),'Procyclean 130'!D155,IF(ISNUMBER(SEARCH("12",'Procyclean 130'!D155)),EDATE(AB1154,12),IF(ISNUMBER(SEARCH("6",'Procyclean 130'!D155)),EDATE(AB1154,6),IF(ISNUMBER(SEARCH("3",'Procyclean 130'!D155)),EDATE(AB1154,3),DATEVALUE('Procyclean 130'!D155))))),""))</f>
        <v/>
      </c>
      <c r="AM1154" t="str">
        <f t="shared" ref="AM1154:AM1217" ca="1" si="130">IF(AND(AJ1154=1,AL1154&lt;&gt;"",AL1154&gt;=TODAY(),AG1154=$W$3),AL1154+ROW()/1000000,"")</f>
        <v/>
      </c>
    </row>
    <row r="1155" spans="27:39" x14ac:dyDescent="0.3">
      <c r="AA1155" t="str">
        <f>IF(COUNTA('Procyclean 130'!A156,'Procyclean 130'!B156,'Procyclean 130'!C156)&gt;0,"130","")</f>
        <v/>
      </c>
      <c r="AB1155" t="str">
        <f>IFERROR(IF(ISNUMBER('Procyclean 130'!A156),'Procyclean 130'!A156,DATEVALUE('Procyclean 130'!A156)),"")</f>
        <v/>
      </c>
      <c r="AC1155" t="str">
        <f>IF(AA1155="","",'Procyclean 130'!B156)</f>
        <v/>
      </c>
      <c r="AD1155" t="str">
        <f>IF(AA1155="","",IFERROR(1*'Procyclean 130'!C156,IFERROR(_xludf.NUMBERVALUE('Procyclean 130'!C156,".",","),IFERROR(_xludf.NUMBERVALUE('Procyclean 130'!C156,",","."),0))))</f>
        <v/>
      </c>
      <c r="AE1155" t="str">
        <f>IF(AA1155="","",'Procyclean 130'!J156)</f>
        <v/>
      </c>
      <c r="AF1155">
        <f t="shared" si="125"/>
        <v>0</v>
      </c>
      <c r="AG1155" t="str">
        <f t="shared" si="126"/>
        <v/>
      </c>
      <c r="AH1155" t="str">
        <f t="shared" si="127"/>
        <v/>
      </c>
      <c r="AI1155">
        <f t="shared" si="128"/>
        <v>0</v>
      </c>
      <c r="AJ1155">
        <f t="shared" si="129"/>
        <v>0</v>
      </c>
      <c r="AK1155">
        <v>0</v>
      </c>
      <c r="AL1155" t="str">
        <f>IF(AA1155="","",IFERROR(IF(ISNUMBER('Procyclean 130'!D156),'Procyclean 130'!D156,IF(ISNUMBER(SEARCH("12",'Procyclean 130'!D156)),EDATE(AB1155,12),IF(ISNUMBER(SEARCH("6",'Procyclean 130'!D156)),EDATE(AB1155,6),IF(ISNUMBER(SEARCH("3",'Procyclean 130'!D156)),EDATE(AB1155,3),DATEVALUE('Procyclean 130'!D156))))),""))</f>
        <v/>
      </c>
      <c r="AM1155" t="str">
        <f t="shared" ca="1" si="130"/>
        <v/>
      </c>
    </row>
    <row r="1156" spans="27:39" x14ac:dyDescent="0.3">
      <c r="AA1156" t="str">
        <f>IF(COUNTA('Procyclean 130'!A157,'Procyclean 130'!B157,'Procyclean 130'!C157)&gt;0,"130","")</f>
        <v/>
      </c>
      <c r="AB1156" t="str">
        <f>IFERROR(IF(ISNUMBER('Procyclean 130'!A157),'Procyclean 130'!A157,DATEVALUE('Procyclean 130'!A157)),"")</f>
        <v/>
      </c>
      <c r="AC1156" t="str">
        <f>IF(AA1156="","",'Procyclean 130'!B157)</f>
        <v/>
      </c>
      <c r="AD1156" t="str">
        <f>IF(AA1156="","",IFERROR(1*'Procyclean 130'!C157,IFERROR(_xludf.NUMBERVALUE('Procyclean 130'!C157,".",","),IFERROR(_xludf.NUMBERVALUE('Procyclean 130'!C157,",","."),0))))</f>
        <v/>
      </c>
      <c r="AE1156" t="str">
        <f>IF(AA1156="","",'Procyclean 130'!J157)</f>
        <v/>
      </c>
      <c r="AF1156">
        <f t="shared" si="125"/>
        <v>0</v>
      </c>
      <c r="AG1156" t="str">
        <f t="shared" si="126"/>
        <v/>
      </c>
      <c r="AH1156" t="str">
        <f t="shared" si="127"/>
        <v/>
      </c>
      <c r="AI1156">
        <f t="shared" si="128"/>
        <v>0</v>
      </c>
      <c r="AJ1156">
        <f t="shared" si="129"/>
        <v>0</v>
      </c>
      <c r="AK1156">
        <v>0</v>
      </c>
      <c r="AL1156" t="str">
        <f>IF(AA1156="","",IFERROR(IF(ISNUMBER('Procyclean 130'!D157),'Procyclean 130'!D157,IF(ISNUMBER(SEARCH("12",'Procyclean 130'!D157)),EDATE(AB1156,12),IF(ISNUMBER(SEARCH("6",'Procyclean 130'!D157)),EDATE(AB1156,6),IF(ISNUMBER(SEARCH("3",'Procyclean 130'!D157)),EDATE(AB1156,3),DATEVALUE('Procyclean 130'!D157))))),""))</f>
        <v/>
      </c>
      <c r="AM1156" t="str">
        <f t="shared" ca="1" si="130"/>
        <v/>
      </c>
    </row>
    <row r="1157" spans="27:39" x14ac:dyDescent="0.3">
      <c r="AA1157" t="str">
        <f>IF(COUNTA('Procyclean 130'!A158,'Procyclean 130'!B158,'Procyclean 130'!C158)&gt;0,"130","")</f>
        <v/>
      </c>
      <c r="AB1157" t="str">
        <f>IFERROR(IF(ISNUMBER('Procyclean 130'!A158),'Procyclean 130'!A158,DATEVALUE('Procyclean 130'!A158)),"")</f>
        <v/>
      </c>
      <c r="AC1157" t="str">
        <f>IF(AA1157="","",'Procyclean 130'!B158)</f>
        <v/>
      </c>
      <c r="AD1157" t="str">
        <f>IF(AA1157="","",IFERROR(1*'Procyclean 130'!C158,IFERROR(_xludf.NUMBERVALUE('Procyclean 130'!C158,".",","),IFERROR(_xludf.NUMBERVALUE('Procyclean 130'!C158,",","."),0))))</f>
        <v/>
      </c>
      <c r="AE1157" t="str">
        <f>IF(AA1157="","",'Procyclean 130'!J158)</f>
        <v/>
      </c>
      <c r="AF1157">
        <f t="shared" si="125"/>
        <v>0</v>
      </c>
      <c r="AG1157" t="str">
        <f t="shared" si="126"/>
        <v/>
      </c>
      <c r="AH1157" t="str">
        <f t="shared" si="127"/>
        <v/>
      </c>
      <c r="AI1157">
        <f t="shared" si="128"/>
        <v>0</v>
      </c>
      <c r="AJ1157">
        <f t="shared" si="129"/>
        <v>0</v>
      </c>
      <c r="AK1157">
        <v>0</v>
      </c>
      <c r="AL1157" t="str">
        <f>IF(AA1157="","",IFERROR(IF(ISNUMBER('Procyclean 130'!D158),'Procyclean 130'!D158,IF(ISNUMBER(SEARCH("12",'Procyclean 130'!D158)),EDATE(AB1157,12),IF(ISNUMBER(SEARCH("6",'Procyclean 130'!D158)),EDATE(AB1157,6),IF(ISNUMBER(SEARCH("3",'Procyclean 130'!D158)),EDATE(AB1157,3),DATEVALUE('Procyclean 130'!D158))))),""))</f>
        <v/>
      </c>
      <c r="AM1157" t="str">
        <f t="shared" ca="1" si="130"/>
        <v/>
      </c>
    </row>
    <row r="1158" spans="27:39" x14ac:dyDescent="0.3">
      <c r="AA1158" t="str">
        <f>IF(COUNTA('Procyclean 130'!A159,'Procyclean 130'!B159,'Procyclean 130'!C159)&gt;0,"130","")</f>
        <v/>
      </c>
      <c r="AB1158" t="str">
        <f>IFERROR(IF(ISNUMBER('Procyclean 130'!A159),'Procyclean 130'!A159,DATEVALUE('Procyclean 130'!A159)),"")</f>
        <v/>
      </c>
      <c r="AC1158" t="str">
        <f>IF(AA1158="","",'Procyclean 130'!B159)</f>
        <v/>
      </c>
      <c r="AD1158" t="str">
        <f>IF(AA1158="","",IFERROR(1*'Procyclean 130'!C159,IFERROR(_xludf.NUMBERVALUE('Procyclean 130'!C159,".",","),IFERROR(_xludf.NUMBERVALUE('Procyclean 130'!C159,",","."),0))))</f>
        <v/>
      </c>
      <c r="AE1158" t="str">
        <f>IF(AA1158="","",'Procyclean 130'!J159)</f>
        <v/>
      </c>
      <c r="AF1158">
        <f t="shared" si="125"/>
        <v>0</v>
      </c>
      <c r="AG1158" t="str">
        <f t="shared" si="126"/>
        <v/>
      </c>
      <c r="AH1158" t="str">
        <f t="shared" si="127"/>
        <v/>
      </c>
      <c r="AI1158">
        <f t="shared" si="128"/>
        <v>0</v>
      </c>
      <c r="AJ1158">
        <f t="shared" si="129"/>
        <v>0</v>
      </c>
      <c r="AK1158">
        <v>0</v>
      </c>
      <c r="AL1158" t="str">
        <f>IF(AA1158="","",IFERROR(IF(ISNUMBER('Procyclean 130'!D159),'Procyclean 130'!D159,IF(ISNUMBER(SEARCH("12",'Procyclean 130'!D159)),EDATE(AB1158,12),IF(ISNUMBER(SEARCH("6",'Procyclean 130'!D159)),EDATE(AB1158,6),IF(ISNUMBER(SEARCH("3",'Procyclean 130'!D159)),EDATE(AB1158,3),DATEVALUE('Procyclean 130'!D159))))),""))</f>
        <v/>
      </c>
      <c r="AM1158" t="str">
        <f t="shared" ca="1" si="130"/>
        <v/>
      </c>
    </row>
    <row r="1159" spans="27:39" x14ac:dyDescent="0.3">
      <c r="AA1159" t="str">
        <f>IF(COUNTA('Procyclean 130'!A160,'Procyclean 130'!B160,'Procyclean 130'!C160)&gt;0,"130","")</f>
        <v/>
      </c>
      <c r="AB1159" t="str">
        <f>IFERROR(IF(ISNUMBER('Procyclean 130'!A160),'Procyclean 130'!A160,DATEVALUE('Procyclean 130'!A160)),"")</f>
        <v/>
      </c>
      <c r="AC1159" t="str">
        <f>IF(AA1159="","",'Procyclean 130'!B160)</f>
        <v/>
      </c>
      <c r="AD1159" t="str">
        <f>IF(AA1159="","",IFERROR(1*'Procyclean 130'!C160,IFERROR(_xludf.NUMBERVALUE('Procyclean 130'!C160,".",","),IFERROR(_xludf.NUMBERVALUE('Procyclean 130'!C160,",","."),0))))</f>
        <v/>
      </c>
      <c r="AE1159" t="str">
        <f>IF(AA1159="","",'Procyclean 130'!J160)</f>
        <v/>
      </c>
      <c r="AF1159">
        <f t="shared" si="125"/>
        <v>0</v>
      </c>
      <c r="AG1159" t="str">
        <f t="shared" si="126"/>
        <v/>
      </c>
      <c r="AH1159" t="str">
        <f t="shared" si="127"/>
        <v/>
      </c>
      <c r="AI1159">
        <f t="shared" si="128"/>
        <v>0</v>
      </c>
      <c r="AJ1159">
        <f t="shared" si="129"/>
        <v>0</v>
      </c>
      <c r="AK1159">
        <v>0</v>
      </c>
      <c r="AL1159" t="str">
        <f>IF(AA1159="","",IFERROR(IF(ISNUMBER('Procyclean 130'!D160),'Procyclean 130'!D160,IF(ISNUMBER(SEARCH("12",'Procyclean 130'!D160)),EDATE(AB1159,12),IF(ISNUMBER(SEARCH("6",'Procyclean 130'!D160)),EDATE(AB1159,6),IF(ISNUMBER(SEARCH("3",'Procyclean 130'!D160)),EDATE(AB1159,3),DATEVALUE('Procyclean 130'!D160))))),""))</f>
        <v/>
      </c>
      <c r="AM1159" t="str">
        <f t="shared" ca="1" si="130"/>
        <v/>
      </c>
    </row>
    <row r="1160" spans="27:39" x14ac:dyDescent="0.3">
      <c r="AA1160" t="str">
        <f>IF(COUNTA('Procyclean 130'!A161,'Procyclean 130'!B161,'Procyclean 130'!C161)&gt;0,"130","")</f>
        <v/>
      </c>
      <c r="AB1160" t="str">
        <f>IFERROR(IF(ISNUMBER('Procyclean 130'!A161),'Procyclean 130'!A161,DATEVALUE('Procyclean 130'!A161)),"")</f>
        <v/>
      </c>
      <c r="AC1160" t="str">
        <f>IF(AA1160="","",'Procyclean 130'!B161)</f>
        <v/>
      </c>
      <c r="AD1160" t="str">
        <f>IF(AA1160="","",IFERROR(1*'Procyclean 130'!C161,IFERROR(_xludf.NUMBERVALUE('Procyclean 130'!C161,".",","),IFERROR(_xludf.NUMBERVALUE('Procyclean 130'!C161,",","."),0))))</f>
        <v/>
      </c>
      <c r="AE1160" t="str">
        <f>IF(AA1160="","",'Procyclean 130'!J161)</f>
        <v/>
      </c>
      <c r="AF1160">
        <f t="shared" si="125"/>
        <v>0</v>
      </c>
      <c r="AG1160" t="str">
        <f t="shared" si="126"/>
        <v/>
      </c>
      <c r="AH1160" t="str">
        <f t="shared" si="127"/>
        <v/>
      </c>
      <c r="AI1160">
        <f t="shared" si="128"/>
        <v>0</v>
      </c>
      <c r="AJ1160">
        <f t="shared" si="129"/>
        <v>0</v>
      </c>
      <c r="AK1160">
        <v>0</v>
      </c>
      <c r="AL1160" t="str">
        <f>IF(AA1160="","",IFERROR(IF(ISNUMBER('Procyclean 130'!D161),'Procyclean 130'!D161,IF(ISNUMBER(SEARCH("12",'Procyclean 130'!D161)),EDATE(AB1160,12),IF(ISNUMBER(SEARCH("6",'Procyclean 130'!D161)),EDATE(AB1160,6),IF(ISNUMBER(SEARCH("3",'Procyclean 130'!D161)),EDATE(AB1160,3),DATEVALUE('Procyclean 130'!D161))))),""))</f>
        <v/>
      </c>
      <c r="AM1160" t="str">
        <f t="shared" ca="1" si="130"/>
        <v/>
      </c>
    </row>
    <row r="1161" spans="27:39" x14ac:dyDescent="0.3">
      <c r="AA1161" t="str">
        <f>IF(COUNTA('Procyclean 130'!A162,'Procyclean 130'!B162,'Procyclean 130'!C162)&gt;0,"130","")</f>
        <v/>
      </c>
      <c r="AB1161" t="str">
        <f>IFERROR(IF(ISNUMBER('Procyclean 130'!A162),'Procyclean 130'!A162,DATEVALUE('Procyclean 130'!A162)),"")</f>
        <v/>
      </c>
      <c r="AC1161" t="str">
        <f>IF(AA1161="","",'Procyclean 130'!B162)</f>
        <v/>
      </c>
      <c r="AD1161" t="str">
        <f>IF(AA1161="","",IFERROR(1*'Procyclean 130'!C162,IFERROR(_xludf.NUMBERVALUE('Procyclean 130'!C162,".",","),IFERROR(_xludf.NUMBERVALUE('Procyclean 130'!C162,",","."),0))))</f>
        <v/>
      </c>
      <c r="AE1161" t="str">
        <f>IF(AA1161="","",'Procyclean 130'!J162)</f>
        <v/>
      </c>
      <c r="AF1161">
        <f t="shared" si="125"/>
        <v>0</v>
      </c>
      <c r="AG1161" t="str">
        <f t="shared" si="126"/>
        <v/>
      </c>
      <c r="AH1161" t="str">
        <f t="shared" si="127"/>
        <v/>
      </c>
      <c r="AI1161">
        <f t="shared" si="128"/>
        <v>0</v>
      </c>
      <c r="AJ1161">
        <f t="shared" si="129"/>
        <v>0</v>
      </c>
      <c r="AK1161">
        <v>0</v>
      </c>
      <c r="AL1161" t="str">
        <f>IF(AA1161="","",IFERROR(IF(ISNUMBER('Procyclean 130'!D162),'Procyclean 130'!D162,IF(ISNUMBER(SEARCH("12",'Procyclean 130'!D162)),EDATE(AB1161,12),IF(ISNUMBER(SEARCH("6",'Procyclean 130'!D162)),EDATE(AB1161,6),IF(ISNUMBER(SEARCH("3",'Procyclean 130'!D162)),EDATE(AB1161,3),DATEVALUE('Procyclean 130'!D162))))),""))</f>
        <v/>
      </c>
      <c r="AM1161" t="str">
        <f t="shared" ca="1" si="130"/>
        <v/>
      </c>
    </row>
    <row r="1162" spans="27:39" x14ac:dyDescent="0.3">
      <c r="AA1162" t="str">
        <f>IF(COUNTA('Procyclean 130'!A163,'Procyclean 130'!B163,'Procyclean 130'!C163)&gt;0,"130","")</f>
        <v/>
      </c>
      <c r="AB1162" t="str">
        <f>IFERROR(IF(ISNUMBER('Procyclean 130'!A163),'Procyclean 130'!A163,DATEVALUE('Procyclean 130'!A163)),"")</f>
        <v/>
      </c>
      <c r="AC1162" t="str">
        <f>IF(AA1162="","",'Procyclean 130'!B163)</f>
        <v/>
      </c>
      <c r="AD1162" t="str">
        <f>IF(AA1162="","",IFERROR(1*'Procyclean 130'!C163,IFERROR(_xludf.NUMBERVALUE('Procyclean 130'!C163,".",","),IFERROR(_xludf.NUMBERVALUE('Procyclean 130'!C163,",","."),0))))</f>
        <v/>
      </c>
      <c r="AE1162" t="str">
        <f>IF(AA1162="","",'Procyclean 130'!J163)</f>
        <v/>
      </c>
      <c r="AF1162">
        <f t="shared" si="125"/>
        <v>0</v>
      </c>
      <c r="AG1162" t="str">
        <f t="shared" si="126"/>
        <v/>
      </c>
      <c r="AH1162" t="str">
        <f t="shared" si="127"/>
        <v/>
      </c>
      <c r="AI1162">
        <f t="shared" si="128"/>
        <v>0</v>
      </c>
      <c r="AJ1162">
        <f t="shared" si="129"/>
        <v>0</v>
      </c>
      <c r="AK1162">
        <v>0</v>
      </c>
      <c r="AL1162" t="str">
        <f>IF(AA1162="","",IFERROR(IF(ISNUMBER('Procyclean 130'!D163),'Procyclean 130'!D163,IF(ISNUMBER(SEARCH("12",'Procyclean 130'!D163)),EDATE(AB1162,12),IF(ISNUMBER(SEARCH("6",'Procyclean 130'!D163)),EDATE(AB1162,6),IF(ISNUMBER(SEARCH("3",'Procyclean 130'!D163)),EDATE(AB1162,3),DATEVALUE('Procyclean 130'!D163))))),""))</f>
        <v/>
      </c>
      <c r="AM1162" t="str">
        <f t="shared" ca="1" si="130"/>
        <v/>
      </c>
    </row>
    <row r="1163" spans="27:39" x14ac:dyDescent="0.3">
      <c r="AA1163" t="str">
        <f>IF(COUNTA('Procyclean 130'!A164,'Procyclean 130'!B164,'Procyclean 130'!C164)&gt;0,"130","")</f>
        <v/>
      </c>
      <c r="AB1163" t="str">
        <f>IFERROR(IF(ISNUMBER('Procyclean 130'!A164),'Procyclean 130'!A164,DATEVALUE('Procyclean 130'!A164)),"")</f>
        <v/>
      </c>
      <c r="AC1163" t="str">
        <f>IF(AA1163="","",'Procyclean 130'!B164)</f>
        <v/>
      </c>
      <c r="AD1163" t="str">
        <f>IF(AA1163="","",IFERROR(1*'Procyclean 130'!C164,IFERROR(_xludf.NUMBERVALUE('Procyclean 130'!C164,".",","),IFERROR(_xludf.NUMBERVALUE('Procyclean 130'!C164,",","."),0))))</f>
        <v/>
      </c>
      <c r="AE1163" t="str">
        <f>IF(AA1163="","",'Procyclean 130'!J164)</f>
        <v/>
      </c>
      <c r="AF1163">
        <f t="shared" si="125"/>
        <v>0</v>
      </c>
      <c r="AG1163" t="str">
        <f t="shared" si="126"/>
        <v/>
      </c>
      <c r="AH1163" t="str">
        <f t="shared" si="127"/>
        <v/>
      </c>
      <c r="AI1163">
        <f t="shared" si="128"/>
        <v>0</v>
      </c>
      <c r="AJ1163">
        <f t="shared" si="129"/>
        <v>0</v>
      </c>
      <c r="AK1163">
        <v>0</v>
      </c>
      <c r="AL1163" t="str">
        <f>IF(AA1163="","",IFERROR(IF(ISNUMBER('Procyclean 130'!D164),'Procyclean 130'!D164,IF(ISNUMBER(SEARCH("12",'Procyclean 130'!D164)),EDATE(AB1163,12),IF(ISNUMBER(SEARCH("6",'Procyclean 130'!D164)),EDATE(AB1163,6),IF(ISNUMBER(SEARCH("3",'Procyclean 130'!D164)),EDATE(AB1163,3),DATEVALUE('Procyclean 130'!D164))))),""))</f>
        <v/>
      </c>
      <c r="AM1163" t="str">
        <f t="shared" ca="1" si="130"/>
        <v/>
      </c>
    </row>
    <row r="1164" spans="27:39" x14ac:dyDescent="0.3">
      <c r="AA1164" t="str">
        <f>IF(COUNTA('Procyclean 130'!A165,'Procyclean 130'!B165,'Procyclean 130'!C165)&gt;0,"130","")</f>
        <v/>
      </c>
      <c r="AB1164" t="str">
        <f>IFERROR(IF(ISNUMBER('Procyclean 130'!A165),'Procyclean 130'!A165,DATEVALUE('Procyclean 130'!A165)),"")</f>
        <v/>
      </c>
      <c r="AC1164" t="str">
        <f>IF(AA1164="","",'Procyclean 130'!B165)</f>
        <v/>
      </c>
      <c r="AD1164" t="str">
        <f>IF(AA1164="","",IFERROR(1*'Procyclean 130'!C165,IFERROR(_xludf.NUMBERVALUE('Procyclean 130'!C165,".",","),IFERROR(_xludf.NUMBERVALUE('Procyclean 130'!C165,",","."),0))))</f>
        <v/>
      </c>
      <c r="AE1164" t="str">
        <f>IF(AA1164="","",'Procyclean 130'!J165)</f>
        <v/>
      </c>
      <c r="AF1164">
        <f t="shared" si="125"/>
        <v>0</v>
      </c>
      <c r="AG1164" t="str">
        <f t="shared" si="126"/>
        <v/>
      </c>
      <c r="AH1164" t="str">
        <f t="shared" si="127"/>
        <v/>
      </c>
      <c r="AI1164">
        <f t="shared" si="128"/>
        <v>0</v>
      </c>
      <c r="AJ1164">
        <f t="shared" si="129"/>
        <v>0</v>
      </c>
      <c r="AK1164">
        <v>0</v>
      </c>
      <c r="AL1164" t="str">
        <f>IF(AA1164="","",IFERROR(IF(ISNUMBER('Procyclean 130'!D165),'Procyclean 130'!D165,IF(ISNUMBER(SEARCH("12",'Procyclean 130'!D165)),EDATE(AB1164,12),IF(ISNUMBER(SEARCH("6",'Procyclean 130'!D165)),EDATE(AB1164,6),IF(ISNUMBER(SEARCH("3",'Procyclean 130'!D165)),EDATE(AB1164,3),DATEVALUE('Procyclean 130'!D165))))),""))</f>
        <v/>
      </c>
      <c r="AM1164" t="str">
        <f t="shared" ca="1" si="130"/>
        <v/>
      </c>
    </row>
    <row r="1165" spans="27:39" x14ac:dyDescent="0.3">
      <c r="AA1165" t="str">
        <f>IF(COUNTA('Procyclean 130'!A166,'Procyclean 130'!B166,'Procyclean 130'!C166)&gt;0,"130","")</f>
        <v/>
      </c>
      <c r="AB1165" t="str">
        <f>IFERROR(IF(ISNUMBER('Procyclean 130'!A166),'Procyclean 130'!A166,DATEVALUE('Procyclean 130'!A166)),"")</f>
        <v/>
      </c>
      <c r="AC1165" t="str">
        <f>IF(AA1165="","",'Procyclean 130'!B166)</f>
        <v/>
      </c>
      <c r="AD1165" t="str">
        <f>IF(AA1165="","",IFERROR(1*'Procyclean 130'!C166,IFERROR(_xludf.NUMBERVALUE('Procyclean 130'!C166,".",","),IFERROR(_xludf.NUMBERVALUE('Procyclean 130'!C166,",","."),0))))</f>
        <v/>
      </c>
      <c r="AE1165" t="str">
        <f>IF(AA1165="","",'Procyclean 130'!J166)</f>
        <v/>
      </c>
      <c r="AF1165">
        <f t="shared" si="125"/>
        <v>0</v>
      </c>
      <c r="AG1165" t="str">
        <f t="shared" si="126"/>
        <v/>
      </c>
      <c r="AH1165" t="str">
        <f t="shared" si="127"/>
        <v/>
      </c>
      <c r="AI1165">
        <f t="shared" si="128"/>
        <v>0</v>
      </c>
      <c r="AJ1165">
        <f t="shared" si="129"/>
        <v>0</v>
      </c>
      <c r="AK1165">
        <v>0</v>
      </c>
      <c r="AL1165" t="str">
        <f>IF(AA1165="","",IFERROR(IF(ISNUMBER('Procyclean 130'!D166),'Procyclean 130'!D166,IF(ISNUMBER(SEARCH("12",'Procyclean 130'!D166)),EDATE(AB1165,12),IF(ISNUMBER(SEARCH("6",'Procyclean 130'!D166)),EDATE(AB1165,6),IF(ISNUMBER(SEARCH("3",'Procyclean 130'!D166)),EDATE(AB1165,3),DATEVALUE('Procyclean 130'!D166))))),""))</f>
        <v/>
      </c>
      <c r="AM1165" t="str">
        <f t="shared" ca="1" si="130"/>
        <v/>
      </c>
    </row>
    <row r="1166" spans="27:39" x14ac:dyDescent="0.3">
      <c r="AA1166" t="str">
        <f>IF(COUNTA('Procyclean 130'!A167,'Procyclean 130'!B167,'Procyclean 130'!C167)&gt;0,"130","")</f>
        <v/>
      </c>
      <c r="AB1166" t="str">
        <f>IFERROR(IF(ISNUMBER('Procyclean 130'!A167),'Procyclean 130'!A167,DATEVALUE('Procyclean 130'!A167)),"")</f>
        <v/>
      </c>
      <c r="AC1166" t="str">
        <f>IF(AA1166="","",'Procyclean 130'!B167)</f>
        <v/>
      </c>
      <c r="AD1166" t="str">
        <f>IF(AA1166="","",IFERROR(1*'Procyclean 130'!C167,IFERROR(_xludf.NUMBERVALUE('Procyclean 130'!C167,".",","),IFERROR(_xludf.NUMBERVALUE('Procyclean 130'!C167,",","."),0))))</f>
        <v/>
      </c>
      <c r="AE1166" t="str">
        <f>IF(AA1166="","",'Procyclean 130'!J167)</f>
        <v/>
      </c>
      <c r="AF1166">
        <f t="shared" si="125"/>
        <v>0</v>
      </c>
      <c r="AG1166" t="str">
        <f t="shared" si="126"/>
        <v/>
      </c>
      <c r="AH1166" t="str">
        <f t="shared" si="127"/>
        <v/>
      </c>
      <c r="AI1166">
        <f t="shared" si="128"/>
        <v>0</v>
      </c>
      <c r="AJ1166">
        <f t="shared" si="129"/>
        <v>0</v>
      </c>
      <c r="AK1166">
        <v>0</v>
      </c>
      <c r="AL1166" t="str">
        <f>IF(AA1166="","",IFERROR(IF(ISNUMBER('Procyclean 130'!D167),'Procyclean 130'!D167,IF(ISNUMBER(SEARCH("12",'Procyclean 130'!D167)),EDATE(AB1166,12),IF(ISNUMBER(SEARCH("6",'Procyclean 130'!D167)),EDATE(AB1166,6),IF(ISNUMBER(SEARCH("3",'Procyclean 130'!D167)),EDATE(AB1166,3),DATEVALUE('Procyclean 130'!D167))))),""))</f>
        <v/>
      </c>
      <c r="AM1166" t="str">
        <f t="shared" ca="1" si="130"/>
        <v/>
      </c>
    </row>
    <row r="1167" spans="27:39" x14ac:dyDescent="0.3">
      <c r="AA1167" t="str">
        <f>IF(COUNTA('Procyclean 130'!A168,'Procyclean 130'!B168,'Procyclean 130'!C168)&gt;0,"130","")</f>
        <v/>
      </c>
      <c r="AB1167" t="str">
        <f>IFERROR(IF(ISNUMBER('Procyclean 130'!A168),'Procyclean 130'!A168,DATEVALUE('Procyclean 130'!A168)),"")</f>
        <v/>
      </c>
      <c r="AC1167" t="str">
        <f>IF(AA1167="","",'Procyclean 130'!B168)</f>
        <v/>
      </c>
      <c r="AD1167" t="str">
        <f>IF(AA1167="","",IFERROR(1*'Procyclean 130'!C168,IFERROR(_xludf.NUMBERVALUE('Procyclean 130'!C168,".",","),IFERROR(_xludf.NUMBERVALUE('Procyclean 130'!C168,",","."),0))))</f>
        <v/>
      </c>
      <c r="AE1167" t="str">
        <f>IF(AA1167="","",'Procyclean 130'!J168)</f>
        <v/>
      </c>
      <c r="AF1167">
        <f t="shared" si="125"/>
        <v>0</v>
      </c>
      <c r="AG1167" t="str">
        <f t="shared" si="126"/>
        <v/>
      </c>
      <c r="AH1167" t="str">
        <f t="shared" si="127"/>
        <v/>
      </c>
      <c r="AI1167">
        <f t="shared" si="128"/>
        <v>0</v>
      </c>
      <c r="AJ1167">
        <f t="shared" si="129"/>
        <v>0</v>
      </c>
      <c r="AK1167">
        <v>0</v>
      </c>
      <c r="AL1167" t="str">
        <f>IF(AA1167="","",IFERROR(IF(ISNUMBER('Procyclean 130'!D168),'Procyclean 130'!D168,IF(ISNUMBER(SEARCH("12",'Procyclean 130'!D168)),EDATE(AB1167,12),IF(ISNUMBER(SEARCH("6",'Procyclean 130'!D168)),EDATE(AB1167,6),IF(ISNUMBER(SEARCH("3",'Procyclean 130'!D168)),EDATE(AB1167,3),DATEVALUE('Procyclean 130'!D168))))),""))</f>
        <v/>
      </c>
      <c r="AM1167" t="str">
        <f t="shared" ca="1" si="130"/>
        <v/>
      </c>
    </row>
    <row r="1168" spans="27:39" x14ac:dyDescent="0.3">
      <c r="AA1168" t="str">
        <f>IF(COUNTA('Procyclean 130'!A169,'Procyclean 130'!B169,'Procyclean 130'!C169)&gt;0,"130","")</f>
        <v/>
      </c>
      <c r="AB1168" t="str">
        <f>IFERROR(IF(ISNUMBER('Procyclean 130'!A169),'Procyclean 130'!A169,DATEVALUE('Procyclean 130'!A169)),"")</f>
        <v/>
      </c>
      <c r="AC1168" t="str">
        <f>IF(AA1168="","",'Procyclean 130'!B169)</f>
        <v/>
      </c>
      <c r="AD1168" t="str">
        <f>IF(AA1168="","",IFERROR(1*'Procyclean 130'!C169,IFERROR(_xludf.NUMBERVALUE('Procyclean 130'!C169,".",","),IFERROR(_xludf.NUMBERVALUE('Procyclean 130'!C169,",","."),0))))</f>
        <v/>
      </c>
      <c r="AE1168" t="str">
        <f>IF(AA1168="","",'Procyclean 130'!J169)</f>
        <v/>
      </c>
      <c r="AF1168">
        <f t="shared" si="125"/>
        <v>0</v>
      </c>
      <c r="AG1168" t="str">
        <f t="shared" si="126"/>
        <v/>
      </c>
      <c r="AH1168" t="str">
        <f t="shared" si="127"/>
        <v/>
      </c>
      <c r="AI1168">
        <f t="shared" si="128"/>
        <v>0</v>
      </c>
      <c r="AJ1168">
        <f t="shared" si="129"/>
        <v>0</v>
      </c>
      <c r="AK1168">
        <v>0</v>
      </c>
      <c r="AL1168" t="str">
        <f>IF(AA1168="","",IFERROR(IF(ISNUMBER('Procyclean 130'!D169),'Procyclean 130'!D169,IF(ISNUMBER(SEARCH("12",'Procyclean 130'!D169)),EDATE(AB1168,12),IF(ISNUMBER(SEARCH("6",'Procyclean 130'!D169)),EDATE(AB1168,6),IF(ISNUMBER(SEARCH("3",'Procyclean 130'!D169)),EDATE(AB1168,3),DATEVALUE('Procyclean 130'!D169))))),""))</f>
        <v/>
      </c>
      <c r="AM1168" t="str">
        <f t="shared" ca="1" si="130"/>
        <v/>
      </c>
    </row>
    <row r="1169" spans="27:39" x14ac:dyDescent="0.3">
      <c r="AA1169" t="str">
        <f>IF(COUNTA('Procyclean 130'!A170,'Procyclean 130'!B170,'Procyclean 130'!C170)&gt;0,"130","")</f>
        <v/>
      </c>
      <c r="AB1169" t="str">
        <f>IFERROR(IF(ISNUMBER('Procyclean 130'!A170),'Procyclean 130'!A170,DATEVALUE('Procyclean 130'!A170)),"")</f>
        <v/>
      </c>
      <c r="AC1169" t="str">
        <f>IF(AA1169="","",'Procyclean 130'!B170)</f>
        <v/>
      </c>
      <c r="AD1169" t="str">
        <f>IF(AA1169="","",IFERROR(1*'Procyclean 130'!C170,IFERROR(_xludf.NUMBERVALUE('Procyclean 130'!C170,".",","),IFERROR(_xludf.NUMBERVALUE('Procyclean 130'!C170,",","."),0))))</f>
        <v/>
      </c>
      <c r="AE1169" t="str">
        <f>IF(AA1169="","",'Procyclean 130'!J170)</f>
        <v/>
      </c>
      <c r="AF1169">
        <f t="shared" si="125"/>
        <v>0</v>
      </c>
      <c r="AG1169" t="str">
        <f t="shared" si="126"/>
        <v/>
      </c>
      <c r="AH1169" t="str">
        <f t="shared" si="127"/>
        <v/>
      </c>
      <c r="AI1169">
        <f t="shared" si="128"/>
        <v>0</v>
      </c>
      <c r="AJ1169">
        <f t="shared" si="129"/>
        <v>0</v>
      </c>
      <c r="AK1169">
        <v>0</v>
      </c>
      <c r="AL1169" t="str">
        <f>IF(AA1169="","",IFERROR(IF(ISNUMBER('Procyclean 130'!D170),'Procyclean 130'!D170,IF(ISNUMBER(SEARCH("12",'Procyclean 130'!D170)),EDATE(AB1169,12),IF(ISNUMBER(SEARCH("6",'Procyclean 130'!D170)),EDATE(AB1169,6),IF(ISNUMBER(SEARCH("3",'Procyclean 130'!D170)),EDATE(AB1169,3),DATEVALUE('Procyclean 130'!D170))))),""))</f>
        <v/>
      </c>
      <c r="AM1169" t="str">
        <f t="shared" ca="1" si="130"/>
        <v/>
      </c>
    </row>
    <row r="1170" spans="27:39" x14ac:dyDescent="0.3">
      <c r="AA1170" t="str">
        <f>IF(COUNTA('Procyclean 130'!A171,'Procyclean 130'!B171,'Procyclean 130'!C171)&gt;0,"130","")</f>
        <v/>
      </c>
      <c r="AB1170" t="str">
        <f>IFERROR(IF(ISNUMBER('Procyclean 130'!A171),'Procyclean 130'!A171,DATEVALUE('Procyclean 130'!A171)),"")</f>
        <v/>
      </c>
      <c r="AC1170" t="str">
        <f>IF(AA1170="","",'Procyclean 130'!B171)</f>
        <v/>
      </c>
      <c r="AD1170" t="str">
        <f>IF(AA1170="","",IFERROR(1*'Procyclean 130'!C171,IFERROR(_xludf.NUMBERVALUE('Procyclean 130'!C171,".",","),IFERROR(_xludf.NUMBERVALUE('Procyclean 130'!C171,",","."),0))))</f>
        <v/>
      </c>
      <c r="AE1170" t="str">
        <f>IF(AA1170="","",'Procyclean 130'!J171)</f>
        <v/>
      </c>
      <c r="AF1170">
        <f t="shared" si="125"/>
        <v>0</v>
      </c>
      <c r="AG1170" t="str">
        <f t="shared" si="126"/>
        <v/>
      </c>
      <c r="AH1170" t="str">
        <f t="shared" si="127"/>
        <v/>
      </c>
      <c r="AI1170">
        <f t="shared" si="128"/>
        <v>0</v>
      </c>
      <c r="AJ1170">
        <f t="shared" si="129"/>
        <v>0</v>
      </c>
      <c r="AK1170">
        <v>0</v>
      </c>
      <c r="AL1170" t="str">
        <f>IF(AA1170="","",IFERROR(IF(ISNUMBER('Procyclean 130'!D171),'Procyclean 130'!D171,IF(ISNUMBER(SEARCH("12",'Procyclean 130'!D171)),EDATE(AB1170,12),IF(ISNUMBER(SEARCH("6",'Procyclean 130'!D171)),EDATE(AB1170,6),IF(ISNUMBER(SEARCH("3",'Procyclean 130'!D171)),EDATE(AB1170,3),DATEVALUE('Procyclean 130'!D171))))),""))</f>
        <v/>
      </c>
      <c r="AM1170" t="str">
        <f t="shared" ca="1" si="130"/>
        <v/>
      </c>
    </row>
    <row r="1171" spans="27:39" x14ac:dyDescent="0.3">
      <c r="AA1171" t="str">
        <f>IF(COUNTA('Procyclean 130'!A172,'Procyclean 130'!B172,'Procyclean 130'!C172)&gt;0,"130","")</f>
        <v/>
      </c>
      <c r="AB1171" t="str">
        <f>IFERROR(IF(ISNUMBER('Procyclean 130'!A172),'Procyclean 130'!A172,DATEVALUE('Procyclean 130'!A172)),"")</f>
        <v/>
      </c>
      <c r="AC1171" t="str">
        <f>IF(AA1171="","",'Procyclean 130'!B172)</f>
        <v/>
      </c>
      <c r="AD1171" t="str">
        <f>IF(AA1171="","",IFERROR(1*'Procyclean 130'!C172,IFERROR(_xludf.NUMBERVALUE('Procyclean 130'!C172,".",","),IFERROR(_xludf.NUMBERVALUE('Procyclean 130'!C172,",","."),0))))</f>
        <v/>
      </c>
      <c r="AE1171" t="str">
        <f>IF(AA1171="","",'Procyclean 130'!J172)</f>
        <v/>
      </c>
      <c r="AF1171">
        <f t="shared" si="125"/>
        <v>0</v>
      </c>
      <c r="AG1171" t="str">
        <f t="shared" si="126"/>
        <v/>
      </c>
      <c r="AH1171" t="str">
        <f t="shared" si="127"/>
        <v/>
      </c>
      <c r="AI1171">
        <f t="shared" si="128"/>
        <v>0</v>
      </c>
      <c r="AJ1171">
        <f t="shared" si="129"/>
        <v>0</v>
      </c>
      <c r="AK1171">
        <v>0</v>
      </c>
      <c r="AL1171" t="str">
        <f>IF(AA1171="","",IFERROR(IF(ISNUMBER('Procyclean 130'!D172),'Procyclean 130'!D172,IF(ISNUMBER(SEARCH("12",'Procyclean 130'!D172)),EDATE(AB1171,12),IF(ISNUMBER(SEARCH("6",'Procyclean 130'!D172)),EDATE(AB1171,6),IF(ISNUMBER(SEARCH("3",'Procyclean 130'!D172)),EDATE(AB1171,3),DATEVALUE('Procyclean 130'!D172))))),""))</f>
        <v/>
      </c>
      <c r="AM1171" t="str">
        <f t="shared" ca="1" si="130"/>
        <v/>
      </c>
    </row>
    <row r="1172" spans="27:39" x14ac:dyDescent="0.3">
      <c r="AA1172" t="str">
        <f>IF(COUNTA('Procyclean 130'!A173,'Procyclean 130'!B173,'Procyclean 130'!C173)&gt;0,"130","")</f>
        <v/>
      </c>
      <c r="AB1172" t="str">
        <f>IFERROR(IF(ISNUMBER('Procyclean 130'!A173),'Procyclean 130'!A173,DATEVALUE('Procyclean 130'!A173)),"")</f>
        <v/>
      </c>
      <c r="AC1172" t="str">
        <f>IF(AA1172="","",'Procyclean 130'!B173)</f>
        <v/>
      </c>
      <c r="AD1172" t="str">
        <f>IF(AA1172="","",IFERROR(1*'Procyclean 130'!C173,IFERROR(_xludf.NUMBERVALUE('Procyclean 130'!C173,".",","),IFERROR(_xludf.NUMBERVALUE('Procyclean 130'!C173,",","."),0))))</f>
        <v/>
      </c>
      <c r="AE1172" t="str">
        <f>IF(AA1172="","",'Procyclean 130'!J173)</f>
        <v/>
      </c>
      <c r="AF1172">
        <f t="shared" si="125"/>
        <v>0</v>
      </c>
      <c r="AG1172" t="str">
        <f t="shared" si="126"/>
        <v/>
      </c>
      <c r="AH1172" t="str">
        <f t="shared" si="127"/>
        <v/>
      </c>
      <c r="AI1172">
        <f t="shared" si="128"/>
        <v>0</v>
      </c>
      <c r="AJ1172">
        <f t="shared" si="129"/>
        <v>0</v>
      </c>
      <c r="AK1172">
        <v>0</v>
      </c>
      <c r="AL1172" t="str">
        <f>IF(AA1172="","",IFERROR(IF(ISNUMBER('Procyclean 130'!D173),'Procyclean 130'!D173,IF(ISNUMBER(SEARCH("12",'Procyclean 130'!D173)),EDATE(AB1172,12),IF(ISNUMBER(SEARCH("6",'Procyclean 130'!D173)),EDATE(AB1172,6),IF(ISNUMBER(SEARCH("3",'Procyclean 130'!D173)),EDATE(AB1172,3),DATEVALUE('Procyclean 130'!D173))))),""))</f>
        <v/>
      </c>
      <c r="AM1172" t="str">
        <f t="shared" ca="1" si="130"/>
        <v/>
      </c>
    </row>
    <row r="1173" spans="27:39" x14ac:dyDescent="0.3">
      <c r="AA1173" t="str">
        <f>IF(COUNTA('Procyclean 130'!A174,'Procyclean 130'!B174,'Procyclean 130'!C174)&gt;0,"130","")</f>
        <v/>
      </c>
      <c r="AB1173" t="str">
        <f>IFERROR(IF(ISNUMBER('Procyclean 130'!A174),'Procyclean 130'!A174,DATEVALUE('Procyclean 130'!A174)),"")</f>
        <v/>
      </c>
      <c r="AC1173" t="str">
        <f>IF(AA1173="","",'Procyclean 130'!B174)</f>
        <v/>
      </c>
      <c r="AD1173" t="str">
        <f>IF(AA1173="","",IFERROR(1*'Procyclean 130'!C174,IFERROR(_xludf.NUMBERVALUE('Procyclean 130'!C174,".",","),IFERROR(_xludf.NUMBERVALUE('Procyclean 130'!C174,",","."),0))))</f>
        <v/>
      </c>
      <c r="AE1173" t="str">
        <f>IF(AA1173="","",'Procyclean 130'!J174)</f>
        <v/>
      </c>
      <c r="AF1173">
        <f t="shared" si="125"/>
        <v>0</v>
      </c>
      <c r="AG1173" t="str">
        <f t="shared" si="126"/>
        <v/>
      </c>
      <c r="AH1173" t="str">
        <f t="shared" si="127"/>
        <v/>
      </c>
      <c r="AI1173">
        <f t="shared" si="128"/>
        <v>0</v>
      </c>
      <c r="AJ1173">
        <f t="shared" si="129"/>
        <v>0</v>
      </c>
      <c r="AK1173">
        <v>0</v>
      </c>
      <c r="AL1173" t="str">
        <f>IF(AA1173="","",IFERROR(IF(ISNUMBER('Procyclean 130'!D174),'Procyclean 130'!D174,IF(ISNUMBER(SEARCH("12",'Procyclean 130'!D174)),EDATE(AB1173,12),IF(ISNUMBER(SEARCH("6",'Procyclean 130'!D174)),EDATE(AB1173,6),IF(ISNUMBER(SEARCH("3",'Procyclean 130'!D174)),EDATE(AB1173,3),DATEVALUE('Procyclean 130'!D174))))),""))</f>
        <v/>
      </c>
      <c r="AM1173" t="str">
        <f t="shared" ca="1" si="130"/>
        <v/>
      </c>
    </row>
    <row r="1174" spans="27:39" x14ac:dyDescent="0.3">
      <c r="AA1174" t="str">
        <f>IF(COUNTA('Procyclean 130'!A175,'Procyclean 130'!B175,'Procyclean 130'!C175)&gt;0,"130","")</f>
        <v/>
      </c>
      <c r="AB1174" t="str">
        <f>IFERROR(IF(ISNUMBER('Procyclean 130'!A175),'Procyclean 130'!A175,DATEVALUE('Procyclean 130'!A175)),"")</f>
        <v/>
      </c>
      <c r="AC1174" t="str">
        <f>IF(AA1174="","",'Procyclean 130'!B175)</f>
        <v/>
      </c>
      <c r="AD1174" t="str">
        <f>IF(AA1174="","",IFERROR(1*'Procyclean 130'!C175,IFERROR(_xludf.NUMBERVALUE('Procyclean 130'!C175,".",","),IFERROR(_xludf.NUMBERVALUE('Procyclean 130'!C175,",","."),0))))</f>
        <v/>
      </c>
      <c r="AE1174" t="str">
        <f>IF(AA1174="","",'Procyclean 130'!J175)</f>
        <v/>
      </c>
      <c r="AF1174">
        <f t="shared" si="125"/>
        <v>0</v>
      </c>
      <c r="AG1174" t="str">
        <f t="shared" si="126"/>
        <v/>
      </c>
      <c r="AH1174" t="str">
        <f t="shared" si="127"/>
        <v/>
      </c>
      <c r="AI1174">
        <f t="shared" si="128"/>
        <v>0</v>
      </c>
      <c r="AJ1174">
        <f t="shared" si="129"/>
        <v>0</v>
      </c>
      <c r="AK1174">
        <v>0</v>
      </c>
      <c r="AL1174" t="str">
        <f>IF(AA1174="","",IFERROR(IF(ISNUMBER('Procyclean 130'!D175),'Procyclean 130'!D175,IF(ISNUMBER(SEARCH("12",'Procyclean 130'!D175)),EDATE(AB1174,12),IF(ISNUMBER(SEARCH("6",'Procyclean 130'!D175)),EDATE(AB1174,6),IF(ISNUMBER(SEARCH("3",'Procyclean 130'!D175)),EDATE(AB1174,3),DATEVALUE('Procyclean 130'!D175))))),""))</f>
        <v/>
      </c>
      <c r="AM1174" t="str">
        <f t="shared" ca="1" si="130"/>
        <v/>
      </c>
    </row>
    <row r="1175" spans="27:39" x14ac:dyDescent="0.3">
      <c r="AA1175" t="str">
        <f>IF(COUNTA('Procyclean 130'!A176,'Procyclean 130'!B176,'Procyclean 130'!C176)&gt;0,"130","")</f>
        <v/>
      </c>
      <c r="AB1175" t="str">
        <f>IFERROR(IF(ISNUMBER('Procyclean 130'!A176),'Procyclean 130'!A176,DATEVALUE('Procyclean 130'!A176)),"")</f>
        <v/>
      </c>
      <c r="AC1175" t="str">
        <f>IF(AA1175="","",'Procyclean 130'!B176)</f>
        <v/>
      </c>
      <c r="AD1175" t="str">
        <f>IF(AA1175="","",IFERROR(1*'Procyclean 130'!C176,IFERROR(_xludf.NUMBERVALUE('Procyclean 130'!C176,".",","),IFERROR(_xludf.NUMBERVALUE('Procyclean 130'!C176,",","."),0))))</f>
        <v/>
      </c>
      <c r="AE1175" t="str">
        <f>IF(AA1175="","",'Procyclean 130'!J176)</f>
        <v/>
      </c>
      <c r="AF1175">
        <f t="shared" si="125"/>
        <v>0</v>
      </c>
      <c r="AG1175" t="str">
        <f t="shared" si="126"/>
        <v/>
      </c>
      <c r="AH1175" t="str">
        <f t="shared" si="127"/>
        <v/>
      </c>
      <c r="AI1175">
        <f t="shared" si="128"/>
        <v>0</v>
      </c>
      <c r="AJ1175">
        <f t="shared" si="129"/>
        <v>0</v>
      </c>
      <c r="AK1175">
        <v>0</v>
      </c>
      <c r="AL1175" t="str">
        <f>IF(AA1175="","",IFERROR(IF(ISNUMBER('Procyclean 130'!D176),'Procyclean 130'!D176,IF(ISNUMBER(SEARCH("12",'Procyclean 130'!D176)),EDATE(AB1175,12),IF(ISNUMBER(SEARCH("6",'Procyclean 130'!D176)),EDATE(AB1175,6),IF(ISNUMBER(SEARCH("3",'Procyclean 130'!D176)),EDATE(AB1175,3),DATEVALUE('Procyclean 130'!D176))))),""))</f>
        <v/>
      </c>
      <c r="AM1175" t="str">
        <f t="shared" ca="1" si="130"/>
        <v/>
      </c>
    </row>
    <row r="1176" spans="27:39" x14ac:dyDescent="0.3">
      <c r="AA1176" t="str">
        <f>IF(COUNTA('Procyclean 130'!A177,'Procyclean 130'!B177,'Procyclean 130'!C177)&gt;0,"130","")</f>
        <v/>
      </c>
      <c r="AB1176" t="str">
        <f>IFERROR(IF(ISNUMBER('Procyclean 130'!A177),'Procyclean 130'!A177,DATEVALUE('Procyclean 130'!A177)),"")</f>
        <v/>
      </c>
      <c r="AC1176" t="str">
        <f>IF(AA1176="","",'Procyclean 130'!B177)</f>
        <v/>
      </c>
      <c r="AD1176" t="str">
        <f>IF(AA1176="","",IFERROR(1*'Procyclean 130'!C177,IFERROR(_xludf.NUMBERVALUE('Procyclean 130'!C177,".",","),IFERROR(_xludf.NUMBERVALUE('Procyclean 130'!C177,",","."),0))))</f>
        <v/>
      </c>
      <c r="AE1176" t="str">
        <f>IF(AA1176="","",'Procyclean 130'!J177)</f>
        <v/>
      </c>
      <c r="AF1176">
        <f t="shared" si="125"/>
        <v>0</v>
      </c>
      <c r="AG1176" t="str">
        <f t="shared" si="126"/>
        <v/>
      </c>
      <c r="AH1176" t="str">
        <f t="shared" si="127"/>
        <v/>
      </c>
      <c r="AI1176">
        <f t="shared" si="128"/>
        <v>0</v>
      </c>
      <c r="AJ1176">
        <f t="shared" si="129"/>
        <v>0</v>
      </c>
      <c r="AK1176">
        <v>0</v>
      </c>
      <c r="AL1176" t="str">
        <f>IF(AA1176="","",IFERROR(IF(ISNUMBER('Procyclean 130'!D177),'Procyclean 130'!D177,IF(ISNUMBER(SEARCH("12",'Procyclean 130'!D177)),EDATE(AB1176,12),IF(ISNUMBER(SEARCH("6",'Procyclean 130'!D177)),EDATE(AB1176,6),IF(ISNUMBER(SEARCH("3",'Procyclean 130'!D177)),EDATE(AB1176,3),DATEVALUE('Procyclean 130'!D177))))),""))</f>
        <v/>
      </c>
      <c r="AM1176" t="str">
        <f t="shared" ca="1" si="130"/>
        <v/>
      </c>
    </row>
    <row r="1177" spans="27:39" x14ac:dyDescent="0.3">
      <c r="AA1177" t="str">
        <f>IF(COUNTA('Procyclean 130'!A178,'Procyclean 130'!B178,'Procyclean 130'!C178)&gt;0,"130","")</f>
        <v/>
      </c>
      <c r="AB1177" t="str">
        <f>IFERROR(IF(ISNUMBER('Procyclean 130'!A178),'Procyclean 130'!A178,DATEVALUE('Procyclean 130'!A178)),"")</f>
        <v/>
      </c>
      <c r="AC1177" t="str">
        <f>IF(AA1177="","",'Procyclean 130'!B178)</f>
        <v/>
      </c>
      <c r="AD1177" t="str">
        <f>IF(AA1177="","",IFERROR(1*'Procyclean 130'!C178,IFERROR(_xludf.NUMBERVALUE('Procyclean 130'!C178,".",","),IFERROR(_xludf.NUMBERVALUE('Procyclean 130'!C178,",","."),0))))</f>
        <v/>
      </c>
      <c r="AE1177" t="str">
        <f>IF(AA1177="","",'Procyclean 130'!J178)</f>
        <v/>
      </c>
      <c r="AF1177">
        <f t="shared" si="125"/>
        <v>0</v>
      </c>
      <c r="AG1177" t="str">
        <f t="shared" si="126"/>
        <v/>
      </c>
      <c r="AH1177" t="str">
        <f t="shared" si="127"/>
        <v/>
      </c>
      <c r="AI1177">
        <f t="shared" si="128"/>
        <v>0</v>
      </c>
      <c r="AJ1177">
        <f t="shared" si="129"/>
        <v>0</v>
      </c>
      <c r="AK1177">
        <v>0</v>
      </c>
      <c r="AL1177" t="str">
        <f>IF(AA1177="","",IFERROR(IF(ISNUMBER('Procyclean 130'!D178),'Procyclean 130'!D178,IF(ISNUMBER(SEARCH("12",'Procyclean 130'!D178)),EDATE(AB1177,12),IF(ISNUMBER(SEARCH("6",'Procyclean 130'!D178)),EDATE(AB1177,6),IF(ISNUMBER(SEARCH("3",'Procyclean 130'!D178)),EDATE(AB1177,3),DATEVALUE('Procyclean 130'!D178))))),""))</f>
        <v/>
      </c>
      <c r="AM1177" t="str">
        <f t="shared" ca="1" si="130"/>
        <v/>
      </c>
    </row>
    <row r="1178" spans="27:39" x14ac:dyDescent="0.3">
      <c r="AA1178" t="str">
        <f>IF(COUNTA('Procyclean 130'!A179,'Procyclean 130'!B179,'Procyclean 130'!C179)&gt;0,"130","")</f>
        <v/>
      </c>
      <c r="AB1178" t="str">
        <f>IFERROR(IF(ISNUMBER('Procyclean 130'!A179),'Procyclean 130'!A179,DATEVALUE('Procyclean 130'!A179)),"")</f>
        <v/>
      </c>
      <c r="AC1178" t="str">
        <f>IF(AA1178="","",'Procyclean 130'!B179)</f>
        <v/>
      </c>
      <c r="AD1178" t="str">
        <f>IF(AA1178="","",IFERROR(1*'Procyclean 130'!C179,IFERROR(_xludf.NUMBERVALUE('Procyclean 130'!C179,".",","),IFERROR(_xludf.NUMBERVALUE('Procyclean 130'!C179,",","."),0))))</f>
        <v/>
      </c>
      <c r="AE1178" t="str">
        <f>IF(AA1178="","",'Procyclean 130'!J179)</f>
        <v/>
      </c>
      <c r="AF1178">
        <f t="shared" si="125"/>
        <v>0</v>
      </c>
      <c r="AG1178" t="str">
        <f t="shared" si="126"/>
        <v/>
      </c>
      <c r="AH1178" t="str">
        <f t="shared" si="127"/>
        <v/>
      </c>
      <c r="AI1178">
        <f t="shared" si="128"/>
        <v>0</v>
      </c>
      <c r="AJ1178">
        <f t="shared" si="129"/>
        <v>0</v>
      </c>
      <c r="AK1178">
        <v>0</v>
      </c>
      <c r="AL1178" t="str">
        <f>IF(AA1178="","",IFERROR(IF(ISNUMBER('Procyclean 130'!D179),'Procyclean 130'!D179,IF(ISNUMBER(SEARCH("12",'Procyclean 130'!D179)),EDATE(AB1178,12),IF(ISNUMBER(SEARCH("6",'Procyclean 130'!D179)),EDATE(AB1178,6),IF(ISNUMBER(SEARCH("3",'Procyclean 130'!D179)),EDATE(AB1178,3),DATEVALUE('Procyclean 130'!D179))))),""))</f>
        <v/>
      </c>
      <c r="AM1178" t="str">
        <f t="shared" ca="1" si="130"/>
        <v/>
      </c>
    </row>
    <row r="1179" spans="27:39" x14ac:dyDescent="0.3">
      <c r="AA1179" t="str">
        <f>IF(COUNTA('Procyclean 130'!A180,'Procyclean 130'!B180,'Procyclean 130'!C180)&gt;0,"130","")</f>
        <v/>
      </c>
      <c r="AB1179" t="str">
        <f>IFERROR(IF(ISNUMBER('Procyclean 130'!A180),'Procyclean 130'!A180,DATEVALUE('Procyclean 130'!A180)),"")</f>
        <v/>
      </c>
      <c r="AC1179" t="str">
        <f>IF(AA1179="","",'Procyclean 130'!B180)</f>
        <v/>
      </c>
      <c r="AD1179" t="str">
        <f>IF(AA1179="","",IFERROR(1*'Procyclean 130'!C180,IFERROR(_xludf.NUMBERVALUE('Procyclean 130'!C180,".",","),IFERROR(_xludf.NUMBERVALUE('Procyclean 130'!C180,",","."),0))))</f>
        <v/>
      </c>
      <c r="AE1179" t="str">
        <f>IF(AA1179="","",'Procyclean 130'!J180)</f>
        <v/>
      </c>
      <c r="AF1179">
        <f t="shared" si="125"/>
        <v>0</v>
      </c>
      <c r="AG1179" t="str">
        <f t="shared" si="126"/>
        <v/>
      </c>
      <c r="AH1179" t="str">
        <f t="shared" si="127"/>
        <v/>
      </c>
      <c r="AI1179">
        <f t="shared" si="128"/>
        <v>0</v>
      </c>
      <c r="AJ1179">
        <f t="shared" si="129"/>
        <v>0</v>
      </c>
      <c r="AK1179">
        <v>0</v>
      </c>
      <c r="AL1179" t="str">
        <f>IF(AA1179="","",IFERROR(IF(ISNUMBER('Procyclean 130'!D180),'Procyclean 130'!D180,IF(ISNUMBER(SEARCH("12",'Procyclean 130'!D180)),EDATE(AB1179,12),IF(ISNUMBER(SEARCH("6",'Procyclean 130'!D180)),EDATE(AB1179,6),IF(ISNUMBER(SEARCH("3",'Procyclean 130'!D180)),EDATE(AB1179,3),DATEVALUE('Procyclean 130'!D180))))),""))</f>
        <v/>
      </c>
      <c r="AM1179" t="str">
        <f t="shared" ca="1" si="130"/>
        <v/>
      </c>
    </row>
    <row r="1180" spans="27:39" x14ac:dyDescent="0.3">
      <c r="AA1180" t="str">
        <f>IF(COUNTA('Procyclean 130'!A181,'Procyclean 130'!B181,'Procyclean 130'!C181)&gt;0,"130","")</f>
        <v/>
      </c>
      <c r="AB1180" t="str">
        <f>IFERROR(IF(ISNUMBER('Procyclean 130'!A181),'Procyclean 130'!A181,DATEVALUE('Procyclean 130'!A181)),"")</f>
        <v/>
      </c>
      <c r="AC1180" t="str">
        <f>IF(AA1180="","",'Procyclean 130'!B181)</f>
        <v/>
      </c>
      <c r="AD1180" t="str">
        <f>IF(AA1180="","",IFERROR(1*'Procyclean 130'!C181,IFERROR(_xludf.NUMBERVALUE('Procyclean 130'!C181,".",","),IFERROR(_xludf.NUMBERVALUE('Procyclean 130'!C181,",","."),0))))</f>
        <v/>
      </c>
      <c r="AE1180" t="str">
        <f>IF(AA1180="","",'Procyclean 130'!J181)</f>
        <v/>
      </c>
      <c r="AF1180">
        <f t="shared" si="125"/>
        <v>0</v>
      </c>
      <c r="AG1180" t="str">
        <f t="shared" si="126"/>
        <v/>
      </c>
      <c r="AH1180" t="str">
        <f t="shared" si="127"/>
        <v/>
      </c>
      <c r="AI1180">
        <f t="shared" si="128"/>
        <v>0</v>
      </c>
      <c r="AJ1180">
        <f t="shared" si="129"/>
        <v>0</v>
      </c>
      <c r="AK1180">
        <v>0</v>
      </c>
      <c r="AL1180" t="str">
        <f>IF(AA1180="","",IFERROR(IF(ISNUMBER('Procyclean 130'!D181),'Procyclean 130'!D181,IF(ISNUMBER(SEARCH("12",'Procyclean 130'!D181)),EDATE(AB1180,12),IF(ISNUMBER(SEARCH("6",'Procyclean 130'!D181)),EDATE(AB1180,6),IF(ISNUMBER(SEARCH("3",'Procyclean 130'!D181)),EDATE(AB1180,3),DATEVALUE('Procyclean 130'!D181))))),""))</f>
        <v/>
      </c>
      <c r="AM1180" t="str">
        <f t="shared" ca="1" si="130"/>
        <v/>
      </c>
    </row>
    <row r="1181" spans="27:39" x14ac:dyDescent="0.3">
      <c r="AA1181" t="str">
        <f>IF(COUNTA('Procyclean 130'!A182,'Procyclean 130'!B182,'Procyclean 130'!C182)&gt;0,"130","")</f>
        <v/>
      </c>
      <c r="AB1181" t="str">
        <f>IFERROR(IF(ISNUMBER('Procyclean 130'!A182),'Procyclean 130'!A182,DATEVALUE('Procyclean 130'!A182)),"")</f>
        <v/>
      </c>
      <c r="AC1181" t="str">
        <f>IF(AA1181="","",'Procyclean 130'!B182)</f>
        <v/>
      </c>
      <c r="AD1181" t="str">
        <f>IF(AA1181="","",IFERROR(1*'Procyclean 130'!C182,IFERROR(_xludf.NUMBERVALUE('Procyclean 130'!C182,".",","),IFERROR(_xludf.NUMBERVALUE('Procyclean 130'!C182,",","."),0))))</f>
        <v/>
      </c>
      <c r="AE1181" t="str">
        <f>IF(AA1181="","",'Procyclean 130'!J182)</f>
        <v/>
      </c>
      <c r="AF1181">
        <f t="shared" si="125"/>
        <v>0</v>
      </c>
      <c r="AG1181" t="str">
        <f t="shared" si="126"/>
        <v/>
      </c>
      <c r="AH1181" t="str">
        <f t="shared" si="127"/>
        <v/>
      </c>
      <c r="AI1181">
        <f t="shared" si="128"/>
        <v>0</v>
      </c>
      <c r="AJ1181">
        <f t="shared" si="129"/>
        <v>0</v>
      </c>
      <c r="AK1181">
        <v>0</v>
      </c>
      <c r="AL1181" t="str">
        <f>IF(AA1181="","",IFERROR(IF(ISNUMBER('Procyclean 130'!D182),'Procyclean 130'!D182,IF(ISNUMBER(SEARCH("12",'Procyclean 130'!D182)),EDATE(AB1181,12),IF(ISNUMBER(SEARCH("6",'Procyclean 130'!D182)),EDATE(AB1181,6),IF(ISNUMBER(SEARCH("3",'Procyclean 130'!D182)),EDATE(AB1181,3),DATEVALUE('Procyclean 130'!D182))))),""))</f>
        <v/>
      </c>
      <c r="AM1181" t="str">
        <f t="shared" ca="1" si="130"/>
        <v/>
      </c>
    </row>
    <row r="1182" spans="27:39" x14ac:dyDescent="0.3">
      <c r="AA1182" t="str">
        <f>IF(COUNTA('Procyclean 130'!A183,'Procyclean 130'!B183,'Procyclean 130'!C183)&gt;0,"130","")</f>
        <v/>
      </c>
      <c r="AB1182" t="str">
        <f>IFERROR(IF(ISNUMBER('Procyclean 130'!A183),'Procyclean 130'!A183,DATEVALUE('Procyclean 130'!A183)),"")</f>
        <v/>
      </c>
      <c r="AC1182" t="str">
        <f>IF(AA1182="","",'Procyclean 130'!B183)</f>
        <v/>
      </c>
      <c r="AD1182" t="str">
        <f>IF(AA1182="","",IFERROR(1*'Procyclean 130'!C183,IFERROR(_xludf.NUMBERVALUE('Procyclean 130'!C183,".",","),IFERROR(_xludf.NUMBERVALUE('Procyclean 130'!C183,",","."),0))))</f>
        <v/>
      </c>
      <c r="AE1182" t="str">
        <f>IF(AA1182="","",'Procyclean 130'!J183)</f>
        <v/>
      </c>
      <c r="AF1182">
        <f t="shared" si="125"/>
        <v>0</v>
      </c>
      <c r="AG1182" t="str">
        <f t="shared" si="126"/>
        <v/>
      </c>
      <c r="AH1182" t="str">
        <f t="shared" si="127"/>
        <v/>
      </c>
      <c r="AI1182">
        <f t="shared" si="128"/>
        <v>0</v>
      </c>
      <c r="AJ1182">
        <f t="shared" si="129"/>
        <v>0</v>
      </c>
      <c r="AK1182">
        <v>0</v>
      </c>
      <c r="AL1182" t="str">
        <f>IF(AA1182="","",IFERROR(IF(ISNUMBER('Procyclean 130'!D183),'Procyclean 130'!D183,IF(ISNUMBER(SEARCH("12",'Procyclean 130'!D183)),EDATE(AB1182,12),IF(ISNUMBER(SEARCH("6",'Procyclean 130'!D183)),EDATE(AB1182,6),IF(ISNUMBER(SEARCH("3",'Procyclean 130'!D183)),EDATE(AB1182,3),DATEVALUE('Procyclean 130'!D183))))),""))</f>
        <v/>
      </c>
      <c r="AM1182" t="str">
        <f t="shared" ca="1" si="130"/>
        <v/>
      </c>
    </row>
    <row r="1183" spans="27:39" x14ac:dyDescent="0.3">
      <c r="AA1183" t="str">
        <f>IF(COUNTA('Procyclean 130'!A184,'Procyclean 130'!B184,'Procyclean 130'!C184)&gt;0,"130","")</f>
        <v/>
      </c>
      <c r="AB1183" t="str">
        <f>IFERROR(IF(ISNUMBER('Procyclean 130'!A184),'Procyclean 130'!A184,DATEVALUE('Procyclean 130'!A184)),"")</f>
        <v/>
      </c>
      <c r="AC1183" t="str">
        <f>IF(AA1183="","",'Procyclean 130'!B184)</f>
        <v/>
      </c>
      <c r="AD1183" t="str">
        <f>IF(AA1183="","",IFERROR(1*'Procyclean 130'!C184,IFERROR(_xludf.NUMBERVALUE('Procyclean 130'!C184,".",","),IFERROR(_xludf.NUMBERVALUE('Procyclean 130'!C184,",","."),0))))</f>
        <v/>
      </c>
      <c r="AE1183" t="str">
        <f>IF(AA1183="","",'Procyclean 130'!J184)</f>
        <v/>
      </c>
      <c r="AF1183">
        <f t="shared" si="125"/>
        <v>0</v>
      </c>
      <c r="AG1183" t="str">
        <f t="shared" si="126"/>
        <v/>
      </c>
      <c r="AH1183" t="str">
        <f t="shared" si="127"/>
        <v/>
      </c>
      <c r="AI1183">
        <f t="shared" si="128"/>
        <v>0</v>
      </c>
      <c r="AJ1183">
        <f t="shared" si="129"/>
        <v>0</v>
      </c>
      <c r="AK1183">
        <v>0</v>
      </c>
      <c r="AL1183" t="str">
        <f>IF(AA1183="","",IFERROR(IF(ISNUMBER('Procyclean 130'!D184),'Procyclean 130'!D184,IF(ISNUMBER(SEARCH("12",'Procyclean 130'!D184)),EDATE(AB1183,12),IF(ISNUMBER(SEARCH("6",'Procyclean 130'!D184)),EDATE(AB1183,6),IF(ISNUMBER(SEARCH("3",'Procyclean 130'!D184)),EDATE(AB1183,3),DATEVALUE('Procyclean 130'!D184))))),""))</f>
        <v/>
      </c>
      <c r="AM1183" t="str">
        <f t="shared" ca="1" si="130"/>
        <v/>
      </c>
    </row>
    <row r="1184" spans="27:39" x14ac:dyDescent="0.3">
      <c r="AA1184" t="str">
        <f>IF(COUNTA('Procyclean 130'!A185,'Procyclean 130'!B185,'Procyclean 130'!C185)&gt;0,"130","")</f>
        <v/>
      </c>
      <c r="AB1184" t="str">
        <f>IFERROR(IF(ISNUMBER('Procyclean 130'!A185),'Procyclean 130'!A185,DATEVALUE('Procyclean 130'!A185)),"")</f>
        <v/>
      </c>
      <c r="AC1184" t="str">
        <f>IF(AA1184="","",'Procyclean 130'!B185)</f>
        <v/>
      </c>
      <c r="AD1184" t="str">
        <f>IF(AA1184="","",IFERROR(1*'Procyclean 130'!C185,IFERROR(_xludf.NUMBERVALUE('Procyclean 130'!C185,".",","),IFERROR(_xludf.NUMBERVALUE('Procyclean 130'!C185,",","."),0))))</f>
        <v/>
      </c>
      <c r="AE1184" t="str">
        <f>IF(AA1184="","",'Procyclean 130'!J185)</f>
        <v/>
      </c>
      <c r="AF1184">
        <f t="shared" si="125"/>
        <v>0</v>
      </c>
      <c r="AG1184" t="str">
        <f t="shared" si="126"/>
        <v/>
      </c>
      <c r="AH1184" t="str">
        <f t="shared" si="127"/>
        <v/>
      </c>
      <c r="AI1184">
        <f t="shared" si="128"/>
        <v>0</v>
      </c>
      <c r="AJ1184">
        <f t="shared" si="129"/>
        <v>0</v>
      </c>
      <c r="AK1184">
        <v>0</v>
      </c>
      <c r="AL1184" t="str">
        <f>IF(AA1184="","",IFERROR(IF(ISNUMBER('Procyclean 130'!D185),'Procyclean 130'!D185,IF(ISNUMBER(SEARCH("12",'Procyclean 130'!D185)),EDATE(AB1184,12),IF(ISNUMBER(SEARCH("6",'Procyclean 130'!D185)),EDATE(AB1184,6),IF(ISNUMBER(SEARCH("3",'Procyclean 130'!D185)),EDATE(AB1184,3),DATEVALUE('Procyclean 130'!D185))))),""))</f>
        <v/>
      </c>
      <c r="AM1184" t="str">
        <f t="shared" ca="1" si="130"/>
        <v/>
      </c>
    </row>
    <row r="1185" spans="27:39" x14ac:dyDescent="0.3">
      <c r="AA1185" t="str">
        <f>IF(COUNTA('Procyclean 130'!A186,'Procyclean 130'!B186,'Procyclean 130'!C186)&gt;0,"130","")</f>
        <v/>
      </c>
      <c r="AB1185" t="str">
        <f>IFERROR(IF(ISNUMBER('Procyclean 130'!A186),'Procyclean 130'!A186,DATEVALUE('Procyclean 130'!A186)),"")</f>
        <v/>
      </c>
      <c r="AC1185" t="str">
        <f>IF(AA1185="","",'Procyclean 130'!B186)</f>
        <v/>
      </c>
      <c r="AD1185" t="str">
        <f>IF(AA1185="","",IFERROR(1*'Procyclean 130'!C186,IFERROR(_xludf.NUMBERVALUE('Procyclean 130'!C186,".",","),IFERROR(_xludf.NUMBERVALUE('Procyclean 130'!C186,",","."),0))))</f>
        <v/>
      </c>
      <c r="AE1185" t="str">
        <f>IF(AA1185="","",'Procyclean 130'!J186)</f>
        <v/>
      </c>
      <c r="AF1185">
        <f t="shared" si="125"/>
        <v>0</v>
      </c>
      <c r="AG1185" t="str">
        <f t="shared" si="126"/>
        <v/>
      </c>
      <c r="AH1185" t="str">
        <f t="shared" si="127"/>
        <v/>
      </c>
      <c r="AI1185">
        <f t="shared" si="128"/>
        <v>0</v>
      </c>
      <c r="AJ1185">
        <f t="shared" si="129"/>
        <v>0</v>
      </c>
      <c r="AK1185">
        <v>0</v>
      </c>
      <c r="AL1185" t="str">
        <f>IF(AA1185="","",IFERROR(IF(ISNUMBER('Procyclean 130'!D186),'Procyclean 130'!D186,IF(ISNUMBER(SEARCH("12",'Procyclean 130'!D186)),EDATE(AB1185,12),IF(ISNUMBER(SEARCH("6",'Procyclean 130'!D186)),EDATE(AB1185,6),IF(ISNUMBER(SEARCH("3",'Procyclean 130'!D186)),EDATE(AB1185,3),DATEVALUE('Procyclean 130'!D186))))),""))</f>
        <v/>
      </c>
      <c r="AM1185" t="str">
        <f t="shared" ca="1" si="130"/>
        <v/>
      </c>
    </row>
    <row r="1186" spans="27:39" x14ac:dyDescent="0.3">
      <c r="AA1186" t="str">
        <f>IF(COUNTA('Procyclean 130'!A187,'Procyclean 130'!B187,'Procyclean 130'!C187)&gt;0,"130","")</f>
        <v/>
      </c>
      <c r="AB1186" t="str">
        <f>IFERROR(IF(ISNUMBER('Procyclean 130'!A187),'Procyclean 130'!A187,DATEVALUE('Procyclean 130'!A187)),"")</f>
        <v/>
      </c>
      <c r="AC1186" t="str">
        <f>IF(AA1186="","",'Procyclean 130'!B187)</f>
        <v/>
      </c>
      <c r="AD1186" t="str">
        <f>IF(AA1186="","",IFERROR(1*'Procyclean 130'!C187,IFERROR(_xludf.NUMBERVALUE('Procyclean 130'!C187,".",","),IFERROR(_xludf.NUMBERVALUE('Procyclean 130'!C187,",","."),0))))</f>
        <v/>
      </c>
      <c r="AE1186" t="str">
        <f>IF(AA1186="","",'Procyclean 130'!J187)</f>
        <v/>
      </c>
      <c r="AF1186">
        <f t="shared" si="125"/>
        <v>0</v>
      </c>
      <c r="AG1186" t="str">
        <f t="shared" si="126"/>
        <v/>
      </c>
      <c r="AH1186" t="str">
        <f t="shared" si="127"/>
        <v/>
      </c>
      <c r="AI1186">
        <f t="shared" si="128"/>
        <v>0</v>
      </c>
      <c r="AJ1186">
        <f t="shared" si="129"/>
        <v>0</v>
      </c>
      <c r="AK1186">
        <v>0</v>
      </c>
      <c r="AL1186" t="str">
        <f>IF(AA1186="","",IFERROR(IF(ISNUMBER('Procyclean 130'!D187),'Procyclean 130'!D187,IF(ISNUMBER(SEARCH("12",'Procyclean 130'!D187)),EDATE(AB1186,12),IF(ISNUMBER(SEARCH("6",'Procyclean 130'!D187)),EDATE(AB1186,6),IF(ISNUMBER(SEARCH("3",'Procyclean 130'!D187)),EDATE(AB1186,3),DATEVALUE('Procyclean 130'!D187))))),""))</f>
        <v/>
      </c>
      <c r="AM1186" t="str">
        <f t="shared" ca="1" si="130"/>
        <v/>
      </c>
    </row>
    <row r="1187" spans="27:39" x14ac:dyDescent="0.3">
      <c r="AA1187" t="str">
        <f>IF(COUNTA('Procyclean 130'!A188,'Procyclean 130'!B188,'Procyclean 130'!C188)&gt;0,"130","")</f>
        <v/>
      </c>
      <c r="AB1187" t="str">
        <f>IFERROR(IF(ISNUMBER('Procyclean 130'!A188),'Procyclean 130'!A188,DATEVALUE('Procyclean 130'!A188)),"")</f>
        <v/>
      </c>
      <c r="AC1187" t="str">
        <f>IF(AA1187="","",'Procyclean 130'!B188)</f>
        <v/>
      </c>
      <c r="AD1187" t="str">
        <f>IF(AA1187="","",IFERROR(1*'Procyclean 130'!C188,IFERROR(_xludf.NUMBERVALUE('Procyclean 130'!C188,".",","),IFERROR(_xludf.NUMBERVALUE('Procyclean 130'!C188,",","."),0))))</f>
        <v/>
      </c>
      <c r="AE1187" t="str">
        <f>IF(AA1187="","",'Procyclean 130'!J188)</f>
        <v/>
      </c>
      <c r="AF1187">
        <f t="shared" si="125"/>
        <v>0</v>
      </c>
      <c r="AG1187" t="str">
        <f t="shared" si="126"/>
        <v/>
      </c>
      <c r="AH1187" t="str">
        <f t="shared" si="127"/>
        <v/>
      </c>
      <c r="AI1187">
        <f t="shared" si="128"/>
        <v>0</v>
      </c>
      <c r="AJ1187">
        <f t="shared" si="129"/>
        <v>0</v>
      </c>
      <c r="AK1187">
        <v>0</v>
      </c>
      <c r="AL1187" t="str">
        <f>IF(AA1187="","",IFERROR(IF(ISNUMBER('Procyclean 130'!D188),'Procyclean 130'!D188,IF(ISNUMBER(SEARCH("12",'Procyclean 130'!D188)),EDATE(AB1187,12),IF(ISNUMBER(SEARCH("6",'Procyclean 130'!D188)),EDATE(AB1187,6),IF(ISNUMBER(SEARCH("3",'Procyclean 130'!D188)),EDATE(AB1187,3),DATEVALUE('Procyclean 130'!D188))))),""))</f>
        <v/>
      </c>
      <c r="AM1187" t="str">
        <f t="shared" ca="1" si="130"/>
        <v/>
      </c>
    </row>
    <row r="1188" spans="27:39" x14ac:dyDescent="0.3">
      <c r="AA1188" t="str">
        <f>IF(COUNTA('Procyclean 130'!A189,'Procyclean 130'!B189,'Procyclean 130'!C189)&gt;0,"130","")</f>
        <v/>
      </c>
      <c r="AB1188" t="str">
        <f>IFERROR(IF(ISNUMBER('Procyclean 130'!A189),'Procyclean 130'!A189,DATEVALUE('Procyclean 130'!A189)),"")</f>
        <v/>
      </c>
      <c r="AC1188" t="str">
        <f>IF(AA1188="","",'Procyclean 130'!B189)</f>
        <v/>
      </c>
      <c r="AD1188" t="str">
        <f>IF(AA1188="","",IFERROR(1*'Procyclean 130'!C189,IFERROR(_xludf.NUMBERVALUE('Procyclean 130'!C189,".",","),IFERROR(_xludf.NUMBERVALUE('Procyclean 130'!C189,",","."),0))))</f>
        <v/>
      </c>
      <c r="AE1188" t="str">
        <f>IF(AA1188="","",'Procyclean 130'!J189)</f>
        <v/>
      </c>
      <c r="AF1188">
        <f t="shared" si="125"/>
        <v>0</v>
      </c>
      <c r="AG1188" t="str">
        <f t="shared" si="126"/>
        <v/>
      </c>
      <c r="AH1188" t="str">
        <f t="shared" si="127"/>
        <v/>
      </c>
      <c r="AI1188">
        <f t="shared" si="128"/>
        <v>0</v>
      </c>
      <c r="AJ1188">
        <f t="shared" si="129"/>
        <v>0</v>
      </c>
      <c r="AK1188">
        <v>0</v>
      </c>
      <c r="AL1188" t="str">
        <f>IF(AA1188="","",IFERROR(IF(ISNUMBER('Procyclean 130'!D189),'Procyclean 130'!D189,IF(ISNUMBER(SEARCH("12",'Procyclean 130'!D189)),EDATE(AB1188,12),IF(ISNUMBER(SEARCH("6",'Procyclean 130'!D189)),EDATE(AB1188,6),IF(ISNUMBER(SEARCH("3",'Procyclean 130'!D189)),EDATE(AB1188,3),DATEVALUE('Procyclean 130'!D189))))),""))</f>
        <v/>
      </c>
      <c r="AM1188" t="str">
        <f t="shared" ca="1" si="130"/>
        <v/>
      </c>
    </row>
    <row r="1189" spans="27:39" x14ac:dyDescent="0.3">
      <c r="AA1189" t="str">
        <f>IF(COUNTA('Procyclean 130'!A190,'Procyclean 130'!B190,'Procyclean 130'!C190)&gt;0,"130","")</f>
        <v/>
      </c>
      <c r="AB1189" t="str">
        <f>IFERROR(IF(ISNUMBER('Procyclean 130'!A190),'Procyclean 130'!A190,DATEVALUE('Procyclean 130'!A190)),"")</f>
        <v/>
      </c>
      <c r="AC1189" t="str">
        <f>IF(AA1189="","",'Procyclean 130'!B190)</f>
        <v/>
      </c>
      <c r="AD1189" t="str">
        <f>IF(AA1189="","",IFERROR(1*'Procyclean 130'!C190,IFERROR(_xludf.NUMBERVALUE('Procyclean 130'!C190,".",","),IFERROR(_xludf.NUMBERVALUE('Procyclean 130'!C190,",","."),0))))</f>
        <v/>
      </c>
      <c r="AE1189" t="str">
        <f>IF(AA1189="","",'Procyclean 130'!J190)</f>
        <v/>
      </c>
      <c r="AF1189">
        <f t="shared" si="125"/>
        <v>0</v>
      </c>
      <c r="AG1189" t="str">
        <f t="shared" si="126"/>
        <v/>
      </c>
      <c r="AH1189" t="str">
        <f t="shared" si="127"/>
        <v/>
      </c>
      <c r="AI1189">
        <f t="shared" si="128"/>
        <v>0</v>
      </c>
      <c r="AJ1189">
        <f t="shared" si="129"/>
        <v>0</v>
      </c>
      <c r="AK1189">
        <v>0</v>
      </c>
      <c r="AL1189" t="str">
        <f>IF(AA1189="","",IFERROR(IF(ISNUMBER('Procyclean 130'!D190),'Procyclean 130'!D190,IF(ISNUMBER(SEARCH("12",'Procyclean 130'!D190)),EDATE(AB1189,12),IF(ISNUMBER(SEARCH("6",'Procyclean 130'!D190)),EDATE(AB1189,6),IF(ISNUMBER(SEARCH("3",'Procyclean 130'!D190)),EDATE(AB1189,3),DATEVALUE('Procyclean 130'!D190))))),""))</f>
        <v/>
      </c>
      <c r="AM1189" t="str">
        <f t="shared" ca="1" si="130"/>
        <v/>
      </c>
    </row>
    <row r="1190" spans="27:39" x14ac:dyDescent="0.3">
      <c r="AA1190" t="str">
        <f>IF(COUNTA('Procyclean 130'!A191,'Procyclean 130'!B191,'Procyclean 130'!C191)&gt;0,"130","")</f>
        <v/>
      </c>
      <c r="AB1190" t="str">
        <f>IFERROR(IF(ISNUMBER('Procyclean 130'!A191),'Procyclean 130'!A191,DATEVALUE('Procyclean 130'!A191)),"")</f>
        <v/>
      </c>
      <c r="AC1190" t="str">
        <f>IF(AA1190="","",'Procyclean 130'!B191)</f>
        <v/>
      </c>
      <c r="AD1190" t="str">
        <f>IF(AA1190="","",IFERROR(1*'Procyclean 130'!C191,IFERROR(_xludf.NUMBERVALUE('Procyclean 130'!C191,".",","),IFERROR(_xludf.NUMBERVALUE('Procyclean 130'!C191,",","."),0))))</f>
        <v/>
      </c>
      <c r="AE1190" t="str">
        <f>IF(AA1190="","",'Procyclean 130'!J191)</f>
        <v/>
      </c>
      <c r="AF1190">
        <f t="shared" si="125"/>
        <v>0</v>
      </c>
      <c r="AG1190" t="str">
        <f t="shared" si="126"/>
        <v/>
      </c>
      <c r="AH1190" t="str">
        <f t="shared" si="127"/>
        <v/>
      </c>
      <c r="AI1190">
        <f t="shared" si="128"/>
        <v>0</v>
      </c>
      <c r="AJ1190">
        <f t="shared" si="129"/>
        <v>0</v>
      </c>
      <c r="AK1190">
        <v>0</v>
      </c>
      <c r="AL1190" t="str">
        <f>IF(AA1190="","",IFERROR(IF(ISNUMBER('Procyclean 130'!D191),'Procyclean 130'!D191,IF(ISNUMBER(SEARCH("12",'Procyclean 130'!D191)),EDATE(AB1190,12),IF(ISNUMBER(SEARCH("6",'Procyclean 130'!D191)),EDATE(AB1190,6),IF(ISNUMBER(SEARCH("3",'Procyclean 130'!D191)),EDATE(AB1190,3),DATEVALUE('Procyclean 130'!D191))))),""))</f>
        <v/>
      </c>
      <c r="AM1190" t="str">
        <f t="shared" ca="1" si="130"/>
        <v/>
      </c>
    </row>
    <row r="1191" spans="27:39" x14ac:dyDescent="0.3">
      <c r="AA1191" t="str">
        <f>IF(COUNTA('Procyclean 130'!A192,'Procyclean 130'!B192,'Procyclean 130'!C192)&gt;0,"130","")</f>
        <v/>
      </c>
      <c r="AB1191" t="str">
        <f>IFERROR(IF(ISNUMBER('Procyclean 130'!A192),'Procyclean 130'!A192,DATEVALUE('Procyclean 130'!A192)),"")</f>
        <v/>
      </c>
      <c r="AC1191" t="str">
        <f>IF(AA1191="","",'Procyclean 130'!B192)</f>
        <v/>
      </c>
      <c r="AD1191" t="str">
        <f>IF(AA1191="","",IFERROR(1*'Procyclean 130'!C192,IFERROR(_xludf.NUMBERVALUE('Procyclean 130'!C192,".",","),IFERROR(_xludf.NUMBERVALUE('Procyclean 130'!C192,",","."),0))))</f>
        <v/>
      </c>
      <c r="AE1191" t="str">
        <f>IF(AA1191="","",'Procyclean 130'!J192)</f>
        <v/>
      </c>
      <c r="AF1191">
        <f t="shared" si="125"/>
        <v>0</v>
      </c>
      <c r="AG1191" t="str">
        <f t="shared" si="126"/>
        <v/>
      </c>
      <c r="AH1191" t="str">
        <f t="shared" si="127"/>
        <v/>
      </c>
      <c r="AI1191">
        <f t="shared" si="128"/>
        <v>0</v>
      </c>
      <c r="AJ1191">
        <f t="shared" si="129"/>
        <v>0</v>
      </c>
      <c r="AK1191">
        <v>0</v>
      </c>
      <c r="AL1191" t="str">
        <f>IF(AA1191="","",IFERROR(IF(ISNUMBER('Procyclean 130'!D192),'Procyclean 130'!D192,IF(ISNUMBER(SEARCH("12",'Procyclean 130'!D192)),EDATE(AB1191,12),IF(ISNUMBER(SEARCH("6",'Procyclean 130'!D192)),EDATE(AB1191,6),IF(ISNUMBER(SEARCH("3",'Procyclean 130'!D192)),EDATE(AB1191,3),DATEVALUE('Procyclean 130'!D192))))),""))</f>
        <v/>
      </c>
      <c r="AM1191" t="str">
        <f t="shared" ca="1" si="130"/>
        <v/>
      </c>
    </row>
    <row r="1192" spans="27:39" x14ac:dyDescent="0.3">
      <c r="AA1192" t="str">
        <f>IF(COUNTA('Procyclean 130'!A193,'Procyclean 130'!B193,'Procyclean 130'!C193)&gt;0,"130","")</f>
        <v/>
      </c>
      <c r="AB1192" t="str">
        <f>IFERROR(IF(ISNUMBER('Procyclean 130'!A193),'Procyclean 130'!A193,DATEVALUE('Procyclean 130'!A193)),"")</f>
        <v/>
      </c>
      <c r="AC1192" t="str">
        <f>IF(AA1192="","",'Procyclean 130'!B193)</f>
        <v/>
      </c>
      <c r="AD1192" t="str">
        <f>IF(AA1192="","",IFERROR(1*'Procyclean 130'!C193,IFERROR(_xludf.NUMBERVALUE('Procyclean 130'!C193,".",","),IFERROR(_xludf.NUMBERVALUE('Procyclean 130'!C193,",","."),0))))</f>
        <v/>
      </c>
      <c r="AE1192" t="str">
        <f>IF(AA1192="","",'Procyclean 130'!J193)</f>
        <v/>
      </c>
      <c r="AF1192">
        <f t="shared" si="125"/>
        <v>0</v>
      </c>
      <c r="AG1192" t="str">
        <f t="shared" si="126"/>
        <v/>
      </c>
      <c r="AH1192" t="str">
        <f t="shared" si="127"/>
        <v/>
      </c>
      <c r="AI1192">
        <f t="shared" si="128"/>
        <v>0</v>
      </c>
      <c r="AJ1192">
        <f t="shared" si="129"/>
        <v>0</v>
      </c>
      <c r="AK1192">
        <v>0</v>
      </c>
      <c r="AL1192" t="str">
        <f>IF(AA1192="","",IFERROR(IF(ISNUMBER('Procyclean 130'!D193),'Procyclean 130'!D193,IF(ISNUMBER(SEARCH("12",'Procyclean 130'!D193)),EDATE(AB1192,12),IF(ISNUMBER(SEARCH("6",'Procyclean 130'!D193)),EDATE(AB1192,6),IF(ISNUMBER(SEARCH("3",'Procyclean 130'!D193)),EDATE(AB1192,3),DATEVALUE('Procyclean 130'!D193))))),""))</f>
        <v/>
      </c>
      <c r="AM1192" t="str">
        <f t="shared" ca="1" si="130"/>
        <v/>
      </c>
    </row>
    <row r="1193" spans="27:39" x14ac:dyDescent="0.3">
      <c r="AA1193" t="str">
        <f>IF(COUNTA('Procyclean 130'!A194,'Procyclean 130'!B194,'Procyclean 130'!C194)&gt;0,"130","")</f>
        <v/>
      </c>
      <c r="AB1193" t="str">
        <f>IFERROR(IF(ISNUMBER('Procyclean 130'!A194),'Procyclean 130'!A194,DATEVALUE('Procyclean 130'!A194)),"")</f>
        <v/>
      </c>
      <c r="AC1193" t="str">
        <f>IF(AA1193="","",'Procyclean 130'!B194)</f>
        <v/>
      </c>
      <c r="AD1193" t="str">
        <f>IF(AA1193="","",IFERROR(1*'Procyclean 130'!C194,IFERROR(_xludf.NUMBERVALUE('Procyclean 130'!C194,".",","),IFERROR(_xludf.NUMBERVALUE('Procyclean 130'!C194,",","."),0))))</f>
        <v/>
      </c>
      <c r="AE1193" t="str">
        <f>IF(AA1193="","",'Procyclean 130'!J194)</f>
        <v/>
      </c>
      <c r="AF1193">
        <f t="shared" si="125"/>
        <v>0</v>
      </c>
      <c r="AG1193" t="str">
        <f t="shared" si="126"/>
        <v/>
      </c>
      <c r="AH1193" t="str">
        <f t="shared" si="127"/>
        <v/>
      </c>
      <c r="AI1193">
        <f t="shared" si="128"/>
        <v>0</v>
      </c>
      <c r="AJ1193">
        <f t="shared" si="129"/>
        <v>0</v>
      </c>
      <c r="AK1193">
        <v>0</v>
      </c>
      <c r="AL1193" t="str">
        <f>IF(AA1193="","",IFERROR(IF(ISNUMBER('Procyclean 130'!D194),'Procyclean 130'!D194,IF(ISNUMBER(SEARCH("12",'Procyclean 130'!D194)),EDATE(AB1193,12),IF(ISNUMBER(SEARCH("6",'Procyclean 130'!D194)),EDATE(AB1193,6),IF(ISNUMBER(SEARCH("3",'Procyclean 130'!D194)),EDATE(AB1193,3),DATEVALUE('Procyclean 130'!D194))))),""))</f>
        <v/>
      </c>
      <c r="AM1193" t="str">
        <f t="shared" ca="1" si="130"/>
        <v/>
      </c>
    </row>
    <row r="1194" spans="27:39" x14ac:dyDescent="0.3">
      <c r="AA1194" t="str">
        <f>IF(COUNTA('Procyclean 130'!A195,'Procyclean 130'!B195,'Procyclean 130'!C195)&gt;0,"130","")</f>
        <v/>
      </c>
      <c r="AB1194" t="str">
        <f>IFERROR(IF(ISNUMBER('Procyclean 130'!A195),'Procyclean 130'!A195,DATEVALUE('Procyclean 130'!A195)),"")</f>
        <v/>
      </c>
      <c r="AC1194" t="str">
        <f>IF(AA1194="","",'Procyclean 130'!B195)</f>
        <v/>
      </c>
      <c r="AD1194" t="str">
        <f>IF(AA1194="","",IFERROR(1*'Procyclean 130'!C195,IFERROR(_xludf.NUMBERVALUE('Procyclean 130'!C195,".",","),IFERROR(_xludf.NUMBERVALUE('Procyclean 130'!C195,",","."),0))))</f>
        <v/>
      </c>
      <c r="AE1194" t="str">
        <f>IF(AA1194="","",'Procyclean 130'!J195)</f>
        <v/>
      </c>
      <c r="AF1194">
        <f t="shared" si="125"/>
        <v>0</v>
      </c>
      <c r="AG1194" t="str">
        <f t="shared" si="126"/>
        <v/>
      </c>
      <c r="AH1194" t="str">
        <f t="shared" si="127"/>
        <v/>
      </c>
      <c r="AI1194">
        <f t="shared" si="128"/>
        <v>0</v>
      </c>
      <c r="AJ1194">
        <f t="shared" si="129"/>
        <v>0</v>
      </c>
      <c r="AK1194">
        <v>0</v>
      </c>
      <c r="AL1194" t="str">
        <f>IF(AA1194="","",IFERROR(IF(ISNUMBER('Procyclean 130'!D195),'Procyclean 130'!D195,IF(ISNUMBER(SEARCH("12",'Procyclean 130'!D195)),EDATE(AB1194,12),IF(ISNUMBER(SEARCH("6",'Procyclean 130'!D195)),EDATE(AB1194,6),IF(ISNUMBER(SEARCH("3",'Procyclean 130'!D195)),EDATE(AB1194,3),DATEVALUE('Procyclean 130'!D195))))),""))</f>
        <v/>
      </c>
      <c r="AM1194" t="str">
        <f t="shared" ca="1" si="130"/>
        <v/>
      </c>
    </row>
    <row r="1195" spans="27:39" x14ac:dyDescent="0.3">
      <c r="AA1195" t="str">
        <f>IF(COUNTA('Procyclean 130'!A196,'Procyclean 130'!B196,'Procyclean 130'!C196)&gt;0,"130","")</f>
        <v/>
      </c>
      <c r="AB1195" t="str">
        <f>IFERROR(IF(ISNUMBER('Procyclean 130'!A196),'Procyclean 130'!A196,DATEVALUE('Procyclean 130'!A196)),"")</f>
        <v/>
      </c>
      <c r="AC1195" t="str">
        <f>IF(AA1195="","",'Procyclean 130'!B196)</f>
        <v/>
      </c>
      <c r="AD1195" t="str">
        <f>IF(AA1195="","",IFERROR(1*'Procyclean 130'!C196,IFERROR(_xludf.NUMBERVALUE('Procyclean 130'!C196,".",","),IFERROR(_xludf.NUMBERVALUE('Procyclean 130'!C196,",","."),0))))</f>
        <v/>
      </c>
      <c r="AE1195" t="str">
        <f>IF(AA1195="","",'Procyclean 130'!J196)</f>
        <v/>
      </c>
      <c r="AF1195">
        <f t="shared" si="125"/>
        <v>0</v>
      </c>
      <c r="AG1195" t="str">
        <f t="shared" si="126"/>
        <v/>
      </c>
      <c r="AH1195" t="str">
        <f t="shared" si="127"/>
        <v/>
      </c>
      <c r="AI1195">
        <f t="shared" si="128"/>
        <v>0</v>
      </c>
      <c r="AJ1195">
        <f t="shared" si="129"/>
        <v>0</v>
      </c>
      <c r="AK1195">
        <v>0</v>
      </c>
      <c r="AL1195" t="str">
        <f>IF(AA1195="","",IFERROR(IF(ISNUMBER('Procyclean 130'!D196),'Procyclean 130'!D196,IF(ISNUMBER(SEARCH("12",'Procyclean 130'!D196)),EDATE(AB1195,12),IF(ISNUMBER(SEARCH("6",'Procyclean 130'!D196)),EDATE(AB1195,6),IF(ISNUMBER(SEARCH("3",'Procyclean 130'!D196)),EDATE(AB1195,3),DATEVALUE('Procyclean 130'!D196))))),""))</f>
        <v/>
      </c>
      <c r="AM1195" t="str">
        <f t="shared" ca="1" si="130"/>
        <v/>
      </c>
    </row>
    <row r="1196" spans="27:39" x14ac:dyDescent="0.3">
      <c r="AA1196" t="str">
        <f>IF(COUNTA('Procyclean 130'!A197,'Procyclean 130'!B197,'Procyclean 130'!C197)&gt;0,"130","")</f>
        <v/>
      </c>
      <c r="AB1196" t="str">
        <f>IFERROR(IF(ISNUMBER('Procyclean 130'!A197),'Procyclean 130'!A197,DATEVALUE('Procyclean 130'!A197)),"")</f>
        <v/>
      </c>
      <c r="AC1196" t="str">
        <f>IF(AA1196="","",'Procyclean 130'!B197)</f>
        <v/>
      </c>
      <c r="AD1196" t="str">
        <f>IF(AA1196="","",IFERROR(1*'Procyclean 130'!C197,IFERROR(_xludf.NUMBERVALUE('Procyclean 130'!C197,".",","),IFERROR(_xludf.NUMBERVALUE('Procyclean 130'!C197,",","."),0))))</f>
        <v/>
      </c>
      <c r="AE1196" t="str">
        <f>IF(AA1196="","",'Procyclean 130'!J197)</f>
        <v/>
      </c>
      <c r="AF1196">
        <f t="shared" si="125"/>
        <v>0</v>
      </c>
      <c r="AG1196" t="str">
        <f t="shared" si="126"/>
        <v/>
      </c>
      <c r="AH1196" t="str">
        <f t="shared" si="127"/>
        <v/>
      </c>
      <c r="AI1196">
        <f t="shared" si="128"/>
        <v>0</v>
      </c>
      <c r="AJ1196">
        <f t="shared" si="129"/>
        <v>0</v>
      </c>
      <c r="AK1196">
        <v>0</v>
      </c>
      <c r="AL1196" t="str">
        <f>IF(AA1196="","",IFERROR(IF(ISNUMBER('Procyclean 130'!D197),'Procyclean 130'!D197,IF(ISNUMBER(SEARCH("12",'Procyclean 130'!D197)),EDATE(AB1196,12),IF(ISNUMBER(SEARCH("6",'Procyclean 130'!D197)),EDATE(AB1196,6),IF(ISNUMBER(SEARCH("3",'Procyclean 130'!D197)),EDATE(AB1196,3),DATEVALUE('Procyclean 130'!D197))))),""))</f>
        <v/>
      </c>
      <c r="AM1196" t="str">
        <f t="shared" ca="1" si="130"/>
        <v/>
      </c>
    </row>
    <row r="1197" spans="27:39" x14ac:dyDescent="0.3">
      <c r="AA1197" t="str">
        <f>IF(COUNTA('Procyclean 130'!A198,'Procyclean 130'!B198,'Procyclean 130'!C198)&gt;0,"130","")</f>
        <v/>
      </c>
      <c r="AB1197" t="str">
        <f>IFERROR(IF(ISNUMBER('Procyclean 130'!A198),'Procyclean 130'!A198,DATEVALUE('Procyclean 130'!A198)),"")</f>
        <v/>
      </c>
      <c r="AC1197" t="str">
        <f>IF(AA1197="","",'Procyclean 130'!B198)</f>
        <v/>
      </c>
      <c r="AD1197" t="str">
        <f>IF(AA1197="","",IFERROR(1*'Procyclean 130'!C198,IFERROR(_xludf.NUMBERVALUE('Procyclean 130'!C198,".",","),IFERROR(_xludf.NUMBERVALUE('Procyclean 130'!C198,",","."),0))))</f>
        <v/>
      </c>
      <c r="AE1197" t="str">
        <f>IF(AA1197="","",'Procyclean 130'!J198)</f>
        <v/>
      </c>
      <c r="AF1197">
        <f t="shared" si="125"/>
        <v>0</v>
      </c>
      <c r="AG1197" t="str">
        <f t="shared" si="126"/>
        <v/>
      </c>
      <c r="AH1197" t="str">
        <f t="shared" si="127"/>
        <v/>
      </c>
      <c r="AI1197">
        <f t="shared" si="128"/>
        <v>0</v>
      </c>
      <c r="AJ1197">
        <f t="shared" si="129"/>
        <v>0</v>
      </c>
      <c r="AK1197">
        <v>0</v>
      </c>
      <c r="AL1197" t="str">
        <f>IF(AA1197="","",IFERROR(IF(ISNUMBER('Procyclean 130'!D198),'Procyclean 130'!D198,IF(ISNUMBER(SEARCH("12",'Procyclean 130'!D198)),EDATE(AB1197,12),IF(ISNUMBER(SEARCH("6",'Procyclean 130'!D198)),EDATE(AB1197,6),IF(ISNUMBER(SEARCH("3",'Procyclean 130'!D198)),EDATE(AB1197,3),DATEVALUE('Procyclean 130'!D198))))),""))</f>
        <v/>
      </c>
      <c r="AM1197" t="str">
        <f t="shared" ca="1" si="130"/>
        <v/>
      </c>
    </row>
    <row r="1198" spans="27:39" x14ac:dyDescent="0.3">
      <c r="AA1198" t="str">
        <f>IF(COUNTA('Procyclean 130'!A199,'Procyclean 130'!B199,'Procyclean 130'!C199)&gt;0,"130","")</f>
        <v/>
      </c>
      <c r="AB1198" t="str">
        <f>IFERROR(IF(ISNUMBER('Procyclean 130'!A199),'Procyclean 130'!A199,DATEVALUE('Procyclean 130'!A199)),"")</f>
        <v/>
      </c>
      <c r="AC1198" t="str">
        <f>IF(AA1198="","",'Procyclean 130'!B199)</f>
        <v/>
      </c>
      <c r="AD1198" t="str">
        <f>IF(AA1198="","",IFERROR(1*'Procyclean 130'!C199,IFERROR(_xludf.NUMBERVALUE('Procyclean 130'!C199,".",","),IFERROR(_xludf.NUMBERVALUE('Procyclean 130'!C199,",","."),0))))</f>
        <v/>
      </c>
      <c r="AE1198" t="str">
        <f>IF(AA1198="","",'Procyclean 130'!J199)</f>
        <v/>
      </c>
      <c r="AF1198">
        <f t="shared" si="125"/>
        <v>0</v>
      </c>
      <c r="AG1198" t="str">
        <f t="shared" si="126"/>
        <v/>
      </c>
      <c r="AH1198" t="str">
        <f t="shared" si="127"/>
        <v/>
      </c>
      <c r="AI1198">
        <f t="shared" si="128"/>
        <v>0</v>
      </c>
      <c r="AJ1198">
        <f t="shared" si="129"/>
        <v>0</v>
      </c>
      <c r="AK1198">
        <v>0</v>
      </c>
      <c r="AL1198" t="str">
        <f>IF(AA1198="","",IFERROR(IF(ISNUMBER('Procyclean 130'!D199),'Procyclean 130'!D199,IF(ISNUMBER(SEARCH("12",'Procyclean 130'!D199)),EDATE(AB1198,12),IF(ISNUMBER(SEARCH("6",'Procyclean 130'!D199)),EDATE(AB1198,6),IF(ISNUMBER(SEARCH("3",'Procyclean 130'!D199)),EDATE(AB1198,3),DATEVALUE('Procyclean 130'!D199))))),""))</f>
        <v/>
      </c>
      <c r="AM1198" t="str">
        <f t="shared" ca="1" si="130"/>
        <v/>
      </c>
    </row>
    <row r="1199" spans="27:39" x14ac:dyDescent="0.3">
      <c r="AA1199" t="str">
        <f>IF(COUNTA('Procyclean 130'!A200,'Procyclean 130'!B200,'Procyclean 130'!C200)&gt;0,"130","")</f>
        <v/>
      </c>
      <c r="AB1199" t="str">
        <f>IFERROR(IF(ISNUMBER('Procyclean 130'!A200),'Procyclean 130'!A200,DATEVALUE('Procyclean 130'!A200)),"")</f>
        <v/>
      </c>
      <c r="AC1199" t="str">
        <f>IF(AA1199="","",'Procyclean 130'!B200)</f>
        <v/>
      </c>
      <c r="AD1199" t="str">
        <f>IF(AA1199="","",IFERROR(1*'Procyclean 130'!C200,IFERROR(_xludf.NUMBERVALUE('Procyclean 130'!C200,".",","),IFERROR(_xludf.NUMBERVALUE('Procyclean 130'!C200,",","."),0))))</f>
        <v/>
      </c>
      <c r="AE1199" t="str">
        <f>IF(AA1199="","",'Procyclean 130'!J200)</f>
        <v/>
      </c>
      <c r="AF1199">
        <f t="shared" si="125"/>
        <v>0</v>
      </c>
      <c r="AG1199" t="str">
        <f t="shared" si="126"/>
        <v/>
      </c>
      <c r="AH1199" t="str">
        <f t="shared" si="127"/>
        <v/>
      </c>
      <c r="AI1199">
        <f t="shared" si="128"/>
        <v>0</v>
      </c>
      <c r="AJ1199">
        <f t="shared" si="129"/>
        <v>0</v>
      </c>
      <c r="AK1199">
        <v>0</v>
      </c>
      <c r="AL1199" t="str">
        <f>IF(AA1199="","",IFERROR(IF(ISNUMBER('Procyclean 130'!D200),'Procyclean 130'!D200,IF(ISNUMBER(SEARCH("12",'Procyclean 130'!D200)),EDATE(AB1199,12),IF(ISNUMBER(SEARCH("6",'Procyclean 130'!D200)),EDATE(AB1199,6),IF(ISNUMBER(SEARCH("3",'Procyclean 130'!D200)),EDATE(AB1199,3),DATEVALUE('Procyclean 130'!D200))))),""))</f>
        <v/>
      </c>
      <c r="AM1199" t="str">
        <f t="shared" ca="1" si="130"/>
        <v/>
      </c>
    </row>
    <row r="1200" spans="27:39" x14ac:dyDescent="0.3">
      <c r="AA1200" t="str">
        <f>IF(COUNTA('Procyclean 130'!A201,'Procyclean 130'!B201,'Procyclean 130'!C201)&gt;0,"130","")</f>
        <v/>
      </c>
      <c r="AB1200" t="str">
        <f>IFERROR(IF(ISNUMBER('Procyclean 130'!A201),'Procyclean 130'!A201,DATEVALUE('Procyclean 130'!A201)),"")</f>
        <v/>
      </c>
      <c r="AC1200" t="str">
        <f>IF(AA1200="","",'Procyclean 130'!B201)</f>
        <v/>
      </c>
      <c r="AD1200" t="str">
        <f>IF(AA1200="","",IFERROR(1*'Procyclean 130'!C201,IFERROR(_xludf.NUMBERVALUE('Procyclean 130'!C201,".",","),IFERROR(_xludf.NUMBERVALUE('Procyclean 130'!C201,",","."),0))))</f>
        <v/>
      </c>
      <c r="AE1200" t="str">
        <f>IF(AA1200="","",'Procyclean 130'!J201)</f>
        <v/>
      </c>
      <c r="AF1200">
        <f t="shared" si="125"/>
        <v>0</v>
      </c>
      <c r="AG1200" t="str">
        <f t="shared" si="126"/>
        <v/>
      </c>
      <c r="AH1200" t="str">
        <f t="shared" si="127"/>
        <v/>
      </c>
      <c r="AI1200">
        <f t="shared" si="128"/>
        <v>0</v>
      </c>
      <c r="AJ1200">
        <f t="shared" si="129"/>
        <v>0</v>
      </c>
      <c r="AK1200">
        <v>0</v>
      </c>
      <c r="AL1200" t="str">
        <f>IF(AA1200="","",IFERROR(IF(ISNUMBER('Procyclean 130'!D201),'Procyclean 130'!D201,IF(ISNUMBER(SEARCH("12",'Procyclean 130'!D201)),EDATE(AB1200,12),IF(ISNUMBER(SEARCH("6",'Procyclean 130'!D201)),EDATE(AB1200,6),IF(ISNUMBER(SEARCH("3",'Procyclean 130'!D201)),EDATE(AB1200,3),DATEVALUE('Procyclean 130'!D201))))),""))</f>
        <v/>
      </c>
      <c r="AM1200" t="str">
        <f t="shared" ca="1" si="130"/>
        <v/>
      </c>
    </row>
    <row r="1201" spans="27:39" x14ac:dyDescent="0.3">
      <c r="AA1201" t="str">
        <f>IF(COUNTA('Procyclean 130'!A202,'Procyclean 130'!B202,'Procyclean 130'!C202)&gt;0,"130","")</f>
        <v/>
      </c>
      <c r="AB1201" t="str">
        <f>IFERROR(IF(ISNUMBER('Procyclean 130'!A202),'Procyclean 130'!A202,DATEVALUE('Procyclean 130'!A202)),"")</f>
        <v/>
      </c>
      <c r="AC1201" t="str">
        <f>IF(AA1201="","",'Procyclean 130'!B202)</f>
        <v/>
      </c>
      <c r="AD1201" t="str">
        <f>IF(AA1201="","",IFERROR(1*'Procyclean 130'!C202,IFERROR(_xludf.NUMBERVALUE('Procyclean 130'!C202,".",","),IFERROR(_xludf.NUMBERVALUE('Procyclean 130'!C202,",","."),0))))</f>
        <v/>
      </c>
      <c r="AE1201" t="str">
        <f>IF(AA1201="","",'Procyclean 130'!J202)</f>
        <v/>
      </c>
      <c r="AF1201">
        <f t="shared" si="125"/>
        <v>0</v>
      </c>
      <c r="AG1201" t="str">
        <f t="shared" si="126"/>
        <v/>
      </c>
      <c r="AH1201" t="str">
        <f t="shared" si="127"/>
        <v/>
      </c>
      <c r="AI1201">
        <f t="shared" si="128"/>
        <v>0</v>
      </c>
      <c r="AJ1201">
        <f t="shared" si="129"/>
        <v>0</v>
      </c>
      <c r="AK1201">
        <v>0</v>
      </c>
      <c r="AL1201" t="str">
        <f>IF(AA1201="","",IFERROR(IF(ISNUMBER('Procyclean 130'!D202),'Procyclean 130'!D202,IF(ISNUMBER(SEARCH("12",'Procyclean 130'!D202)),EDATE(AB1201,12),IF(ISNUMBER(SEARCH("6",'Procyclean 130'!D202)),EDATE(AB1201,6),IF(ISNUMBER(SEARCH("3",'Procyclean 130'!D202)),EDATE(AB1201,3),DATEVALUE('Procyclean 130'!D202))))),""))</f>
        <v/>
      </c>
      <c r="AM1201" t="str">
        <f t="shared" ca="1" si="130"/>
        <v/>
      </c>
    </row>
    <row r="1202" spans="27:39" x14ac:dyDescent="0.3">
      <c r="AA1202" t="str">
        <f>IF(COUNTA('Procyclean 130'!A203,'Procyclean 130'!B203,'Procyclean 130'!C203)&gt;0,"130","")</f>
        <v/>
      </c>
      <c r="AB1202" t="str">
        <f>IFERROR(IF(ISNUMBER('Procyclean 130'!A203),'Procyclean 130'!A203,DATEVALUE('Procyclean 130'!A203)),"")</f>
        <v/>
      </c>
      <c r="AC1202" t="str">
        <f>IF(AA1202="","",'Procyclean 130'!B203)</f>
        <v/>
      </c>
      <c r="AD1202" t="str">
        <f>IF(AA1202="","",IFERROR(1*'Procyclean 130'!C203,IFERROR(_xludf.NUMBERVALUE('Procyclean 130'!C203,".",","),IFERROR(_xludf.NUMBERVALUE('Procyclean 130'!C203,",","."),0))))</f>
        <v/>
      </c>
      <c r="AE1202" t="str">
        <f>IF(AA1202="","",'Procyclean 130'!J203)</f>
        <v/>
      </c>
      <c r="AF1202">
        <f t="shared" si="125"/>
        <v>0</v>
      </c>
      <c r="AG1202" t="str">
        <f t="shared" si="126"/>
        <v/>
      </c>
      <c r="AH1202" t="str">
        <f t="shared" si="127"/>
        <v/>
      </c>
      <c r="AI1202">
        <f t="shared" si="128"/>
        <v>0</v>
      </c>
      <c r="AJ1202">
        <f t="shared" si="129"/>
        <v>0</v>
      </c>
      <c r="AK1202">
        <v>0</v>
      </c>
      <c r="AL1202" t="str">
        <f>IF(AA1202="","",IFERROR(IF(ISNUMBER('Procyclean 130'!D203),'Procyclean 130'!D203,IF(ISNUMBER(SEARCH("12",'Procyclean 130'!D203)),EDATE(AB1202,12),IF(ISNUMBER(SEARCH("6",'Procyclean 130'!D203)),EDATE(AB1202,6),IF(ISNUMBER(SEARCH("3",'Procyclean 130'!D203)),EDATE(AB1202,3),DATEVALUE('Procyclean 130'!D203))))),""))</f>
        <v/>
      </c>
      <c r="AM1202" t="str">
        <f t="shared" ca="1" si="130"/>
        <v/>
      </c>
    </row>
    <row r="1203" spans="27:39" x14ac:dyDescent="0.3">
      <c r="AA1203" t="str">
        <f>IF(COUNTA('Procyclean 130'!A204,'Procyclean 130'!B204,'Procyclean 130'!C204)&gt;0,"130","")</f>
        <v/>
      </c>
      <c r="AB1203" t="str">
        <f>IFERROR(IF(ISNUMBER('Procyclean 130'!A204),'Procyclean 130'!A204,DATEVALUE('Procyclean 130'!A204)),"")</f>
        <v/>
      </c>
      <c r="AC1203" t="str">
        <f>IF(AA1203="","",'Procyclean 130'!B204)</f>
        <v/>
      </c>
      <c r="AD1203" t="str">
        <f>IF(AA1203="","",IFERROR(1*'Procyclean 130'!C204,IFERROR(_xludf.NUMBERVALUE('Procyclean 130'!C204,".",","),IFERROR(_xludf.NUMBERVALUE('Procyclean 130'!C204,",","."),0))))</f>
        <v/>
      </c>
      <c r="AE1203" t="str">
        <f>IF(AA1203="","",'Procyclean 130'!J204)</f>
        <v/>
      </c>
      <c r="AF1203">
        <f t="shared" si="125"/>
        <v>0</v>
      </c>
      <c r="AG1203" t="str">
        <f t="shared" si="126"/>
        <v/>
      </c>
      <c r="AH1203" t="str">
        <f t="shared" si="127"/>
        <v/>
      </c>
      <c r="AI1203">
        <f t="shared" si="128"/>
        <v>0</v>
      </c>
      <c r="AJ1203">
        <f t="shared" si="129"/>
        <v>0</v>
      </c>
      <c r="AK1203">
        <v>0</v>
      </c>
      <c r="AL1203" t="str">
        <f>IF(AA1203="","",IFERROR(IF(ISNUMBER('Procyclean 130'!D204),'Procyclean 130'!D204,IF(ISNUMBER(SEARCH("12",'Procyclean 130'!D204)),EDATE(AB1203,12),IF(ISNUMBER(SEARCH("6",'Procyclean 130'!D204)),EDATE(AB1203,6),IF(ISNUMBER(SEARCH("3",'Procyclean 130'!D204)),EDATE(AB1203,3),DATEVALUE('Procyclean 130'!D204))))),""))</f>
        <v/>
      </c>
      <c r="AM1203" t="str">
        <f t="shared" ca="1" si="130"/>
        <v/>
      </c>
    </row>
    <row r="1204" spans="27:39" x14ac:dyDescent="0.3">
      <c r="AA1204" t="str">
        <f>IF(COUNTA('Procyclean 130'!A205,'Procyclean 130'!B205,'Procyclean 130'!C205)&gt;0,"130","")</f>
        <v/>
      </c>
      <c r="AB1204" t="str">
        <f>IFERROR(IF(ISNUMBER('Procyclean 130'!A205),'Procyclean 130'!A205,DATEVALUE('Procyclean 130'!A205)),"")</f>
        <v/>
      </c>
      <c r="AC1204" t="str">
        <f>IF(AA1204="","",'Procyclean 130'!B205)</f>
        <v/>
      </c>
      <c r="AD1204" t="str">
        <f>IF(AA1204="","",IFERROR(1*'Procyclean 130'!C205,IFERROR(_xludf.NUMBERVALUE('Procyclean 130'!C205,".",","),IFERROR(_xludf.NUMBERVALUE('Procyclean 130'!C205,",","."),0))))</f>
        <v/>
      </c>
      <c r="AE1204" t="str">
        <f>IF(AA1204="","",'Procyclean 130'!J205)</f>
        <v/>
      </c>
      <c r="AF1204">
        <f t="shared" si="125"/>
        <v>0</v>
      </c>
      <c r="AG1204" t="str">
        <f t="shared" si="126"/>
        <v/>
      </c>
      <c r="AH1204" t="str">
        <f t="shared" si="127"/>
        <v/>
      </c>
      <c r="AI1204">
        <f t="shared" si="128"/>
        <v>0</v>
      </c>
      <c r="AJ1204">
        <f t="shared" si="129"/>
        <v>0</v>
      </c>
      <c r="AK1204">
        <v>0</v>
      </c>
      <c r="AL1204" t="str">
        <f>IF(AA1204="","",IFERROR(IF(ISNUMBER('Procyclean 130'!D205),'Procyclean 130'!D205,IF(ISNUMBER(SEARCH("12",'Procyclean 130'!D205)),EDATE(AB1204,12),IF(ISNUMBER(SEARCH("6",'Procyclean 130'!D205)),EDATE(AB1204,6),IF(ISNUMBER(SEARCH("3",'Procyclean 130'!D205)),EDATE(AB1204,3),DATEVALUE('Procyclean 130'!D205))))),""))</f>
        <v/>
      </c>
      <c r="AM1204" t="str">
        <f t="shared" ca="1" si="130"/>
        <v/>
      </c>
    </row>
    <row r="1205" spans="27:39" x14ac:dyDescent="0.3">
      <c r="AA1205" t="str">
        <f>IF(COUNTA('Procyclean 130'!A206,'Procyclean 130'!B206,'Procyclean 130'!C206)&gt;0,"130","")</f>
        <v/>
      </c>
      <c r="AB1205" t="str">
        <f>IFERROR(IF(ISNUMBER('Procyclean 130'!A206),'Procyclean 130'!A206,DATEVALUE('Procyclean 130'!A206)),"")</f>
        <v/>
      </c>
      <c r="AC1205" t="str">
        <f>IF(AA1205="","",'Procyclean 130'!B206)</f>
        <v/>
      </c>
      <c r="AD1205" t="str">
        <f>IF(AA1205="","",IFERROR(1*'Procyclean 130'!C206,IFERROR(_xludf.NUMBERVALUE('Procyclean 130'!C206,".",","),IFERROR(_xludf.NUMBERVALUE('Procyclean 130'!C206,",","."),0))))</f>
        <v/>
      </c>
      <c r="AE1205" t="str">
        <f>IF(AA1205="","",'Procyclean 130'!J206)</f>
        <v/>
      </c>
      <c r="AF1205">
        <f t="shared" si="125"/>
        <v>0</v>
      </c>
      <c r="AG1205" t="str">
        <f t="shared" si="126"/>
        <v/>
      </c>
      <c r="AH1205" t="str">
        <f t="shared" si="127"/>
        <v/>
      </c>
      <c r="AI1205">
        <f t="shared" si="128"/>
        <v>0</v>
      </c>
      <c r="AJ1205">
        <f t="shared" si="129"/>
        <v>0</v>
      </c>
      <c r="AK1205">
        <v>0</v>
      </c>
      <c r="AL1205" t="str">
        <f>IF(AA1205="","",IFERROR(IF(ISNUMBER('Procyclean 130'!D206),'Procyclean 130'!D206,IF(ISNUMBER(SEARCH("12",'Procyclean 130'!D206)),EDATE(AB1205,12),IF(ISNUMBER(SEARCH("6",'Procyclean 130'!D206)),EDATE(AB1205,6),IF(ISNUMBER(SEARCH("3",'Procyclean 130'!D206)),EDATE(AB1205,3),DATEVALUE('Procyclean 130'!D206))))),""))</f>
        <v/>
      </c>
      <c r="AM1205" t="str">
        <f t="shared" ca="1" si="130"/>
        <v/>
      </c>
    </row>
    <row r="1206" spans="27:39" x14ac:dyDescent="0.3">
      <c r="AA1206" t="str">
        <f>IF(COUNTA('Procyclean 130'!A207,'Procyclean 130'!B207,'Procyclean 130'!C207)&gt;0,"130","")</f>
        <v/>
      </c>
      <c r="AB1206" t="str">
        <f>IFERROR(IF(ISNUMBER('Procyclean 130'!A207),'Procyclean 130'!A207,DATEVALUE('Procyclean 130'!A207)),"")</f>
        <v/>
      </c>
      <c r="AC1206" t="str">
        <f>IF(AA1206="","",'Procyclean 130'!B207)</f>
        <v/>
      </c>
      <c r="AD1206" t="str">
        <f>IF(AA1206="","",IFERROR(1*'Procyclean 130'!C207,IFERROR(_xludf.NUMBERVALUE('Procyclean 130'!C207,".",","),IFERROR(_xludf.NUMBERVALUE('Procyclean 130'!C207,",","."),0))))</f>
        <v/>
      </c>
      <c r="AE1206" t="str">
        <f>IF(AA1206="","",'Procyclean 130'!J207)</f>
        <v/>
      </c>
      <c r="AF1206">
        <f t="shared" si="125"/>
        <v>0</v>
      </c>
      <c r="AG1206" t="str">
        <f t="shared" si="126"/>
        <v/>
      </c>
      <c r="AH1206" t="str">
        <f t="shared" si="127"/>
        <v/>
      </c>
      <c r="AI1206">
        <f t="shared" si="128"/>
        <v>0</v>
      </c>
      <c r="AJ1206">
        <f t="shared" si="129"/>
        <v>0</v>
      </c>
      <c r="AK1206">
        <v>0</v>
      </c>
      <c r="AL1206" t="str">
        <f>IF(AA1206="","",IFERROR(IF(ISNUMBER('Procyclean 130'!D207),'Procyclean 130'!D207,IF(ISNUMBER(SEARCH("12",'Procyclean 130'!D207)),EDATE(AB1206,12),IF(ISNUMBER(SEARCH("6",'Procyclean 130'!D207)),EDATE(AB1206,6),IF(ISNUMBER(SEARCH("3",'Procyclean 130'!D207)),EDATE(AB1206,3),DATEVALUE('Procyclean 130'!D207))))),""))</f>
        <v/>
      </c>
      <c r="AM1206" t="str">
        <f t="shared" ca="1" si="130"/>
        <v/>
      </c>
    </row>
    <row r="1207" spans="27:39" x14ac:dyDescent="0.3">
      <c r="AA1207" t="str">
        <f>IF(COUNTA('Procyclean 130'!A208,'Procyclean 130'!B208,'Procyclean 130'!C208)&gt;0,"130","")</f>
        <v/>
      </c>
      <c r="AB1207" t="str">
        <f>IFERROR(IF(ISNUMBER('Procyclean 130'!A208),'Procyclean 130'!A208,DATEVALUE('Procyclean 130'!A208)),"")</f>
        <v/>
      </c>
      <c r="AC1207" t="str">
        <f>IF(AA1207="","",'Procyclean 130'!B208)</f>
        <v/>
      </c>
      <c r="AD1207" t="str">
        <f>IF(AA1207="","",IFERROR(1*'Procyclean 130'!C208,IFERROR(_xludf.NUMBERVALUE('Procyclean 130'!C208,".",","),IFERROR(_xludf.NUMBERVALUE('Procyclean 130'!C208,",","."),0))))</f>
        <v/>
      </c>
      <c r="AE1207" t="str">
        <f>IF(AA1207="","",'Procyclean 130'!J208)</f>
        <v/>
      </c>
      <c r="AF1207">
        <f t="shared" si="125"/>
        <v>0</v>
      </c>
      <c r="AG1207" t="str">
        <f t="shared" si="126"/>
        <v/>
      </c>
      <c r="AH1207" t="str">
        <f t="shared" si="127"/>
        <v/>
      </c>
      <c r="AI1207">
        <f t="shared" si="128"/>
        <v>0</v>
      </c>
      <c r="AJ1207">
        <f t="shared" si="129"/>
        <v>0</v>
      </c>
      <c r="AK1207">
        <v>0</v>
      </c>
      <c r="AL1207" t="str">
        <f>IF(AA1207="","",IFERROR(IF(ISNUMBER('Procyclean 130'!D208),'Procyclean 130'!D208,IF(ISNUMBER(SEARCH("12",'Procyclean 130'!D208)),EDATE(AB1207,12),IF(ISNUMBER(SEARCH("6",'Procyclean 130'!D208)),EDATE(AB1207,6),IF(ISNUMBER(SEARCH("3",'Procyclean 130'!D208)),EDATE(AB1207,3),DATEVALUE('Procyclean 130'!D208))))),""))</f>
        <v/>
      </c>
      <c r="AM1207" t="str">
        <f t="shared" ca="1" si="130"/>
        <v/>
      </c>
    </row>
    <row r="1208" spans="27:39" x14ac:dyDescent="0.3">
      <c r="AA1208" t="str">
        <f>IF(COUNTA('Procyclean 130'!A209,'Procyclean 130'!B209,'Procyclean 130'!C209)&gt;0,"130","")</f>
        <v/>
      </c>
      <c r="AB1208" t="str">
        <f>IFERROR(IF(ISNUMBER('Procyclean 130'!A209),'Procyclean 130'!A209,DATEVALUE('Procyclean 130'!A209)),"")</f>
        <v/>
      </c>
      <c r="AC1208" t="str">
        <f>IF(AA1208="","",'Procyclean 130'!B209)</f>
        <v/>
      </c>
      <c r="AD1208" t="str">
        <f>IF(AA1208="","",IFERROR(1*'Procyclean 130'!C209,IFERROR(_xludf.NUMBERVALUE('Procyclean 130'!C209,".",","),IFERROR(_xludf.NUMBERVALUE('Procyclean 130'!C209,",","."),0))))</f>
        <v/>
      </c>
      <c r="AE1208" t="str">
        <f>IF(AA1208="","",'Procyclean 130'!J209)</f>
        <v/>
      </c>
      <c r="AF1208">
        <f t="shared" si="125"/>
        <v>0</v>
      </c>
      <c r="AG1208" t="str">
        <f t="shared" si="126"/>
        <v/>
      </c>
      <c r="AH1208" t="str">
        <f t="shared" si="127"/>
        <v/>
      </c>
      <c r="AI1208">
        <f t="shared" si="128"/>
        <v>0</v>
      </c>
      <c r="AJ1208">
        <f t="shared" si="129"/>
        <v>0</v>
      </c>
      <c r="AK1208">
        <v>0</v>
      </c>
      <c r="AL1208" t="str">
        <f>IF(AA1208="","",IFERROR(IF(ISNUMBER('Procyclean 130'!D209),'Procyclean 130'!D209,IF(ISNUMBER(SEARCH("12",'Procyclean 130'!D209)),EDATE(AB1208,12),IF(ISNUMBER(SEARCH("6",'Procyclean 130'!D209)),EDATE(AB1208,6),IF(ISNUMBER(SEARCH("3",'Procyclean 130'!D209)),EDATE(AB1208,3),DATEVALUE('Procyclean 130'!D209))))),""))</f>
        <v/>
      </c>
      <c r="AM1208" t="str">
        <f t="shared" ca="1" si="130"/>
        <v/>
      </c>
    </row>
    <row r="1209" spans="27:39" x14ac:dyDescent="0.3">
      <c r="AA1209" t="str">
        <f>IF(COUNTA('Procyclean 130'!A210,'Procyclean 130'!B210,'Procyclean 130'!C210)&gt;0,"130","")</f>
        <v/>
      </c>
      <c r="AB1209" t="str">
        <f>IFERROR(IF(ISNUMBER('Procyclean 130'!A210),'Procyclean 130'!A210,DATEVALUE('Procyclean 130'!A210)),"")</f>
        <v/>
      </c>
      <c r="AC1209" t="str">
        <f>IF(AA1209="","",'Procyclean 130'!B210)</f>
        <v/>
      </c>
      <c r="AD1209" t="str">
        <f>IF(AA1209="","",IFERROR(1*'Procyclean 130'!C210,IFERROR(_xludf.NUMBERVALUE('Procyclean 130'!C210,".",","),IFERROR(_xludf.NUMBERVALUE('Procyclean 130'!C210,",","."),0))))</f>
        <v/>
      </c>
      <c r="AE1209" t="str">
        <f>IF(AA1209="","",'Procyclean 130'!J210)</f>
        <v/>
      </c>
      <c r="AF1209">
        <f t="shared" si="125"/>
        <v>0</v>
      </c>
      <c r="AG1209" t="str">
        <f t="shared" si="126"/>
        <v/>
      </c>
      <c r="AH1209" t="str">
        <f t="shared" si="127"/>
        <v/>
      </c>
      <c r="AI1209">
        <f t="shared" si="128"/>
        <v>0</v>
      </c>
      <c r="AJ1209">
        <f t="shared" si="129"/>
        <v>0</v>
      </c>
      <c r="AK1209">
        <v>0</v>
      </c>
      <c r="AL1209" t="str">
        <f>IF(AA1209="","",IFERROR(IF(ISNUMBER('Procyclean 130'!D210),'Procyclean 130'!D210,IF(ISNUMBER(SEARCH("12",'Procyclean 130'!D210)),EDATE(AB1209,12),IF(ISNUMBER(SEARCH("6",'Procyclean 130'!D210)),EDATE(AB1209,6),IF(ISNUMBER(SEARCH("3",'Procyclean 130'!D210)),EDATE(AB1209,3),DATEVALUE('Procyclean 130'!D210))))),""))</f>
        <v/>
      </c>
      <c r="AM1209" t="str">
        <f t="shared" ca="1" si="130"/>
        <v/>
      </c>
    </row>
    <row r="1210" spans="27:39" x14ac:dyDescent="0.3">
      <c r="AA1210" t="str">
        <f>IF(COUNTA('Procyclean 130'!A211,'Procyclean 130'!B211,'Procyclean 130'!C211)&gt;0,"130","")</f>
        <v/>
      </c>
      <c r="AB1210" t="str">
        <f>IFERROR(IF(ISNUMBER('Procyclean 130'!A211),'Procyclean 130'!A211,DATEVALUE('Procyclean 130'!A211)),"")</f>
        <v/>
      </c>
      <c r="AC1210" t="str">
        <f>IF(AA1210="","",'Procyclean 130'!B211)</f>
        <v/>
      </c>
      <c r="AD1210" t="str">
        <f>IF(AA1210="","",IFERROR(1*'Procyclean 130'!C211,IFERROR(_xludf.NUMBERVALUE('Procyclean 130'!C211,".",","),IFERROR(_xludf.NUMBERVALUE('Procyclean 130'!C211,",","."),0))))</f>
        <v/>
      </c>
      <c r="AE1210" t="str">
        <f>IF(AA1210="","",'Procyclean 130'!J211)</f>
        <v/>
      </c>
      <c r="AF1210">
        <f t="shared" si="125"/>
        <v>0</v>
      </c>
      <c r="AG1210" t="str">
        <f t="shared" si="126"/>
        <v/>
      </c>
      <c r="AH1210" t="str">
        <f t="shared" si="127"/>
        <v/>
      </c>
      <c r="AI1210">
        <f t="shared" si="128"/>
        <v>0</v>
      </c>
      <c r="AJ1210">
        <f t="shared" si="129"/>
        <v>0</v>
      </c>
      <c r="AK1210">
        <v>0</v>
      </c>
      <c r="AL1210" t="str">
        <f>IF(AA1210="","",IFERROR(IF(ISNUMBER('Procyclean 130'!D211),'Procyclean 130'!D211,IF(ISNUMBER(SEARCH("12",'Procyclean 130'!D211)),EDATE(AB1210,12),IF(ISNUMBER(SEARCH("6",'Procyclean 130'!D211)),EDATE(AB1210,6),IF(ISNUMBER(SEARCH("3",'Procyclean 130'!D211)),EDATE(AB1210,3),DATEVALUE('Procyclean 130'!D211))))),""))</f>
        <v/>
      </c>
      <c r="AM1210" t="str">
        <f t="shared" ca="1" si="130"/>
        <v/>
      </c>
    </row>
    <row r="1211" spans="27:39" x14ac:dyDescent="0.3">
      <c r="AA1211" t="str">
        <f>IF(COUNTA('Procyclean 130'!A212,'Procyclean 130'!B212,'Procyclean 130'!C212)&gt;0,"130","")</f>
        <v/>
      </c>
      <c r="AB1211" t="str">
        <f>IFERROR(IF(ISNUMBER('Procyclean 130'!A212),'Procyclean 130'!A212,DATEVALUE('Procyclean 130'!A212)),"")</f>
        <v/>
      </c>
      <c r="AC1211" t="str">
        <f>IF(AA1211="","",'Procyclean 130'!B212)</f>
        <v/>
      </c>
      <c r="AD1211" t="str">
        <f>IF(AA1211="","",IFERROR(1*'Procyclean 130'!C212,IFERROR(_xludf.NUMBERVALUE('Procyclean 130'!C212,".",","),IFERROR(_xludf.NUMBERVALUE('Procyclean 130'!C212,",","."),0))))</f>
        <v/>
      </c>
      <c r="AE1211" t="str">
        <f>IF(AA1211="","",'Procyclean 130'!J212)</f>
        <v/>
      </c>
      <c r="AF1211">
        <f t="shared" si="125"/>
        <v>0</v>
      </c>
      <c r="AG1211" t="str">
        <f t="shared" si="126"/>
        <v/>
      </c>
      <c r="AH1211" t="str">
        <f t="shared" si="127"/>
        <v/>
      </c>
      <c r="AI1211">
        <f t="shared" si="128"/>
        <v>0</v>
      </c>
      <c r="AJ1211">
        <f t="shared" si="129"/>
        <v>0</v>
      </c>
      <c r="AK1211">
        <v>0</v>
      </c>
      <c r="AL1211" t="str">
        <f>IF(AA1211="","",IFERROR(IF(ISNUMBER('Procyclean 130'!D212),'Procyclean 130'!D212,IF(ISNUMBER(SEARCH("12",'Procyclean 130'!D212)),EDATE(AB1211,12),IF(ISNUMBER(SEARCH("6",'Procyclean 130'!D212)),EDATE(AB1211,6),IF(ISNUMBER(SEARCH("3",'Procyclean 130'!D212)),EDATE(AB1211,3),DATEVALUE('Procyclean 130'!D212))))),""))</f>
        <v/>
      </c>
      <c r="AM1211" t="str">
        <f t="shared" ca="1" si="130"/>
        <v/>
      </c>
    </row>
    <row r="1212" spans="27:39" x14ac:dyDescent="0.3">
      <c r="AA1212" t="str">
        <f>IF(COUNTA('Procyclean 130'!A213,'Procyclean 130'!B213,'Procyclean 130'!C213)&gt;0,"130","")</f>
        <v/>
      </c>
      <c r="AB1212" t="str">
        <f>IFERROR(IF(ISNUMBER('Procyclean 130'!A213),'Procyclean 130'!A213,DATEVALUE('Procyclean 130'!A213)),"")</f>
        <v/>
      </c>
      <c r="AC1212" t="str">
        <f>IF(AA1212="","",'Procyclean 130'!B213)</f>
        <v/>
      </c>
      <c r="AD1212" t="str">
        <f>IF(AA1212="","",IFERROR(1*'Procyclean 130'!C213,IFERROR(_xludf.NUMBERVALUE('Procyclean 130'!C213,".",","),IFERROR(_xludf.NUMBERVALUE('Procyclean 130'!C213,",","."),0))))</f>
        <v/>
      </c>
      <c r="AE1212" t="str">
        <f>IF(AA1212="","",'Procyclean 130'!J213)</f>
        <v/>
      </c>
      <c r="AF1212">
        <f t="shared" si="125"/>
        <v>0</v>
      </c>
      <c r="AG1212" t="str">
        <f t="shared" si="126"/>
        <v/>
      </c>
      <c r="AH1212" t="str">
        <f t="shared" si="127"/>
        <v/>
      </c>
      <c r="AI1212">
        <f t="shared" si="128"/>
        <v>0</v>
      </c>
      <c r="AJ1212">
        <f t="shared" si="129"/>
        <v>0</v>
      </c>
      <c r="AK1212">
        <v>0</v>
      </c>
      <c r="AL1212" t="str">
        <f>IF(AA1212="","",IFERROR(IF(ISNUMBER('Procyclean 130'!D213),'Procyclean 130'!D213,IF(ISNUMBER(SEARCH("12",'Procyclean 130'!D213)),EDATE(AB1212,12),IF(ISNUMBER(SEARCH("6",'Procyclean 130'!D213)),EDATE(AB1212,6),IF(ISNUMBER(SEARCH("3",'Procyclean 130'!D213)),EDATE(AB1212,3),DATEVALUE('Procyclean 130'!D213))))),""))</f>
        <v/>
      </c>
      <c r="AM1212" t="str">
        <f t="shared" ca="1" si="130"/>
        <v/>
      </c>
    </row>
    <row r="1213" spans="27:39" x14ac:dyDescent="0.3">
      <c r="AA1213" t="str">
        <f>IF(COUNTA('Procyclean 130'!A214,'Procyclean 130'!B214,'Procyclean 130'!C214)&gt;0,"130","")</f>
        <v/>
      </c>
      <c r="AB1213" t="str">
        <f>IFERROR(IF(ISNUMBER('Procyclean 130'!A214),'Procyclean 130'!A214,DATEVALUE('Procyclean 130'!A214)),"")</f>
        <v/>
      </c>
      <c r="AC1213" t="str">
        <f>IF(AA1213="","",'Procyclean 130'!B214)</f>
        <v/>
      </c>
      <c r="AD1213" t="str">
        <f>IF(AA1213="","",IFERROR(1*'Procyclean 130'!C214,IFERROR(_xludf.NUMBERVALUE('Procyclean 130'!C214,".",","),IFERROR(_xludf.NUMBERVALUE('Procyclean 130'!C214,",","."),0))))</f>
        <v/>
      </c>
      <c r="AE1213" t="str">
        <f>IF(AA1213="","",'Procyclean 130'!J214)</f>
        <v/>
      </c>
      <c r="AF1213">
        <f t="shared" si="125"/>
        <v>0</v>
      </c>
      <c r="AG1213" t="str">
        <f t="shared" si="126"/>
        <v/>
      </c>
      <c r="AH1213" t="str">
        <f t="shared" si="127"/>
        <v/>
      </c>
      <c r="AI1213">
        <f t="shared" si="128"/>
        <v>0</v>
      </c>
      <c r="AJ1213">
        <f t="shared" si="129"/>
        <v>0</v>
      </c>
      <c r="AK1213">
        <v>0</v>
      </c>
      <c r="AL1213" t="str">
        <f>IF(AA1213="","",IFERROR(IF(ISNUMBER('Procyclean 130'!D214),'Procyclean 130'!D214,IF(ISNUMBER(SEARCH("12",'Procyclean 130'!D214)),EDATE(AB1213,12),IF(ISNUMBER(SEARCH("6",'Procyclean 130'!D214)),EDATE(AB1213,6),IF(ISNUMBER(SEARCH("3",'Procyclean 130'!D214)),EDATE(AB1213,3),DATEVALUE('Procyclean 130'!D214))))),""))</f>
        <v/>
      </c>
      <c r="AM1213" t="str">
        <f t="shared" ca="1" si="130"/>
        <v/>
      </c>
    </row>
    <row r="1214" spans="27:39" x14ac:dyDescent="0.3">
      <c r="AA1214" t="str">
        <f>IF(COUNTA('Procyclean 130'!A215,'Procyclean 130'!B215,'Procyclean 130'!C215)&gt;0,"130","")</f>
        <v/>
      </c>
      <c r="AB1214" t="str">
        <f>IFERROR(IF(ISNUMBER('Procyclean 130'!A215),'Procyclean 130'!A215,DATEVALUE('Procyclean 130'!A215)),"")</f>
        <v/>
      </c>
      <c r="AC1214" t="str">
        <f>IF(AA1214="","",'Procyclean 130'!B215)</f>
        <v/>
      </c>
      <c r="AD1214" t="str">
        <f>IF(AA1214="","",IFERROR(1*'Procyclean 130'!C215,IFERROR(_xludf.NUMBERVALUE('Procyclean 130'!C215,".",","),IFERROR(_xludf.NUMBERVALUE('Procyclean 130'!C215,",","."),0))))</f>
        <v/>
      </c>
      <c r="AE1214" t="str">
        <f>IF(AA1214="","",'Procyclean 130'!J215)</f>
        <v/>
      </c>
      <c r="AF1214">
        <f t="shared" si="125"/>
        <v>0</v>
      </c>
      <c r="AG1214" t="str">
        <f t="shared" si="126"/>
        <v/>
      </c>
      <c r="AH1214" t="str">
        <f t="shared" si="127"/>
        <v/>
      </c>
      <c r="AI1214">
        <f t="shared" si="128"/>
        <v>0</v>
      </c>
      <c r="AJ1214">
        <f t="shared" si="129"/>
        <v>0</v>
      </c>
      <c r="AK1214">
        <v>0</v>
      </c>
      <c r="AL1214" t="str">
        <f>IF(AA1214="","",IFERROR(IF(ISNUMBER('Procyclean 130'!D215),'Procyclean 130'!D215,IF(ISNUMBER(SEARCH("12",'Procyclean 130'!D215)),EDATE(AB1214,12),IF(ISNUMBER(SEARCH("6",'Procyclean 130'!D215)),EDATE(AB1214,6),IF(ISNUMBER(SEARCH("3",'Procyclean 130'!D215)),EDATE(AB1214,3),DATEVALUE('Procyclean 130'!D215))))),""))</f>
        <v/>
      </c>
      <c r="AM1214" t="str">
        <f t="shared" ca="1" si="130"/>
        <v/>
      </c>
    </row>
    <row r="1215" spans="27:39" x14ac:dyDescent="0.3">
      <c r="AA1215" t="str">
        <f>IF(COUNTA('Procyclean 130'!A216,'Procyclean 130'!B216,'Procyclean 130'!C216)&gt;0,"130","")</f>
        <v/>
      </c>
      <c r="AB1215" t="str">
        <f>IFERROR(IF(ISNUMBER('Procyclean 130'!A216),'Procyclean 130'!A216,DATEVALUE('Procyclean 130'!A216)),"")</f>
        <v/>
      </c>
      <c r="AC1215" t="str">
        <f>IF(AA1215="","",'Procyclean 130'!B216)</f>
        <v/>
      </c>
      <c r="AD1215" t="str">
        <f>IF(AA1215="","",IFERROR(1*'Procyclean 130'!C216,IFERROR(_xludf.NUMBERVALUE('Procyclean 130'!C216,".",","),IFERROR(_xludf.NUMBERVALUE('Procyclean 130'!C216,",","."),0))))</f>
        <v/>
      </c>
      <c r="AE1215" t="str">
        <f>IF(AA1215="","",'Procyclean 130'!J216)</f>
        <v/>
      </c>
      <c r="AF1215">
        <f t="shared" si="125"/>
        <v>0</v>
      </c>
      <c r="AG1215" t="str">
        <f t="shared" si="126"/>
        <v/>
      </c>
      <c r="AH1215" t="str">
        <f t="shared" si="127"/>
        <v/>
      </c>
      <c r="AI1215">
        <f t="shared" si="128"/>
        <v>0</v>
      </c>
      <c r="AJ1215">
        <f t="shared" si="129"/>
        <v>0</v>
      </c>
      <c r="AK1215">
        <v>0</v>
      </c>
      <c r="AL1215" t="str">
        <f>IF(AA1215="","",IFERROR(IF(ISNUMBER('Procyclean 130'!D216),'Procyclean 130'!D216,IF(ISNUMBER(SEARCH("12",'Procyclean 130'!D216)),EDATE(AB1215,12),IF(ISNUMBER(SEARCH("6",'Procyclean 130'!D216)),EDATE(AB1215,6),IF(ISNUMBER(SEARCH("3",'Procyclean 130'!D216)),EDATE(AB1215,3),DATEVALUE('Procyclean 130'!D216))))),""))</f>
        <v/>
      </c>
      <c r="AM1215" t="str">
        <f t="shared" ca="1" si="130"/>
        <v/>
      </c>
    </row>
    <row r="1216" spans="27:39" x14ac:dyDescent="0.3">
      <c r="AA1216" t="str">
        <f>IF(COUNTA('Procyclean 130'!A217,'Procyclean 130'!B217,'Procyclean 130'!C217)&gt;0,"130","")</f>
        <v/>
      </c>
      <c r="AB1216" t="str">
        <f>IFERROR(IF(ISNUMBER('Procyclean 130'!A217),'Procyclean 130'!A217,DATEVALUE('Procyclean 130'!A217)),"")</f>
        <v/>
      </c>
      <c r="AC1216" t="str">
        <f>IF(AA1216="","",'Procyclean 130'!B217)</f>
        <v/>
      </c>
      <c r="AD1216" t="str">
        <f>IF(AA1216="","",IFERROR(1*'Procyclean 130'!C217,IFERROR(_xludf.NUMBERVALUE('Procyclean 130'!C217,".",","),IFERROR(_xludf.NUMBERVALUE('Procyclean 130'!C217,",","."),0))))</f>
        <v/>
      </c>
      <c r="AE1216" t="str">
        <f>IF(AA1216="","",'Procyclean 130'!J217)</f>
        <v/>
      </c>
      <c r="AF1216">
        <f t="shared" si="125"/>
        <v>0</v>
      </c>
      <c r="AG1216" t="str">
        <f t="shared" si="126"/>
        <v/>
      </c>
      <c r="AH1216" t="str">
        <f t="shared" si="127"/>
        <v/>
      </c>
      <c r="AI1216">
        <f t="shared" si="128"/>
        <v>0</v>
      </c>
      <c r="AJ1216">
        <f t="shared" si="129"/>
        <v>0</v>
      </c>
      <c r="AK1216">
        <v>0</v>
      </c>
      <c r="AL1216" t="str">
        <f>IF(AA1216="","",IFERROR(IF(ISNUMBER('Procyclean 130'!D217),'Procyclean 130'!D217,IF(ISNUMBER(SEARCH("12",'Procyclean 130'!D217)),EDATE(AB1216,12),IF(ISNUMBER(SEARCH("6",'Procyclean 130'!D217)),EDATE(AB1216,6),IF(ISNUMBER(SEARCH("3",'Procyclean 130'!D217)),EDATE(AB1216,3),DATEVALUE('Procyclean 130'!D217))))),""))</f>
        <v/>
      </c>
      <c r="AM1216" t="str">
        <f t="shared" ca="1" si="130"/>
        <v/>
      </c>
    </row>
    <row r="1217" spans="27:39" x14ac:dyDescent="0.3">
      <c r="AA1217" t="str">
        <f>IF(COUNTA('Procyclean 130'!A218,'Procyclean 130'!B218,'Procyclean 130'!C218)&gt;0,"130","")</f>
        <v/>
      </c>
      <c r="AB1217" t="str">
        <f>IFERROR(IF(ISNUMBER('Procyclean 130'!A218),'Procyclean 130'!A218,DATEVALUE('Procyclean 130'!A218)),"")</f>
        <v/>
      </c>
      <c r="AC1217" t="str">
        <f>IF(AA1217="","",'Procyclean 130'!B218)</f>
        <v/>
      </c>
      <c r="AD1217" t="str">
        <f>IF(AA1217="","",IFERROR(1*'Procyclean 130'!C218,IFERROR(_xludf.NUMBERVALUE('Procyclean 130'!C218,".",","),IFERROR(_xludf.NUMBERVALUE('Procyclean 130'!C218,",","."),0))))</f>
        <v/>
      </c>
      <c r="AE1217" t="str">
        <f>IF(AA1217="","",'Procyclean 130'!J218)</f>
        <v/>
      </c>
      <c r="AF1217">
        <f t="shared" si="125"/>
        <v>0</v>
      </c>
      <c r="AG1217" t="str">
        <f t="shared" si="126"/>
        <v/>
      </c>
      <c r="AH1217" t="str">
        <f t="shared" si="127"/>
        <v/>
      </c>
      <c r="AI1217">
        <f t="shared" si="128"/>
        <v>0</v>
      </c>
      <c r="AJ1217">
        <f t="shared" si="129"/>
        <v>0</v>
      </c>
      <c r="AK1217">
        <v>0</v>
      </c>
      <c r="AL1217" t="str">
        <f>IF(AA1217="","",IFERROR(IF(ISNUMBER('Procyclean 130'!D218),'Procyclean 130'!D218,IF(ISNUMBER(SEARCH("12",'Procyclean 130'!D218)),EDATE(AB1217,12),IF(ISNUMBER(SEARCH("6",'Procyclean 130'!D218)),EDATE(AB1217,6),IF(ISNUMBER(SEARCH("3",'Procyclean 130'!D218)),EDATE(AB1217,3),DATEVALUE('Procyclean 130'!D218))))),""))</f>
        <v/>
      </c>
      <c r="AM1217" t="str">
        <f t="shared" ca="1" si="130"/>
        <v/>
      </c>
    </row>
    <row r="1218" spans="27:39" x14ac:dyDescent="0.3">
      <c r="AA1218" t="str">
        <f>IF(COUNTA('Procyclean 130'!A219,'Procyclean 130'!B219,'Procyclean 130'!C219)&gt;0,"130","")</f>
        <v/>
      </c>
      <c r="AB1218" t="str">
        <f>IFERROR(IF(ISNUMBER('Procyclean 130'!A219),'Procyclean 130'!A219,DATEVALUE('Procyclean 130'!A219)),"")</f>
        <v/>
      </c>
      <c r="AC1218" t="str">
        <f>IF(AA1218="","",'Procyclean 130'!B219)</f>
        <v/>
      </c>
      <c r="AD1218" t="str">
        <f>IF(AA1218="","",IFERROR(1*'Procyclean 130'!C219,IFERROR(_xludf.NUMBERVALUE('Procyclean 130'!C219,".",","),IFERROR(_xludf.NUMBERVALUE('Procyclean 130'!C219,",","."),0))))</f>
        <v/>
      </c>
      <c r="AE1218" t="str">
        <f>IF(AA1218="","",'Procyclean 130'!J219)</f>
        <v/>
      </c>
      <c r="AF1218">
        <f t="shared" ref="AF1218:AF1281" si="131">IF(AA1218="",0,--AND(ISNUMBER(SEARCH("aprov",AE1218)),NOT(ISNUMBER(SEARCH("reprov",AE1218)))))</f>
        <v>0</v>
      </c>
      <c r="AG1218" t="str">
        <f t="shared" ref="AG1218:AG1281" si="132">IF(AB1218="","",YEAR(AB1218))</f>
        <v/>
      </c>
      <c r="AH1218" t="str">
        <f t="shared" ref="AH1218:AH1281" si="133">IF(AB1218="","",MONTH(AB1218))</f>
        <v/>
      </c>
      <c r="AI1218">
        <f t="shared" ref="AI1218:AI1281" si="134">IF(AB1218="",0,AB1218+ROW()/1000000)</f>
        <v>0</v>
      </c>
      <c r="AJ1218">
        <f t="shared" ref="AJ1218:AJ1281" si="135">--(AA1218&lt;&gt;"")</f>
        <v>0</v>
      </c>
      <c r="AK1218">
        <v>0</v>
      </c>
      <c r="AL1218" t="str">
        <f>IF(AA1218="","",IFERROR(IF(ISNUMBER('Procyclean 130'!D219),'Procyclean 130'!D219,IF(ISNUMBER(SEARCH("12",'Procyclean 130'!D219)),EDATE(AB1218,12),IF(ISNUMBER(SEARCH("6",'Procyclean 130'!D219)),EDATE(AB1218,6),IF(ISNUMBER(SEARCH("3",'Procyclean 130'!D219)),EDATE(AB1218,3),DATEVALUE('Procyclean 130'!D219))))),""))</f>
        <v/>
      </c>
      <c r="AM1218" t="str">
        <f t="shared" ref="AM1218:AM1281" ca="1" si="136">IF(AND(AJ1218=1,AL1218&lt;&gt;"",AL1218&gt;=TODAY(),AG1218=$W$3),AL1218+ROW()/1000000,"")</f>
        <v/>
      </c>
    </row>
    <row r="1219" spans="27:39" x14ac:dyDescent="0.3">
      <c r="AA1219" t="str">
        <f>IF(COUNTA('Procyclean 130'!A220,'Procyclean 130'!B220,'Procyclean 130'!C220)&gt;0,"130","")</f>
        <v/>
      </c>
      <c r="AB1219" t="str">
        <f>IFERROR(IF(ISNUMBER('Procyclean 130'!A220),'Procyclean 130'!A220,DATEVALUE('Procyclean 130'!A220)),"")</f>
        <v/>
      </c>
      <c r="AC1219" t="str">
        <f>IF(AA1219="","",'Procyclean 130'!B220)</f>
        <v/>
      </c>
      <c r="AD1219" t="str">
        <f>IF(AA1219="","",IFERROR(1*'Procyclean 130'!C220,IFERROR(_xludf.NUMBERVALUE('Procyclean 130'!C220,".",","),IFERROR(_xludf.NUMBERVALUE('Procyclean 130'!C220,",","."),0))))</f>
        <v/>
      </c>
      <c r="AE1219" t="str">
        <f>IF(AA1219="","",'Procyclean 130'!J220)</f>
        <v/>
      </c>
      <c r="AF1219">
        <f t="shared" si="131"/>
        <v>0</v>
      </c>
      <c r="AG1219" t="str">
        <f t="shared" si="132"/>
        <v/>
      </c>
      <c r="AH1219" t="str">
        <f t="shared" si="133"/>
        <v/>
      </c>
      <c r="AI1219">
        <f t="shared" si="134"/>
        <v>0</v>
      </c>
      <c r="AJ1219">
        <f t="shared" si="135"/>
        <v>0</v>
      </c>
      <c r="AK1219">
        <v>0</v>
      </c>
      <c r="AL1219" t="str">
        <f>IF(AA1219="","",IFERROR(IF(ISNUMBER('Procyclean 130'!D220),'Procyclean 130'!D220,IF(ISNUMBER(SEARCH("12",'Procyclean 130'!D220)),EDATE(AB1219,12),IF(ISNUMBER(SEARCH("6",'Procyclean 130'!D220)),EDATE(AB1219,6),IF(ISNUMBER(SEARCH("3",'Procyclean 130'!D220)),EDATE(AB1219,3),DATEVALUE('Procyclean 130'!D220))))),""))</f>
        <v/>
      </c>
      <c r="AM1219" t="str">
        <f t="shared" ca="1" si="136"/>
        <v/>
      </c>
    </row>
    <row r="1220" spans="27:39" x14ac:dyDescent="0.3">
      <c r="AA1220" t="str">
        <f>IF(COUNTA('Procyclean 130'!A221,'Procyclean 130'!B221,'Procyclean 130'!C221)&gt;0,"130","")</f>
        <v/>
      </c>
      <c r="AB1220" t="str">
        <f>IFERROR(IF(ISNUMBER('Procyclean 130'!A221),'Procyclean 130'!A221,DATEVALUE('Procyclean 130'!A221)),"")</f>
        <v/>
      </c>
      <c r="AC1220" t="str">
        <f>IF(AA1220="","",'Procyclean 130'!B221)</f>
        <v/>
      </c>
      <c r="AD1220" t="str">
        <f>IF(AA1220="","",IFERROR(1*'Procyclean 130'!C221,IFERROR(_xludf.NUMBERVALUE('Procyclean 130'!C221,".",","),IFERROR(_xludf.NUMBERVALUE('Procyclean 130'!C221,",","."),0))))</f>
        <v/>
      </c>
      <c r="AE1220" t="str">
        <f>IF(AA1220="","",'Procyclean 130'!J221)</f>
        <v/>
      </c>
      <c r="AF1220">
        <f t="shared" si="131"/>
        <v>0</v>
      </c>
      <c r="AG1220" t="str">
        <f t="shared" si="132"/>
        <v/>
      </c>
      <c r="AH1220" t="str">
        <f t="shared" si="133"/>
        <v/>
      </c>
      <c r="AI1220">
        <f t="shared" si="134"/>
        <v>0</v>
      </c>
      <c r="AJ1220">
        <f t="shared" si="135"/>
        <v>0</v>
      </c>
      <c r="AK1220">
        <v>0</v>
      </c>
      <c r="AL1220" t="str">
        <f>IF(AA1220="","",IFERROR(IF(ISNUMBER('Procyclean 130'!D221),'Procyclean 130'!D221,IF(ISNUMBER(SEARCH("12",'Procyclean 130'!D221)),EDATE(AB1220,12),IF(ISNUMBER(SEARCH("6",'Procyclean 130'!D221)),EDATE(AB1220,6),IF(ISNUMBER(SEARCH("3",'Procyclean 130'!D221)),EDATE(AB1220,3),DATEVALUE('Procyclean 130'!D221))))),""))</f>
        <v/>
      </c>
      <c r="AM1220" t="str">
        <f t="shared" ca="1" si="136"/>
        <v/>
      </c>
    </row>
    <row r="1221" spans="27:39" x14ac:dyDescent="0.3">
      <c r="AA1221" t="str">
        <f>IF(COUNTA('Procyclean 130'!A222,'Procyclean 130'!B222,'Procyclean 130'!C222)&gt;0,"130","")</f>
        <v/>
      </c>
      <c r="AB1221" t="str">
        <f>IFERROR(IF(ISNUMBER('Procyclean 130'!A222),'Procyclean 130'!A222,DATEVALUE('Procyclean 130'!A222)),"")</f>
        <v/>
      </c>
      <c r="AC1221" t="str">
        <f>IF(AA1221="","",'Procyclean 130'!B222)</f>
        <v/>
      </c>
      <c r="AD1221" t="str">
        <f>IF(AA1221="","",IFERROR(1*'Procyclean 130'!C222,IFERROR(_xludf.NUMBERVALUE('Procyclean 130'!C222,".",","),IFERROR(_xludf.NUMBERVALUE('Procyclean 130'!C222,",","."),0))))</f>
        <v/>
      </c>
      <c r="AE1221" t="str">
        <f>IF(AA1221="","",'Procyclean 130'!J222)</f>
        <v/>
      </c>
      <c r="AF1221">
        <f t="shared" si="131"/>
        <v>0</v>
      </c>
      <c r="AG1221" t="str">
        <f t="shared" si="132"/>
        <v/>
      </c>
      <c r="AH1221" t="str">
        <f t="shared" si="133"/>
        <v/>
      </c>
      <c r="AI1221">
        <f t="shared" si="134"/>
        <v>0</v>
      </c>
      <c r="AJ1221">
        <f t="shared" si="135"/>
        <v>0</v>
      </c>
      <c r="AK1221">
        <v>0</v>
      </c>
      <c r="AL1221" t="str">
        <f>IF(AA1221="","",IFERROR(IF(ISNUMBER('Procyclean 130'!D222),'Procyclean 130'!D222,IF(ISNUMBER(SEARCH("12",'Procyclean 130'!D222)),EDATE(AB1221,12),IF(ISNUMBER(SEARCH("6",'Procyclean 130'!D222)),EDATE(AB1221,6),IF(ISNUMBER(SEARCH("3",'Procyclean 130'!D222)),EDATE(AB1221,3),DATEVALUE('Procyclean 130'!D222))))),""))</f>
        <v/>
      </c>
      <c r="AM1221" t="str">
        <f t="shared" ca="1" si="136"/>
        <v/>
      </c>
    </row>
    <row r="1222" spans="27:39" x14ac:dyDescent="0.3">
      <c r="AA1222" t="str">
        <f>IF(COUNTA('Procyclean 130'!A223,'Procyclean 130'!B223,'Procyclean 130'!C223)&gt;0,"130","")</f>
        <v/>
      </c>
      <c r="AB1222" t="str">
        <f>IFERROR(IF(ISNUMBER('Procyclean 130'!A223),'Procyclean 130'!A223,DATEVALUE('Procyclean 130'!A223)),"")</f>
        <v/>
      </c>
      <c r="AC1222" t="str">
        <f>IF(AA1222="","",'Procyclean 130'!B223)</f>
        <v/>
      </c>
      <c r="AD1222" t="str">
        <f>IF(AA1222="","",IFERROR(1*'Procyclean 130'!C223,IFERROR(_xludf.NUMBERVALUE('Procyclean 130'!C223,".",","),IFERROR(_xludf.NUMBERVALUE('Procyclean 130'!C223,",","."),0))))</f>
        <v/>
      </c>
      <c r="AE1222" t="str">
        <f>IF(AA1222="","",'Procyclean 130'!J223)</f>
        <v/>
      </c>
      <c r="AF1222">
        <f t="shared" si="131"/>
        <v>0</v>
      </c>
      <c r="AG1222" t="str">
        <f t="shared" si="132"/>
        <v/>
      </c>
      <c r="AH1222" t="str">
        <f t="shared" si="133"/>
        <v/>
      </c>
      <c r="AI1222">
        <f t="shared" si="134"/>
        <v>0</v>
      </c>
      <c r="AJ1222">
        <f t="shared" si="135"/>
        <v>0</v>
      </c>
      <c r="AK1222">
        <v>0</v>
      </c>
      <c r="AL1222" t="str">
        <f>IF(AA1222="","",IFERROR(IF(ISNUMBER('Procyclean 130'!D223),'Procyclean 130'!D223,IF(ISNUMBER(SEARCH("12",'Procyclean 130'!D223)),EDATE(AB1222,12),IF(ISNUMBER(SEARCH("6",'Procyclean 130'!D223)),EDATE(AB1222,6),IF(ISNUMBER(SEARCH("3",'Procyclean 130'!D223)),EDATE(AB1222,3),DATEVALUE('Procyclean 130'!D223))))),""))</f>
        <v/>
      </c>
      <c r="AM1222" t="str">
        <f t="shared" ca="1" si="136"/>
        <v/>
      </c>
    </row>
    <row r="1223" spans="27:39" x14ac:dyDescent="0.3">
      <c r="AA1223" t="str">
        <f>IF(COUNTA('Procyclean 130'!A224,'Procyclean 130'!B224,'Procyclean 130'!C224)&gt;0,"130","")</f>
        <v/>
      </c>
      <c r="AB1223" t="str">
        <f>IFERROR(IF(ISNUMBER('Procyclean 130'!A224),'Procyclean 130'!A224,DATEVALUE('Procyclean 130'!A224)),"")</f>
        <v/>
      </c>
      <c r="AC1223" t="str">
        <f>IF(AA1223="","",'Procyclean 130'!B224)</f>
        <v/>
      </c>
      <c r="AD1223" t="str">
        <f>IF(AA1223="","",IFERROR(1*'Procyclean 130'!C224,IFERROR(_xludf.NUMBERVALUE('Procyclean 130'!C224,".",","),IFERROR(_xludf.NUMBERVALUE('Procyclean 130'!C224,",","."),0))))</f>
        <v/>
      </c>
      <c r="AE1223" t="str">
        <f>IF(AA1223="","",'Procyclean 130'!J224)</f>
        <v/>
      </c>
      <c r="AF1223">
        <f t="shared" si="131"/>
        <v>0</v>
      </c>
      <c r="AG1223" t="str">
        <f t="shared" si="132"/>
        <v/>
      </c>
      <c r="AH1223" t="str">
        <f t="shared" si="133"/>
        <v/>
      </c>
      <c r="AI1223">
        <f t="shared" si="134"/>
        <v>0</v>
      </c>
      <c r="AJ1223">
        <f t="shared" si="135"/>
        <v>0</v>
      </c>
      <c r="AK1223">
        <v>0</v>
      </c>
      <c r="AL1223" t="str">
        <f>IF(AA1223="","",IFERROR(IF(ISNUMBER('Procyclean 130'!D224),'Procyclean 130'!D224,IF(ISNUMBER(SEARCH("12",'Procyclean 130'!D224)),EDATE(AB1223,12),IF(ISNUMBER(SEARCH("6",'Procyclean 130'!D224)),EDATE(AB1223,6),IF(ISNUMBER(SEARCH("3",'Procyclean 130'!D224)),EDATE(AB1223,3),DATEVALUE('Procyclean 130'!D224))))),""))</f>
        <v/>
      </c>
      <c r="AM1223" t="str">
        <f t="shared" ca="1" si="136"/>
        <v/>
      </c>
    </row>
    <row r="1224" spans="27:39" x14ac:dyDescent="0.3">
      <c r="AA1224" t="str">
        <f>IF(COUNTA('Procyclean 130'!A225,'Procyclean 130'!B225,'Procyclean 130'!C225)&gt;0,"130","")</f>
        <v/>
      </c>
      <c r="AB1224" t="str">
        <f>IFERROR(IF(ISNUMBER('Procyclean 130'!A225),'Procyclean 130'!A225,DATEVALUE('Procyclean 130'!A225)),"")</f>
        <v/>
      </c>
      <c r="AC1224" t="str">
        <f>IF(AA1224="","",'Procyclean 130'!B225)</f>
        <v/>
      </c>
      <c r="AD1224" t="str">
        <f>IF(AA1224="","",IFERROR(1*'Procyclean 130'!C225,IFERROR(_xludf.NUMBERVALUE('Procyclean 130'!C225,".",","),IFERROR(_xludf.NUMBERVALUE('Procyclean 130'!C225,",","."),0))))</f>
        <v/>
      </c>
      <c r="AE1224" t="str">
        <f>IF(AA1224="","",'Procyclean 130'!J225)</f>
        <v/>
      </c>
      <c r="AF1224">
        <f t="shared" si="131"/>
        <v>0</v>
      </c>
      <c r="AG1224" t="str">
        <f t="shared" si="132"/>
        <v/>
      </c>
      <c r="AH1224" t="str">
        <f t="shared" si="133"/>
        <v/>
      </c>
      <c r="AI1224">
        <f t="shared" si="134"/>
        <v>0</v>
      </c>
      <c r="AJ1224">
        <f t="shared" si="135"/>
        <v>0</v>
      </c>
      <c r="AK1224">
        <v>0</v>
      </c>
      <c r="AL1224" t="str">
        <f>IF(AA1224="","",IFERROR(IF(ISNUMBER('Procyclean 130'!D225),'Procyclean 130'!D225,IF(ISNUMBER(SEARCH("12",'Procyclean 130'!D225)),EDATE(AB1224,12),IF(ISNUMBER(SEARCH("6",'Procyclean 130'!D225)),EDATE(AB1224,6),IF(ISNUMBER(SEARCH("3",'Procyclean 130'!D225)),EDATE(AB1224,3),DATEVALUE('Procyclean 130'!D225))))),""))</f>
        <v/>
      </c>
      <c r="AM1224" t="str">
        <f t="shared" ca="1" si="136"/>
        <v/>
      </c>
    </row>
    <row r="1225" spans="27:39" x14ac:dyDescent="0.3">
      <c r="AA1225" t="str">
        <f>IF(COUNTA('Procyclean 130'!A226,'Procyclean 130'!B226,'Procyclean 130'!C226)&gt;0,"130","")</f>
        <v/>
      </c>
      <c r="AB1225" t="str">
        <f>IFERROR(IF(ISNUMBER('Procyclean 130'!A226),'Procyclean 130'!A226,DATEVALUE('Procyclean 130'!A226)),"")</f>
        <v/>
      </c>
      <c r="AC1225" t="str">
        <f>IF(AA1225="","",'Procyclean 130'!B226)</f>
        <v/>
      </c>
      <c r="AD1225" t="str">
        <f>IF(AA1225="","",IFERROR(1*'Procyclean 130'!C226,IFERROR(_xludf.NUMBERVALUE('Procyclean 130'!C226,".",","),IFERROR(_xludf.NUMBERVALUE('Procyclean 130'!C226,",","."),0))))</f>
        <v/>
      </c>
      <c r="AE1225" t="str">
        <f>IF(AA1225="","",'Procyclean 130'!J226)</f>
        <v/>
      </c>
      <c r="AF1225">
        <f t="shared" si="131"/>
        <v>0</v>
      </c>
      <c r="AG1225" t="str">
        <f t="shared" si="132"/>
        <v/>
      </c>
      <c r="AH1225" t="str">
        <f t="shared" si="133"/>
        <v/>
      </c>
      <c r="AI1225">
        <f t="shared" si="134"/>
        <v>0</v>
      </c>
      <c r="AJ1225">
        <f t="shared" si="135"/>
        <v>0</v>
      </c>
      <c r="AK1225">
        <v>0</v>
      </c>
      <c r="AL1225" t="str">
        <f>IF(AA1225="","",IFERROR(IF(ISNUMBER('Procyclean 130'!D226),'Procyclean 130'!D226,IF(ISNUMBER(SEARCH("12",'Procyclean 130'!D226)),EDATE(AB1225,12),IF(ISNUMBER(SEARCH("6",'Procyclean 130'!D226)),EDATE(AB1225,6),IF(ISNUMBER(SEARCH("3",'Procyclean 130'!D226)),EDATE(AB1225,3),DATEVALUE('Procyclean 130'!D226))))),""))</f>
        <v/>
      </c>
      <c r="AM1225" t="str">
        <f t="shared" ca="1" si="136"/>
        <v/>
      </c>
    </row>
    <row r="1226" spans="27:39" x14ac:dyDescent="0.3">
      <c r="AA1226" t="str">
        <f>IF(COUNTA('Procyclean 130'!A227,'Procyclean 130'!B227,'Procyclean 130'!C227)&gt;0,"130","")</f>
        <v/>
      </c>
      <c r="AB1226" t="str">
        <f>IFERROR(IF(ISNUMBER('Procyclean 130'!A227),'Procyclean 130'!A227,DATEVALUE('Procyclean 130'!A227)),"")</f>
        <v/>
      </c>
      <c r="AC1226" t="str">
        <f>IF(AA1226="","",'Procyclean 130'!B227)</f>
        <v/>
      </c>
      <c r="AD1226" t="str">
        <f>IF(AA1226="","",IFERROR(1*'Procyclean 130'!C227,IFERROR(_xludf.NUMBERVALUE('Procyclean 130'!C227,".",","),IFERROR(_xludf.NUMBERVALUE('Procyclean 130'!C227,",","."),0))))</f>
        <v/>
      </c>
      <c r="AE1226" t="str">
        <f>IF(AA1226="","",'Procyclean 130'!J227)</f>
        <v/>
      </c>
      <c r="AF1226">
        <f t="shared" si="131"/>
        <v>0</v>
      </c>
      <c r="AG1226" t="str">
        <f t="shared" si="132"/>
        <v/>
      </c>
      <c r="AH1226" t="str">
        <f t="shared" si="133"/>
        <v/>
      </c>
      <c r="AI1226">
        <f t="shared" si="134"/>
        <v>0</v>
      </c>
      <c r="AJ1226">
        <f t="shared" si="135"/>
        <v>0</v>
      </c>
      <c r="AK1226">
        <v>0</v>
      </c>
      <c r="AL1226" t="str">
        <f>IF(AA1226="","",IFERROR(IF(ISNUMBER('Procyclean 130'!D227),'Procyclean 130'!D227,IF(ISNUMBER(SEARCH("12",'Procyclean 130'!D227)),EDATE(AB1226,12),IF(ISNUMBER(SEARCH("6",'Procyclean 130'!D227)),EDATE(AB1226,6),IF(ISNUMBER(SEARCH("3",'Procyclean 130'!D227)),EDATE(AB1226,3),DATEVALUE('Procyclean 130'!D227))))),""))</f>
        <v/>
      </c>
      <c r="AM1226" t="str">
        <f t="shared" ca="1" si="136"/>
        <v/>
      </c>
    </row>
    <row r="1227" spans="27:39" x14ac:dyDescent="0.3">
      <c r="AA1227" t="str">
        <f>IF(COUNTA('Procyclean 130'!A228,'Procyclean 130'!B228,'Procyclean 130'!C228)&gt;0,"130","")</f>
        <v/>
      </c>
      <c r="AB1227" t="str">
        <f>IFERROR(IF(ISNUMBER('Procyclean 130'!A228),'Procyclean 130'!A228,DATEVALUE('Procyclean 130'!A228)),"")</f>
        <v/>
      </c>
      <c r="AC1227" t="str">
        <f>IF(AA1227="","",'Procyclean 130'!B228)</f>
        <v/>
      </c>
      <c r="AD1227" t="str">
        <f>IF(AA1227="","",IFERROR(1*'Procyclean 130'!C228,IFERROR(_xludf.NUMBERVALUE('Procyclean 130'!C228,".",","),IFERROR(_xludf.NUMBERVALUE('Procyclean 130'!C228,",","."),0))))</f>
        <v/>
      </c>
      <c r="AE1227" t="str">
        <f>IF(AA1227="","",'Procyclean 130'!J228)</f>
        <v/>
      </c>
      <c r="AF1227">
        <f t="shared" si="131"/>
        <v>0</v>
      </c>
      <c r="AG1227" t="str">
        <f t="shared" si="132"/>
        <v/>
      </c>
      <c r="AH1227" t="str">
        <f t="shared" si="133"/>
        <v/>
      </c>
      <c r="AI1227">
        <f t="shared" si="134"/>
        <v>0</v>
      </c>
      <c r="AJ1227">
        <f t="shared" si="135"/>
        <v>0</v>
      </c>
      <c r="AK1227">
        <v>0</v>
      </c>
      <c r="AL1227" t="str">
        <f>IF(AA1227="","",IFERROR(IF(ISNUMBER('Procyclean 130'!D228),'Procyclean 130'!D228,IF(ISNUMBER(SEARCH("12",'Procyclean 130'!D228)),EDATE(AB1227,12),IF(ISNUMBER(SEARCH("6",'Procyclean 130'!D228)),EDATE(AB1227,6),IF(ISNUMBER(SEARCH("3",'Procyclean 130'!D228)),EDATE(AB1227,3),DATEVALUE('Procyclean 130'!D228))))),""))</f>
        <v/>
      </c>
      <c r="AM1227" t="str">
        <f t="shared" ca="1" si="136"/>
        <v/>
      </c>
    </row>
    <row r="1228" spans="27:39" x14ac:dyDescent="0.3">
      <c r="AA1228" t="str">
        <f>IF(COUNTA('Procyclean 130'!A229,'Procyclean 130'!B229,'Procyclean 130'!C229)&gt;0,"130","")</f>
        <v/>
      </c>
      <c r="AB1228" t="str">
        <f>IFERROR(IF(ISNUMBER('Procyclean 130'!A229),'Procyclean 130'!A229,DATEVALUE('Procyclean 130'!A229)),"")</f>
        <v/>
      </c>
      <c r="AC1228" t="str">
        <f>IF(AA1228="","",'Procyclean 130'!B229)</f>
        <v/>
      </c>
      <c r="AD1228" t="str">
        <f>IF(AA1228="","",IFERROR(1*'Procyclean 130'!C229,IFERROR(_xludf.NUMBERVALUE('Procyclean 130'!C229,".",","),IFERROR(_xludf.NUMBERVALUE('Procyclean 130'!C229,",","."),0))))</f>
        <v/>
      </c>
      <c r="AE1228" t="str">
        <f>IF(AA1228="","",'Procyclean 130'!J229)</f>
        <v/>
      </c>
      <c r="AF1228">
        <f t="shared" si="131"/>
        <v>0</v>
      </c>
      <c r="AG1228" t="str">
        <f t="shared" si="132"/>
        <v/>
      </c>
      <c r="AH1228" t="str">
        <f t="shared" si="133"/>
        <v/>
      </c>
      <c r="AI1228">
        <f t="shared" si="134"/>
        <v>0</v>
      </c>
      <c r="AJ1228">
        <f t="shared" si="135"/>
        <v>0</v>
      </c>
      <c r="AK1228">
        <v>0</v>
      </c>
      <c r="AL1228" t="str">
        <f>IF(AA1228="","",IFERROR(IF(ISNUMBER('Procyclean 130'!D229),'Procyclean 130'!D229,IF(ISNUMBER(SEARCH("12",'Procyclean 130'!D229)),EDATE(AB1228,12),IF(ISNUMBER(SEARCH("6",'Procyclean 130'!D229)),EDATE(AB1228,6),IF(ISNUMBER(SEARCH("3",'Procyclean 130'!D229)),EDATE(AB1228,3),DATEVALUE('Procyclean 130'!D229))))),""))</f>
        <v/>
      </c>
      <c r="AM1228" t="str">
        <f t="shared" ca="1" si="136"/>
        <v/>
      </c>
    </row>
    <row r="1229" spans="27:39" x14ac:dyDescent="0.3">
      <c r="AA1229" t="str">
        <f>IF(COUNTA('Procyclean 130'!A230,'Procyclean 130'!B230,'Procyclean 130'!C230)&gt;0,"130","")</f>
        <v/>
      </c>
      <c r="AB1229" t="str">
        <f>IFERROR(IF(ISNUMBER('Procyclean 130'!A230),'Procyclean 130'!A230,DATEVALUE('Procyclean 130'!A230)),"")</f>
        <v/>
      </c>
      <c r="AC1229" t="str">
        <f>IF(AA1229="","",'Procyclean 130'!B230)</f>
        <v/>
      </c>
      <c r="AD1229" t="str">
        <f>IF(AA1229="","",IFERROR(1*'Procyclean 130'!C230,IFERROR(_xludf.NUMBERVALUE('Procyclean 130'!C230,".",","),IFERROR(_xludf.NUMBERVALUE('Procyclean 130'!C230,",","."),0))))</f>
        <v/>
      </c>
      <c r="AE1229" t="str">
        <f>IF(AA1229="","",'Procyclean 130'!J230)</f>
        <v/>
      </c>
      <c r="AF1229">
        <f t="shared" si="131"/>
        <v>0</v>
      </c>
      <c r="AG1229" t="str">
        <f t="shared" si="132"/>
        <v/>
      </c>
      <c r="AH1229" t="str">
        <f t="shared" si="133"/>
        <v/>
      </c>
      <c r="AI1229">
        <f t="shared" si="134"/>
        <v>0</v>
      </c>
      <c r="AJ1229">
        <f t="shared" si="135"/>
        <v>0</v>
      </c>
      <c r="AK1229">
        <v>0</v>
      </c>
      <c r="AL1229" t="str">
        <f>IF(AA1229="","",IFERROR(IF(ISNUMBER('Procyclean 130'!D230),'Procyclean 130'!D230,IF(ISNUMBER(SEARCH("12",'Procyclean 130'!D230)),EDATE(AB1229,12),IF(ISNUMBER(SEARCH("6",'Procyclean 130'!D230)),EDATE(AB1229,6),IF(ISNUMBER(SEARCH("3",'Procyclean 130'!D230)),EDATE(AB1229,3),DATEVALUE('Procyclean 130'!D230))))),""))</f>
        <v/>
      </c>
      <c r="AM1229" t="str">
        <f t="shared" ca="1" si="136"/>
        <v/>
      </c>
    </row>
    <row r="1230" spans="27:39" x14ac:dyDescent="0.3">
      <c r="AA1230" t="str">
        <f>IF(COUNTA('Procyclean 130'!A231,'Procyclean 130'!B231,'Procyclean 130'!C231)&gt;0,"130","")</f>
        <v/>
      </c>
      <c r="AB1230" t="str">
        <f>IFERROR(IF(ISNUMBER('Procyclean 130'!A231),'Procyclean 130'!A231,DATEVALUE('Procyclean 130'!A231)),"")</f>
        <v/>
      </c>
      <c r="AC1230" t="str">
        <f>IF(AA1230="","",'Procyclean 130'!B231)</f>
        <v/>
      </c>
      <c r="AD1230" t="str">
        <f>IF(AA1230="","",IFERROR(1*'Procyclean 130'!C231,IFERROR(_xludf.NUMBERVALUE('Procyclean 130'!C231,".",","),IFERROR(_xludf.NUMBERVALUE('Procyclean 130'!C231,",","."),0))))</f>
        <v/>
      </c>
      <c r="AE1230" t="str">
        <f>IF(AA1230="","",'Procyclean 130'!J231)</f>
        <v/>
      </c>
      <c r="AF1230">
        <f t="shared" si="131"/>
        <v>0</v>
      </c>
      <c r="AG1230" t="str">
        <f t="shared" si="132"/>
        <v/>
      </c>
      <c r="AH1230" t="str">
        <f t="shared" si="133"/>
        <v/>
      </c>
      <c r="AI1230">
        <f t="shared" si="134"/>
        <v>0</v>
      </c>
      <c r="AJ1230">
        <f t="shared" si="135"/>
        <v>0</v>
      </c>
      <c r="AK1230">
        <v>0</v>
      </c>
      <c r="AL1230" t="str">
        <f>IF(AA1230="","",IFERROR(IF(ISNUMBER('Procyclean 130'!D231),'Procyclean 130'!D231,IF(ISNUMBER(SEARCH("12",'Procyclean 130'!D231)),EDATE(AB1230,12),IF(ISNUMBER(SEARCH("6",'Procyclean 130'!D231)),EDATE(AB1230,6),IF(ISNUMBER(SEARCH("3",'Procyclean 130'!D231)),EDATE(AB1230,3),DATEVALUE('Procyclean 130'!D231))))),""))</f>
        <v/>
      </c>
      <c r="AM1230" t="str">
        <f t="shared" ca="1" si="136"/>
        <v/>
      </c>
    </row>
    <row r="1231" spans="27:39" x14ac:dyDescent="0.3">
      <c r="AA1231" t="str">
        <f>IF(COUNTA('Procyclean 130'!A232,'Procyclean 130'!B232,'Procyclean 130'!C232)&gt;0,"130","")</f>
        <v/>
      </c>
      <c r="AB1231" t="str">
        <f>IFERROR(IF(ISNUMBER('Procyclean 130'!A232),'Procyclean 130'!A232,DATEVALUE('Procyclean 130'!A232)),"")</f>
        <v/>
      </c>
      <c r="AC1231" t="str">
        <f>IF(AA1231="","",'Procyclean 130'!B232)</f>
        <v/>
      </c>
      <c r="AD1231" t="str">
        <f>IF(AA1231="","",IFERROR(1*'Procyclean 130'!C232,IFERROR(_xludf.NUMBERVALUE('Procyclean 130'!C232,".",","),IFERROR(_xludf.NUMBERVALUE('Procyclean 130'!C232,",","."),0))))</f>
        <v/>
      </c>
      <c r="AE1231" t="str">
        <f>IF(AA1231="","",'Procyclean 130'!J232)</f>
        <v/>
      </c>
      <c r="AF1231">
        <f t="shared" si="131"/>
        <v>0</v>
      </c>
      <c r="AG1231" t="str">
        <f t="shared" si="132"/>
        <v/>
      </c>
      <c r="AH1231" t="str">
        <f t="shared" si="133"/>
        <v/>
      </c>
      <c r="AI1231">
        <f t="shared" si="134"/>
        <v>0</v>
      </c>
      <c r="AJ1231">
        <f t="shared" si="135"/>
        <v>0</v>
      </c>
      <c r="AK1231">
        <v>0</v>
      </c>
      <c r="AL1231" t="str">
        <f>IF(AA1231="","",IFERROR(IF(ISNUMBER('Procyclean 130'!D232),'Procyclean 130'!D232,IF(ISNUMBER(SEARCH("12",'Procyclean 130'!D232)),EDATE(AB1231,12),IF(ISNUMBER(SEARCH("6",'Procyclean 130'!D232)),EDATE(AB1231,6),IF(ISNUMBER(SEARCH("3",'Procyclean 130'!D232)),EDATE(AB1231,3),DATEVALUE('Procyclean 130'!D232))))),""))</f>
        <v/>
      </c>
      <c r="AM1231" t="str">
        <f t="shared" ca="1" si="136"/>
        <v/>
      </c>
    </row>
    <row r="1232" spans="27:39" x14ac:dyDescent="0.3">
      <c r="AA1232" t="str">
        <f>IF(COUNTA('Procyclean 130'!A233,'Procyclean 130'!B233,'Procyclean 130'!C233)&gt;0,"130","")</f>
        <v/>
      </c>
      <c r="AB1232" t="str">
        <f>IFERROR(IF(ISNUMBER('Procyclean 130'!A233),'Procyclean 130'!A233,DATEVALUE('Procyclean 130'!A233)),"")</f>
        <v/>
      </c>
      <c r="AC1232" t="str">
        <f>IF(AA1232="","",'Procyclean 130'!B233)</f>
        <v/>
      </c>
      <c r="AD1232" t="str">
        <f>IF(AA1232="","",IFERROR(1*'Procyclean 130'!C233,IFERROR(_xludf.NUMBERVALUE('Procyclean 130'!C233,".",","),IFERROR(_xludf.NUMBERVALUE('Procyclean 130'!C233,",","."),0))))</f>
        <v/>
      </c>
      <c r="AE1232" t="str">
        <f>IF(AA1232="","",'Procyclean 130'!J233)</f>
        <v/>
      </c>
      <c r="AF1232">
        <f t="shared" si="131"/>
        <v>0</v>
      </c>
      <c r="AG1232" t="str">
        <f t="shared" si="132"/>
        <v/>
      </c>
      <c r="AH1232" t="str">
        <f t="shared" si="133"/>
        <v/>
      </c>
      <c r="AI1232">
        <f t="shared" si="134"/>
        <v>0</v>
      </c>
      <c r="AJ1232">
        <f t="shared" si="135"/>
        <v>0</v>
      </c>
      <c r="AK1232">
        <v>0</v>
      </c>
      <c r="AL1232" t="str">
        <f>IF(AA1232="","",IFERROR(IF(ISNUMBER('Procyclean 130'!D233),'Procyclean 130'!D233,IF(ISNUMBER(SEARCH("12",'Procyclean 130'!D233)),EDATE(AB1232,12),IF(ISNUMBER(SEARCH("6",'Procyclean 130'!D233)),EDATE(AB1232,6),IF(ISNUMBER(SEARCH("3",'Procyclean 130'!D233)),EDATE(AB1232,3),DATEVALUE('Procyclean 130'!D233))))),""))</f>
        <v/>
      </c>
      <c r="AM1232" t="str">
        <f t="shared" ca="1" si="136"/>
        <v/>
      </c>
    </row>
    <row r="1233" spans="27:39" x14ac:dyDescent="0.3">
      <c r="AA1233" t="str">
        <f>IF(COUNTA('Procyclean 130'!A234,'Procyclean 130'!B234,'Procyclean 130'!C234)&gt;0,"130","")</f>
        <v/>
      </c>
      <c r="AB1233" t="str">
        <f>IFERROR(IF(ISNUMBER('Procyclean 130'!A234),'Procyclean 130'!A234,DATEVALUE('Procyclean 130'!A234)),"")</f>
        <v/>
      </c>
      <c r="AC1233" t="str">
        <f>IF(AA1233="","",'Procyclean 130'!B234)</f>
        <v/>
      </c>
      <c r="AD1233" t="str">
        <f>IF(AA1233="","",IFERROR(1*'Procyclean 130'!C234,IFERROR(_xludf.NUMBERVALUE('Procyclean 130'!C234,".",","),IFERROR(_xludf.NUMBERVALUE('Procyclean 130'!C234,",","."),0))))</f>
        <v/>
      </c>
      <c r="AE1233" t="str">
        <f>IF(AA1233="","",'Procyclean 130'!J234)</f>
        <v/>
      </c>
      <c r="AF1233">
        <f t="shared" si="131"/>
        <v>0</v>
      </c>
      <c r="AG1233" t="str">
        <f t="shared" si="132"/>
        <v/>
      </c>
      <c r="AH1233" t="str">
        <f t="shared" si="133"/>
        <v/>
      </c>
      <c r="AI1233">
        <f t="shared" si="134"/>
        <v>0</v>
      </c>
      <c r="AJ1233">
        <f t="shared" si="135"/>
        <v>0</v>
      </c>
      <c r="AK1233">
        <v>0</v>
      </c>
      <c r="AL1233" t="str">
        <f>IF(AA1233="","",IFERROR(IF(ISNUMBER('Procyclean 130'!D234),'Procyclean 130'!D234,IF(ISNUMBER(SEARCH("12",'Procyclean 130'!D234)),EDATE(AB1233,12),IF(ISNUMBER(SEARCH("6",'Procyclean 130'!D234)),EDATE(AB1233,6),IF(ISNUMBER(SEARCH("3",'Procyclean 130'!D234)),EDATE(AB1233,3),DATEVALUE('Procyclean 130'!D234))))),""))</f>
        <v/>
      </c>
      <c r="AM1233" t="str">
        <f t="shared" ca="1" si="136"/>
        <v/>
      </c>
    </row>
    <row r="1234" spans="27:39" x14ac:dyDescent="0.3">
      <c r="AA1234" t="str">
        <f>IF(COUNTA('Procyclean 130'!A235,'Procyclean 130'!B235,'Procyclean 130'!C235)&gt;0,"130","")</f>
        <v/>
      </c>
      <c r="AB1234" t="str">
        <f>IFERROR(IF(ISNUMBER('Procyclean 130'!A235),'Procyclean 130'!A235,DATEVALUE('Procyclean 130'!A235)),"")</f>
        <v/>
      </c>
      <c r="AC1234" t="str">
        <f>IF(AA1234="","",'Procyclean 130'!B235)</f>
        <v/>
      </c>
      <c r="AD1234" t="str">
        <f>IF(AA1234="","",IFERROR(1*'Procyclean 130'!C235,IFERROR(_xludf.NUMBERVALUE('Procyclean 130'!C235,".",","),IFERROR(_xludf.NUMBERVALUE('Procyclean 130'!C235,",","."),0))))</f>
        <v/>
      </c>
      <c r="AE1234" t="str">
        <f>IF(AA1234="","",'Procyclean 130'!J235)</f>
        <v/>
      </c>
      <c r="AF1234">
        <f t="shared" si="131"/>
        <v>0</v>
      </c>
      <c r="AG1234" t="str">
        <f t="shared" si="132"/>
        <v/>
      </c>
      <c r="AH1234" t="str">
        <f t="shared" si="133"/>
        <v/>
      </c>
      <c r="AI1234">
        <f t="shared" si="134"/>
        <v>0</v>
      </c>
      <c r="AJ1234">
        <f t="shared" si="135"/>
        <v>0</v>
      </c>
      <c r="AK1234">
        <v>0</v>
      </c>
      <c r="AL1234" t="str">
        <f>IF(AA1234="","",IFERROR(IF(ISNUMBER('Procyclean 130'!D235),'Procyclean 130'!D235,IF(ISNUMBER(SEARCH("12",'Procyclean 130'!D235)),EDATE(AB1234,12),IF(ISNUMBER(SEARCH("6",'Procyclean 130'!D235)),EDATE(AB1234,6),IF(ISNUMBER(SEARCH("3",'Procyclean 130'!D235)),EDATE(AB1234,3),DATEVALUE('Procyclean 130'!D235))))),""))</f>
        <v/>
      </c>
      <c r="AM1234" t="str">
        <f t="shared" ca="1" si="136"/>
        <v/>
      </c>
    </row>
    <row r="1235" spans="27:39" x14ac:dyDescent="0.3">
      <c r="AA1235" t="str">
        <f>IF(COUNTA('Procyclean 130'!A236,'Procyclean 130'!B236,'Procyclean 130'!C236)&gt;0,"130","")</f>
        <v/>
      </c>
      <c r="AB1235" t="str">
        <f>IFERROR(IF(ISNUMBER('Procyclean 130'!A236),'Procyclean 130'!A236,DATEVALUE('Procyclean 130'!A236)),"")</f>
        <v/>
      </c>
      <c r="AC1235" t="str">
        <f>IF(AA1235="","",'Procyclean 130'!B236)</f>
        <v/>
      </c>
      <c r="AD1235" t="str">
        <f>IF(AA1235="","",IFERROR(1*'Procyclean 130'!C236,IFERROR(_xludf.NUMBERVALUE('Procyclean 130'!C236,".",","),IFERROR(_xludf.NUMBERVALUE('Procyclean 130'!C236,",","."),0))))</f>
        <v/>
      </c>
      <c r="AE1235" t="str">
        <f>IF(AA1235="","",'Procyclean 130'!J236)</f>
        <v/>
      </c>
      <c r="AF1235">
        <f t="shared" si="131"/>
        <v>0</v>
      </c>
      <c r="AG1235" t="str">
        <f t="shared" si="132"/>
        <v/>
      </c>
      <c r="AH1235" t="str">
        <f t="shared" si="133"/>
        <v/>
      </c>
      <c r="AI1235">
        <f t="shared" si="134"/>
        <v>0</v>
      </c>
      <c r="AJ1235">
        <f t="shared" si="135"/>
        <v>0</v>
      </c>
      <c r="AK1235">
        <v>0</v>
      </c>
      <c r="AL1235" t="str">
        <f>IF(AA1235="","",IFERROR(IF(ISNUMBER('Procyclean 130'!D236),'Procyclean 130'!D236,IF(ISNUMBER(SEARCH("12",'Procyclean 130'!D236)),EDATE(AB1235,12),IF(ISNUMBER(SEARCH("6",'Procyclean 130'!D236)),EDATE(AB1235,6),IF(ISNUMBER(SEARCH("3",'Procyclean 130'!D236)),EDATE(AB1235,3),DATEVALUE('Procyclean 130'!D236))))),""))</f>
        <v/>
      </c>
      <c r="AM1235" t="str">
        <f t="shared" ca="1" si="136"/>
        <v/>
      </c>
    </row>
    <row r="1236" spans="27:39" x14ac:dyDescent="0.3">
      <c r="AA1236" t="str">
        <f>IF(COUNTA('Procyclean 130'!A237,'Procyclean 130'!B237,'Procyclean 130'!C237)&gt;0,"130","")</f>
        <v/>
      </c>
      <c r="AB1236" t="str">
        <f>IFERROR(IF(ISNUMBER('Procyclean 130'!A237),'Procyclean 130'!A237,DATEVALUE('Procyclean 130'!A237)),"")</f>
        <v/>
      </c>
      <c r="AC1236" t="str">
        <f>IF(AA1236="","",'Procyclean 130'!B237)</f>
        <v/>
      </c>
      <c r="AD1236" t="str">
        <f>IF(AA1236="","",IFERROR(1*'Procyclean 130'!C237,IFERROR(_xludf.NUMBERVALUE('Procyclean 130'!C237,".",","),IFERROR(_xludf.NUMBERVALUE('Procyclean 130'!C237,",","."),0))))</f>
        <v/>
      </c>
      <c r="AE1236" t="str">
        <f>IF(AA1236="","",'Procyclean 130'!J237)</f>
        <v/>
      </c>
      <c r="AF1236">
        <f t="shared" si="131"/>
        <v>0</v>
      </c>
      <c r="AG1236" t="str">
        <f t="shared" si="132"/>
        <v/>
      </c>
      <c r="AH1236" t="str">
        <f t="shared" si="133"/>
        <v/>
      </c>
      <c r="AI1236">
        <f t="shared" si="134"/>
        <v>0</v>
      </c>
      <c r="AJ1236">
        <f t="shared" si="135"/>
        <v>0</v>
      </c>
      <c r="AK1236">
        <v>0</v>
      </c>
      <c r="AL1236" t="str">
        <f>IF(AA1236="","",IFERROR(IF(ISNUMBER('Procyclean 130'!D237),'Procyclean 130'!D237,IF(ISNUMBER(SEARCH("12",'Procyclean 130'!D237)),EDATE(AB1236,12),IF(ISNUMBER(SEARCH("6",'Procyclean 130'!D237)),EDATE(AB1236,6),IF(ISNUMBER(SEARCH("3",'Procyclean 130'!D237)),EDATE(AB1236,3),DATEVALUE('Procyclean 130'!D237))))),""))</f>
        <v/>
      </c>
      <c r="AM1236" t="str">
        <f t="shared" ca="1" si="136"/>
        <v/>
      </c>
    </row>
    <row r="1237" spans="27:39" x14ac:dyDescent="0.3">
      <c r="AA1237" t="str">
        <f>IF(COUNTA('Procyclean 130'!A238,'Procyclean 130'!B238,'Procyclean 130'!C238)&gt;0,"130","")</f>
        <v/>
      </c>
      <c r="AB1237" t="str">
        <f>IFERROR(IF(ISNUMBER('Procyclean 130'!A238),'Procyclean 130'!A238,DATEVALUE('Procyclean 130'!A238)),"")</f>
        <v/>
      </c>
      <c r="AC1237" t="str">
        <f>IF(AA1237="","",'Procyclean 130'!B238)</f>
        <v/>
      </c>
      <c r="AD1237" t="str">
        <f>IF(AA1237="","",IFERROR(1*'Procyclean 130'!C238,IFERROR(_xludf.NUMBERVALUE('Procyclean 130'!C238,".",","),IFERROR(_xludf.NUMBERVALUE('Procyclean 130'!C238,",","."),0))))</f>
        <v/>
      </c>
      <c r="AE1237" t="str">
        <f>IF(AA1237="","",'Procyclean 130'!J238)</f>
        <v/>
      </c>
      <c r="AF1237">
        <f t="shared" si="131"/>
        <v>0</v>
      </c>
      <c r="AG1237" t="str">
        <f t="shared" si="132"/>
        <v/>
      </c>
      <c r="AH1237" t="str">
        <f t="shared" si="133"/>
        <v/>
      </c>
      <c r="AI1237">
        <f t="shared" si="134"/>
        <v>0</v>
      </c>
      <c r="AJ1237">
        <f t="shared" si="135"/>
        <v>0</v>
      </c>
      <c r="AK1237">
        <v>0</v>
      </c>
      <c r="AL1237" t="str">
        <f>IF(AA1237="","",IFERROR(IF(ISNUMBER('Procyclean 130'!D238),'Procyclean 130'!D238,IF(ISNUMBER(SEARCH("12",'Procyclean 130'!D238)),EDATE(AB1237,12),IF(ISNUMBER(SEARCH("6",'Procyclean 130'!D238)),EDATE(AB1237,6),IF(ISNUMBER(SEARCH("3",'Procyclean 130'!D238)),EDATE(AB1237,3),DATEVALUE('Procyclean 130'!D238))))),""))</f>
        <v/>
      </c>
      <c r="AM1237" t="str">
        <f t="shared" ca="1" si="136"/>
        <v/>
      </c>
    </row>
    <row r="1238" spans="27:39" x14ac:dyDescent="0.3">
      <c r="AA1238" t="str">
        <f>IF(COUNTA('Procyclean 130'!A239,'Procyclean 130'!B239,'Procyclean 130'!C239)&gt;0,"130","")</f>
        <v/>
      </c>
      <c r="AB1238" t="str">
        <f>IFERROR(IF(ISNUMBER('Procyclean 130'!A239),'Procyclean 130'!A239,DATEVALUE('Procyclean 130'!A239)),"")</f>
        <v/>
      </c>
      <c r="AC1238" t="str">
        <f>IF(AA1238="","",'Procyclean 130'!B239)</f>
        <v/>
      </c>
      <c r="AD1238" t="str">
        <f>IF(AA1238="","",IFERROR(1*'Procyclean 130'!C239,IFERROR(_xludf.NUMBERVALUE('Procyclean 130'!C239,".",","),IFERROR(_xludf.NUMBERVALUE('Procyclean 130'!C239,",","."),0))))</f>
        <v/>
      </c>
      <c r="AE1238" t="str">
        <f>IF(AA1238="","",'Procyclean 130'!J239)</f>
        <v/>
      </c>
      <c r="AF1238">
        <f t="shared" si="131"/>
        <v>0</v>
      </c>
      <c r="AG1238" t="str">
        <f t="shared" si="132"/>
        <v/>
      </c>
      <c r="AH1238" t="str">
        <f t="shared" si="133"/>
        <v/>
      </c>
      <c r="AI1238">
        <f t="shared" si="134"/>
        <v>0</v>
      </c>
      <c r="AJ1238">
        <f t="shared" si="135"/>
        <v>0</v>
      </c>
      <c r="AK1238">
        <v>0</v>
      </c>
      <c r="AL1238" t="str">
        <f>IF(AA1238="","",IFERROR(IF(ISNUMBER('Procyclean 130'!D239),'Procyclean 130'!D239,IF(ISNUMBER(SEARCH("12",'Procyclean 130'!D239)),EDATE(AB1238,12),IF(ISNUMBER(SEARCH("6",'Procyclean 130'!D239)),EDATE(AB1238,6),IF(ISNUMBER(SEARCH("3",'Procyclean 130'!D239)),EDATE(AB1238,3),DATEVALUE('Procyclean 130'!D239))))),""))</f>
        <v/>
      </c>
      <c r="AM1238" t="str">
        <f t="shared" ca="1" si="136"/>
        <v/>
      </c>
    </row>
    <row r="1239" spans="27:39" x14ac:dyDescent="0.3">
      <c r="AA1239" t="str">
        <f>IF(COUNTA('Procyclean 130'!A240,'Procyclean 130'!B240,'Procyclean 130'!C240)&gt;0,"130","")</f>
        <v/>
      </c>
      <c r="AB1239" t="str">
        <f>IFERROR(IF(ISNUMBER('Procyclean 130'!A240),'Procyclean 130'!A240,DATEVALUE('Procyclean 130'!A240)),"")</f>
        <v/>
      </c>
      <c r="AC1239" t="str">
        <f>IF(AA1239="","",'Procyclean 130'!B240)</f>
        <v/>
      </c>
      <c r="AD1239" t="str">
        <f>IF(AA1239="","",IFERROR(1*'Procyclean 130'!C240,IFERROR(_xludf.NUMBERVALUE('Procyclean 130'!C240,".",","),IFERROR(_xludf.NUMBERVALUE('Procyclean 130'!C240,",","."),0))))</f>
        <v/>
      </c>
      <c r="AE1239" t="str">
        <f>IF(AA1239="","",'Procyclean 130'!J240)</f>
        <v/>
      </c>
      <c r="AF1239">
        <f t="shared" si="131"/>
        <v>0</v>
      </c>
      <c r="AG1239" t="str">
        <f t="shared" si="132"/>
        <v/>
      </c>
      <c r="AH1239" t="str">
        <f t="shared" si="133"/>
        <v/>
      </c>
      <c r="AI1239">
        <f t="shared" si="134"/>
        <v>0</v>
      </c>
      <c r="AJ1239">
        <f t="shared" si="135"/>
        <v>0</v>
      </c>
      <c r="AK1239">
        <v>0</v>
      </c>
      <c r="AL1239" t="str">
        <f>IF(AA1239="","",IFERROR(IF(ISNUMBER('Procyclean 130'!D240),'Procyclean 130'!D240,IF(ISNUMBER(SEARCH("12",'Procyclean 130'!D240)),EDATE(AB1239,12),IF(ISNUMBER(SEARCH("6",'Procyclean 130'!D240)),EDATE(AB1239,6),IF(ISNUMBER(SEARCH("3",'Procyclean 130'!D240)),EDATE(AB1239,3),DATEVALUE('Procyclean 130'!D240))))),""))</f>
        <v/>
      </c>
      <c r="AM1239" t="str">
        <f t="shared" ca="1" si="136"/>
        <v/>
      </c>
    </row>
    <row r="1240" spans="27:39" x14ac:dyDescent="0.3">
      <c r="AA1240" t="str">
        <f>IF(COUNTA('Procyclean 130'!A241,'Procyclean 130'!B241,'Procyclean 130'!C241)&gt;0,"130","")</f>
        <v/>
      </c>
      <c r="AB1240" t="str">
        <f>IFERROR(IF(ISNUMBER('Procyclean 130'!A241),'Procyclean 130'!A241,DATEVALUE('Procyclean 130'!A241)),"")</f>
        <v/>
      </c>
      <c r="AC1240" t="str">
        <f>IF(AA1240="","",'Procyclean 130'!B241)</f>
        <v/>
      </c>
      <c r="AD1240" t="str">
        <f>IF(AA1240="","",IFERROR(1*'Procyclean 130'!C241,IFERROR(_xludf.NUMBERVALUE('Procyclean 130'!C241,".",","),IFERROR(_xludf.NUMBERVALUE('Procyclean 130'!C241,",","."),0))))</f>
        <v/>
      </c>
      <c r="AE1240" t="str">
        <f>IF(AA1240="","",'Procyclean 130'!J241)</f>
        <v/>
      </c>
      <c r="AF1240">
        <f t="shared" si="131"/>
        <v>0</v>
      </c>
      <c r="AG1240" t="str">
        <f t="shared" si="132"/>
        <v/>
      </c>
      <c r="AH1240" t="str">
        <f t="shared" si="133"/>
        <v/>
      </c>
      <c r="AI1240">
        <f t="shared" si="134"/>
        <v>0</v>
      </c>
      <c r="AJ1240">
        <f t="shared" si="135"/>
        <v>0</v>
      </c>
      <c r="AK1240">
        <v>0</v>
      </c>
      <c r="AL1240" t="str">
        <f>IF(AA1240="","",IFERROR(IF(ISNUMBER('Procyclean 130'!D241),'Procyclean 130'!D241,IF(ISNUMBER(SEARCH("12",'Procyclean 130'!D241)),EDATE(AB1240,12),IF(ISNUMBER(SEARCH("6",'Procyclean 130'!D241)),EDATE(AB1240,6),IF(ISNUMBER(SEARCH("3",'Procyclean 130'!D241)),EDATE(AB1240,3),DATEVALUE('Procyclean 130'!D241))))),""))</f>
        <v/>
      </c>
      <c r="AM1240" t="str">
        <f t="shared" ca="1" si="136"/>
        <v/>
      </c>
    </row>
    <row r="1241" spans="27:39" x14ac:dyDescent="0.3">
      <c r="AA1241" t="str">
        <f>IF(COUNTA('Procyclean 130'!A242,'Procyclean 130'!B242,'Procyclean 130'!C242)&gt;0,"130","")</f>
        <v/>
      </c>
      <c r="AB1241" t="str">
        <f>IFERROR(IF(ISNUMBER('Procyclean 130'!A242),'Procyclean 130'!A242,DATEVALUE('Procyclean 130'!A242)),"")</f>
        <v/>
      </c>
      <c r="AC1241" t="str">
        <f>IF(AA1241="","",'Procyclean 130'!B242)</f>
        <v/>
      </c>
      <c r="AD1241" t="str">
        <f>IF(AA1241="","",IFERROR(1*'Procyclean 130'!C242,IFERROR(_xludf.NUMBERVALUE('Procyclean 130'!C242,".",","),IFERROR(_xludf.NUMBERVALUE('Procyclean 130'!C242,",","."),0))))</f>
        <v/>
      </c>
      <c r="AE1241" t="str">
        <f>IF(AA1241="","",'Procyclean 130'!J242)</f>
        <v/>
      </c>
      <c r="AF1241">
        <f t="shared" si="131"/>
        <v>0</v>
      </c>
      <c r="AG1241" t="str">
        <f t="shared" si="132"/>
        <v/>
      </c>
      <c r="AH1241" t="str">
        <f t="shared" si="133"/>
        <v/>
      </c>
      <c r="AI1241">
        <f t="shared" si="134"/>
        <v>0</v>
      </c>
      <c r="AJ1241">
        <f t="shared" si="135"/>
        <v>0</v>
      </c>
      <c r="AK1241">
        <v>0</v>
      </c>
      <c r="AL1241" t="str">
        <f>IF(AA1241="","",IFERROR(IF(ISNUMBER('Procyclean 130'!D242),'Procyclean 130'!D242,IF(ISNUMBER(SEARCH("12",'Procyclean 130'!D242)),EDATE(AB1241,12),IF(ISNUMBER(SEARCH("6",'Procyclean 130'!D242)),EDATE(AB1241,6),IF(ISNUMBER(SEARCH("3",'Procyclean 130'!D242)),EDATE(AB1241,3),DATEVALUE('Procyclean 130'!D242))))),""))</f>
        <v/>
      </c>
      <c r="AM1241" t="str">
        <f t="shared" ca="1" si="136"/>
        <v/>
      </c>
    </row>
    <row r="1242" spans="27:39" x14ac:dyDescent="0.3">
      <c r="AA1242" t="str">
        <f>IF(COUNTA('Procyclean 130'!A243,'Procyclean 130'!B243,'Procyclean 130'!C243)&gt;0,"130","")</f>
        <v/>
      </c>
      <c r="AB1242" t="str">
        <f>IFERROR(IF(ISNUMBER('Procyclean 130'!A243),'Procyclean 130'!A243,DATEVALUE('Procyclean 130'!A243)),"")</f>
        <v/>
      </c>
      <c r="AC1242" t="str">
        <f>IF(AA1242="","",'Procyclean 130'!B243)</f>
        <v/>
      </c>
      <c r="AD1242" t="str">
        <f>IF(AA1242="","",IFERROR(1*'Procyclean 130'!C243,IFERROR(_xludf.NUMBERVALUE('Procyclean 130'!C243,".",","),IFERROR(_xludf.NUMBERVALUE('Procyclean 130'!C243,",","."),0))))</f>
        <v/>
      </c>
      <c r="AE1242" t="str">
        <f>IF(AA1242="","",'Procyclean 130'!J243)</f>
        <v/>
      </c>
      <c r="AF1242">
        <f t="shared" si="131"/>
        <v>0</v>
      </c>
      <c r="AG1242" t="str">
        <f t="shared" si="132"/>
        <v/>
      </c>
      <c r="AH1242" t="str">
        <f t="shared" si="133"/>
        <v/>
      </c>
      <c r="AI1242">
        <f t="shared" si="134"/>
        <v>0</v>
      </c>
      <c r="AJ1242">
        <f t="shared" si="135"/>
        <v>0</v>
      </c>
      <c r="AK1242">
        <v>0</v>
      </c>
      <c r="AL1242" t="str">
        <f>IF(AA1242="","",IFERROR(IF(ISNUMBER('Procyclean 130'!D243),'Procyclean 130'!D243,IF(ISNUMBER(SEARCH("12",'Procyclean 130'!D243)),EDATE(AB1242,12),IF(ISNUMBER(SEARCH("6",'Procyclean 130'!D243)),EDATE(AB1242,6),IF(ISNUMBER(SEARCH("3",'Procyclean 130'!D243)),EDATE(AB1242,3),DATEVALUE('Procyclean 130'!D243))))),""))</f>
        <v/>
      </c>
      <c r="AM1242" t="str">
        <f t="shared" ca="1" si="136"/>
        <v/>
      </c>
    </row>
    <row r="1243" spans="27:39" x14ac:dyDescent="0.3">
      <c r="AA1243" t="str">
        <f>IF(COUNTA('Procyclean 130'!A244,'Procyclean 130'!B244,'Procyclean 130'!C244)&gt;0,"130","")</f>
        <v/>
      </c>
      <c r="AB1243" t="str">
        <f>IFERROR(IF(ISNUMBER('Procyclean 130'!A244),'Procyclean 130'!A244,DATEVALUE('Procyclean 130'!A244)),"")</f>
        <v/>
      </c>
      <c r="AC1243" t="str">
        <f>IF(AA1243="","",'Procyclean 130'!B244)</f>
        <v/>
      </c>
      <c r="AD1243" t="str">
        <f>IF(AA1243="","",IFERROR(1*'Procyclean 130'!C244,IFERROR(_xludf.NUMBERVALUE('Procyclean 130'!C244,".",","),IFERROR(_xludf.NUMBERVALUE('Procyclean 130'!C244,",","."),0))))</f>
        <v/>
      </c>
      <c r="AE1243" t="str">
        <f>IF(AA1243="","",'Procyclean 130'!J244)</f>
        <v/>
      </c>
      <c r="AF1243">
        <f t="shared" si="131"/>
        <v>0</v>
      </c>
      <c r="AG1243" t="str">
        <f t="shared" si="132"/>
        <v/>
      </c>
      <c r="AH1243" t="str">
        <f t="shared" si="133"/>
        <v/>
      </c>
      <c r="AI1243">
        <f t="shared" si="134"/>
        <v>0</v>
      </c>
      <c r="AJ1243">
        <f t="shared" si="135"/>
        <v>0</v>
      </c>
      <c r="AK1243">
        <v>0</v>
      </c>
      <c r="AL1243" t="str">
        <f>IF(AA1243="","",IFERROR(IF(ISNUMBER('Procyclean 130'!D244),'Procyclean 130'!D244,IF(ISNUMBER(SEARCH("12",'Procyclean 130'!D244)),EDATE(AB1243,12),IF(ISNUMBER(SEARCH("6",'Procyclean 130'!D244)),EDATE(AB1243,6),IF(ISNUMBER(SEARCH("3",'Procyclean 130'!D244)),EDATE(AB1243,3),DATEVALUE('Procyclean 130'!D244))))),""))</f>
        <v/>
      </c>
      <c r="AM1243" t="str">
        <f t="shared" ca="1" si="136"/>
        <v/>
      </c>
    </row>
    <row r="1244" spans="27:39" x14ac:dyDescent="0.3">
      <c r="AA1244" t="str">
        <f>IF(COUNTA('Procyclean 130'!A245,'Procyclean 130'!B245,'Procyclean 130'!C245)&gt;0,"130","")</f>
        <v/>
      </c>
      <c r="AB1244" t="str">
        <f>IFERROR(IF(ISNUMBER('Procyclean 130'!A245),'Procyclean 130'!A245,DATEVALUE('Procyclean 130'!A245)),"")</f>
        <v/>
      </c>
      <c r="AC1244" t="str">
        <f>IF(AA1244="","",'Procyclean 130'!B245)</f>
        <v/>
      </c>
      <c r="AD1244" t="str">
        <f>IF(AA1244="","",IFERROR(1*'Procyclean 130'!C245,IFERROR(_xludf.NUMBERVALUE('Procyclean 130'!C245,".",","),IFERROR(_xludf.NUMBERVALUE('Procyclean 130'!C245,",","."),0))))</f>
        <v/>
      </c>
      <c r="AE1244" t="str">
        <f>IF(AA1244="","",'Procyclean 130'!J245)</f>
        <v/>
      </c>
      <c r="AF1244">
        <f t="shared" si="131"/>
        <v>0</v>
      </c>
      <c r="AG1244" t="str">
        <f t="shared" si="132"/>
        <v/>
      </c>
      <c r="AH1244" t="str">
        <f t="shared" si="133"/>
        <v/>
      </c>
      <c r="AI1244">
        <f t="shared" si="134"/>
        <v>0</v>
      </c>
      <c r="AJ1244">
        <f t="shared" si="135"/>
        <v>0</v>
      </c>
      <c r="AK1244">
        <v>0</v>
      </c>
      <c r="AL1244" t="str">
        <f>IF(AA1244="","",IFERROR(IF(ISNUMBER('Procyclean 130'!D245),'Procyclean 130'!D245,IF(ISNUMBER(SEARCH("12",'Procyclean 130'!D245)),EDATE(AB1244,12),IF(ISNUMBER(SEARCH("6",'Procyclean 130'!D245)),EDATE(AB1244,6),IF(ISNUMBER(SEARCH("3",'Procyclean 130'!D245)),EDATE(AB1244,3),DATEVALUE('Procyclean 130'!D245))))),""))</f>
        <v/>
      </c>
      <c r="AM1244" t="str">
        <f t="shared" ca="1" si="136"/>
        <v/>
      </c>
    </row>
    <row r="1245" spans="27:39" x14ac:dyDescent="0.3">
      <c r="AA1245" t="str">
        <f>IF(COUNTA('Procyclean 130'!A246,'Procyclean 130'!B246,'Procyclean 130'!C246)&gt;0,"130","")</f>
        <v/>
      </c>
      <c r="AB1245" t="str">
        <f>IFERROR(IF(ISNUMBER('Procyclean 130'!A246),'Procyclean 130'!A246,DATEVALUE('Procyclean 130'!A246)),"")</f>
        <v/>
      </c>
      <c r="AC1245" t="str">
        <f>IF(AA1245="","",'Procyclean 130'!B246)</f>
        <v/>
      </c>
      <c r="AD1245" t="str">
        <f>IF(AA1245="","",IFERROR(1*'Procyclean 130'!C246,IFERROR(_xludf.NUMBERVALUE('Procyclean 130'!C246,".",","),IFERROR(_xludf.NUMBERVALUE('Procyclean 130'!C246,",","."),0))))</f>
        <v/>
      </c>
      <c r="AE1245" t="str">
        <f>IF(AA1245="","",'Procyclean 130'!J246)</f>
        <v/>
      </c>
      <c r="AF1245">
        <f t="shared" si="131"/>
        <v>0</v>
      </c>
      <c r="AG1245" t="str">
        <f t="shared" si="132"/>
        <v/>
      </c>
      <c r="AH1245" t="str">
        <f t="shared" si="133"/>
        <v/>
      </c>
      <c r="AI1245">
        <f t="shared" si="134"/>
        <v>0</v>
      </c>
      <c r="AJ1245">
        <f t="shared" si="135"/>
        <v>0</v>
      </c>
      <c r="AK1245">
        <v>0</v>
      </c>
      <c r="AL1245" t="str">
        <f>IF(AA1245="","",IFERROR(IF(ISNUMBER('Procyclean 130'!D246),'Procyclean 130'!D246,IF(ISNUMBER(SEARCH("12",'Procyclean 130'!D246)),EDATE(AB1245,12),IF(ISNUMBER(SEARCH("6",'Procyclean 130'!D246)),EDATE(AB1245,6),IF(ISNUMBER(SEARCH("3",'Procyclean 130'!D246)),EDATE(AB1245,3),DATEVALUE('Procyclean 130'!D246))))),""))</f>
        <v/>
      </c>
      <c r="AM1245" t="str">
        <f t="shared" ca="1" si="136"/>
        <v/>
      </c>
    </row>
    <row r="1246" spans="27:39" x14ac:dyDescent="0.3">
      <c r="AA1246" t="str">
        <f>IF(COUNTA('Procyclean 130'!A247,'Procyclean 130'!B247,'Procyclean 130'!C247)&gt;0,"130","")</f>
        <v/>
      </c>
      <c r="AB1246" t="str">
        <f>IFERROR(IF(ISNUMBER('Procyclean 130'!A247),'Procyclean 130'!A247,DATEVALUE('Procyclean 130'!A247)),"")</f>
        <v/>
      </c>
      <c r="AC1246" t="str">
        <f>IF(AA1246="","",'Procyclean 130'!B247)</f>
        <v/>
      </c>
      <c r="AD1246" t="str">
        <f>IF(AA1246="","",IFERROR(1*'Procyclean 130'!C247,IFERROR(_xludf.NUMBERVALUE('Procyclean 130'!C247,".",","),IFERROR(_xludf.NUMBERVALUE('Procyclean 130'!C247,",","."),0))))</f>
        <v/>
      </c>
      <c r="AE1246" t="str">
        <f>IF(AA1246="","",'Procyclean 130'!J247)</f>
        <v/>
      </c>
      <c r="AF1246">
        <f t="shared" si="131"/>
        <v>0</v>
      </c>
      <c r="AG1246" t="str">
        <f t="shared" si="132"/>
        <v/>
      </c>
      <c r="AH1246" t="str">
        <f t="shared" si="133"/>
        <v/>
      </c>
      <c r="AI1246">
        <f t="shared" si="134"/>
        <v>0</v>
      </c>
      <c r="AJ1246">
        <f t="shared" si="135"/>
        <v>0</v>
      </c>
      <c r="AK1246">
        <v>0</v>
      </c>
      <c r="AL1246" t="str">
        <f>IF(AA1246="","",IFERROR(IF(ISNUMBER('Procyclean 130'!D247),'Procyclean 130'!D247,IF(ISNUMBER(SEARCH("12",'Procyclean 130'!D247)),EDATE(AB1246,12),IF(ISNUMBER(SEARCH("6",'Procyclean 130'!D247)),EDATE(AB1246,6),IF(ISNUMBER(SEARCH("3",'Procyclean 130'!D247)),EDATE(AB1246,3),DATEVALUE('Procyclean 130'!D247))))),""))</f>
        <v/>
      </c>
      <c r="AM1246" t="str">
        <f t="shared" ca="1" si="136"/>
        <v/>
      </c>
    </row>
    <row r="1247" spans="27:39" x14ac:dyDescent="0.3">
      <c r="AA1247" t="str">
        <f>IF(COUNTA('Procyclean 130'!A248,'Procyclean 130'!B248,'Procyclean 130'!C248)&gt;0,"130","")</f>
        <v/>
      </c>
      <c r="AB1247" t="str">
        <f>IFERROR(IF(ISNUMBER('Procyclean 130'!A248),'Procyclean 130'!A248,DATEVALUE('Procyclean 130'!A248)),"")</f>
        <v/>
      </c>
      <c r="AC1247" t="str">
        <f>IF(AA1247="","",'Procyclean 130'!B248)</f>
        <v/>
      </c>
      <c r="AD1247" t="str">
        <f>IF(AA1247="","",IFERROR(1*'Procyclean 130'!C248,IFERROR(_xludf.NUMBERVALUE('Procyclean 130'!C248,".",","),IFERROR(_xludf.NUMBERVALUE('Procyclean 130'!C248,",","."),0))))</f>
        <v/>
      </c>
      <c r="AE1247" t="str">
        <f>IF(AA1247="","",'Procyclean 130'!J248)</f>
        <v/>
      </c>
      <c r="AF1247">
        <f t="shared" si="131"/>
        <v>0</v>
      </c>
      <c r="AG1247" t="str">
        <f t="shared" si="132"/>
        <v/>
      </c>
      <c r="AH1247" t="str">
        <f t="shared" si="133"/>
        <v/>
      </c>
      <c r="AI1247">
        <f t="shared" si="134"/>
        <v>0</v>
      </c>
      <c r="AJ1247">
        <f t="shared" si="135"/>
        <v>0</v>
      </c>
      <c r="AK1247">
        <v>0</v>
      </c>
      <c r="AL1247" t="str">
        <f>IF(AA1247="","",IFERROR(IF(ISNUMBER('Procyclean 130'!D248),'Procyclean 130'!D248,IF(ISNUMBER(SEARCH("12",'Procyclean 130'!D248)),EDATE(AB1247,12),IF(ISNUMBER(SEARCH("6",'Procyclean 130'!D248)),EDATE(AB1247,6),IF(ISNUMBER(SEARCH("3",'Procyclean 130'!D248)),EDATE(AB1247,3),DATEVALUE('Procyclean 130'!D248))))),""))</f>
        <v/>
      </c>
      <c r="AM1247" t="str">
        <f t="shared" ca="1" si="136"/>
        <v/>
      </c>
    </row>
    <row r="1248" spans="27:39" x14ac:dyDescent="0.3">
      <c r="AA1248" t="str">
        <f>IF(COUNTA('Procyclean 130'!A249,'Procyclean 130'!B249,'Procyclean 130'!C249)&gt;0,"130","")</f>
        <v/>
      </c>
      <c r="AB1248" t="str">
        <f>IFERROR(IF(ISNUMBER('Procyclean 130'!A249),'Procyclean 130'!A249,DATEVALUE('Procyclean 130'!A249)),"")</f>
        <v/>
      </c>
      <c r="AC1248" t="str">
        <f>IF(AA1248="","",'Procyclean 130'!B249)</f>
        <v/>
      </c>
      <c r="AD1248" t="str">
        <f>IF(AA1248="","",IFERROR(1*'Procyclean 130'!C249,IFERROR(_xludf.NUMBERVALUE('Procyclean 130'!C249,".",","),IFERROR(_xludf.NUMBERVALUE('Procyclean 130'!C249,",","."),0))))</f>
        <v/>
      </c>
      <c r="AE1248" t="str">
        <f>IF(AA1248="","",'Procyclean 130'!J249)</f>
        <v/>
      </c>
      <c r="AF1248">
        <f t="shared" si="131"/>
        <v>0</v>
      </c>
      <c r="AG1248" t="str">
        <f t="shared" si="132"/>
        <v/>
      </c>
      <c r="AH1248" t="str">
        <f t="shared" si="133"/>
        <v/>
      </c>
      <c r="AI1248">
        <f t="shared" si="134"/>
        <v>0</v>
      </c>
      <c r="AJ1248">
        <f t="shared" si="135"/>
        <v>0</v>
      </c>
      <c r="AK1248">
        <v>0</v>
      </c>
      <c r="AL1248" t="str">
        <f>IF(AA1248="","",IFERROR(IF(ISNUMBER('Procyclean 130'!D249),'Procyclean 130'!D249,IF(ISNUMBER(SEARCH("12",'Procyclean 130'!D249)),EDATE(AB1248,12),IF(ISNUMBER(SEARCH("6",'Procyclean 130'!D249)),EDATE(AB1248,6),IF(ISNUMBER(SEARCH("3",'Procyclean 130'!D249)),EDATE(AB1248,3),DATEVALUE('Procyclean 130'!D249))))),""))</f>
        <v/>
      </c>
      <c r="AM1248" t="str">
        <f t="shared" ca="1" si="136"/>
        <v/>
      </c>
    </row>
    <row r="1249" spans="27:39" x14ac:dyDescent="0.3">
      <c r="AA1249" t="str">
        <f>IF(COUNTA('Procyclean 130'!A250,'Procyclean 130'!B250,'Procyclean 130'!C250)&gt;0,"130","")</f>
        <v/>
      </c>
      <c r="AB1249" t="str">
        <f>IFERROR(IF(ISNUMBER('Procyclean 130'!A250),'Procyclean 130'!A250,DATEVALUE('Procyclean 130'!A250)),"")</f>
        <v/>
      </c>
      <c r="AC1249" t="str">
        <f>IF(AA1249="","",'Procyclean 130'!B250)</f>
        <v/>
      </c>
      <c r="AD1249" t="str">
        <f>IF(AA1249="","",IFERROR(1*'Procyclean 130'!C250,IFERROR(_xludf.NUMBERVALUE('Procyclean 130'!C250,".",","),IFERROR(_xludf.NUMBERVALUE('Procyclean 130'!C250,",","."),0))))</f>
        <v/>
      </c>
      <c r="AE1249" t="str">
        <f>IF(AA1249="","",'Procyclean 130'!J250)</f>
        <v/>
      </c>
      <c r="AF1249">
        <f t="shared" si="131"/>
        <v>0</v>
      </c>
      <c r="AG1249" t="str">
        <f t="shared" si="132"/>
        <v/>
      </c>
      <c r="AH1249" t="str">
        <f t="shared" si="133"/>
        <v/>
      </c>
      <c r="AI1249">
        <f t="shared" si="134"/>
        <v>0</v>
      </c>
      <c r="AJ1249">
        <f t="shared" si="135"/>
        <v>0</v>
      </c>
      <c r="AK1249">
        <v>0</v>
      </c>
      <c r="AL1249" t="str">
        <f>IF(AA1249="","",IFERROR(IF(ISNUMBER('Procyclean 130'!D250),'Procyclean 130'!D250,IF(ISNUMBER(SEARCH("12",'Procyclean 130'!D250)),EDATE(AB1249,12),IF(ISNUMBER(SEARCH("6",'Procyclean 130'!D250)),EDATE(AB1249,6),IF(ISNUMBER(SEARCH("3",'Procyclean 130'!D250)),EDATE(AB1249,3),DATEVALUE('Procyclean 130'!D250))))),""))</f>
        <v/>
      </c>
      <c r="AM1249" t="str">
        <f t="shared" ca="1" si="136"/>
        <v/>
      </c>
    </row>
    <row r="1250" spans="27:39" x14ac:dyDescent="0.3">
      <c r="AA1250" t="str">
        <f>IF(COUNTA('Procyclean 130'!A251,'Procyclean 130'!B251,'Procyclean 130'!C251)&gt;0,"130","")</f>
        <v/>
      </c>
      <c r="AB1250" t="str">
        <f>IFERROR(IF(ISNUMBER('Procyclean 130'!A251),'Procyclean 130'!A251,DATEVALUE('Procyclean 130'!A251)),"")</f>
        <v/>
      </c>
      <c r="AC1250" t="str">
        <f>IF(AA1250="","",'Procyclean 130'!B251)</f>
        <v/>
      </c>
      <c r="AD1250" t="str">
        <f>IF(AA1250="","",IFERROR(1*'Procyclean 130'!C251,IFERROR(_xludf.NUMBERVALUE('Procyclean 130'!C251,".",","),IFERROR(_xludf.NUMBERVALUE('Procyclean 130'!C251,",","."),0))))</f>
        <v/>
      </c>
      <c r="AE1250" t="str">
        <f>IF(AA1250="","",'Procyclean 130'!J251)</f>
        <v/>
      </c>
      <c r="AF1250">
        <f t="shared" si="131"/>
        <v>0</v>
      </c>
      <c r="AG1250" t="str">
        <f t="shared" si="132"/>
        <v/>
      </c>
      <c r="AH1250" t="str">
        <f t="shared" si="133"/>
        <v/>
      </c>
      <c r="AI1250">
        <f t="shared" si="134"/>
        <v>0</v>
      </c>
      <c r="AJ1250">
        <f t="shared" si="135"/>
        <v>0</v>
      </c>
      <c r="AK1250">
        <v>0</v>
      </c>
      <c r="AL1250" t="str">
        <f>IF(AA1250="","",IFERROR(IF(ISNUMBER('Procyclean 130'!D251),'Procyclean 130'!D251,IF(ISNUMBER(SEARCH("12",'Procyclean 130'!D251)),EDATE(AB1250,12),IF(ISNUMBER(SEARCH("6",'Procyclean 130'!D251)),EDATE(AB1250,6),IF(ISNUMBER(SEARCH("3",'Procyclean 130'!D251)),EDATE(AB1250,3),DATEVALUE('Procyclean 130'!D251))))),""))</f>
        <v/>
      </c>
      <c r="AM1250" t="str">
        <f t="shared" ca="1" si="136"/>
        <v/>
      </c>
    </row>
    <row r="1251" spans="27:39" x14ac:dyDescent="0.3">
      <c r="AA1251" t="str">
        <f>IF(COUNTA('Procyclean 130'!A252,'Procyclean 130'!B252,'Procyclean 130'!C252)&gt;0,"130","")</f>
        <v/>
      </c>
      <c r="AB1251" t="str">
        <f>IFERROR(IF(ISNUMBER('Procyclean 130'!A252),'Procyclean 130'!A252,DATEVALUE('Procyclean 130'!A252)),"")</f>
        <v/>
      </c>
      <c r="AC1251" t="str">
        <f>IF(AA1251="","",'Procyclean 130'!B252)</f>
        <v/>
      </c>
      <c r="AD1251" t="str">
        <f>IF(AA1251="","",IFERROR(1*'Procyclean 130'!C252,IFERROR(_xludf.NUMBERVALUE('Procyclean 130'!C252,".",","),IFERROR(_xludf.NUMBERVALUE('Procyclean 130'!C252,",","."),0))))</f>
        <v/>
      </c>
      <c r="AE1251" t="str">
        <f>IF(AA1251="","",'Procyclean 130'!J252)</f>
        <v/>
      </c>
      <c r="AF1251">
        <f t="shared" si="131"/>
        <v>0</v>
      </c>
      <c r="AG1251" t="str">
        <f t="shared" si="132"/>
        <v/>
      </c>
      <c r="AH1251" t="str">
        <f t="shared" si="133"/>
        <v/>
      </c>
      <c r="AI1251">
        <f t="shared" si="134"/>
        <v>0</v>
      </c>
      <c r="AJ1251">
        <f t="shared" si="135"/>
        <v>0</v>
      </c>
      <c r="AK1251">
        <v>0</v>
      </c>
      <c r="AL1251" t="str">
        <f>IF(AA1251="","",IFERROR(IF(ISNUMBER('Procyclean 130'!D252),'Procyclean 130'!D252,IF(ISNUMBER(SEARCH("12",'Procyclean 130'!D252)),EDATE(AB1251,12),IF(ISNUMBER(SEARCH("6",'Procyclean 130'!D252)),EDATE(AB1251,6),IF(ISNUMBER(SEARCH("3",'Procyclean 130'!D252)),EDATE(AB1251,3),DATEVALUE('Procyclean 130'!D252))))),""))</f>
        <v/>
      </c>
      <c r="AM1251" t="str">
        <f t="shared" ca="1" si="136"/>
        <v/>
      </c>
    </row>
    <row r="1252" spans="27:39" x14ac:dyDescent="0.3">
      <c r="AA1252" t="str">
        <f>IF(COUNTA('Procyclean 130'!A253,'Procyclean 130'!B253,'Procyclean 130'!C253)&gt;0,"130","")</f>
        <v/>
      </c>
      <c r="AB1252" t="str">
        <f>IFERROR(IF(ISNUMBER('Procyclean 130'!A253),'Procyclean 130'!A253,DATEVALUE('Procyclean 130'!A253)),"")</f>
        <v/>
      </c>
      <c r="AC1252" t="str">
        <f>IF(AA1252="","",'Procyclean 130'!B253)</f>
        <v/>
      </c>
      <c r="AD1252" t="str">
        <f>IF(AA1252="","",IFERROR(1*'Procyclean 130'!C253,IFERROR(_xludf.NUMBERVALUE('Procyclean 130'!C253,".",","),IFERROR(_xludf.NUMBERVALUE('Procyclean 130'!C253,",","."),0))))</f>
        <v/>
      </c>
      <c r="AE1252" t="str">
        <f>IF(AA1252="","",'Procyclean 130'!J253)</f>
        <v/>
      </c>
      <c r="AF1252">
        <f t="shared" si="131"/>
        <v>0</v>
      </c>
      <c r="AG1252" t="str">
        <f t="shared" si="132"/>
        <v/>
      </c>
      <c r="AH1252" t="str">
        <f t="shared" si="133"/>
        <v/>
      </c>
      <c r="AI1252">
        <f t="shared" si="134"/>
        <v>0</v>
      </c>
      <c r="AJ1252">
        <f t="shared" si="135"/>
        <v>0</v>
      </c>
      <c r="AK1252">
        <v>0</v>
      </c>
      <c r="AL1252" t="str">
        <f>IF(AA1252="","",IFERROR(IF(ISNUMBER('Procyclean 130'!D253),'Procyclean 130'!D253,IF(ISNUMBER(SEARCH("12",'Procyclean 130'!D253)),EDATE(AB1252,12),IF(ISNUMBER(SEARCH("6",'Procyclean 130'!D253)),EDATE(AB1252,6),IF(ISNUMBER(SEARCH("3",'Procyclean 130'!D253)),EDATE(AB1252,3),DATEVALUE('Procyclean 130'!D253))))),""))</f>
        <v/>
      </c>
      <c r="AM1252" t="str">
        <f t="shared" ca="1" si="136"/>
        <v/>
      </c>
    </row>
    <row r="1253" spans="27:39" x14ac:dyDescent="0.3">
      <c r="AA1253" t="str">
        <f>IF(COUNTA('Procyclean 130'!A254,'Procyclean 130'!B254,'Procyclean 130'!C254)&gt;0,"130","")</f>
        <v/>
      </c>
      <c r="AB1253" t="str">
        <f>IFERROR(IF(ISNUMBER('Procyclean 130'!A254),'Procyclean 130'!A254,DATEVALUE('Procyclean 130'!A254)),"")</f>
        <v/>
      </c>
      <c r="AC1253" t="str">
        <f>IF(AA1253="","",'Procyclean 130'!B254)</f>
        <v/>
      </c>
      <c r="AD1253" t="str">
        <f>IF(AA1253="","",IFERROR(1*'Procyclean 130'!C254,IFERROR(_xludf.NUMBERVALUE('Procyclean 130'!C254,".",","),IFERROR(_xludf.NUMBERVALUE('Procyclean 130'!C254,",","."),0))))</f>
        <v/>
      </c>
      <c r="AE1253" t="str">
        <f>IF(AA1253="","",'Procyclean 130'!J254)</f>
        <v/>
      </c>
      <c r="AF1253">
        <f t="shared" si="131"/>
        <v>0</v>
      </c>
      <c r="AG1253" t="str">
        <f t="shared" si="132"/>
        <v/>
      </c>
      <c r="AH1253" t="str">
        <f t="shared" si="133"/>
        <v/>
      </c>
      <c r="AI1253">
        <f t="shared" si="134"/>
        <v>0</v>
      </c>
      <c r="AJ1253">
        <f t="shared" si="135"/>
        <v>0</v>
      </c>
      <c r="AK1253">
        <v>0</v>
      </c>
      <c r="AL1253" t="str">
        <f>IF(AA1253="","",IFERROR(IF(ISNUMBER('Procyclean 130'!D254),'Procyclean 130'!D254,IF(ISNUMBER(SEARCH("12",'Procyclean 130'!D254)),EDATE(AB1253,12),IF(ISNUMBER(SEARCH("6",'Procyclean 130'!D254)),EDATE(AB1253,6),IF(ISNUMBER(SEARCH("3",'Procyclean 130'!D254)),EDATE(AB1253,3),DATEVALUE('Procyclean 130'!D254))))),""))</f>
        <v/>
      </c>
      <c r="AM1253" t="str">
        <f t="shared" ca="1" si="136"/>
        <v/>
      </c>
    </row>
    <row r="1254" spans="27:39" x14ac:dyDescent="0.3">
      <c r="AA1254" t="str">
        <f>IF(COUNTA('Procyclean 130'!A255,'Procyclean 130'!B255,'Procyclean 130'!C255)&gt;0,"130","")</f>
        <v/>
      </c>
      <c r="AB1254" t="str">
        <f>IFERROR(IF(ISNUMBER('Procyclean 130'!A255),'Procyclean 130'!A255,DATEVALUE('Procyclean 130'!A255)),"")</f>
        <v/>
      </c>
      <c r="AC1254" t="str">
        <f>IF(AA1254="","",'Procyclean 130'!B255)</f>
        <v/>
      </c>
      <c r="AD1254" t="str">
        <f>IF(AA1254="","",IFERROR(1*'Procyclean 130'!C255,IFERROR(_xludf.NUMBERVALUE('Procyclean 130'!C255,".",","),IFERROR(_xludf.NUMBERVALUE('Procyclean 130'!C255,",","."),0))))</f>
        <v/>
      </c>
      <c r="AE1254" t="str">
        <f>IF(AA1254="","",'Procyclean 130'!J255)</f>
        <v/>
      </c>
      <c r="AF1254">
        <f t="shared" si="131"/>
        <v>0</v>
      </c>
      <c r="AG1254" t="str">
        <f t="shared" si="132"/>
        <v/>
      </c>
      <c r="AH1254" t="str">
        <f t="shared" si="133"/>
        <v/>
      </c>
      <c r="AI1254">
        <f t="shared" si="134"/>
        <v>0</v>
      </c>
      <c r="AJ1254">
        <f t="shared" si="135"/>
        <v>0</v>
      </c>
      <c r="AK1254">
        <v>0</v>
      </c>
      <c r="AL1254" t="str">
        <f>IF(AA1254="","",IFERROR(IF(ISNUMBER('Procyclean 130'!D255),'Procyclean 130'!D255,IF(ISNUMBER(SEARCH("12",'Procyclean 130'!D255)),EDATE(AB1254,12),IF(ISNUMBER(SEARCH("6",'Procyclean 130'!D255)),EDATE(AB1254,6),IF(ISNUMBER(SEARCH("3",'Procyclean 130'!D255)),EDATE(AB1254,3),DATEVALUE('Procyclean 130'!D255))))),""))</f>
        <v/>
      </c>
      <c r="AM1254" t="str">
        <f t="shared" ca="1" si="136"/>
        <v/>
      </c>
    </row>
    <row r="1255" spans="27:39" x14ac:dyDescent="0.3">
      <c r="AA1255" t="str">
        <f>IF(COUNTA('Procyclean 130'!A256,'Procyclean 130'!B256,'Procyclean 130'!C256)&gt;0,"130","")</f>
        <v/>
      </c>
      <c r="AB1255" t="str">
        <f>IFERROR(IF(ISNUMBER('Procyclean 130'!A256),'Procyclean 130'!A256,DATEVALUE('Procyclean 130'!A256)),"")</f>
        <v/>
      </c>
      <c r="AC1255" t="str">
        <f>IF(AA1255="","",'Procyclean 130'!B256)</f>
        <v/>
      </c>
      <c r="AD1255" t="str">
        <f>IF(AA1255="","",IFERROR(1*'Procyclean 130'!C256,IFERROR(_xludf.NUMBERVALUE('Procyclean 130'!C256,".",","),IFERROR(_xludf.NUMBERVALUE('Procyclean 130'!C256,",","."),0))))</f>
        <v/>
      </c>
      <c r="AE1255" t="str">
        <f>IF(AA1255="","",'Procyclean 130'!J256)</f>
        <v/>
      </c>
      <c r="AF1255">
        <f t="shared" si="131"/>
        <v>0</v>
      </c>
      <c r="AG1255" t="str">
        <f t="shared" si="132"/>
        <v/>
      </c>
      <c r="AH1255" t="str">
        <f t="shared" si="133"/>
        <v/>
      </c>
      <c r="AI1255">
        <f t="shared" si="134"/>
        <v>0</v>
      </c>
      <c r="AJ1255">
        <f t="shared" si="135"/>
        <v>0</v>
      </c>
      <c r="AK1255">
        <v>0</v>
      </c>
      <c r="AL1255" t="str">
        <f>IF(AA1255="","",IFERROR(IF(ISNUMBER('Procyclean 130'!D256),'Procyclean 130'!D256,IF(ISNUMBER(SEARCH("12",'Procyclean 130'!D256)),EDATE(AB1255,12),IF(ISNUMBER(SEARCH("6",'Procyclean 130'!D256)),EDATE(AB1255,6),IF(ISNUMBER(SEARCH("3",'Procyclean 130'!D256)),EDATE(AB1255,3),DATEVALUE('Procyclean 130'!D256))))),""))</f>
        <v/>
      </c>
      <c r="AM1255" t="str">
        <f t="shared" ca="1" si="136"/>
        <v/>
      </c>
    </row>
    <row r="1256" spans="27:39" x14ac:dyDescent="0.3">
      <c r="AA1256" t="str">
        <f>IF(COUNTA('Procyclean 130'!A257,'Procyclean 130'!B257,'Procyclean 130'!C257)&gt;0,"130","")</f>
        <v/>
      </c>
      <c r="AB1256" t="str">
        <f>IFERROR(IF(ISNUMBER('Procyclean 130'!A257),'Procyclean 130'!A257,DATEVALUE('Procyclean 130'!A257)),"")</f>
        <v/>
      </c>
      <c r="AC1256" t="str">
        <f>IF(AA1256="","",'Procyclean 130'!B257)</f>
        <v/>
      </c>
      <c r="AD1256" t="str">
        <f>IF(AA1256="","",IFERROR(1*'Procyclean 130'!C257,IFERROR(_xludf.NUMBERVALUE('Procyclean 130'!C257,".",","),IFERROR(_xludf.NUMBERVALUE('Procyclean 130'!C257,",","."),0))))</f>
        <v/>
      </c>
      <c r="AE1256" t="str">
        <f>IF(AA1256="","",'Procyclean 130'!J257)</f>
        <v/>
      </c>
      <c r="AF1256">
        <f t="shared" si="131"/>
        <v>0</v>
      </c>
      <c r="AG1256" t="str">
        <f t="shared" si="132"/>
        <v/>
      </c>
      <c r="AH1256" t="str">
        <f t="shared" si="133"/>
        <v/>
      </c>
      <c r="AI1256">
        <f t="shared" si="134"/>
        <v>0</v>
      </c>
      <c r="AJ1256">
        <f t="shared" si="135"/>
        <v>0</v>
      </c>
      <c r="AK1256">
        <v>0</v>
      </c>
      <c r="AL1256" t="str">
        <f>IF(AA1256="","",IFERROR(IF(ISNUMBER('Procyclean 130'!D257),'Procyclean 130'!D257,IF(ISNUMBER(SEARCH("12",'Procyclean 130'!D257)),EDATE(AB1256,12),IF(ISNUMBER(SEARCH("6",'Procyclean 130'!D257)),EDATE(AB1256,6),IF(ISNUMBER(SEARCH("3",'Procyclean 130'!D257)),EDATE(AB1256,3),DATEVALUE('Procyclean 130'!D257))))),""))</f>
        <v/>
      </c>
      <c r="AM1256" t="str">
        <f t="shared" ca="1" si="136"/>
        <v/>
      </c>
    </row>
    <row r="1257" spans="27:39" x14ac:dyDescent="0.3">
      <c r="AA1257" t="str">
        <f>IF(COUNTA('Procyclean 130'!A258,'Procyclean 130'!B258,'Procyclean 130'!C258)&gt;0,"130","")</f>
        <v/>
      </c>
      <c r="AB1257" t="str">
        <f>IFERROR(IF(ISNUMBER('Procyclean 130'!A258),'Procyclean 130'!A258,DATEVALUE('Procyclean 130'!A258)),"")</f>
        <v/>
      </c>
      <c r="AC1257" t="str">
        <f>IF(AA1257="","",'Procyclean 130'!B258)</f>
        <v/>
      </c>
      <c r="AD1257" t="str">
        <f>IF(AA1257="","",IFERROR(1*'Procyclean 130'!C258,IFERROR(_xludf.NUMBERVALUE('Procyclean 130'!C258,".",","),IFERROR(_xludf.NUMBERVALUE('Procyclean 130'!C258,",","."),0))))</f>
        <v/>
      </c>
      <c r="AE1257" t="str">
        <f>IF(AA1257="","",'Procyclean 130'!J258)</f>
        <v/>
      </c>
      <c r="AF1257">
        <f t="shared" si="131"/>
        <v>0</v>
      </c>
      <c r="AG1257" t="str">
        <f t="shared" si="132"/>
        <v/>
      </c>
      <c r="AH1257" t="str">
        <f t="shared" si="133"/>
        <v/>
      </c>
      <c r="AI1257">
        <f t="shared" si="134"/>
        <v>0</v>
      </c>
      <c r="AJ1257">
        <f t="shared" si="135"/>
        <v>0</v>
      </c>
      <c r="AK1257">
        <v>0</v>
      </c>
      <c r="AL1257" t="str">
        <f>IF(AA1257="","",IFERROR(IF(ISNUMBER('Procyclean 130'!D258),'Procyclean 130'!D258,IF(ISNUMBER(SEARCH("12",'Procyclean 130'!D258)),EDATE(AB1257,12),IF(ISNUMBER(SEARCH("6",'Procyclean 130'!D258)),EDATE(AB1257,6),IF(ISNUMBER(SEARCH("3",'Procyclean 130'!D258)),EDATE(AB1257,3),DATEVALUE('Procyclean 130'!D258))))),""))</f>
        <v/>
      </c>
      <c r="AM1257" t="str">
        <f t="shared" ca="1" si="136"/>
        <v/>
      </c>
    </row>
    <row r="1258" spans="27:39" x14ac:dyDescent="0.3">
      <c r="AA1258" t="str">
        <f>IF(COUNTA('Procyclean 130'!A259,'Procyclean 130'!B259,'Procyclean 130'!C259)&gt;0,"130","")</f>
        <v/>
      </c>
      <c r="AB1258" t="str">
        <f>IFERROR(IF(ISNUMBER('Procyclean 130'!A259),'Procyclean 130'!A259,DATEVALUE('Procyclean 130'!A259)),"")</f>
        <v/>
      </c>
      <c r="AC1258" t="str">
        <f>IF(AA1258="","",'Procyclean 130'!B259)</f>
        <v/>
      </c>
      <c r="AD1258" t="str">
        <f>IF(AA1258="","",IFERROR(1*'Procyclean 130'!C259,IFERROR(_xludf.NUMBERVALUE('Procyclean 130'!C259,".",","),IFERROR(_xludf.NUMBERVALUE('Procyclean 130'!C259,",","."),0))))</f>
        <v/>
      </c>
      <c r="AE1258" t="str">
        <f>IF(AA1258="","",'Procyclean 130'!J259)</f>
        <v/>
      </c>
      <c r="AF1258">
        <f t="shared" si="131"/>
        <v>0</v>
      </c>
      <c r="AG1258" t="str">
        <f t="shared" si="132"/>
        <v/>
      </c>
      <c r="AH1258" t="str">
        <f t="shared" si="133"/>
        <v/>
      </c>
      <c r="AI1258">
        <f t="shared" si="134"/>
        <v>0</v>
      </c>
      <c r="AJ1258">
        <f t="shared" si="135"/>
        <v>0</v>
      </c>
      <c r="AK1258">
        <v>0</v>
      </c>
      <c r="AL1258" t="str">
        <f>IF(AA1258="","",IFERROR(IF(ISNUMBER('Procyclean 130'!D259),'Procyclean 130'!D259,IF(ISNUMBER(SEARCH("12",'Procyclean 130'!D259)),EDATE(AB1258,12),IF(ISNUMBER(SEARCH("6",'Procyclean 130'!D259)),EDATE(AB1258,6),IF(ISNUMBER(SEARCH("3",'Procyclean 130'!D259)),EDATE(AB1258,3),DATEVALUE('Procyclean 130'!D259))))),""))</f>
        <v/>
      </c>
      <c r="AM1258" t="str">
        <f t="shared" ca="1" si="136"/>
        <v/>
      </c>
    </row>
    <row r="1259" spans="27:39" x14ac:dyDescent="0.3">
      <c r="AA1259" t="str">
        <f>IF(COUNTA('Procyclean 130'!A260,'Procyclean 130'!B260,'Procyclean 130'!C260)&gt;0,"130","")</f>
        <v/>
      </c>
      <c r="AB1259" t="str">
        <f>IFERROR(IF(ISNUMBER('Procyclean 130'!A260),'Procyclean 130'!A260,DATEVALUE('Procyclean 130'!A260)),"")</f>
        <v/>
      </c>
      <c r="AC1259" t="str">
        <f>IF(AA1259="","",'Procyclean 130'!B260)</f>
        <v/>
      </c>
      <c r="AD1259" t="str">
        <f>IF(AA1259="","",IFERROR(1*'Procyclean 130'!C260,IFERROR(_xludf.NUMBERVALUE('Procyclean 130'!C260,".",","),IFERROR(_xludf.NUMBERVALUE('Procyclean 130'!C260,",","."),0))))</f>
        <v/>
      </c>
      <c r="AE1259" t="str">
        <f>IF(AA1259="","",'Procyclean 130'!J260)</f>
        <v/>
      </c>
      <c r="AF1259">
        <f t="shared" si="131"/>
        <v>0</v>
      </c>
      <c r="AG1259" t="str">
        <f t="shared" si="132"/>
        <v/>
      </c>
      <c r="AH1259" t="str">
        <f t="shared" si="133"/>
        <v/>
      </c>
      <c r="AI1259">
        <f t="shared" si="134"/>
        <v>0</v>
      </c>
      <c r="AJ1259">
        <f t="shared" si="135"/>
        <v>0</v>
      </c>
      <c r="AK1259">
        <v>0</v>
      </c>
      <c r="AL1259" t="str">
        <f>IF(AA1259="","",IFERROR(IF(ISNUMBER('Procyclean 130'!D260),'Procyclean 130'!D260,IF(ISNUMBER(SEARCH("12",'Procyclean 130'!D260)),EDATE(AB1259,12),IF(ISNUMBER(SEARCH("6",'Procyclean 130'!D260)),EDATE(AB1259,6),IF(ISNUMBER(SEARCH("3",'Procyclean 130'!D260)),EDATE(AB1259,3),DATEVALUE('Procyclean 130'!D260))))),""))</f>
        <v/>
      </c>
      <c r="AM1259" t="str">
        <f t="shared" ca="1" si="136"/>
        <v/>
      </c>
    </row>
    <row r="1260" spans="27:39" x14ac:dyDescent="0.3">
      <c r="AA1260" t="str">
        <f>IF(COUNTA('Procyclean 130'!A261,'Procyclean 130'!B261,'Procyclean 130'!C261)&gt;0,"130","")</f>
        <v/>
      </c>
      <c r="AB1260" t="str">
        <f>IFERROR(IF(ISNUMBER('Procyclean 130'!A261),'Procyclean 130'!A261,DATEVALUE('Procyclean 130'!A261)),"")</f>
        <v/>
      </c>
      <c r="AC1260" t="str">
        <f>IF(AA1260="","",'Procyclean 130'!B261)</f>
        <v/>
      </c>
      <c r="AD1260" t="str">
        <f>IF(AA1260="","",IFERROR(1*'Procyclean 130'!C261,IFERROR(_xludf.NUMBERVALUE('Procyclean 130'!C261,".",","),IFERROR(_xludf.NUMBERVALUE('Procyclean 130'!C261,",","."),0))))</f>
        <v/>
      </c>
      <c r="AE1260" t="str">
        <f>IF(AA1260="","",'Procyclean 130'!J261)</f>
        <v/>
      </c>
      <c r="AF1260">
        <f t="shared" si="131"/>
        <v>0</v>
      </c>
      <c r="AG1260" t="str">
        <f t="shared" si="132"/>
        <v/>
      </c>
      <c r="AH1260" t="str">
        <f t="shared" si="133"/>
        <v/>
      </c>
      <c r="AI1260">
        <f t="shared" si="134"/>
        <v>0</v>
      </c>
      <c r="AJ1260">
        <f t="shared" si="135"/>
        <v>0</v>
      </c>
      <c r="AK1260">
        <v>0</v>
      </c>
      <c r="AL1260" t="str">
        <f>IF(AA1260="","",IFERROR(IF(ISNUMBER('Procyclean 130'!D261),'Procyclean 130'!D261,IF(ISNUMBER(SEARCH("12",'Procyclean 130'!D261)),EDATE(AB1260,12),IF(ISNUMBER(SEARCH("6",'Procyclean 130'!D261)),EDATE(AB1260,6),IF(ISNUMBER(SEARCH("3",'Procyclean 130'!D261)),EDATE(AB1260,3),DATEVALUE('Procyclean 130'!D261))))),""))</f>
        <v/>
      </c>
      <c r="AM1260" t="str">
        <f t="shared" ca="1" si="136"/>
        <v/>
      </c>
    </row>
    <row r="1261" spans="27:39" x14ac:dyDescent="0.3">
      <c r="AA1261" t="str">
        <f>IF(COUNTA('Procyclean 130'!A262,'Procyclean 130'!B262,'Procyclean 130'!C262)&gt;0,"130","")</f>
        <v/>
      </c>
      <c r="AB1261" t="str">
        <f>IFERROR(IF(ISNUMBER('Procyclean 130'!A262),'Procyclean 130'!A262,DATEVALUE('Procyclean 130'!A262)),"")</f>
        <v/>
      </c>
      <c r="AC1261" t="str">
        <f>IF(AA1261="","",'Procyclean 130'!B262)</f>
        <v/>
      </c>
      <c r="AD1261" t="str">
        <f>IF(AA1261="","",IFERROR(1*'Procyclean 130'!C262,IFERROR(_xludf.NUMBERVALUE('Procyclean 130'!C262,".",","),IFERROR(_xludf.NUMBERVALUE('Procyclean 130'!C262,",","."),0))))</f>
        <v/>
      </c>
      <c r="AE1261" t="str">
        <f>IF(AA1261="","",'Procyclean 130'!J262)</f>
        <v/>
      </c>
      <c r="AF1261">
        <f t="shared" si="131"/>
        <v>0</v>
      </c>
      <c r="AG1261" t="str">
        <f t="shared" si="132"/>
        <v/>
      </c>
      <c r="AH1261" t="str">
        <f t="shared" si="133"/>
        <v/>
      </c>
      <c r="AI1261">
        <f t="shared" si="134"/>
        <v>0</v>
      </c>
      <c r="AJ1261">
        <f t="shared" si="135"/>
        <v>0</v>
      </c>
      <c r="AK1261">
        <v>0</v>
      </c>
      <c r="AL1261" t="str">
        <f>IF(AA1261="","",IFERROR(IF(ISNUMBER('Procyclean 130'!D262),'Procyclean 130'!D262,IF(ISNUMBER(SEARCH("12",'Procyclean 130'!D262)),EDATE(AB1261,12),IF(ISNUMBER(SEARCH("6",'Procyclean 130'!D262)),EDATE(AB1261,6),IF(ISNUMBER(SEARCH("3",'Procyclean 130'!D262)),EDATE(AB1261,3),DATEVALUE('Procyclean 130'!D262))))),""))</f>
        <v/>
      </c>
      <c r="AM1261" t="str">
        <f t="shared" ca="1" si="136"/>
        <v/>
      </c>
    </row>
    <row r="1262" spans="27:39" x14ac:dyDescent="0.3">
      <c r="AA1262" t="str">
        <f>IF(COUNTA('Procyclean 130'!A263,'Procyclean 130'!B263,'Procyclean 130'!C263)&gt;0,"130","")</f>
        <v/>
      </c>
      <c r="AB1262" t="str">
        <f>IFERROR(IF(ISNUMBER('Procyclean 130'!A263),'Procyclean 130'!A263,DATEVALUE('Procyclean 130'!A263)),"")</f>
        <v/>
      </c>
      <c r="AC1262" t="str">
        <f>IF(AA1262="","",'Procyclean 130'!B263)</f>
        <v/>
      </c>
      <c r="AD1262" t="str">
        <f>IF(AA1262="","",IFERROR(1*'Procyclean 130'!C263,IFERROR(_xludf.NUMBERVALUE('Procyclean 130'!C263,".",","),IFERROR(_xludf.NUMBERVALUE('Procyclean 130'!C263,",","."),0))))</f>
        <v/>
      </c>
      <c r="AE1262" t="str">
        <f>IF(AA1262="","",'Procyclean 130'!J263)</f>
        <v/>
      </c>
      <c r="AF1262">
        <f t="shared" si="131"/>
        <v>0</v>
      </c>
      <c r="AG1262" t="str">
        <f t="shared" si="132"/>
        <v/>
      </c>
      <c r="AH1262" t="str">
        <f t="shared" si="133"/>
        <v/>
      </c>
      <c r="AI1262">
        <f t="shared" si="134"/>
        <v>0</v>
      </c>
      <c r="AJ1262">
        <f t="shared" si="135"/>
        <v>0</v>
      </c>
      <c r="AK1262">
        <v>0</v>
      </c>
      <c r="AL1262" t="str">
        <f>IF(AA1262="","",IFERROR(IF(ISNUMBER('Procyclean 130'!D263),'Procyclean 130'!D263,IF(ISNUMBER(SEARCH("12",'Procyclean 130'!D263)),EDATE(AB1262,12),IF(ISNUMBER(SEARCH("6",'Procyclean 130'!D263)),EDATE(AB1262,6),IF(ISNUMBER(SEARCH("3",'Procyclean 130'!D263)),EDATE(AB1262,3),DATEVALUE('Procyclean 130'!D263))))),""))</f>
        <v/>
      </c>
      <c r="AM1262" t="str">
        <f t="shared" ca="1" si="136"/>
        <v/>
      </c>
    </row>
    <row r="1263" spans="27:39" x14ac:dyDescent="0.3">
      <c r="AA1263" t="str">
        <f>IF(COUNTA('Procyclean 130'!A264,'Procyclean 130'!B264,'Procyclean 130'!C264)&gt;0,"130","")</f>
        <v/>
      </c>
      <c r="AB1263" t="str">
        <f>IFERROR(IF(ISNUMBER('Procyclean 130'!A264),'Procyclean 130'!A264,DATEVALUE('Procyclean 130'!A264)),"")</f>
        <v/>
      </c>
      <c r="AC1263" t="str">
        <f>IF(AA1263="","",'Procyclean 130'!B264)</f>
        <v/>
      </c>
      <c r="AD1263" t="str">
        <f>IF(AA1263="","",IFERROR(1*'Procyclean 130'!C264,IFERROR(_xludf.NUMBERVALUE('Procyclean 130'!C264,".",","),IFERROR(_xludf.NUMBERVALUE('Procyclean 130'!C264,",","."),0))))</f>
        <v/>
      </c>
      <c r="AE1263" t="str">
        <f>IF(AA1263="","",'Procyclean 130'!J264)</f>
        <v/>
      </c>
      <c r="AF1263">
        <f t="shared" si="131"/>
        <v>0</v>
      </c>
      <c r="AG1263" t="str">
        <f t="shared" si="132"/>
        <v/>
      </c>
      <c r="AH1263" t="str">
        <f t="shared" si="133"/>
        <v/>
      </c>
      <c r="AI1263">
        <f t="shared" si="134"/>
        <v>0</v>
      </c>
      <c r="AJ1263">
        <f t="shared" si="135"/>
        <v>0</v>
      </c>
      <c r="AK1263">
        <v>0</v>
      </c>
      <c r="AL1263" t="str">
        <f>IF(AA1263="","",IFERROR(IF(ISNUMBER('Procyclean 130'!D264),'Procyclean 130'!D264,IF(ISNUMBER(SEARCH("12",'Procyclean 130'!D264)),EDATE(AB1263,12),IF(ISNUMBER(SEARCH("6",'Procyclean 130'!D264)),EDATE(AB1263,6),IF(ISNUMBER(SEARCH("3",'Procyclean 130'!D264)),EDATE(AB1263,3),DATEVALUE('Procyclean 130'!D264))))),""))</f>
        <v/>
      </c>
      <c r="AM1263" t="str">
        <f t="shared" ca="1" si="136"/>
        <v/>
      </c>
    </row>
    <row r="1264" spans="27:39" x14ac:dyDescent="0.3">
      <c r="AA1264" t="str">
        <f>IF(COUNTA('Procyclean 130'!A265,'Procyclean 130'!B265,'Procyclean 130'!C265)&gt;0,"130","")</f>
        <v/>
      </c>
      <c r="AB1264" t="str">
        <f>IFERROR(IF(ISNUMBER('Procyclean 130'!A265),'Procyclean 130'!A265,DATEVALUE('Procyclean 130'!A265)),"")</f>
        <v/>
      </c>
      <c r="AC1264" t="str">
        <f>IF(AA1264="","",'Procyclean 130'!B265)</f>
        <v/>
      </c>
      <c r="AD1264" t="str">
        <f>IF(AA1264="","",IFERROR(1*'Procyclean 130'!C265,IFERROR(_xludf.NUMBERVALUE('Procyclean 130'!C265,".",","),IFERROR(_xludf.NUMBERVALUE('Procyclean 130'!C265,",","."),0))))</f>
        <v/>
      </c>
      <c r="AE1264" t="str">
        <f>IF(AA1264="","",'Procyclean 130'!J265)</f>
        <v/>
      </c>
      <c r="AF1264">
        <f t="shared" si="131"/>
        <v>0</v>
      </c>
      <c r="AG1264" t="str">
        <f t="shared" si="132"/>
        <v/>
      </c>
      <c r="AH1264" t="str">
        <f t="shared" si="133"/>
        <v/>
      </c>
      <c r="AI1264">
        <f t="shared" si="134"/>
        <v>0</v>
      </c>
      <c r="AJ1264">
        <f t="shared" si="135"/>
        <v>0</v>
      </c>
      <c r="AK1264">
        <v>0</v>
      </c>
      <c r="AL1264" t="str">
        <f>IF(AA1264="","",IFERROR(IF(ISNUMBER('Procyclean 130'!D265),'Procyclean 130'!D265,IF(ISNUMBER(SEARCH("12",'Procyclean 130'!D265)),EDATE(AB1264,12),IF(ISNUMBER(SEARCH("6",'Procyclean 130'!D265)),EDATE(AB1264,6),IF(ISNUMBER(SEARCH("3",'Procyclean 130'!D265)),EDATE(AB1264,3),DATEVALUE('Procyclean 130'!D265))))),""))</f>
        <v/>
      </c>
      <c r="AM1264" t="str">
        <f t="shared" ca="1" si="136"/>
        <v/>
      </c>
    </row>
    <row r="1265" spans="27:39" x14ac:dyDescent="0.3">
      <c r="AA1265" t="str">
        <f>IF(COUNTA('Procyclean 130'!A266,'Procyclean 130'!B266,'Procyclean 130'!C266)&gt;0,"130","")</f>
        <v/>
      </c>
      <c r="AB1265" t="str">
        <f>IFERROR(IF(ISNUMBER('Procyclean 130'!A266),'Procyclean 130'!A266,DATEVALUE('Procyclean 130'!A266)),"")</f>
        <v/>
      </c>
      <c r="AC1265" t="str">
        <f>IF(AA1265="","",'Procyclean 130'!B266)</f>
        <v/>
      </c>
      <c r="AD1265" t="str">
        <f>IF(AA1265="","",IFERROR(1*'Procyclean 130'!C266,IFERROR(_xludf.NUMBERVALUE('Procyclean 130'!C266,".",","),IFERROR(_xludf.NUMBERVALUE('Procyclean 130'!C266,",","."),0))))</f>
        <v/>
      </c>
      <c r="AE1265" t="str">
        <f>IF(AA1265="","",'Procyclean 130'!J266)</f>
        <v/>
      </c>
      <c r="AF1265">
        <f t="shared" si="131"/>
        <v>0</v>
      </c>
      <c r="AG1265" t="str">
        <f t="shared" si="132"/>
        <v/>
      </c>
      <c r="AH1265" t="str">
        <f t="shared" si="133"/>
        <v/>
      </c>
      <c r="AI1265">
        <f t="shared" si="134"/>
        <v>0</v>
      </c>
      <c r="AJ1265">
        <f t="shared" si="135"/>
        <v>0</v>
      </c>
      <c r="AK1265">
        <v>0</v>
      </c>
      <c r="AL1265" t="str">
        <f>IF(AA1265="","",IFERROR(IF(ISNUMBER('Procyclean 130'!D266),'Procyclean 130'!D266,IF(ISNUMBER(SEARCH("12",'Procyclean 130'!D266)),EDATE(AB1265,12),IF(ISNUMBER(SEARCH("6",'Procyclean 130'!D266)),EDATE(AB1265,6),IF(ISNUMBER(SEARCH("3",'Procyclean 130'!D266)),EDATE(AB1265,3),DATEVALUE('Procyclean 130'!D266))))),""))</f>
        <v/>
      </c>
      <c r="AM1265" t="str">
        <f t="shared" ca="1" si="136"/>
        <v/>
      </c>
    </row>
    <row r="1266" spans="27:39" x14ac:dyDescent="0.3">
      <c r="AA1266" t="str">
        <f>IF(COUNTA('Procyclean 130'!A267,'Procyclean 130'!B267,'Procyclean 130'!C267)&gt;0,"130","")</f>
        <v/>
      </c>
      <c r="AB1266" t="str">
        <f>IFERROR(IF(ISNUMBER('Procyclean 130'!A267),'Procyclean 130'!A267,DATEVALUE('Procyclean 130'!A267)),"")</f>
        <v/>
      </c>
      <c r="AC1266" t="str">
        <f>IF(AA1266="","",'Procyclean 130'!B267)</f>
        <v/>
      </c>
      <c r="AD1266" t="str">
        <f>IF(AA1266="","",IFERROR(1*'Procyclean 130'!C267,IFERROR(_xludf.NUMBERVALUE('Procyclean 130'!C267,".",","),IFERROR(_xludf.NUMBERVALUE('Procyclean 130'!C267,",","."),0))))</f>
        <v/>
      </c>
      <c r="AE1266" t="str">
        <f>IF(AA1266="","",'Procyclean 130'!J267)</f>
        <v/>
      </c>
      <c r="AF1266">
        <f t="shared" si="131"/>
        <v>0</v>
      </c>
      <c r="AG1266" t="str">
        <f t="shared" si="132"/>
        <v/>
      </c>
      <c r="AH1266" t="str">
        <f t="shared" si="133"/>
        <v/>
      </c>
      <c r="AI1266">
        <f t="shared" si="134"/>
        <v>0</v>
      </c>
      <c r="AJ1266">
        <f t="shared" si="135"/>
        <v>0</v>
      </c>
      <c r="AK1266">
        <v>0</v>
      </c>
      <c r="AL1266" t="str">
        <f>IF(AA1266="","",IFERROR(IF(ISNUMBER('Procyclean 130'!D267),'Procyclean 130'!D267,IF(ISNUMBER(SEARCH("12",'Procyclean 130'!D267)),EDATE(AB1266,12),IF(ISNUMBER(SEARCH("6",'Procyclean 130'!D267)),EDATE(AB1266,6),IF(ISNUMBER(SEARCH("3",'Procyclean 130'!D267)),EDATE(AB1266,3),DATEVALUE('Procyclean 130'!D267))))),""))</f>
        <v/>
      </c>
      <c r="AM1266" t="str">
        <f t="shared" ca="1" si="136"/>
        <v/>
      </c>
    </row>
    <row r="1267" spans="27:39" x14ac:dyDescent="0.3">
      <c r="AA1267" t="str">
        <f>IF(COUNTA('Procyclean 130'!A268,'Procyclean 130'!B268,'Procyclean 130'!C268)&gt;0,"130","")</f>
        <v/>
      </c>
      <c r="AB1267" t="str">
        <f>IFERROR(IF(ISNUMBER('Procyclean 130'!A268),'Procyclean 130'!A268,DATEVALUE('Procyclean 130'!A268)),"")</f>
        <v/>
      </c>
      <c r="AC1267" t="str">
        <f>IF(AA1267="","",'Procyclean 130'!B268)</f>
        <v/>
      </c>
      <c r="AD1267" t="str">
        <f>IF(AA1267="","",IFERROR(1*'Procyclean 130'!C268,IFERROR(_xludf.NUMBERVALUE('Procyclean 130'!C268,".",","),IFERROR(_xludf.NUMBERVALUE('Procyclean 130'!C268,",","."),0))))</f>
        <v/>
      </c>
      <c r="AE1267" t="str">
        <f>IF(AA1267="","",'Procyclean 130'!J268)</f>
        <v/>
      </c>
      <c r="AF1267">
        <f t="shared" si="131"/>
        <v>0</v>
      </c>
      <c r="AG1267" t="str">
        <f t="shared" si="132"/>
        <v/>
      </c>
      <c r="AH1267" t="str">
        <f t="shared" si="133"/>
        <v/>
      </c>
      <c r="AI1267">
        <f t="shared" si="134"/>
        <v>0</v>
      </c>
      <c r="AJ1267">
        <f t="shared" si="135"/>
        <v>0</v>
      </c>
      <c r="AK1267">
        <v>0</v>
      </c>
      <c r="AL1267" t="str">
        <f>IF(AA1267="","",IFERROR(IF(ISNUMBER('Procyclean 130'!D268),'Procyclean 130'!D268,IF(ISNUMBER(SEARCH("12",'Procyclean 130'!D268)),EDATE(AB1267,12),IF(ISNUMBER(SEARCH("6",'Procyclean 130'!D268)),EDATE(AB1267,6),IF(ISNUMBER(SEARCH("3",'Procyclean 130'!D268)),EDATE(AB1267,3),DATEVALUE('Procyclean 130'!D268))))),""))</f>
        <v/>
      </c>
      <c r="AM1267" t="str">
        <f t="shared" ca="1" si="136"/>
        <v/>
      </c>
    </row>
    <row r="1268" spans="27:39" x14ac:dyDescent="0.3">
      <c r="AA1268" t="str">
        <f>IF(COUNTA('Procyclean 130'!A269,'Procyclean 130'!B269,'Procyclean 130'!C269)&gt;0,"130","")</f>
        <v/>
      </c>
      <c r="AB1268" t="str">
        <f>IFERROR(IF(ISNUMBER('Procyclean 130'!A269),'Procyclean 130'!A269,DATEVALUE('Procyclean 130'!A269)),"")</f>
        <v/>
      </c>
      <c r="AC1268" t="str">
        <f>IF(AA1268="","",'Procyclean 130'!B269)</f>
        <v/>
      </c>
      <c r="AD1268" t="str">
        <f>IF(AA1268="","",IFERROR(1*'Procyclean 130'!C269,IFERROR(_xludf.NUMBERVALUE('Procyclean 130'!C269,".",","),IFERROR(_xludf.NUMBERVALUE('Procyclean 130'!C269,",","."),0))))</f>
        <v/>
      </c>
      <c r="AE1268" t="str">
        <f>IF(AA1268="","",'Procyclean 130'!J269)</f>
        <v/>
      </c>
      <c r="AF1268">
        <f t="shared" si="131"/>
        <v>0</v>
      </c>
      <c r="AG1268" t="str">
        <f t="shared" si="132"/>
        <v/>
      </c>
      <c r="AH1268" t="str">
        <f t="shared" si="133"/>
        <v/>
      </c>
      <c r="AI1268">
        <f t="shared" si="134"/>
        <v>0</v>
      </c>
      <c r="AJ1268">
        <f t="shared" si="135"/>
        <v>0</v>
      </c>
      <c r="AK1268">
        <v>0</v>
      </c>
      <c r="AL1268" t="str">
        <f>IF(AA1268="","",IFERROR(IF(ISNUMBER('Procyclean 130'!D269),'Procyclean 130'!D269,IF(ISNUMBER(SEARCH("12",'Procyclean 130'!D269)),EDATE(AB1268,12),IF(ISNUMBER(SEARCH("6",'Procyclean 130'!D269)),EDATE(AB1268,6),IF(ISNUMBER(SEARCH("3",'Procyclean 130'!D269)),EDATE(AB1268,3),DATEVALUE('Procyclean 130'!D269))))),""))</f>
        <v/>
      </c>
      <c r="AM1268" t="str">
        <f t="shared" ca="1" si="136"/>
        <v/>
      </c>
    </row>
    <row r="1269" spans="27:39" x14ac:dyDescent="0.3">
      <c r="AA1269" t="str">
        <f>IF(COUNTA('Procyclean 130'!A270,'Procyclean 130'!B270,'Procyclean 130'!C270)&gt;0,"130","")</f>
        <v/>
      </c>
      <c r="AB1269" t="str">
        <f>IFERROR(IF(ISNUMBER('Procyclean 130'!A270),'Procyclean 130'!A270,DATEVALUE('Procyclean 130'!A270)),"")</f>
        <v/>
      </c>
      <c r="AC1269" t="str">
        <f>IF(AA1269="","",'Procyclean 130'!B270)</f>
        <v/>
      </c>
      <c r="AD1269" t="str">
        <f>IF(AA1269="","",IFERROR(1*'Procyclean 130'!C270,IFERROR(_xludf.NUMBERVALUE('Procyclean 130'!C270,".",","),IFERROR(_xludf.NUMBERVALUE('Procyclean 130'!C270,",","."),0))))</f>
        <v/>
      </c>
      <c r="AE1269" t="str">
        <f>IF(AA1269="","",'Procyclean 130'!J270)</f>
        <v/>
      </c>
      <c r="AF1269">
        <f t="shared" si="131"/>
        <v>0</v>
      </c>
      <c r="AG1269" t="str">
        <f t="shared" si="132"/>
        <v/>
      </c>
      <c r="AH1269" t="str">
        <f t="shared" si="133"/>
        <v/>
      </c>
      <c r="AI1269">
        <f t="shared" si="134"/>
        <v>0</v>
      </c>
      <c r="AJ1269">
        <f t="shared" si="135"/>
        <v>0</v>
      </c>
      <c r="AK1269">
        <v>0</v>
      </c>
      <c r="AL1269" t="str">
        <f>IF(AA1269="","",IFERROR(IF(ISNUMBER('Procyclean 130'!D270),'Procyclean 130'!D270,IF(ISNUMBER(SEARCH("12",'Procyclean 130'!D270)),EDATE(AB1269,12),IF(ISNUMBER(SEARCH("6",'Procyclean 130'!D270)),EDATE(AB1269,6),IF(ISNUMBER(SEARCH("3",'Procyclean 130'!D270)),EDATE(AB1269,3),DATEVALUE('Procyclean 130'!D270))))),""))</f>
        <v/>
      </c>
      <c r="AM1269" t="str">
        <f t="shared" ca="1" si="136"/>
        <v/>
      </c>
    </row>
    <row r="1270" spans="27:39" x14ac:dyDescent="0.3">
      <c r="AA1270" t="str">
        <f>IF(COUNTA('Procyclean 130'!A271,'Procyclean 130'!B271,'Procyclean 130'!C271)&gt;0,"130","")</f>
        <v/>
      </c>
      <c r="AB1270" t="str">
        <f>IFERROR(IF(ISNUMBER('Procyclean 130'!A271),'Procyclean 130'!A271,DATEVALUE('Procyclean 130'!A271)),"")</f>
        <v/>
      </c>
      <c r="AC1270" t="str">
        <f>IF(AA1270="","",'Procyclean 130'!B271)</f>
        <v/>
      </c>
      <c r="AD1270" t="str">
        <f>IF(AA1270="","",IFERROR(1*'Procyclean 130'!C271,IFERROR(_xludf.NUMBERVALUE('Procyclean 130'!C271,".",","),IFERROR(_xludf.NUMBERVALUE('Procyclean 130'!C271,",","."),0))))</f>
        <v/>
      </c>
      <c r="AE1270" t="str">
        <f>IF(AA1270="","",'Procyclean 130'!J271)</f>
        <v/>
      </c>
      <c r="AF1270">
        <f t="shared" si="131"/>
        <v>0</v>
      </c>
      <c r="AG1270" t="str">
        <f t="shared" si="132"/>
        <v/>
      </c>
      <c r="AH1270" t="str">
        <f t="shared" si="133"/>
        <v/>
      </c>
      <c r="AI1270">
        <f t="shared" si="134"/>
        <v>0</v>
      </c>
      <c r="AJ1270">
        <f t="shared" si="135"/>
        <v>0</v>
      </c>
      <c r="AK1270">
        <v>0</v>
      </c>
      <c r="AL1270" t="str">
        <f>IF(AA1270="","",IFERROR(IF(ISNUMBER('Procyclean 130'!D271),'Procyclean 130'!D271,IF(ISNUMBER(SEARCH("12",'Procyclean 130'!D271)),EDATE(AB1270,12),IF(ISNUMBER(SEARCH("6",'Procyclean 130'!D271)),EDATE(AB1270,6),IF(ISNUMBER(SEARCH("3",'Procyclean 130'!D271)),EDATE(AB1270,3),DATEVALUE('Procyclean 130'!D271))))),""))</f>
        <v/>
      </c>
      <c r="AM1270" t="str">
        <f t="shared" ca="1" si="136"/>
        <v/>
      </c>
    </row>
    <row r="1271" spans="27:39" x14ac:dyDescent="0.3">
      <c r="AA1271" t="str">
        <f>IF(COUNTA('Procyclean 130'!A272,'Procyclean 130'!B272,'Procyclean 130'!C272)&gt;0,"130","")</f>
        <v/>
      </c>
      <c r="AB1271" t="str">
        <f>IFERROR(IF(ISNUMBER('Procyclean 130'!A272),'Procyclean 130'!A272,DATEVALUE('Procyclean 130'!A272)),"")</f>
        <v/>
      </c>
      <c r="AC1271" t="str">
        <f>IF(AA1271="","",'Procyclean 130'!B272)</f>
        <v/>
      </c>
      <c r="AD1271" t="str">
        <f>IF(AA1271="","",IFERROR(1*'Procyclean 130'!C272,IFERROR(_xludf.NUMBERVALUE('Procyclean 130'!C272,".",","),IFERROR(_xludf.NUMBERVALUE('Procyclean 130'!C272,",","."),0))))</f>
        <v/>
      </c>
      <c r="AE1271" t="str">
        <f>IF(AA1271="","",'Procyclean 130'!J272)</f>
        <v/>
      </c>
      <c r="AF1271">
        <f t="shared" si="131"/>
        <v>0</v>
      </c>
      <c r="AG1271" t="str">
        <f t="shared" si="132"/>
        <v/>
      </c>
      <c r="AH1271" t="str">
        <f t="shared" si="133"/>
        <v/>
      </c>
      <c r="AI1271">
        <f t="shared" si="134"/>
        <v>0</v>
      </c>
      <c r="AJ1271">
        <f t="shared" si="135"/>
        <v>0</v>
      </c>
      <c r="AK1271">
        <v>0</v>
      </c>
      <c r="AL1271" t="str">
        <f>IF(AA1271="","",IFERROR(IF(ISNUMBER('Procyclean 130'!D272),'Procyclean 130'!D272,IF(ISNUMBER(SEARCH("12",'Procyclean 130'!D272)),EDATE(AB1271,12),IF(ISNUMBER(SEARCH("6",'Procyclean 130'!D272)),EDATE(AB1271,6),IF(ISNUMBER(SEARCH("3",'Procyclean 130'!D272)),EDATE(AB1271,3),DATEVALUE('Procyclean 130'!D272))))),""))</f>
        <v/>
      </c>
      <c r="AM1271" t="str">
        <f t="shared" ca="1" si="136"/>
        <v/>
      </c>
    </row>
    <row r="1272" spans="27:39" x14ac:dyDescent="0.3">
      <c r="AA1272" t="str">
        <f>IF(COUNTA('Procyclean 130'!A273,'Procyclean 130'!B273,'Procyclean 130'!C273)&gt;0,"130","")</f>
        <v/>
      </c>
      <c r="AB1272" t="str">
        <f>IFERROR(IF(ISNUMBER('Procyclean 130'!A273),'Procyclean 130'!A273,DATEVALUE('Procyclean 130'!A273)),"")</f>
        <v/>
      </c>
      <c r="AC1272" t="str">
        <f>IF(AA1272="","",'Procyclean 130'!B273)</f>
        <v/>
      </c>
      <c r="AD1272" t="str">
        <f>IF(AA1272="","",IFERROR(1*'Procyclean 130'!C273,IFERROR(_xludf.NUMBERVALUE('Procyclean 130'!C273,".",","),IFERROR(_xludf.NUMBERVALUE('Procyclean 130'!C273,",","."),0))))</f>
        <v/>
      </c>
      <c r="AE1272" t="str">
        <f>IF(AA1272="","",'Procyclean 130'!J273)</f>
        <v/>
      </c>
      <c r="AF1272">
        <f t="shared" si="131"/>
        <v>0</v>
      </c>
      <c r="AG1272" t="str">
        <f t="shared" si="132"/>
        <v/>
      </c>
      <c r="AH1272" t="str">
        <f t="shared" si="133"/>
        <v/>
      </c>
      <c r="AI1272">
        <f t="shared" si="134"/>
        <v>0</v>
      </c>
      <c r="AJ1272">
        <f t="shared" si="135"/>
        <v>0</v>
      </c>
      <c r="AK1272">
        <v>0</v>
      </c>
      <c r="AL1272" t="str">
        <f>IF(AA1272="","",IFERROR(IF(ISNUMBER('Procyclean 130'!D273),'Procyclean 130'!D273,IF(ISNUMBER(SEARCH("12",'Procyclean 130'!D273)),EDATE(AB1272,12),IF(ISNUMBER(SEARCH("6",'Procyclean 130'!D273)),EDATE(AB1272,6),IF(ISNUMBER(SEARCH("3",'Procyclean 130'!D273)),EDATE(AB1272,3),DATEVALUE('Procyclean 130'!D273))))),""))</f>
        <v/>
      </c>
      <c r="AM1272" t="str">
        <f t="shared" ca="1" si="136"/>
        <v/>
      </c>
    </row>
    <row r="1273" spans="27:39" x14ac:dyDescent="0.3">
      <c r="AA1273" t="str">
        <f>IF(COUNTA('Procyclean 130'!A274,'Procyclean 130'!B274,'Procyclean 130'!C274)&gt;0,"130","")</f>
        <v/>
      </c>
      <c r="AB1273" t="str">
        <f>IFERROR(IF(ISNUMBER('Procyclean 130'!A274),'Procyclean 130'!A274,DATEVALUE('Procyclean 130'!A274)),"")</f>
        <v/>
      </c>
      <c r="AC1273" t="str">
        <f>IF(AA1273="","",'Procyclean 130'!B274)</f>
        <v/>
      </c>
      <c r="AD1273" t="str">
        <f>IF(AA1273="","",IFERROR(1*'Procyclean 130'!C274,IFERROR(_xludf.NUMBERVALUE('Procyclean 130'!C274,".",","),IFERROR(_xludf.NUMBERVALUE('Procyclean 130'!C274,",","."),0))))</f>
        <v/>
      </c>
      <c r="AE1273" t="str">
        <f>IF(AA1273="","",'Procyclean 130'!J274)</f>
        <v/>
      </c>
      <c r="AF1273">
        <f t="shared" si="131"/>
        <v>0</v>
      </c>
      <c r="AG1273" t="str">
        <f t="shared" si="132"/>
        <v/>
      </c>
      <c r="AH1273" t="str">
        <f t="shared" si="133"/>
        <v/>
      </c>
      <c r="AI1273">
        <f t="shared" si="134"/>
        <v>0</v>
      </c>
      <c r="AJ1273">
        <f t="shared" si="135"/>
        <v>0</v>
      </c>
      <c r="AK1273">
        <v>0</v>
      </c>
      <c r="AL1273" t="str">
        <f>IF(AA1273="","",IFERROR(IF(ISNUMBER('Procyclean 130'!D274),'Procyclean 130'!D274,IF(ISNUMBER(SEARCH("12",'Procyclean 130'!D274)),EDATE(AB1273,12),IF(ISNUMBER(SEARCH("6",'Procyclean 130'!D274)),EDATE(AB1273,6),IF(ISNUMBER(SEARCH("3",'Procyclean 130'!D274)),EDATE(AB1273,3),DATEVALUE('Procyclean 130'!D274))))),""))</f>
        <v/>
      </c>
      <c r="AM1273" t="str">
        <f t="shared" ca="1" si="136"/>
        <v/>
      </c>
    </row>
    <row r="1274" spans="27:39" x14ac:dyDescent="0.3">
      <c r="AA1274" t="str">
        <f>IF(COUNTA('Procyclean 130'!A275,'Procyclean 130'!B275,'Procyclean 130'!C275)&gt;0,"130","")</f>
        <v/>
      </c>
      <c r="AB1274" t="str">
        <f>IFERROR(IF(ISNUMBER('Procyclean 130'!A275),'Procyclean 130'!A275,DATEVALUE('Procyclean 130'!A275)),"")</f>
        <v/>
      </c>
      <c r="AC1274" t="str">
        <f>IF(AA1274="","",'Procyclean 130'!B275)</f>
        <v/>
      </c>
      <c r="AD1274" t="str">
        <f>IF(AA1274="","",IFERROR(1*'Procyclean 130'!C275,IFERROR(_xludf.NUMBERVALUE('Procyclean 130'!C275,".",","),IFERROR(_xludf.NUMBERVALUE('Procyclean 130'!C275,",","."),0))))</f>
        <v/>
      </c>
      <c r="AE1274" t="str">
        <f>IF(AA1274="","",'Procyclean 130'!J275)</f>
        <v/>
      </c>
      <c r="AF1274">
        <f t="shared" si="131"/>
        <v>0</v>
      </c>
      <c r="AG1274" t="str">
        <f t="shared" si="132"/>
        <v/>
      </c>
      <c r="AH1274" t="str">
        <f t="shared" si="133"/>
        <v/>
      </c>
      <c r="AI1274">
        <f t="shared" si="134"/>
        <v>0</v>
      </c>
      <c r="AJ1274">
        <f t="shared" si="135"/>
        <v>0</v>
      </c>
      <c r="AK1274">
        <v>0</v>
      </c>
      <c r="AL1274" t="str">
        <f>IF(AA1274="","",IFERROR(IF(ISNUMBER('Procyclean 130'!D275),'Procyclean 130'!D275,IF(ISNUMBER(SEARCH("12",'Procyclean 130'!D275)),EDATE(AB1274,12),IF(ISNUMBER(SEARCH("6",'Procyclean 130'!D275)),EDATE(AB1274,6),IF(ISNUMBER(SEARCH("3",'Procyclean 130'!D275)),EDATE(AB1274,3),DATEVALUE('Procyclean 130'!D275))))),""))</f>
        <v/>
      </c>
      <c r="AM1274" t="str">
        <f t="shared" ca="1" si="136"/>
        <v/>
      </c>
    </row>
    <row r="1275" spans="27:39" x14ac:dyDescent="0.3">
      <c r="AA1275" t="str">
        <f>IF(COUNTA('Procyclean 130'!A276,'Procyclean 130'!B276,'Procyclean 130'!C276)&gt;0,"130","")</f>
        <v/>
      </c>
      <c r="AB1275" t="str">
        <f>IFERROR(IF(ISNUMBER('Procyclean 130'!A276),'Procyclean 130'!A276,DATEVALUE('Procyclean 130'!A276)),"")</f>
        <v/>
      </c>
      <c r="AC1275" t="str">
        <f>IF(AA1275="","",'Procyclean 130'!B276)</f>
        <v/>
      </c>
      <c r="AD1275" t="str">
        <f>IF(AA1275="","",IFERROR(1*'Procyclean 130'!C276,IFERROR(_xludf.NUMBERVALUE('Procyclean 130'!C276,".",","),IFERROR(_xludf.NUMBERVALUE('Procyclean 130'!C276,",","."),0))))</f>
        <v/>
      </c>
      <c r="AE1275" t="str">
        <f>IF(AA1275="","",'Procyclean 130'!J276)</f>
        <v/>
      </c>
      <c r="AF1275">
        <f t="shared" si="131"/>
        <v>0</v>
      </c>
      <c r="AG1275" t="str">
        <f t="shared" si="132"/>
        <v/>
      </c>
      <c r="AH1275" t="str">
        <f t="shared" si="133"/>
        <v/>
      </c>
      <c r="AI1275">
        <f t="shared" si="134"/>
        <v>0</v>
      </c>
      <c r="AJ1275">
        <f t="shared" si="135"/>
        <v>0</v>
      </c>
      <c r="AK1275">
        <v>0</v>
      </c>
      <c r="AL1275" t="str">
        <f>IF(AA1275="","",IFERROR(IF(ISNUMBER('Procyclean 130'!D276),'Procyclean 130'!D276,IF(ISNUMBER(SEARCH("12",'Procyclean 130'!D276)),EDATE(AB1275,12),IF(ISNUMBER(SEARCH("6",'Procyclean 130'!D276)),EDATE(AB1275,6),IF(ISNUMBER(SEARCH("3",'Procyclean 130'!D276)),EDATE(AB1275,3),DATEVALUE('Procyclean 130'!D276))))),""))</f>
        <v/>
      </c>
      <c r="AM1275" t="str">
        <f t="shared" ca="1" si="136"/>
        <v/>
      </c>
    </row>
    <row r="1276" spans="27:39" x14ac:dyDescent="0.3">
      <c r="AA1276" t="str">
        <f>IF(COUNTA('Procyclean 130'!A277,'Procyclean 130'!B277,'Procyclean 130'!C277)&gt;0,"130","")</f>
        <v/>
      </c>
      <c r="AB1276" t="str">
        <f>IFERROR(IF(ISNUMBER('Procyclean 130'!A277),'Procyclean 130'!A277,DATEVALUE('Procyclean 130'!A277)),"")</f>
        <v/>
      </c>
      <c r="AC1276" t="str">
        <f>IF(AA1276="","",'Procyclean 130'!B277)</f>
        <v/>
      </c>
      <c r="AD1276" t="str">
        <f>IF(AA1276="","",IFERROR(1*'Procyclean 130'!C277,IFERROR(_xludf.NUMBERVALUE('Procyclean 130'!C277,".",","),IFERROR(_xludf.NUMBERVALUE('Procyclean 130'!C277,",","."),0))))</f>
        <v/>
      </c>
      <c r="AE1276" t="str">
        <f>IF(AA1276="","",'Procyclean 130'!J277)</f>
        <v/>
      </c>
      <c r="AF1276">
        <f t="shared" si="131"/>
        <v>0</v>
      </c>
      <c r="AG1276" t="str">
        <f t="shared" si="132"/>
        <v/>
      </c>
      <c r="AH1276" t="str">
        <f t="shared" si="133"/>
        <v/>
      </c>
      <c r="AI1276">
        <f t="shared" si="134"/>
        <v>0</v>
      </c>
      <c r="AJ1276">
        <f t="shared" si="135"/>
        <v>0</v>
      </c>
      <c r="AK1276">
        <v>0</v>
      </c>
      <c r="AL1276" t="str">
        <f>IF(AA1276="","",IFERROR(IF(ISNUMBER('Procyclean 130'!D277),'Procyclean 130'!D277,IF(ISNUMBER(SEARCH("12",'Procyclean 130'!D277)),EDATE(AB1276,12),IF(ISNUMBER(SEARCH("6",'Procyclean 130'!D277)),EDATE(AB1276,6),IF(ISNUMBER(SEARCH("3",'Procyclean 130'!D277)),EDATE(AB1276,3),DATEVALUE('Procyclean 130'!D277))))),""))</f>
        <v/>
      </c>
      <c r="AM1276" t="str">
        <f t="shared" ca="1" si="136"/>
        <v/>
      </c>
    </row>
    <row r="1277" spans="27:39" x14ac:dyDescent="0.3">
      <c r="AA1277" t="str">
        <f>IF(COUNTA('Procyclean 130'!A278,'Procyclean 130'!B278,'Procyclean 130'!C278)&gt;0,"130","")</f>
        <v/>
      </c>
      <c r="AB1277" t="str">
        <f>IFERROR(IF(ISNUMBER('Procyclean 130'!A278),'Procyclean 130'!A278,DATEVALUE('Procyclean 130'!A278)),"")</f>
        <v/>
      </c>
      <c r="AC1277" t="str">
        <f>IF(AA1277="","",'Procyclean 130'!B278)</f>
        <v/>
      </c>
      <c r="AD1277" t="str">
        <f>IF(AA1277="","",IFERROR(1*'Procyclean 130'!C278,IFERROR(_xludf.NUMBERVALUE('Procyclean 130'!C278,".",","),IFERROR(_xludf.NUMBERVALUE('Procyclean 130'!C278,",","."),0))))</f>
        <v/>
      </c>
      <c r="AE1277" t="str">
        <f>IF(AA1277="","",'Procyclean 130'!J278)</f>
        <v/>
      </c>
      <c r="AF1277">
        <f t="shared" si="131"/>
        <v>0</v>
      </c>
      <c r="AG1277" t="str">
        <f t="shared" si="132"/>
        <v/>
      </c>
      <c r="AH1277" t="str">
        <f t="shared" si="133"/>
        <v/>
      </c>
      <c r="AI1277">
        <f t="shared" si="134"/>
        <v>0</v>
      </c>
      <c r="AJ1277">
        <f t="shared" si="135"/>
        <v>0</v>
      </c>
      <c r="AK1277">
        <v>0</v>
      </c>
      <c r="AL1277" t="str">
        <f>IF(AA1277="","",IFERROR(IF(ISNUMBER('Procyclean 130'!D278),'Procyclean 130'!D278,IF(ISNUMBER(SEARCH("12",'Procyclean 130'!D278)),EDATE(AB1277,12),IF(ISNUMBER(SEARCH("6",'Procyclean 130'!D278)),EDATE(AB1277,6),IF(ISNUMBER(SEARCH("3",'Procyclean 130'!D278)),EDATE(AB1277,3),DATEVALUE('Procyclean 130'!D278))))),""))</f>
        <v/>
      </c>
      <c r="AM1277" t="str">
        <f t="shared" ca="1" si="136"/>
        <v/>
      </c>
    </row>
    <row r="1278" spans="27:39" x14ac:dyDescent="0.3">
      <c r="AA1278" t="str">
        <f>IF(COUNTA('Procyclean 130'!A279,'Procyclean 130'!B279,'Procyclean 130'!C279)&gt;0,"130","")</f>
        <v/>
      </c>
      <c r="AB1278" t="str">
        <f>IFERROR(IF(ISNUMBER('Procyclean 130'!A279),'Procyclean 130'!A279,DATEVALUE('Procyclean 130'!A279)),"")</f>
        <v/>
      </c>
      <c r="AC1278" t="str">
        <f>IF(AA1278="","",'Procyclean 130'!B279)</f>
        <v/>
      </c>
      <c r="AD1278" t="str">
        <f>IF(AA1278="","",IFERROR(1*'Procyclean 130'!C279,IFERROR(_xludf.NUMBERVALUE('Procyclean 130'!C279,".",","),IFERROR(_xludf.NUMBERVALUE('Procyclean 130'!C279,",","."),0))))</f>
        <v/>
      </c>
      <c r="AE1278" t="str">
        <f>IF(AA1278="","",'Procyclean 130'!J279)</f>
        <v/>
      </c>
      <c r="AF1278">
        <f t="shared" si="131"/>
        <v>0</v>
      </c>
      <c r="AG1278" t="str">
        <f t="shared" si="132"/>
        <v/>
      </c>
      <c r="AH1278" t="str">
        <f t="shared" si="133"/>
        <v/>
      </c>
      <c r="AI1278">
        <f t="shared" si="134"/>
        <v>0</v>
      </c>
      <c r="AJ1278">
        <f t="shared" si="135"/>
        <v>0</v>
      </c>
      <c r="AK1278">
        <v>0</v>
      </c>
      <c r="AL1278" t="str">
        <f>IF(AA1278="","",IFERROR(IF(ISNUMBER('Procyclean 130'!D279),'Procyclean 130'!D279,IF(ISNUMBER(SEARCH("12",'Procyclean 130'!D279)),EDATE(AB1278,12),IF(ISNUMBER(SEARCH("6",'Procyclean 130'!D279)),EDATE(AB1278,6),IF(ISNUMBER(SEARCH("3",'Procyclean 130'!D279)),EDATE(AB1278,3),DATEVALUE('Procyclean 130'!D279))))),""))</f>
        <v/>
      </c>
      <c r="AM1278" t="str">
        <f t="shared" ca="1" si="136"/>
        <v/>
      </c>
    </row>
    <row r="1279" spans="27:39" x14ac:dyDescent="0.3">
      <c r="AA1279" t="str">
        <f>IF(COUNTA('Procyclean 130'!A280,'Procyclean 130'!B280,'Procyclean 130'!C280)&gt;0,"130","")</f>
        <v/>
      </c>
      <c r="AB1279" t="str">
        <f>IFERROR(IF(ISNUMBER('Procyclean 130'!A280),'Procyclean 130'!A280,DATEVALUE('Procyclean 130'!A280)),"")</f>
        <v/>
      </c>
      <c r="AC1279" t="str">
        <f>IF(AA1279="","",'Procyclean 130'!B280)</f>
        <v/>
      </c>
      <c r="AD1279" t="str">
        <f>IF(AA1279="","",IFERROR(1*'Procyclean 130'!C280,IFERROR(_xludf.NUMBERVALUE('Procyclean 130'!C280,".",","),IFERROR(_xludf.NUMBERVALUE('Procyclean 130'!C280,",","."),0))))</f>
        <v/>
      </c>
      <c r="AE1279" t="str">
        <f>IF(AA1279="","",'Procyclean 130'!J280)</f>
        <v/>
      </c>
      <c r="AF1279">
        <f t="shared" si="131"/>
        <v>0</v>
      </c>
      <c r="AG1279" t="str">
        <f t="shared" si="132"/>
        <v/>
      </c>
      <c r="AH1279" t="str">
        <f t="shared" si="133"/>
        <v/>
      </c>
      <c r="AI1279">
        <f t="shared" si="134"/>
        <v>0</v>
      </c>
      <c r="AJ1279">
        <f t="shared" si="135"/>
        <v>0</v>
      </c>
      <c r="AK1279">
        <v>0</v>
      </c>
      <c r="AL1279" t="str">
        <f>IF(AA1279="","",IFERROR(IF(ISNUMBER('Procyclean 130'!D280),'Procyclean 130'!D280,IF(ISNUMBER(SEARCH("12",'Procyclean 130'!D280)),EDATE(AB1279,12),IF(ISNUMBER(SEARCH("6",'Procyclean 130'!D280)),EDATE(AB1279,6),IF(ISNUMBER(SEARCH("3",'Procyclean 130'!D280)),EDATE(AB1279,3),DATEVALUE('Procyclean 130'!D280))))),""))</f>
        <v/>
      </c>
      <c r="AM1279" t="str">
        <f t="shared" ca="1" si="136"/>
        <v/>
      </c>
    </row>
    <row r="1280" spans="27:39" x14ac:dyDescent="0.3">
      <c r="AA1280" t="str">
        <f>IF(COUNTA('Procyclean 130'!A281,'Procyclean 130'!B281,'Procyclean 130'!C281)&gt;0,"130","")</f>
        <v/>
      </c>
      <c r="AB1280" t="str">
        <f>IFERROR(IF(ISNUMBER('Procyclean 130'!A281),'Procyclean 130'!A281,DATEVALUE('Procyclean 130'!A281)),"")</f>
        <v/>
      </c>
      <c r="AC1280" t="str">
        <f>IF(AA1280="","",'Procyclean 130'!B281)</f>
        <v/>
      </c>
      <c r="AD1280" t="str">
        <f>IF(AA1280="","",IFERROR(1*'Procyclean 130'!C281,IFERROR(_xludf.NUMBERVALUE('Procyclean 130'!C281,".",","),IFERROR(_xludf.NUMBERVALUE('Procyclean 130'!C281,",","."),0))))</f>
        <v/>
      </c>
      <c r="AE1280" t="str">
        <f>IF(AA1280="","",'Procyclean 130'!J281)</f>
        <v/>
      </c>
      <c r="AF1280">
        <f t="shared" si="131"/>
        <v>0</v>
      </c>
      <c r="AG1280" t="str">
        <f t="shared" si="132"/>
        <v/>
      </c>
      <c r="AH1280" t="str">
        <f t="shared" si="133"/>
        <v/>
      </c>
      <c r="AI1280">
        <f t="shared" si="134"/>
        <v>0</v>
      </c>
      <c r="AJ1280">
        <f t="shared" si="135"/>
        <v>0</v>
      </c>
      <c r="AK1280">
        <v>0</v>
      </c>
      <c r="AL1280" t="str">
        <f>IF(AA1280="","",IFERROR(IF(ISNUMBER('Procyclean 130'!D281),'Procyclean 130'!D281,IF(ISNUMBER(SEARCH("12",'Procyclean 130'!D281)),EDATE(AB1280,12),IF(ISNUMBER(SEARCH("6",'Procyclean 130'!D281)),EDATE(AB1280,6),IF(ISNUMBER(SEARCH("3",'Procyclean 130'!D281)),EDATE(AB1280,3),DATEVALUE('Procyclean 130'!D281))))),""))</f>
        <v/>
      </c>
      <c r="AM1280" t="str">
        <f t="shared" ca="1" si="136"/>
        <v/>
      </c>
    </row>
    <row r="1281" spans="27:39" x14ac:dyDescent="0.3">
      <c r="AA1281" t="str">
        <f>IF(COUNTA('Procyclean 130'!A282,'Procyclean 130'!B282,'Procyclean 130'!C282)&gt;0,"130","")</f>
        <v/>
      </c>
      <c r="AB1281" t="str">
        <f>IFERROR(IF(ISNUMBER('Procyclean 130'!A282),'Procyclean 130'!A282,DATEVALUE('Procyclean 130'!A282)),"")</f>
        <v/>
      </c>
      <c r="AC1281" t="str">
        <f>IF(AA1281="","",'Procyclean 130'!B282)</f>
        <v/>
      </c>
      <c r="AD1281" t="str">
        <f>IF(AA1281="","",IFERROR(1*'Procyclean 130'!C282,IFERROR(_xludf.NUMBERVALUE('Procyclean 130'!C282,".",","),IFERROR(_xludf.NUMBERVALUE('Procyclean 130'!C282,",","."),0))))</f>
        <v/>
      </c>
      <c r="AE1281" t="str">
        <f>IF(AA1281="","",'Procyclean 130'!J282)</f>
        <v/>
      </c>
      <c r="AF1281">
        <f t="shared" si="131"/>
        <v>0</v>
      </c>
      <c r="AG1281" t="str">
        <f t="shared" si="132"/>
        <v/>
      </c>
      <c r="AH1281" t="str">
        <f t="shared" si="133"/>
        <v/>
      </c>
      <c r="AI1281">
        <f t="shared" si="134"/>
        <v>0</v>
      </c>
      <c r="AJ1281">
        <f t="shared" si="135"/>
        <v>0</v>
      </c>
      <c r="AK1281">
        <v>0</v>
      </c>
      <c r="AL1281" t="str">
        <f>IF(AA1281="","",IFERROR(IF(ISNUMBER('Procyclean 130'!D282),'Procyclean 130'!D282,IF(ISNUMBER(SEARCH("12",'Procyclean 130'!D282)),EDATE(AB1281,12),IF(ISNUMBER(SEARCH("6",'Procyclean 130'!D282)),EDATE(AB1281,6),IF(ISNUMBER(SEARCH("3",'Procyclean 130'!D282)),EDATE(AB1281,3),DATEVALUE('Procyclean 130'!D282))))),""))</f>
        <v/>
      </c>
      <c r="AM1281" t="str">
        <f t="shared" ca="1" si="136"/>
        <v/>
      </c>
    </row>
    <row r="1282" spans="27:39" x14ac:dyDescent="0.3">
      <c r="AA1282" t="str">
        <f>IF(COUNTA('Procyclean 130'!A283,'Procyclean 130'!B283,'Procyclean 130'!C283)&gt;0,"130","")</f>
        <v/>
      </c>
      <c r="AB1282" t="str">
        <f>IFERROR(IF(ISNUMBER('Procyclean 130'!A283),'Procyclean 130'!A283,DATEVALUE('Procyclean 130'!A283)),"")</f>
        <v/>
      </c>
      <c r="AC1282" t="str">
        <f>IF(AA1282="","",'Procyclean 130'!B283)</f>
        <v/>
      </c>
      <c r="AD1282" t="str">
        <f>IF(AA1282="","",IFERROR(1*'Procyclean 130'!C283,IFERROR(_xludf.NUMBERVALUE('Procyclean 130'!C283,".",","),IFERROR(_xludf.NUMBERVALUE('Procyclean 130'!C283,",","."),0))))</f>
        <v/>
      </c>
      <c r="AE1282" t="str">
        <f>IF(AA1282="","",'Procyclean 130'!J283)</f>
        <v/>
      </c>
      <c r="AF1282">
        <f t="shared" ref="AF1282:AF1345" si="137">IF(AA1282="",0,--AND(ISNUMBER(SEARCH("aprov",AE1282)),NOT(ISNUMBER(SEARCH("reprov",AE1282)))))</f>
        <v>0</v>
      </c>
      <c r="AG1282" t="str">
        <f t="shared" ref="AG1282:AG1345" si="138">IF(AB1282="","",YEAR(AB1282))</f>
        <v/>
      </c>
      <c r="AH1282" t="str">
        <f t="shared" ref="AH1282:AH1345" si="139">IF(AB1282="","",MONTH(AB1282))</f>
        <v/>
      </c>
      <c r="AI1282">
        <f t="shared" ref="AI1282:AI1345" si="140">IF(AB1282="",0,AB1282+ROW()/1000000)</f>
        <v>0</v>
      </c>
      <c r="AJ1282">
        <f t="shared" ref="AJ1282:AJ1345" si="141">--(AA1282&lt;&gt;"")</f>
        <v>0</v>
      </c>
      <c r="AK1282">
        <v>0</v>
      </c>
      <c r="AL1282" t="str">
        <f>IF(AA1282="","",IFERROR(IF(ISNUMBER('Procyclean 130'!D283),'Procyclean 130'!D283,IF(ISNUMBER(SEARCH("12",'Procyclean 130'!D283)),EDATE(AB1282,12),IF(ISNUMBER(SEARCH("6",'Procyclean 130'!D283)),EDATE(AB1282,6),IF(ISNUMBER(SEARCH("3",'Procyclean 130'!D283)),EDATE(AB1282,3),DATEVALUE('Procyclean 130'!D283))))),""))</f>
        <v/>
      </c>
      <c r="AM1282" t="str">
        <f t="shared" ref="AM1282:AM1345" ca="1" si="142">IF(AND(AJ1282=1,AL1282&lt;&gt;"",AL1282&gt;=TODAY(),AG1282=$W$3),AL1282+ROW()/1000000,"")</f>
        <v/>
      </c>
    </row>
    <row r="1283" spans="27:39" x14ac:dyDescent="0.3">
      <c r="AA1283" t="str">
        <f>IF(COUNTA('Procyclean 130'!A284,'Procyclean 130'!B284,'Procyclean 130'!C284)&gt;0,"130","")</f>
        <v/>
      </c>
      <c r="AB1283" t="str">
        <f>IFERROR(IF(ISNUMBER('Procyclean 130'!A284),'Procyclean 130'!A284,DATEVALUE('Procyclean 130'!A284)),"")</f>
        <v/>
      </c>
      <c r="AC1283" t="str">
        <f>IF(AA1283="","",'Procyclean 130'!B284)</f>
        <v/>
      </c>
      <c r="AD1283" t="str">
        <f>IF(AA1283="","",IFERROR(1*'Procyclean 130'!C284,IFERROR(_xludf.NUMBERVALUE('Procyclean 130'!C284,".",","),IFERROR(_xludf.NUMBERVALUE('Procyclean 130'!C284,",","."),0))))</f>
        <v/>
      </c>
      <c r="AE1283" t="str">
        <f>IF(AA1283="","",'Procyclean 130'!J284)</f>
        <v/>
      </c>
      <c r="AF1283">
        <f t="shared" si="137"/>
        <v>0</v>
      </c>
      <c r="AG1283" t="str">
        <f t="shared" si="138"/>
        <v/>
      </c>
      <c r="AH1283" t="str">
        <f t="shared" si="139"/>
        <v/>
      </c>
      <c r="AI1283">
        <f t="shared" si="140"/>
        <v>0</v>
      </c>
      <c r="AJ1283">
        <f t="shared" si="141"/>
        <v>0</v>
      </c>
      <c r="AK1283">
        <v>0</v>
      </c>
      <c r="AL1283" t="str">
        <f>IF(AA1283="","",IFERROR(IF(ISNUMBER('Procyclean 130'!D284),'Procyclean 130'!D284,IF(ISNUMBER(SEARCH("12",'Procyclean 130'!D284)),EDATE(AB1283,12),IF(ISNUMBER(SEARCH("6",'Procyclean 130'!D284)),EDATE(AB1283,6),IF(ISNUMBER(SEARCH("3",'Procyclean 130'!D284)),EDATE(AB1283,3),DATEVALUE('Procyclean 130'!D284))))),""))</f>
        <v/>
      </c>
      <c r="AM1283" t="str">
        <f t="shared" ca="1" si="142"/>
        <v/>
      </c>
    </row>
    <row r="1284" spans="27:39" x14ac:dyDescent="0.3">
      <c r="AA1284" t="str">
        <f>IF(COUNTA('Procyclean 130'!A285,'Procyclean 130'!B285,'Procyclean 130'!C285)&gt;0,"130","")</f>
        <v/>
      </c>
      <c r="AB1284" t="str">
        <f>IFERROR(IF(ISNUMBER('Procyclean 130'!A285),'Procyclean 130'!A285,DATEVALUE('Procyclean 130'!A285)),"")</f>
        <v/>
      </c>
      <c r="AC1284" t="str">
        <f>IF(AA1284="","",'Procyclean 130'!B285)</f>
        <v/>
      </c>
      <c r="AD1284" t="str">
        <f>IF(AA1284="","",IFERROR(1*'Procyclean 130'!C285,IFERROR(_xludf.NUMBERVALUE('Procyclean 130'!C285,".",","),IFERROR(_xludf.NUMBERVALUE('Procyclean 130'!C285,",","."),0))))</f>
        <v/>
      </c>
      <c r="AE1284" t="str">
        <f>IF(AA1284="","",'Procyclean 130'!J285)</f>
        <v/>
      </c>
      <c r="AF1284">
        <f t="shared" si="137"/>
        <v>0</v>
      </c>
      <c r="AG1284" t="str">
        <f t="shared" si="138"/>
        <v/>
      </c>
      <c r="AH1284" t="str">
        <f t="shared" si="139"/>
        <v/>
      </c>
      <c r="AI1284">
        <f t="shared" si="140"/>
        <v>0</v>
      </c>
      <c r="AJ1284">
        <f t="shared" si="141"/>
        <v>0</v>
      </c>
      <c r="AK1284">
        <v>0</v>
      </c>
      <c r="AL1284" t="str">
        <f>IF(AA1284="","",IFERROR(IF(ISNUMBER('Procyclean 130'!D285),'Procyclean 130'!D285,IF(ISNUMBER(SEARCH("12",'Procyclean 130'!D285)),EDATE(AB1284,12),IF(ISNUMBER(SEARCH("6",'Procyclean 130'!D285)),EDATE(AB1284,6),IF(ISNUMBER(SEARCH("3",'Procyclean 130'!D285)),EDATE(AB1284,3),DATEVALUE('Procyclean 130'!D285))))),""))</f>
        <v/>
      </c>
      <c r="AM1284" t="str">
        <f t="shared" ca="1" si="142"/>
        <v/>
      </c>
    </row>
    <row r="1285" spans="27:39" x14ac:dyDescent="0.3">
      <c r="AA1285" t="str">
        <f>IF(COUNTA('Procyclean 130'!A286,'Procyclean 130'!B286,'Procyclean 130'!C286)&gt;0,"130","")</f>
        <v/>
      </c>
      <c r="AB1285" t="str">
        <f>IFERROR(IF(ISNUMBER('Procyclean 130'!A286),'Procyclean 130'!A286,DATEVALUE('Procyclean 130'!A286)),"")</f>
        <v/>
      </c>
      <c r="AC1285" t="str">
        <f>IF(AA1285="","",'Procyclean 130'!B286)</f>
        <v/>
      </c>
      <c r="AD1285" t="str">
        <f>IF(AA1285="","",IFERROR(1*'Procyclean 130'!C286,IFERROR(_xludf.NUMBERVALUE('Procyclean 130'!C286,".",","),IFERROR(_xludf.NUMBERVALUE('Procyclean 130'!C286,",","."),0))))</f>
        <v/>
      </c>
      <c r="AE1285" t="str">
        <f>IF(AA1285="","",'Procyclean 130'!J286)</f>
        <v/>
      </c>
      <c r="AF1285">
        <f t="shared" si="137"/>
        <v>0</v>
      </c>
      <c r="AG1285" t="str">
        <f t="shared" si="138"/>
        <v/>
      </c>
      <c r="AH1285" t="str">
        <f t="shared" si="139"/>
        <v/>
      </c>
      <c r="AI1285">
        <f t="shared" si="140"/>
        <v>0</v>
      </c>
      <c r="AJ1285">
        <f t="shared" si="141"/>
        <v>0</v>
      </c>
      <c r="AK1285">
        <v>0</v>
      </c>
      <c r="AL1285" t="str">
        <f>IF(AA1285="","",IFERROR(IF(ISNUMBER('Procyclean 130'!D286),'Procyclean 130'!D286,IF(ISNUMBER(SEARCH("12",'Procyclean 130'!D286)),EDATE(AB1285,12),IF(ISNUMBER(SEARCH("6",'Procyclean 130'!D286)),EDATE(AB1285,6),IF(ISNUMBER(SEARCH("3",'Procyclean 130'!D286)),EDATE(AB1285,3),DATEVALUE('Procyclean 130'!D286))))),""))</f>
        <v/>
      </c>
      <c r="AM1285" t="str">
        <f t="shared" ca="1" si="142"/>
        <v/>
      </c>
    </row>
    <row r="1286" spans="27:39" x14ac:dyDescent="0.3">
      <c r="AA1286" t="str">
        <f>IF(COUNTA('Procyclean 130'!A287,'Procyclean 130'!B287,'Procyclean 130'!C287)&gt;0,"130","")</f>
        <v/>
      </c>
      <c r="AB1286" t="str">
        <f>IFERROR(IF(ISNUMBER('Procyclean 130'!A287),'Procyclean 130'!A287,DATEVALUE('Procyclean 130'!A287)),"")</f>
        <v/>
      </c>
      <c r="AC1286" t="str">
        <f>IF(AA1286="","",'Procyclean 130'!B287)</f>
        <v/>
      </c>
      <c r="AD1286" t="str">
        <f>IF(AA1286="","",IFERROR(1*'Procyclean 130'!C287,IFERROR(_xludf.NUMBERVALUE('Procyclean 130'!C287,".",","),IFERROR(_xludf.NUMBERVALUE('Procyclean 130'!C287,",","."),0))))</f>
        <v/>
      </c>
      <c r="AE1286" t="str">
        <f>IF(AA1286="","",'Procyclean 130'!J287)</f>
        <v/>
      </c>
      <c r="AF1286">
        <f t="shared" si="137"/>
        <v>0</v>
      </c>
      <c r="AG1286" t="str">
        <f t="shared" si="138"/>
        <v/>
      </c>
      <c r="AH1286" t="str">
        <f t="shared" si="139"/>
        <v/>
      </c>
      <c r="AI1286">
        <f t="shared" si="140"/>
        <v>0</v>
      </c>
      <c r="AJ1286">
        <f t="shared" si="141"/>
        <v>0</v>
      </c>
      <c r="AK1286">
        <v>0</v>
      </c>
      <c r="AL1286" t="str">
        <f>IF(AA1286="","",IFERROR(IF(ISNUMBER('Procyclean 130'!D287),'Procyclean 130'!D287,IF(ISNUMBER(SEARCH("12",'Procyclean 130'!D287)),EDATE(AB1286,12),IF(ISNUMBER(SEARCH("6",'Procyclean 130'!D287)),EDATE(AB1286,6),IF(ISNUMBER(SEARCH("3",'Procyclean 130'!D287)),EDATE(AB1286,3),DATEVALUE('Procyclean 130'!D287))))),""))</f>
        <v/>
      </c>
      <c r="AM1286" t="str">
        <f t="shared" ca="1" si="142"/>
        <v/>
      </c>
    </row>
    <row r="1287" spans="27:39" x14ac:dyDescent="0.3">
      <c r="AA1287" t="str">
        <f>IF(COUNTA('Procyclean 130'!A288,'Procyclean 130'!B288,'Procyclean 130'!C288)&gt;0,"130","")</f>
        <v/>
      </c>
      <c r="AB1287" t="str">
        <f>IFERROR(IF(ISNUMBER('Procyclean 130'!A288),'Procyclean 130'!A288,DATEVALUE('Procyclean 130'!A288)),"")</f>
        <v/>
      </c>
      <c r="AC1287" t="str">
        <f>IF(AA1287="","",'Procyclean 130'!B288)</f>
        <v/>
      </c>
      <c r="AD1287" t="str">
        <f>IF(AA1287="","",IFERROR(1*'Procyclean 130'!C288,IFERROR(_xludf.NUMBERVALUE('Procyclean 130'!C288,".",","),IFERROR(_xludf.NUMBERVALUE('Procyclean 130'!C288,",","."),0))))</f>
        <v/>
      </c>
      <c r="AE1287" t="str">
        <f>IF(AA1287="","",'Procyclean 130'!J288)</f>
        <v/>
      </c>
      <c r="AF1287">
        <f t="shared" si="137"/>
        <v>0</v>
      </c>
      <c r="AG1287" t="str">
        <f t="shared" si="138"/>
        <v/>
      </c>
      <c r="AH1287" t="str">
        <f t="shared" si="139"/>
        <v/>
      </c>
      <c r="AI1287">
        <f t="shared" si="140"/>
        <v>0</v>
      </c>
      <c r="AJ1287">
        <f t="shared" si="141"/>
        <v>0</v>
      </c>
      <c r="AK1287">
        <v>0</v>
      </c>
      <c r="AL1287" t="str">
        <f>IF(AA1287="","",IFERROR(IF(ISNUMBER('Procyclean 130'!D288),'Procyclean 130'!D288,IF(ISNUMBER(SEARCH("12",'Procyclean 130'!D288)),EDATE(AB1287,12),IF(ISNUMBER(SEARCH("6",'Procyclean 130'!D288)),EDATE(AB1287,6),IF(ISNUMBER(SEARCH("3",'Procyclean 130'!D288)),EDATE(AB1287,3),DATEVALUE('Procyclean 130'!D288))))),""))</f>
        <v/>
      </c>
      <c r="AM1287" t="str">
        <f t="shared" ca="1" si="142"/>
        <v/>
      </c>
    </row>
    <row r="1288" spans="27:39" x14ac:dyDescent="0.3">
      <c r="AA1288" t="str">
        <f>IF(COUNTA('Procyclean 130'!A289,'Procyclean 130'!B289,'Procyclean 130'!C289)&gt;0,"130","")</f>
        <v/>
      </c>
      <c r="AB1288" t="str">
        <f>IFERROR(IF(ISNUMBER('Procyclean 130'!A289),'Procyclean 130'!A289,DATEVALUE('Procyclean 130'!A289)),"")</f>
        <v/>
      </c>
      <c r="AC1288" t="str">
        <f>IF(AA1288="","",'Procyclean 130'!B289)</f>
        <v/>
      </c>
      <c r="AD1288" t="str">
        <f>IF(AA1288="","",IFERROR(1*'Procyclean 130'!C289,IFERROR(_xludf.NUMBERVALUE('Procyclean 130'!C289,".",","),IFERROR(_xludf.NUMBERVALUE('Procyclean 130'!C289,",","."),0))))</f>
        <v/>
      </c>
      <c r="AE1288" t="str">
        <f>IF(AA1288="","",'Procyclean 130'!J289)</f>
        <v/>
      </c>
      <c r="AF1288">
        <f t="shared" si="137"/>
        <v>0</v>
      </c>
      <c r="AG1288" t="str">
        <f t="shared" si="138"/>
        <v/>
      </c>
      <c r="AH1288" t="str">
        <f t="shared" si="139"/>
        <v/>
      </c>
      <c r="AI1288">
        <f t="shared" si="140"/>
        <v>0</v>
      </c>
      <c r="AJ1288">
        <f t="shared" si="141"/>
        <v>0</v>
      </c>
      <c r="AK1288">
        <v>0</v>
      </c>
      <c r="AL1288" t="str">
        <f>IF(AA1288="","",IFERROR(IF(ISNUMBER('Procyclean 130'!D289),'Procyclean 130'!D289,IF(ISNUMBER(SEARCH("12",'Procyclean 130'!D289)),EDATE(AB1288,12),IF(ISNUMBER(SEARCH("6",'Procyclean 130'!D289)),EDATE(AB1288,6),IF(ISNUMBER(SEARCH("3",'Procyclean 130'!D289)),EDATE(AB1288,3),DATEVALUE('Procyclean 130'!D289))))),""))</f>
        <v/>
      </c>
      <c r="AM1288" t="str">
        <f t="shared" ca="1" si="142"/>
        <v/>
      </c>
    </row>
    <row r="1289" spans="27:39" x14ac:dyDescent="0.3">
      <c r="AA1289" t="str">
        <f>IF(COUNTA('Procyclean 130'!A290,'Procyclean 130'!B290,'Procyclean 130'!C290)&gt;0,"130","")</f>
        <v/>
      </c>
      <c r="AB1289" t="str">
        <f>IFERROR(IF(ISNUMBER('Procyclean 130'!A290),'Procyclean 130'!A290,DATEVALUE('Procyclean 130'!A290)),"")</f>
        <v/>
      </c>
      <c r="AC1289" t="str">
        <f>IF(AA1289="","",'Procyclean 130'!B290)</f>
        <v/>
      </c>
      <c r="AD1289" t="str">
        <f>IF(AA1289="","",IFERROR(1*'Procyclean 130'!C290,IFERROR(_xludf.NUMBERVALUE('Procyclean 130'!C290,".",","),IFERROR(_xludf.NUMBERVALUE('Procyclean 130'!C290,",","."),0))))</f>
        <v/>
      </c>
      <c r="AE1289" t="str">
        <f>IF(AA1289="","",'Procyclean 130'!J290)</f>
        <v/>
      </c>
      <c r="AF1289">
        <f t="shared" si="137"/>
        <v>0</v>
      </c>
      <c r="AG1289" t="str">
        <f t="shared" si="138"/>
        <v/>
      </c>
      <c r="AH1289" t="str">
        <f t="shared" si="139"/>
        <v/>
      </c>
      <c r="AI1289">
        <f t="shared" si="140"/>
        <v>0</v>
      </c>
      <c r="AJ1289">
        <f t="shared" si="141"/>
        <v>0</v>
      </c>
      <c r="AK1289">
        <v>0</v>
      </c>
      <c r="AL1289" t="str">
        <f>IF(AA1289="","",IFERROR(IF(ISNUMBER('Procyclean 130'!D290),'Procyclean 130'!D290,IF(ISNUMBER(SEARCH("12",'Procyclean 130'!D290)),EDATE(AB1289,12),IF(ISNUMBER(SEARCH("6",'Procyclean 130'!D290)),EDATE(AB1289,6),IF(ISNUMBER(SEARCH("3",'Procyclean 130'!D290)),EDATE(AB1289,3),DATEVALUE('Procyclean 130'!D290))))),""))</f>
        <v/>
      </c>
      <c r="AM1289" t="str">
        <f t="shared" ca="1" si="142"/>
        <v/>
      </c>
    </row>
    <row r="1290" spans="27:39" x14ac:dyDescent="0.3">
      <c r="AA1290" t="str">
        <f>IF(COUNTA('Procyclean 130'!A291,'Procyclean 130'!B291,'Procyclean 130'!C291)&gt;0,"130","")</f>
        <v/>
      </c>
      <c r="AB1290" t="str">
        <f>IFERROR(IF(ISNUMBER('Procyclean 130'!A291),'Procyclean 130'!A291,DATEVALUE('Procyclean 130'!A291)),"")</f>
        <v/>
      </c>
      <c r="AC1290" t="str">
        <f>IF(AA1290="","",'Procyclean 130'!B291)</f>
        <v/>
      </c>
      <c r="AD1290" t="str">
        <f>IF(AA1290="","",IFERROR(1*'Procyclean 130'!C291,IFERROR(_xludf.NUMBERVALUE('Procyclean 130'!C291,".",","),IFERROR(_xludf.NUMBERVALUE('Procyclean 130'!C291,",","."),0))))</f>
        <v/>
      </c>
      <c r="AE1290" t="str">
        <f>IF(AA1290="","",'Procyclean 130'!J291)</f>
        <v/>
      </c>
      <c r="AF1290">
        <f t="shared" si="137"/>
        <v>0</v>
      </c>
      <c r="AG1290" t="str">
        <f t="shared" si="138"/>
        <v/>
      </c>
      <c r="AH1290" t="str">
        <f t="shared" si="139"/>
        <v/>
      </c>
      <c r="AI1290">
        <f t="shared" si="140"/>
        <v>0</v>
      </c>
      <c r="AJ1290">
        <f t="shared" si="141"/>
        <v>0</v>
      </c>
      <c r="AK1290">
        <v>0</v>
      </c>
      <c r="AL1290" t="str">
        <f>IF(AA1290="","",IFERROR(IF(ISNUMBER('Procyclean 130'!D291),'Procyclean 130'!D291,IF(ISNUMBER(SEARCH("12",'Procyclean 130'!D291)),EDATE(AB1290,12),IF(ISNUMBER(SEARCH("6",'Procyclean 130'!D291)),EDATE(AB1290,6),IF(ISNUMBER(SEARCH("3",'Procyclean 130'!D291)),EDATE(AB1290,3),DATEVALUE('Procyclean 130'!D291))))),""))</f>
        <v/>
      </c>
      <c r="AM1290" t="str">
        <f t="shared" ca="1" si="142"/>
        <v/>
      </c>
    </row>
    <row r="1291" spans="27:39" x14ac:dyDescent="0.3">
      <c r="AA1291" t="str">
        <f>IF(COUNTA('Procyclean 130'!A292,'Procyclean 130'!B292,'Procyclean 130'!C292)&gt;0,"130","")</f>
        <v/>
      </c>
      <c r="AB1291" t="str">
        <f>IFERROR(IF(ISNUMBER('Procyclean 130'!A292),'Procyclean 130'!A292,DATEVALUE('Procyclean 130'!A292)),"")</f>
        <v/>
      </c>
      <c r="AC1291" t="str">
        <f>IF(AA1291="","",'Procyclean 130'!B292)</f>
        <v/>
      </c>
      <c r="AD1291" t="str">
        <f>IF(AA1291="","",IFERROR(1*'Procyclean 130'!C292,IFERROR(_xludf.NUMBERVALUE('Procyclean 130'!C292,".",","),IFERROR(_xludf.NUMBERVALUE('Procyclean 130'!C292,",","."),0))))</f>
        <v/>
      </c>
      <c r="AE1291" t="str">
        <f>IF(AA1291="","",'Procyclean 130'!J292)</f>
        <v/>
      </c>
      <c r="AF1291">
        <f t="shared" si="137"/>
        <v>0</v>
      </c>
      <c r="AG1291" t="str">
        <f t="shared" si="138"/>
        <v/>
      </c>
      <c r="AH1291" t="str">
        <f t="shared" si="139"/>
        <v/>
      </c>
      <c r="AI1291">
        <f t="shared" si="140"/>
        <v>0</v>
      </c>
      <c r="AJ1291">
        <f t="shared" si="141"/>
        <v>0</v>
      </c>
      <c r="AK1291">
        <v>0</v>
      </c>
      <c r="AL1291" t="str">
        <f>IF(AA1291="","",IFERROR(IF(ISNUMBER('Procyclean 130'!D292),'Procyclean 130'!D292,IF(ISNUMBER(SEARCH("12",'Procyclean 130'!D292)),EDATE(AB1291,12),IF(ISNUMBER(SEARCH("6",'Procyclean 130'!D292)),EDATE(AB1291,6),IF(ISNUMBER(SEARCH("3",'Procyclean 130'!D292)),EDATE(AB1291,3),DATEVALUE('Procyclean 130'!D292))))),""))</f>
        <v/>
      </c>
      <c r="AM1291" t="str">
        <f t="shared" ca="1" si="142"/>
        <v/>
      </c>
    </row>
    <row r="1292" spans="27:39" x14ac:dyDescent="0.3">
      <c r="AA1292" t="str">
        <f>IF(COUNTA('Procyclean 130'!A293,'Procyclean 130'!B293,'Procyclean 130'!C293)&gt;0,"130","")</f>
        <v/>
      </c>
      <c r="AB1292" t="str">
        <f>IFERROR(IF(ISNUMBER('Procyclean 130'!A293),'Procyclean 130'!A293,DATEVALUE('Procyclean 130'!A293)),"")</f>
        <v/>
      </c>
      <c r="AC1292" t="str">
        <f>IF(AA1292="","",'Procyclean 130'!B293)</f>
        <v/>
      </c>
      <c r="AD1292" t="str">
        <f>IF(AA1292="","",IFERROR(1*'Procyclean 130'!C293,IFERROR(_xludf.NUMBERVALUE('Procyclean 130'!C293,".",","),IFERROR(_xludf.NUMBERVALUE('Procyclean 130'!C293,",","."),0))))</f>
        <v/>
      </c>
      <c r="AE1292" t="str">
        <f>IF(AA1292="","",'Procyclean 130'!J293)</f>
        <v/>
      </c>
      <c r="AF1292">
        <f t="shared" si="137"/>
        <v>0</v>
      </c>
      <c r="AG1292" t="str">
        <f t="shared" si="138"/>
        <v/>
      </c>
      <c r="AH1292" t="str">
        <f t="shared" si="139"/>
        <v/>
      </c>
      <c r="AI1292">
        <f t="shared" si="140"/>
        <v>0</v>
      </c>
      <c r="AJ1292">
        <f t="shared" si="141"/>
        <v>0</v>
      </c>
      <c r="AK1292">
        <v>0</v>
      </c>
      <c r="AL1292" t="str">
        <f>IF(AA1292="","",IFERROR(IF(ISNUMBER('Procyclean 130'!D293),'Procyclean 130'!D293,IF(ISNUMBER(SEARCH("12",'Procyclean 130'!D293)),EDATE(AB1292,12),IF(ISNUMBER(SEARCH("6",'Procyclean 130'!D293)),EDATE(AB1292,6),IF(ISNUMBER(SEARCH("3",'Procyclean 130'!D293)),EDATE(AB1292,3),DATEVALUE('Procyclean 130'!D293))))),""))</f>
        <v/>
      </c>
      <c r="AM1292" t="str">
        <f t="shared" ca="1" si="142"/>
        <v/>
      </c>
    </row>
    <row r="1293" spans="27:39" x14ac:dyDescent="0.3">
      <c r="AA1293" t="str">
        <f>IF(COUNTA('Procyclean 130'!A294,'Procyclean 130'!B294,'Procyclean 130'!C294)&gt;0,"130","")</f>
        <v/>
      </c>
      <c r="AB1293" t="str">
        <f>IFERROR(IF(ISNUMBER('Procyclean 130'!A294),'Procyclean 130'!A294,DATEVALUE('Procyclean 130'!A294)),"")</f>
        <v/>
      </c>
      <c r="AC1293" t="str">
        <f>IF(AA1293="","",'Procyclean 130'!B294)</f>
        <v/>
      </c>
      <c r="AD1293" t="str">
        <f>IF(AA1293="","",IFERROR(1*'Procyclean 130'!C294,IFERROR(_xludf.NUMBERVALUE('Procyclean 130'!C294,".",","),IFERROR(_xludf.NUMBERVALUE('Procyclean 130'!C294,",","."),0))))</f>
        <v/>
      </c>
      <c r="AE1293" t="str">
        <f>IF(AA1293="","",'Procyclean 130'!J294)</f>
        <v/>
      </c>
      <c r="AF1293">
        <f t="shared" si="137"/>
        <v>0</v>
      </c>
      <c r="AG1293" t="str">
        <f t="shared" si="138"/>
        <v/>
      </c>
      <c r="AH1293" t="str">
        <f t="shared" si="139"/>
        <v/>
      </c>
      <c r="AI1293">
        <f t="shared" si="140"/>
        <v>0</v>
      </c>
      <c r="AJ1293">
        <f t="shared" si="141"/>
        <v>0</v>
      </c>
      <c r="AK1293">
        <v>0</v>
      </c>
      <c r="AL1293" t="str">
        <f>IF(AA1293="","",IFERROR(IF(ISNUMBER('Procyclean 130'!D294),'Procyclean 130'!D294,IF(ISNUMBER(SEARCH("12",'Procyclean 130'!D294)),EDATE(AB1293,12),IF(ISNUMBER(SEARCH("6",'Procyclean 130'!D294)),EDATE(AB1293,6),IF(ISNUMBER(SEARCH("3",'Procyclean 130'!D294)),EDATE(AB1293,3),DATEVALUE('Procyclean 130'!D294))))),""))</f>
        <v/>
      </c>
      <c r="AM1293" t="str">
        <f t="shared" ca="1" si="142"/>
        <v/>
      </c>
    </row>
    <row r="1294" spans="27:39" x14ac:dyDescent="0.3">
      <c r="AA1294" t="str">
        <f>IF(COUNTA('Procyclean 130'!A295,'Procyclean 130'!B295,'Procyclean 130'!C295)&gt;0,"130","")</f>
        <v/>
      </c>
      <c r="AB1294" t="str">
        <f>IFERROR(IF(ISNUMBER('Procyclean 130'!A295),'Procyclean 130'!A295,DATEVALUE('Procyclean 130'!A295)),"")</f>
        <v/>
      </c>
      <c r="AC1294" t="str">
        <f>IF(AA1294="","",'Procyclean 130'!B295)</f>
        <v/>
      </c>
      <c r="AD1294" t="str">
        <f>IF(AA1294="","",IFERROR(1*'Procyclean 130'!C295,IFERROR(_xludf.NUMBERVALUE('Procyclean 130'!C295,".",","),IFERROR(_xludf.NUMBERVALUE('Procyclean 130'!C295,",","."),0))))</f>
        <v/>
      </c>
      <c r="AE1294" t="str">
        <f>IF(AA1294="","",'Procyclean 130'!J295)</f>
        <v/>
      </c>
      <c r="AF1294">
        <f t="shared" si="137"/>
        <v>0</v>
      </c>
      <c r="AG1294" t="str">
        <f t="shared" si="138"/>
        <v/>
      </c>
      <c r="AH1294" t="str">
        <f t="shared" si="139"/>
        <v/>
      </c>
      <c r="AI1294">
        <f t="shared" si="140"/>
        <v>0</v>
      </c>
      <c r="AJ1294">
        <f t="shared" si="141"/>
        <v>0</v>
      </c>
      <c r="AK1294">
        <v>0</v>
      </c>
      <c r="AL1294" t="str">
        <f>IF(AA1294="","",IFERROR(IF(ISNUMBER('Procyclean 130'!D295),'Procyclean 130'!D295,IF(ISNUMBER(SEARCH("12",'Procyclean 130'!D295)),EDATE(AB1294,12),IF(ISNUMBER(SEARCH("6",'Procyclean 130'!D295)),EDATE(AB1294,6),IF(ISNUMBER(SEARCH("3",'Procyclean 130'!D295)),EDATE(AB1294,3),DATEVALUE('Procyclean 130'!D295))))),""))</f>
        <v/>
      </c>
      <c r="AM1294" t="str">
        <f t="shared" ca="1" si="142"/>
        <v/>
      </c>
    </row>
    <row r="1295" spans="27:39" x14ac:dyDescent="0.3">
      <c r="AA1295" t="str">
        <f>IF(COUNTA('Procyclean 130'!A296,'Procyclean 130'!B296,'Procyclean 130'!C296)&gt;0,"130","")</f>
        <v/>
      </c>
      <c r="AB1295" t="str">
        <f>IFERROR(IF(ISNUMBER('Procyclean 130'!A296),'Procyclean 130'!A296,DATEVALUE('Procyclean 130'!A296)),"")</f>
        <v/>
      </c>
      <c r="AC1295" t="str">
        <f>IF(AA1295="","",'Procyclean 130'!B296)</f>
        <v/>
      </c>
      <c r="AD1295" t="str">
        <f>IF(AA1295="","",IFERROR(1*'Procyclean 130'!C296,IFERROR(_xludf.NUMBERVALUE('Procyclean 130'!C296,".",","),IFERROR(_xludf.NUMBERVALUE('Procyclean 130'!C296,",","."),0))))</f>
        <v/>
      </c>
      <c r="AE1295" t="str">
        <f>IF(AA1295="","",'Procyclean 130'!J296)</f>
        <v/>
      </c>
      <c r="AF1295">
        <f t="shared" si="137"/>
        <v>0</v>
      </c>
      <c r="AG1295" t="str">
        <f t="shared" si="138"/>
        <v/>
      </c>
      <c r="AH1295" t="str">
        <f t="shared" si="139"/>
        <v/>
      </c>
      <c r="AI1295">
        <f t="shared" si="140"/>
        <v>0</v>
      </c>
      <c r="AJ1295">
        <f t="shared" si="141"/>
        <v>0</v>
      </c>
      <c r="AK1295">
        <v>0</v>
      </c>
      <c r="AL1295" t="str">
        <f>IF(AA1295="","",IFERROR(IF(ISNUMBER('Procyclean 130'!D296),'Procyclean 130'!D296,IF(ISNUMBER(SEARCH("12",'Procyclean 130'!D296)),EDATE(AB1295,12),IF(ISNUMBER(SEARCH("6",'Procyclean 130'!D296)),EDATE(AB1295,6),IF(ISNUMBER(SEARCH("3",'Procyclean 130'!D296)),EDATE(AB1295,3),DATEVALUE('Procyclean 130'!D296))))),""))</f>
        <v/>
      </c>
      <c r="AM1295" t="str">
        <f t="shared" ca="1" si="142"/>
        <v/>
      </c>
    </row>
    <row r="1296" spans="27:39" x14ac:dyDescent="0.3">
      <c r="AA1296" t="str">
        <f>IF(COUNTA('Procyclean 130'!A297,'Procyclean 130'!B297,'Procyclean 130'!C297)&gt;0,"130","")</f>
        <v/>
      </c>
      <c r="AB1296" t="str">
        <f>IFERROR(IF(ISNUMBER('Procyclean 130'!A297),'Procyclean 130'!A297,DATEVALUE('Procyclean 130'!A297)),"")</f>
        <v/>
      </c>
      <c r="AC1296" t="str">
        <f>IF(AA1296="","",'Procyclean 130'!B297)</f>
        <v/>
      </c>
      <c r="AD1296" t="str">
        <f>IF(AA1296="","",IFERROR(1*'Procyclean 130'!C297,IFERROR(_xludf.NUMBERVALUE('Procyclean 130'!C297,".",","),IFERROR(_xludf.NUMBERVALUE('Procyclean 130'!C297,",","."),0))))</f>
        <v/>
      </c>
      <c r="AE1296" t="str">
        <f>IF(AA1296="","",'Procyclean 130'!J297)</f>
        <v/>
      </c>
      <c r="AF1296">
        <f t="shared" si="137"/>
        <v>0</v>
      </c>
      <c r="AG1296" t="str">
        <f t="shared" si="138"/>
        <v/>
      </c>
      <c r="AH1296" t="str">
        <f t="shared" si="139"/>
        <v/>
      </c>
      <c r="AI1296">
        <f t="shared" si="140"/>
        <v>0</v>
      </c>
      <c r="AJ1296">
        <f t="shared" si="141"/>
        <v>0</v>
      </c>
      <c r="AK1296">
        <v>0</v>
      </c>
      <c r="AL1296" t="str">
        <f>IF(AA1296="","",IFERROR(IF(ISNUMBER('Procyclean 130'!D297),'Procyclean 130'!D297,IF(ISNUMBER(SEARCH("12",'Procyclean 130'!D297)),EDATE(AB1296,12),IF(ISNUMBER(SEARCH("6",'Procyclean 130'!D297)),EDATE(AB1296,6),IF(ISNUMBER(SEARCH("3",'Procyclean 130'!D297)),EDATE(AB1296,3),DATEVALUE('Procyclean 130'!D297))))),""))</f>
        <v/>
      </c>
      <c r="AM1296" t="str">
        <f t="shared" ca="1" si="142"/>
        <v/>
      </c>
    </row>
    <row r="1297" spans="27:39" x14ac:dyDescent="0.3">
      <c r="AA1297" t="str">
        <f>IF(COUNTA('Procyclean 130'!A298,'Procyclean 130'!B298,'Procyclean 130'!C298)&gt;0,"130","")</f>
        <v/>
      </c>
      <c r="AB1297" t="str">
        <f>IFERROR(IF(ISNUMBER('Procyclean 130'!A298),'Procyclean 130'!A298,DATEVALUE('Procyclean 130'!A298)),"")</f>
        <v/>
      </c>
      <c r="AC1297" t="str">
        <f>IF(AA1297="","",'Procyclean 130'!B298)</f>
        <v/>
      </c>
      <c r="AD1297" t="str">
        <f>IF(AA1297="","",IFERROR(1*'Procyclean 130'!C298,IFERROR(_xludf.NUMBERVALUE('Procyclean 130'!C298,".",","),IFERROR(_xludf.NUMBERVALUE('Procyclean 130'!C298,",","."),0))))</f>
        <v/>
      </c>
      <c r="AE1297" t="str">
        <f>IF(AA1297="","",'Procyclean 130'!J298)</f>
        <v/>
      </c>
      <c r="AF1297">
        <f t="shared" si="137"/>
        <v>0</v>
      </c>
      <c r="AG1297" t="str">
        <f t="shared" si="138"/>
        <v/>
      </c>
      <c r="AH1297" t="str">
        <f t="shared" si="139"/>
        <v/>
      </c>
      <c r="AI1297">
        <f t="shared" si="140"/>
        <v>0</v>
      </c>
      <c r="AJ1297">
        <f t="shared" si="141"/>
        <v>0</v>
      </c>
      <c r="AK1297">
        <v>0</v>
      </c>
      <c r="AL1297" t="str">
        <f>IF(AA1297="","",IFERROR(IF(ISNUMBER('Procyclean 130'!D298),'Procyclean 130'!D298,IF(ISNUMBER(SEARCH("12",'Procyclean 130'!D298)),EDATE(AB1297,12),IF(ISNUMBER(SEARCH("6",'Procyclean 130'!D298)),EDATE(AB1297,6),IF(ISNUMBER(SEARCH("3",'Procyclean 130'!D298)),EDATE(AB1297,3),DATEVALUE('Procyclean 130'!D298))))),""))</f>
        <v/>
      </c>
      <c r="AM1297" t="str">
        <f t="shared" ca="1" si="142"/>
        <v/>
      </c>
    </row>
    <row r="1298" spans="27:39" x14ac:dyDescent="0.3">
      <c r="AA1298" t="str">
        <f>IF(COUNTA('Procyclean 130'!A299,'Procyclean 130'!B299,'Procyclean 130'!C299)&gt;0,"130","")</f>
        <v/>
      </c>
      <c r="AB1298" t="str">
        <f>IFERROR(IF(ISNUMBER('Procyclean 130'!A299),'Procyclean 130'!A299,DATEVALUE('Procyclean 130'!A299)),"")</f>
        <v/>
      </c>
      <c r="AC1298" t="str">
        <f>IF(AA1298="","",'Procyclean 130'!B299)</f>
        <v/>
      </c>
      <c r="AD1298" t="str">
        <f>IF(AA1298="","",IFERROR(1*'Procyclean 130'!C299,IFERROR(_xludf.NUMBERVALUE('Procyclean 130'!C299,".",","),IFERROR(_xludf.NUMBERVALUE('Procyclean 130'!C299,",","."),0))))</f>
        <v/>
      </c>
      <c r="AE1298" t="str">
        <f>IF(AA1298="","",'Procyclean 130'!J299)</f>
        <v/>
      </c>
      <c r="AF1298">
        <f t="shared" si="137"/>
        <v>0</v>
      </c>
      <c r="AG1298" t="str">
        <f t="shared" si="138"/>
        <v/>
      </c>
      <c r="AH1298" t="str">
        <f t="shared" si="139"/>
        <v/>
      </c>
      <c r="AI1298">
        <f t="shared" si="140"/>
        <v>0</v>
      </c>
      <c r="AJ1298">
        <f t="shared" si="141"/>
        <v>0</v>
      </c>
      <c r="AK1298">
        <v>0</v>
      </c>
      <c r="AL1298" t="str">
        <f>IF(AA1298="","",IFERROR(IF(ISNUMBER('Procyclean 130'!D299),'Procyclean 130'!D299,IF(ISNUMBER(SEARCH("12",'Procyclean 130'!D299)),EDATE(AB1298,12),IF(ISNUMBER(SEARCH("6",'Procyclean 130'!D299)),EDATE(AB1298,6),IF(ISNUMBER(SEARCH("3",'Procyclean 130'!D299)),EDATE(AB1298,3),DATEVALUE('Procyclean 130'!D299))))),""))</f>
        <v/>
      </c>
      <c r="AM1298" t="str">
        <f t="shared" ca="1" si="142"/>
        <v/>
      </c>
    </row>
    <row r="1299" spans="27:39" x14ac:dyDescent="0.3">
      <c r="AA1299" t="str">
        <f>IF(COUNTA('Procyclean 130'!A300,'Procyclean 130'!B300,'Procyclean 130'!C300)&gt;0,"130","")</f>
        <v/>
      </c>
      <c r="AB1299" t="str">
        <f>IFERROR(IF(ISNUMBER('Procyclean 130'!A300),'Procyclean 130'!A300,DATEVALUE('Procyclean 130'!A300)),"")</f>
        <v/>
      </c>
      <c r="AC1299" t="str">
        <f>IF(AA1299="","",'Procyclean 130'!B300)</f>
        <v/>
      </c>
      <c r="AD1299" t="str">
        <f>IF(AA1299="","",IFERROR(1*'Procyclean 130'!C300,IFERROR(_xludf.NUMBERVALUE('Procyclean 130'!C300,".",","),IFERROR(_xludf.NUMBERVALUE('Procyclean 130'!C300,",","."),0))))</f>
        <v/>
      </c>
      <c r="AE1299" t="str">
        <f>IF(AA1299="","",'Procyclean 130'!J300)</f>
        <v/>
      </c>
      <c r="AF1299">
        <f t="shared" si="137"/>
        <v>0</v>
      </c>
      <c r="AG1299" t="str">
        <f t="shared" si="138"/>
        <v/>
      </c>
      <c r="AH1299" t="str">
        <f t="shared" si="139"/>
        <v/>
      </c>
      <c r="AI1299">
        <f t="shared" si="140"/>
        <v>0</v>
      </c>
      <c r="AJ1299">
        <f t="shared" si="141"/>
        <v>0</v>
      </c>
      <c r="AK1299">
        <v>0</v>
      </c>
      <c r="AL1299" t="str">
        <f>IF(AA1299="","",IFERROR(IF(ISNUMBER('Procyclean 130'!D300),'Procyclean 130'!D300,IF(ISNUMBER(SEARCH("12",'Procyclean 130'!D300)),EDATE(AB1299,12),IF(ISNUMBER(SEARCH("6",'Procyclean 130'!D300)),EDATE(AB1299,6),IF(ISNUMBER(SEARCH("3",'Procyclean 130'!D300)),EDATE(AB1299,3),DATEVALUE('Procyclean 130'!D300))))),""))</f>
        <v/>
      </c>
      <c r="AM1299" t="str">
        <f t="shared" ca="1" si="142"/>
        <v/>
      </c>
    </row>
    <row r="1300" spans="27:39" x14ac:dyDescent="0.3">
      <c r="AA1300" t="str">
        <f>IF(COUNTA('Procyclean 130'!A301,'Procyclean 130'!B301,'Procyclean 130'!C301)&gt;0,"130","")</f>
        <v/>
      </c>
      <c r="AB1300" t="str">
        <f>IFERROR(IF(ISNUMBER('Procyclean 130'!A301),'Procyclean 130'!A301,DATEVALUE('Procyclean 130'!A301)),"")</f>
        <v/>
      </c>
      <c r="AC1300" t="str">
        <f>IF(AA1300="","",'Procyclean 130'!B301)</f>
        <v/>
      </c>
      <c r="AD1300" t="str">
        <f>IF(AA1300="","",IFERROR(1*'Procyclean 130'!C301,IFERROR(_xludf.NUMBERVALUE('Procyclean 130'!C301,".",","),IFERROR(_xludf.NUMBERVALUE('Procyclean 130'!C301,",","."),0))))</f>
        <v/>
      </c>
      <c r="AE1300" t="str">
        <f>IF(AA1300="","",'Procyclean 130'!J301)</f>
        <v/>
      </c>
      <c r="AF1300">
        <f t="shared" si="137"/>
        <v>0</v>
      </c>
      <c r="AG1300" t="str">
        <f t="shared" si="138"/>
        <v/>
      </c>
      <c r="AH1300" t="str">
        <f t="shared" si="139"/>
        <v/>
      </c>
      <c r="AI1300">
        <f t="shared" si="140"/>
        <v>0</v>
      </c>
      <c r="AJ1300">
        <f t="shared" si="141"/>
        <v>0</v>
      </c>
      <c r="AK1300">
        <v>0</v>
      </c>
      <c r="AL1300" t="str">
        <f>IF(AA1300="","",IFERROR(IF(ISNUMBER('Procyclean 130'!D301),'Procyclean 130'!D301,IF(ISNUMBER(SEARCH("12",'Procyclean 130'!D301)),EDATE(AB1300,12),IF(ISNUMBER(SEARCH("6",'Procyclean 130'!D301)),EDATE(AB1300,6),IF(ISNUMBER(SEARCH("3",'Procyclean 130'!D301)),EDATE(AB1300,3),DATEVALUE('Procyclean 130'!D301))))),""))</f>
        <v/>
      </c>
      <c r="AM1300" t="str">
        <f t="shared" ca="1" si="142"/>
        <v/>
      </c>
    </row>
    <row r="1301" spans="27:39" x14ac:dyDescent="0.3">
      <c r="AA1301" t="str">
        <f>IF(COUNTA('Procyclean 130'!A302,'Procyclean 130'!B302,'Procyclean 130'!C302)&gt;0,"130","")</f>
        <v/>
      </c>
      <c r="AB1301" t="str">
        <f>IFERROR(IF(ISNUMBER('Procyclean 130'!A302),'Procyclean 130'!A302,DATEVALUE('Procyclean 130'!A302)),"")</f>
        <v/>
      </c>
      <c r="AC1301" t="str">
        <f>IF(AA1301="","",'Procyclean 130'!B302)</f>
        <v/>
      </c>
      <c r="AD1301" t="str">
        <f>IF(AA1301="","",IFERROR(1*'Procyclean 130'!C302,IFERROR(_xludf.NUMBERVALUE('Procyclean 130'!C302,".",","),IFERROR(_xludf.NUMBERVALUE('Procyclean 130'!C302,",","."),0))))</f>
        <v/>
      </c>
      <c r="AE1301" t="str">
        <f>IF(AA1301="","",'Procyclean 130'!J302)</f>
        <v/>
      </c>
      <c r="AF1301">
        <f t="shared" si="137"/>
        <v>0</v>
      </c>
      <c r="AG1301" t="str">
        <f t="shared" si="138"/>
        <v/>
      </c>
      <c r="AH1301" t="str">
        <f t="shared" si="139"/>
        <v/>
      </c>
      <c r="AI1301">
        <f t="shared" si="140"/>
        <v>0</v>
      </c>
      <c r="AJ1301">
        <f t="shared" si="141"/>
        <v>0</v>
      </c>
      <c r="AK1301">
        <v>0</v>
      </c>
      <c r="AL1301" t="str">
        <f>IF(AA1301="","",IFERROR(IF(ISNUMBER('Procyclean 130'!D302),'Procyclean 130'!D302,IF(ISNUMBER(SEARCH("12",'Procyclean 130'!D302)),EDATE(AB1301,12),IF(ISNUMBER(SEARCH("6",'Procyclean 130'!D302)),EDATE(AB1301,6),IF(ISNUMBER(SEARCH("3",'Procyclean 130'!D302)),EDATE(AB1301,3),DATEVALUE('Procyclean 130'!D302))))),""))</f>
        <v/>
      </c>
      <c r="AM1301" t="str">
        <f t="shared" ca="1" si="142"/>
        <v/>
      </c>
    </row>
    <row r="1302" spans="27:39" x14ac:dyDescent="0.3">
      <c r="AA1302" t="str">
        <f>IF(COUNTA('Procyclean 130'!A303,'Procyclean 130'!B303,'Procyclean 130'!C303)&gt;0,"130","")</f>
        <v/>
      </c>
      <c r="AB1302" t="str">
        <f>IFERROR(IF(ISNUMBER('Procyclean 130'!A303),'Procyclean 130'!A303,DATEVALUE('Procyclean 130'!A303)),"")</f>
        <v/>
      </c>
      <c r="AC1302" t="str">
        <f>IF(AA1302="","",'Procyclean 130'!B303)</f>
        <v/>
      </c>
      <c r="AD1302" t="str">
        <f>IF(AA1302="","",IFERROR(1*'Procyclean 130'!C303,IFERROR(_xludf.NUMBERVALUE('Procyclean 130'!C303,".",","),IFERROR(_xludf.NUMBERVALUE('Procyclean 130'!C303,",","."),0))))</f>
        <v/>
      </c>
      <c r="AE1302" t="str">
        <f>IF(AA1302="","",'Procyclean 130'!J303)</f>
        <v/>
      </c>
      <c r="AF1302">
        <f t="shared" si="137"/>
        <v>0</v>
      </c>
      <c r="AG1302" t="str">
        <f t="shared" si="138"/>
        <v/>
      </c>
      <c r="AH1302" t="str">
        <f t="shared" si="139"/>
        <v/>
      </c>
      <c r="AI1302">
        <f t="shared" si="140"/>
        <v>0</v>
      </c>
      <c r="AJ1302">
        <f t="shared" si="141"/>
        <v>0</v>
      </c>
      <c r="AK1302">
        <v>0</v>
      </c>
      <c r="AL1302" t="str">
        <f>IF(AA1302="","",IFERROR(IF(ISNUMBER('Procyclean 130'!D303),'Procyclean 130'!D303,IF(ISNUMBER(SEARCH("12",'Procyclean 130'!D303)),EDATE(AB1302,12),IF(ISNUMBER(SEARCH("6",'Procyclean 130'!D303)),EDATE(AB1302,6),IF(ISNUMBER(SEARCH("3",'Procyclean 130'!D303)),EDATE(AB1302,3),DATEVALUE('Procyclean 130'!D303))))),""))</f>
        <v/>
      </c>
      <c r="AM1302" t="str">
        <f t="shared" ca="1" si="142"/>
        <v/>
      </c>
    </row>
    <row r="1303" spans="27:39" x14ac:dyDescent="0.3">
      <c r="AA1303" t="str">
        <f>IF(COUNTA('Procyclean 130'!A304,'Procyclean 130'!B304,'Procyclean 130'!C304)&gt;0,"130","")</f>
        <v/>
      </c>
      <c r="AB1303" t="str">
        <f>IFERROR(IF(ISNUMBER('Procyclean 130'!A304),'Procyclean 130'!A304,DATEVALUE('Procyclean 130'!A304)),"")</f>
        <v/>
      </c>
      <c r="AC1303" t="str">
        <f>IF(AA1303="","",'Procyclean 130'!B304)</f>
        <v/>
      </c>
      <c r="AD1303" t="str">
        <f>IF(AA1303="","",IFERROR(1*'Procyclean 130'!C304,IFERROR(_xludf.NUMBERVALUE('Procyclean 130'!C304,".",","),IFERROR(_xludf.NUMBERVALUE('Procyclean 130'!C304,",","."),0))))</f>
        <v/>
      </c>
      <c r="AE1303" t="str">
        <f>IF(AA1303="","",'Procyclean 130'!J304)</f>
        <v/>
      </c>
      <c r="AF1303">
        <f t="shared" si="137"/>
        <v>0</v>
      </c>
      <c r="AG1303" t="str">
        <f t="shared" si="138"/>
        <v/>
      </c>
      <c r="AH1303" t="str">
        <f t="shared" si="139"/>
        <v/>
      </c>
      <c r="AI1303">
        <f t="shared" si="140"/>
        <v>0</v>
      </c>
      <c r="AJ1303">
        <f t="shared" si="141"/>
        <v>0</v>
      </c>
      <c r="AK1303">
        <v>0</v>
      </c>
      <c r="AL1303" t="str">
        <f>IF(AA1303="","",IFERROR(IF(ISNUMBER('Procyclean 130'!D304),'Procyclean 130'!D304,IF(ISNUMBER(SEARCH("12",'Procyclean 130'!D304)),EDATE(AB1303,12),IF(ISNUMBER(SEARCH("6",'Procyclean 130'!D304)),EDATE(AB1303,6),IF(ISNUMBER(SEARCH("3",'Procyclean 130'!D304)),EDATE(AB1303,3),DATEVALUE('Procyclean 130'!D304))))),""))</f>
        <v/>
      </c>
      <c r="AM1303" t="str">
        <f t="shared" ca="1" si="142"/>
        <v/>
      </c>
    </row>
    <row r="1304" spans="27:39" x14ac:dyDescent="0.3">
      <c r="AA1304" t="str">
        <f>IF(COUNTA('Procyclean 130'!A305,'Procyclean 130'!B305,'Procyclean 130'!C305)&gt;0,"130","")</f>
        <v/>
      </c>
      <c r="AB1304" t="str">
        <f>IFERROR(IF(ISNUMBER('Procyclean 130'!A305),'Procyclean 130'!A305,DATEVALUE('Procyclean 130'!A305)),"")</f>
        <v/>
      </c>
      <c r="AC1304" t="str">
        <f>IF(AA1304="","",'Procyclean 130'!B305)</f>
        <v/>
      </c>
      <c r="AD1304" t="str">
        <f>IF(AA1304="","",IFERROR(1*'Procyclean 130'!C305,IFERROR(_xludf.NUMBERVALUE('Procyclean 130'!C305,".",","),IFERROR(_xludf.NUMBERVALUE('Procyclean 130'!C305,",","."),0))))</f>
        <v/>
      </c>
      <c r="AE1304" t="str">
        <f>IF(AA1304="","",'Procyclean 130'!J305)</f>
        <v/>
      </c>
      <c r="AF1304">
        <f t="shared" si="137"/>
        <v>0</v>
      </c>
      <c r="AG1304" t="str">
        <f t="shared" si="138"/>
        <v/>
      </c>
      <c r="AH1304" t="str">
        <f t="shared" si="139"/>
        <v/>
      </c>
      <c r="AI1304">
        <f t="shared" si="140"/>
        <v>0</v>
      </c>
      <c r="AJ1304">
        <f t="shared" si="141"/>
        <v>0</v>
      </c>
      <c r="AK1304">
        <v>0</v>
      </c>
      <c r="AL1304" t="str">
        <f>IF(AA1304="","",IFERROR(IF(ISNUMBER('Procyclean 130'!D305),'Procyclean 130'!D305,IF(ISNUMBER(SEARCH("12",'Procyclean 130'!D305)),EDATE(AB1304,12),IF(ISNUMBER(SEARCH("6",'Procyclean 130'!D305)),EDATE(AB1304,6),IF(ISNUMBER(SEARCH("3",'Procyclean 130'!D305)),EDATE(AB1304,3),DATEVALUE('Procyclean 130'!D305))))),""))</f>
        <v/>
      </c>
      <c r="AM1304" t="str">
        <f t="shared" ca="1" si="142"/>
        <v/>
      </c>
    </row>
    <row r="1305" spans="27:39" x14ac:dyDescent="0.3">
      <c r="AA1305" t="str">
        <f>IF(COUNTA('Procyclean 130'!A306,'Procyclean 130'!B306,'Procyclean 130'!C306)&gt;0,"130","")</f>
        <v/>
      </c>
      <c r="AB1305" t="str">
        <f>IFERROR(IF(ISNUMBER('Procyclean 130'!A306),'Procyclean 130'!A306,DATEVALUE('Procyclean 130'!A306)),"")</f>
        <v/>
      </c>
      <c r="AC1305" t="str">
        <f>IF(AA1305="","",'Procyclean 130'!B306)</f>
        <v/>
      </c>
      <c r="AD1305" t="str">
        <f>IF(AA1305="","",IFERROR(1*'Procyclean 130'!C306,IFERROR(_xludf.NUMBERVALUE('Procyclean 130'!C306,".",","),IFERROR(_xludf.NUMBERVALUE('Procyclean 130'!C306,",","."),0))))</f>
        <v/>
      </c>
      <c r="AE1305" t="str">
        <f>IF(AA1305="","",'Procyclean 130'!J306)</f>
        <v/>
      </c>
      <c r="AF1305">
        <f t="shared" si="137"/>
        <v>0</v>
      </c>
      <c r="AG1305" t="str">
        <f t="shared" si="138"/>
        <v/>
      </c>
      <c r="AH1305" t="str">
        <f t="shared" si="139"/>
        <v/>
      </c>
      <c r="AI1305">
        <f t="shared" si="140"/>
        <v>0</v>
      </c>
      <c r="AJ1305">
        <f t="shared" si="141"/>
        <v>0</v>
      </c>
      <c r="AK1305">
        <v>0</v>
      </c>
      <c r="AL1305" t="str">
        <f>IF(AA1305="","",IFERROR(IF(ISNUMBER('Procyclean 130'!D306),'Procyclean 130'!D306,IF(ISNUMBER(SEARCH("12",'Procyclean 130'!D306)),EDATE(AB1305,12),IF(ISNUMBER(SEARCH("6",'Procyclean 130'!D306)),EDATE(AB1305,6),IF(ISNUMBER(SEARCH("3",'Procyclean 130'!D306)),EDATE(AB1305,3),DATEVALUE('Procyclean 130'!D306))))),""))</f>
        <v/>
      </c>
      <c r="AM1305" t="str">
        <f t="shared" ca="1" si="142"/>
        <v/>
      </c>
    </row>
    <row r="1306" spans="27:39" x14ac:dyDescent="0.3">
      <c r="AA1306" t="str">
        <f>IF(COUNTA('Procyclean 130'!A307,'Procyclean 130'!B307,'Procyclean 130'!C307)&gt;0,"130","")</f>
        <v/>
      </c>
      <c r="AB1306" t="str">
        <f>IFERROR(IF(ISNUMBER('Procyclean 130'!A307),'Procyclean 130'!A307,DATEVALUE('Procyclean 130'!A307)),"")</f>
        <v/>
      </c>
      <c r="AC1306" t="str">
        <f>IF(AA1306="","",'Procyclean 130'!B307)</f>
        <v/>
      </c>
      <c r="AD1306" t="str">
        <f>IF(AA1306="","",IFERROR(1*'Procyclean 130'!C307,IFERROR(_xludf.NUMBERVALUE('Procyclean 130'!C307,".",","),IFERROR(_xludf.NUMBERVALUE('Procyclean 130'!C307,",","."),0))))</f>
        <v/>
      </c>
      <c r="AE1306" t="str">
        <f>IF(AA1306="","",'Procyclean 130'!J307)</f>
        <v/>
      </c>
      <c r="AF1306">
        <f t="shared" si="137"/>
        <v>0</v>
      </c>
      <c r="AG1306" t="str">
        <f t="shared" si="138"/>
        <v/>
      </c>
      <c r="AH1306" t="str">
        <f t="shared" si="139"/>
        <v/>
      </c>
      <c r="AI1306">
        <f t="shared" si="140"/>
        <v>0</v>
      </c>
      <c r="AJ1306">
        <f t="shared" si="141"/>
        <v>0</v>
      </c>
      <c r="AK1306">
        <v>0</v>
      </c>
      <c r="AL1306" t="str">
        <f>IF(AA1306="","",IFERROR(IF(ISNUMBER('Procyclean 130'!D307),'Procyclean 130'!D307,IF(ISNUMBER(SEARCH("12",'Procyclean 130'!D307)),EDATE(AB1306,12),IF(ISNUMBER(SEARCH("6",'Procyclean 130'!D307)),EDATE(AB1306,6),IF(ISNUMBER(SEARCH("3",'Procyclean 130'!D307)),EDATE(AB1306,3),DATEVALUE('Procyclean 130'!D307))))),""))</f>
        <v/>
      </c>
      <c r="AM1306" t="str">
        <f t="shared" ca="1" si="142"/>
        <v/>
      </c>
    </row>
    <row r="1307" spans="27:39" x14ac:dyDescent="0.3">
      <c r="AA1307" t="str">
        <f>IF(COUNTA('Procyclean 130'!A308,'Procyclean 130'!B308,'Procyclean 130'!C308)&gt;0,"130","")</f>
        <v/>
      </c>
      <c r="AB1307" t="str">
        <f>IFERROR(IF(ISNUMBER('Procyclean 130'!A308),'Procyclean 130'!A308,DATEVALUE('Procyclean 130'!A308)),"")</f>
        <v/>
      </c>
      <c r="AC1307" t="str">
        <f>IF(AA1307="","",'Procyclean 130'!B308)</f>
        <v/>
      </c>
      <c r="AD1307" t="str">
        <f>IF(AA1307="","",IFERROR(1*'Procyclean 130'!C308,IFERROR(_xludf.NUMBERVALUE('Procyclean 130'!C308,".",","),IFERROR(_xludf.NUMBERVALUE('Procyclean 130'!C308,",","."),0))))</f>
        <v/>
      </c>
      <c r="AE1307" t="str">
        <f>IF(AA1307="","",'Procyclean 130'!J308)</f>
        <v/>
      </c>
      <c r="AF1307">
        <f t="shared" si="137"/>
        <v>0</v>
      </c>
      <c r="AG1307" t="str">
        <f t="shared" si="138"/>
        <v/>
      </c>
      <c r="AH1307" t="str">
        <f t="shared" si="139"/>
        <v/>
      </c>
      <c r="AI1307">
        <f t="shared" si="140"/>
        <v>0</v>
      </c>
      <c r="AJ1307">
        <f t="shared" si="141"/>
        <v>0</v>
      </c>
      <c r="AK1307">
        <v>0</v>
      </c>
      <c r="AL1307" t="str">
        <f>IF(AA1307="","",IFERROR(IF(ISNUMBER('Procyclean 130'!D308),'Procyclean 130'!D308,IF(ISNUMBER(SEARCH("12",'Procyclean 130'!D308)),EDATE(AB1307,12),IF(ISNUMBER(SEARCH("6",'Procyclean 130'!D308)),EDATE(AB1307,6),IF(ISNUMBER(SEARCH("3",'Procyclean 130'!D308)),EDATE(AB1307,3),DATEVALUE('Procyclean 130'!D308))))),""))</f>
        <v/>
      </c>
      <c r="AM1307" t="str">
        <f t="shared" ca="1" si="142"/>
        <v/>
      </c>
    </row>
    <row r="1308" spans="27:39" x14ac:dyDescent="0.3">
      <c r="AA1308" t="str">
        <f>IF(COUNTA('Procyclean 130'!A309,'Procyclean 130'!B309,'Procyclean 130'!C309)&gt;0,"130","")</f>
        <v/>
      </c>
      <c r="AB1308" t="str">
        <f>IFERROR(IF(ISNUMBER('Procyclean 130'!A309),'Procyclean 130'!A309,DATEVALUE('Procyclean 130'!A309)),"")</f>
        <v/>
      </c>
      <c r="AC1308" t="str">
        <f>IF(AA1308="","",'Procyclean 130'!B309)</f>
        <v/>
      </c>
      <c r="AD1308" t="str">
        <f>IF(AA1308="","",IFERROR(1*'Procyclean 130'!C309,IFERROR(_xludf.NUMBERVALUE('Procyclean 130'!C309,".",","),IFERROR(_xludf.NUMBERVALUE('Procyclean 130'!C309,",","."),0))))</f>
        <v/>
      </c>
      <c r="AE1308" t="str">
        <f>IF(AA1308="","",'Procyclean 130'!J309)</f>
        <v/>
      </c>
      <c r="AF1308">
        <f t="shared" si="137"/>
        <v>0</v>
      </c>
      <c r="AG1308" t="str">
        <f t="shared" si="138"/>
        <v/>
      </c>
      <c r="AH1308" t="str">
        <f t="shared" si="139"/>
        <v/>
      </c>
      <c r="AI1308">
        <f t="shared" si="140"/>
        <v>0</v>
      </c>
      <c r="AJ1308">
        <f t="shared" si="141"/>
        <v>0</v>
      </c>
      <c r="AK1308">
        <v>0</v>
      </c>
      <c r="AL1308" t="str">
        <f>IF(AA1308="","",IFERROR(IF(ISNUMBER('Procyclean 130'!D309),'Procyclean 130'!D309,IF(ISNUMBER(SEARCH("12",'Procyclean 130'!D309)),EDATE(AB1308,12),IF(ISNUMBER(SEARCH("6",'Procyclean 130'!D309)),EDATE(AB1308,6),IF(ISNUMBER(SEARCH("3",'Procyclean 130'!D309)),EDATE(AB1308,3),DATEVALUE('Procyclean 130'!D309))))),""))</f>
        <v/>
      </c>
      <c r="AM1308" t="str">
        <f t="shared" ca="1" si="142"/>
        <v/>
      </c>
    </row>
    <row r="1309" spans="27:39" x14ac:dyDescent="0.3">
      <c r="AA1309" t="str">
        <f>IF(COUNTA('Procyclean 130'!A310,'Procyclean 130'!B310,'Procyclean 130'!C310)&gt;0,"130","")</f>
        <v/>
      </c>
      <c r="AB1309" t="str">
        <f>IFERROR(IF(ISNUMBER('Procyclean 130'!A310),'Procyclean 130'!A310,DATEVALUE('Procyclean 130'!A310)),"")</f>
        <v/>
      </c>
      <c r="AC1309" t="str">
        <f>IF(AA1309="","",'Procyclean 130'!B310)</f>
        <v/>
      </c>
      <c r="AD1309" t="str">
        <f>IF(AA1309="","",IFERROR(1*'Procyclean 130'!C310,IFERROR(_xludf.NUMBERVALUE('Procyclean 130'!C310,".",","),IFERROR(_xludf.NUMBERVALUE('Procyclean 130'!C310,",","."),0))))</f>
        <v/>
      </c>
      <c r="AE1309" t="str">
        <f>IF(AA1309="","",'Procyclean 130'!J310)</f>
        <v/>
      </c>
      <c r="AF1309">
        <f t="shared" si="137"/>
        <v>0</v>
      </c>
      <c r="AG1309" t="str">
        <f t="shared" si="138"/>
        <v/>
      </c>
      <c r="AH1309" t="str">
        <f t="shared" si="139"/>
        <v/>
      </c>
      <c r="AI1309">
        <f t="shared" si="140"/>
        <v>0</v>
      </c>
      <c r="AJ1309">
        <f t="shared" si="141"/>
        <v>0</v>
      </c>
      <c r="AK1309">
        <v>0</v>
      </c>
      <c r="AL1309" t="str">
        <f>IF(AA1309="","",IFERROR(IF(ISNUMBER('Procyclean 130'!D310),'Procyclean 130'!D310,IF(ISNUMBER(SEARCH("12",'Procyclean 130'!D310)),EDATE(AB1309,12),IF(ISNUMBER(SEARCH("6",'Procyclean 130'!D310)),EDATE(AB1309,6),IF(ISNUMBER(SEARCH("3",'Procyclean 130'!D310)),EDATE(AB1309,3),DATEVALUE('Procyclean 130'!D310))))),""))</f>
        <v/>
      </c>
      <c r="AM1309" t="str">
        <f t="shared" ca="1" si="142"/>
        <v/>
      </c>
    </row>
    <row r="1310" spans="27:39" x14ac:dyDescent="0.3">
      <c r="AA1310" t="str">
        <f>IF(COUNTA('Procyclean 130'!A311,'Procyclean 130'!B311,'Procyclean 130'!C311)&gt;0,"130","")</f>
        <v/>
      </c>
      <c r="AB1310" t="str">
        <f>IFERROR(IF(ISNUMBER('Procyclean 130'!A311),'Procyclean 130'!A311,DATEVALUE('Procyclean 130'!A311)),"")</f>
        <v/>
      </c>
      <c r="AC1310" t="str">
        <f>IF(AA1310="","",'Procyclean 130'!B311)</f>
        <v/>
      </c>
      <c r="AD1310" t="str">
        <f>IF(AA1310="","",IFERROR(1*'Procyclean 130'!C311,IFERROR(_xludf.NUMBERVALUE('Procyclean 130'!C311,".",","),IFERROR(_xludf.NUMBERVALUE('Procyclean 130'!C311,",","."),0))))</f>
        <v/>
      </c>
      <c r="AE1310" t="str">
        <f>IF(AA1310="","",'Procyclean 130'!J311)</f>
        <v/>
      </c>
      <c r="AF1310">
        <f t="shared" si="137"/>
        <v>0</v>
      </c>
      <c r="AG1310" t="str">
        <f t="shared" si="138"/>
        <v/>
      </c>
      <c r="AH1310" t="str">
        <f t="shared" si="139"/>
        <v/>
      </c>
      <c r="AI1310">
        <f t="shared" si="140"/>
        <v>0</v>
      </c>
      <c r="AJ1310">
        <f t="shared" si="141"/>
        <v>0</v>
      </c>
      <c r="AK1310">
        <v>0</v>
      </c>
      <c r="AL1310" t="str">
        <f>IF(AA1310="","",IFERROR(IF(ISNUMBER('Procyclean 130'!D311),'Procyclean 130'!D311,IF(ISNUMBER(SEARCH("12",'Procyclean 130'!D311)),EDATE(AB1310,12),IF(ISNUMBER(SEARCH("6",'Procyclean 130'!D311)),EDATE(AB1310,6),IF(ISNUMBER(SEARCH("3",'Procyclean 130'!D311)),EDATE(AB1310,3),DATEVALUE('Procyclean 130'!D311))))),""))</f>
        <v/>
      </c>
      <c r="AM1310" t="str">
        <f t="shared" ca="1" si="142"/>
        <v/>
      </c>
    </row>
    <row r="1311" spans="27:39" x14ac:dyDescent="0.3">
      <c r="AA1311" t="str">
        <f>IF(COUNTA('Procyclean 130'!A312,'Procyclean 130'!B312,'Procyclean 130'!C312)&gt;0,"130","")</f>
        <v/>
      </c>
      <c r="AB1311" t="str">
        <f>IFERROR(IF(ISNUMBER('Procyclean 130'!A312),'Procyclean 130'!A312,DATEVALUE('Procyclean 130'!A312)),"")</f>
        <v/>
      </c>
      <c r="AC1311" t="str">
        <f>IF(AA1311="","",'Procyclean 130'!B312)</f>
        <v/>
      </c>
      <c r="AD1311" t="str">
        <f>IF(AA1311="","",IFERROR(1*'Procyclean 130'!C312,IFERROR(_xludf.NUMBERVALUE('Procyclean 130'!C312,".",","),IFERROR(_xludf.NUMBERVALUE('Procyclean 130'!C312,",","."),0))))</f>
        <v/>
      </c>
      <c r="AE1311" t="str">
        <f>IF(AA1311="","",'Procyclean 130'!J312)</f>
        <v/>
      </c>
      <c r="AF1311">
        <f t="shared" si="137"/>
        <v>0</v>
      </c>
      <c r="AG1311" t="str">
        <f t="shared" si="138"/>
        <v/>
      </c>
      <c r="AH1311" t="str">
        <f t="shared" si="139"/>
        <v/>
      </c>
      <c r="AI1311">
        <f t="shared" si="140"/>
        <v>0</v>
      </c>
      <c r="AJ1311">
        <f t="shared" si="141"/>
        <v>0</v>
      </c>
      <c r="AK1311">
        <v>0</v>
      </c>
      <c r="AL1311" t="str">
        <f>IF(AA1311="","",IFERROR(IF(ISNUMBER('Procyclean 130'!D312),'Procyclean 130'!D312,IF(ISNUMBER(SEARCH("12",'Procyclean 130'!D312)),EDATE(AB1311,12),IF(ISNUMBER(SEARCH("6",'Procyclean 130'!D312)),EDATE(AB1311,6),IF(ISNUMBER(SEARCH("3",'Procyclean 130'!D312)),EDATE(AB1311,3),DATEVALUE('Procyclean 130'!D312))))),""))</f>
        <v/>
      </c>
      <c r="AM1311" t="str">
        <f t="shared" ca="1" si="142"/>
        <v/>
      </c>
    </row>
    <row r="1312" spans="27:39" x14ac:dyDescent="0.3">
      <c r="AA1312" t="str">
        <f>IF(COUNTA('Procyclean 130'!A313,'Procyclean 130'!B313,'Procyclean 130'!C313)&gt;0,"130","")</f>
        <v/>
      </c>
      <c r="AB1312" t="str">
        <f>IFERROR(IF(ISNUMBER('Procyclean 130'!A313),'Procyclean 130'!A313,DATEVALUE('Procyclean 130'!A313)),"")</f>
        <v/>
      </c>
      <c r="AC1312" t="str">
        <f>IF(AA1312="","",'Procyclean 130'!B313)</f>
        <v/>
      </c>
      <c r="AD1312" t="str">
        <f>IF(AA1312="","",IFERROR(1*'Procyclean 130'!C313,IFERROR(_xludf.NUMBERVALUE('Procyclean 130'!C313,".",","),IFERROR(_xludf.NUMBERVALUE('Procyclean 130'!C313,",","."),0))))</f>
        <v/>
      </c>
      <c r="AE1312" t="str">
        <f>IF(AA1312="","",'Procyclean 130'!J313)</f>
        <v/>
      </c>
      <c r="AF1312">
        <f t="shared" si="137"/>
        <v>0</v>
      </c>
      <c r="AG1312" t="str">
        <f t="shared" si="138"/>
        <v/>
      </c>
      <c r="AH1312" t="str">
        <f t="shared" si="139"/>
        <v/>
      </c>
      <c r="AI1312">
        <f t="shared" si="140"/>
        <v>0</v>
      </c>
      <c r="AJ1312">
        <f t="shared" si="141"/>
        <v>0</v>
      </c>
      <c r="AK1312">
        <v>0</v>
      </c>
      <c r="AL1312" t="str">
        <f>IF(AA1312="","",IFERROR(IF(ISNUMBER('Procyclean 130'!D313),'Procyclean 130'!D313,IF(ISNUMBER(SEARCH("12",'Procyclean 130'!D313)),EDATE(AB1312,12),IF(ISNUMBER(SEARCH("6",'Procyclean 130'!D313)),EDATE(AB1312,6),IF(ISNUMBER(SEARCH("3",'Procyclean 130'!D313)),EDATE(AB1312,3),DATEVALUE('Procyclean 130'!D313))))),""))</f>
        <v/>
      </c>
      <c r="AM1312" t="str">
        <f t="shared" ca="1" si="142"/>
        <v/>
      </c>
    </row>
    <row r="1313" spans="27:39" x14ac:dyDescent="0.3">
      <c r="AA1313" t="str">
        <f>IF(COUNTA('Procyclean 130'!A314,'Procyclean 130'!B314,'Procyclean 130'!C314)&gt;0,"130","")</f>
        <v/>
      </c>
      <c r="AB1313" t="str">
        <f>IFERROR(IF(ISNUMBER('Procyclean 130'!A314),'Procyclean 130'!A314,DATEVALUE('Procyclean 130'!A314)),"")</f>
        <v/>
      </c>
      <c r="AC1313" t="str">
        <f>IF(AA1313="","",'Procyclean 130'!B314)</f>
        <v/>
      </c>
      <c r="AD1313" t="str">
        <f>IF(AA1313="","",IFERROR(1*'Procyclean 130'!C314,IFERROR(_xludf.NUMBERVALUE('Procyclean 130'!C314,".",","),IFERROR(_xludf.NUMBERVALUE('Procyclean 130'!C314,",","."),0))))</f>
        <v/>
      </c>
      <c r="AE1313" t="str">
        <f>IF(AA1313="","",'Procyclean 130'!J314)</f>
        <v/>
      </c>
      <c r="AF1313">
        <f t="shared" si="137"/>
        <v>0</v>
      </c>
      <c r="AG1313" t="str">
        <f t="shared" si="138"/>
        <v/>
      </c>
      <c r="AH1313" t="str">
        <f t="shared" si="139"/>
        <v/>
      </c>
      <c r="AI1313">
        <f t="shared" si="140"/>
        <v>0</v>
      </c>
      <c r="AJ1313">
        <f t="shared" si="141"/>
        <v>0</v>
      </c>
      <c r="AK1313">
        <v>0</v>
      </c>
      <c r="AL1313" t="str">
        <f>IF(AA1313="","",IFERROR(IF(ISNUMBER('Procyclean 130'!D314),'Procyclean 130'!D314,IF(ISNUMBER(SEARCH("12",'Procyclean 130'!D314)),EDATE(AB1313,12),IF(ISNUMBER(SEARCH("6",'Procyclean 130'!D314)),EDATE(AB1313,6),IF(ISNUMBER(SEARCH("3",'Procyclean 130'!D314)),EDATE(AB1313,3),DATEVALUE('Procyclean 130'!D314))))),""))</f>
        <v/>
      </c>
      <c r="AM1313" t="str">
        <f t="shared" ca="1" si="142"/>
        <v/>
      </c>
    </row>
    <row r="1314" spans="27:39" x14ac:dyDescent="0.3">
      <c r="AA1314" t="str">
        <f>IF(COUNTA('Procyclean 130'!A315,'Procyclean 130'!B315,'Procyclean 130'!C315)&gt;0,"130","")</f>
        <v/>
      </c>
      <c r="AB1314" t="str">
        <f>IFERROR(IF(ISNUMBER('Procyclean 130'!A315),'Procyclean 130'!A315,DATEVALUE('Procyclean 130'!A315)),"")</f>
        <v/>
      </c>
      <c r="AC1314" t="str">
        <f>IF(AA1314="","",'Procyclean 130'!B315)</f>
        <v/>
      </c>
      <c r="AD1314" t="str">
        <f>IF(AA1314="","",IFERROR(1*'Procyclean 130'!C315,IFERROR(_xludf.NUMBERVALUE('Procyclean 130'!C315,".",","),IFERROR(_xludf.NUMBERVALUE('Procyclean 130'!C315,",","."),0))))</f>
        <v/>
      </c>
      <c r="AE1314" t="str">
        <f>IF(AA1314="","",'Procyclean 130'!J315)</f>
        <v/>
      </c>
      <c r="AF1314">
        <f t="shared" si="137"/>
        <v>0</v>
      </c>
      <c r="AG1314" t="str">
        <f t="shared" si="138"/>
        <v/>
      </c>
      <c r="AH1314" t="str">
        <f t="shared" si="139"/>
        <v/>
      </c>
      <c r="AI1314">
        <f t="shared" si="140"/>
        <v>0</v>
      </c>
      <c r="AJ1314">
        <f t="shared" si="141"/>
        <v>0</v>
      </c>
      <c r="AK1314">
        <v>0</v>
      </c>
      <c r="AL1314" t="str">
        <f>IF(AA1314="","",IFERROR(IF(ISNUMBER('Procyclean 130'!D315),'Procyclean 130'!D315,IF(ISNUMBER(SEARCH("12",'Procyclean 130'!D315)),EDATE(AB1314,12),IF(ISNUMBER(SEARCH("6",'Procyclean 130'!D315)),EDATE(AB1314,6),IF(ISNUMBER(SEARCH("3",'Procyclean 130'!D315)),EDATE(AB1314,3),DATEVALUE('Procyclean 130'!D315))))),""))</f>
        <v/>
      </c>
      <c r="AM1314" t="str">
        <f t="shared" ca="1" si="142"/>
        <v/>
      </c>
    </row>
    <row r="1315" spans="27:39" x14ac:dyDescent="0.3">
      <c r="AA1315" t="str">
        <f>IF(COUNTA('Procyclean 130'!A316,'Procyclean 130'!B316,'Procyclean 130'!C316)&gt;0,"130","")</f>
        <v/>
      </c>
      <c r="AB1315" t="str">
        <f>IFERROR(IF(ISNUMBER('Procyclean 130'!A316),'Procyclean 130'!A316,DATEVALUE('Procyclean 130'!A316)),"")</f>
        <v/>
      </c>
      <c r="AC1315" t="str">
        <f>IF(AA1315="","",'Procyclean 130'!B316)</f>
        <v/>
      </c>
      <c r="AD1315" t="str">
        <f>IF(AA1315="","",IFERROR(1*'Procyclean 130'!C316,IFERROR(_xludf.NUMBERVALUE('Procyclean 130'!C316,".",","),IFERROR(_xludf.NUMBERVALUE('Procyclean 130'!C316,",","."),0))))</f>
        <v/>
      </c>
      <c r="AE1315" t="str">
        <f>IF(AA1315="","",'Procyclean 130'!J316)</f>
        <v/>
      </c>
      <c r="AF1315">
        <f t="shared" si="137"/>
        <v>0</v>
      </c>
      <c r="AG1315" t="str">
        <f t="shared" si="138"/>
        <v/>
      </c>
      <c r="AH1315" t="str">
        <f t="shared" si="139"/>
        <v/>
      </c>
      <c r="AI1315">
        <f t="shared" si="140"/>
        <v>0</v>
      </c>
      <c r="AJ1315">
        <f t="shared" si="141"/>
        <v>0</v>
      </c>
      <c r="AK1315">
        <v>0</v>
      </c>
      <c r="AL1315" t="str">
        <f>IF(AA1315="","",IFERROR(IF(ISNUMBER('Procyclean 130'!D316),'Procyclean 130'!D316,IF(ISNUMBER(SEARCH("12",'Procyclean 130'!D316)),EDATE(AB1315,12),IF(ISNUMBER(SEARCH("6",'Procyclean 130'!D316)),EDATE(AB1315,6),IF(ISNUMBER(SEARCH("3",'Procyclean 130'!D316)),EDATE(AB1315,3),DATEVALUE('Procyclean 130'!D316))))),""))</f>
        <v/>
      </c>
      <c r="AM1315" t="str">
        <f t="shared" ca="1" si="142"/>
        <v/>
      </c>
    </row>
    <row r="1316" spans="27:39" x14ac:dyDescent="0.3">
      <c r="AA1316" t="str">
        <f>IF(COUNTA('Procyclean 130'!A317,'Procyclean 130'!B317,'Procyclean 130'!C317)&gt;0,"130","")</f>
        <v/>
      </c>
      <c r="AB1316" t="str">
        <f>IFERROR(IF(ISNUMBER('Procyclean 130'!A317),'Procyclean 130'!A317,DATEVALUE('Procyclean 130'!A317)),"")</f>
        <v/>
      </c>
      <c r="AC1316" t="str">
        <f>IF(AA1316="","",'Procyclean 130'!B317)</f>
        <v/>
      </c>
      <c r="AD1316" t="str">
        <f>IF(AA1316="","",IFERROR(1*'Procyclean 130'!C317,IFERROR(_xludf.NUMBERVALUE('Procyclean 130'!C317,".",","),IFERROR(_xludf.NUMBERVALUE('Procyclean 130'!C317,",","."),0))))</f>
        <v/>
      </c>
      <c r="AE1316" t="str">
        <f>IF(AA1316="","",'Procyclean 130'!J317)</f>
        <v/>
      </c>
      <c r="AF1316">
        <f t="shared" si="137"/>
        <v>0</v>
      </c>
      <c r="AG1316" t="str">
        <f t="shared" si="138"/>
        <v/>
      </c>
      <c r="AH1316" t="str">
        <f t="shared" si="139"/>
        <v/>
      </c>
      <c r="AI1316">
        <f t="shared" si="140"/>
        <v>0</v>
      </c>
      <c r="AJ1316">
        <f t="shared" si="141"/>
        <v>0</v>
      </c>
      <c r="AK1316">
        <v>0</v>
      </c>
      <c r="AL1316" t="str">
        <f>IF(AA1316="","",IFERROR(IF(ISNUMBER('Procyclean 130'!D317),'Procyclean 130'!D317,IF(ISNUMBER(SEARCH("12",'Procyclean 130'!D317)),EDATE(AB1316,12),IF(ISNUMBER(SEARCH("6",'Procyclean 130'!D317)),EDATE(AB1316,6),IF(ISNUMBER(SEARCH("3",'Procyclean 130'!D317)),EDATE(AB1316,3),DATEVALUE('Procyclean 130'!D317))))),""))</f>
        <v/>
      </c>
      <c r="AM1316" t="str">
        <f t="shared" ca="1" si="142"/>
        <v/>
      </c>
    </row>
    <row r="1317" spans="27:39" x14ac:dyDescent="0.3">
      <c r="AA1317" t="str">
        <f>IF(COUNTA('Procyclean 130'!A318,'Procyclean 130'!B318,'Procyclean 130'!C318)&gt;0,"130","")</f>
        <v/>
      </c>
      <c r="AB1317" t="str">
        <f>IFERROR(IF(ISNUMBER('Procyclean 130'!A318),'Procyclean 130'!A318,DATEVALUE('Procyclean 130'!A318)),"")</f>
        <v/>
      </c>
      <c r="AC1317" t="str">
        <f>IF(AA1317="","",'Procyclean 130'!B318)</f>
        <v/>
      </c>
      <c r="AD1317" t="str">
        <f>IF(AA1317="","",IFERROR(1*'Procyclean 130'!C318,IFERROR(_xludf.NUMBERVALUE('Procyclean 130'!C318,".",","),IFERROR(_xludf.NUMBERVALUE('Procyclean 130'!C318,",","."),0))))</f>
        <v/>
      </c>
      <c r="AE1317" t="str">
        <f>IF(AA1317="","",'Procyclean 130'!J318)</f>
        <v/>
      </c>
      <c r="AF1317">
        <f t="shared" si="137"/>
        <v>0</v>
      </c>
      <c r="AG1317" t="str">
        <f t="shared" si="138"/>
        <v/>
      </c>
      <c r="AH1317" t="str">
        <f t="shared" si="139"/>
        <v/>
      </c>
      <c r="AI1317">
        <f t="shared" si="140"/>
        <v>0</v>
      </c>
      <c r="AJ1317">
        <f t="shared" si="141"/>
        <v>0</v>
      </c>
      <c r="AK1317">
        <v>0</v>
      </c>
      <c r="AL1317" t="str">
        <f>IF(AA1317="","",IFERROR(IF(ISNUMBER('Procyclean 130'!D318),'Procyclean 130'!D318,IF(ISNUMBER(SEARCH("12",'Procyclean 130'!D318)),EDATE(AB1317,12),IF(ISNUMBER(SEARCH("6",'Procyclean 130'!D318)),EDATE(AB1317,6),IF(ISNUMBER(SEARCH("3",'Procyclean 130'!D318)),EDATE(AB1317,3),DATEVALUE('Procyclean 130'!D318))))),""))</f>
        <v/>
      </c>
      <c r="AM1317" t="str">
        <f t="shared" ca="1" si="142"/>
        <v/>
      </c>
    </row>
    <row r="1318" spans="27:39" x14ac:dyDescent="0.3">
      <c r="AA1318" t="str">
        <f>IF(COUNTA('Procyclean 130'!A319,'Procyclean 130'!B319,'Procyclean 130'!C319)&gt;0,"130","")</f>
        <v/>
      </c>
      <c r="AB1318" t="str">
        <f>IFERROR(IF(ISNUMBER('Procyclean 130'!A319),'Procyclean 130'!A319,DATEVALUE('Procyclean 130'!A319)),"")</f>
        <v/>
      </c>
      <c r="AC1318" t="str">
        <f>IF(AA1318="","",'Procyclean 130'!B319)</f>
        <v/>
      </c>
      <c r="AD1318" t="str">
        <f>IF(AA1318="","",IFERROR(1*'Procyclean 130'!C319,IFERROR(_xludf.NUMBERVALUE('Procyclean 130'!C319,".",","),IFERROR(_xludf.NUMBERVALUE('Procyclean 130'!C319,",","."),0))))</f>
        <v/>
      </c>
      <c r="AE1318" t="str">
        <f>IF(AA1318="","",'Procyclean 130'!J319)</f>
        <v/>
      </c>
      <c r="AF1318">
        <f t="shared" si="137"/>
        <v>0</v>
      </c>
      <c r="AG1318" t="str">
        <f t="shared" si="138"/>
        <v/>
      </c>
      <c r="AH1318" t="str">
        <f t="shared" si="139"/>
        <v/>
      </c>
      <c r="AI1318">
        <f t="shared" si="140"/>
        <v>0</v>
      </c>
      <c r="AJ1318">
        <f t="shared" si="141"/>
        <v>0</v>
      </c>
      <c r="AK1318">
        <v>0</v>
      </c>
      <c r="AL1318" t="str">
        <f>IF(AA1318="","",IFERROR(IF(ISNUMBER('Procyclean 130'!D319),'Procyclean 130'!D319,IF(ISNUMBER(SEARCH("12",'Procyclean 130'!D319)),EDATE(AB1318,12),IF(ISNUMBER(SEARCH("6",'Procyclean 130'!D319)),EDATE(AB1318,6),IF(ISNUMBER(SEARCH("3",'Procyclean 130'!D319)),EDATE(AB1318,3),DATEVALUE('Procyclean 130'!D319))))),""))</f>
        <v/>
      </c>
      <c r="AM1318" t="str">
        <f t="shared" ca="1" si="142"/>
        <v/>
      </c>
    </row>
    <row r="1319" spans="27:39" x14ac:dyDescent="0.3">
      <c r="AA1319" t="str">
        <f>IF(COUNTA('Procyclean 130'!A320,'Procyclean 130'!B320,'Procyclean 130'!C320)&gt;0,"130","")</f>
        <v/>
      </c>
      <c r="AB1319" t="str">
        <f>IFERROR(IF(ISNUMBER('Procyclean 130'!A320),'Procyclean 130'!A320,DATEVALUE('Procyclean 130'!A320)),"")</f>
        <v/>
      </c>
      <c r="AC1319" t="str">
        <f>IF(AA1319="","",'Procyclean 130'!B320)</f>
        <v/>
      </c>
      <c r="AD1319" t="str">
        <f>IF(AA1319="","",IFERROR(1*'Procyclean 130'!C320,IFERROR(_xludf.NUMBERVALUE('Procyclean 130'!C320,".",","),IFERROR(_xludf.NUMBERVALUE('Procyclean 130'!C320,",","."),0))))</f>
        <v/>
      </c>
      <c r="AE1319" t="str">
        <f>IF(AA1319="","",'Procyclean 130'!J320)</f>
        <v/>
      </c>
      <c r="AF1319">
        <f t="shared" si="137"/>
        <v>0</v>
      </c>
      <c r="AG1319" t="str">
        <f t="shared" si="138"/>
        <v/>
      </c>
      <c r="AH1319" t="str">
        <f t="shared" si="139"/>
        <v/>
      </c>
      <c r="AI1319">
        <f t="shared" si="140"/>
        <v>0</v>
      </c>
      <c r="AJ1319">
        <f t="shared" si="141"/>
        <v>0</v>
      </c>
      <c r="AK1319">
        <v>0</v>
      </c>
      <c r="AL1319" t="str">
        <f>IF(AA1319="","",IFERROR(IF(ISNUMBER('Procyclean 130'!D320),'Procyclean 130'!D320,IF(ISNUMBER(SEARCH("12",'Procyclean 130'!D320)),EDATE(AB1319,12),IF(ISNUMBER(SEARCH("6",'Procyclean 130'!D320)),EDATE(AB1319,6),IF(ISNUMBER(SEARCH("3",'Procyclean 130'!D320)),EDATE(AB1319,3),DATEVALUE('Procyclean 130'!D320))))),""))</f>
        <v/>
      </c>
      <c r="AM1319" t="str">
        <f t="shared" ca="1" si="142"/>
        <v/>
      </c>
    </row>
    <row r="1320" spans="27:39" x14ac:dyDescent="0.3">
      <c r="AA1320" t="str">
        <f>IF(COUNTA('Procyclean 130'!A321,'Procyclean 130'!B321,'Procyclean 130'!C321)&gt;0,"130","")</f>
        <v/>
      </c>
      <c r="AB1320" t="str">
        <f>IFERROR(IF(ISNUMBER('Procyclean 130'!A321),'Procyclean 130'!A321,DATEVALUE('Procyclean 130'!A321)),"")</f>
        <v/>
      </c>
      <c r="AC1320" t="str">
        <f>IF(AA1320="","",'Procyclean 130'!B321)</f>
        <v/>
      </c>
      <c r="AD1320" t="str">
        <f>IF(AA1320="","",IFERROR(1*'Procyclean 130'!C321,IFERROR(_xludf.NUMBERVALUE('Procyclean 130'!C321,".",","),IFERROR(_xludf.NUMBERVALUE('Procyclean 130'!C321,",","."),0))))</f>
        <v/>
      </c>
      <c r="AE1320" t="str">
        <f>IF(AA1320="","",'Procyclean 130'!J321)</f>
        <v/>
      </c>
      <c r="AF1320">
        <f t="shared" si="137"/>
        <v>0</v>
      </c>
      <c r="AG1320" t="str">
        <f t="shared" si="138"/>
        <v/>
      </c>
      <c r="AH1320" t="str">
        <f t="shared" si="139"/>
        <v/>
      </c>
      <c r="AI1320">
        <f t="shared" si="140"/>
        <v>0</v>
      </c>
      <c r="AJ1320">
        <f t="shared" si="141"/>
        <v>0</v>
      </c>
      <c r="AK1320">
        <v>0</v>
      </c>
      <c r="AL1320" t="str">
        <f>IF(AA1320="","",IFERROR(IF(ISNUMBER('Procyclean 130'!D321),'Procyclean 130'!D321,IF(ISNUMBER(SEARCH("12",'Procyclean 130'!D321)),EDATE(AB1320,12),IF(ISNUMBER(SEARCH("6",'Procyclean 130'!D321)),EDATE(AB1320,6),IF(ISNUMBER(SEARCH("3",'Procyclean 130'!D321)),EDATE(AB1320,3),DATEVALUE('Procyclean 130'!D321))))),""))</f>
        <v/>
      </c>
      <c r="AM1320" t="str">
        <f t="shared" ca="1" si="142"/>
        <v/>
      </c>
    </row>
    <row r="1321" spans="27:39" x14ac:dyDescent="0.3">
      <c r="AA1321" t="str">
        <f>IF(COUNTA('Procyclean 130'!A322,'Procyclean 130'!B322,'Procyclean 130'!C322)&gt;0,"130","")</f>
        <v/>
      </c>
      <c r="AB1321" t="str">
        <f>IFERROR(IF(ISNUMBER('Procyclean 130'!A322),'Procyclean 130'!A322,DATEVALUE('Procyclean 130'!A322)),"")</f>
        <v/>
      </c>
      <c r="AC1321" t="str">
        <f>IF(AA1321="","",'Procyclean 130'!B322)</f>
        <v/>
      </c>
      <c r="AD1321" t="str">
        <f>IF(AA1321="","",IFERROR(1*'Procyclean 130'!C322,IFERROR(_xludf.NUMBERVALUE('Procyclean 130'!C322,".",","),IFERROR(_xludf.NUMBERVALUE('Procyclean 130'!C322,",","."),0))))</f>
        <v/>
      </c>
      <c r="AE1321" t="str">
        <f>IF(AA1321="","",'Procyclean 130'!J322)</f>
        <v/>
      </c>
      <c r="AF1321">
        <f t="shared" si="137"/>
        <v>0</v>
      </c>
      <c r="AG1321" t="str">
        <f t="shared" si="138"/>
        <v/>
      </c>
      <c r="AH1321" t="str">
        <f t="shared" si="139"/>
        <v/>
      </c>
      <c r="AI1321">
        <f t="shared" si="140"/>
        <v>0</v>
      </c>
      <c r="AJ1321">
        <f t="shared" si="141"/>
        <v>0</v>
      </c>
      <c r="AK1321">
        <v>0</v>
      </c>
      <c r="AL1321" t="str">
        <f>IF(AA1321="","",IFERROR(IF(ISNUMBER('Procyclean 130'!D322),'Procyclean 130'!D322,IF(ISNUMBER(SEARCH("12",'Procyclean 130'!D322)),EDATE(AB1321,12),IF(ISNUMBER(SEARCH("6",'Procyclean 130'!D322)),EDATE(AB1321,6),IF(ISNUMBER(SEARCH("3",'Procyclean 130'!D322)),EDATE(AB1321,3),DATEVALUE('Procyclean 130'!D322))))),""))</f>
        <v/>
      </c>
      <c r="AM1321" t="str">
        <f t="shared" ca="1" si="142"/>
        <v/>
      </c>
    </row>
    <row r="1322" spans="27:39" x14ac:dyDescent="0.3">
      <c r="AA1322" t="str">
        <f>IF(COUNTA('Procyclean 130'!A323,'Procyclean 130'!B323,'Procyclean 130'!C323)&gt;0,"130","")</f>
        <v/>
      </c>
      <c r="AB1322" t="str">
        <f>IFERROR(IF(ISNUMBER('Procyclean 130'!A323),'Procyclean 130'!A323,DATEVALUE('Procyclean 130'!A323)),"")</f>
        <v/>
      </c>
      <c r="AC1322" t="str">
        <f>IF(AA1322="","",'Procyclean 130'!B323)</f>
        <v/>
      </c>
      <c r="AD1322" t="str">
        <f>IF(AA1322="","",IFERROR(1*'Procyclean 130'!C323,IFERROR(_xludf.NUMBERVALUE('Procyclean 130'!C323,".",","),IFERROR(_xludf.NUMBERVALUE('Procyclean 130'!C323,",","."),0))))</f>
        <v/>
      </c>
      <c r="AE1322" t="str">
        <f>IF(AA1322="","",'Procyclean 130'!J323)</f>
        <v/>
      </c>
      <c r="AF1322">
        <f t="shared" si="137"/>
        <v>0</v>
      </c>
      <c r="AG1322" t="str">
        <f t="shared" si="138"/>
        <v/>
      </c>
      <c r="AH1322" t="str">
        <f t="shared" si="139"/>
        <v/>
      </c>
      <c r="AI1322">
        <f t="shared" si="140"/>
        <v>0</v>
      </c>
      <c r="AJ1322">
        <f t="shared" si="141"/>
        <v>0</v>
      </c>
      <c r="AK1322">
        <v>0</v>
      </c>
      <c r="AL1322" t="str">
        <f>IF(AA1322="","",IFERROR(IF(ISNUMBER('Procyclean 130'!D323),'Procyclean 130'!D323,IF(ISNUMBER(SEARCH("12",'Procyclean 130'!D323)),EDATE(AB1322,12),IF(ISNUMBER(SEARCH("6",'Procyclean 130'!D323)),EDATE(AB1322,6),IF(ISNUMBER(SEARCH("3",'Procyclean 130'!D323)),EDATE(AB1322,3),DATEVALUE('Procyclean 130'!D323))))),""))</f>
        <v/>
      </c>
      <c r="AM1322" t="str">
        <f t="shared" ca="1" si="142"/>
        <v/>
      </c>
    </row>
    <row r="1323" spans="27:39" x14ac:dyDescent="0.3">
      <c r="AA1323" t="str">
        <f>IF(COUNTA('Procyclean 130'!A324,'Procyclean 130'!B324,'Procyclean 130'!C324)&gt;0,"130","")</f>
        <v/>
      </c>
      <c r="AB1323" t="str">
        <f>IFERROR(IF(ISNUMBER('Procyclean 130'!A324),'Procyclean 130'!A324,DATEVALUE('Procyclean 130'!A324)),"")</f>
        <v/>
      </c>
      <c r="AC1323" t="str">
        <f>IF(AA1323="","",'Procyclean 130'!B324)</f>
        <v/>
      </c>
      <c r="AD1323" t="str">
        <f>IF(AA1323="","",IFERROR(1*'Procyclean 130'!C324,IFERROR(_xludf.NUMBERVALUE('Procyclean 130'!C324,".",","),IFERROR(_xludf.NUMBERVALUE('Procyclean 130'!C324,",","."),0))))</f>
        <v/>
      </c>
      <c r="AE1323" t="str">
        <f>IF(AA1323="","",'Procyclean 130'!J324)</f>
        <v/>
      </c>
      <c r="AF1323">
        <f t="shared" si="137"/>
        <v>0</v>
      </c>
      <c r="AG1323" t="str">
        <f t="shared" si="138"/>
        <v/>
      </c>
      <c r="AH1323" t="str">
        <f t="shared" si="139"/>
        <v/>
      </c>
      <c r="AI1323">
        <f t="shared" si="140"/>
        <v>0</v>
      </c>
      <c r="AJ1323">
        <f t="shared" si="141"/>
        <v>0</v>
      </c>
      <c r="AK1323">
        <v>0</v>
      </c>
      <c r="AL1323" t="str">
        <f>IF(AA1323="","",IFERROR(IF(ISNUMBER('Procyclean 130'!D324),'Procyclean 130'!D324,IF(ISNUMBER(SEARCH("12",'Procyclean 130'!D324)),EDATE(AB1323,12),IF(ISNUMBER(SEARCH("6",'Procyclean 130'!D324)),EDATE(AB1323,6),IF(ISNUMBER(SEARCH("3",'Procyclean 130'!D324)),EDATE(AB1323,3),DATEVALUE('Procyclean 130'!D324))))),""))</f>
        <v/>
      </c>
      <c r="AM1323" t="str">
        <f t="shared" ca="1" si="142"/>
        <v/>
      </c>
    </row>
    <row r="1324" spans="27:39" x14ac:dyDescent="0.3">
      <c r="AA1324" t="str">
        <f>IF(COUNTA('Procyclean 130'!A325,'Procyclean 130'!B325,'Procyclean 130'!C325)&gt;0,"130","")</f>
        <v/>
      </c>
      <c r="AB1324" t="str">
        <f>IFERROR(IF(ISNUMBER('Procyclean 130'!A325),'Procyclean 130'!A325,DATEVALUE('Procyclean 130'!A325)),"")</f>
        <v/>
      </c>
      <c r="AC1324" t="str">
        <f>IF(AA1324="","",'Procyclean 130'!B325)</f>
        <v/>
      </c>
      <c r="AD1324" t="str">
        <f>IF(AA1324="","",IFERROR(1*'Procyclean 130'!C325,IFERROR(_xludf.NUMBERVALUE('Procyclean 130'!C325,".",","),IFERROR(_xludf.NUMBERVALUE('Procyclean 130'!C325,",","."),0))))</f>
        <v/>
      </c>
      <c r="AE1324" t="str">
        <f>IF(AA1324="","",'Procyclean 130'!J325)</f>
        <v/>
      </c>
      <c r="AF1324">
        <f t="shared" si="137"/>
        <v>0</v>
      </c>
      <c r="AG1324" t="str">
        <f t="shared" si="138"/>
        <v/>
      </c>
      <c r="AH1324" t="str">
        <f t="shared" si="139"/>
        <v/>
      </c>
      <c r="AI1324">
        <f t="shared" si="140"/>
        <v>0</v>
      </c>
      <c r="AJ1324">
        <f t="shared" si="141"/>
        <v>0</v>
      </c>
      <c r="AK1324">
        <v>0</v>
      </c>
      <c r="AL1324" t="str">
        <f>IF(AA1324="","",IFERROR(IF(ISNUMBER('Procyclean 130'!D325),'Procyclean 130'!D325,IF(ISNUMBER(SEARCH("12",'Procyclean 130'!D325)),EDATE(AB1324,12),IF(ISNUMBER(SEARCH("6",'Procyclean 130'!D325)),EDATE(AB1324,6),IF(ISNUMBER(SEARCH("3",'Procyclean 130'!D325)),EDATE(AB1324,3),DATEVALUE('Procyclean 130'!D325))))),""))</f>
        <v/>
      </c>
      <c r="AM1324" t="str">
        <f t="shared" ca="1" si="142"/>
        <v/>
      </c>
    </row>
    <row r="1325" spans="27:39" x14ac:dyDescent="0.3">
      <c r="AA1325" t="str">
        <f>IF(COUNTA('Procyclean 130'!A326,'Procyclean 130'!B326,'Procyclean 130'!C326)&gt;0,"130","")</f>
        <v/>
      </c>
      <c r="AB1325" t="str">
        <f>IFERROR(IF(ISNUMBER('Procyclean 130'!A326),'Procyclean 130'!A326,DATEVALUE('Procyclean 130'!A326)),"")</f>
        <v/>
      </c>
      <c r="AC1325" t="str">
        <f>IF(AA1325="","",'Procyclean 130'!B326)</f>
        <v/>
      </c>
      <c r="AD1325" t="str">
        <f>IF(AA1325="","",IFERROR(1*'Procyclean 130'!C326,IFERROR(_xludf.NUMBERVALUE('Procyclean 130'!C326,".",","),IFERROR(_xludf.NUMBERVALUE('Procyclean 130'!C326,",","."),0))))</f>
        <v/>
      </c>
      <c r="AE1325" t="str">
        <f>IF(AA1325="","",'Procyclean 130'!J326)</f>
        <v/>
      </c>
      <c r="AF1325">
        <f t="shared" si="137"/>
        <v>0</v>
      </c>
      <c r="AG1325" t="str">
        <f t="shared" si="138"/>
        <v/>
      </c>
      <c r="AH1325" t="str">
        <f t="shared" si="139"/>
        <v/>
      </c>
      <c r="AI1325">
        <f t="shared" si="140"/>
        <v>0</v>
      </c>
      <c r="AJ1325">
        <f t="shared" si="141"/>
        <v>0</v>
      </c>
      <c r="AK1325">
        <v>0</v>
      </c>
      <c r="AL1325" t="str">
        <f>IF(AA1325="","",IFERROR(IF(ISNUMBER('Procyclean 130'!D326),'Procyclean 130'!D326,IF(ISNUMBER(SEARCH("12",'Procyclean 130'!D326)),EDATE(AB1325,12),IF(ISNUMBER(SEARCH("6",'Procyclean 130'!D326)),EDATE(AB1325,6),IF(ISNUMBER(SEARCH("3",'Procyclean 130'!D326)),EDATE(AB1325,3),DATEVALUE('Procyclean 130'!D326))))),""))</f>
        <v/>
      </c>
      <c r="AM1325" t="str">
        <f t="shared" ca="1" si="142"/>
        <v/>
      </c>
    </row>
    <row r="1326" spans="27:39" x14ac:dyDescent="0.3">
      <c r="AA1326" t="str">
        <f>IF(COUNTA('Procyclean 130'!A327,'Procyclean 130'!B327,'Procyclean 130'!C327)&gt;0,"130","")</f>
        <v/>
      </c>
      <c r="AB1326" t="str">
        <f>IFERROR(IF(ISNUMBER('Procyclean 130'!A327),'Procyclean 130'!A327,DATEVALUE('Procyclean 130'!A327)),"")</f>
        <v/>
      </c>
      <c r="AC1326" t="str">
        <f>IF(AA1326="","",'Procyclean 130'!B327)</f>
        <v/>
      </c>
      <c r="AD1326" t="str">
        <f>IF(AA1326="","",IFERROR(1*'Procyclean 130'!C327,IFERROR(_xludf.NUMBERVALUE('Procyclean 130'!C327,".",","),IFERROR(_xludf.NUMBERVALUE('Procyclean 130'!C327,",","."),0))))</f>
        <v/>
      </c>
      <c r="AE1326" t="str">
        <f>IF(AA1326="","",'Procyclean 130'!J327)</f>
        <v/>
      </c>
      <c r="AF1326">
        <f t="shared" si="137"/>
        <v>0</v>
      </c>
      <c r="AG1326" t="str">
        <f t="shared" si="138"/>
        <v/>
      </c>
      <c r="AH1326" t="str">
        <f t="shared" si="139"/>
        <v/>
      </c>
      <c r="AI1326">
        <f t="shared" si="140"/>
        <v>0</v>
      </c>
      <c r="AJ1326">
        <f t="shared" si="141"/>
        <v>0</v>
      </c>
      <c r="AK1326">
        <v>0</v>
      </c>
      <c r="AL1326" t="str">
        <f>IF(AA1326="","",IFERROR(IF(ISNUMBER('Procyclean 130'!D327),'Procyclean 130'!D327,IF(ISNUMBER(SEARCH("12",'Procyclean 130'!D327)),EDATE(AB1326,12),IF(ISNUMBER(SEARCH("6",'Procyclean 130'!D327)),EDATE(AB1326,6),IF(ISNUMBER(SEARCH("3",'Procyclean 130'!D327)),EDATE(AB1326,3),DATEVALUE('Procyclean 130'!D327))))),""))</f>
        <v/>
      </c>
      <c r="AM1326" t="str">
        <f t="shared" ca="1" si="142"/>
        <v/>
      </c>
    </row>
    <row r="1327" spans="27:39" x14ac:dyDescent="0.3">
      <c r="AA1327" t="str">
        <f>IF(COUNTA('Procyclean 130'!A328,'Procyclean 130'!B328,'Procyclean 130'!C328)&gt;0,"130","")</f>
        <v/>
      </c>
      <c r="AB1327" t="str">
        <f>IFERROR(IF(ISNUMBER('Procyclean 130'!A328),'Procyclean 130'!A328,DATEVALUE('Procyclean 130'!A328)),"")</f>
        <v/>
      </c>
      <c r="AC1327" t="str">
        <f>IF(AA1327="","",'Procyclean 130'!B328)</f>
        <v/>
      </c>
      <c r="AD1327" t="str">
        <f>IF(AA1327="","",IFERROR(1*'Procyclean 130'!C328,IFERROR(_xludf.NUMBERVALUE('Procyclean 130'!C328,".",","),IFERROR(_xludf.NUMBERVALUE('Procyclean 130'!C328,",","."),0))))</f>
        <v/>
      </c>
      <c r="AE1327" t="str">
        <f>IF(AA1327="","",'Procyclean 130'!J328)</f>
        <v/>
      </c>
      <c r="AF1327">
        <f t="shared" si="137"/>
        <v>0</v>
      </c>
      <c r="AG1327" t="str">
        <f t="shared" si="138"/>
        <v/>
      </c>
      <c r="AH1327" t="str">
        <f t="shared" si="139"/>
        <v/>
      </c>
      <c r="AI1327">
        <f t="shared" si="140"/>
        <v>0</v>
      </c>
      <c r="AJ1327">
        <f t="shared" si="141"/>
        <v>0</v>
      </c>
      <c r="AK1327">
        <v>0</v>
      </c>
      <c r="AL1327" t="str">
        <f>IF(AA1327="","",IFERROR(IF(ISNUMBER('Procyclean 130'!D328),'Procyclean 130'!D328,IF(ISNUMBER(SEARCH("12",'Procyclean 130'!D328)),EDATE(AB1327,12),IF(ISNUMBER(SEARCH("6",'Procyclean 130'!D328)),EDATE(AB1327,6),IF(ISNUMBER(SEARCH("3",'Procyclean 130'!D328)),EDATE(AB1327,3),DATEVALUE('Procyclean 130'!D328))))),""))</f>
        <v/>
      </c>
      <c r="AM1327" t="str">
        <f t="shared" ca="1" si="142"/>
        <v/>
      </c>
    </row>
    <row r="1328" spans="27:39" x14ac:dyDescent="0.3">
      <c r="AA1328" t="str">
        <f>IF(COUNTA('Procyclean 130'!A329,'Procyclean 130'!B329,'Procyclean 130'!C329)&gt;0,"130","")</f>
        <v/>
      </c>
      <c r="AB1328" t="str">
        <f>IFERROR(IF(ISNUMBER('Procyclean 130'!A329),'Procyclean 130'!A329,DATEVALUE('Procyclean 130'!A329)),"")</f>
        <v/>
      </c>
      <c r="AC1328" t="str">
        <f>IF(AA1328="","",'Procyclean 130'!B329)</f>
        <v/>
      </c>
      <c r="AD1328" t="str">
        <f>IF(AA1328="","",IFERROR(1*'Procyclean 130'!C329,IFERROR(_xludf.NUMBERVALUE('Procyclean 130'!C329,".",","),IFERROR(_xludf.NUMBERVALUE('Procyclean 130'!C329,",","."),0))))</f>
        <v/>
      </c>
      <c r="AE1328" t="str">
        <f>IF(AA1328="","",'Procyclean 130'!J329)</f>
        <v/>
      </c>
      <c r="AF1328">
        <f t="shared" si="137"/>
        <v>0</v>
      </c>
      <c r="AG1328" t="str">
        <f t="shared" si="138"/>
        <v/>
      </c>
      <c r="AH1328" t="str">
        <f t="shared" si="139"/>
        <v/>
      </c>
      <c r="AI1328">
        <f t="shared" si="140"/>
        <v>0</v>
      </c>
      <c r="AJ1328">
        <f t="shared" si="141"/>
        <v>0</v>
      </c>
      <c r="AK1328">
        <v>0</v>
      </c>
      <c r="AL1328" t="str">
        <f>IF(AA1328="","",IFERROR(IF(ISNUMBER('Procyclean 130'!D329),'Procyclean 130'!D329,IF(ISNUMBER(SEARCH("12",'Procyclean 130'!D329)),EDATE(AB1328,12),IF(ISNUMBER(SEARCH("6",'Procyclean 130'!D329)),EDATE(AB1328,6),IF(ISNUMBER(SEARCH("3",'Procyclean 130'!D329)),EDATE(AB1328,3),DATEVALUE('Procyclean 130'!D329))))),""))</f>
        <v/>
      </c>
      <c r="AM1328" t="str">
        <f t="shared" ca="1" si="142"/>
        <v/>
      </c>
    </row>
    <row r="1329" spans="27:39" x14ac:dyDescent="0.3">
      <c r="AA1329" t="str">
        <f>IF(COUNTA('Procyclean 130'!A330,'Procyclean 130'!B330,'Procyclean 130'!C330)&gt;0,"130","")</f>
        <v/>
      </c>
      <c r="AB1329" t="str">
        <f>IFERROR(IF(ISNUMBER('Procyclean 130'!A330),'Procyclean 130'!A330,DATEVALUE('Procyclean 130'!A330)),"")</f>
        <v/>
      </c>
      <c r="AC1329" t="str">
        <f>IF(AA1329="","",'Procyclean 130'!B330)</f>
        <v/>
      </c>
      <c r="AD1329" t="str">
        <f>IF(AA1329="","",IFERROR(1*'Procyclean 130'!C330,IFERROR(_xludf.NUMBERVALUE('Procyclean 130'!C330,".",","),IFERROR(_xludf.NUMBERVALUE('Procyclean 130'!C330,",","."),0))))</f>
        <v/>
      </c>
      <c r="AE1329" t="str">
        <f>IF(AA1329="","",'Procyclean 130'!J330)</f>
        <v/>
      </c>
      <c r="AF1329">
        <f t="shared" si="137"/>
        <v>0</v>
      </c>
      <c r="AG1329" t="str">
        <f t="shared" si="138"/>
        <v/>
      </c>
      <c r="AH1329" t="str">
        <f t="shared" si="139"/>
        <v/>
      </c>
      <c r="AI1329">
        <f t="shared" si="140"/>
        <v>0</v>
      </c>
      <c r="AJ1329">
        <f t="shared" si="141"/>
        <v>0</v>
      </c>
      <c r="AK1329">
        <v>0</v>
      </c>
      <c r="AL1329" t="str">
        <f>IF(AA1329="","",IFERROR(IF(ISNUMBER('Procyclean 130'!D330),'Procyclean 130'!D330,IF(ISNUMBER(SEARCH("12",'Procyclean 130'!D330)),EDATE(AB1329,12),IF(ISNUMBER(SEARCH("6",'Procyclean 130'!D330)),EDATE(AB1329,6),IF(ISNUMBER(SEARCH("3",'Procyclean 130'!D330)),EDATE(AB1329,3),DATEVALUE('Procyclean 130'!D330))))),""))</f>
        <v/>
      </c>
      <c r="AM1329" t="str">
        <f t="shared" ca="1" si="142"/>
        <v/>
      </c>
    </row>
    <row r="1330" spans="27:39" x14ac:dyDescent="0.3">
      <c r="AA1330" t="str">
        <f>IF(COUNTA('Procyclean 130'!A331,'Procyclean 130'!B331,'Procyclean 130'!C331)&gt;0,"130","")</f>
        <v/>
      </c>
      <c r="AB1330" t="str">
        <f>IFERROR(IF(ISNUMBER('Procyclean 130'!A331),'Procyclean 130'!A331,DATEVALUE('Procyclean 130'!A331)),"")</f>
        <v/>
      </c>
      <c r="AC1330" t="str">
        <f>IF(AA1330="","",'Procyclean 130'!B331)</f>
        <v/>
      </c>
      <c r="AD1330" t="str">
        <f>IF(AA1330="","",IFERROR(1*'Procyclean 130'!C331,IFERROR(_xludf.NUMBERVALUE('Procyclean 130'!C331,".",","),IFERROR(_xludf.NUMBERVALUE('Procyclean 130'!C331,",","."),0))))</f>
        <v/>
      </c>
      <c r="AE1330" t="str">
        <f>IF(AA1330="","",'Procyclean 130'!J331)</f>
        <v/>
      </c>
      <c r="AF1330">
        <f t="shared" si="137"/>
        <v>0</v>
      </c>
      <c r="AG1330" t="str">
        <f t="shared" si="138"/>
        <v/>
      </c>
      <c r="AH1330" t="str">
        <f t="shared" si="139"/>
        <v/>
      </c>
      <c r="AI1330">
        <f t="shared" si="140"/>
        <v>0</v>
      </c>
      <c r="AJ1330">
        <f t="shared" si="141"/>
        <v>0</v>
      </c>
      <c r="AK1330">
        <v>0</v>
      </c>
      <c r="AL1330" t="str">
        <f>IF(AA1330="","",IFERROR(IF(ISNUMBER('Procyclean 130'!D331),'Procyclean 130'!D331,IF(ISNUMBER(SEARCH("12",'Procyclean 130'!D331)),EDATE(AB1330,12),IF(ISNUMBER(SEARCH("6",'Procyclean 130'!D331)),EDATE(AB1330,6),IF(ISNUMBER(SEARCH("3",'Procyclean 130'!D331)),EDATE(AB1330,3),DATEVALUE('Procyclean 130'!D331))))),""))</f>
        <v/>
      </c>
      <c r="AM1330" t="str">
        <f t="shared" ca="1" si="142"/>
        <v/>
      </c>
    </row>
    <row r="1331" spans="27:39" x14ac:dyDescent="0.3">
      <c r="AA1331" t="str">
        <f>IF(COUNTA('Procyclean 130'!A332,'Procyclean 130'!B332,'Procyclean 130'!C332)&gt;0,"130","")</f>
        <v/>
      </c>
      <c r="AB1331" t="str">
        <f>IFERROR(IF(ISNUMBER('Procyclean 130'!A332),'Procyclean 130'!A332,DATEVALUE('Procyclean 130'!A332)),"")</f>
        <v/>
      </c>
      <c r="AC1331" t="str">
        <f>IF(AA1331="","",'Procyclean 130'!B332)</f>
        <v/>
      </c>
      <c r="AD1331" t="str">
        <f>IF(AA1331="","",IFERROR(1*'Procyclean 130'!C332,IFERROR(_xludf.NUMBERVALUE('Procyclean 130'!C332,".",","),IFERROR(_xludf.NUMBERVALUE('Procyclean 130'!C332,",","."),0))))</f>
        <v/>
      </c>
      <c r="AE1331" t="str">
        <f>IF(AA1331="","",'Procyclean 130'!J332)</f>
        <v/>
      </c>
      <c r="AF1331">
        <f t="shared" si="137"/>
        <v>0</v>
      </c>
      <c r="AG1331" t="str">
        <f t="shared" si="138"/>
        <v/>
      </c>
      <c r="AH1331" t="str">
        <f t="shared" si="139"/>
        <v/>
      </c>
      <c r="AI1331">
        <f t="shared" si="140"/>
        <v>0</v>
      </c>
      <c r="AJ1331">
        <f t="shared" si="141"/>
        <v>0</v>
      </c>
      <c r="AK1331">
        <v>0</v>
      </c>
      <c r="AL1331" t="str">
        <f>IF(AA1331="","",IFERROR(IF(ISNUMBER('Procyclean 130'!D332),'Procyclean 130'!D332,IF(ISNUMBER(SEARCH("12",'Procyclean 130'!D332)),EDATE(AB1331,12),IF(ISNUMBER(SEARCH("6",'Procyclean 130'!D332)),EDATE(AB1331,6),IF(ISNUMBER(SEARCH("3",'Procyclean 130'!D332)),EDATE(AB1331,3),DATEVALUE('Procyclean 130'!D332))))),""))</f>
        <v/>
      </c>
      <c r="AM1331" t="str">
        <f t="shared" ca="1" si="142"/>
        <v/>
      </c>
    </row>
    <row r="1332" spans="27:39" x14ac:dyDescent="0.3">
      <c r="AA1332" t="str">
        <f>IF(COUNTA('Procyclean 130'!A333,'Procyclean 130'!B333,'Procyclean 130'!C333)&gt;0,"130","")</f>
        <v/>
      </c>
      <c r="AB1332" t="str">
        <f>IFERROR(IF(ISNUMBER('Procyclean 130'!A333),'Procyclean 130'!A333,DATEVALUE('Procyclean 130'!A333)),"")</f>
        <v/>
      </c>
      <c r="AC1332" t="str">
        <f>IF(AA1332="","",'Procyclean 130'!B333)</f>
        <v/>
      </c>
      <c r="AD1332" t="str">
        <f>IF(AA1332="","",IFERROR(1*'Procyclean 130'!C333,IFERROR(_xludf.NUMBERVALUE('Procyclean 130'!C333,".",","),IFERROR(_xludf.NUMBERVALUE('Procyclean 130'!C333,",","."),0))))</f>
        <v/>
      </c>
      <c r="AE1332" t="str">
        <f>IF(AA1332="","",'Procyclean 130'!J333)</f>
        <v/>
      </c>
      <c r="AF1332">
        <f t="shared" si="137"/>
        <v>0</v>
      </c>
      <c r="AG1332" t="str">
        <f t="shared" si="138"/>
        <v/>
      </c>
      <c r="AH1332" t="str">
        <f t="shared" si="139"/>
        <v/>
      </c>
      <c r="AI1332">
        <f t="shared" si="140"/>
        <v>0</v>
      </c>
      <c r="AJ1332">
        <f t="shared" si="141"/>
        <v>0</v>
      </c>
      <c r="AK1332">
        <v>0</v>
      </c>
      <c r="AL1332" t="str">
        <f>IF(AA1332="","",IFERROR(IF(ISNUMBER('Procyclean 130'!D333),'Procyclean 130'!D333,IF(ISNUMBER(SEARCH("12",'Procyclean 130'!D333)),EDATE(AB1332,12),IF(ISNUMBER(SEARCH("6",'Procyclean 130'!D333)),EDATE(AB1332,6),IF(ISNUMBER(SEARCH("3",'Procyclean 130'!D333)),EDATE(AB1332,3),DATEVALUE('Procyclean 130'!D333))))),""))</f>
        <v/>
      </c>
      <c r="AM1332" t="str">
        <f t="shared" ca="1" si="142"/>
        <v/>
      </c>
    </row>
    <row r="1333" spans="27:39" x14ac:dyDescent="0.3">
      <c r="AA1333" t="str">
        <f>IF(COUNTA('Procyclean 130'!A334,'Procyclean 130'!B334,'Procyclean 130'!C334)&gt;0,"130","")</f>
        <v/>
      </c>
      <c r="AB1333" t="str">
        <f>IFERROR(IF(ISNUMBER('Procyclean 130'!A334),'Procyclean 130'!A334,DATEVALUE('Procyclean 130'!A334)),"")</f>
        <v/>
      </c>
      <c r="AC1333" t="str">
        <f>IF(AA1333="","",'Procyclean 130'!B334)</f>
        <v/>
      </c>
      <c r="AD1333" t="str">
        <f>IF(AA1333="","",IFERROR(1*'Procyclean 130'!C334,IFERROR(_xludf.NUMBERVALUE('Procyclean 130'!C334,".",","),IFERROR(_xludf.NUMBERVALUE('Procyclean 130'!C334,",","."),0))))</f>
        <v/>
      </c>
      <c r="AE1333" t="str">
        <f>IF(AA1333="","",'Procyclean 130'!J334)</f>
        <v/>
      </c>
      <c r="AF1333">
        <f t="shared" si="137"/>
        <v>0</v>
      </c>
      <c r="AG1333" t="str">
        <f t="shared" si="138"/>
        <v/>
      </c>
      <c r="AH1333" t="str">
        <f t="shared" si="139"/>
        <v/>
      </c>
      <c r="AI1333">
        <f t="shared" si="140"/>
        <v>0</v>
      </c>
      <c r="AJ1333">
        <f t="shared" si="141"/>
        <v>0</v>
      </c>
      <c r="AK1333">
        <v>0</v>
      </c>
      <c r="AL1333" t="str">
        <f>IF(AA1333="","",IFERROR(IF(ISNUMBER('Procyclean 130'!D334),'Procyclean 130'!D334,IF(ISNUMBER(SEARCH("12",'Procyclean 130'!D334)),EDATE(AB1333,12),IF(ISNUMBER(SEARCH("6",'Procyclean 130'!D334)),EDATE(AB1333,6),IF(ISNUMBER(SEARCH("3",'Procyclean 130'!D334)),EDATE(AB1333,3),DATEVALUE('Procyclean 130'!D334))))),""))</f>
        <v/>
      </c>
      <c r="AM1333" t="str">
        <f t="shared" ca="1" si="142"/>
        <v/>
      </c>
    </row>
    <row r="1334" spans="27:39" x14ac:dyDescent="0.3">
      <c r="AA1334" t="str">
        <f>IF(COUNTA('Procyclean 130'!A335,'Procyclean 130'!B335,'Procyclean 130'!C335)&gt;0,"130","")</f>
        <v/>
      </c>
      <c r="AB1334" t="str">
        <f>IFERROR(IF(ISNUMBER('Procyclean 130'!A335),'Procyclean 130'!A335,DATEVALUE('Procyclean 130'!A335)),"")</f>
        <v/>
      </c>
      <c r="AC1334" t="str">
        <f>IF(AA1334="","",'Procyclean 130'!B335)</f>
        <v/>
      </c>
      <c r="AD1334" t="str">
        <f>IF(AA1334="","",IFERROR(1*'Procyclean 130'!C335,IFERROR(_xludf.NUMBERVALUE('Procyclean 130'!C335,".",","),IFERROR(_xludf.NUMBERVALUE('Procyclean 130'!C335,",","."),0))))</f>
        <v/>
      </c>
      <c r="AE1334" t="str">
        <f>IF(AA1334="","",'Procyclean 130'!J335)</f>
        <v/>
      </c>
      <c r="AF1334">
        <f t="shared" si="137"/>
        <v>0</v>
      </c>
      <c r="AG1334" t="str">
        <f t="shared" si="138"/>
        <v/>
      </c>
      <c r="AH1334" t="str">
        <f t="shared" si="139"/>
        <v/>
      </c>
      <c r="AI1334">
        <f t="shared" si="140"/>
        <v>0</v>
      </c>
      <c r="AJ1334">
        <f t="shared" si="141"/>
        <v>0</v>
      </c>
      <c r="AK1334">
        <v>0</v>
      </c>
      <c r="AL1334" t="str">
        <f>IF(AA1334="","",IFERROR(IF(ISNUMBER('Procyclean 130'!D335),'Procyclean 130'!D335,IF(ISNUMBER(SEARCH("12",'Procyclean 130'!D335)),EDATE(AB1334,12),IF(ISNUMBER(SEARCH("6",'Procyclean 130'!D335)),EDATE(AB1334,6),IF(ISNUMBER(SEARCH("3",'Procyclean 130'!D335)),EDATE(AB1334,3),DATEVALUE('Procyclean 130'!D335))))),""))</f>
        <v/>
      </c>
      <c r="AM1334" t="str">
        <f t="shared" ca="1" si="142"/>
        <v/>
      </c>
    </row>
    <row r="1335" spans="27:39" x14ac:dyDescent="0.3">
      <c r="AA1335" t="str">
        <f>IF(COUNTA('Procyclean 130'!A336,'Procyclean 130'!B336,'Procyclean 130'!C336)&gt;0,"130","")</f>
        <v/>
      </c>
      <c r="AB1335" t="str">
        <f>IFERROR(IF(ISNUMBER('Procyclean 130'!A336),'Procyclean 130'!A336,DATEVALUE('Procyclean 130'!A336)),"")</f>
        <v/>
      </c>
      <c r="AC1335" t="str">
        <f>IF(AA1335="","",'Procyclean 130'!B336)</f>
        <v/>
      </c>
      <c r="AD1335" t="str">
        <f>IF(AA1335="","",IFERROR(1*'Procyclean 130'!C336,IFERROR(_xludf.NUMBERVALUE('Procyclean 130'!C336,".",","),IFERROR(_xludf.NUMBERVALUE('Procyclean 130'!C336,",","."),0))))</f>
        <v/>
      </c>
      <c r="AE1335" t="str">
        <f>IF(AA1335="","",'Procyclean 130'!J336)</f>
        <v/>
      </c>
      <c r="AF1335">
        <f t="shared" si="137"/>
        <v>0</v>
      </c>
      <c r="AG1335" t="str">
        <f t="shared" si="138"/>
        <v/>
      </c>
      <c r="AH1335" t="str">
        <f t="shared" si="139"/>
        <v/>
      </c>
      <c r="AI1335">
        <f t="shared" si="140"/>
        <v>0</v>
      </c>
      <c r="AJ1335">
        <f t="shared" si="141"/>
        <v>0</v>
      </c>
      <c r="AK1335">
        <v>0</v>
      </c>
      <c r="AL1335" t="str">
        <f>IF(AA1335="","",IFERROR(IF(ISNUMBER('Procyclean 130'!D336),'Procyclean 130'!D336,IF(ISNUMBER(SEARCH("12",'Procyclean 130'!D336)),EDATE(AB1335,12),IF(ISNUMBER(SEARCH("6",'Procyclean 130'!D336)),EDATE(AB1335,6),IF(ISNUMBER(SEARCH("3",'Procyclean 130'!D336)),EDATE(AB1335,3),DATEVALUE('Procyclean 130'!D336))))),""))</f>
        <v/>
      </c>
      <c r="AM1335" t="str">
        <f t="shared" ca="1" si="142"/>
        <v/>
      </c>
    </row>
    <row r="1336" spans="27:39" x14ac:dyDescent="0.3">
      <c r="AA1336" t="str">
        <f>IF(COUNTA('Procyclean 130'!A337,'Procyclean 130'!B337,'Procyclean 130'!C337)&gt;0,"130","")</f>
        <v/>
      </c>
      <c r="AB1336" t="str">
        <f>IFERROR(IF(ISNUMBER('Procyclean 130'!A337),'Procyclean 130'!A337,DATEVALUE('Procyclean 130'!A337)),"")</f>
        <v/>
      </c>
      <c r="AC1336" t="str">
        <f>IF(AA1336="","",'Procyclean 130'!B337)</f>
        <v/>
      </c>
      <c r="AD1336" t="str">
        <f>IF(AA1336="","",IFERROR(1*'Procyclean 130'!C337,IFERROR(_xludf.NUMBERVALUE('Procyclean 130'!C337,".",","),IFERROR(_xludf.NUMBERVALUE('Procyclean 130'!C337,",","."),0))))</f>
        <v/>
      </c>
      <c r="AE1336" t="str">
        <f>IF(AA1336="","",'Procyclean 130'!J337)</f>
        <v/>
      </c>
      <c r="AF1336">
        <f t="shared" si="137"/>
        <v>0</v>
      </c>
      <c r="AG1336" t="str">
        <f t="shared" si="138"/>
        <v/>
      </c>
      <c r="AH1336" t="str">
        <f t="shared" si="139"/>
        <v/>
      </c>
      <c r="AI1336">
        <f t="shared" si="140"/>
        <v>0</v>
      </c>
      <c r="AJ1336">
        <f t="shared" si="141"/>
        <v>0</v>
      </c>
      <c r="AK1336">
        <v>0</v>
      </c>
      <c r="AL1336" t="str">
        <f>IF(AA1336="","",IFERROR(IF(ISNUMBER('Procyclean 130'!D337),'Procyclean 130'!D337,IF(ISNUMBER(SEARCH("12",'Procyclean 130'!D337)),EDATE(AB1336,12),IF(ISNUMBER(SEARCH("6",'Procyclean 130'!D337)),EDATE(AB1336,6),IF(ISNUMBER(SEARCH("3",'Procyclean 130'!D337)),EDATE(AB1336,3),DATEVALUE('Procyclean 130'!D337))))),""))</f>
        <v/>
      </c>
      <c r="AM1336" t="str">
        <f t="shared" ca="1" si="142"/>
        <v/>
      </c>
    </row>
    <row r="1337" spans="27:39" x14ac:dyDescent="0.3">
      <c r="AA1337" t="str">
        <f>IF(COUNTA('Procyclean 130'!A338,'Procyclean 130'!B338,'Procyclean 130'!C338)&gt;0,"130","")</f>
        <v/>
      </c>
      <c r="AB1337" t="str">
        <f>IFERROR(IF(ISNUMBER('Procyclean 130'!A338),'Procyclean 130'!A338,DATEVALUE('Procyclean 130'!A338)),"")</f>
        <v/>
      </c>
      <c r="AC1337" t="str">
        <f>IF(AA1337="","",'Procyclean 130'!B338)</f>
        <v/>
      </c>
      <c r="AD1337" t="str">
        <f>IF(AA1337="","",IFERROR(1*'Procyclean 130'!C338,IFERROR(_xludf.NUMBERVALUE('Procyclean 130'!C338,".",","),IFERROR(_xludf.NUMBERVALUE('Procyclean 130'!C338,",","."),0))))</f>
        <v/>
      </c>
      <c r="AE1337" t="str">
        <f>IF(AA1337="","",'Procyclean 130'!J338)</f>
        <v/>
      </c>
      <c r="AF1337">
        <f t="shared" si="137"/>
        <v>0</v>
      </c>
      <c r="AG1337" t="str">
        <f t="shared" si="138"/>
        <v/>
      </c>
      <c r="AH1337" t="str">
        <f t="shared" si="139"/>
        <v/>
      </c>
      <c r="AI1337">
        <f t="shared" si="140"/>
        <v>0</v>
      </c>
      <c r="AJ1337">
        <f t="shared" si="141"/>
        <v>0</v>
      </c>
      <c r="AK1337">
        <v>0</v>
      </c>
      <c r="AL1337" t="str">
        <f>IF(AA1337="","",IFERROR(IF(ISNUMBER('Procyclean 130'!D338),'Procyclean 130'!D338,IF(ISNUMBER(SEARCH("12",'Procyclean 130'!D338)),EDATE(AB1337,12),IF(ISNUMBER(SEARCH("6",'Procyclean 130'!D338)),EDATE(AB1337,6),IF(ISNUMBER(SEARCH("3",'Procyclean 130'!D338)),EDATE(AB1337,3),DATEVALUE('Procyclean 130'!D338))))),""))</f>
        <v/>
      </c>
      <c r="AM1337" t="str">
        <f t="shared" ca="1" si="142"/>
        <v/>
      </c>
    </row>
    <row r="1338" spans="27:39" x14ac:dyDescent="0.3">
      <c r="AA1338" t="str">
        <f>IF(COUNTA('Procyclean 130'!A339,'Procyclean 130'!B339,'Procyclean 130'!C339)&gt;0,"130","")</f>
        <v/>
      </c>
      <c r="AB1338" t="str">
        <f>IFERROR(IF(ISNUMBER('Procyclean 130'!A339),'Procyclean 130'!A339,DATEVALUE('Procyclean 130'!A339)),"")</f>
        <v/>
      </c>
      <c r="AC1338" t="str">
        <f>IF(AA1338="","",'Procyclean 130'!B339)</f>
        <v/>
      </c>
      <c r="AD1338" t="str">
        <f>IF(AA1338="","",IFERROR(1*'Procyclean 130'!C339,IFERROR(_xludf.NUMBERVALUE('Procyclean 130'!C339,".",","),IFERROR(_xludf.NUMBERVALUE('Procyclean 130'!C339,",","."),0))))</f>
        <v/>
      </c>
      <c r="AE1338" t="str">
        <f>IF(AA1338="","",'Procyclean 130'!J339)</f>
        <v/>
      </c>
      <c r="AF1338">
        <f t="shared" si="137"/>
        <v>0</v>
      </c>
      <c r="AG1338" t="str">
        <f t="shared" si="138"/>
        <v/>
      </c>
      <c r="AH1338" t="str">
        <f t="shared" si="139"/>
        <v/>
      </c>
      <c r="AI1338">
        <f t="shared" si="140"/>
        <v>0</v>
      </c>
      <c r="AJ1338">
        <f t="shared" si="141"/>
        <v>0</v>
      </c>
      <c r="AK1338">
        <v>0</v>
      </c>
      <c r="AL1338" t="str">
        <f>IF(AA1338="","",IFERROR(IF(ISNUMBER('Procyclean 130'!D339),'Procyclean 130'!D339,IF(ISNUMBER(SEARCH("12",'Procyclean 130'!D339)),EDATE(AB1338,12),IF(ISNUMBER(SEARCH("6",'Procyclean 130'!D339)),EDATE(AB1338,6),IF(ISNUMBER(SEARCH("3",'Procyclean 130'!D339)),EDATE(AB1338,3),DATEVALUE('Procyclean 130'!D339))))),""))</f>
        <v/>
      </c>
      <c r="AM1338" t="str">
        <f t="shared" ca="1" si="142"/>
        <v/>
      </c>
    </row>
    <row r="1339" spans="27:39" x14ac:dyDescent="0.3">
      <c r="AA1339" t="str">
        <f>IF(COUNTA('Procyclean 130'!A340,'Procyclean 130'!B340,'Procyclean 130'!C340)&gt;0,"130","")</f>
        <v/>
      </c>
      <c r="AB1339" t="str">
        <f>IFERROR(IF(ISNUMBER('Procyclean 130'!A340),'Procyclean 130'!A340,DATEVALUE('Procyclean 130'!A340)),"")</f>
        <v/>
      </c>
      <c r="AC1339" t="str">
        <f>IF(AA1339="","",'Procyclean 130'!B340)</f>
        <v/>
      </c>
      <c r="AD1339" t="str">
        <f>IF(AA1339="","",IFERROR(1*'Procyclean 130'!C340,IFERROR(_xludf.NUMBERVALUE('Procyclean 130'!C340,".",","),IFERROR(_xludf.NUMBERVALUE('Procyclean 130'!C340,",","."),0))))</f>
        <v/>
      </c>
      <c r="AE1339" t="str">
        <f>IF(AA1339="","",'Procyclean 130'!J340)</f>
        <v/>
      </c>
      <c r="AF1339">
        <f t="shared" si="137"/>
        <v>0</v>
      </c>
      <c r="AG1339" t="str">
        <f t="shared" si="138"/>
        <v/>
      </c>
      <c r="AH1339" t="str">
        <f t="shared" si="139"/>
        <v/>
      </c>
      <c r="AI1339">
        <f t="shared" si="140"/>
        <v>0</v>
      </c>
      <c r="AJ1339">
        <f t="shared" si="141"/>
        <v>0</v>
      </c>
      <c r="AK1339">
        <v>0</v>
      </c>
      <c r="AL1339" t="str">
        <f>IF(AA1339="","",IFERROR(IF(ISNUMBER('Procyclean 130'!D340),'Procyclean 130'!D340,IF(ISNUMBER(SEARCH("12",'Procyclean 130'!D340)),EDATE(AB1339,12),IF(ISNUMBER(SEARCH("6",'Procyclean 130'!D340)),EDATE(AB1339,6),IF(ISNUMBER(SEARCH("3",'Procyclean 130'!D340)),EDATE(AB1339,3),DATEVALUE('Procyclean 130'!D340))))),""))</f>
        <v/>
      </c>
      <c r="AM1339" t="str">
        <f t="shared" ca="1" si="142"/>
        <v/>
      </c>
    </row>
    <row r="1340" spans="27:39" x14ac:dyDescent="0.3">
      <c r="AA1340" t="str">
        <f>IF(COUNTA('Procyclean 130'!A341,'Procyclean 130'!B341,'Procyclean 130'!C341)&gt;0,"130","")</f>
        <v/>
      </c>
      <c r="AB1340" t="str">
        <f>IFERROR(IF(ISNUMBER('Procyclean 130'!A341),'Procyclean 130'!A341,DATEVALUE('Procyclean 130'!A341)),"")</f>
        <v/>
      </c>
      <c r="AC1340" t="str">
        <f>IF(AA1340="","",'Procyclean 130'!B341)</f>
        <v/>
      </c>
      <c r="AD1340" t="str">
        <f>IF(AA1340="","",IFERROR(1*'Procyclean 130'!C341,IFERROR(_xludf.NUMBERVALUE('Procyclean 130'!C341,".",","),IFERROR(_xludf.NUMBERVALUE('Procyclean 130'!C341,",","."),0))))</f>
        <v/>
      </c>
      <c r="AE1340" t="str">
        <f>IF(AA1340="","",'Procyclean 130'!J341)</f>
        <v/>
      </c>
      <c r="AF1340">
        <f t="shared" si="137"/>
        <v>0</v>
      </c>
      <c r="AG1340" t="str">
        <f t="shared" si="138"/>
        <v/>
      </c>
      <c r="AH1340" t="str">
        <f t="shared" si="139"/>
        <v/>
      </c>
      <c r="AI1340">
        <f t="shared" si="140"/>
        <v>0</v>
      </c>
      <c r="AJ1340">
        <f t="shared" si="141"/>
        <v>0</v>
      </c>
      <c r="AK1340">
        <v>0</v>
      </c>
      <c r="AL1340" t="str">
        <f>IF(AA1340="","",IFERROR(IF(ISNUMBER('Procyclean 130'!D341),'Procyclean 130'!D341,IF(ISNUMBER(SEARCH("12",'Procyclean 130'!D341)),EDATE(AB1340,12),IF(ISNUMBER(SEARCH("6",'Procyclean 130'!D341)),EDATE(AB1340,6),IF(ISNUMBER(SEARCH("3",'Procyclean 130'!D341)),EDATE(AB1340,3),DATEVALUE('Procyclean 130'!D341))))),""))</f>
        <v/>
      </c>
      <c r="AM1340" t="str">
        <f t="shared" ca="1" si="142"/>
        <v/>
      </c>
    </row>
    <row r="1341" spans="27:39" x14ac:dyDescent="0.3">
      <c r="AA1341" t="str">
        <f>IF(COUNTA('Procyclean 130'!A342,'Procyclean 130'!B342,'Procyclean 130'!C342)&gt;0,"130","")</f>
        <v/>
      </c>
      <c r="AB1341" t="str">
        <f>IFERROR(IF(ISNUMBER('Procyclean 130'!A342),'Procyclean 130'!A342,DATEVALUE('Procyclean 130'!A342)),"")</f>
        <v/>
      </c>
      <c r="AC1341" t="str">
        <f>IF(AA1341="","",'Procyclean 130'!B342)</f>
        <v/>
      </c>
      <c r="AD1341" t="str">
        <f>IF(AA1341="","",IFERROR(1*'Procyclean 130'!C342,IFERROR(_xludf.NUMBERVALUE('Procyclean 130'!C342,".",","),IFERROR(_xludf.NUMBERVALUE('Procyclean 130'!C342,",","."),0))))</f>
        <v/>
      </c>
      <c r="AE1341" t="str">
        <f>IF(AA1341="","",'Procyclean 130'!J342)</f>
        <v/>
      </c>
      <c r="AF1341">
        <f t="shared" si="137"/>
        <v>0</v>
      </c>
      <c r="AG1341" t="str">
        <f t="shared" si="138"/>
        <v/>
      </c>
      <c r="AH1341" t="str">
        <f t="shared" si="139"/>
        <v/>
      </c>
      <c r="AI1341">
        <f t="shared" si="140"/>
        <v>0</v>
      </c>
      <c r="AJ1341">
        <f t="shared" si="141"/>
        <v>0</v>
      </c>
      <c r="AK1341">
        <v>0</v>
      </c>
      <c r="AL1341" t="str">
        <f>IF(AA1341="","",IFERROR(IF(ISNUMBER('Procyclean 130'!D342),'Procyclean 130'!D342,IF(ISNUMBER(SEARCH("12",'Procyclean 130'!D342)),EDATE(AB1341,12),IF(ISNUMBER(SEARCH("6",'Procyclean 130'!D342)),EDATE(AB1341,6),IF(ISNUMBER(SEARCH("3",'Procyclean 130'!D342)),EDATE(AB1341,3),DATEVALUE('Procyclean 130'!D342))))),""))</f>
        <v/>
      </c>
      <c r="AM1341" t="str">
        <f t="shared" ca="1" si="142"/>
        <v/>
      </c>
    </row>
    <row r="1342" spans="27:39" x14ac:dyDescent="0.3">
      <c r="AA1342" t="str">
        <f>IF(COUNTA('Procyclean 130'!A343,'Procyclean 130'!B343,'Procyclean 130'!C343)&gt;0,"130","")</f>
        <v/>
      </c>
      <c r="AB1342" t="str">
        <f>IFERROR(IF(ISNUMBER('Procyclean 130'!A343),'Procyclean 130'!A343,DATEVALUE('Procyclean 130'!A343)),"")</f>
        <v/>
      </c>
      <c r="AC1342" t="str">
        <f>IF(AA1342="","",'Procyclean 130'!B343)</f>
        <v/>
      </c>
      <c r="AD1342" t="str">
        <f>IF(AA1342="","",IFERROR(1*'Procyclean 130'!C343,IFERROR(_xludf.NUMBERVALUE('Procyclean 130'!C343,".",","),IFERROR(_xludf.NUMBERVALUE('Procyclean 130'!C343,",","."),0))))</f>
        <v/>
      </c>
      <c r="AE1342" t="str">
        <f>IF(AA1342="","",'Procyclean 130'!J343)</f>
        <v/>
      </c>
      <c r="AF1342">
        <f t="shared" si="137"/>
        <v>0</v>
      </c>
      <c r="AG1342" t="str">
        <f t="shared" si="138"/>
        <v/>
      </c>
      <c r="AH1342" t="str">
        <f t="shared" si="139"/>
        <v/>
      </c>
      <c r="AI1342">
        <f t="shared" si="140"/>
        <v>0</v>
      </c>
      <c r="AJ1342">
        <f t="shared" si="141"/>
        <v>0</v>
      </c>
      <c r="AK1342">
        <v>0</v>
      </c>
      <c r="AL1342" t="str">
        <f>IF(AA1342="","",IFERROR(IF(ISNUMBER('Procyclean 130'!D343),'Procyclean 130'!D343,IF(ISNUMBER(SEARCH("12",'Procyclean 130'!D343)),EDATE(AB1342,12),IF(ISNUMBER(SEARCH("6",'Procyclean 130'!D343)),EDATE(AB1342,6),IF(ISNUMBER(SEARCH("3",'Procyclean 130'!D343)),EDATE(AB1342,3),DATEVALUE('Procyclean 130'!D343))))),""))</f>
        <v/>
      </c>
      <c r="AM1342" t="str">
        <f t="shared" ca="1" si="142"/>
        <v/>
      </c>
    </row>
    <row r="1343" spans="27:39" x14ac:dyDescent="0.3">
      <c r="AA1343" t="str">
        <f>IF(COUNTA('Procyclean 130'!A344,'Procyclean 130'!B344,'Procyclean 130'!C344)&gt;0,"130","")</f>
        <v/>
      </c>
      <c r="AB1343" t="str">
        <f>IFERROR(IF(ISNUMBER('Procyclean 130'!A344),'Procyclean 130'!A344,DATEVALUE('Procyclean 130'!A344)),"")</f>
        <v/>
      </c>
      <c r="AC1343" t="str">
        <f>IF(AA1343="","",'Procyclean 130'!B344)</f>
        <v/>
      </c>
      <c r="AD1343" t="str">
        <f>IF(AA1343="","",IFERROR(1*'Procyclean 130'!C344,IFERROR(_xludf.NUMBERVALUE('Procyclean 130'!C344,".",","),IFERROR(_xludf.NUMBERVALUE('Procyclean 130'!C344,",","."),0))))</f>
        <v/>
      </c>
      <c r="AE1343" t="str">
        <f>IF(AA1343="","",'Procyclean 130'!J344)</f>
        <v/>
      </c>
      <c r="AF1343">
        <f t="shared" si="137"/>
        <v>0</v>
      </c>
      <c r="AG1343" t="str">
        <f t="shared" si="138"/>
        <v/>
      </c>
      <c r="AH1343" t="str">
        <f t="shared" si="139"/>
        <v/>
      </c>
      <c r="AI1343">
        <f t="shared" si="140"/>
        <v>0</v>
      </c>
      <c r="AJ1343">
        <f t="shared" si="141"/>
        <v>0</v>
      </c>
      <c r="AK1343">
        <v>0</v>
      </c>
      <c r="AL1343" t="str">
        <f>IF(AA1343="","",IFERROR(IF(ISNUMBER('Procyclean 130'!D344),'Procyclean 130'!D344,IF(ISNUMBER(SEARCH("12",'Procyclean 130'!D344)),EDATE(AB1343,12),IF(ISNUMBER(SEARCH("6",'Procyclean 130'!D344)),EDATE(AB1343,6),IF(ISNUMBER(SEARCH("3",'Procyclean 130'!D344)),EDATE(AB1343,3),DATEVALUE('Procyclean 130'!D344))))),""))</f>
        <v/>
      </c>
      <c r="AM1343" t="str">
        <f t="shared" ca="1" si="142"/>
        <v/>
      </c>
    </row>
    <row r="1344" spans="27:39" x14ac:dyDescent="0.3">
      <c r="AA1344" t="str">
        <f>IF(COUNTA('Procyclean 130'!A345,'Procyclean 130'!B345,'Procyclean 130'!C345)&gt;0,"130","")</f>
        <v/>
      </c>
      <c r="AB1344" t="str">
        <f>IFERROR(IF(ISNUMBER('Procyclean 130'!A345),'Procyclean 130'!A345,DATEVALUE('Procyclean 130'!A345)),"")</f>
        <v/>
      </c>
      <c r="AC1344" t="str">
        <f>IF(AA1344="","",'Procyclean 130'!B345)</f>
        <v/>
      </c>
      <c r="AD1344" t="str">
        <f>IF(AA1344="","",IFERROR(1*'Procyclean 130'!C345,IFERROR(_xludf.NUMBERVALUE('Procyclean 130'!C345,".",","),IFERROR(_xludf.NUMBERVALUE('Procyclean 130'!C345,",","."),0))))</f>
        <v/>
      </c>
      <c r="AE1344" t="str">
        <f>IF(AA1344="","",'Procyclean 130'!J345)</f>
        <v/>
      </c>
      <c r="AF1344">
        <f t="shared" si="137"/>
        <v>0</v>
      </c>
      <c r="AG1344" t="str">
        <f t="shared" si="138"/>
        <v/>
      </c>
      <c r="AH1344" t="str">
        <f t="shared" si="139"/>
        <v/>
      </c>
      <c r="AI1344">
        <f t="shared" si="140"/>
        <v>0</v>
      </c>
      <c r="AJ1344">
        <f t="shared" si="141"/>
        <v>0</v>
      </c>
      <c r="AK1344">
        <v>0</v>
      </c>
      <c r="AL1344" t="str">
        <f>IF(AA1344="","",IFERROR(IF(ISNUMBER('Procyclean 130'!D345),'Procyclean 130'!D345,IF(ISNUMBER(SEARCH("12",'Procyclean 130'!D345)),EDATE(AB1344,12),IF(ISNUMBER(SEARCH("6",'Procyclean 130'!D345)),EDATE(AB1344,6),IF(ISNUMBER(SEARCH("3",'Procyclean 130'!D345)),EDATE(AB1344,3),DATEVALUE('Procyclean 130'!D345))))),""))</f>
        <v/>
      </c>
      <c r="AM1344" t="str">
        <f t="shared" ca="1" si="142"/>
        <v/>
      </c>
    </row>
    <row r="1345" spans="27:39" x14ac:dyDescent="0.3">
      <c r="AA1345" t="str">
        <f>IF(COUNTA('Procyclean 130'!A346,'Procyclean 130'!B346,'Procyclean 130'!C346)&gt;0,"130","")</f>
        <v/>
      </c>
      <c r="AB1345" t="str">
        <f>IFERROR(IF(ISNUMBER('Procyclean 130'!A346),'Procyclean 130'!A346,DATEVALUE('Procyclean 130'!A346)),"")</f>
        <v/>
      </c>
      <c r="AC1345" t="str">
        <f>IF(AA1345="","",'Procyclean 130'!B346)</f>
        <v/>
      </c>
      <c r="AD1345" t="str">
        <f>IF(AA1345="","",IFERROR(1*'Procyclean 130'!C346,IFERROR(_xludf.NUMBERVALUE('Procyclean 130'!C346,".",","),IFERROR(_xludf.NUMBERVALUE('Procyclean 130'!C346,",","."),0))))</f>
        <v/>
      </c>
      <c r="AE1345" t="str">
        <f>IF(AA1345="","",'Procyclean 130'!J346)</f>
        <v/>
      </c>
      <c r="AF1345">
        <f t="shared" si="137"/>
        <v>0</v>
      </c>
      <c r="AG1345" t="str">
        <f t="shared" si="138"/>
        <v/>
      </c>
      <c r="AH1345" t="str">
        <f t="shared" si="139"/>
        <v/>
      </c>
      <c r="AI1345">
        <f t="shared" si="140"/>
        <v>0</v>
      </c>
      <c r="AJ1345">
        <f t="shared" si="141"/>
        <v>0</v>
      </c>
      <c r="AK1345">
        <v>0</v>
      </c>
      <c r="AL1345" t="str">
        <f>IF(AA1345="","",IFERROR(IF(ISNUMBER('Procyclean 130'!D346),'Procyclean 130'!D346,IF(ISNUMBER(SEARCH("12",'Procyclean 130'!D346)),EDATE(AB1345,12),IF(ISNUMBER(SEARCH("6",'Procyclean 130'!D346)),EDATE(AB1345,6),IF(ISNUMBER(SEARCH("3",'Procyclean 130'!D346)),EDATE(AB1345,3),DATEVALUE('Procyclean 130'!D346))))),""))</f>
        <v/>
      </c>
      <c r="AM1345" t="str">
        <f t="shared" ca="1" si="142"/>
        <v/>
      </c>
    </row>
    <row r="1346" spans="27:39" x14ac:dyDescent="0.3">
      <c r="AA1346" t="str">
        <f>IF(COUNTA('Procyclean 130'!A347,'Procyclean 130'!B347,'Procyclean 130'!C347)&gt;0,"130","")</f>
        <v/>
      </c>
      <c r="AB1346" t="str">
        <f>IFERROR(IF(ISNUMBER('Procyclean 130'!A347),'Procyclean 130'!A347,DATEVALUE('Procyclean 130'!A347)),"")</f>
        <v/>
      </c>
      <c r="AC1346" t="str">
        <f>IF(AA1346="","",'Procyclean 130'!B347)</f>
        <v/>
      </c>
      <c r="AD1346" t="str">
        <f>IF(AA1346="","",IFERROR(1*'Procyclean 130'!C347,IFERROR(_xludf.NUMBERVALUE('Procyclean 130'!C347,".",","),IFERROR(_xludf.NUMBERVALUE('Procyclean 130'!C347,",","."),0))))</f>
        <v/>
      </c>
      <c r="AE1346" t="str">
        <f>IF(AA1346="","",'Procyclean 130'!J347)</f>
        <v/>
      </c>
      <c r="AF1346">
        <f t="shared" ref="AF1346:AF1409" si="143">IF(AA1346="",0,--AND(ISNUMBER(SEARCH("aprov",AE1346)),NOT(ISNUMBER(SEARCH("reprov",AE1346)))))</f>
        <v>0</v>
      </c>
      <c r="AG1346" t="str">
        <f t="shared" ref="AG1346:AG1409" si="144">IF(AB1346="","",YEAR(AB1346))</f>
        <v/>
      </c>
      <c r="AH1346" t="str">
        <f t="shared" ref="AH1346:AH1409" si="145">IF(AB1346="","",MONTH(AB1346))</f>
        <v/>
      </c>
      <c r="AI1346">
        <f t="shared" ref="AI1346:AI1409" si="146">IF(AB1346="",0,AB1346+ROW()/1000000)</f>
        <v>0</v>
      </c>
      <c r="AJ1346">
        <f t="shared" ref="AJ1346:AJ1409" si="147">--(AA1346&lt;&gt;"")</f>
        <v>0</v>
      </c>
      <c r="AK1346">
        <v>0</v>
      </c>
      <c r="AL1346" t="str">
        <f>IF(AA1346="","",IFERROR(IF(ISNUMBER('Procyclean 130'!D347),'Procyclean 130'!D347,IF(ISNUMBER(SEARCH("12",'Procyclean 130'!D347)),EDATE(AB1346,12),IF(ISNUMBER(SEARCH("6",'Procyclean 130'!D347)),EDATE(AB1346,6),IF(ISNUMBER(SEARCH("3",'Procyclean 130'!D347)),EDATE(AB1346,3),DATEVALUE('Procyclean 130'!D347))))),""))</f>
        <v/>
      </c>
      <c r="AM1346" t="str">
        <f t="shared" ref="AM1346:AM1409" ca="1" si="148">IF(AND(AJ1346=1,AL1346&lt;&gt;"",AL1346&gt;=TODAY(),AG1346=$W$3),AL1346+ROW()/1000000,"")</f>
        <v/>
      </c>
    </row>
    <row r="1347" spans="27:39" x14ac:dyDescent="0.3">
      <c r="AA1347" t="str">
        <f>IF(COUNTA('Procyclean 130'!A348,'Procyclean 130'!B348,'Procyclean 130'!C348)&gt;0,"130","")</f>
        <v/>
      </c>
      <c r="AB1347" t="str">
        <f>IFERROR(IF(ISNUMBER('Procyclean 130'!A348),'Procyclean 130'!A348,DATEVALUE('Procyclean 130'!A348)),"")</f>
        <v/>
      </c>
      <c r="AC1347" t="str">
        <f>IF(AA1347="","",'Procyclean 130'!B348)</f>
        <v/>
      </c>
      <c r="AD1347" t="str">
        <f>IF(AA1347="","",IFERROR(1*'Procyclean 130'!C348,IFERROR(_xludf.NUMBERVALUE('Procyclean 130'!C348,".",","),IFERROR(_xludf.NUMBERVALUE('Procyclean 130'!C348,",","."),0))))</f>
        <v/>
      </c>
      <c r="AE1347" t="str">
        <f>IF(AA1347="","",'Procyclean 130'!J348)</f>
        <v/>
      </c>
      <c r="AF1347">
        <f t="shared" si="143"/>
        <v>0</v>
      </c>
      <c r="AG1347" t="str">
        <f t="shared" si="144"/>
        <v/>
      </c>
      <c r="AH1347" t="str">
        <f t="shared" si="145"/>
        <v/>
      </c>
      <c r="AI1347">
        <f t="shared" si="146"/>
        <v>0</v>
      </c>
      <c r="AJ1347">
        <f t="shared" si="147"/>
        <v>0</v>
      </c>
      <c r="AK1347">
        <v>0</v>
      </c>
      <c r="AL1347" t="str">
        <f>IF(AA1347="","",IFERROR(IF(ISNUMBER('Procyclean 130'!D348),'Procyclean 130'!D348,IF(ISNUMBER(SEARCH("12",'Procyclean 130'!D348)),EDATE(AB1347,12),IF(ISNUMBER(SEARCH("6",'Procyclean 130'!D348)),EDATE(AB1347,6),IF(ISNUMBER(SEARCH("3",'Procyclean 130'!D348)),EDATE(AB1347,3),DATEVALUE('Procyclean 130'!D348))))),""))</f>
        <v/>
      </c>
      <c r="AM1347" t="str">
        <f t="shared" ca="1" si="148"/>
        <v/>
      </c>
    </row>
    <row r="1348" spans="27:39" x14ac:dyDescent="0.3">
      <c r="AA1348" t="str">
        <f>IF(COUNTA('Procyclean 130'!A349,'Procyclean 130'!B349,'Procyclean 130'!C349)&gt;0,"130","")</f>
        <v/>
      </c>
      <c r="AB1348" t="str">
        <f>IFERROR(IF(ISNUMBER('Procyclean 130'!A349),'Procyclean 130'!A349,DATEVALUE('Procyclean 130'!A349)),"")</f>
        <v/>
      </c>
      <c r="AC1348" t="str">
        <f>IF(AA1348="","",'Procyclean 130'!B349)</f>
        <v/>
      </c>
      <c r="AD1348" t="str">
        <f>IF(AA1348="","",IFERROR(1*'Procyclean 130'!C349,IFERROR(_xludf.NUMBERVALUE('Procyclean 130'!C349,".",","),IFERROR(_xludf.NUMBERVALUE('Procyclean 130'!C349,",","."),0))))</f>
        <v/>
      </c>
      <c r="AE1348" t="str">
        <f>IF(AA1348="","",'Procyclean 130'!J349)</f>
        <v/>
      </c>
      <c r="AF1348">
        <f t="shared" si="143"/>
        <v>0</v>
      </c>
      <c r="AG1348" t="str">
        <f t="shared" si="144"/>
        <v/>
      </c>
      <c r="AH1348" t="str">
        <f t="shared" si="145"/>
        <v/>
      </c>
      <c r="AI1348">
        <f t="shared" si="146"/>
        <v>0</v>
      </c>
      <c r="AJ1348">
        <f t="shared" si="147"/>
        <v>0</v>
      </c>
      <c r="AK1348">
        <v>0</v>
      </c>
      <c r="AL1348" t="str">
        <f>IF(AA1348="","",IFERROR(IF(ISNUMBER('Procyclean 130'!D349),'Procyclean 130'!D349,IF(ISNUMBER(SEARCH("12",'Procyclean 130'!D349)),EDATE(AB1348,12),IF(ISNUMBER(SEARCH("6",'Procyclean 130'!D349)),EDATE(AB1348,6),IF(ISNUMBER(SEARCH("3",'Procyclean 130'!D349)),EDATE(AB1348,3),DATEVALUE('Procyclean 130'!D349))))),""))</f>
        <v/>
      </c>
      <c r="AM1348" t="str">
        <f t="shared" ca="1" si="148"/>
        <v/>
      </c>
    </row>
    <row r="1349" spans="27:39" x14ac:dyDescent="0.3">
      <c r="AA1349" t="str">
        <f>IF(COUNTA('Procyclean 130'!A350,'Procyclean 130'!B350,'Procyclean 130'!C350)&gt;0,"130","")</f>
        <v/>
      </c>
      <c r="AB1349" t="str">
        <f>IFERROR(IF(ISNUMBER('Procyclean 130'!A350),'Procyclean 130'!A350,DATEVALUE('Procyclean 130'!A350)),"")</f>
        <v/>
      </c>
      <c r="AC1349" t="str">
        <f>IF(AA1349="","",'Procyclean 130'!B350)</f>
        <v/>
      </c>
      <c r="AD1349" t="str">
        <f>IF(AA1349="","",IFERROR(1*'Procyclean 130'!C350,IFERROR(_xludf.NUMBERVALUE('Procyclean 130'!C350,".",","),IFERROR(_xludf.NUMBERVALUE('Procyclean 130'!C350,",","."),0))))</f>
        <v/>
      </c>
      <c r="AE1349" t="str">
        <f>IF(AA1349="","",'Procyclean 130'!J350)</f>
        <v/>
      </c>
      <c r="AF1349">
        <f t="shared" si="143"/>
        <v>0</v>
      </c>
      <c r="AG1349" t="str">
        <f t="shared" si="144"/>
        <v/>
      </c>
      <c r="AH1349" t="str">
        <f t="shared" si="145"/>
        <v/>
      </c>
      <c r="AI1349">
        <f t="shared" si="146"/>
        <v>0</v>
      </c>
      <c r="AJ1349">
        <f t="shared" si="147"/>
        <v>0</v>
      </c>
      <c r="AK1349">
        <v>0</v>
      </c>
      <c r="AL1349" t="str">
        <f>IF(AA1349="","",IFERROR(IF(ISNUMBER('Procyclean 130'!D350),'Procyclean 130'!D350,IF(ISNUMBER(SEARCH("12",'Procyclean 130'!D350)),EDATE(AB1349,12),IF(ISNUMBER(SEARCH("6",'Procyclean 130'!D350)),EDATE(AB1349,6),IF(ISNUMBER(SEARCH("3",'Procyclean 130'!D350)),EDATE(AB1349,3),DATEVALUE('Procyclean 130'!D350))))),""))</f>
        <v/>
      </c>
      <c r="AM1349" t="str">
        <f t="shared" ca="1" si="148"/>
        <v/>
      </c>
    </row>
    <row r="1350" spans="27:39" x14ac:dyDescent="0.3">
      <c r="AA1350" t="str">
        <f>IF(COUNTA('Procyclean 130'!A351,'Procyclean 130'!B351,'Procyclean 130'!C351)&gt;0,"130","")</f>
        <v/>
      </c>
      <c r="AB1350" t="str">
        <f>IFERROR(IF(ISNUMBER('Procyclean 130'!A351),'Procyclean 130'!A351,DATEVALUE('Procyclean 130'!A351)),"")</f>
        <v/>
      </c>
      <c r="AC1350" t="str">
        <f>IF(AA1350="","",'Procyclean 130'!B351)</f>
        <v/>
      </c>
      <c r="AD1350" t="str">
        <f>IF(AA1350="","",IFERROR(1*'Procyclean 130'!C351,IFERROR(_xludf.NUMBERVALUE('Procyclean 130'!C351,".",","),IFERROR(_xludf.NUMBERVALUE('Procyclean 130'!C351,",","."),0))))</f>
        <v/>
      </c>
      <c r="AE1350" t="str">
        <f>IF(AA1350="","",'Procyclean 130'!J351)</f>
        <v/>
      </c>
      <c r="AF1350">
        <f t="shared" si="143"/>
        <v>0</v>
      </c>
      <c r="AG1350" t="str">
        <f t="shared" si="144"/>
        <v/>
      </c>
      <c r="AH1350" t="str">
        <f t="shared" si="145"/>
        <v/>
      </c>
      <c r="AI1350">
        <f t="shared" si="146"/>
        <v>0</v>
      </c>
      <c r="AJ1350">
        <f t="shared" si="147"/>
        <v>0</v>
      </c>
      <c r="AK1350">
        <v>0</v>
      </c>
      <c r="AL1350" t="str">
        <f>IF(AA1350="","",IFERROR(IF(ISNUMBER('Procyclean 130'!D351),'Procyclean 130'!D351,IF(ISNUMBER(SEARCH("12",'Procyclean 130'!D351)),EDATE(AB1350,12),IF(ISNUMBER(SEARCH("6",'Procyclean 130'!D351)),EDATE(AB1350,6),IF(ISNUMBER(SEARCH("3",'Procyclean 130'!D351)),EDATE(AB1350,3),DATEVALUE('Procyclean 130'!D351))))),""))</f>
        <v/>
      </c>
      <c r="AM1350" t="str">
        <f t="shared" ca="1" si="148"/>
        <v/>
      </c>
    </row>
    <row r="1351" spans="27:39" x14ac:dyDescent="0.3">
      <c r="AA1351" t="str">
        <f>IF(COUNTA('Procyclean 130'!A352,'Procyclean 130'!B352,'Procyclean 130'!C352)&gt;0,"130","")</f>
        <v/>
      </c>
      <c r="AB1351" t="str">
        <f>IFERROR(IF(ISNUMBER('Procyclean 130'!A352),'Procyclean 130'!A352,DATEVALUE('Procyclean 130'!A352)),"")</f>
        <v/>
      </c>
      <c r="AC1351" t="str">
        <f>IF(AA1351="","",'Procyclean 130'!B352)</f>
        <v/>
      </c>
      <c r="AD1351" t="str">
        <f>IF(AA1351="","",IFERROR(1*'Procyclean 130'!C352,IFERROR(_xludf.NUMBERVALUE('Procyclean 130'!C352,".",","),IFERROR(_xludf.NUMBERVALUE('Procyclean 130'!C352,",","."),0))))</f>
        <v/>
      </c>
      <c r="AE1351" t="str">
        <f>IF(AA1351="","",'Procyclean 130'!J352)</f>
        <v/>
      </c>
      <c r="AF1351">
        <f t="shared" si="143"/>
        <v>0</v>
      </c>
      <c r="AG1351" t="str">
        <f t="shared" si="144"/>
        <v/>
      </c>
      <c r="AH1351" t="str">
        <f t="shared" si="145"/>
        <v/>
      </c>
      <c r="AI1351">
        <f t="shared" si="146"/>
        <v>0</v>
      </c>
      <c r="AJ1351">
        <f t="shared" si="147"/>
        <v>0</v>
      </c>
      <c r="AK1351">
        <v>0</v>
      </c>
      <c r="AL1351" t="str">
        <f>IF(AA1351="","",IFERROR(IF(ISNUMBER('Procyclean 130'!D352),'Procyclean 130'!D352,IF(ISNUMBER(SEARCH("12",'Procyclean 130'!D352)),EDATE(AB1351,12),IF(ISNUMBER(SEARCH("6",'Procyclean 130'!D352)),EDATE(AB1351,6),IF(ISNUMBER(SEARCH("3",'Procyclean 130'!D352)),EDATE(AB1351,3),DATEVALUE('Procyclean 130'!D352))))),""))</f>
        <v/>
      </c>
      <c r="AM1351" t="str">
        <f t="shared" ca="1" si="148"/>
        <v/>
      </c>
    </row>
    <row r="1352" spans="27:39" x14ac:dyDescent="0.3">
      <c r="AA1352" t="str">
        <f>IF(COUNTA('Procyclean 130'!A353,'Procyclean 130'!B353,'Procyclean 130'!C353)&gt;0,"130","")</f>
        <v/>
      </c>
      <c r="AB1352" t="str">
        <f>IFERROR(IF(ISNUMBER('Procyclean 130'!A353),'Procyclean 130'!A353,DATEVALUE('Procyclean 130'!A353)),"")</f>
        <v/>
      </c>
      <c r="AC1352" t="str">
        <f>IF(AA1352="","",'Procyclean 130'!B353)</f>
        <v/>
      </c>
      <c r="AD1352" t="str">
        <f>IF(AA1352="","",IFERROR(1*'Procyclean 130'!C353,IFERROR(_xludf.NUMBERVALUE('Procyclean 130'!C353,".",","),IFERROR(_xludf.NUMBERVALUE('Procyclean 130'!C353,",","."),0))))</f>
        <v/>
      </c>
      <c r="AE1352" t="str">
        <f>IF(AA1352="","",'Procyclean 130'!J353)</f>
        <v/>
      </c>
      <c r="AF1352">
        <f t="shared" si="143"/>
        <v>0</v>
      </c>
      <c r="AG1352" t="str">
        <f t="shared" si="144"/>
        <v/>
      </c>
      <c r="AH1352" t="str">
        <f t="shared" si="145"/>
        <v/>
      </c>
      <c r="AI1352">
        <f t="shared" si="146"/>
        <v>0</v>
      </c>
      <c r="AJ1352">
        <f t="shared" si="147"/>
        <v>0</v>
      </c>
      <c r="AK1352">
        <v>0</v>
      </c>
      <c r="AL1352" t="str">
        <f>IF(AA1352="","",IFERROR(IF(ISNUMBER('Procyclean 130'!D353),'Procyclean 130'!D353,IF(ISNUMBER(SEARCH("12",'Procyclean 130'!D353)),EDATE(AB1352,12),IF(ISNUMBER(SEARCH("6",'Procyclean 130'!D353)),EDATE(AB1352,6),IF(ISNUMBER(SEARCH("3",'Procyclean 130'!D353)),EDATE(AB1352,3),DATEVALUE('Procyclean 130'!D353))))),""))</f>
        <v/>
      </c>
      <c r="AM1352" t="str">
        <f t="shared" ca="1" si="148"/>
        <v/>
      </c>
    </row>
    <row r="1353" spans="27:39" x14ac:dyDescent="0.3">
      <c r="AA1353" t="str">
        <f>IF(COUNTA('Procyclean 130'!A354,'Procyclean 130'!B354,'Procyclean 130'!C354)&gt;0,"130","")</f>
        <v/>
      </c>
      <c r="AB1353" t="str">
        <f>IFERROR(IF(ISNUMBER('Procyclean 130'!A354),'Procyclean 130'!A354,DATEVALUE('Procyclean 130'!A354)),"")</f>
        <v/>
      </c>
      <c r="AC1353" t="str">
        <f>IF(AA1353="","",'Procyclean 130'!B354)</f>
        <v/>
      </c>
      <c r="AD1353" t="str">
        <f>IF(AA1353="","",IFERROR(1*'Procyclean 130'!C354,IFERROR(_xludf.NUMBERVALUE('Procyclean 130'!C354,".",","),IFERROR(_xludf.NUMBERVALUE('Procyclean 130'!C354,",","."),0))))</f>
        <v/>
      </c>
      <c r="AE1353" t="str">
        <f>IF(AA1353="","",'Procyclean 130'!J354)</f>
        <v/>
      </c>
      <c r="AF1353">
        <f t="shared" si="143"/>
        <v>0</v>
      </c>
      <c r="AG1353" t="str">
        <f t="shared" si="144"/>
        <v/>
      </c>
      <c r="AH1353" t="str">
        <f t="shared" si="145"/>
        <v/>
      </c>
      <c r="AI1353">
        <f t="shared" si="146"/>
        <v>0</v>
      </c>
      <c r="AJ1353">
        <f t="shared" si="147"/>
        <v>0</v>
      </c>
      <c r="AK1353">
        <v>0</v>
      </c>
      <c r="AL1353" t="str">
        <f>IF(AA1353="","",IFERROR(IF(ISNUMBER('Procyclean 130'!D354),'Procyclean 130'!D354,IF(ISNUMBER(SEARCH("12",'Procyclean 130'!D354)),EDATE(AB1353,12),IF(ISNUMBER(SEARCH("6",'Procyclean 130'!D354)),EDATE(AB1353,6),IF(ISNUMBER(SEARCH("3",'Procyclean 130'!D354)),EDATE(AB1353,3),DATEVALUE('Procyclean 130'!D354))))),""))</f>
        <v/>
      </c>
      <c r="AM1353" t="str">
        <f t="shared" ca="1" si="148"/>
        <v/>
      </c>
    </row>
    <row r="1354" spans="27:39" x14ac:dyDescent="0.3">
      <c r="AA1354" t="str">
        <f>IF(COUNTA('Procyclean 130'!A355,'Procyclean 130'!B355,'Procyclean 130'!C355)&gt;0,"130","")</f>
        <v/>
      </c>
      <c r="AB1354" t="str">
        <f>IFERROR(IF(ISNUMBER('Procyclean 130'!A355),'Procyclean 130'!A355,DATEVALUE('Procyclean 130'!A355)),"")</f>
        <v/>
      </c>
      <c r="AC1354" t="str">
        <f>IF(AA1354="","",'Procyclean 130'!B355)</f>
        <v/>
      </c>
      <c r="AD1354" t="str">
        <f>IF(AA1354="","",IFERROR(1*'Procyclean 130'!C355,IFERROR(_xludf.NUMBERVALUE('Procyclean 130'!C355,".",","),IFERROR(_xludf.NUMBERVALUE('Procyclean 130'!C355,",","."),0))))</f>
        <v/>
      </c>
      <c r="AE1354" t="str">
        <f>IF(AA1354="","",'Procyclean 130'!J355)</f>
        <v/>
      </c>
      <c r="AF1354">
        <f t="shared" si="143"/>
        <v>0</v>
      </c>
      <c r="AG1354" t="str">
        <f t="shared" si="144"/>
        <v/>
      </c>
      <c r="AH1354" t="str">
        <f t="shared" si="145"/>
        <v/>
      </c>
      <c r="AI1354">
        <f t="shared" si="146"/>
        <v>0</v>
      </c>
      <c r="AJ1354">
        <f t="shared" si="147"/>
        <v>0</v>
      </c>
      <c r="AK1354">
        <v>0</v>
      </c>
      <c r="AL1354" t="str">
        <f>IF(AA1354="","",IFERROR(IF(ISNUMBER('Procyclean 130'!D355),'Procyclean 130'!D355,IF(ISNUMBER(SEARCH("12",'Procyclean 130'!D355)),EDATE(AB1354,12),IF(ISNUMBER(SEARCH("6",'Procyclean 130'!D355)),EDATE(AB1354,6),IF(ISNUMBER(SEARCH("3",'Procyclean 130'!D355)),EDATE(AB1354,3),DATEVALUE('Procyclean 130'!D355))))),""))</f>
        <v/>
      </c>
      <c r="AM1354" t="str">
        <f t="shared" ca="1" si="148"/>
        <v/>
      </c>
    </row>
    <row r="1355" spans="27:39" x14ac:dyDescent="0.3">
      <c r="AA1355" t="str">
        <f>IF(COUNTA('Procyclean 130'!A356,'Procyclean 130'!B356,'Procyclean 130'!C356)&gt;0,"130","")</f>
        <v/>
      </c>
      <c r="AB1355" t="str">
        <f>IFERROR(IF(ISNUMBER('Procyclean 130'!A356),'Procyclean 130'!A356,DATEVALUE('Procyclean 130'!A356)),"")</f>
        <v/>
      </c>
      <c r="AC1355" t="str">
        <f>IF(AA1355="","",'Procyclean 130'!B356)</f>
        <v/>
      </c>
      <c r="AD1355" t="str">
        <f>IF(AA1355="","",IFERROR(1*'Procyclean 130'!C356,IFERROR(_xludf.NUMBERVALUE('Procyclean 130'!C356,".",","),IFERROR(_xludf.NUMBERVALUE('Procyclean 130'!C356,",","."),0))))</f>
        <v/>
      </c>
      <c r="AE1355" t="str">
        <f>IF(AA1355="","",'Procyclean 130'!J356)</f>
        <v/>
      </c>
      <c r="AF1355">
        <f t="shared" si="143"/>
        <v>0</v>
      </c>
      <c r="AG1355" t="str">
        <f t="shared" si="144"/>
        <v/>
      </c>
      <c r="AH1355" t="str">
        <f t="shared" si="145"/>
        <v/>
      </c>
      <c r="AI1355">
        <f t="shared" si="146"/>
        <v>0</v>
      </c>
      <c r="AJ1355">
        <f t="shared" si="147"/>
        <v>0</v>
      </c>
      <c r="AK1355">
        <v>0</v>
      </c>
      <c r="AL1355" t="str">
        <f>IF(AA1355="","",IFERROR(IF(ISNUMBER('Procyclean 130'!D356),'Procyclean 130'!D356,IF(ISNUMBER(SEARCH("12",'Procyclean 130'!D356)),EDATE(AB1355,12),IF(ISNUMBER(SEARCH("6",'Procyclean 130'!D356)),EDATE(AB1355,6),IF(ISNUMBER(SEARCH("3",'Procyclean 130'!D356)),EDATE(AB1355,3),DATEVALUE('Procyclean 130'!D356))))),""))</f>
        <v/>
      </c>
      <c r="AM1355" t="str">
        <f t="shared" ca="1" si="148"/>
        <v/>
      </c>
    </row>
    <row r="1356" spans="27:39" x14ac:dyDescent="0.3">
      <c r="AA1356" t="str">
        <f>IF(COUNTA('Procyclean 130'!A357,'Procyclean 130'!B357,'Procyclean 130'!C357)&gt;0,"130","")</f>
        <v/>
      </c>
      <c r="AB1356" t="str">
        <f>IFERROR(IF(ISNUMBER('Procyclean 130'!A357),'Procyclean 130'!A357,DATEVALUE('Procyclean 130'!A357)),"")</f>
        <v/>
      </c>
      <c r="AC1356" t="str">
        <f>IF(AA1356="","",'Procyclean 130'!B357)</f>
        <v/>
      </c>
      <c r="AD1356" t="str">
        <f>IF(AA1356="","",IFERROR(1*'Procyclean 130'!C357,IFERROR(_xludf.NUMBERVALUE('Procyclean 130'!C357,".",","),IFERROR(_xludf.NUMBERVALUE('Procyclean 130'!C357,",","."),0))))</f>
        <v/>
      </c>
      <c r="AE1356" t="str">
        <f>IF(AA1356="","",'Procyclean 130'!J357)</f>
        <v/>
      </c>
      <c r="AF1356">
        <f t="shared" si="143"/>
        <v>0</v>
      </c>
      <c r="AG1356" t="str">
        <f t="shared" si="144"/>
        <v/>
      </c>
      <c r="AH1356" t="str">
        <f t="shared" si="145"/>
        <v/>
      </c>
      <c r="AI1356">
        <f t="shared" si="146"/>
        <v>0</v>
      </c>
      <c r="AJ1356">
        <f t="shared" si="147"/>
        <v>0</v>
      </c>
      <c r="AK1356">
        <v>0</v>
      </c>
      <c r="AL1356" t="str">
        <f>IF(AA1356="","",IFERROR(IF(ISNUMBER('Procyclean 130'!D357),'Procyclean 130'!D357,IF(ISNUMBER(SEARCH("12",'Procyclean 130'!D357)),EDATE(AB1356,12),IF(ISNUMBER(SEARCH("6",'Procyclean 130'!D357)),EDATE(AB1356,6),IF(ISNUMBER(SEARCH("3",'Procyclean 130'!D357)),EDATE(AB1356,3),DATEVALUE('Procyclean 130'!D357))))),""))</f>
        <v/>
      </c>
      <c r="AM1356" t="str">
        <f t="shared" ca="1" si="148"/>
        <v/>
      </c>
    </row>
    <row r="1357" spans="27:39" x14ac:dyDescent="0.3">
      <c r="AA1357" t="str">
        <f>IF(COUNTA('Procyclean 130'!A358,'Procyclean 130'!B358,'Procyclean 130'!C358)&gt;0,"130","")</f>
        <v/>
      </c>
      <c r="AB1357" t="str">
        <f>IFERROR(IF(ISNUMBER('Procyclean 130'!A358),'Procyclean 130'!A358,DATEVALUE('Procyclean 130'!A358)),"")</f>
        <v/>
      </c>
      <c r="AC1357" t="str">
        <f>IF(AA1357="","",'Procyclean 130'!B358)</f>
        <v/>
      </c>
      <c r="AD1357" t="str">
        <f>IF(AA1357="","",IFERROR(1*'Procyclean 130'!C358,IFERROR(_xludf.NUMBERVALUE('Procyclean 130'!C358,".",","),IFERROR(_xludf.NUMBERVALUE('Procyclean 130'!C358,",","."),0))))</f>
        <v/>
      </c>
      <c r="AE1357" t="str">
        <f>IF(AA1357="","",'Procyclean 130'!J358)</f>
        <v/>
      </c>
      <c r="AF1357">
        <f t="shared" si="143"/>
        <v>0</v>
      </c>
      <c r="AG1357" t="str">
        <f t="shared" si="144"/>
        <v/>
      </c>
      <c r="AH1357" t="str">
        <f t="shared" si="145"/>
        <v/>
      </c>
      <c r="AI1357">
        <f t="shared" si="146"/>
        <v>0</v>
      </c>
      <c r="AJ1357">
        <f t="shared" si="147"/>
        <v>0</v>
      </c>
      <c r="AK1357">
        <v>0</v>
      </c>
      <c r="AL1357" t="str">
        <f>IF(AA1357="","",IFERROR(IF(ISNUMBER('Procyclean 130'!D358),'Procyclean 130'!D358,IF(ISNUMBER(SEARCH("12",'Procyclean 130'!D358)),EDATE(AB1357,12),IF(ISNUMBER(SEARCH("6",'Procyclean 130'!D358)),EDATE(AB1357,6),IF(ISNUMBER(SEARCH("3",'Procyclean 130'!D358)),EDATE(AB1357,3),DATEVALUE('Procyclean 130'!D358))))),""))</f>
        <v/>
      </c>
      <c r="AM1357" t="str">
        <f t="shared" ca="1" si="148"/>
        <v/>
      </c>
    </row>
    <row r="1358" spans="27:39" x14ac:dyDescent="0.3">
      <c r="AA1358" t="str">
        <f>IF(COUNTA('Procyclean 130'!A359,'Procyclean 130'!B359,'Procyclean 130'!C359)&gt;0,"130","")</f>
        <v/>
      </c>
      <c r="AB1358" t="str">
        <f>IFERROR(IF(ISNUMBER('Procyclean 130'!A359),'Procyclean 130'!A359,DATEVALUE('Procyclean 130'!A359)),"")</f>
        <v/>
      </c>
      <c r="AC1358" t="str">
        <f>IF(AA1358="","",'Procyclean 130'!B359)</f>
        <v/>
      </c>
      <c r="AD1358" t="str">
        <f>IF(AA1358="","",IFERROR(1*'Procyclean 130'!C359,IFERROR(_xludf.NUMBERVALUE('Procyclean 130'!C359,".",","),IFERROR(_xludf.NUMBERVALUE('Procyclean 130'!C359,",","."),0))))</f>
        <v/>
      </c>
      <c r="AE1358" t="str">
        <f>IF(AA1358="","",'Procyclean 130'!J359)</f>
        <v/>
      </c>
      <c r="AF1358">
        <f t="shared" si="143"/>
        <v>0</v>
      </c>
      <c r="AG1358" t="str">
        <f t="shared" si="144"/>
        <v/>
      </c>
      <c r="AH1358" t="str">
        <f t="shared" si="145"/>
        <v/>
      </c>
      <c r="AI1358">
        <f t="shared" si="146"/>
        <v>0</v>
      </c>
      <c r="AJ1358">
        <f t="shared" si="147"/>
        <v>0</v>
      </c>
      <c r="AK1358">
        <v>0</v>
      </c>
      <c r="AL1358" t="str">
        <f>IF(AA1358="","",IFERROR(IF(ISNUMBER('Procyclean 130'!D359),'Procyclean 130'!D359,IF(ISNUMBER(SEARCH("12",'Procyclean 130'!D359)),EDATE(AB1358,12),IF(ISNUMBER(SEARCH("6",'Procyclean 130'!D359)),EDATE(AB1358,6),IF(ISNUMBER(SEARCH("3",'Procyclean 130'!D359)),EDATE(AB1358,3),DATEVALUE('Procyclean 130'!D359))))),""))</f>
        <v/>
      </c>
      <c r="AM1358" t="str">
        <f t="shared" ca="1" si="148"/>
        <v/>
      </c>
    </row>
    <row r="1359" spans="27:39" x14ac:dyDescent="0.3">
      <c r="AA1359" t="str">
        <f>IF(COUNTA('Procyclean 130'!A360,'Procyclean 130'!B360,'Procyclean 130'!C360)&gt;0,"130","")</f>
        <v/>
      </c>
      <c r="AB1359" t="str">
        <f>IFERROR(IF(ISNUMBER('Procyclean 130'!A360),'Procyclean 130'!A360,DATEVALUE('Procyclean 130'!A360)),"")</f>
        <v/>
      </c>
      <c r="AC1359" t="str">
        <f>IF(AA1359="","",'Procyclean 130'!B360)</f>
        <v/>
      </c>
      <c r="AD1359" t="str">
        <f>IF(AA1359="","",IFERROR(1*'Procyclean 130'!C360,IFERROR(_xludf.NUMBERVALUE('Procyclean 130'!C360,".",","),IFERROR(_xludf.NUMBERVALUE('Procyclean 130'!C360,",","."),0))))</f>
        <v/>
      </c>
      <c r="AE1359" t="str">
        <f>IF(AA1359="","",'Procyclean 130'!J360)</f>
        <v/>
      </c>
      <c r="AF1359">
        <f t="shared" si="143"/>
        <v>0</v>
      </c>
      <c r="AG1359" t="str">
        <f t="shared" si="144"/>
        <v/>
      </c>
      <c r="AH1359" t="str">
        <f t="shared" si="145"/>
        <v/>
      </c>
      <c r="AI1359">
        <f t="shared" si="146"/>
        <v>0</v>
      </c>
      <c r="AJ1359">
        <f t="shared" si="147"/>
        <v>0</v>
      </c>
      <c r="AK1359">
        <v>0</v>
      </c>
      <c r="AL1359" t="str">
        <f>IF(AA1359="","",IFERROR(IF(ISNUMBER('Procyclean 130'!D360),'Procyclean 130'!D360,IF(ISNUMBER(SEARCH("12",'Procyclean 130'!D360)),EDATE(AB1359,12),IF(ISNUMBER(SEARCH("6",'Procyclean 130'!D360)),EDATE(AB1359,6),IF(ISNUMBER(SEARCH("3",'Procyclean 130'!D360)),EDATE(AB1359,3),DATEVALUE('Procyclean 130'!D360))))),""))</f>
        <v/>
      </c>
      <c r="AM1359" t="str">
        <f t="shared" ca="1" si="148"/>
        <v/>
      </c>
    </row>
    <row r="1360" spans="27:39" x14ac:dyDescent="0.3">
      <c r="AA1360" t="str">
        <f>IF(COUNTA('Procyclean 130'!A361,'Procyclean 130'!B361,'Procyclean 130'!C361)&gt;0,"130","")</f>
        <v/>
      </c>
      <c r="AB1360" t="str">
        <f>IFERROR(IF(ISNUMBER('Procyclean 130'!A361),'Procyclean 130'!A361,DATEVALUE('Procyclean 130'!A361)),"")</f>
        <v/>
      </c>
      <c r="AC1360" t="str">
        <f>IF(AA1360="","",'Procyclean 130'!B361)</f>
        <v/>
      </c>
      <c r="AD1360" t="str">
        <f>IF(AA1360="","",IFERROR(1*'Procyclean 130'!C361,IFERROR(_xludf.NUMBERVALUE('Procyclean 130'!C361,".",","),IFERROR(_xludf.NUMBERVALUE('Procyclean 130'!C361,",","."),0))))</f>
        <v/>
      </c>
      <c r="AE1360" t="str">
        <f>IF(AA1360="","",'Procyclean 130'!J361)</f>
        <v/>
      </c>
      <c r="AF1360">
        <f t="shared" si="143"/>
        <v>0</v>
      </c>
      <c r="AG1360" t="str">
        <f t="shared" si="144"/>
        <v/>
      </c>
      <c r="AH1360" t="str">
        <f t="shared" si="145"/>
        <v/>
      </c>
      <c r="AI1360">
        <f t="shared" si="146"/>
        <v>0</v>
      </c>
      <c r="AJ1360">
        <f t="shared" si="147"/>
        <v>0</v>
      </c>
      <c r="AK1360">
        <v>0</v>
      </c>
      <c r="AL1360" t="str">
        <f>IF(AA1360="","",IFERROR(IF(ISNUMBER('Procyclean 130'!D361),'Procyclean 130'!D361,IF(ISNUMBER(SEARCH("12",'Procyclean 130'!D361)),EDATE(AB1360,12),IF(ISNUMBER(SEARCH("6",'Procyclean 130'!D361)),EDATE(AB1360,6),IF(ISNUMBER(SEARCH("3",'Procyclean 130'!D361)),EDATE(AB1360,3),DATEVALUE('Procyclean 130'!D361))))),""))</f>
        <v/>
      </c>
      <c r="AM1360" t="str">
        <f t="shared" ca="1" si="148"/>
        <v/>
      </c>
    </row>
    <row r="1361" spans="27:39" x14ac:dyDescent="0.3">
      <c r="AA1361" t="str">
        <f>IF(COUNTA('Procyclean 130'!A362,'Procyclean 130'!B362,'Procyclean 130'!C362)&gt;0,"130","")</f>
        <v/>
      </c>
      <c r="AB1361" t="str">
        <f>IFERROR(IF(ISNUMBER('Procyclean 130'!A362),'Procyclean 130'!A362,DATEVALUE('Procyclean 130'!A362)),"")</f>
        <v/>
      </c>
      <c r="AC1361" t="str">
        <f>IF(AA1361="","",'Procyclean 130'!B362)</f>
        <v/>
      </c>
      <c r="AD1361" t="str">
        <f>IF(AA1361="","",IFERROR(1*'Procyclean 130'!C362,IFERROR(_xludf.NUMBERVALUE('Procyclean 130'!C362,".",","),IFERROR(_xludf.NUMBERVALUE('Procyclean 130'!C362,",","."),0))))</f>
        <v/>
      </c>
      <c r="AE1361" t="str">
        <f>IF(AA1361="","",'Procyclean 130'!J362)</f>
        <v/>
      </c>
      <c r="AF1361">
        <f t="shared" si="143"/>
        <v>0</v>
      </c>
      <c r="AG1361" t="str">
        <f t="shared" si="144"/>
        <v/>
      </c>
      <c r="AH1361" t="str">
        <f t="shared" si="145"/>
        <v/>
      </c>
      <c r="AI1361">
        <f t="shared" si="146"/>
        <v>0</v>
      </c>
      <c r="AJ1361">
        <f t="shared" si="147"/>
        <v>0</v>
      </c>
      <c r="AK1361">
        <v>0</v>
      </c>
      <c r="AL1361" t="str">
        <f>IF(AA1361="","",IFERROR(IF(ISNUMBER('Procyclean 130'!D362),'Procyclean 130'!D362,IF(ISNUMBER(SEARCH("12",'Procyclean 130'!D362)),EDATE(AB1361,12),IF(ISNUMBER(SEARCH("6",'Procyclean 130'!D362)),EDATE(AB1361,6),IF(ISNUMBER(SEARCH("3",'Procyclean 130'!D362)),EDATE(AB1361,3),DATEVALUE('Procyclean 130'!D362))))),""))</f>
        <v/>
      </c>
      <c r="AM1361" t="str">
        <f t="shared" ca="1" si="148"/>
        <v/>
      </c>
    </row>
    <row r="1362" spans="27:39" x14ac:dyDescent="0.3">
      <c r="AA1362" t="str">
        <f>IF(COUNTA('Procyclean 130'!A363,'Procyclean 130'!B363,'Procyclean 130'!C363)&gt;0,"130","")</f>
        <v/>
      </c>
      <c r="AB1362" t="str">
        <f>IFERROR(IF(ISNUMBER('Procyclean 130'!A363),'Procyclean 130'!A363,DATEVALUE('Procyclean 130'!A363)),"")</f>
        <v/>
      </c>
      <c r="AC1362" t="str">
        <f>IF(AA1362="","",'Procyclean 130'!B363)</f>
        <v/>
      </c>
      <c r="AD1362" t="str">
        <f>IF(AA1362="","",IFERROR(1*'Procyclean 130'!C363,IFERROR(_xludf.NUMBERVALUE('Procyclean 130'!C363,".",","),IFERROR(_xludf.NUMBERVALUE('Procyclean 130'!C363,",","."),0))))</f>
        <v/>
      </c>
      <c r="AE1362" t="str">
        <f>IF(AA1362="","",'Procyclean 130'!J363)</f>
        <v/>
      </c>
      <c r="AF1362">
        <f t="shared" si="143"/>
        <v>0</v>
      </c>
      <c r="AG1362" t="str">
        <f t="shared" si="144"/>
        <v/>
      </c>
      <c r="AH1362" t="str">
        <f t="shared" si="145"/>
        <v/>
      </c>
      <c r="AI1362">
        <f t="shared" si="146"/>
        <v>0</v>
      </c>
      <c r="AJ1362">
        <f t="shared" si="147"/>
        <v>0</v>
      </c>
      <c r="AK1362">
        <v>0</v>
      </c>
      <c r="AL1362" t="str">
        <f>IF(AA1362="","",IFERROR(IF(ISNUMBER('Procyclean 130'!D363),'Procyclean 130'!D363,IF(ISNUMBER(SEARCH("12",'Procyclean 130'!D363)),EDATE(AB1362,12),IF(ISNUMBER(SEARCH("6",'Procyclean 130'!D363)),EDATE(AB1362,6),IF(ISNUMBER(SEARCH("3",'Procyclean 130'!D363)),EDATE(AB1362,3),DATEVALUE('Procyclean 130'!D363))))),""))</f>
        <v/>
      </c>
      <c r="AM1362" t="str">
        <f t="shared" ca="1" si="148"/>
        <v/>
      </c>
    </row>
    <row r="1363" spans="27:39" x14ac:dyDescent="0.3">
      <c r="AA1363" t="str">
        <f>IF(COUNTA('Procyclean 130'!A364,'Procyclean 130'!B364,'Procyclean 130'!C364)&gt;0,"130","")</f>
        <v/>
      </c>
      <c r="AB1363" t="str">
        <f>IFERROR(IF(ISNUMBER('Procyclean 130'!A364),'Procyclean 130'!A364,DATEVALUE('Procyclean 130'!A364)),"")</f>
        <v/>
      </c>
      <c r="AC1363" t="str">
        <f>IF(AA1363="","",'Procyclean 130'!B364)</f>
        <v/>
      </c>
      <c r="AD1363" t="str">
        <f>IF(AA1363="","",IFERROR(1*'Procyclean 130'!C364,IFERROR(_xludf.NUMBERVALUE('Procyclean 130'!C364,".",","),IFERROR(_xludf.NUMBERVALUE('Procyclean 130'!C364,",","."),0))))</f>
        <v/>
      </c>
      <c r="AE1363" t="str">
        <f>IF(AA1363="","",'Procyclean 130'!J364)</f>
        <v/>
      </c>
      <c r="AF1363">
        <f t="shared" si="143"/>
        <v>0</v>
      </c>
      <c r="AG1363" t="str">
        <f t="shared" si="144"/>
        <v/>
      </c>
      <c r="AH1363" t="str">
        <f t="shared" si="145"/>
        <v/>
      </c>
      <c r="AI1363">
        <f t="shared" si="146"/>
        <v>0</v>
      </c>
      <c r="AJ1363">
        <f t="shared" si="147"/>
        <v>0</v>
      </c>
      <c r="AK1363">
        <v>0</v>
      </c>
      <c r="AL1363" t="str">
        <f>IF(AA1363="","",IFERROR(IF(ISNUMBER('Procyclean 130'!D364),'Procyclean 130'!D364,IF(ISNUMBER(SEARCH("12",'Procyclean 130'!D364)),EDATE(AB1363,12),IF(ISNUMBER(SEARCH("6",'Procyclean 130'!D364)),EDATE(AB1363,6),IF(ISNUMBER(SEARCH("3",'Procyclean 130'!D364)),EDATE(AB1363,3),DATEVALUE('Procyclean 130'!D364))))),""))</f>
        <v/>
      </c>
      <c r="AM1363" t="str">
        <f t="shared" ca="1" si="148"/>
        <v/>
      </c>
    </row>
    <row r="1364" spans="27:39" x14ac:dyDescent="0.3">
      <c r="AA1364" t="str">
        <f>IF(COUNTA('Procyclean 130'!A365,'Procyclean 130'!B365,'Procyclean 130'!C365)&gt;0,"130","")</f>
        <v/>
      </c>
      <c r="AB1364" t="str">
        <f>IFERROR(IF(ISNUMBER('Procyclean 130'!A365),'Procyclean 130'!A365,DATEVALUE('Procyclean 130'!A365)),"")</f>
        <v/>
      </c>
      <c r="AC1364" t="str">
        <f>IF(AA1364="","",'Procyclean 130'!B365)</f>
        <v/>
      </c>
      <c r="AD1364" t="str">
        <f>IF(AA1364="","",IFERROR(1*'Procyclean 130'!C365,IFERROR(_xludf.NUMBERVALUE('Procyclean 130'!C365,".",","),IFERROR(_xludf.NUMBERVALUE('Procyclean 130'!C365,",","."),0))))</f>
        <v/>
      </c>
      <c r="AE1364" t="str">
        <f>IF(AA1364="","",'Procyclean 130'!J365)</f>
        <v/>
      </c>
      <c r="AF1364">
        <f t="shared" si="143"/>
        <v>0</v>
      </c>
      <c r="AG1364" t="str">
        <f t="shared" si="144"/>
        <v/>
      </c>
      <c r="AH1364" t="str">
        <f t="shared" si="145"/>
        <v/>
      </c>
      <c r="AI1364">
        <f t="shared" si="146"/>
        <v>0</v>
      </c>
      <c r="AJ1364">
        <f t="shared" si="147"/>
        <v>0</v>
      </c>
      <c r="AK1364">
        <v>0</v>
      </c>
      <c r="AL1364" t="str">
        <f>IF(AA1364="","",IFERROR(IF(ISNUMBER('Procyclean 130'!D365),'Procyclean 130'!D365,IF(ISNUMBER(SEARCH("12",'Procyclean 130'!D365)),EDATE(AB1364,12),IF(ISNUMBER(SEARCH("6",'Procyclean 130'!D365)),EDATE(AB1364,6),IF(ISNUMBER(SEARCH("3",'Procyclean 130'!D365)),EDATE(AB1364,3),DATEVALUE('Procyclean 130'!D365))))),""))</f>
        <v/>
      </c>
      <c r="AM1364" t="str">
        <f t="shared" ca="1" si="148"/>
        <v/>
      </c>
    </row>
    <row r="1365" spans="27:39" x14ac:dyDescent="0.3">
      <c r="AA1365" t="str">
        <f>IF(COUNTA('Procyclean 130'!A366,'Procyclean 130'!B366,'Procyclean 130'!C366)&gt;0,"130","")</f>
        <v/>
      </c>
      <c r="AB1365" t="str">
        <f>IFERROR(IF(ISNUMBER('Procyclean 130'!A366),'Procyclean 130'!A366,DATEVALUE('Procyclean 130'!A366)),"")</f>
        <v/>
      </c>
      <c r="AC1365" t="str">
        <f>IF(AA1365="","",'Procyclean 130'!B366)</f>
        <v/>
      </c>
      <c r="AD1365" t="str">
        <f>IF(AA1365="","",IFERROR(1*'Procyclean 130'!C366,IFERROR(_xludf.NUMBERVALUE('Procyclean 130'!C366,".",","),IFERROR(_xludf.NUMBERVALUE('Procyclean 130'!C366,",","."),0))))</f>
        <v/>
      </c>
      <c r="AE1365" t="str">
        <f>IF(AA1365="","",'Procyclean 130'!J366)</f>
        <v/>
      </c>
      <c r="AF1365">
        <f t="shared" si="143"/>
        <v>0</v>
      </c>
      <c r="AG1365" t="str">
        <f t="shared" si="144"/>
        <v/>
      </c>
      <c r="AH1365" t="str">
        <f t="shared" si="145"/>
        <v/>
      </c>
      <c r="AI1365">
        <f t="shared" si="146"/>
        <v>0</v>
      </c>
      <c r="AJ1365">
        <f t="shared" si="147"/>
        <v>0</v>
      </c>
      <c r="AK1365">
        <v>0</v>
      </c>
      <c r="AL1365" t="str">
        <f>IF(AA1365="","",IFERROR(IF(ISNUMBER('Procyclean 130'!D366),'Procyclean 130'!D366,IF(ISNUMBER(SEARCH("12",'Procyclean 130'!D366)),EDATE(AB1365,12),IF(ISNUMBER(SEARCH("6",'Procyclean 130'!D366)),EDATE(AB1365,6),IF(ISNUMBER(SEARCH("3",'Procyclean 130'!D366)),EDATE(AB1365,3),DATEVALUE('Procyclean 130'!D366))))),""))</f>
        <v/>
      </c>
      <c r="AM1365" t="str">
        <f t="shared" ca="1" si="148"/>
        <v/>
      </c>
    </row>
    <row r="1366" spans="27:39" x14ac:dyDescent="0.3">
      <c r="AA1366" t="str">
        <f>IF(COUNTA('Procyclean 130'!A367,'Procyclean 130'!B367,'Procyclean 130'!C367)&gt;0,"130","")</f>
        <v/>
      </c>
      <c r="AB1366" t="str">
        <f>IFERROR(IF(ISNUMBER('Procyclean 130'!A367),'Procyclean 130'!A367,DATEVALUE('Procyclean 130'!A367)),"")</f>
        <v/>
      </c>
      <c r="AC1366" t="str">
        <f>IF(AA1366="","",'Procyclean 130'!B367)</f>
        <v/>
      </c>
      <c r="AD1366" t="str">
        <f>IF(AA1366="","",IFERROR(1*'Procyclean 130'!C367,IFERROR(_xludf.NUMBERVALUE('Procyclean 130'!C367,".",","),IFERROR(_xludf.NUMBERVALUE('Procyclean 130'!C367,",","."),0))))</f>
        <v/>
      </c>
      <c r="AE1366" t="str">
        <f>IF(AA1366="","",'Procyclean 130'!J367)</f>
        <v/>
      </c>
      <c r="AF1366">
        <f t="shared" si="143"/>
        <v>0</v>
      </c>
      <c r="AG1366" t="str">
        <f t="shared" si="144"/>
        <v/>
      </c>
      <c r="AH1366" t="str">
        <f t="shared" si="145"/>
        <v/>
      </c>
      <c r="AI1366">
        <f t="shared" si="146"/>
        <v>0</v>
      </c>
      <c r="AJ1366">
        <f t="shared" si="147"/>
        <v>0</v>
      </c>
      <c r="AK1366">
        <v>0</v>
      </c>
      <c r="AL1366" t="str">
        <f>IF(AA1366="","",IFERROR(IF(ISNUMBER('Procyclean 130'!D367),'Procyclean 130'!D367,IF(ISNUMBER(SEARCH("12",'Procyclean 130'!D367)),EDATE(AB1366,12),IF(ISNUMBER(SEARCH("6",'Procyclean 130'!D367)),EDATE(AB1366,6),IF(ISNUMBER(SEARCH("3",'Procyclean 130'!D367)),EDATE(AB1366,3),DATEVALUE('Procyclean 130'!D367))))),""))</f>
        <v/>
      </c>
      <c r="AM1366" t="str">
        <f t="shared" ca="1" si="148"/>
        <v/>
      </c>
    </row>
    <row r="1367" spans="27:39" x14ac:dyDescent="0.3">
      <c r="AA1367" t="str">
        <f>IF(COUNTA('Procyclean 130'!A368,'Procyclean 130'!B368,'Procyclean 130'!C368)&gt;0,"130","")</f>
        <v/>
      </c>
      <c r="AB1367" t="str">
        <f>IFERROR(IF(ISNUMBER('Procyclean 130'!A368),'Procyclean 130'!A368,DATEVALUE('Procyclean 130'!A368)),"")</f>
        <v/>
      </c>
      <c r="AC1367" t="str">
        <f>IF(AA1367="","",'Procyclean 130'!B368)</f>
        <v/>
      </c>
      <c r="AD1367" t="str">
        <f>IF(AA1367="","",IFERROR(1*'Procyclean 130'!C368,IFERROR(_xludf.NUMBERVALUE('Procyclean 130'!C368,".",","),IFERROR(_xludf.NUMBERVALUE('Procyclean 130'!C368,",","."),0))))</f>
        <v/>
      </c>
      <c r="AE1367" t="str">
        <f>IF(AA1367="","",'Procyclean 130'!J368)</f>
        <v/>
      </c>
      <c r="AF1367">
        <f t="shared" si="143"/>
        <v>0</v>
      </c>
      <c r="AG1367" t="str">
        <f t="shared" si="144"/>
        <v/>
      </c>
      <c r="AH1367" t="str">
        <f t="shared" si="145"/>
        <v/>
      </c>
      <c r="AI1367">
        <f t="shared" si="146"/>
        <v>0</v>
      </c>
      <c r="AJ1367">
        <f t="shared" si="147"/>
        <v>0</v>
      </c>
      <c r="AK1367">
        <v>0</v>
      </c>
      <c r="AL1367" t="str">
        <f>IF(AA1367="","",IFERROR(IF(ISNUMBER('Procyclean 130'!D368),'Procyclean 130'!D368,IF(ISNUMBER(SEARCH("12",'Procyclean 130'!D368)),EDATE(AB1367,12),IF(ISNUMBER(SEARCH("6",'Procyclean 130'!D368)),EDATE(AB1367,6),IF(ISNUMBER(SEARCH("3",'Procyclean 130'!D368)),EDATE(AB1367,3),DATEVALUE('Procyclean 130'!D368))))),""))</f>
        <v/>
      </c>
      <c r="AM1367" t="str">
        <f t="shared" ca="1" si="148"/>
        <v/>
      </c>
    </row>
    <row r="1368" spans="27:39" x14ac:dyDescent="0.3">
      <c r="AA1368" t="str">
        <f>IF(COUNTA('Procyclean 130'!A369,'Procyclean 130'!B369,'Procyclean 130'!C369)&gt;0,"130","")</f>
        <v/>
      </c>
      <c r="AB1368" t="str">
        <f>IFERROR(IF(ISNUMBER('Procyclean 130'!A369),'Procyclean 130'!A369,DATEVALUE('Procyclean 130'!A369)),"")</f>
        <v/>
      </c>
      <c r="AC1368" t="str">
        <f>IF(AA1368="","",'Procyclean 130'!B369)</f>
        <v/>
      </c>
      <c r="AD1368" t="str">
        <f>IF(AA1368="","",IFERROR(1*'Procyclean 130'!C369,IFERROR(_xludf.NUMBERVALUE('Procyclean 130'!C369,".",","),IFERROR(_xludf.NUMBERVALUE('Procyclean 130'!C369,",","."),0))))</f>
        <v/>
      </c>
      <c r="AE1368" t="str">
        <f>IF(AA1368="","",'Procyclean 130'!J369)</f>
        <v/>
      </c>
      <c r="AF1368">
        <f t="shared" si="143"/>
        <v>0</v>
      </c>
      <c r="AG1368" t="str">
        <f t="shared" si="144"/>
        <v/>
      </c>
      <c r="AH1368" t="str">
        <f t="shared" si="145"/>
        <v/>
      </c>
      <c r="AI1368">
        <f t="shared" si="146"/>
        <v>0</v>
      </c>
      <c r="AJ1368">
        <f t="shared" si="147"/>
        <v>0</v>
      </c>
      <c r="AK1368">
        <v>0</v>
      </c>
      <c r="AL1368" t="str">
        <f>IF(AA1368="","",IFERROR(IF(ISNUMBER('Procyclean 130'!D369),'Procyclean 130'!D369,IF(ISNUMBER(SEARCH("12",'Procyclean 130'!D369)),EDATE(AB1368,12),IF(ISNUMBER(SEARCH("6",'Procyclean 130'!D369)),EDATE(AB1368,6),IF(ISNUMBER(SEARCH("3",'Procyclean 130'!D369)),EDATE(AB1368,3),DATEVALUE('Procyclean 130'!D369))))),""))</f>
        <v/>
      </c>
      <c r="AM1368" t="str">
        <f t="shared" ca="1" si="148"/>
        <v/>
      </c>
    </row>
    <row r="1369" spans="27:39" x14ac:dyDescent="0.3">
      <c r="AA1369" t="str">
        <f>IF(COUNTA('Procyclean 130'!A370,'Procyclean 130'!B370,'Procyclean 130'!C370)&gt;0,"130","")</f>
        <v/>
      </c>
      <c r="AB1369" t="str">
        <f>IFERROR(IF(ISNUMBER('Procyclean 130'!A370),'Procyclean 130'!A370,DATEVALUE('Procyclean 130'!A370)),"")</f>
        <v/>
      </c>
      <c r="AC1369" t="str">
        <f>IF(AA1369="","",'Procyclean 130'!B370)</f>
        <v/>
      </c>
      <c r="AD1369" t="str">
        <f>IF(AA1369="","",IFERROR(1*'Procyclean 130'!C370,IFERROR(_xludf.NUMBERVALUE('Procyclean 130'!C370,".",","),IFERROR(_xludf.NUMBERVALUE('Procyclean 130'!C370,",","."),0))))</f>
        <v/>
      </c>
      <c r="AE1369" t="str">
        <f>IF(AA1369="","",'Procyclean 130'!J370)</f>
        <v/>
      </c>
      <c r="AF1369">
        <f t="shared" si="143"/>
        <v>0</v>
      </c>
      <c r="AG1369" t="str">
        <f t="shared" si="144"/>
        <v/>
      </c>
      <c r="AH1369" t="str">
        <f t="shared" si="145"/>
        <v/>
      </c>
      <c r="AI1369">
        <f t="shared" si="146"/>
        <v>0</v>
      </c>
      <c r="AJ1369">
        <f t="shared" si="147"/>
        <v>0</v>
      </c>
      <c r="AK1369">
        <v>0</v>
      </c>
      <c r="AL1369" t="str">
        <f>IF(AA1369="","",IFERROR(IF(ISNUMBER('Procyclean 130'!D370),'Procyclean 130'!D370,IF(ISNUMBER(SEARCH("12",'Procyclean 130'!D370)),EDATE(AB1369,12),IF(ISNUMBER(SEARCH("6",'Procyclean 130'!D370)),EDATE(AB1369,6),IF(ISNUMBER(SEARCH("3",'Procyclean 130'!D370)),EDATE(AB1369,3),DATEVALUE('Procyclean 130'!D370))))),""))</f>
        <v/>
      </c>
      <c r="AM1369" t="str">
        <f t="shared" ca="1" si="148"/>
        <v/>
      </c>
    </row>
    <row r="1370" spans="27:39" x14ac:dyDescent="0.3">
      <c r="AA1370" t="str">
        <f>IF(COUNTA('Procyclean 130'!A371,'Procyclean 130'!B371,'Procyclean 130'!C371)&gt;0,"130","")</f>
        <v/>
      </c>
      <c r="AB1370" t="str">
        <f>IFERROR(IF(ISNUMBER('Procyclean 130'!A371),'Procyclean 130'!A371,DATEVALUE('Procyclean 130'!A371)),"")</f>
        <v/>
      </c>
      <c r="AC1370" t="str">
        <f>IF(AA1370="","",'Procyclean 130'!B371)</f>
        <v/>
      </c>
      <c r="AD1370" t="str">
        <f>IF(AA1370="","",IFERROR(1*'Procyclean 130'!C371,IFERROR(_xludf.NUMBERVALUE('Procyclean 130'!C371,".",","),IFERROR(_xludf.NUMBERVALUE('Procyclean 130'!C371,",","."),0))))</f>
        <v/>
      </c>
      <c r="AE1370" t="str">
        <f>IF(AA1370="","",'Procyclean 130'!J371)</f>
        <v/>
      </c>
      <c r="AF1370">
        <f t="shared" si="143"/>
        <v>0</v>
      </c>
      <c r="AG1370" t="str">
        <f t="shared" si="144"/>
        <v/>
      </c>
      <c r="AH1370" t="str">
        <f t="shared" si="145"/>
        <v/>
      </c>
      <c r="AI1370">
        <f t="shared" si="146"/>
        <v>0</v>
      </c>
      <c r="AJ1370">
        <f t="shared" si="147"/>
        <v>0</v>
      </c>
      <c r="AK1370">
        <v>0</v>
      </c>
      <c r="AL1370" t="str">
        <f>IF(AA1370="","",IFERROR(IF(ISNUMBER('Procyclean 130'!D371),'Procyclean 130'!D371,IF(ISNUMBER(SEARCH("12",'Procyclean 130'!D371)),EDATE(AB1370,12),IF(ISNUMBER(SEARCH("6",'Procyclean 130'!D371)),EDATE(AB1370,6),IF(ISNUMBER(SEARCH("3",'Procyclean 130'!D371)),EDATE(AB1370,3),DATEVALUE('Procyclean 130'!D371))))),""))</f>
        <v/>
      </c>
      <c r="AM1370" t="str">
        <f t="shared" ca="1" si="148"/>
        <v/>
      </c>
    </row>
    <row r="1371" spans="27:39" x14ac:dyDescent="0.3">
      <c r="AA1371" t="str">
        <f>IF(COUNTA('Procyclean 130'!A372,'Procyclean 130'!B372,'Procyclean 130'!C372)&gt;0,"130","")</f>
        <v/>
      </c>
      <c r="AB1371" t="str">
        <f>IFERROR(IF(ISNUMBER('Procyclean 130'!A372),'Procyclean 130'!A372,DATEVALUE('Procyclean 130'!A372)),"")</f>
        <v/>
      </c>
      <c r="AC1371" t="str">
        <f>IF(AA1371="","",'Procyclean 130'!B372)</f>
        <v/>
      </c>
      <c r="AD1371" t="str">
        <f>IF(AA1371="","",IFERROR(1*'Procyclean 130'!C372,IFERROR(_xludf.NUMBERVALUE('Procyclean 130'!C372,".",","),IFERROR(_xludf.NUMBERVALUE('Procyclean 130'!C372,",","."),0))))</f>
        <v/>
      </c>
      <c r="AE1371" t="str">
        <f>IF(AA1371="","",'Procyclean 130'!J372)</f>
        <v/>
      </c>
      <c r="AF1371">
        <f t="shared" si="143"/>
        <v>0</v>
      </c>
      <c r="AG1371" t="str">
        <f t="shared" si="144"/>
        <v/>
      </c>
      <c r="AH1371" t="str">
        <f t="shared" si="145"/>
        <v/>
      </c>
      <c r="AI1371">
        <f t="shared" si="146"/>
        <v>0</v>
      </c>
      <c r="AJ1371">
        <f t="shared" si="147"/>
        <v>0</v>
      </c>
      <c r="AK1371">
        <v>0</v>
      </c>
      <c r="AL1371" t="str">
        <f>IF(AA1371="","",IFERROR(IF(ISNUMBER('Procyclean 130'!D372),'Procyclean 130'!D372,IF(ISNUMBER(SEARCH("12",'Procyclean 130'!D372)),EDATE(AB1371,12),IF(ISNUMBER(SEARCH("6",'Procyclean 130'!D372)),EDATE(AB1371,6),IF(ISNUMBER(SEARCH("3",'Procyclean 130'!D372)),EDATE(AB1371,3),DATEVALUE('Procyclean 130'!D372))))),""))</f>
        <v/>
      </c>
      <c r="AM1371" t="str">
        <f t="shared" ca="1" si="148"/>
        <v/>
      </c>
    </row>
    <row r="1372" spans="27:39" x14ac:dyDescent="0.3">
      <c r="AA1372" t="str">
        <f>IF(COUNTA('Procyclean 130'!A373,'Procyclean 130'!B373,'Procyclean 130'!C373)&gt;0,"130","")</f>
        <v/>
      </c>
      <c r="AB1372" t="str">
        <f>IFERROR(IF(ISNUMBER('Procyclean 130'!A373),'Procyclean 130'!A373,DATEVALUE('Procyclean 130'!A373)),"")</f>
        <v/>
      </c>
      <c r="AC1372" t="str">
        <f>IF(AA1372="","",'Procyclean 130'!B373)</f>
        <v/>
      </c>
      <c r="AD1372" t="str">
        <f>IF(AA1372="","",IFERROR(1*'Procyclean 130'!C373,IFERROR(_xludf.NUMBERVALUE('Procyclean 130'!C373,".",","),IFERROR(_xludf.NUMBERVALUE('Procyclean 130'!C373,",","."),0))))</f>
        <v/>
      </c>
      <c r="AE1372" t="str">
        <f>IF(AA1372="","",'Procyclean 130'!J373)</f>
        <v/>
      </c>
      <c r="AF1372">
        <f t="shared" si="143"/>
        <v>0</v>
      </c>
      <c r="AG1372" t="str">
        <f t="shared" si="144"/>
        <v/>
      </c>
      <c r="AH1372" t="str">
        <f t="shared" si="145"/>
        <v/>
      </c>
      <c r="AI1372">
        <f t="shared" si="146"/>
        <v>0</v>
      </c>
      <c r="AJ1372">
        <f t="shared" si="147"/>
        <v>0</v>
      </c>
      <c r="AK1372">
        <v>0</v>
      </c>
      <c r="AL1372" t="str">
        <f>IF(AA1372="","",IFERROR(IF(ISNUMBER('Procyclean 130'!D373),'Procyclean 130'!D373,IF(ISNUMBER(SEARCH("12",'Procyclean 130'!D373)),EDATE(AB1372,12),IF(ISNUMBER(SEARCH("6",'Procyclean 130'!D373)),EDATE(AB1372,6),IF(ISNUMBER(SEARCH("3",'Procyclean 130'!D373)),EDATE(AB1372,3),DATEVALUE('Procyclean 130'!D373))))),""))</f>
        <v/>
      </c>
      <c r="AM1372" t="str">
        <f t="shared" ca="1" si="148"/>
        <v/>
      </c>
    </row>
    <row r="1373" spans="27:39" x14ac:dyDescent="0.3">
      <c r="AA1373" t="str">
        <f>IF(COUNTA('Procyclean 130'!A374,'Procyclean 130'!B374,'Procyclean 130'!C374)&gt;0,"130","")</f>
        <v/>
      </c>
      <c r="AB1373" t="str">
        <f>IFERROR(IF(ISNUMBER('Procyclean 130'!A374),'Procyclean 130'!A374,DATEVALUE('Procyclean 130'!A374)),"")</f>
        <v/>
      </c>
      <c r="AC1373" t="str">
        <f>IF(AA1373="","",'Procyclean 130'!B374)</f>
        <v/>
      </c>
      <c r="AD1373" t="str">
        <f>IF(AA1373="","",IFERROR(1*'Procyclean 130'!C374,IFERROR(_xludf.NUMBERVALUE('Procyclean 130'!C374,".",","),IFERROR(_xludf.NUMBERVALUE('Procyclean 130'!C374,",","."),0))))</f>
        <v/>
      </c>
      <c r="AE1373" t="str">
        <f>IF(AA1373="","",'Procyclean 130'!J374)</f>
        <v/>
      </c>
      <c r="AF1373">
        <f t="shared" si="143"/>
        <v>0</v>
      </c>
      <c r="AG1373" t="str">
        <f t="shared" si="144"/>
        <v/>
      </c>
      <c r="AH1373" t="str">
        <f t="shared" si="145"/>
        <v/>
      </c>
      <c r="AI1373">
        <f t="shared" si="146"/>
        <v>0</v>
      </c>
      <c r="AJ1373">
        <f t="shared" si="147"/>
        <v>0</v>
      </c>
      <c r="AK1373">
        <v>0</v>
      </c>
      <c r="AL1373" t="str">
        <f>IF(AA1373="","",IFERROR(IF(ISNUMBER('Procyclean 130'!D374),'Procyclean 130'!D374,IF(ISNUMBER(SEARCH("12",'Procyclean 130'!D374)),EDATE(AB1373,12),IF(ISNUMBER(SEARCH("6",'Procyclean 130'!D374)),EDATE(AB1373,6),IF(ISNUMBER(SEARCH("3",'Procyclean 130'!D374)),EDATE(AB1373,3),DATEVALUE('Procyclean 130'!D374))))),""))</f>
        <v/>
      </c>
      <c r="AM1373" t="str">
        <f t="shared" ca="1" si="148"/>
        <v/>
      </c>
    </row>
    <row r="1374" spans="27:39" x14ac:dyDescent="0.3">
      <c r="AA1374" t="str">
        <f>IF(COUNTA('Procyclean 130'!A375,'Procyclean 130'!B375,'Procyclean 130'!C375)&gt;0,"130","")</f>
        <v/>
      </c>
      <c r="AB1374" t="str">
        <f>IFERROR(IF(ISNUMBER('Procyclean 130'!A375),'Procyclean 130'!A375,DATEVALUE('Procyclean 130'!A375)),"")</f>
        <v/>
      </c>
      <c r="AC1374" t="str">
        <f>IF(AA1374="","",'Procyclean 130'!B375)</f>
        <v/>
      </c>
      <c r="AD1374" t="str">
        <f>IF(AA1374="","",IFERROR(1*'Procyclean 130'!C375,IFERROR(_xludf.NUMBERVALUE('Procyclean 130'!C375,".",","),IFERROR(_xludf.NUMBERVALUE('Procyclean 130'!C375,",","."),0))))</f>
        <v/>
      </c>
      <c r="AE1374" t="str">
        <f>IF(AA1374="","",'Procyclean 130'!J375)</f>
        <v/>
      </c>
      <c r="AF1374">
        <f t="shared" si="143"/>
        <v>0</v>
      </c>
      <c r="AG1374" t="str">
        <f t="shared" si="144"/>
        <v/>
      </c>
      <c r="AH1374" t="str">
        <f t="shared" si="145"/>
        <v/>
      </c>
      <c r="AI1374">
        <f t="shared" si="146"/>
        <v>0</v>
      </c>
      <c r="AJ1374">
        <f t="shared" si="147"/>
        <v>0</v>
      </c>
      <c r="AK1374">
        <v>0</v>
      </c>
      <c r="AL1374" t="str">
        <f>IF(AA1374="","",IFERROR(IF(ISNUMBER('Procyclean 130'!D375),'Procyclean 130'!D375,IF(ISNUMBER(SEARCH("12",'Procyclean 130'!D375)),EDATE(AB1374,12),IF(ISNUMBER(SEARCH("6",'Procyclean 130'!D375)),EDATE(AB1374,6),IF(ISNUMBER(SEARCH("3",'Procyclean 130'!D375)),EDATE(AB1374,3),DATEVALUE('Procyclean 130'!D375))))),""))</f>
        <v/>
      </c>
      <c r="AM1374" t="str">
        <f t="shared" ca="1" si="148"/>
        <v/>
      </c>
    </row>
    <row r="1375" spans="27:39" x14ac:dyDescent="0.3">
      <c r="AA1375" t="str">
        <f>IF(COUNTA('Procyclean 130'!A376,'Procyclean 130'!B376,'Procyclean 130'!C376)&gt;0,"130","")</f>
        <v/>
      </c>
      <c r="AB1375" t="str">
        <f>IFERROR(IF(ISNUMBER('Procyclean 130'!A376),'Procyclean 130'!A376,DATEVALUE('Procyclean 130'!A376)),"")</f>
        <v/>
      </c>
      <c r="AC1375" t="str">
        <f>IF(AA1375="","",'Procyclean 130'!B376)</f>
        <v/>
      </c>
      <c r="AD1375" t="str">
        <f>IF(AA1375="","",IFERROR(1*'Procyclean 130'!C376,IFERROR(_xludf.NUMBERVALUE('Procyclean 130'!C376,".",","),IFERROR(_xludf.NUMBERVALUE('Procyclean 130'!C376,",","."),0))))</f>
        <v/>
      </c>
      <c r="AE1375" t="str">
        <f>IF(AA1375="","",'Procyclean 130'!J376)</f>
        <v/>
      </c>
      <c r="AF1375">
        <f t="shared" si="143"/>
        <v>0</v>
      </c>
      <c r="AG1375" t="str">
        <f t="shared" si="144"/>
        <v/>
      </c>
      <c r="AH1375" t="str">
        <f t="shared" si="145"/>
        <v/>
      </c>
      <c r="AI1375">
        <f t="shared" si="146"/>
        <v>0</v>
      </c>
      <c r="AJ1375">
        <f t="shared" si="147"/>
        <v>0</v>
      </c>
      <c r="AK1375">
        <v>0</v>
      </c>
      <c r="AL1375" t="str">
        <f>IF(AA1375="","",IFERROR(IF(ISNUMBER('Procyclean 130'!D376),'Procyclean 130'!D376,IF(ISNUMBER(SEARCH("12",'Procyclean 130'!D376)),EDATE(AB1375,12),IF(ISNUMBER(SEARCH("6",'Procyclean 130'!D376)),EDATE(AB1375,6),IF(ISNUMBER(SEARCH("3",'Procyclean 130'!D376)),EDATE(AB1375,3),DATEVALUE('Procyclean 130'!D376))))),""))</f>
        <v/>
      </c>
      <c r="AM1375" t="str">
        <f t="shared" ca="1" si="148"/>
        <v/>
      </c>
    </row>
    <row r="1376" spans="27:39" x14ac:dyDescent="0.3">
      <c r="AA1376" t="str">
        <f>IF(COUNTA('Procyclean 130'!A377,'Procyclean 130'!B377,'Procyclean 130'!C377)&gt;0,"130","")</f>
        <v/>
      </c>
      <c r="AB1376" t="str">
        <f>IFERROR(IF(ISNUMBER('Procyclean 130'!A377),'Procyclean 130'!A377,DATEVALUE('Procyclean 130'!A377)),"")</f>
        <v/>
      </c>
      <c r="AC1376" t="str">
        <f>IF(AA1376="","",'Procyclean 130'!B377)</f>
        <v/>
      </c>
      <c r="AD1376" t="str">
        <f>IF(AA1376="","",IFERROR(1*'Procyclean 130'!C377,IFERROR(_xludf.NUMBERVALUE('Procyclean 130'!C377,".",","),IFERROR(_xludf.NUMBERVALUE('Procyclean 130'!C377,",","."),0))))</f>
        <v/>
      </c>
      <c r="AE1376" t="str">
        <f>IF(AA1376="","",'Procyclean 130'!J377)</f>
        <v/>
      </c>
      <c r="AF1376">
        <f t="shared" si="143"/>
        <v>0</v>
      </c>
      <c r="AG1376" t="str">
        <f t="shared" si="144"/>
        <v/>
      </c>
      <c r="AH1376" t="str">
        <f t="shared" si="145"/>
        <v/>
      </c>
      <c r="AI1376">
        <f t="shared" si="146"/>
        <v>0</v>
      </c>
      <c r="AJ1376">
        <f t="shared" si="147"/>
        <v>0</v>
      </c>
      <c r="AK1376">
        <v>0</v>
      </c>
      <c r="AL1376" t="str">
        <f>IF(AA1376="","",IFERROR(IF(ISNUMBER('Procyclean 130'!D377),'Procyclean 130'!D377,IF(ISNUMBER(SEARCH("12",'Procyclean 130'!D377)),EDATE(AB1376,12),IF(ISNUMBER(SEARCH("6",'Procyclean 130'!D377)),EDATE(AB1376,6),IF(ISNUMBER(SEARCH("3",'Procyclean 130'!D377)),EDATE(AB1376,3),DATEVALUE('Procyclean 130'!D377))))),""))</f>
        <v/>
      </c>
      <c r="AM1376" t="str">
        <f t="shared" ca="1" si="148"/>
        <v/>
      </c>
    </row>
    <row r="1377" spans="27:39" x14ac:dyDescent="0.3">
      <c r="AA1377" t="str">
        <f>IF(COUNTA('Procyclean 130'!A378,'Procyclean 130'!B378,'Procyclean 130'!C378)&gt;0,"130","")</f>
        <v/>
      </c>
      <c r="AB1377" t="str">
        <f>IFERROR(IF(ISNUMBER('Procyclean 130'!A378),'Procyclean 130'!A378,DATEVALUE('Procyclean 130'!A378)),"")</f>
        <v/>
      </c>
      <c r="AC1377" t="str">
        <f>IF(AA1377="","",'Procyclean 130'!B378)</f>
        <v/>
      </c>
      <c r="AD1377" t="str">
        <f>IF(AA1377="","",IFERROR(1*'Procyclean 130'!C378,IFERROR(_xludf.NUMBERVALUE('Procyclean 130'!C378,".",","),IFERROR(_xludf.NUMBERVALUE('Procyclean 130'!C378,",","."),0))))</f>
        <v/>
      </c>
      <c r="AE1377" t="str">
        <f>IF(AA1377="","",'Procyclean 130'!J378)</f>
        <v/>
      </c>
      <c r="AF1377">
        <f t="shared" si="143"/>
        <v>0</v>
      </c>
      <c r="AG1377" t="str">
        <f t="shared" si="144"/>
        <v/>
      </c>
      <c r="AH1377" t="str">
        <f t="shared" si="145"/>
        <v/>
      </c>
      <c r="AI1377">
        <f t="shared" si="146"/>
        <v>0</v>
      </c>
      <c r="AJ1377">
        <f t="shared" si="147"/>
        <v>0</v>
      </c>
      <c r="AK1377">
        <v>0</v>
      </c>
      <c r="AL1377" t="str">
        <f>IF(AA1377="","",IFERROR(IF(ISNUMBER('Procyclean 130'!D378),'Procyclean 130'!D378,IF(ISNUMBER(SEARCH("12",'Procyclean 130'!D378)),EDATE(AB1377,12),IF(ISNUMBER(SEARCH("6",'Procyclean 130'!D378)),EDATE(AB1377,6),IF(ISNUMBER(SEARCH("3",'Procyclean 130'!D378)),EDATE(AB1377,3),DATEVALUE('Procyclean 130'!D378))))),""))</f>
        <v/>
      </c>
      <c r="AM1377" t="str">
        <f t="shared" ca="1" si="148"/>
        <v/>
      </c>
    </row>
    <row r="1378" spans="27:39" x14ac:dyDescent="0.3">
      <c r="AA1378" t="str">
        <f>IF(COUNTA('Procyclean 130'!A379,'Procyclean 130'!B379,'Procyclean 130'!C379)&gt;0,"130","")</f>
        <v/>
      </c>
      <c r="AB1378" t="str">
        <f>IFERROR(IF(ISNUMBER('Procyclean 130'!A379),'Procyclean 130'!A379,DATEVALUE('Procyclean 130'!A379)),"")</f>
        <v/>
      </c>
      <c r="AC1378" t="str">
        <f>IF(AA1378="","",'Procyclean 130'!B379)</f>
        <v/>
      </c>
      <c r="AD1378" t="str">
        <f>IF(AA1378="","",IFERROR(1*'Procyclean 130'!C379,IFERROR(_xludf.NUMBERVALUE('Procyclean 130'!C379,".",","),IFERROR(_xludf.NUMBERVALUE('Procyclean 130'!C379,",","."),0))))</f>
        <v/>
      </c>
      <c r="AE1378" t="str">
        <f>IF(AA1378="","",'Procyclean 130'!J379)</f>
        <v/>
      </c>
      <c r="AF1378">
        <f t="shared" si="143"/>
        <v>0</v>
      </c>
      <c r="AG1378" t="str">
        <f t="shared" si="144"/>
        <v/>
      </c>
      <c r="AH1378" t="str">
        <f t="shared" si="145"/>
        <v/>
      </c>
      <c r="AI1378">
        <f t="shared" si="146"/>
        <v>0</v>
      </c>
      <c r="AJ1378">
        <f t="shared" si="147"/>
        <v>0</v>
      </c>
      <c r="AK1378">
        <v>0</v>
      </c>
      <c r="AL1378" t="str">
        <f>IF(AA1378="","",IFERROR(IF(ISNUMBER('Procyclean 130'!D379),'Procyclean 130'!D379,IF(ISNUMBER(SEARCH("12",'Procyclean 130'!D379)),EDATE(AB1378,12),IF(ISNUMBER(SEARCH("6",'Procyclean 130'!D379)),EDATE(AB1378,6),IF(ISNUMBER(SEARCH("3",'Procyclean 130'!D379)),EDATE(AB1378,3),DATEVALUE('Procyclean 130'!D379))))),""))</f>
        <v/>
      </c>
      <c r="AM1378" t="str">
        <f t="shared" ca="1" si="148"/>
        <v/>
      </c>
    </row>
    <row r="1379" spans="27:39" x14ac:dyDescent="0.3">
      <c r="AA1379" t="str">
        <f>IF(COUNTA('Procyclean 130'!A380,'Procyclean 130'!B380,'Procyclean 130'!C380)&gt;0,"130","")</f>
        <v/>
      </c>
      <c r="AB1379" t="str">
        <f>IFERROR(IF(ISNUMBER('Procyclean 130'!A380),'Procyclean 130'!A380,DATEVALUE('Procyclean 130'!A380)),"")</f>
        <v/>
      </c>
      <c r="AC1379" t="str">
        <f>IF(AA1379="","",'Procyclean 130'!B380)</f>
        <v/>
      </c>
      <c r="AD1379" t="str">
        <f>IF(AA1379="","",IFERROR(1*'Procyclean 130'!C380,IFERROR(_xludf.NUMBERVALUE('Procyclean 130'!C380,".",","),IFERROR(_xludf.NUMBERVALUE('Procyclean 130'!C380,",","."),0))))</f>
        <v/>
      </c>
      <c r="AE1379" t="str">
        <f>IF(AA1379="","",'Procyclean 130'!J380)</f>
        <v/>
      </c>
      <c r="AF1379">
        <f t="shared" si="143"/>
        <v>0</v>
      </c>
      <c r="AG1379" t="str">
        <f t="shared" si="144"/>
        <v/>
      </c>
      <c r="AH1379" t="str">
        <f t="shared" si="145"/>
        <v/>
      </c>
      <c r="AI1379">
        <f t="shared" si="146"/>
        <v>0</v>
      </c>
      <c r="AJ1379">
        <f t="shared" si="147"/>
        <v>0</v>
      </c>
      <c r="AK1379">
        <v>0</v>
      </c>
      <c r="AL1379" t="str">
        <f>IF(AA1379="","",IFERROR(IF(ISNUMBER('Procyclean 130'!D380),'Procyclean 130'!D380,IF(ISNUMBER(SEARCH("12",'Procyclean 130'!D380)),EDATE(AB1379,12),IF(ISNUMBER(SEARCH("6",'Procyclean 130'!D380)),EDATE(AB1379,6),IF(ISNUMBER(SEARCH("3",'Procyclean 130'!D380)),EDATE(AB1379,3),DATEVALUE('Procyclean 130'!D380))))),""))</f>
        <v/>
      </c>
      <c r="AM1379" t="str">
        <f t="shared" ca="1" si="148"/>
        <v/>
      </c>
    </row>
    <row r="1380" spans="27:39" x14ac:dyDescent="0.3">
      <c r="AA1380" t="str">
        <f>IF(COUNTA('Procyclean 130'!A381,'Procyclean 130'!B381,'Procyclean 130'!C381)&gt;0,"130","")</f>
        <v/>
      </c>
      <c r="AB1380" t="str">
        <f>IFERROR(IF(ISNUMBER('Procyclean 130'!A381),'Procyclean 130'!A381,DATEVALUE('Procyclean 130'!A381)),"")</f>
        <v/>
      </c>
      <c r="AC1380" t="str">
        <f>IF(AA1380="","",'Procyclean 130'!B381)</f>
        <v/>
      </c>
      <c r="AD1380" t="str">
        <f>IF(AA1380="","",IFERROR(1*'Procyclean 130'!C381,IFERROR(_xludf.NUMBERVALUE('Procyclean 130'!C381,".",","),IFERROR(_xludf.NUMBERVALUE('Procyclean 130'!C381,",","."),0))))</f>
        <v/>
      </c>
      <c r="AE1380" t="str">
        <f>IF(AA1380="","",'Procyclean 130'!J381)</f>
        <v/>
      </c>
      <c r="AF1380">
        <f t="shared" si="143"/>
        <v>0</v>
      </c>
      <c r="AG1380" t="str">
        <f t="shared" si="144"/>
        <v/>
      </c>
      <c r="AH1380" t="str">
        <f t="shared" si="145"/>
        <v/>
      </c>
      <c r="AI1380">
        <f t="shared" si="146"/>
        <v>0</v>
      </c>
      <c r="AJ1380">
        <f t="shared" si="147"/>
        <v>0</v>
      </c>
      <c r="AK1380">
        <v>0</v>
      </c>
      <c r="AL1380" t="str">
        <f>IF(AA1380="","",IFERROR(IF(ISNUMBER('Procyclean 130'!D381),'Procyclean 130'!D381,IF(ISNUMBER(SEARCH("12",'Procyclean 130'!D381)),EDATE(AB1380,12),IF(ISNUMBER(SEARCH("6",'Procyclean 130'!D381)),EDATE(AB1380,6),IF(ISNUMBER(SEARCH("3",'Procyclean 130'!D381)),EDATE(AB1380,3),DATEVALUE('Procyclean 130'!D381))))),""))</f>
        <v/>
      </c>
      <c r="AM1380" t="str">
        <f t="shared" ca="1" si="148"/>
        <v/>
      </c>
    </row>
    <row r="1381" spans="27:39" x14ac:dyDescent="0.3">
      <c r="AA1381" t="str">
        <f>IF(COUNTA('Procyclean 130'!A382,'Procyclean 130'!B382,'Procyclean 130'!C382)&gt;0,"130","")</f>
        <v/>
      </c>
      <c r="AB1381" t="str">
        <f>IFERROR(IF(ISNUMBER('Procyclean 130'!A382),'Procyclean 130'!A382,DATEVALUE('Procyclean 130'!A382)),"")</f>
        <v/>
      </c>
      <c r="AC1381" t="str">
        <f>IF(AA1381="","",'Procyclean 130'!B382)</f>
        <v/>
      </c>
      <c r="AD1381" t="str">
        <f>IF(AA1381="","",IFERROR(1*'Procyclean 130'!C382,IFERROR(_xludf.NUMBERVALUE('Procyclean 130'!C382,".",","),IFERROR(_xludf.NUMBERVALUE('Procyclean 130'!C382,",","."),0))))</f>
        <v/>
      </c>
      <c r="AE1381" t="str">
        <f>IF(AA1381="","",'Procyclean 130'!J382)</f>
        <v/>
      </c>
      <c r="AF1381">
        <f t="shared" si="143"/>
        <v>0</v>
      </c>
      <c r="AG1381" t="str">
        <f t="shared" si="144"/>
        <v/>
      </c>
      <c r="AH1381" t="str">
        <f t="shared" si="145"/>
        <v/>
      </c>
      <c r="AI1381">
        <f t="shared" si="146"/>
        <v>0</v>
      </c>
      <c r="AJ1381">
        <f t="shared" si="147"/>
        <v>0</v>
      </c>
      <c r="AK1381">
        <v>0</v>
      </c>
      <c r="AL1381" t="str">
        <f>IF(AA1381="","",IFERROR(IF(ISNUMBER('Procyclean 130'!D382),'Procyclean 130'!D382,IF(ISNUMBER(SEARCH("12",'Procyclean 130'!D382)),EDATE(AB1381,12),IF(ISNUMBER(SEARCH("6",'Procyclean 130'!D382)),EDATE(AB1381,6),IF(ISNUMBER(SEARCH("3",'Procyclean 130'!D382)),EDATE(AB1381,3),DATEVALUE('Procyclean 130'!D382))))),""))</f>
        <v/>
      </c>
      <c r="AM1381" t="str">
        <f t="shared" ca="1" si="148"/>
        <v/>
      </c>
    </row>
    <row r="1382" spans="27:39" x14ac:dyDescent="0.3">
      <c r="AA1382" t="str">
        <f>IF(COUNTA('Procyclean 130'!A383,'Procyclean 130'!B383,'Procyclean 130'!C383)&gt;0,"130","")</f>
        <v/>
      </c>
      <c r="AB1382" t="str">
        <f>IFERROR(IF(ISNUMBER('Procyclean 130'!A383),'Procyclean 130'!A383,DATEVALUE('Procyclean 130'!A383)),"")</f>
        <v/>
      </c>
      <c r="AC1382" t="str">
        <f>IF(AA1382="","",'Procyclean 130'!B383)</f>
        <v/>
      </c>
      <c r="AD1382" t="str">
        <f>IF(AA1382="","",IFERROR(1*'Procyclean 130'!C383,IFERROR(_xludf.NUMBERVALUE('Procyclean 130'!C383,".",","),IFERROR(_xludf.NUMBERVALUE('Procyclean 130'!C383,",","."),0))))</f>
        <v/>
      </c>
      <c r="AE1382" t="str">
        <f>IF(AA1382="","",'Procyclean 130'!J383)</f>
        <v/>
      </c>
      <c r="AF1382">
        <f t="shared" si="143"/>
        <v>0</v>
      </c>
      <c r="AG1382" t="str">
        <f t="shared" si="144"/>
        <v/>
      </c>
      <c r="AH1382" t="str">
        <f t="shared" si="145"/>
        <v/>
      </c>
      <c r="AI1382">
        <f t="shared" si="146"/>
        <v>0</v>
      </c>
      <c r="AJ1382">
        <f t="shared" si="147"/>
        <v>0</v>
      </c>
      <c r="AK1382">
        <v>0</v>
      </c>
      <c r="AL1382" t="str">
        <f>IF(AA1382="","",IFERROR(IF(ISNUMBER('Procyclean 130'!D383),'Procyclean 130'!D383,IF(ISNUMBER(SEARCH("12",'Procyclean 130'!D383)),EDATE(AB1382,12),IF(ISNUMBER(SEARCH("6",'Procyclean 130'!D383)),EDATE(AB1382,6),IF(ISNUMBER(SEARCH("3",'Procyclean 130'!D383)),EDATE(AB1382,3),DATEVALUE('Procyclean 130'!D383))))),""))</f>
        <v/>
      </c>
      <c r="AM1382" t="str">
        <f t="shared" ca="1" si="148"/>
        <v/>
      </c>
    </row>
    <row r="1383" spans="27:39" x14ac:dyDescent="0.3">
      <c r="AA1383" t="str">
        <f>IF(COUNTA('Procyclean 130'!A384,'Procyclean 130'!B384,'Procyclean 130'!C384)&gt;0,"130","")</f>
        <v/>
      </c>
      <c r="AB1383" t="str">
        <f>IFERROR(IF(ISNUMBER('Procyclean 130'!A384),'Procyclean 130'!A384,DATEVALUE('Procyclean 130'!A384)),"")</f>
        <v/>
      </c>
      <c r="AC1383" t="str">
        <f>IF(AA1383="","",'Procyclean 130'!B384)</f>
        <v/>
      </c>
      <c r="AD1383" t="str">
        <f>IF(AA1383="","",IFERROR(1*'Procyclean 130'!C384,IFERROR(_xludf.NUMBERVALUE('Procyclean 130'!C384,".",","),IFERROR(_xludf.NUMBERVALUE('Procyclean 130'!C384,",","."),0))))</f>
        <v/>
      </c>
      <c r="AE1383" t="str">
        <f>IF(AA1383="","",'Procyclean 130'!J384)</f>
        <v/>
      </c>
      <c r="AF1383">
        <f t="shared" si="143"/>
        <v>0</v>
      </c>
      <c r="AG1383" t="str">
        <f t="shared" si="144"/>
        <v/>
      </c>
      <c r="AH1383" t="str">
        <f t="shared" si="145"/>
        <v/>
      </c>
      <c r="AI1383">
        <f t="shared" si="146"/>
        <v>0</v>
      </c>
      <c r="AJ1383">
        <f t="shared" si="147"/>
        <v>0</v>
      </c>
      <c r="AK1383">
        <v>0</v>
      </c>
      <c r="AL1383" t="str">
        <f>IF(AA1383="","",IFERROR(IF(ISNUMBER('Procyclean 130'!D384),'Procyclean 130'!D384,IF(ISNUMBER(SEARCH("12",'Procyclean 130'!D384)),EDATE(AB1383,12),IF(ISNUMBER(SEARCH("6",'Procyclean 130'!D384)),EDATE(AB1383,6),IF(ISNUMBER(SEARCH("3",'Procyclean 130'!D384)),EDATE(AB1383,3),DATEVALUE('Procyclean 130'!D384))))),""))</f>
        <v/>
      </c>
      <c r="AM1383" t="str">
        <f t="shared" ca="1" si="148"/>
        <v/>
      </c>
    </row>
    <row r="1384" spans="27:39" x14ac:dyDescent="0.3">
      <c r="AA1384" t="str">
        <f>IF(COUNTA('Procyclean 130'!A385,'Procyclean 130'!B385,'Procyclean 130'!C385)&gt;0,"130","")</f>
        <v/>
      </c>
      <c r="AB1384" t="str">
        <f>IFERROR(IF(ISNUMBER('Procyclean 130'!A385),'Procyclean 130'!A385,DATEVALUE('Procyclean 130'!A385)),"")</f>
        <v/>
      </c>
      <c r="AC1384" t="str">
        <f>IF(AA1384="","",'Procyclean 130'!B385)</f>
        <v/>
      </c>
      <c r="AD1384" t="str">
        <f>IF(AA1384="","",IFERROR(1*'Procyclean 130'!C385,IFERROR(_xludf.NUMBERVALUE('Procyclean 130'!C385,".",","),IFERROR(_xludf.NUMBERVALUE('Procyclean 130'!C385,",","."),0))))</f>
        <v/>
      </c>
      <c r="AE1384" t="str">
        <f>IF(AA1384="","",'Procyclean 130'!J385)</f>
        <v/>
      </c>
      <c r="AF1384">
        <f t="shared" si="143"/>
        <v>0</v>
      </c>
      <c r="AG1384" t="str">
        <f t="shared" si="144"/>
        <v/>
      </c>
      <c r="AH1384" t="str">
        <f t="shared" si="145"/>
        <v/>
      </c>
      <c r="AI1384">
        <f t="shared" si="146"/>
        <v>0</v>
      </c>
      <c r="AJ1384">
        <f t="shared" si="147"/>
        <v>0</v>
      </c>
      <c r="AK1384">
        <v>0</v>
      </c>
      <c r="AL1384" t="str">
        <f>IF(AA1384="","",IFERROR(IF(ISNUMBER('Procyclean 130'!D385),'Procyclean 130'!D385,IF(ISNUMBER(SEARCH("12",'Procyclean 130'!D385)),EDATE(AB1384,12),IF(ISNUMBER(SEARCH("6",'Procyclean 130'!D385)),EDATE(AB1384,6),IF(ISNUMBER(SEARCH("3",'Procyclean 130'!D385)),EDATE(AB1384,3),DATEVALUE('Procyclean 130'!D385))))),""))</f>
        <v/>
      </c>
      <c r="AM1384" t="str">
        <f t="shared" ca="1" si="148"/>
        <v/>
      </c>
    </row>
    <row r="1385" spans="27:39" x14ac:dyDescent="0.3">
      <c r="AA1385" t="str">
        <f>IF(COUNTA('Procyclean 130'!A386,'Procyclean 130'!B386,'Procyclean 130'!C386)&gt;0,"130","")</f>
        <v/>
      </c>
      <c r="AB1385" t="str">
        <f>IFERROR(IF(ISNUMBER('Procyclean 130'!A386),'Procyclean 130'!A386,DATEVALUE('Procyclean 130'!A386)),"")</f>
        <v/>
      </c>
      <c r="AC1385" t="str">
        <f>IF(AA1385="","",'Procyclean 130'!B386)</f>
        <v/>
      </c>
      <c r="AD1385" t="str">
        <f>IF(AA1385="","",IFERROR(1*'Procyclean 130'!C386,IFERROR(_xludf.NUMBERVALUE('Procyclean 130'!C386,".",","),IFERROR(_xludf.NUMBERVALUE('Procyclean 130'!C386,",","."),0))))</f>
        <v/>
      </c>
      <c r="AE1385" t="str">
        <f>IF(AA1385="","",'Procyclean 130'!J386)</f>
        <v/>
      </c>
      <c r="AF1385">
        <f t="shared" si="143"/>
        <v>0</v>
      </c>
      <c r="AG1385" t="str">
        <f t="shared" si="144"/>
        <v/>
      </c>
      <c r="AH1385" t="str">
        <f t="shared" si="145"/>
        <v/>
      </c>
      <c r="AI1385">
        <f t="shared" si="146"/>
        <v>0</v>
      </c>
      <c r="AJ1385">
        <f t="shared" si="147"/>
        <v>0</v>
      </c>
      <c r="AK1385">
        <v>0</v>
      </c>
      <c r="AL1385" t="str">
        <f>IF(AA1385="","",IFERROR(IF(ISNUMBER('Procyclean 130'!D386),'Procyclean 130'!D386,IF(ISNUMBER(SEARCH("12",'Procyclean 130'!D386)),EDATE(AB1385,12),IF(ISNUMBER(SEARCH("6",'Procyclean 130'!D386)),EDATE(AB1385,6),IF(ISNUMBER(SEARCH("3",'Procyclean 130'!D386)),EDATE(AB1385,3),DATEVALUE('Procyclean 130'!D386))))),""))</f>
        <v/>
      </c>
      <c r="AM1385" t="str">
        <f t="shared" ca="1" si="148"/>
        <v/>
      </c>
    </row>
    <row r="1386" spans="27:39" x14ac:dyDescent="0.3">
      <c r="AA1386" t="str">
        <f>IF(COUNTA('Procyclean 130'!A387,'Procyclean 130'!B387,'Procyclean 130'!C387)&gt;0,"130","")</f>
        <v/>
      </c>
      <c r="AB1386" t="str">
        <f>IFERROR(IF(ISNUMBER('Procyclean 130'!A387),'Procyclean 130'!A387,DATEVALUE('Procyclean 130'!A387)),"")</f>
        <v/>
      </c>
      <c r="AC1386" t="str">
        <f>IF(AA1386="","",'Procyclean 130'!B387)</f>
        <v/>
      </c>
      <c r="AD1386" t="str">
        <f>IF(AA1386="","",IFERROR(1*'Procyclean 130'!C387,IFERROR(_xludf.NUMBERVALUE('Procyclean 130'!C387,".",","),IFERROR(_xludf.NUMBERVALUE('Procyclean 130'!C387,",","."),0))))</f>
        <v/>
      </c>
      <c r="AE1386" t="str">
        <f>IF(AA1386="","",'Procyclean 130'!J387)</f>
        <v/>
      </c>
      <c r="AF1386">
        <f t="shared" si="143"/>
        <v>0</v>
      </c>
      <c r="AG1386" t="str">
        <f t="shared" si="144"/>
        <v/>
      </c>
      <c r="AH1386" t="str">
        <f t="shared" si="145"/>
        <v/>
      </c>
      <c r="AI1386">
        <f t="shared" si="146"/>
        <v>0</v>
      </c>
      <c r="AJ1386">
        <f t="shared" si="147"/>
        <v>0</v>
      </c>
      <c r="AK1386">
        <v>0</v>
      </c>
      <c r="AL1386" t="str">
        <f>IF(AA1386="","",IFERROR(IF(ISNUMBER('Procyclean 130'!D387),'Procyclean 130'!D387,IF(ISNUMBER(SEARCH("12",'Procyclean 130'!D387)),EDATE(AB1386,12),IF(ISNUMBER(SEARCH("6",'Procyclean 130'!D387)),EDATE(AB1386,6),IF(ISNUMBER(SEARCH("3",'Procyclean 130'!D387)),EDATE(AB1386,3),DATEVALUE('Procyclean 130'!D387))))),""))</f>
        <v/>
      </c>
      <c r="AM1386" t="str">
        <f t="shared" ca="1" si="148"/>
        <v/>
      </c>
    </row>
    <row r="1387" spans="27:39" x14ac:dyDescent="0.3">
      <c r="AA1387" t="str">
        <f>IF(COUNTA('Procyclean 130'!A388,'Procyclean 130'!B388,'Procyclean 130'!C388)&gt;0,"130","")</f>
        <v/>
      </c>
      <c r="AB1387" t="str">
        <f>IFERROR(IF(ISNUMBER('Procyclean 130'!A388),'Procyclean 130'!A388,DATEVALUE('Procyclean 130'!A388)),"")</f>
        <v/>
      </c>
      <c r="AC1387" t="str">
        <f>IF(AA1387="","",'Procyclean 130'!B388)</f>
        <v/>
      </c>
      <c r="AD1387" t="str">
        <f>IF(AA1387="","",IFERROR(1*'Procyclean 130'!C388,IFERROR(_xludf.NUMBERVALUE('Procyclean 130'!C388,".",","),IFERROR(_xludf.NUMBERVALUE('Procyclean 130'!C388,",","."),0))))</f>
        <v/>
      </c>
      <c r="AE1387" t="str">
        <f>IF(AA1387="","",'Procyclean 130'!J388)</f>
        <v/>
      </c>
      <c r="AF1387">
        <f t="shared" si="143"/>
        <v>0</v>
      </c>
      <c r="AG1387" t="str">
        <f t="shared" si="144"/>
        <v/>
      </c>
      <c r="AH1387" t="str">
        <f t="shared" si="145"/>
        <v/>
      </c>
      <c r="AI1387">
        <f t="shared" si="146"/>
        <v>0</v>
      </c>
      <c r="AJ1387">
        <f t="shared" si="147"/>
        <v>0</v>
      </c>
      <c r="AK1387">
        <v>0</v>
      </c>
      <c r="AL1387" t="str">
        <f>IF(AA1387="","",IFERROR(IF(ISNUMBER('Procyclean 130'!D388),'Procyclean 130'!D388,IF(ISNUMBER(SEARCH("12",'Procyclean 130'!D388)),EDATE(AB1387,12),IF(ISNUMBER(SEARCH("6",'Procyclean 130'!D388)),EDATE(AB1387,6),IF(ISNUMBER(SEARCH("3",'Procyclean 130'!D388)),EDATE(AB1387,3),DATEVALUE('Procyclean 130'!D388))))),""))</f>
        <v/>
      </c>
      <c r="AM1387" t="str">
        <f t="shared" ca="1" si="148"/>
        <v/>
      </c>
    </row>
    <row r="1388" spans="27:39" x14ac:dyDescent="0.3">
      <c r="AA1388" t="str">
        <f>IF(COUNTA('Procyclean 130'!A389,'Procyclean 130'!B389,'Procyclean 130'!C389)&gt;0,"130","")</f>
        <v/>
      </c>
      <c r="AB1388" t="str">
        <f>IFERROR(IF(ISNUMBER('Procyclean 130'!A389),'Procyclean 130'!A389,DATEVALUE('Procyclean 130'!A389)),"")</f>
        <v/>
      </c>
      <c r="AC1388" t="str">
        <f>IF(AA1388="","",'Procyclean 130'!B389)</f>
        <v/>
      </c>
      <c r="AD1388" t="str">
        <f>IF(AA1388="","",IFERROR(1*'Procyclean 130'!C389,IFERROR(_xludf.NUMBERVALUE('Procyclean 130'!C389,".",","),IFERROR(_xludf.NUMBERVALUE('Procyclean 130'!C389,",","."),0))))</f>
        <v/>
      </c>
      <c r="AE1388" t="str">
        <f>IF(AA1388="","",'Procyclean 130'!J389)</f>
        <v/>
      </c>
      <c r="AF1388">
        <f t="shared" si="143"/>
        <v>0</v>
      </c>
      <c r="AG1388" t="str">
        <f t="shared" si="144"/>
        <v/>
      </c>
      <c r="AH1388" t="str">
        <f t="shared" si="145"/>
        <v/>
      </c>
      <c r="AI1388">
        <f t="shared" si="146"/>
        <v>0</v>
      </c>
      <c r="AJ1388">
        <f t="shared" si="147"/>
        <v>0</v>
      </c>
      <c r="AK1388">
        <v>0</v>
      </c>
      <c r="AL1388" t="str">
        <f>IF(AA1388="","",IFERROR(IF(ISNUMBER('Procyclean 130'!D389),'Procyclean 130'!D389,IF(ISNUMBER(SEARCH("12",'Procyclean 130'!D389)),EDATE(AB1388,12),IF(ISNUMBER(SEARCH("6",'Procyclean 130'!D389)),EDATE(AB1388,6),IF(ISNUMBER(SEARCH("3",'Procyclean 130'!D389)),EDATE(AB1388,3),DATEVALUE('Procyclean 130'!D389))))),""))</f>
        <v/>
      </c>
      <c r="AM1388" t="str">
        <f t="shared" ca="1" si="148"/>
        <v/>
      </c>
    </row>
    <row r="1389" spans="27:39" x14ac:dyDescent="0.3">
      <c r="AA1389" t="str">
        <f>IF(COUNTA('Procyclean 130'!A390,'Procyclean 130'!B390,'Procyclean 130'!C390)&gt;0,"130","")</f>
        <v/>
      </c>
      <c r="AB1389" t="str">
        <f>IFERROR(IF(ISNUMBER('Procyclean 130'!A390),'Procyclean 130'!A390,DATEVALUE('Procyclean 130'!A390)),"")</f>
        <v/>
      </c>
      <c r="AC1389" t="str">
        <f>IF(AA1389="","",'Procyclean 130'!B390)</f>
        <v/>
      </c>
      <c r="AD1389" t="str">
        <f>IF(AA1389="","",IFERROR(1*'Procyclean 130'!C390,IFERROR(_xludf.NUMBERVALUE('Procyclean 130'!C390,".",","),IFERROR(_xludf.NUMBERVALUE('Procyclean 130'!C390,",","."),0))))</f>
        <v/>
      </c>
      <c r="AE1389" t="str">
        <f>IF(AA1389="","",'Procyclean 130'!J390)</f>
        <v/>
      </c>
      <c r="AF1389">
        <f t="shared" si="143"/>
        <v>0</v>
      </c>
      <c r="AG1389" t="str">
        <f t="shared" si="144"/>
        <v/>
      </c>
      <c r="AH1389" t="str">
        <f t="shared" si="145"/>
        <v/>
      </c>
      <c r="AI1389">
        <f t="shared" si="146"/>
        <v>0</v>
      </c>
      <c r="AJ1389">
        <f t="shared" si="147"/>
        <v>0</v>
      </c>
      <c r="AK1389">
        <v>0</v>
      </c>
      <c r="AL1389" t="str">
        <f>IF(AA1389="","",IFERROR(IF(ISNUMBER('Procyclean 130'!D390),'Procyclean 130'!D390,IF(ISNUMBER(SEARCH("12",'Procyclean 130'!D390)),EDATE(AB1389,12),IF(ISNUMBER(SEARCH("6",'Procyclean 130'!D390)),EDATE(AB1389,6),IF(ISNUMBER(SEARCH("3",'Procyclean 130'!D390)),EDATE(AB1389,3),DATEVALUE('Procyclean 130'!D390))))),""))</f>
        <v/>
      </c>
      <c r="AM1389" t="str">
        <f t="shared" ca="1" si="148"/>
        <v/>
      </c>
    </row>
    <row r="1390" spans="27:39" x14ac:dyDescent="0.3">
      <c r="AA1390" t="str">
        <f>IF(COUNTA('Procyclean 130'!A391,'Procyclean 130'!B391,'Procyclean 130'!C391)&gt;0,"130","")</f>
        <v/>
      </c>
      <c r="AB1390" t="str">
        <f>IFERROR(IF(ISNUMBER('Procyclean 130'!A391),'Procyclean 130'!A391,DATEVALUE('Procyclean 130'!A391)),"")</f>
        <v/>
      </c>
      <c r="AC1390" t="str">
        <f>IF(AA1390="","",'Procyclean 130'!B391)</f>
        <v/>
      </c>
      <c r="AD1390" t="str">
        <f>IF(AA1390="","",IFERROR(1*'Procyclean 130'!C391,IFERROR(_xludf.NUMBERVALUE('Procyclean 130'!C391,".",","),IFERROR(_xludf.NUMBERVALUE('Procyclean 130'!C391,",","."),0))))</f>
        <v/>
      </c>
      <c r="AE1390" t="str">
        <f>IF(AA1390="","",'Procyclean 130'!J391)</f>
        <v/>
      </c>
      <c r="AF1390">
        <f t="shared" si="143"/>
        <v>0</v>
      </c>
      <c r="AG1390" t="str">
        <f t="shared" si="144"/>
        <v/>
      </c>
      <c r="AH1390" t="str">
        <f t="shared" si="145"/>
        <v/>
      </c>
      <c r="AI1390">
        <f t="shared" si="146"/>
        <v>0</v>
      </c>
      <c r="AJ1390">
        <f t="shared" si="147"/>
        <v>0</v>
      </c>
      <c r="AK1390">
        <v>0</v>
      </c>
      <c r="AL1390" t="str">
        <f>IF(AA1390="","",IFERROR(IF(ISNUMBER('Procyclean 130'!D391),'Procyclean 130'!D391,IF(ISNUMBER(SEARCH("12",'Procyclean 130'!D391)),EDATE(AB1390,12),IF(ISNUMBER(SEARCH("6",'Procyclean 130'!D391)),EDATE(AB1390,6),IF(ISNUMBER(SEARCH("3",'Procyclean 130'!D391)),EDATE(AB1390,3),DATEVALUE('Procyclean 130'!D391))))),""))</f>
        <v/>
      </c>
      <c r="AM1390" t="str">
        <f t="shared" ca="1" si="148"/>
        <v/>
      </c>
    </row>
    <row r="1391" spans="27:39" x14ac:dyDescent="0.3">
      <c r="AA1391" t="str">
        <f>IF(COUNTA('Procyclean 130'!A392,'Procyclean 130'!B392,'Procyclean 130'!C392)&gt;0,"130","")</f>
        <v/>
      </c>
      <c r="AB1391" t="str">
        <f>IFERROR(IF(ISNUMBER('Procyclean 130'!A392),'Procyclean 130'!A392,DATEVALUE('Procyclean 130'!A392)),"")</f>
        <v/>
      </c>
      <c r="AC1391" t="str">
        <f>IF(AA1391="","",'Procyclean 130'!B392)</f>
        <v/>
      </c>
      <c r="AD1391" t="str">
        <f>IF(AA1391="","",IFERROR(1*'Procyclean 130'!C392,IFERROR(_xludf.NUMBERVALUE('Procyclean 130'!C392,".",","),IFERROR(_xludf.NUMBERVALUE('Procyclean 130'!C392,",","."),0))))</f>
        <v/>
      </c>
      <c r="AE1391" t="str">
        <f>IF(AA1391="","",'Procyclean 130'!J392)</f>
        <v/>
      </c>
      <c r="AF1391">
        <f t="shared" si="143"/>
        <v>0</v>
      </c>
      <c r="AG1391" t="str">
        <f t="shared" si="144"/>
        <v/>
      </c>
      <c r="AH1391" t="str">
        <f t="shared" si="145"/>
        <v/>
      </c>
      <c r="AI1391">
        <f t="shared" si="146"/>
        <v>0</v>
      </c>
      <c r="AJ1391">
        <f t="shared" si="147"/>
        <v>0</v>
      </c>
      <c r="AK1391">
        <v>0</v>
      </c>
      <c r="AL1391" t="str">
        <f>IF(AA1391="","",IFERROR(IF(ISNUMBER('Procyclean 130'!D392),'Procyclean 130'!D392,IF(ISNUMBER(SEARCH("12",'Procyclean 130'!D392)),EDATE(AB1391,12),IF(ISNUMBER(SEARCH("6",'Procyclean 130'!D392)),EDATE(AB1391,6),IF(ISNUMBER(SEARCH("3",'Procyclean 130'!D392)),EDATE(AB1391,3),DATEVALUE('Procyclean 130'!D392))))),""))</f>
        <v/>
      </c>
      <c r="AM1391" t="str">
        <f t="shared" ca="1" si="148"/>
        <v/>
      </c>
    </row>
    <row r="1392" spans="27:39" x14ac:dyDescent="0.3">
      <c r="AA1392" t="str">
        <f>IF(COUNTA('Procyclean 130'!A393,'Procyclean 130'!B393,'Procyclean 130'!C393)&gt;0,"130","")</f>
        <v/>
      </c>
      <c r="AB1392" t="str">
        <f>IFERROR(IF(ISNUMBER('Procyclean 130'!A393),'Procyclean 130'!A393,DATEVALUE('Procyclean 130'!A393)),"")</f>
        <v/>
      </c>
      <c r="AC1392" t="str">
        <f>IF(AA1392="","",'Procyclean 130'!B393)</f>
        <v/>
      </c>
      <c r="AD1392" t="str">
        <f>IF(AA1392="","",IFERROR(1*'Procyclean 130'!C393,IFERROR(_xludf.NUMBERVALUE('Procyclean 130'!C393,".",","),IFERROR(_xludf.NUMBERVALUE('Procyclean 130'!C393,",","."),0))))</f>
        <v/>
      </c>
      <c r="AE1392" t="str">
        <f>IF(AA1392="","",'Procyclean 130'!J393)</f>
        <v/>
      </c>
      <c r="AF1392">
        <f t="shared" si="143"/>
        <v>0</v>
      </c>
      <c r="AG1392" t="str">
        <f t="shared" si="144"/>
        <v/>
      </c>
      <c r="AH1392" t="str">
        <f t="shared" si="145"/>
        <v/>
      </c>
      <c r="AI1392">
        <f t="shared" si="146"/>
        <v>0</v>
      </c>
      <c r="AJ1392">
        <f t="shared" si="147"/>
        <v>0</v>
      </c>
      <c r="AK1392">
        <v>0</v>
      </c>
      <c r="AL1392" t="str">
        <f>IF(AA1392="","",IFERROR(IF(ISNUMBER('Procyclean 130'!D393),'Procyclean 130'!D393,IF(ISNUMBER(SEARCH("12",'Procyclean 130'!D393)),EDATE(AB1392,12),IF(ISNUMBER(SEARCH("6",'Procyclean 130'!D393)),EDATE(AB1392,6),IF(ISNUMBER(SEARCH("3",'Procyclean 130'!D393)),EDATE(AB1392,3),DATEVALUE('Procyclean 130'!D393))))),""))</f>
        <v/>
      </c>
      <c r="AM1392" t="str">
        <f t="shared" ca="1" si="148"/>
        <v/>
      </c>
    </row>
    <row r="1393" spans="27:39" x14ac:dyDescent="0.3">
      <c r="AA1393" t="str">
        <f>IF(COUNTA('Procyclean 130'!A394,'Procyclean 130'!B394,'Procyclean 130'!C394)&gt;0,"130","")</f>
        <v/>
      </c>
      <c r="AB1393" t="str">
        <f>IFERROR(IF(ISNUMBER('Procyclean 130'!A394),'Procyclean 130'!A394,DATEVALUE('Procyclean 130'!A394)),"")</f>
        <v/>
      </c>
      <c r="AC1393" t="str">
        <f>IF(AA1393="","",'Procyclean 130'!B394)</f>
        <v/>
      </c>
      <c r="AD1393" t="str">
        <f>IF(AA1393="","",IFERROR(1*'Procyclean 130'!C394,IFERROR(_xludf.NUMBERVALUE('Procyclean 130'!C394,".",","),IFERROR(_xludf.NUMBERVALUE('Procyclean 130'!C394,",","."),0))))</f>
        <v/>
      </c>
      <c r="AE1393" t="str">
        <f>IF(AA1393="","",'Procyclean 130'!J394)</f>
        <v/>
      </c>
      <c r="AF1393">
        <f t="shared" si="143"/>
        <v>0</v>
      </c>
      <c r="AG1393" t="str">
        <f t="shared" si="144"/>
        <v/>
      </c>
      <c r="AH1393" t="str">
        <f t="shared" si="145"/>
        <v/>
      </c>
      <c r="AI1393">
        <f t="shared" si="146"/>
        <v>0</v>
      </c>
      <c r="AJ1393">
        <f t="shared" si="147"/>
        <v>0</v>
      </c>
      <c r="AK1393">
        <v>0</v>
      </c>
      <c r="AL1393" t="str">
        <f>IF(AA1393="","",IFERROR(IF(ISNUMBER('Procyclean 130'!D394),'Procyclean 130'!D394,IF(ISNUMBER(SEARCH("12",'Procyclean 130'!D394)),EDATE(AB1393,12),IF(ISNUMBER(SEARCH("6",'Procyclean 130'!D394)),EDATE(AB1393,6),IF(ISNUMBER(SEARCH("3",'Procyclean 130'!D394)),EDATE(AB1393,3),DATEVALUE('Procyclean 130'!D394))))),""))</f>
        <v/>
      </c>
      <c r="AM1393" t="str">
        <f t="shared" ca="1" si="148"/>
        <v/>
      </c>
    </row>
    <row r="1394" spans="27:39" x14ac:dyDescent="0.3">
      <c r="AA1394" t="str">
        <f>IF(COUNTA('Procyclean 130'!A395,'Procyclean 130'!B395,'Procyclean 130'!C395)&gt;0,"130","")</f>
        <v/>
      </c>
      <c r="AB1394" t="str">
        <f>IFERROR(IF(ISNUMBER('Procyclean 130'!A395),'Procyclean 130'!A395,DATEVALUE('Procyclean 130'!A395)),"")</f>
        <v/>
      </c>
      <c r="AC1394" t="str">
        <f>IF(AA1394="","",'Procyclean 130'!B395)</f>
        <v/>
      </c>
      <c r="AD1394" t="str">
        <f>IF(AA1394="","",IFERROR(1*'Procyclean 130'!C395,IFERROR(_xludf.NUMBERVALUE('Procyclean 130'!C395,".",","),IFERROR(_xludf.NUMBERVALUE('Procyclean 130'!C395,",","."),0))))</f>
        <v/>
      </c>
      <c r="AE1394" t="str">
        <f>IF(AA1394="","",'Procyclean 130'!J395)</f>
        <v/>
      </c>
      <c r="AF1394">
        <f t="shared" si="143"/>
        <v>0</v>
      </c>
      <c r="AG1394" t="str">
        <f t="shared" si="144"/>
        <v/>
      </c>
      <c r="AH1394" t="str">
        <f t="shared" si="145"/>
        <v/>
      </c>
      <c r="AI1394">
        <f t="shared" si="146"/>
        <v>0</v>
      </c>
      <c r="AJ1394">
        <f t="shared" si="147"/>
        <v>0</v>
      </c>
      <c r="AK1394">
        <v>0</v>
      </c>
      <c r="AL1394" t="str">
        <f>IF(AA1394="","",IFERROR(IF(ISNUMBER('Procyclean 130'!D395),'Procyclean 130'!D395,IF(ISNUMBER(SEARCH("12",'Procyclean 130'!D395)),EDATE(AB1394,12),IF(ISNUMBER(SEARCH("6",'Procyclean 130'!D395)),EDATE(AB1394,6),IF(ISNUMBER(SEARCH("3",'Procyclean 130'!D395)),EDATE(AB1394,3),DATEVALUE('Procyclean 130'!D395))))),""))</f>
        <v/>
      </c>
      <c r="AM1394" t="str">
        <f t="shared" ca="1" si="148"/>
        <v/>
      </c>
    </row>
    <row r="1395" spans="27:39" x14ac:dyDescent="0.3">
      <c r="AA1395" t="str">
        <f>IF(COUNTA('Procyclean 130'!A396,'Procyclean 130'!B396,'Procyclean 130'!C396)&gt;0,"130","")</f>
        <v/>
      </c>
      <c r="AB1395" t="str">
        <f>IFERROR(IF(ISNUMBER('Procyclean 130'!A396),'Procyclean 130'!A396,DATEVALUE('Procyclean 130'!A396)),"")</f>
        <v/>
      </c>
      <c r="AC1395" t="str">
        <f>IF(AA1395="","",'Procyclean 130'!B396)</f>
        <v/>
      </c>
      <c r="AD1395" t="str">
        <f>IF(AA1395="","",IFERROR(1*'Procyclean 130'!C396,IFERROR(_xludf.NUMBERVALUE('Procyclean 130'!C396,".",","),IFERROR(_xludf.NUMBERVALUE('Procyclean 130'!C396,",","."),0))))</f>
        <v/>
      </c>
      <c r="AE1395" t="str">
        <f>IF(AA1395="","",'Procyclean 130'!J396)</f>
        <v/>
      </c>
      <c r="AF1395">
        <f t="shared" si="143"/>
        <v>0</v>
      </c>
      <c r="AG1395" t="str">
        <f t="shared" si="144"/>
        <v/>
      </c>
      <c r="AH1395" t="str">
        <f t="shared" si="145"/>
        <v/>
      </c>
      <c r="AI1395">
        <f t="shared" si="146"/>
        <v>0</v>
      </c>
      <c r="AJ1395">
        <f t="shared" si="147"/>
        <v>0</v>
      </c>
      <c r="AK1395">
        <v>0</v>
      </c>
      <c r="AL1395" t="str">
        <f>IF(AA1395="","",IFERROR(IF(ISNUMBER('Procyclean 130'!D396),'Procyclean 130'!D396,IF(ISNUMBER(SEARCH("12",'Procyclean 130'!D396)),EDATE(AB1395,12),IF(ISNUMBER(SEARCH("6",'Procyclean 130'!D396)),EDATE(AB1395,6),IF(ISNUMBER(SEARCH("3",'Procyclean 130'!D396)),EDATE(AB1395,3),DATEVALUE('Procyclean 130'!D396))))),""))</f>
        <v/>
      </c>
      <c r="AM1395" t="str">
        <f t="shared" ca="1" si="148"/>
        <v/>
      </c>
    </row>
    <row r="1396" spans="27:39" x14ac:dyDescent="0.3">
      <c r="AA1396" t="str">
        <f>IF(COUNTA('Procyclean 130'!A397,'Procyclean 130'!B397,'Procyclean 130'!C397)&gt;0,"130","")</f>
        <v/>
      </c>
      <c r="AB1396" t="str">
        <f>IFERROR(IF(ISNUMBER('Procyclean 130'!A397),'Procyclean 130'!A397,DATEVALUE('Procyclean 130'!A397)),"")</f>
        <v/>
      </c>
      <c r="AC1396" t="str">
        <f>IF(AA1396="","",'Procyclean 130'!B397)</f>
        <v/>
      </c>
      <c r="AD1396" t="str">
        <f>IF(AA1396="","",IFERROR(1*'Procyclean 130'!C397,IFERROR(_xludf.NUMBERVALUE('Procyclean 130'!C397,".",","),IFERROR(_xludf.NUMBERVALUE('Procyclean 130'!C397,",","."),0))))</f>
        <v/>
      </c>
      <c r="AE1396" t="str">
        <f>IF(AA1396="","",'Procyclean 130'!J397)</f>
        <v/>
      </c>
      <c r="AF1396">
        <f t="shared" si="143"/>
        <v>0</v>
      </c>
      <c r="AG1396" t="str">
        <f t="shared" si="144"/>
        <v/>
      </c>
      <c r="AH1396" t="str">
        <f t="shared" si="145"/>
        <v/>
      </c>
      <c r="AI1396">
        <f t="shared" si="146"/>
        <v>0</v>
      </c>
      <c r="AJ1396">
        <f t="shared" si="147"/>
        <v>0</v>
      </c>
      <c r="AK1396">
        <v>0</v>
      </c>
      <c r="AL1396" t="str">
        <f>IF(AA1396="","",IFERROR(IF(ISNUMBER('Procyclean 130'!D397),'Procyclean 130'!D397,IF(ISNUMBER(SEARCH("12",'Procyclean 130'!D397)),EDATE(AB1396,12),IF(ISNUMBER(SEARCH("6",'Procyclean 130'!D397)),EDATE(AB1396,6),IF(ISNUMBER(SEARCH("3",'Procyclean 130'!D397)),EDATE(AB1396,3),DATEVALUE('Procyclean 130'!D397))))),""))</f>
        <v/>
      </c>
      <c r="AM1396" t="str">
        <f t="shared" ca="1" si="148"/>
        <v/>
      </c>
    </row>
    <row r="1397" spans="27:39" x14ac:dyDescent="0.3">
      <c r="AA1397" t="str">
        <f>IF(COUNTA('Procyclean 130'!A398,'Procyclean 130'!B398,'Procyclean 130'!C398)&gt;0,"130","")</f>
        <v/>
      </c>
      <c r="AB1397" t="str">
        <f>IFERROR(IF(ISNUMBER('Procyclean 130'!A398),'Procyclean 130'!A398,DATEVALUE('Procyclean 130'!A398)),"")</f>
        <v/>
      </c>
      <c r="AC1397" t="str">
        <f>IF(AA1397="","",'Procyclean 130'!B398)</f>
        <v/>
      </c>
      <c r="AD1397" t="str">
        <f>IF(AA1397="","",IFERROR(1*'Procyclean 130'!C398,IFERROR(_xludf.NUMBERVALUE('Procyclean 130'!C398,".",","),IFERROR(_xludf.NUMBERVALUE('Procyclean 130'!C398,",","."),0))))</f>
        <v/>
      </c>
      <c r="AE1397" t="str">
        <f>IF(AA1397="","",'Procyclean 130'!J398)</f>
        <v/>
      </c>
      <c r="AF1397">
        <f t="shared" si="143"/>
        <v>0</v>
      </c>
      <c r="AG1397" t="str">
        <f t="shared" si="144"/>
        <v/>
      </c>
      <c r="AH1397" t="str">
        <f t="shared" si="145"/>
        <v/>
      </c>
      <c r="AI1397">
        <f t="shared" si="146"/>
        <v>0</v>
      </c>
      <c r="AJ1397">
        <f t="shared" si="147"/>
        <v>0</v>
      </c>
      <c r="AK1397">
        <v>0</v>
      </c>
      <c r="AL1397" t="str">
        <f>IF(AA1397="","",IFERROR(IF(ISNUMBER('Procyclean 130'!D398),'Procyclean 130'!D398,IF(ISNUMBER(SEARCH("12",'Procyclean 130'!D398)),EDATE(AB1397,12),IF(ISNUMBER(SEARCH("6",'Procyclean 130'!D398)),EDATE(AB1397,6),IF(ISNUMBER(SEARCH("3",'Procyclean 130'!D398)),EDATE(AB1397,3),DATEVALUE('Procyclean 130'!D398))))),""))</f>
        <v/>
      </c>
      <c r="AM1397" t="str">
        <f t="shared" ca="1" si="148"/>
        <v/>
      </c>
    </row>
    <row r="1398" spans="27:39" x14ac:dyDescent="0.3">
      <c r="AA1398" t="str">
        <f>IF(COUNTA('Procyclean 130'!A399,'Procyclean 130'!B399,'Procyclean 130'!C399)&gt;0,"130","")</f>
        <v/>
      </c>
      <c r="AB1398" t="str">
        <f>IFERROR(IF(ISNUMBER('Procyclean 130'!A399),'Procyclean 130'!A399,DATEVALUE('Procyclean 130'!A399)),"")</f>
        <v/>
      </c>
      <c r="AC1398" t="str">
        <f>IF(AA1398="","",'Procyclean 130'!B399)</f>
        <v/>
      </c>
      <c r="AD1398" t="str">
        <f>IF(AA1398="","",IFERROR(1*'Procyclean 130'!C399,IFERROR(_xludf.NUMBERVALUE('Procyclean 130'!C399,".",","),IFERROR(_xludf.NUMBERVALUE('Procyclean 130'!C399,",","."),0))))</f>
        <v/>
      </c>
      <c r="AE1398" t="str">
        <f>IF(AA1398="","",'Procyclean 130'!J399)</f>
        <v/>
      </c>
      <c r="AF1398">
        <f t="shared" si="143"/>
        <v>0</v>
      </c>
      <c r="AG1398" t="str">
        <f t="shared" si="144"/>
        <v/>
      </c>
      <c r="AH1398" t="str">
        <f t="shared" si="145"/>
        <v/>
      </c>
      <c r="AI1398">
        <f t="shared" si="146"/>
        <v>0</v>
      </c>
      <c r="AJ1398">
        <f t="shared" si="147"/>
        <v>0</v>
      </c>
      <c r="AK1398">
        <v>0</v>
      </c>
      <c r="AL1398" t="str">
        <f>IF(AA1398="","",IFERROR(IF(ISNUMBER('Procyclean 130'!D399),'Procyclean 130'!D399,IF(ISNUMBER(SEARCH("12",'Procyclean 130'!D399)),EDATE(AB1398,12),IF(ISNUMBER(SEARCH("6",'Procyclean 130'!D399)),EDATE(AB1398,6),IF(ISNUMBER(SEARCH("3",'Procyclean 130'!D399)),EDATE(AB1398,3),DATEVALUE('Procyclean 130'!D399))))),""))</f>
        <v/>
      </c>
      <c r="AM1398" t="str">
        <f t="shared" ca="1" si="148"/>
        <v/>
      </c>
    </row>
    <row r="1399" spans="27:39" x14ac:dyDescent="0.3">
      <c r="AA1399" t="str">
        <f>IF(COUNTA('Procyclean 130'!A400,'Procyclean 130'!B400,'Procyclean 130'!C400)&gt;0,"130","")</f>
        <v/>
      </c>
      <c r="AB1399" t="str">
        <f>IFERROR(IF(ISNUMBER('Procyclean 130'!A400),'Procyclean 130'!A400,DATEVALUE('Procyclean 130'!A400)),"")</f>
        <v/>
      </c>
      <c r="AC1399" t="str">
        <f>IF(AA1399="","",'Procyclean 130'!B400)</f>
        <v/>
      </c>
      <c r="AD1399" t="str">
        <f>IF(AA1399="","",IFERROR(1*'Procyclean 130'!C400,IFERROR(_xludf.NUMBERVALUE('Procyclean 130'!C400,".",","),IFERROR(_xludf.NUMBERVALUE('Procyclean 130'!C400,",","."),0))))</f>
        <v/>
      </c>
      <c r="AE1399" t="str">
        <f>IF(AA1399="","",'Procyclean 130'!J400)</f>
        <v/>
      </c>
      <c r="AF1399">
        <f t="shared" si="143"/>
        <v>0</v>
      </c>
      <c r="AG1399" t="str">
        <f t="shared" si="144"/>
        <v/>
      </c>
      <c r="AH1399" t="str">
        <f t="shared" si="145"/>
        <v/>
      </c>
      <c r="AI1399">
        <f t="shared" si="146"/>
        <v>0</v>
      </c>
      <c r="AJ1399">
        <f t="shared" si="147"/>
        <v>0</v>
      </c>
      <c r="AK1399">
        <v>0</v>
      </c>
      <c r="AL1399" t="str">
        <f>IF(AA1399="","",IFERROR(IF(ISNUMBER('Procyclean 130'!D400),'Procyclean 130'!D400,IF(ISNUMBER(SEARCH("12",'Procyclean 130'!D400)),EDATE(AB1399,12),IF(ISNUMBER(SEARCH("6",'Procyclean 130'!D400)),EDATE(AB1399,6),IF(ISNUMBER(SEARCH("3",'Procyclean 130'!D400)),EDATE(AB1399,3),DATEVALUE('Procyclean 130'!D400))))),""))</f>
        <v/>
      </c>
      <c r="AM1399" t="str">
        <f t="shared" ca="1" si="148"/>
        <v/>
      </c>
    </row>
    <row r="1400" spans="27:39" x14ac:dyDescent="0.3">
      <c r="AA1400" t="str">
        <f>IF(COUNTA('Procyclean 130'!A401,'Procyclean 130'!B401,'Procyclean 130'!C401)&gt;0,"130","")</f>
        <v/>
      </c>
      <c r="AB1400" t="str">
        <f>IFERROR(IF(ISNUMBER('Procyclean 130'!A401),'Procyclean 130'!A401,DATEVALUE('Procyclean 130'!A401)),"")</f>
        <v/>
      </c>
      <c r="AC1400" t="str">
        <f>IF(AA1400="","",'Procyclean 130'!B401)</f>
        <v/>
      </c>
      <c r="AD1400" t="str">
        <f>IF(AA1400="","",IFERROR(1*'Procyclean 130'!C401,IFERROR(_xludf.NUMBERVALUE('Procyclean 130'!C401,".",","),IFERROR(_xludf.NUMBERVALUE('Procyclean 130'!C401,",","."),0))))</f>
        <v/>
      </c>
      <c r="AE1400" t="str">
        <f>IF(AA1400="","",'Procyclean 130'!J401)</f>
        <v/>
      </c>
      <c r="AF1400">
        <f t="shared" si="143"/>
        <v>0</v>
      </c>
      <c r="AG1400" t="str">
        <f t="shared" si="144"/>
        <v/>
      </c>
      <c r="AH1400" t="str">
        <f t="shared" si="145"/>
        <v/>
      </c>
      <c r="AI1400">
        <f t="shared" si="146"/>
        <v>0</v>
      </c>
      <c r="AJ1400">
        <f t="shared" si="147"/>
        <v>0</v>
      </c>
      <c r="AK1400">
        <v>0</v>
      </c>
      <c r="AL1400" t="str">
        <f>IF(AA1400="","",IFERROR(IF(ISNUMBER('Procyclean 130'!D401),'Procyclean 130'!D401,IF(ISNUMBER(SEARCH("12",'Procyclean 130'!D401)),EDATE(AB1400,12),IF(ISNUMBER(SEARCH("6",'Procyclean 130'!D401)),EDATE(AB1400,6),IF(ISNUMBER(SEARCH("3",'Procyclean 130'!D401)),EDATE(AB1400,3),DATEVALUE('Procyclean 130'!D401))))),""))</f>
        <v/>
      </c>
      <c r="AM1400" t="str">
        <f t="shared" ca="1" si="148"/>
        <v/>
      </c>
    </row>
    <row r="1401" spans="27:39" x14ac:dyDescent="0.3">
      <c r="AA1401" t="str">
        <f>IF(COUNTA('Procyclean 130'!A402,'Procyclean 130'!B402,'Procyclean 130'!C402)&gt;0,"130","")</f>
        <v/>
      </c>
      <c r="AB1401" t="str">
        <f>IFERROR(IF(ISNUMBER('Procyclean 130'!A402),'Procyclean 130'!A402,DATEVALUE('Procyclean 130'!A402)),"")</f>
        <v/>
      </c>
      <c r="AC1401" t="str">
        <f>IF(AA1401="","",'Procyclean 130'!B402)</f>
        <v/>
      </c>
      <c r="AD1401" t="str">
        <f>IF(AA1401="","",IFERROR(1*'Procyclean 130'!C402,IFERROR(_xludf.NUMBERVALUE('Procyclean 130'!C402,".",","),IFERROR(_xludf.NUMBERVALUE('Procyclean 130'!C402,",","."),0))))</f>
        <v/>
      </c>
      <c r="AE1401" t="str">
        <f>IF(AA1401="","",'Procyclean 130'!J402)</f>
        <v/>
      </c>
      <c r="AF1401">
        <f t="shared" si="143"/>
        <v>0</v>
      </c>
      <c r="AG1401" t="str">
        <f t="shared" si="144"/>
        <v/>
      </c>
      <c r="AH1401" t="str">
        <f t="shared" si="145"/>
        <v/>
      </c>
      <c r="AI1401">
        <f t="shared" si="146"/>
        <v>0</v>
      </c>
      <c r="AJ1401">
        <f t="shared" si="147"/>
        <v>0</v>
      </c>
      <c r="AK1401">
        <v>0</v>
      </c>
      <c r="AL1401" t="str">
        <f>IF(AA1401="","",IFERROR(IF(ISNUMBER('Procyclean 130'!D402),'Procyclean 130'!D402,IF(ISNUMBER(SEARCH("12",'Procyclean 130'!D402)),EDATE(AB1401,12),IF(ISNUMBER(SEARCH("6",'Procyclean 130'!D402)),EDATE(AB1401,6),IF(ISNUMBER(SEARCH("3",'Procyclean 130'!D402)),EDATE(AB1401,3),DATEVALUE('Procyclean 130'!D402))))),""))</f>
        <v/>
      </c>
      <c r="AM1401" t="str">
        <f t="shared" ca="1" si="148"/>
        <v/>
      </c>
    </row>
    <row r="1402" spans="27:39" x14ac:dyDescent="0.3">
      <c r="AA1402" t="str">
        <f>IF(COUNTA('Procyclean 130'!A403,'Procyclean 130'!B403,'Procyclean 130'!C403)&gt;0,"130","")</f>
        <v/>
      </c>
      <c r="AB1402" t="str">
        <f>IFERROR(IF(ISNUMBER('Procyclean 130'!A403),'Procyclean 130'!A403,DATEVALUE('Procyclean 130'!A403)),"")</f>
        <v/>
      </c>
      <c r="AC1402" t="str">
        <f>IF(AA1402="","",'Procyclean 130'!B403)</f>
        <v/>
      </c>
      <c r="AD1402" t="str">
        <f>IF(AA1402="","",IFERROR(1*'Procyclean 130'!C403,IFERROR(_xludf.NUMBERVALUE('Procyclean 130'!C403,".",","),IFERROR(_xludf.NUMBERVALUE('Procyclean 130'!C403,",","."),0))))</f>
        <v/>
      </c>
      <c r="AE1402" t="str">
        <f>IF(AA1402="","",'Procyclean 130'!J403)</f>
        <v/>
      </c>
      <c r="AF1402">
        <f t="shared" si="143"/>
        <v>0</v>
      </c>
      <c r="AG1402" t="str">
        <f t="shared" si="144"/>
        <v/>
      </c>
      <c r="AH1402" t="str">
        <f t="shared" si="145"/>
        <v/>
      </c>
      <c r="AI1402">
        <f t="shared" si="146"/>
        <v>0</v>
      </c>
      <c r="AJ1402">
        <f t="shared" si="147"/>
        <v>0</v>
      </c>
      <c r="AK1402">
        <v>0</v>
      </c>
      <c r="AL1402" t="str">
        <f>IF(AA1402="","",IFERROR(IF(ISNUMBER('Procyclean 130'!D403),'Procyclean 130'!D403,IF(ISNUMBER(SEARCH("12",'Procyclean 130'!D403)),EDATE(AB1402,12),IF(ISNUMBER(SEARCH("6",'Procyclean 130'!D403)),EDATE(AB1402,6),IF(ISNUMBER(SEARCH("3",'Procyclean 130'!D403)),EDATE(AB1402,3),DATEVALUE('Procyclean 130'!D403))))),""))</f>
        <v/>
      </c>
      <c r="AM1402" t="str">
        <f t="shared" ca="1" si="148"/>
        <v/>
      </c>
    </row>
    <row r="1403" spans="27:39" x14ac:dyDescent="0.3">
      <c r="AA1403" t="str">
        <f>IF(COUNTA('Procyclean 130'!A404,'Procyclean 130'!B404,'Procyclean 130'!C404)&gt;0,"130","")</f>
        <v/>
      </c>
      <c r="AB1403" t="str">
        <f>IFERROR(IF(ISNUMBER('Procyclean 130'!A404),'Procyclean 130'!A404,DATEVALUE('Procyclean 130'!A404)),"")</f>
        <v/>
      </c>
      <c r="AC1403" t="str">
        <f>IF(AA1403="","",'Procyclean 130'!B404)</f>
        <v/>
      </c>
      <c r="AD1403" t="str">
        <f>IF(AA1403="","",IFERROR(1*'Procyclean 130'!C404,IFERROR(_xludf.NUMBERVALUE('Procyclean 130'!C404,".",","),IFERROR(_xludf.NUMBERVALUE('Procyclean 130'!C404,",","."),0))))</f>
        <v/>
      </c>
      <c r="AE1403" t="str">
        <f>IF(AA1403="","",'Procyclean 130'!J404)</f>
        <v/>
      </c>
      <c r="AF1403">
        <f t="shared" si="143"/>
        <v>0</v>
      </c>
      <c r="AG1403" t="str">
        <f t="shared" si="144"/>
        <v/>
      </c>
      <c r="AH1403" t="str">
        <f t="shared" si="145"/>
        <v/>
      </c>
      <c r="AI1403">
        <f t="shared" si="146"/>
        <v>0</v>
      </c>
      <c r="AJ1403">
        <f t="shared" si="147"/>
        <v>0</v>
      </c>
      <c r="AK1403">
        <v>0</v>
      </c>
      <c r="AL1403" t="str">
        <f>IF(AA1403="","",IFERROR(IF(ISNUMBER('Procyclean 130'!D404),'Procyclean 130'!D404,IF(ISNUMBER(SEARCH("12",'Procyclean 130'!D404)),EDATE(AB1403,12),IF(ISNUMBER(SEARCH("6",'Procyclean 130'!D404)),EDATE(AB1403,6),IF(ISNUMBER(SEARCH("3",'Procyclean 130'!D404)),EDATE(AB1403,3),DATEVALUE('Procyclean 130'!D404))))),""))</f>
        <v/>
      </c>
      <c r="AM1403" t="str">
        <f t="shared" ca="1" si="148"/>
        <v/>
      </c>
    </row>
    <row r="1404" spans="27:39" x14ac:dyDescent="0.3">
      <c r="AA1404" t="str">
        <f>IF(COUNTA('Procyclean 130'!A405,'Procyclean 130'!B405,'Procyclean 130'!C405)&gt;0,"130","")</f>
        <v/>
      </c>
      <c r="AB1404" t="str">
        <f>IFERROR(IF(ISNUMBER('Procyclean 130'!A405),'Procyclean 130'!A405,DATEVALUE('Procyclean 130'!A405)),"")</f>
        <v/>
      </c>
      <c r="AC1404" t="str">
        <f>IF(AA1404="","",'Procyclean 130'!B405)</f>
        <v/>
      </c>
      <c r="AD1404" t="str">
        <f>IF(AA1404="","",IFERROR(1*'Procyclean 130'!C405,IFERROR(_xludf.NUMBERVALUE('Procyclean 130'!C405,".",","),IFERROR(_xludf.NUMBERVALUE('Procyclean 130'!C405,",","."),0))))</f>
        <v/>
      </c>
      <c r="AE1404" t="str">
        <f>IF(AA1404="","",'Procyclean 130'!J405)</f>
        <v/>
      </c>
      <c r="AF1404">
        <f t="shared" si="143"/>
        <v>0</v>
      </c>
      <c r="AG1404" t="str">
        <f t="shared" si="144"/>
        <v/>
      </c>
      <c r="AH1404" t="str">
        <f t="shared" si="145"/>
        <v/>
      </c>
      <c r="AI1404">
        <f t="shared" si="146"/>
        <v>0</v>
      </c>
      <c r="AJ1404">
        <f t="shared" si="147"/>
        <v>0</v>
      </c>
      <c r="AK1404">
        <v>0</v>
      </c>
      <c r="AL1404" t="str">
        <f>IF(AA1404="","",IFERROR(IF(ISNUMBER('Procyclean 130'!D405),'Procyclean 130'!D405,IF(ISNUMBER(SEARCH("12",'Procyclean 130'!D405)),EDATE(AB1404,12),IF(ISNUMBER(SEARCH("6",'Procyclean 130'!D405)),EDATE(AB1404,6),IF(ISNUMBER(SEARCH("3",'Procyclean 130'!D405)),EDATE(AB1404,3),DATEVALUE('Procyclean 130'!D405))))),""))</f>
        <v/>
      </c>
      <c r="AM1404" t="str">
        <f t="shared" ca="1" si="148"/>
        <v/>
      </c>
    </row>
    <row r="1405" spans="27:39" x14ac:dyDescent="0.3">
      <c r="AA1405" t="str">
        <f>IF(COUNTA('Procyclean 130'!A406,'Procyclean 130'!B406,'Procyclean 130'!C406)&gt;0,"130","")</f>
        <v/>
      </c>
      <c r="AB1405" t="str">
        <f>IFERROR(IF(ISNUMBER('Procyclean 130'!A406),'Procyclean 130'!A406,DATEVALUE('Procyclean 130'!A406)),"")</f>
        <v/>
      </c>
      <c r="AC1405" t="str">
        <f>IF(AA1405="","",'Procyclean 130'!B406)</f>
        <v/>
      </c>
      <c r="AD1405" t="str">
        <f>IF(AA1405="","",IFERROR(1*'Procyclean 130'!C406,IFERROR(_xludf.NUMBERVALUE('Procyclean 130'!C406,".",","),IFERROR(_xludf.NUMBERVALUE('Procyclean 130'!C406,",","."),0))))</f>
        <v/>
      </c>
      <c r="AE1405" t="str">
        <f>IF(AA1405="","",'Procyclean 130'!J406)</f>
        <v/>
      </c>
      <c r="AF1405">
        <f t="shared" si="143"/>
        <v>0</v>
      </c>
      <c r="AG1405" t="str">
        <f t="shared" si="144"/>
        <v/>
      </c>
      <c r="AH1405" t="str">
        <f t="shared" si="145"/>
        <v/>
      </c>
      <c r="AI1405">
        <f t="shared" si="146"/>
        <v>0</v>
      </c>
      <c r="AJ1405">
        <f t="shared" si="147"/>
        <v>0</v>
      </c>
      <c r="AK1405">
        <v>0</v>
      </c>
      <c r="AL1405" t="str">
        <f>IF(AA1405="","",IFERROR(IF(ISNUMBER('Procyclean 130'!D406),'Procyclean 130'!D406,IF(ISNUMBER(SEARCH("12",'Procyclean 130'!D406)),EDATE(AB1405,12),IF(ISNUMBER(SEARCH("6",'Procyclean 130'!D406)),EDATE(AB1405,6),IF(ISNUMBER(SEARCH("3",'Procyclean 130'!D406)),EDATE(AB1405,3),DATEVALUE('Procyclean 130'!D406))))),""))</f>
        <v/>
      </c>
      <c r="AM1405" t="str">
        <f t="shared" ca="1" si="148"/>
        <v/>
      </c>
    </row>
    <row r="1406" spans="27:39" x14ac:dyDescent="0.3">
      <c r="AA1406" t="str">
        <f>IF(COUNTA('Procyclean 130'!A407,'Procyclean 130'!B407,'Procyclean 130'!C407)&gt;0,"130","")</f>
        <v/>
      </c>
      <c r="AB1406" t="str">
        <f>IFERROR(IF(ISNUMBER('Procyclean 130'!A407),'Procyclean 130'!A407,DATEVALUE('Procyclean 130'!A407)),"")</f>
        <v/>
      </c>
      <c r="AC1406" t="str">
        <f>IF(AA1406="","",'Procyclean 130'!B407)</f>
        <v/>
      </c>
      <c r="AD1406" t="str">
        <f>IF(AA1406="","",IFERROR(1*'Procyclean 130'!C407,IFERROR(_xludf.NUMBERVALUE('Procyclean 130'!C407,".",","),IFERROR(_xludf.NUMBERVALUE('Procyclean 130'!C407,",","."),0))))</f>
        <v/>
      </c>
      <c r="AE1406" t="str">
        <f>IF(AA1406="","",'Procyclean 130'!J407)</f>
        <v/>
      </c>
      <c r="AF1406">
        <f t="shared" si="143"/>
        <v>0</v>
      </c>
      <c r="AG1406" t="str">
        <f t="shared" si="144"/>
        <v/>
      </c>
      <c r="AH1406" t="str">
        <f t="shared" si="145"/>
        <v/>
      </c>
      <c r="AI1406">
        <f t="shared" si="146"/>
        <v>0</v>
      </c>
      <c r="AJ1406">
        <f t="shared" si="147"/>
        <v>0</v>
      </c>
      <c r="AK1406">
        <v>0</v>
      </c>
      <c r="AL1406" t="str">
        <f>IF(AA1406="","",IFERROR(IF(ISNUMBER('Procyclean 130'!D407),'Procyclean 130'!D407,IF(ISNUMBER(SEARCH("12",'Procyclean 130'!D407)),EDATE(AB1406,12),IF(ISNUMBER(SEARCH("6",'Procyclean 130'!D407)),EDATE(AB1406,6),IF(ISNUMBER(SEARCH("3",'Procyclean 130'!D407)),EDATE(AB1406,3),DATEVALUE('Procyclean 130'!D407))))),""))</f>
        <v/>
      </c>
      <c r="AM1406" t="str">
        <f t="shared" ca="1" si="148"/>
        <v/>
      </c>
    </row>
    <row r="1407" spans="27:39" x14ac:dyDescent="0.3">
      <c r="AA1407" t="str">
        <f>IF(COUNTA('Procyclean 130'!A408,'Procyclean 130'!B408,'Procyclean 130'!C408)&gt;0,"130","")</f>
        <v/>
      </c>
      <c r="AB1407" t="str">
        <f>IFERROR(IF(ISNUMBER('Procyclean 130'!A408),'Procyclean 130'!A408,DATEVALUE('Procyclean 130'!A408)),"")</f>
        <v/>
      </c>
      <c r="AC1407" t="str">
        <f>IF(AA1407="","",'Procyclean 130'!B408)</f>
        <v/>
      </c>
      <c r="AD1407" t="str">
        <f>IF(AA1407="","",IFERROR(1*'Procyclean 130'!C408,IFERROR(_xludf.NUMBERVALUE('Procyclean 130'!C408,".",","),IFERROR(_xludf.NUMBERVALUE('Procyclean 130'!C408,",","."),0))))</f>
        <v/>
      </c>
      <c r="AE1407" t="str">
        <f>IF(AA1407="","",'Procyclean 130'!J408)</f>
        <v/>
      </c>
      <c r="AF1407">
        <f t="shared" si="143"/>
        <v>0</v>
      </c>
      <c r="AG1407" t="str">
        <f t="shared" si="144"/>
        <v/>
      </c>
      <c r="AH1407" t="str">
        <f t="shared" si="145"/>
        <v/>
      </c>
      <c r="AI1407">
        <f t="shared" si="146"/>
        <v>0</v>
      </c>
      <c r="AJ1407">
        <f t="shared" si="147"/>
        <v>0</v>
      </c>
      <c r="AK1407">
        <v>0</v>
      </c>
      <c r="AL1407" t="str">
        <f>IF(AA1407="","",IFERROR(IF(ISNUMBER('Procyclean 130'!D408),'Procyclean 130'!D408,IF(ISNUMBER(SEARCH("12",'Procyclean 130'!D408)),EDATE(AB1407,12),IF(ISNUMBER(SEARCH("6",'Procyclean 130'!D408)),EDATE(AB1407,6),IF(ISNUMBER(SEARCH("3",'Procyclean 130'!D408)),EDATE(AB1407,3),DATEVALUE('Procyclean 130'!D408))))),""))</f>
        <v/>
      </c>
      <c r="AM1407" t="str">
        <f t="shared" ca="1" si="148"/>
        <v/>
      </c>
    </row>
    <row r="1408" spans="27:39" x14ac:dyDescent="0.3">
      <c r="AA1408" t="str">
        <f>IF(COUNTA('Procyclean 130'!A409,'Procyclean 130'!B409,'Procyclean 130'!C409)&gt;0,"130","")</f>
        <v/>
      </c>
      <c r="AB1408" t="str">
        <f>IFERROR(IF(ISNUMBER('Procyclean 130'!A409),'Procyclean 130'!A409,DATEVALUE('Procyclean 130'!A409)),"")</f>
        <v/>
      </c>
      <c r="AC1408" t="str">
        <f>IF(AA1408="","",'Procyclean 130'!B409)</f>
        <v/>
      </c>
      <c r="AD1408" t="str">
        <f>IF(AA1408="","",IFERROR(1*'Procyclean 130'!C409,IFERROR(_xludf.NUMBERVALUE('Procyclean 130'!C409,".",","),IFERROR(_xludf.NUMBERVALUE('Procyclean 130'!C409,",","."),0))))</f>
        <v/>
      </c>
      <c r="AE1408" t="str">
        <f>IF(AA1408="","",'Procyclean 130'!J409)</f>
        <v/>
      </c>
      <c r="AF1408">
        <f t="shared" si="143"/>
        <v>0</v>
      </c>
      <c r="AG1408" t="str">
        <f t="shared" si="144"/>
        <v/>
      </c>
      <c r="AH1408" t="str">
        <f t="shared" si="145"/>
        <v/>
      </c>
      <c r="AI1408">
        <f t="shared" si="146"/>
        <v>0</v>
      </c>
      <c r="AJ1408">
        <f t="shared" si="147"/>
        <v>0</v>
      </c>
      <c r="AK1408">
        <v>0</v>
      </c>
      <c r="AL1408" t="str">
        <f>IF(AA1408="","",IFERROR(IF(ISNUMBER('Procyclean 130'!D409),'Procyclean 130'!D409,IF(ISNUMBER(SEARCH("12",'Procyclean 130'!D409)),EDATE(AB1408,12),IF(ISNUMBER(SEARCH("6",'Procyclean 130'!D409)),EDATE(AB1408,6),IF(ISNUMBER(SEARCH("3",'Procyclean 130'!D409)),EDATE(AB1408,3),DATEVALUE('Procyclean 130'!D409))))),""))</f>
        <v/>
      </c>
      <c r="AM1408" t="str">
        <f t="shared" ca="1" si="148"/>
        <v/>
      </c>
    </row>
    <row r="1409" spans="27:39" x14ac:dyDescent="0.3">
      <c r="AA1409" t="str">
        <f>IF(COUNTA('Procyclean 130'!A410,'Procyclean 130'!B410,'Procyclean 130'!C410)&gt;0,"130","")</f>
        <v/>
      </c>
      <c r="AB1409" t="str">
        <f>IFERROR(IF(ISNUMBER('Procyclean 130'!A410),'Procyclean 130'!A410,DATEVALUE('Procyclean 130'!A410)),"")</f>
        <v/>
      </c>
      <c r="AC1409" t="str">
        <f>IF(AA1409="","",'Procyclean 130'!B410)</f>
        <v/>
      </c>
      <c r="AD1409" t="str">
        <f>IF(AA1409="","",IFERROR(1*'Procyclean 130'!C410,IFERROR(_xludf.NUMBERVALUE('Procyclean 130'!C410,".",","),IFERROR(_xludf.NUMBERVALUE('Procyclean 130'!C410,",","."),0))))</f>
        <v/>
      </c>
      <c r="AE1409" t="str">
        <f>IF(AA1409="","",'Procyclean 130'!J410)</f>
        <v/>
      </c>
      <c r="AF1409">
        <f t="shared" si="143"/>
        <v>0</v>
      </c>
      <c r="AG1409" t="str">
        <f t="shared" si="144"/>
        <v/>
      </c>
      <c r="AH1409" t="str">
        <f t="shared" si="145"/>
        <v/>
      </c>
      <c r="AI1409">
        <f t="shared" si="146"/>
        <v>0</v>
      </c>
      <c r="AJ1409">
        <f t="shared" si="147"/>
        <v>0</v>
      </c>
      <c r="AK1409">
        <v>0</v>
      </c>
      <c r="AL1409" t="str">
        <f>IF(AA1409="","",IFERROR(IF(ISNUMBER('Procyclean 130'!D410),'Procyclean 130'!D410,IF(ISNUMBER(SEARCH("12",'Procyclean 130'!D410)),EDATE(AB1409,12),IF(ISNUMBER(SEARCH("6",'Procyclean 130'!D410)),EDATE(AB1409,6),IF(ISNUMBER(SEARCH("3",'Procyclean 130'!D410)),EDATE(AB1409,3),DATEVALUE('Procyclean 130'!D410))))),""))</f>
        <v/>
      </c>
      <c r="AM1409" t="str">
        <f t="shared" ca="1" si="148"/>
        <v/>
      </c>
    </row>
    <row r="1410" spans="27:39" x14ac:dyDescent="0.3">
      <c r="AA1410" t="str">
        <f>IF(COUNTA('Procyclean 130'!A411,'Procyclean 130'!B411,'Procyclean 130'!C411)&gt;0,"130","")</f>
        <v/>
      </c>
      <c r="AB1410" t="str">
        <f>IFERROR(IF(ISNUMBER('Procyclean 130'!A411),'Procyclean 130'!A411,DATEVALUE('Procyclean 130'!A411)),"")</f>
        <v/>
      </c>
      <c r="AC1410" t="str">
        <f>IF(AA1410="","",'Procyclean 130'!B411)</f>
        <v/>
      </c>
      <c r="AD1410" t="str">
        <f>IF(AA1410="","",IFERROR(1*'Procyclean 130'!C411,IFERROR(_xludf.NUMBERVALUE('Procyclean 130'!C411,".",","),IFERROR(_xludf.NUMBERVALUE('Procyclean 130'!C411,",","."),0))))</f>
        <v/>
      </c>
      <c r="AE1410" t="str">
        <f>IF(AA1410="","",'Procyclean 130'!J411)</f>
        <v/>
      </c>
      <c r="AF1410">
        <f t="shared" ref="AF1410:AF1473" si="149">IF(AA1410="",0,--AND(ISNUMBER(SEARCH("aprov",AE1410)),NOT(ISNUMBER(SEARCH("reprov",AE1410)))))</f>
        <v>0</v>
      </c>
      <c r="AG1410" t="str">
        <f t="shared" ref="AG1410:AG1473" si="150">IF(AB1410="","",YEAR(AB1410))</f>
        <v/>
      </c>
      <c r="AH1410" t="str">
        <f t="shared" ref="AH1410:AH1473" si="151">IF(AB1410="","",MONTH(AB1410))</f>
        <v/>
      </c>
      <c r="AI1410">
        <f t="shared" ref="AI1410:AI1473" si="152">IF(AB1410="",0,AB1410+ROW()/1000000)</f>
        <v>0</v>
      </c>
      <c r="AJ1410">
        <f t="shared" ref="AJ1410:AJ1473" si="153">--(AA1410&lt;&gt;"")</f>
        <v>0</v>
      </c>
      <c r="AK1410">
        <v>0</v>
      </c>
      <c r="AL1410" t="str">
        <f>IF(AA1410="","",IFERROR(IF(ISNUMBER('Procyclean 130'!D411),'Procyclean 130'!D411,IF(ISNUMBER(SEARCH("12",'Procyclean 130'!D411)),EDATE(AB1410,12),IF(ISNUMBER(SEARCH("6",'Procyclean 130'!D411)),EDATE(AB1410,6),IF(ISNUMBER(SEARCH("3",'Procyclean 130'!D411)),EDATE(AB1410,3),DATEVALUE('Procyclean 130'!D411))))),""))</f>
        <v/>
      </c>
      <c r="AM1410" t="str">
        <f t="shared" ref="AM1410:AM1473" ca="1" si="154">IF(AND(AJ1410=1,AL1410&lt;&gt;"",AL1410&gt;=TODAY(),AG1410=$W$3),AL1410+ROW()/1000000,"")</f>
        <v/>
      </c>
    </row>
    <row r="1411" spans="27:39" x14ac:dyDescent="0.3">
      <c r="AA1411" t="str">
        <f>IF(COUNTA('Procyclean 130'!A412,'Procyclean 130'!B412,'Procyclean 130'!C412)&gt;0,"130","")</f>
        <v/>
      </c>
      <c r="AB1411" t="str">
        <f>IFERROR(IF(ISNUMBER('Procyclean 130'!A412),'Procyclean 130'!A412,DATEVALUE('Procyclean 130'!A412)),"")</f>
        <v/>
      </c>
      <c r="AC1411" t="str">
        <f>IF(AA1411="","",'Procyclean 130'!B412)</f>
        <v/>
      </c>
      <c r="AD1411" t="str">
        <f>IF(AA1411="","",IFERROR(1*'Procyclean 130'!C412,IFERROR(_xludf.NUMBERVALUE('Procyclean 130'!C412,".",","),IFERROR(_xludf.NUMBERVALUE('Procyclean 130'!C412,",","."),0))))</f>
        <v/>
      </c>
      <c r="AE1411" t="str">
        <f>IF(AA1411="","",'Procyclean 130'!J412)</f>
        <v/>
      </c>
      <c r="AF1411">
        <f t="shared" si="149"/>
        <v>0</v>
      </c>
      <c r="AG1411" t="str">
        <f t="shared" si="150"/>
        <v/>
      </c>
      <c r="AH1411" t="str">
        <f t="shared" si="151"/>
        <v/>
      </c>
      <c r="AI1411">
        <f t="shared" si="152"/>
        <v>0</v>
      </c>
      <c r="AJ1411">
        <f t="shared" si="153"/>
        <v>0</v>
      </c>
      <c r="AK1411">
        <v>0</v>
      </c>
      <c r="AL1411" t="str">
        <f>IF(AA1411="","",IFERROR(IF(ISNUMBER('Procyclean 130'!D412),'Procyclean 130'!D412,IF(ISNUMBER(SEARCH("12",'Procyclean 130'!D412)),EDATE(AB1411,12),IF(ISNUMBER(SEARCH("6",'Procyclean 130'!D412)),EDATE(AB1411,6),IF(ISNUMBER(SEARCH("3",'Procyclean 130'!D412)),EDATE(AB1411,3),DATEVALUE('Procyclean 130'!D412))))),""))</f>
        <v/>
      </c>
      <c r="AM1411" t="str">
        <f t="shared" ca="1" si="154"/>
        <v/>
      </c>
    </row>
    <row r="1412" spans="27:39" x14ac:dyDescent="0.3">
      <c r="AA1412" t="str">
        <f>IF(COUNTA('Procyclean 130'!A413,'Procyclean 130'!B413,'Procyclean 130'!C413)&gt;0,"130","")</f>
        <v/>
      </c>
      <c r="AB1412" t="str">
        <f>IFERROR(IF(ISNUMBER('Procyclean 130'!A413),'Procyclean 130'!A413,DATEVALUE('Procyclean 130'!A413)),"")</f>
        <v/>
      </c>
      <c r="AC1412" t="str">
        <f>IF(AA1412="","",'Procyclean 130'!B413)</f>
        <v/>
      </c>
      <c r="AD1412" t="str">
        <f>IF(AA1412="","",IFERROR(1*'Procyclean 130'!C413,IFERROR(_xludf.NUMBERVALUE('Procyclean 130'!C413,".",","),IFERROR(_xludf.NUMBERVALUE('Procyclean 130'!C413,",","."),0))))</f>
        <v/>
      </c>
      <c r="AE1412" t="str">
        <f>IF(AA1412="","",'Procyclean 130'!J413)</f>
        <v/>
      </c>
      <c r="AF1412">
        <f t="shared" si="149"/>
        <v>0</v>
      </c>
      <c r="AG1412" t="str">
        <f t="shared" si="150"/>
        <v/>
      </c>
      <c r="AH1412" t="str">
        <f t="shared" si="151"/>
        <v/>
      </c>
      <c r="AI1412">
        <f t="shared" si="152"/>
        <v>0</v>
      </c>
      <c r="AJ1412">
        <f t="shared" si="153"/>
        <v>0</v>
      </c>
      <c r="AK1412">
        <v>0</v>
      </c>
      <c r="AL1412" t="str">
        <f>IF(AA1412="","",IFERROR(IF(ISNUMBER('Procyclean 130'!D413),'Procyclean 130'!D413,IF(ISNUMBER(SEARCH("12",'Procyclean 130'!D413)),EDATE(AB1412,12),IF(ISNUMBER(SEARCH("6",'Procyclean 130'!D413)),EDATE(AB1412,6),IF(ISNUMBER(SEARCH("3",'Procyclean 130'!D413)),EDATE(AB1412,3),DATEVALUE('Procyclean 130'!D413))))),""))</f>
        <v/>
      </c>
      <c r="AM1412" t="str">
        <f t="shared" ca="1" si="154"/>
        <v/>
      </c>
    </row>
    <row r="1413" spans="27:39" x14ac:dyDescent="0.3">
      <c r="AA1413" t="str">
        <f>IF(COUNTA('Procyclean 130'!A414,'Procyclean 130'!B414,'Procyclean 130'!C414)&gt;0,"130","")</f>
        <v/>
      </c>
      <c r="AB1413" t="str">
        <f>IFERROR(IF(ISNUMBER('Procyclean 130'!A414),'Procyclean 130'!A414,DATEVALUE('Procyclean 130'!A414)),"")</f>
        <v/>
      </c>
      <c r="AC1413" t="str">
        <f>IF(AA1413="","",'Procyclean 130'!B414)</f>
        <v/>
      </c>
      <c r="AD1413" t="str">
        <f>IF(AA1413="","",IFERROR(1*'Procyclean 130'!C414,IFERROR(_xludf.NUMBERVALUE('Procyclean 130'!C414,".",","),IFERROR(_xludf.NUMBERVALUE('Procyclean 130'!C414,",","."),0))))</f>
        <v/>
      </c>
      <c r="AE1413" t="str">
        <f>IF(AA1413="","",'Procyclean 130'!J414)</f>
        <v/>
      </c>
      <c r="AF1413">
        <f t="shared" si="149"/>
        <v>0</v>
      </c>
      <c r="AG1413" t="str">
        <f t="shared" si="150"/>
        <v/>
      </c>
      <c r="AH1413" t="str">
        <f t="shared" si="151"/>
        <v/>
      </c>
      <c r="AI1413">
        <f t="shared" si="152"/>
        <v>0</v>
      </c>
      <c r="AJ1413">
        <f t="shared" si="153"/>
        <v>0</v>
      </c>
      <c r="AK1413">
        <v>0</v>
      </c>
      <c r="AL1413" t="str">
        <f>IF(AA1413="","",IFERROR(IF(ISNUMBER('Procyclean 130'!D414),'Procyclean 130'!D414,IF(ISNUMBER(SEARCH("12",'Procyclean 130'!D414)),EDATE(AB1413,12),IF(ISNUMBER(SEARCH("6",'Procyclean 130'!D414)),EDATE(AB1413,6),IF(ISNUMBER(SEARCH("3",'Procyclean 130'!D414)),EDATE(AB1413,3),DATEVALUE('Procyclean 130'!D414))))),""))</f>
        <v/>
      </c>
      <c r="AM1413" t="str">
        <f t="shared" ca="1" si="154"/>
        <v/>
      </c>
    </row>
    <row r="1414" spans="27:39" x14ac:dyDescent="0.3">
      <c r="AA1414" t="str">
        <f>IF(COUNTA('Procyclean 130'!A415,'Procyclean 130'!B415,'Procyclean 130'!C415)&gt;0,"130","")</f>
        <v/>
      </c>
      <c r="AB1414" t="str">
        <f>IFERROR(IF(ISNUMBER('Procyclean 130'!A415),'Procyclean 130'!A415,DATEVALUE('Procyclean 130'!A415)),"")</f>
        <v/>
      </c>
      <c r="AC1414" t="str">
        <f>IF(AA1414="","",'Procyclean 130'!B415)</f>
        <v/>
      </c>
      <c r="AD1414" t="str">
        <f>IF(AA1414="","",IFERROR(1*'Procyclean 130'!C415,IFERROR(_xludf.NUMBERVALUE('Procyclean 130'!C415,".",","),IFERROR(_xludf.NUMBERVALUE('Procyclean 130'!C415,",","."),0))))</f>
        <v/>
      </c>
      <c r="AE1414" t="str">
        <f>IF(AA1414="","",'Procyclean 130'!J415)</f>
        <v/>
      </c>
      <c r="AF1414">
        <f t="shared" si="149"/>
        <v>0</v>
      </c>
      <c r="AG1414" t="str">
        <f t="shared" si="150"/>
        <v/>
      </c>
      <c r="AH1414" t="str">
        <f t="shared" si="151"/>
        <v/>
      </c>
      <c r="AI1414">
        <f t="shared" si="152"/>
        <v>0</v>
      </c>
      <c r="AJ1414">
        <f t="shared" si="153"/>
        <v>0</v>
      </c>
      <c r="AK1414">
        <v>0</v>
      </c>
      <c r="AL1414" t="str">
        <f>IF(AA1414="","",IFERROR(IF(ISNUMBER('Procyclean 130'!D415),'Procyclean 130'!D415,IF(ISNUMBER(SEARCH("12",'Procyclean 130'!D415)),EDATE(AB1414,12),IF(ISNUMBER(SEARCH("6",'Procyclean 130'!D415)),EDATE(AB1414,6),IF(ISNUMBER(SEARCH("3",'Procyclean 130'!D415)),EDATE(AB1414,3),DATEVALUE('Procyclean 130'!D415))))),""))</f>
        <v/>
      </c>
      <c r="AM1414" t="str">
        <f t="shared" ca="1" si="154"/>
        <v/>
      </c>
    </row>
    <row r="1415" spans="27:39" x14ac:dyDescent="0.3">
      <c r="AA1415" t="str">
        <f>IF(COUNTA('Procyclean 130'!A416,'Procyclean 130'!B416,'Procyclean 130'!C416)&gt;0,"130","")</f>
        <v/>
      </c>
      <c r="AB1415" t="str">
        <f>IFERROR(IF(ISNUMBER('Procyclean 130'!A416),'Procyclean 130'!A416,DATEVALUE('Procyclean 130'!A416)),"")</f>
        <v/>
      </c>
      <c r="AC1415" t="str">
        <f>IF(AA1415="","",'Procyclean 130'!B416)</f>
        <v/>
      </c>
      <c r="AD1415" t="str">
        <f>IF(AA1415="","",IFERROR(1*'Procyclean 130'!C416,IFERROR(_xludf.NUMBERVALUE('Procyclean 130'!C416,".",","),IFERROR(_xludf.NUMBERVALUE('Procyclean 130'!C416,",","."),0))))</f>
        <v/>
      </c>
      <c r="AE1415" t="str">
        <f>IF(AA1415="","",'Procyclean 130'!J416)</f>
        <v/>
      </c>
      <c r="AF1415">
        <f t="shared" si="149"/>
        <v>0</v>
      </c>
      <c r="AG1415" t="str">
        <f t="shared" si="150"/>
        <v/>
      </c>
      <c r="AH1415" t="str">
        <f t="shared" si="151"/>
        <v/>
      </c>
      <c r="AI1415">
        <f t="shared" si="152"/>
        <v>0</v>
      </c>
      <c r="AJ1415">
        <f t="shared" si="153"/>
        <v>0</v>
      </c>
      <c r="AK1415">
        <v>0</v>
      </c>
      <c r="AL1415" t="str">
        <f>IF(AA1415="","",IFERROR(IF(ISNUMBER('Procyclean 130'!D416),'Procyclean 130'!D416,IF(ISNUMBER(SEARCH("12",'Procyclean 130'!D416)),EDATE(AB1415,12),IF(ISNUMBER(SEARCH("6",'Procyclean 130'!D416)),EDATE(AB1415,6),IF(ISNUMBER(SEARCH("3",'Procyclean 130'!D416)),EDATE(AB1415,3),DATEVALUE('Procyclean 130'!D416))))),""))</f>
        <v/>
      </c>
      <c r="AM1415" t="str">
        <f t="shared" ca="1" si="154"/>
        <v/>
      </c>
    </row>
    <row r="1416" spans="27:39" x14ac:dyDescent="0.3">
      <c r="AA1416" t="str">
        <f>IF(COUNTA('Procyclean 130'!A417,'Procyclean 130'!B417,'Procyclean 130'!C417)&gt;0,"130","")</f>
        <v/>
      </c>
      <c r="AB1416" t="str">
        <f>IFERROR(IF(ISNUMBER('Procyclean 130'!A417),'Procyclean 130'!A417,DATEVALUE('Procyclean 130'!A417)),"")</f>
        <v/>
      </c>
      <c r="AC1416" t="str">
        <f>IF(AA1416="","",'Procyclean 130'!B417)</f>
        <v/>
      </c>
      <c r="AD1416" t="str">
        <f>IF(AA1416="","",IFERROR(1*'Procyclean 130'!C417,IFERROR(_xludf.NUMBERVALUE('Procyclean 130'!C417,".",","),IFERROR(_xludf.NUMBERVALUE('Procyclean 130'!C417,",","."),0))))</f>
        <v/>
      </c>
      <c r="AE1416" t="str">
        <f>IF(AA1416="","",'Procyclean 130'!J417)</f>
        <v/>
      </c>
      <c r="AF1416">
        <f t="shared" si="149"/>
        <v>0</v>
      </c>
      <c r="AG1416" t="str">
        <f t="shared" si="150"/>
        <v/>
      </c>
      <c r="AH1416" t="str">
        <f t="shared" si="151"/>
        <v/>
      </c>
      <c r="AI1416">
        <f t="shared" si="152"/>
        <v>0</v>
      </c>
      <c r="AJ1416">
        <f t="shared" si="153"/>
        <v>0</v>
      </c>
      <c r="AK1416">
        <v>0</v>
      </c>
      <c r="AL1416" t="str">
        <f>IF(AA1416="","",IFERROR(IF(ISNUMBER('Procyclean 130'!D417),'Procyclean 130'!D417,IF(ISNUMBER(SEARCH("12",'Procyclean 130'!D417)),EDATE(AB1416,12),IF(ISNUMBER(SEARCH("6",'Procyclean 130'!D417)),EDATE(AB1416,6),IF(ISNUMBER(SEARCH("3",'Procyclean 130'!D417)),EDATE(AB1416,3),DATEVALUE('Procyclean 130'!D417))))),""))</f>
        <v/>
      </c>
      <c r="AM1416" t="str">
        <f t="shared" ca="1" si="154"/>
        <v/>
      </c>
    </row>
    <row r="1417" spans="27:39" x14ac:dyDescent="0.3">
      <c r="AA1417" t="str">
        <f>IF(COUNTA('Procyclean 130'!A418,'Procyclean 130'!B418,'Procyclean 130'!C418)&gt;0,"130","")</f>
        <v/>
      </c>
      <c r="AB1417" t="str">
        <f>IFERROR(IF(ISNUMBER('Procyclean 130'!A418),'Procyclean 130'!A418,DATEVALUE('Procyclean 130'!A418)),"")</f>
        <v/>
      </c>
      <c r="AC1417" t="str">
        <f>IF(AA1417="","",'Procyclean 130'!B418)</f>
        <v/>
      </c>
      <c r="AD1417" t="str">
        <f>IF(AA1417="","",IFERROR(1*'Procyclean 130'!C418,IFERROR(_xludf.NUMBERVALUE('Procyclean 130'!C418,".",","),IFERROR(_xludf.NUMBERVALUE('Procyclean 130'!C418,",","."),0))))</f>
        <v/>
      </c>
      <c r="AE1417" t="str">
        <f>IF(AA1417="","",'Procyclean 130'!J418)</f>
        <v/>
      </c>
      <c r="AF1417">
        <f t="shared" si="149"/>
        <v>0</v>
      </c>
      <c r="AG1417" t="str">
        <f t="shared" si="150"/>
        <v/>
      </c>
      <c r="AH1417" t="str">
        <f t="shared" si="151"/>
        <v/>
      </c>
      <c r="AI1417">
        <f t="shared" si="152"/>
        <v>0</v>
      </c>
      <c r="AJ1417">
        <f t="shared" si="153"/>
        <v>0</v>
      </c>
      <c r="AK1417">
        <v>0</v>
      </c>
      <c r="AL1417" t="str">
        <f>IF(AA1417="","",IFERROR(IF(ISNUMBER('Procyclean 130'!D418),'Procyclean 130'!D418,IF(ISNUMBER(SEARCH("12",'Procyclean 130'!D418)),EDATE(AB1417,12),IF(ISNUMBER(SEARCH("6",'Procyclean 130'!D418)),EDATE(AB1417,6),IF(ISNUMBER(SEARCH("3",'Procyclean 130'!D418)),EDATE(AB1417,3),DATEVALUE('Procyclean 130'!D418))))),""))</f>
        <v/>
      </c>
      <c r="AM1417" t="str">
        <f t="shared" ca="1" si="154"/>
        <v/>
      </c>
    </row>
    <row r="1418" spans="27:39" x14ac:dyDescent="0.3">
      <c r="AA1418" t="str">
        <f>IF(COUNTA('Procyclean 130'!A419,'Procyclean 130'!B419,'Procyclean 130'!C419)&gt;0,"130","")</f>
        <v/>
      </c>
      <c r="AB1418" t="str">
        <f>IFERROR(IF(ISNUMBER('Procyclean 130'!A419),'Procyclean 130'!A419,DATEVALUE('Procyclean 130'!A419)),"")</f>
        <v/>
      </c>
      <c r="AC1418" t="str">
        <f>IF(AA1418="","",'Procyclean 130'!B419)</f>
        <v/>
      </c>
      <c r="AD1418" t="str">
        <f>IF(AA1418="","",IFERROR(1*'Procyclean 130'!C419,IFERROR(_xludf.NUMBERVALUE('Procyclean 130'!C419,".",","),IFERROR(_xludf.NUMBERVALUE('Procyclean 130'!C419,",","."),0))))</f>
        <v/>
      </c>
      <c r="AE1418" t="str">
        <f>IF(AA1418="","",'Procyclean 130'!J419)</f>
        <v/>
      </c>
      <c r="AF1418">
        <f t="shared" si="149"/>
        <v>0</v>
      </c>
      <c r="AG1418" t="str">
        <f t="shared" si="150"/>
        <v/>
      </c>
      <c r="AH1418" t="str">
        <f t="shared" si="151"/>
        <v/>
      </c>
      <c r="AI1418">
        <f t="shared" si="152"/>
        <v>0</v>
      </c>
      <c r="AJ1418">
        <f t="shared" si="153"/>
        <v>0</v>
      </c>
      <c r="AK1418">
        <v>0</v>
      </c>
      <c r="AL1418" t="str">
        <f>IF(AA1418="","",IFERROR(IF(ISNUMBER('Procyclean 130'!D419),'Procyclean 130'!D419,IF(ISNUMBER(SEARCH("12",'Procyclean 130'!D419)),EDATE(AB1418,12),IF(ISNUMBER(SEARCH("6",'Procyclean 130'!D419)),EDATE(AB1418,6),IF(ISNUMBER(SEARCH("3",'Procyclean 130'!D419)),EDATE(AB1418,3),DATEVALUE('Procyclean 130'!D419))))),""))</f>
        <v/>
      </c>
      <c r="AM1418" t="str">
        <f t="shared" ca="1" si="154"/>
        <v/>
      </c>
    </row>
    <row r="1419" spans="27:39" x14ac:dyDescent="0.3">
      <c r="AA1419" t="str">
        <f>IF(COUNTA('Procyclean 130'!A420,'Procyclean 130'!B420,'Procyclean 130'!C420)&gt;0,"130","")</f>
        <v/>
      </c>
      <c r="AB1419" t="str">
        <f>IFERROR(IF(ISNUMBER('Procyclean 130'!A420),'Procyclean 130'!A420,DATEVALUE('Procyclean 130'!A420)),"")</f>
        <v/>
      </c>
      <c r="AC1419" t="str">
        <f>IF(AA1419="","",'Procyclean 130'!B420)</f>
        <v/>
      </c>
      <c r="AD1419" t="str">
        <f>IF(AA1419="","",IFERROR(1*'Procyclean 130'!C420,IFERROR(_xludf.NUMBERVALUE('Procyclean 130'!C420,".",","),IFERROR(_xludf.NUMBERVALUE('Procyclean 130'!C420,",","."),0))))</f>
        <v/>
      </c>
      <c r="AE1419" t="str">
        <f>IF(AA1419="","",'Procyclean 130'!J420)</f>
        <v/>
      </c>
      <c r="AF1419">
        <f t="shared" si="149"/>
        <v>0</v>
      </c>
      <c r="AG1419" t="str">
        <f t="shared" si="150"/>
        <v/>
      </c>
      <c r="AH1419" t="str">
        <f t="shared" si="151"/>
        <v/>
      </c>
      <c r="AI1419">
        <f t="shared" si="152"/>
        <v>0</v>
      </c>
      <c r="AJ1419">
        <f t="shared" si="153"/>
        <v>0</v>
      </c>
      <c r="AK1419">
        <v>0</v>
      </c>
      <c r="AL1419" t="str">
        <f>IF(AA1419="","",IFERROR(IF(ISNUMBER('Procyclean 130'!D420),'Procyclean 130'!D420,IF(ISNUMBER(SEARCH("12",'Procyclean 130'!D420)),EDATE(AB1419,12),IF(ISNUMBER(SEARCH("6",'Procyclean 130'!D420)),EDATE(AB1419,6),IF(ISNUMBER(SEARCH("3",'Procyclean 130'!D420)),EDATE(AB1419,3),DATEVALUE('Procyclean 130'!D420))))),""))</f>
        <v/>
      </c>
      <c r="AM1419" t="str">
        <f t="shared" ca="1" si="154"/>
        <v/>
      </c>
    </row>
    <row r="1420" spans="27:39" x14ac:dyDescent="0.3">
      <c r="AA1420" t="str">
        <f>IF(COUNTA('Procyclean 130'!A421,'Procyclean 130'!B421,'Procyclean 130'!C421)&gt;0,"130","")</f>
        <v/>
      </c>
      <c r="AB1420" t="str">
        <f>IFERROR(IF(ISNUMBER('Procyclean 130'!A421),'Procyclean 130'!A421,DATEVALUE('Procyclean 130'!A421)),"")</f>
        <v/>
      </c>
      <c r="AC1420" t="str">
        <f>IF(AA1420="","",'Procyclean 130'!B421)</f>
        <v/>
      </c>
      <c r="AD1420" t="str">
        <f>IF(AA1420="","",IFERROR(1*'Procyclean 130'!C421,IFERROR(_xludf.NUMBERVALUE('Procyclean 130'!C421,".",","),IFERROR(_xludf.NUMBERVALUE('Procyclean 130'!C421,",","."),0))))</f>
        <v/>
      </c>
      <c r="AE1420" t="str">
        <f>IF(AA1420="","",'Procyclean 130'!J421)</f>
        <v/>
      </c>
      <c r="AF1420">
        <f t="shared" si="149"/>
        <v>0</v>
      </c>
      <c r="AG1420" t="str">
        <f t="shared" si="150"/>
        <v/>
      </c>
      <c r="AH1420" t="str">
        <f t="shared" si="151"/>
        <v/>
      </c>
      <c r="AI1420">
        <f t="shared" si="152"/>
        <v>0</v>
      </c>
      <c r="AJ1420">
        <f t="shared" si="153"/>
        <v>0</v>
      </c>
      <c r="AK1420">
        <v>0</v>
      </c>
      <c r="AL1420" t="str">
        <f>IF(AA1420="","",IFERROR(IF(ISNUMBER('Procyclean 130'!D421),'Procyclean 130'!D421,IF(ISNUMBER(SEARCH("12",'Procyclean 130'!D421)),EDATE(AB1420,12),IF(ISNUMBER(SEARCH("6",'Procyclean 130'!D421)),EDATE(AB1420,6),IF(ISNUMBER(SEARCH("3",'Procyclean 130'!D421)),EDATE(AB1420,3),DATEVALUE('Procyclean 130'!D421))))),""))</f>
        <v/>
      </c>
      <c r="AM1420" t="str">
        <f t="shared" ca="1" si="154"/>
        <v/>
      </c>
    </row>
    <row r="1421" spans="27:39" x14ac:dyDescent="0.3">
      <c r="AA1421" t="str">
        <f>IF(COUNTA('Procyclean 130'!A422,'Procyclean 130'!B422,'Procyclean 130'!C422)&gt;0,"130","")</f>
        <v/>
      </c>
      <c r="AB1421" t="str">
        <f>IFERROR(IF(ISNUMBER('Procyclean 130'!A422),'Procyclean 130'!A422,DATEVALUE('Procyclean 130'!A422)),"")</f>
        <v/>
      </c>
      <c r="AC1421" t="str">
        <f>IF(AA1421="","",'Procyclean 130'!B422)</f>
        <v/>
      </c>
      <c r="AD1421" t="str">
        <f>IF(AA1421="","",IFERROR(1*'Procyclean 130'!C422,IFERROR(_xludf.NUMBERVALUE('Procyclean 130'!C422,".",","),IFERROR(_xludf.NUMBERVALUE('Procyclean 130'!C422,",","."),0))))</f>
        <v/>
      </c>
      <c r="AE1421" t="str">
        <f>IF(AA1421="","",'Procyclean 130'!J422)</f>
        <v/>
      </c>
      <c r="AF1421">
        <f t="shared" si="149"/>
        <v>0</v>
      </c>
      <c r="AG1421" t="str">
        <f t="shared" si="150"/>
        <v/>
      </c>
      <c r="AH1421" t="str">
        <f t="shared" si="151"/>
        <v/>
      </c>
      <c r="AI1421">
        <f t="shared" si="152"/>
        <v>0</v>
      </c>
      <c r="AJ1421">
        <f t="shared" si="153"/>
        <v>0</v>
      </c>
      <c r="AK1421">
        <v>0</v>
      </c>
      <c r="AL1421" t="str">
        <f>IF(AA1421="","",IFERROR(IF(ISNUMBER('Procyclean 130'!D422),'Procyclean 130'!D422,IF(ISNUMBER(SEARCH("12",'Procyclean 130'!D422)),EDATE(AB1421,12),IF(ISNUMBER(SEARCH("6",'Procyclean 130'!D422)),EDATE(AB1421,6),IF(ISNUMBER(SEARCH("3",'Procyclean 130'!D422)),EDATE(AB1421,3),DATEVALUE('Procyclean 130'!D422))))),""))</f>
        <v/>
      </c>
      <c r="AM1421" t="str">
        <f t="shared" ca="1" si="154"/>
        <v/>
      </c>
    </row>
    <row r="1422" spans="27:39" x14ac:dyDescent="0.3">
      <c r="AA1422" t="str">
        <f>IF(COUNTA('Procyclean 130'!A423,'Procyclean 130'!B423,'Procyclean 130'!C423)&gt;0,"130","")</f>
        <v/>
      </c>
      <c r="AB1422" t="str">
        <f>IFERROR(IF(ISNUMBER('Procyclean 130'!A423),'Procyclean 130'!A423,DATEVALUE('Procyclean 130'!A423)),"")</f>
        <v/>
      </c>
      <c r="AC1422" t="str">
        <f>IF(AA1422="","",'Procyclean 130'!B423)</f>
        <v/>
      </c>
      <c r="AD1422" t="str">
        <f>IF(AA1422="","",IFERROR(1*'Procyclean 130'!C423,IFERROR(_xludf.NUMBERVALUE('Procyclean 130'!C423,".",","),IFERROR(_xludf.NUMBERVALUE('Procyclean 130'!C423,",","."),0))))</f>
        <v/>
      </c>
      <c r="AE1422" t="str">
        <f>IF(AA1422="","",'Procyclean 130'!J423)</f>
        <v/>
      </c>
      <c r="AF1422">
        <f t="shared" si="149"/>
        <v>0</v>
      </c>
      <c r="AG1422" t="str">
        <f t="shared" si="150"/>
        <v/>
      </c>
      <c r="AH1422" t="str">
        <f t="shared" si="151"/>
        <v/>
      </c>
      <c r="AI1422">
        <f t="shared" si="152"/>
        <v>0</v>
      </c>
      <c r="AJ1422">
        <f t="shared" si="153"/>
        <v>0</v>
      </c>
      <c r="AK1422">
        <v>0</v>
      </c>
      <c r="AL1422" t="str">
        <f>IF(AA1422="","",IFERROR(IF(ISNUMBER('Procyclean 130'!D423),'Procyclean 130'!D423,IF(ISNUMBER(SEARCH("12",'Procyclean 130'!D423)),EDATE(AB1422,12),IF(ISNUMBER(SEARCH("6",'Procyclean 130'!D423)),EDATE(AB1422,6),IF(ISNUMBER(SEARCH("3",'Procyclean 130'!D423)),EDATE(AB1422,3),DATEVALUE('Procyclean 130'!D423))))),""))</f>
        <v/>
      </c>
      <c r="AM1422" t="str">
        <f t="shared" ca="1" si="154"/>
        <v/>
      </c>
    </row>
    <row r="1423" spans="27:39" x14ac:dyDescent="0.3">
      <c r="AA1423" t="str">
        <f>IF(COUNTA('Procyclean 130'!A424,'Procyclean 130'!B424,'Procyclean 130'!C424)&gt;0,"130","")</f>
        <v/>
      </c>
      <c r="AB1423" t="str">
        <f>IFERROR(IF(ISNUMBER('Procyclean 130'!A424),'Procyclean 130'!A424,DATEVALUE('Procyclean 130'!A424)),"")</f>
        <v/>
      </c>
      <c r="AC1423" t="str">
        <f>IF(AA1423="","",'Procyclean 130'!B424)</f>
        <v/>
      </c>
      <c r="AD1423" t="str">
        <f>IF(AA1423="","",IFERROR(1*'Procyclean 130'!C424,IFERROR(_xludf.NUMBERVALUE('Procyclean 130'!C424,".",","),IFERROR(_xludf.NUMBERVALUE('Procyclean 130'!C424,",","."),0))))</f>
        <v/>
      </c>
      <c r="AE1423" t="str">
        <f>IF(AA1423="","",'Procyclean 130'!J424)</f>
        <v/>
      </c>
      <c r="AF1423">
        <f t="shared" si="149"/>
        <v>0</v>
      </c>
      <c r="AG1423" t="str">
        <f t="shared" si="150"/>
        <v/>
      </c>
      <c r="AH1423" t="str">
        <f t="shared" si="151"/>
        <v/>
      </c>
      <c r="AI1423">
        <f t="shared" si="152"/>
        <v>0</v>
      </c>
      <c r="AJ1423">
        <f t="shared" si="153"/>
        <v>0</v>
      </c>
      <c r="AK1423">
        <v>0</v>
      </c>
      <c r="AL1423" t="str">
        <f>IF(AA1423="","",IFERROR(IF(ISNUMBER('Procyclean 130'!D424),'Procyclean 130'!D424,IF(ISNUMBER(SEARCH("12",'Procyclean 130'!D424)),EDATE(AB1423,12),IF(ISNUMBER(SEARCH("6",'Procyclean 130'!D424)),EDATE(AB1423,6),IF(ISNUMBER(SEARCH("3",'Procyclean 130'!D424)),EDATE(AB1423,3),DATEVALUE('Procyclean 130'!D424))))),""))</f>
        <v/>
      </c>
      <c r="AM1423" t="str">
        <f t="shared" ca="1" si="154"/>
        <v/>
      </c>
    </row>
    <row r="1424" spans="27:39" x14ac:dyDescent="0.3">
      <c r="AA1424" t="str">
        <f>IF(COUNTA('Procyclean 130'!A425,'Procyclean 130'!B425,'Procyclean 130'!C425)&gt;0,"130","")</f>
        <v/>
      </c>
      <c r="AB1424" t="str">
        <f>IFERROR(IF(ISNUMBER('Procyclean 130'!A425),'Procyclean 130'!A425,DATEVALUE('Procyclean 130'!A425)),"")</f>
        <v/>
      </c>
      <c r="AC1424" t="str">
        <f>IF(AA1424="","",'Procyclean 130'!B425)</f>
        <v/>
      </c>
      <c r="AD1424" t="str">
        <f>IF(AA1424="","",IFERROR(1*'Procyclean 130'!C425,IFERROR(_xludf.NUMBERVALUE('Procyclean 130'!C425,".",","),IFERROR(_xludf.NUMBERVALUE('Procyclean 130'!C425,",","."),0))))</f>
        <v/>
      </c>
      <c r="AE1424" t="str">
        <f>IF(AA1424="","",'Procyclean 130'!J425)</f>
        <v/>
      </c>
      <c r="AF1424">
        <f t="shared" si="149"/>
        <v>0</v>
      </c>
      <c r="AG1424" t="str">
        <f t="shared" si="150"/>
        <v/>
      </c>
      <c r="AH1424" t="str">
        <f t="shared" si="151"/>
        <v/>
      </c>
      <c r="AI1424">
        <f t="shared" si="152"/>
        <v>0</v>
      </c>
      <c r="AJ1424">
        <f t="shared" si="153"/>
        <v>0</v>
      </c>
      <c r="AK1424">
        <v>0</v>
      </c>
      <c r="AL1424" t="str">
        <f>IF(AA1424="","",IFERROR(IF(ISNUMBER('Procyclean 130'!D425),'Procyclean 130'!D425,IF(ISNUMBER(SEARCH("12",'Procyclean 130'!D425)),EDATE(AB1424,12),IF(ISNUMBER(SEARCH("6",'Procyclean 130'!D425)),EDATE(AB1424,6),IF(ISNUMBER(SEARCH("3",'Procyclean 130'!D425)),EDATE(AB1424,3),DATEVALUE('Procyclean 130'!D425))))),""))</f>
        <v/>
      </c>
      <c r="AM1424" t="str">
        <f t="shared" ca="1" si="154"/>
        <v/>
      </c>
    </row>
    <row r="1425" spans="27:39" x14ac:dyDescent="0.3">
      <c r="AA1425" t="str">
        <f>IF(COUNTA('Procyclean 130'!A426,'Procyclean 130'!B426,'Procyclean 130'!C426)&gt;0,"130","")</f>
        <v/>
      </c>
      <c r="AB1425" t="str">
        <f>IFERROR(IF(ISNUMBER('Procyclean 130'!A426),'Procyclean 130'!A426,DATEVALUE('Procyclean 130'!A426)),"")</f>
        <v/>
      </c>
      <c r="AC1425" t="str">
        <f>IF(AA1425="","",'Procyclean 130'!B426)</f>
        <v/>
      </c>
      <c r="AD1425" t="str">
        <f>IF(AA1425="","",IFERROR(1*'Procyclean 130'!C426,IFERROR(_xludf.NUMBERVALUE('Procyclean 130'!C426,".",","),IFERROR(_xludf.NUMBERVALUE('Procyclean 130'!C426,",","."),0))))</f>
        <v/>
      </c>
      <c r="AE1425" t="str">
        <f>IF(AA1425="","",'Procyclean 130'!J426)</f>
        <v/>
      </c>
      <c r="AF1425">
        <f t="shared" si="149"/>
        <v>0</v>
      </c>
      <c r="AG1425" t="str">
        <f t="shared" si="150"/>
        <v/>
      </c>
      <c r="AH1425" t="str">
        <f t="shared" si="151"/>
        <v/>
      </c>
      <c r="AI1425">
        <f t="shared" si="152"/>
        <v>0</v>
      </c>
      <c r="AJ1425">
        <f t="shared" si="153"/>
        <v>0</v>
      </c>
      <c r="AK1425">
        <v>0</v>
      </c>
      <c r="AL1425" t="str">
        <f>IF(AA1425="","",IFERROR(IF(ISNUMBER('Procyclean 130'!D426),'Procyclean 130'!D426,IF(ISNUMBER(SEARCH("12",'Procyclean 130'!D426)),EDATE(AB1425,12),IF(ISNUMBER(SEARCH("6",'Procyclean 130'!D426)),EDATE(AB1425,6),IF(ISNUMBER(SEARCH("3",'Procyclean 130'!D426)),EDATE(AB1425,3),DATEVALUE('Procyclean 130'!D426))))),""))</f>
        <v/>
      </c>
      <c r="AM1425" t="str">
        <f t="shared" ca="1" si="154"/>
        <v/>
      </c>
    </row>
    <row r="1426" spans="27:39" x14ac:dyDescent="0.3">
      <c r="AA1426" t="str">
        <f>IF(COUNTA('Procyclean 130'!A427,'Procyclean 130'!B427,'Procyclean 130'!C427)&gt;0,"130","")</f>
        <v/>
      </c>
      <c r="AB1426" t="str">
        <f>IFERROR(IF(ISNUMBER('Procyclean 130'!A427),'Procyclean 130'!A427,DATEVALUE('Procyclean 130'!A427)),"")</f>
        <v/>
      </c>
      <c r="AC1426" t="str">
        <f>IF(AA1426="","",'Procyclean 130'!B427)</f>
        <v/>
      </c>
      <c r="AD1426" t="str">
        <f>IF(AA1426="","",IFERROR(1*'Procyclean 130'!C427,IFERROR(_xludf.NUMBERVALUE('Procyclean 130'!C427,".",","),IFERROR(_xludf.NUMBERVALUE('Procyclean 130'!C427,",","."),0))))</f>
        <v/>
      </c>
      <c r="AE1426" t="str">
        <f>IF(AA1426="","",'Procyclean 130'!J427)</f>
        <v/>
      </c>
      <c r="AF1426">
        <f t="shared" si="149"/>
        <v>0</v>
      </c>
      <c r="AG1426" t="str">
        <f t="shared" si="150"/>
        <v/>
      </c>
      <c r="AH1426" t="str">
        <f t="shared" si="151"/>
        <v/>
      </c>
      <c r="AI1426">
        <f t="shared" si="152"/>
        <v>0</v>
      </c>
      <c r="AJ1426">
        <f t="shared" si="153"/>
        <v>0</v>
      </c>
      <c r="AK1426">
        <v>0</v>
      </c>
      <c r="AL1426" t="str">
        <f>IF(AA1426="","",IFERROR(IF(ISNUMBER('Procyclean 130'!D427),'Procyclean 130'!D427,IF(ISNUMBER(SEARCH("12",'Procyclean 130'!D427)),EDATE(AB1426,12),IF(ISNUMBER(SEARCH("6",'Procyclean 130'!D427)),EDATE(AB1426,6),IF(ISNUMBER(SEARCH("3",'Procyclean 130'!D427)),EDATE(AB1426,3),DATEVALUE('Procyclean 130'!D427))))),""))</f>
        <v/>
      </c>
      <c r="AM1426" t="str">
        <f t="shared" ca="1" si="154"/>
        <v/>
      </c>
    </row>
    <row r="1427" spans="27:39" x14ac:dyDescent="0.3">
      <c r="AA1427" t="str">
        <f>IF(COUNTA('Procyclean 130'!A428,'Procyclean 130'!B428,'Procyclean 130'!C428)&gt;0,"130","")</f>
        <v/>
      </c>
      <c r="AB1427" t="str">
        <f>IFERROR(IF(ISNUMBER('Procyclean 130'!A428),'Procyclean 130'!A428,DATEVALUE('Procyclean 130'!A428)),"")</f>
        <v/>
      </c>
      <c r="AC1427" t="str">
        <f>IF(AA1427="","",'Procyclean 130'!B428)</f>
        <v/>
      </c>
      <c r="AD1427" t="str">
        <f>IF(AA1427="","",IFERROR(1*'Procyclean 130'!C428,IFERROR(_xludf.NUMBERVALUE('Procyclean 130'!C428,".",","),IFERROR(_xludf.NUMBERVALUE('Procyclean 130'!C428,",","."),0))))</f>
        <v/>
      </c>
      <c r="AE1427" t="str">
        <f>IF(AA1427="","",'Procyclean 130'!J428)</f>
        <v/>
      </c>
      <c r="AF1427">
        <f t="shared" si="149"/>
        <v>0</v>
      </c>
      <c r="AG1427" t="str">
        <f t="shared" si="150"/>
        <v/>
      </c>
      <c r="AH1427" t="str">
        <f t="shared" si="151"/>
        <v/>
      </c>
      <c r="AI1427">
        <f t="shared" si="152"/>
        <v>0</v>
      </c>
      <c r="AJ1427">
        <f t="shared" si="153"/>
        <v>0</v>
      </c>
      <c r="AK1427">
        <v>0</v>
      </c>
      <c r="AL1427" t="str">
        <f>IF(AA1427="","",IFERROR(IF(ISNUMBER('Procyclean 130'!D428),'Procyclean 130'!D428,IF(ISNUMBER(SEARCH("12",'Procyclean 130'!D428)),EDATE(AB1427,12),IF(ISNUMBER(SEARCH("6",'Procyclean 130'!D428)),EDATE(AB1427,6),IF(ISNUMBER(SEARCH("3",'Procyclean 130'!D428)),EDATE(AB1427,3),DATEVALUE('Procyclean 130'!D428))))),""))</f>
        <v/>
      </c>
      <c r="AM1427" t="str">
        <f t="shared" ca="1" si="154"/>
        <v/>
      </c>
    </row>
    <row r="1428" spans="27:39" x14ac:dyDescent="0.3">
      <c r="AA1428" t="str">
        <f>IF(COUNTA('Procyclean 130'!A429,'Procyclean 130'!B429,'Procyclean 130'!C429)&gt;0,"130","")</f>
        <v/>
      </c>
      <c r="AB1428" t="str">
        <f>IFERROR(IF(ISNUMBER('Procyclean 130'!A429),'Procyclean 130'!A429,DATEVALUE('Procyclean 130'!A429)),"")</f>
        <v/>
      </c>
      <c r="AC1428" t="str">
        <f>IF(AA1428="","",'Procyclean 130'!B429)</f>
        <v/>
      </c>
      <c r="AD1428" t="str">
        <f>IF(AA1428="","",IFERROR(1*'Procyclean 130'!C429,IFERROR(_xludf.NUMBERVALUE('Procyclean 130'!C429,".",","),IFERROR(_xludf.NUMBERVALUE('Procyclean 130'!C429,",","."),0))))</f>
        <v/>
      </c>
      <c r="AE1428" t="str">
        <f>IF(AA1428="","",'Procyclean 130'!J429)</f>
        <v/>
      </c>
      <c r="AF1428">
        <f t="shared" si="149"/>
        <v>0</v>
      </c>
      <c r="AG1428" t="str">
        <f t="shared" si="150"/>
        <v/>
      </c>
      <c r="AH1428" t="str">
        <f t="shared" si="151"/>
        <v/>
      </c>
      <c r="AI1428">
        <f t="shared" si="152"/>
        <v>0</v>
      </c>
      <c r="AJ1428">
        <f t="shared" si="153"/>
        <v>0</v>
      </c>
      <c r="AK1428">
        <v>0</v>
      </c>
      <c r="AL1428" t="str">
        <f>IF(AA1428="","",IFERROR(IF(ISNUMBER('Procyclean 130'!D429),'Procyclean 130'!D429,IF(ISNUMBER(SEARCH("12",'Procyclean 130'!D429)),EDATE(AB1428,12),IF(ISNUMBER(SEARCH("6",'Procyclean 130'!D429)),EDATE(AB1428,6),IF(ISNUMBER(SEARCH("3",'Procyclean 130'!D429)),EDATE(AB1428,3),DATEVALUE('Procyclean 130'!D429))))),""))</f>
        <v/>
      </c>
      <c r="AM1428" t="str">
        <f t="shared" ca="1" si="154"/>
        <v/>
      </c>
    </row>
    <row r="1429" spans="27:39" x14ac:dyDescent="0.3">
      <c r="AA1429" t="str">
        <f>IF(COUNTA('Procyclean 130'!A430,'Procyclean 130'!B430,'Procyclean 130'!C430)&gt;0,"130","")</f>
        <v/>
      </c>
      <c r="AB1429" t="str">
        <f>IFERROR(IF(ISNUMBER('Procyclean 130'!A430),'Procyclean 130'!A430,DATEVALUE('Procyclean 130'!A430)),"")</f>
        <v/>
      </c>
      <c r="AC1429" t="str">
        <f>IF(AA1429="","",'Procyclean 130'!B430)</f>
        <v/>
      </c>
      <c r="AD1429" t="str">
        <f>IF(AA1429="","",IFERROR(1*'Procyclean 130'!C430,IFERROR(_xludf.NUMBERVALUE('Procyclean 130'!C430,".",","),IFERROR(_xludf.NUMBERVALUE('Procyclean 130'!C430,",","."),0))))</f>
        <v/>
      </c>
      <c r="AE1429" t="str">
        <f>IF(AA1429="","",'Procyclean 130'!J430)</f>
        <v/>
      </c>
      <c r="AF1429">
        <f t="shared" si="149"/>
        <v>0</v>
      </c>
      <c r="AG1429" t="str">
        <f t="shared" si="150"/>
        <v/>
      </c>
      <c r="AH1429" t="str">
        <f t="shared" si="151"/>
        <v/>
      </c>
      <c r="AI1429">
        <f t="shared" si="152"/>
        <v>0</v>
      </c>
      <c r="AJ1429">
        <f t="shared" si="153"/>
        <v>0</v>
      </c>
      <c r="AK1429">
        <v>0</v>
      </c>
      <c r="AL1429" t="str">
        <f>IF(AA1429="","",IFERROR(IF(ISNUMBER('Procyclean 130'!D430),'Procyclean 130'!D430,IF(ISNUMBER(SEARCH("12",'Procyclean 130'!D430)),EDATE(AB1429,12),IF(ISNUMBER(SEARCH("6",'Procyclean 130'!D430)),EDATE(AB1429,6),IF(ISNUMBER(SEARCH("3",'Procyclean 130'!D430)),EDATE(AB1429,3),DATEVALUE('Procyclean 130'!D430))))),""))</f>
        <v/>
      </c>
      <c r="AM1429" t="str">
        <f t="shared" ca="1" si="154"/>
        <v/>
      </c>
    </row>
    <row r="1430" spans="27:39" x14ac:dyDescent="0.3">
      <c r="AA1430" t="str">
        <f>IF(COUNTA('Procyclean 130'!A431,'Procyclean 130'!B431,'Procyclean 130'!C431)&gt;0,"130","")</f>
        <v/>
      </c>
      <c r="AB1430" t="str">
        <f>IFERROR(IF(ISNUMBER('Procyclean 130'!A431),'Procyclean 130'!A431,DATEVALUE('Procyclean 130'!A431)),"")</f>
        <v/>
      </c>
      <c r="AC1430" t="str">
        <f>IF(AA1430="","",'Procyclean 130'!B431)</f>
        <v/>
      </c>
      <c r="AD1430" t="str">
        <f>IF(AA1430="","",IFERROR(1*'Procyclean 130'!C431,IFERROR(_xludf.NUMBERVALUE('Procyclean 130'!C431,".",","),IFERROR(_xludf.NUMBERVALUE('Procyclean 130'!C431,",","."),0))))</f>
        <v/>
      </c>
      <c r="AE1430" t="str">
        <f>IF(AA1430="","",'Procyclean 130'!J431)</f>
        <v/>
      </c>
      <c r="AF1430">
        <f t="shared" si="149"/>
        <v>0</v>
      </c>
      <c r="AG1430" t="str">
        <f t="shared" si="150"/>
        <v/>
      </c>
      <c r="AH1430" t="str">
        <f t="shared" si="151"/>
        <v/>
      </c>
      <c r="AI1430">
        <f t="shared" si="152"/>
        <v>0</v>
      </c>
      <c r="AJ1430">
        <f t="shared" si="153"/>
        <v>0</v>
      </c>
      <c r="AK1430">
        <v>0</v>
      </c>
      <c r="AL1430" t="str">
        <f>IF(AA1430="","",IFERROR(IF(ISNUMBER('Procyclean 130'!D431),'Procyclean 130'!D431,IF(ISNUMBER(SEARCH("12",'Procyclean 130'!D431)),EDATE(AB1430,12),IF(ISNUMBER(SEARCH("6",'Procyclean 130'!D431)),EDATE(AB1430,6),IF(ISNUMBER(SEARCH("3",'Procyclean 130'!D431)),EDATE(AB1430,3),DATEVALUE('Procyclean 130'!D431))))),""))</f>
        <v/>
      </c>
      <c r="AM1430" t="str">
        <f t="shared" ca="1" si="154"/>
        <v/>
      </c>
    </row>
    <row r="1431" spans="27:39" x14ac:dyDescent="0.3">
      <c r="AA1431" t="str">
        <f>IF(COUNTA('Procyclean 130'!A432,'Procyclean 130'!B432,'Procyclean 130'!C432)&gt;0,"130","")</f>
        <v/>
      </c>
      <c r="AB1431" t="str">
        <f>IFERROR(IF(ISNUMBER('Procyclean 130'!A432),'Procyclean 130'!A432,DATEVALUE('Procyclean 130'!A432)),"")</f>
        <v/>
      </c>
      <c r="AC1431" t="str">
        <f>IF(AA1431="","",'Procyclean 130'!B432)</f>
        <v/>
      </c>
      <c r="AD1431" t="str">
        <f>IF(AA1431="","",IFERROR(1*'Procyclean 130'!C432,IFERROR(_xludf.NUMBERVALUE('Procyclean 130'!C432,".",","),IFERROR(_xludf.NUMBERVALUE('Procyclean 130'!C432,",","."),0))))</f>
        <v/>
      </c>
      <c r="AE1431" t="str">
        <f>IF(AA1431="","",'Procyclean 130'!J432)</f>
        <v/>
      </c>
      <c r="AF1431">
        <f t="shared" si="149"/>
        <v>0</v>
      </c>
      <c r="AG1431" t="str">
        <f t="shared" si="150"/>
        <v/>
      </c>
      <c r="AH1431" t="str">
        <f t="shared" si="151"/>
        <v/>
      </c>
      <c r="AI1431">
        <f t="shared" si="152"/>
        <v>0</v>
      </c>
      <c r="AJ1431">
        <f t="shared" si="153"/>
        <v>0</v>
      </c>
      <c r="AK1431">
        <v>0</v>
      </c>
      <c r="AL1431" t="str">
        <f>IF(AA1431="","",IFERROR(IF(ISNUMBER('Procyclean 130'!D432),'Procyclean 130'!D432,IF(ISNUMBER(SEARCH("12",'Procyclean 130'!D432)),EDATE(AB1431,12),IF(ISNUMBER(SEARCH("6",'Procyclean 130'!D432)),EDATE(AB1431,6),IF(ISNUMBER(SEARCH("3",'Procyclean 130'!D432)),EDATE(AB1431,3),DATEVALUE('Procyclean 130'!D432))))),""))</f>
        <v/>
      </c>
      <c r="AM1431" t="str">
        <f t="shared" ca="1" si="154"/>
        <v/>
      </c>
    </row>
    <row r="1432" spans="27:39" x14ac:dyDescent="0.3">
      <c r="AA1432" t="str">
        <f>IF(COUNTA('Procyclean 130'!A433,'Procyclean 130'!B433,'Procyclean 130'!C433)&gt;0,"130","")</f>
        <v/>
      </c>
      <c r="AB1432" t="str">
        <f>IFERROR(IF(ISNUMBER('Procyclean 130'!A433),'Procyclean 130'!A433,DATEVALUE('Procyclean 130'!A433)),"")</f>
        <v/>
      </c>
      <c r="AC1432" t="str">
        <f>IF(AA1432="","",'Procyclean 130'!B433)</f>
        <v/>
      </c>
      <c r="AD1432" t="str">
        <f>IF(AA1432="","",IFERROR(1*'Procyclean 130'!C433,IFERROR(_xludf.NUMBERVALUE('Procyclean 130'!C433,".",","),IFERROR(_xludf.NUMBERVALUE('Procyclean 130'!C433,",","."),0))))</f>
        <v/>
      </c>
      <c r="AE1432" t="str">
        <f>IF(AA1432="","",'Procyclean 130'!J433)</f>
        <v/>
      </c>
      <c r="AF1432">
        <f t="shared" si="149"/>
        <v>0</v>
      </c>
      <c r="AG1432" t="str">
        <f t="shared" si="150"/>
        <v/>
      </c>
      <c r="AH1432" t="str">
        <f t="shared" si="151"/>
        <v/>
      </c>
      <c r="AI1432">
        <f t="shared" si="152"/>
        <v>0</v>
      </c>
      <c r="AJ1432">
        <f t="shared" si="153"/>
        <v>0</v>
      </c>
      <c r="AK1432">
        <v>0</v>
      </c>
      <c r="AL1432" t="str">
        <f>IF(AA1432="","",IFERROR(IF(ISNUMBER('Procyclean 130'!D433),'Procyclean 130'!D433,IF(ISNUMBER(SEARCH("12",'Procyclean 130'!D433)),EDATE(AB1432,12),IF(ISNUMBER(SEARCH("6",'Procyclean 130'!D433)),EDATE(AB1432,6),IF(ISNUMBER(SEARCH("3",'Procyclean 130'!D433)),EDATE(AB1432,3),DATEVALUE('Procyclean 130'!D433))))),""))</f>
        <v/>
      </c>
      <c r="AM1432" t="str">
        <f t="shared" ca="1" si="154"/>
        <v/>
      </c>
    </row>
    <row r="1433" spans="27:39" x14ac:dyDescent="0.3">
      <c r="AA1433" t="str">
        <f>IF(COUNTA('Procyclean 130'!A434,'Procyclean 130'!B434,'Procyclean 130'!C434)&gt;0,"130","")</f>
        <v/>
      </c>
      <c r="AB1433" t="str">
        <f>IFERROR(IF(ISNUMBER('Procyclean 130'!A434),'Procyclean 130'!A434,DATEVALUE('Procyclean 130'!A434)),"")</f>
        <v/>
      </c>
      <c r="AC1433" t="str">
        <f>IF(AA1433="","",'Procyclean 130'!B434)</f>
        <v/>
      </c>
      <c r="AD1433" t="str">
        <f>IF(AA1433="","",IFERROR(1*'Procyclean 130'!C434,IFERROR(_xludf.NUMBERVALUE('Procyclean 130'!C434,".",","),IFERROR(_xludf.NUMBERVALUE('Procyclean 130'!C434,",","."),0))))</f>
        <v/>
      </c>
      <c r="AE1433" t="str">
        <f>IF(AA1433="","",'Procyclean 130'!J434)</f>
        <v/>
      </c>
      <c r="AF1433">
        <f t="shared" si="149"/>
        <v>0</v>
      </c>
      <c r="AG1433" t="str">
        <f t="shared" si="150"/>
        <v/>
      </c>
      <c r="AH1433" t="str">
        <f t="shared" si="151"/>
        <v/>
      </c>
      <c r="AI1433">
        <f t="shared" si="152"/>
        <v>0</v>
      </c>
      <c r="AJ1433">
        <f t="shared" si="153"/>
        <v>0</v>
      </c>
      <c r="AK1433">
        <v>0</v>
      </c>
      <c r="AL1433" t="str">
        <f>IF(AA1433="","",IFERROR(IF(ISNUMBER('Procyclean 130'!D434),'Procyclean 130'!D434,IF(ISNUMBER(SEARCH("12",'Procyclean 130'!D434)),EDATE(AB1433,12),IF(ISNUMBER(SEARCH("6",'Procyclean 130'!D434)),EDATE(AB1433,6),IF(ISNUMBER(SEARCH("3",'Procyclean 130'!D434)),EDATE(AB1433,3),DATEVALUE('Procyclean 130'!D434))))),""))</f>
        <v/>
      </c>
      <c r="AM1433" t="str">
        <f t="shared" ca="1" si="154"/>
        <v/>
      </c>
    </row>
    <row r="1434" spans="27:39" x14ac:dyDescent="0.3">
      <c r="AA1434" t="str">
        <f>IF(COUNTA('Procyclean 130'!A435,'Procyclean 130'!B435,'Procyclean 130'!C435)&gt;0,"130","")</f>
        <v/>
      </c>
      <c r="AB1434" t="str">
        <f>IFERROR(IF(ISNUMBER('Procyclean 130'!A435),'Procyclean 130'!A435,DATEVALUE('Procyclean 130'!A435)),"")</f>
        <v/>
      </c>
      <c r="AC1434" t="str">
        <f>IF(AA1434="","",'Procyclean 130'!B435)</f>
        <v/>
      </c>
      <c r="AD1434" t="str">
        <f>IF(AA1434="","",IFERROR(1*'Procyclean 130'!C435,IFERROR(_xludf.NUMBERVALUE('Procyclean 130'!C435,".",","),IFERROR(_xludf.NUMBERVALUE('Procyclean 130'!C435,",","."),0))))</f>
        <v/>
      </c>
      <c r="AE1434" t="str">
        <f>IF(AA1434="","",'Procyclean 130'!J435)</f>
        <v/>
      </c>
      <c r="AF1434">
        <f t="shared" si="149"/>
        <v>0</v>
      </c>
      <c r="AG1434" t="str">
        <f t="shared" si="150"/>
        <v/>
      </c>
      <c r="AH1434" t="str">
        <f t="shared" si="151"/>
        <v/>
      </c>
      <c r="AI1434">
        <f t="shared" si="152"/>
        <v>0</v>
      </c>
      <c r="AJ1434">
        <f t="shared" si="153"/>
        <v>0</v>
      </c>
      <c r="AK1434">
        <v>0</v>
      </c>
      <c r="AL1434" t="str">
        <f>IF(AA1434="","",IFERROR(IF(ISNUMBER('Procyclean 130'!D435),'Procyclean 130'!D435,IF(ISNUMBER(SEARCH("12",'Procyclean 130'!D435)),EDATE(AB1434,12),IF(ISNUMBER(SEARCH("6",'Procyclean 130'!D435)),EDATE(AB1434,6),IF(ISNUMBER(SEARCH("3",'Procyclean 130'!D435)),EDATE(AB1434,3),DATEVALUE('Procyclean 130'!D435))))),""))</f>
        <v/>
      </c>
      <c r="AM1434" t="str">
        <f t="shared" ca="1" si="154"/>
        <v/>
      </c>
    </row>
    <row r="1435" spans="27:39" x14ac:dyDescent="0.3">
      <c r="AA1435" t="str">
        <f>IF(COUNTA('Procyclean 130'!A436,'Procyclean 130'!B436,'Procyclean 130'!C436)&gt;0,"130","")</f>
        <v/>
      </c>
      <c r="AB1435" t="str">
        <f>IFERROR(IF(ISNUMBER('Procyclean 130'!A436),'Procyclean 130'!A436,DATEVALUE('Procyclean 130'!A436)),"")</f>
        <v/>
      </c>
      <c r="AC1435" t="str">
        <f>IF(AA1435="","",'Procyclean 130'!B436)</f>
        <v/>
      </c>
      <c r="AD1435" t="str">
        <f>IF(AA1435="","",IFERROR(1*'Procyclean 130'!C436,IFERROR(_xludf.NUMBERVALUE('Procyclean 130'!C436,".",","),IFERROR(_xludf.NUMBERVALUE('Procyclean 130'!C436,",","."),0))))</f>
        <v/>
      </c>
      <c r="AE1435" t="str">
        <f>IF(AA1435="","",'Procyclean 130'!J436)</f>
        <v/>
      </c>
      <c r="AF1435">
        <f t="shared" si="149"/>
        <v>0</v>
      </c>
      <c r="AG1435" t="str">
        <f t="shared" si="150"/>
        <v/>
      </c>
      <c r="AH1435" t="str">
        <f t="shared" si="151"/>
        <v/>
      </c>
      <c r="AI1435">
        <f t="shared" si="152"/>
        <v>0</v>
      </c>
      <c r="AJ1435">
        <f t="shared" si="153"/>
        <v>0</v>
      </c>
      <c r="AK1435">
        <v>0</v>
      </c>
      <c r="AL1435" t="str">
        <f>IF(AA1435="","",IFERROR(IF(ISNUMBER('Procyclean 130'!D436),'Procyclean 130'!D436,IF(ISNUMBER(SEARCH("12",'Procyclean 130'!D436)),EDATE(AB1435,12),IF(ISNUMBER(SEARCH("6",'Procyclean 130'!D436)),EDATE(AB1435,6),IF(ISNUMBER(SEARCH("3",'Procyclean 130'!D436)),EDATE(AB1435,3),DATEVALUE('Procyclean 130'!D436))))),""))</f>
        <v/>
      </c>
      <c r="AM1435" t="str">
        <f t="shared" ca="1" si="154"/>
        <v/>
      </c>
    </row>
    <row r="1436" spans="27:39" x14ac:dyDescent="0.3">
      <c r="AA1436" t="str">
        <f>IF(COUNTA('Procyclean 130'!A437,'Procyclean 130'!B437,'Procyclean 130'!C437)&gt;0,"130","")</f>
        <v/>
      </c>
      <c r="AB1436" t="str">
        <f>IFERROR(IF(ISNUMBER('Procyclean 130'!A437),'Procyclean 130'!A437,DATEVALUE('Procyclean 130'!A437)),"")</f>
        <v/>
      </c>
      <c r="AC1436" t="str">
        <f>IF(AA1436="","",'Procyclean 130'!B437)</f>
        <v/>
      </c>
      <c r="AD1436" t="str">
        <f>IF(AA1436="","",IFERROR(1*'Procyclean 130'!C437,IFERROR(_xludf.NUMBERVALUE('Procyclean 130'!C437,".",","),IFERROR(_xludf.NUMBERVALUE('Procyclean 130'!C437,",","."),0))))</f>
        <v/>
      </c>
      <c r="AE1436" t="str">
        <f>IF(AA1436="","",'Procyclean 130'!J437)</f>
        <v/>
      </c>
      <c r="AF1436">
        <f t="shared" si="149"/>
        <v>0</v>
      </c>
      <c r="AG1436" t="str">
        <f t="shared" si="150"/>
        <v/>
      </c>
      <c r="AH1436" t="str">
        <f t="shared" si="151"/>
        <v/>
      </c>
      <c r="AI1436">
        <f t="shared" si="152"/>
        <v>0</v>
      </c>
      <c r="AJ1436">
        <f t="shared" si="153"/>
        <v>0</v>
      </c>
      <c r="AK1436">
        <v>0</v>
      </c>
      <c r="AL1436" t="str">
        <f>IF(AA1436="","",IFERROR(IF(ISNUMBER('Procyclean 130'!D437),'Procyclean 130'!D437,IF(ISNUMBER(SEARCH("12",'Procyclean 130'!D437)),EDATE(AB1436,12),IF(ISNUMBER(SEARCH("6",'Procyclean 130'!D437)),EDATE(AB1436,6),IF(ISNUMBER(SEARCH("3",'Procyclean 130'!D437)),EDATE(AB1436,3),DATEVALUE('Procyclean 130'!D437))))),""))</f>
        <v/>
      </c>
      <c r="AM1436" t="str">
        <f t="shared" ca="1" si="154"/>
        <v/>
      </c>
    </row>
    <row r="1437" spans="27:39" x14ac:dyDescent="0.3">
      <c r="AA1437" t="str">
        <f>IF(COUNTA('Procyclean 130'!A438,'Procyclean 130'!B438,'Procyclean 130'!C438)&gt;0,"130","")</f>
        <v/>
      </c>
      <c r="AB1437" t="str">
        <f>IFERROR(IF(ISNUMBER('Procyclean 130'!A438),'Procyclean 130'!A438,DATEVALUE('Procyclean 130'!A438)),"")</f>
        <v/>
      </c>
      <c r="AC1437" t="str">
        <f>IF(AA1437="","",'Procyclean 130'!B438)</f>
        <v/>
      </c>
      <c r="AD1437" t="str">
        <f>IF(AA1437="","",IFERROR(1*'Procyclean 130'!C438,IFERROR(_xludf.NUMBERVALUE('Procyclean 130'!C438,".",","),IFERROR(_xludf.NUMBERVALUE('Procyclean 130'!C438,",","."),0))))</f>
        <v/>
      </c>
      <c r="AE1437" t="str">
        <f>IF(AA1437="","",'Procyclean 130'!J438)</f>
        <v/>
      </c>
      <c r="AF1437">
        <f t="shared" si="149"/>
        <v>0</v>
      </c>
      <c r="AG1437" t="str">
        <f t="shared" si="150"/>
        <v/>
      </c>
      <c r="AH1437" t="str">
        <f t="shared" si="151"/>
        <v/>
      </c>
      <c r="AI1437">
        <f t="shared" si="152"/>
        <v>0</v>
      </c>
      <c r="AJ1437">
        <f t="shared" si="153"/>
        <v>0</v>
      </c>
      <c r="AK1437">
        <v>0</v>
      </c>
      <c r="AL1437" t="str">
        <f>IF(AA1437="","",IFERROR(IF(ISNUMBER('Procyclean 130'!D438),'Procyclean 130'!D438,IF(ISNUMBER(SEARCH("12",'Procyclean 130'!D438)),EDATE(AB1437,12),IF(ISNUMBER(SEARCH("6",'Procyclean 130'!D438)),EDATE(AB1437,6),IF(ISNUMBER(SEARCH("3",'Procyclean 130'!D438)),EDATE(AB1437,3),DATEVALUE('Procyclean 130'!D438))))),""))</f>
        <v/>
      </c>
      <c r="AM1437" t="str">
        <f t="shared" ca="1" si="154"/>
        <v/>
      </c>
    </row>
    <row r="1438" spans="27:39" x14ac:dyDescent="0.3">
      <c r="AA1438" t="str">
        <f>IF(COUNTA('Procyclean 130'!A439,'Procyclean 130'!B439,'Procyclean 130'!C439)&gt;0,"130","")</f>
        <v/>
      </c>
      <c r="AB1438" t="str">
        <f>IFERROR(IF(ISNUMBER('Procyclean 130'!A439),'Procyclean 130'!A439,DATEVALUE('Procyclean 130'!A439)),"")</f>
        <v/>
      </c>
      <c r="AC1438" t="str">
        <f>IF(AA1438="","",'Procyclean 130'!B439)</f>
        <v/>
      </c>
      <c r="AD1438" t="str">
        <f>IF(AA1438="","",IFERROR(1*'Procyclean 130'!C439,IFERROR(_xludf.NUMBERVALUE('Procyclean 130'!C439,".",","),IFERROR(_xludf.NUMBERVALUE('Procyclean 130'!C439,",","."),0))))</f>
        <v/>
      </c>
      <c r="AE1438" t="str">
        <f>IF(AA1438="","",'Procyclean 130'!J439)</f>
        <v/>
      </c>
      <c r="AF1438">
        <f t="shared" si="149"/>
        <v>0</v>
      </c>
      <c r="AG1438" t="str">
        <f t="shared" si="150"/>
        <v/>
      </c>
      <c r="AH1438" t="str">
        <f t="shared" si="151"/>
        <v/>
      </c>
      <c r="AI1438">
        <f t="shared" si="152"/>
        <v>0</v>
      </c>
      <c r="AJ1438">
        <f t="shared" si="153"/>
        <v>0</v>
      </c>
      <c r="AK1438">
        <v>0</v>
      </c>
      <c r="AL1438" t="str">
        <f>IF(AA1438="","",IFERROR(IF(ISNUMBER('Procyclean 130'!D439),'Procyclean 130'!D439,IF(ISNUMBER(SEARCH("12",'Procyclean 130'!D439)),EDATE(AB1438,12),IF(ISNUMBER(SEARCH("6",'Procyclean 130'!D439)),EDATE(AB1438,6),IF(ISNUMBER(SEARCH("3",'Procyclean 130'!D439)),EDATE(AB1438,3),DATEVALUE('Procyclean 130'!D439))))),""))</f>
        <v/>
      </c>
      <c r="AM1438" t="str">
        <f t="shared" ca="1" si="154"/>
        <v/>
      </c>
    </row>
    <row r="1439" spans="27:39" x14ac:dyDescent="0.3">
      <c r="AA1439" t="str">
        <f>IF(COUNTA('Procyclean 130'!A440,'Procyclean 130'!B440,'Procyclean 130'!C440)&gt;0,"130","")</f>
        <v/>
      </c>
      <c r="AB1439" t="str">
        <f>IFERROR(IF(ISNUMBER('Procyclean 130'!A440),'Procyclean 130'!A440,DATEVALUE('Procyclean 130'!A440)),"")</f>
        <v/>
      </c>
      <c r="AC1439" t="str">
        <f>IF(AA1439="","",'Procyclean 130'!B440)</f>
        <v/>
      </c>
      <c r="AD1439" t="str">
        <f>IF(AA1439="","",IFERROR(1*'Procyclean 130'!C440,IFERROR(_xludf.NUMBERVALUE('Procyclean 130'!C440,".",","),IFERROR(_xludf.NUMBERVALUE('Procyclean 130'!C440,",","."),0))))</f>
        <v/>
      </c>
      <c r="AE1439" t="str">
        <f>IF(AA1439="","",'Procyclean 130'!J440)</f>
        <v/>
      </c>
      <c r="AF1439">
        <f t="shared" si="149"/>
        <v>0</v>
      </c>
      <c r="AG1439" t="str">
        <f t="shared" si="150"/>
        <v/>
      </c>
      <c r="AH1439" t="str">
        <f t="shared" si="151"/>
        <v/>
      </c>
      <c r="AI1439">
        <f t="shared" si="152"/>
        <v>0</v>
      </c>
      <c r="AJ1439">
        <f t="shared" si="153"/>
        <v>0</v>
      </c>
      <c r="AK1439">
        <v>0</v>
      </c>
      <c r="AL1439" t="str">
        <f>IF(AA1439="","",IFERROR(IF(ISNUMBER('Procyclean 130'!D440),'Procyclean 130'!D440,IF(ISNUMBER(SEARCH("12",'Procyclean 130'!D440)),EDATE(AB1439,12),IF(ISNUMBER(SEARCH("6",'Procyclean 130'!D440)),EDATE(AB1439,6),IF(ISNUMBER(SEARCH("3",'Procyclean 130'!D440)),EDATE(AB1439,3),DATEVALUE('Procyclean 130'!D440))))),""))</f>
        <v/>
      </c>
      <c r="AM1439" t="str">
        <f t="shared" ca="1" si="154"/>
        <v/>
      </c>
    </row>
    <row r="1440" spans="27:39" x14ac:dyDescent="0.3">
      <c r="AA1440" t="str">
        <f>IF(COUNTA('Procyclean 130'!A441,'Procyclean 130'!B441,'Procyclean 130'!C441)&gt;0,"130","")</f>
        <v/>
      </c>
      <c r="AB1440" t="str">
        <f>IFERROR(IF(ISNUMBER('Procyclean 130'!A441),'Procyclean 130'!A441,DATEVALUE('Procyclean 130'!A441)),"")</f>
        <v/>
      </c>
      <c r="AC1440" t="str">
        <f>IF(AA1440="","",'Procyclean 130'!B441)</f>
        <v/>
      </c>
      <c r="AD1440" t="str">
        <f>IF(AA1440="","",IFERROR(1*'Procyclean 130'!C441,IFERROR(_xludf.NUMBERVALUE('Procyclean 130'!C441,".",","),IFERROR(_xludf.NUMBERVALUE('Procyclean 130'!C441,",","."),0))))</f>
        <v/>
      </c>
      <c r="AE1440" t="str">
        <f>IF(AA1440="","",'Procyclean 130'!J441)</f>
        <v/>
      </c>
      <c r="AF1440">
        <f t="shared" si="149"/>
        <v>0</v>
      </c>
      <c r="AG1440" t="str">
        <f t="shared" si="150"/>
        <v/>
      </c>
      <c r="AH1440" t="str">
        <f t="shared" si="151"/>
        <v/>
      </c>
      <c r="AI1440">
        <f t="shared" si="152"/>
        <v>0</v>
      </c>
      <c r="AJ1440">
        <f t="shared" si="153"/>
        <v>0</v>
      </c>
      <c r="AK1440">
        <v>0</v>
      </c>
      <c r="AL1440" t="str">
        <f>IF(AA1440="","",IFERROR(IF(ISNUMBER('Procyclean 130'!D441),'Procyclean 130'!D441,IF(ISNUMBER(SEARCH("12",'Procyclean 130'!D441)),EDATE(AB1440,12),IF(ISNUMBER(SEARCH("6",'Procyclean 130'!D441)),EDATE(AB1440,6),IF(ISNUMBER(SEARCH("3",'Procyclean 130'!D441)),EDATE(AB1440,3),DATEVALUE('Procyclean 130'!D441))))),""))</f>
        <v/>
      </c>
      <c r="AM1440" t="str">
        <f t="shared" ca="1" si="154"/>
        <v/>
      </c>
    </row>
    <row r="1441" spans="27:39" x14ac:dyDescent="0.3">
      <c r="AA1441" t="str">
        <f>IF(COUNTA('Procyclean 130'!A442,'Procyclean 130'!B442,'Procyclean 130'!C442)&gt;0,"130","")</f>
        <v/>
      </c>
      <c r="AB1441" t="str">
        <f>IFERROR(IF(ISNUMBER('Procyclean 130'!A442),'Procyclean 130'!A442,DATEVALUE('Procyclean 130'!A442)),"")</f>
        <v/>
      </c>
      <c r="AC1441" t="str">
        <f>IF(AA1441="","",'Procyclean 130'!B442)</f>
        <v/>
      </c>
      <c r="AD1441" t="str">
        <f>IF(AA1441="","",IFERROR(1*'Procyclean 130'!C442,IFERROR(_xludf.NUMBERVALUE('Procyclean 130'!C442,".",","),IFERROR(_xludf.NUMBERVALUE('Procyclean 130'!C442,",","."),0))))</f>
        <v/>
      </c>
      <c r="AE1441" t="str">
        <f>IF(AA1441="","",'Procyclean 130'!J442)</f>
        <v/>
      </c>
      <c r="AF1441">
        <f t="shared" si="149"/>
        <v>0</v>
      </c>
      <c r="AG1441" t="str">
        <f t="shared" si="150"/>
        <v/>
      </c>
      <c r="AH1441" t="str">
        <f t="shared" si="151"/>
        <v/>
      </c>
      <c r="AI1441">
        <f t="shared" si="152"/>
        <v>0</v>
      </c>
      <c r="AJ1441">
        <f t="shared" si="153"/>
        <v>0</v>
      </c>
      <c r="AK1441">
        <v>0</v>
      </c>
      <c r="AL1441" t="str">
        <f>IF(AA1441="","",IFERROR(IF(ISNUMBER('Procyclean 130'!D442),'Procyclean 130'!D442,IF(ISNUMBER(SEARCH("12",'Procyclean 130'!D442)),EDATE(AB1441,12),IF(ISNUMBER(SEARCH("6",'Procyclean 130'!D442)),EDATE(AB1441,6),IF(ISNUMBER(SEARCH("3",'Procyclean 130'!D442)),EDATE(AB1441,3),DATEVALUE('Procyclean 130'!D442))))),""))</f>
        <v/>
      </c>
      <c r="AM1441" t="str">
        <f t="shared" ca="1" si="154"/>
        <v/>
      </c>
    </row>
    <row r="1442" spans="27:39" x14ac:dyDescent="0.3">
      <c r="AA1442" t="str">
        <f>IF(COUNTA('Procyclean 130'!A443,'Procyclean 130'!B443,'Procyclean 130'!C443)&gt;0,"130","")</f>
        <v/>
      </c>
      <c r="AB1442" t="str">
        <f>IFERROR(IF(ISNUMBER('Procyclean 130'!A443),'Procyclean 130'!A443,DATEVALUE('Procyclean 130'!A443)),"")</f>
        <v/>
      </c>
      <c r="AC1442" t="str">
        <f>IF(AA1442="","",'Procyclean 130'!B443)</f>
        <v/>
      </c>
      <c r="AD1442" t="str">
        <f>IF(AA1442="","",IFERROR(1*'Procyclean 130'!C443,IFERROR(_xludf.NUMBERVALUE('Procyclean 130'!C443,".",","),IFERROR(_xludf.NUMBERVALUE('Procyclean 130'!C443,",","."),0))))</f>
        <v/>
      </c>
      <c r="AE1442" t="str">
        <f>IF(AA1442="","",'Procyclean 130'!J443)</f>
        <v/>
      </c>
      <c r="AF1442">
        <f t="shared" si="149"/>
        <v>0</v>
      </c>
      <c r="AG1442" t="str">
        <f t="shared" si="150"/>
        <v/>
      </c>
      <c r="AH1442" t="str">
        <f t="shared" si="151"/>
        <v/>
      </c>
      <c r="AI1442">
        <f t="shared" si="152"/>
        <v>0</v>
      </c>
      <c r="AJ1442">
        <f t="shared" si="153"/>
        <v>0</v>
      </c>
      <c r="AK1442">
        <v>0</v>
      </c>
      <c r="AL1442" t="str">
        <f>IF(AA1442="","",IFERROR(IF(ISNUMBER('Procyclean 130'!D443),'Procyclean 130'!D443,IF(ISNUMBER(SEARCH("12",'Procyclean 130'!D443)),EDATE(AB1442,12),IF(ISNUMBER(SEARCH("6",'Procyclean 130'!D443)),EDATE(AB1442,6),IF(ISNUMBER(SEARCH("3",'Procyclean 130'!D443)),EDATE(AB1442,3),DATEVALUE('Procyclean 130'!D443))))),""))</f>
        <v/>
      </c>
      <c r="AM1442" t="str">
        <f t="shared" ca="1" si="154"/>
        <v/>
      </c>
    </row>
    <row r="1443" spans="27:39" x14ac:dyDescent="0.3">
      <c r="AA1443" t="str">
        <f>IF(COUNTA('Procyclean 130'!A444,'Procyclean 130'!B444,'Procyclean 130'!C444)&gt;0,"130","")</f>
        <v/>
      </c>
      <c r="AB1443" t="str">
        <f>IFERROR(IF(ISNUMBER('Procyclean 130'!A444),'Procyclean 130'!A444,DATEVALUE('Procyclean 130'!A444)),"")</f>
        <v/>
      </c>
      <c r="AC1443" t="str">
        <f>IF(AA1443="","",'Procyclean 130'!B444)</f>
        <v/>
      </c>
      <c r="AD1443" t="str">
        <f>IF(AA1443="","",IFERROR(1*'Procyclean 130'!C444,IFERROR(_xludf.NUMBERVALUE('Procyclean 130'!C444,".",","),IFERROR(_xludf.NUMBERVALUE('Procyclean 130'!C444,",","."),0))))</f>
        <v/>
      </c>
      <c r="AE1443" t="str">
        <f>IF(AA1443="","",'Procyclean 130'!J444)</f>
        <v/>
      </c>
      <c r="AF1443">
        <f t="shared" si="149"/>
        <v>0</v>
      </c>
      <c r="AG1443" t="str">
        <f t="shared" si="150"/>
        <v/>
      </c>
      <c r="AH1443" t="str">
        <f t="shared" si="151"/>
        <v/>
      </c>
      <c r="AI1443">
        <f t="shared" si="152"/>
        <v>0</v>
      </c>
      <c r="AJ1443">
        <f t="shared" si="153"/>
        <v>0</v>
      </c>
      <c r="AK1443">
        <v>0</v>
      </c>
      <c r="AL1443" t="str">
        <f>IF(AA1443="","",IFERROR(IF(ISNUMBER('Procyclean 130'!D444),'Procyclean 130'!D444,IF(ISNUMBER(SEARCH("12",'Procyclean 130'!D444)),EDATE(AB1443,12),IF(ISNUMBER(SEARCH("6",'Procyclean 130'!D444)),EDATE(AB1443,6),IF(ISNUMBER(SEARCH("3",'Procyclean 130'!D444)),EDATE(AB1443,3),DATEVALUE('Procyclean 130'!D444))))),""))</f>
        <v/>
      </c>
      <c r="AM1443" t="str">
        <f t="shared" ca="1" si="154"/>
        <v/>
      </c>
    </row>
    <row r="1444" spans="27:39" x14ac:dyDescent="0.3">
      <c r="AA1444" t="str">
        <f>IF(COUNTA('Procyclean 130'!A445,'Procyclean 130'!B445,'Procyclean 130'!C445)&gt;0,"130","")</f>
        <v/>
      </c>
      <c r="AB1444" t="str">
        <f>IFERROR(IF(ISNUMBER('Procyclean 130'!A445),'Procyclean 130'!A445,DATEVALUE('Procyclean 130'!A445)),"")</f>
        <v/>
      </c>
      <c r="AC1444" t="str">
        <f>IF(AA1444="","",'Procyclean 130'!B445)</f>
        <v/>
      </c>
      <c r="AD1444" t="str">
        <f>IF(AA1444="","",IFERROR(1*'Procyclean 130'!C445,IFERROR(_xludf.NUMBERVALUE('Procyclean 130'!C445,".",","),IFERROR(_xludf.NUMBERVALUE('Procyclean 130'!C445,",","."),0))))</f>
        <v/>
      </c>
      <c r="AE1444" t="str">
        <f>IF(AA1444="","",'Procyclean 130'!J445)</f>
        <v/>
      </c>
      <c r="AF1444">
        <f t="shared" si="149"/>
        <v>0</v>
      </c>
      <c r="AG1444" t="str">
        <f t="shared" si="150"/>
        <v/>
      </c>
      <c r="AH1444" t="str">
        <f t="shared" si="151"/>
        <v/>
      </c>
      <c r="AI1444">
        <f t="shared" si="152"/>
        <v>0</v>
      </c>
      <c r="AJ1444">
        <f t="shared" si="153"/>
        <v>0</v>
      </c>
      <c r="AK1444">
        <v>0</v>
      </c>
      <c r="AL1444" t="str">
        <f>IF(AA1444="","",IFERROR(IF(ISNUMBER('Procyclean 130'!D445),'Procyclean 130'!D445,IF(ISNUMBER(SEARCH("12",'Procyclean 130'!D445)),EDATE(AB1444,12),IF(ISNUMBER(SEARCH("6",'Procyclean 130'!D445)),EDATE(AB1444,6),IF(ISNUMBER(SEARCH("3",'Procyclean 130'!D445)),EDATE(AB1444,3),DATEVALUE('Procyclean 130'!D445))))),""))</f>
        <v/>
      </c>
      <c r="AM1444" t="str">
        <f t="shared" ca="1" si="154"/>
        <v/>
      </c>
    </row>
    <row r="1445" spans="27:39" x14ac:dyDescent="0.3">
      <c r="AA1445" t="str">
        <f>IF(COUNTA('Procyclean 130'!A446,'Procyclean 130'!B446,'Procyclean 130'!C446)&gt;0,"130","")</f>
        <v/>
      </c>
      <c r="AB1445" t="str">
        <f>IFERROR(IF(ISNUMBER('Procyclean 130'!A446),'Procyclean 130'!A446,DATEVALUE('Procyclean 130'!A446)),"")</f>
        <v/>
      </c>
      <c r="AC1445" t="str">
        <f>IF(AA1445="","",'Procyclean 130'!B446)</f>
        <v/>
      </c>
      <c r="AD1445" t="str">
        <f>IF(AA1445="","",IFERROR(1*'Procyclean 130'!C446,IFERROR(_xludf.NUMBERVALUE('Procyclean 130'!C446,".",","),IFERROR(_xludf.NUMBERVALUE('Procyclean 130'!C446,",","."),0))))</f>
        <v/>
      </c>
      <c r="AE1445" t="str">
        <f>IF(AA1445="","",'Procyclean 130'!J446)</f>
        <v/>
      </c>
      <c r="AF1445">
        <f t="shared" si="149"/>
        <v>0</v>
      </c>
      <c r="AG1445" t="str">
        <f t="shared" si="150"/>
        <v/>
      </c>
      <c r="AH1445" t="str">
        <f t="shared" si="151"/>
        <v/>
      </c>
      <c r="AI1445">
        <f t="shared" si="152"/>
        <v>0</v>
      </c>
      <c r="AJ1445">
        <f t="shared" si="153"/>
        <v>0</v>
      </c>
      <c r="AK1445">
        <v>0</v>
      </c>
      <c r="AL1445" t="str">
        <f>IF(AA1445="","",IFERROR(IF(ISNUMBER('Procyclean 130'!D446),'Procyclean 130'!D446,IF(ISNUMBER(SEARCH("12",'Procyclean 130'!D446)),EDATE(AB1445,12),IF(ISNUMBER(SEARCH("6",'Procyclean 130'!D446)),EDATE(AB1445,6),IF(ISNUMBER(SEARCH("3",'Procyclean 130'!D446)),EDATE(AB1445,3),DATEVALUE('Procyclean 130'!D446))))),""))</f>
        <v/>
      </c>
      <c r="AM1445" t="str">
        <f t="shared" ca="1" si="154"/>
        <v/>
      </c>
    </row>
    <row r="1446" spans="27:39" x14ac:dyDescent="0.3">
      <c r="AA1446" t="str">
        <f>IF(COUNTA('Procyclean 130'!A447,'Procyclean 130'!B447,'Procyclean 130'!C447)&gt;0,"130","")</f>
        <v/>
      </c>
      <c r="AB1446" t="str">
        <f>IFERROR(IF(ISNUMBER('Procyclean 130'!A447),'Procyclean 130'!A447,DATEVALUE('Procyclean 130'!A447)),"")</f>
        <v/>
      </c>
      <c r="AC1446" t="str">
        <f>IF(AA1446="","",'Procyclean 130'!B447)</f>
        <v/>
      </c>
      <c r="AD1446" t="str">
        <f>IF(AA1446="","",IFERROR(1*'Procyclean 130'!C447,IFERROR(_xludf.NUMBERVALUE('Procyclean 130'!C447,".",","),IFERROR(_xludf.NUMBERVALUE('Procyclean 130'!C447,",","."),0))))</f>
        <v/>
      </c>
      <c r="AE1446" t="str">
        <f>IF(AA1446="","",'Procyclean 130'!J447)</f>
        <v/>
      </c>
      <c r="AF1446">
        <f t="shared" si="149"/>
        <v>0</v>
      </c>
      <c r="AG1446" t="str">
        <f t="shared" si="150"/>
        <v/>
      </c>
      <c r="AH1446" t="str">
        <f t="shared" si="151"/>
        <v/>
      </c>
      <c r="AI1446">
        <f t="shared" si="152"/>
        <v>0</v>
      </c>
      <c r="AJ1446">
        <f t="shared" si="153"/>
        <v>0</v>
      </c>
      <c r="AK1446">
        <v>0</v>
      </c>
      <c r="AL1446" t="str">
        <f>IF(AA1446="","",IFERROR(IF(ISNUMBER('Procyclean 130'!D447),'Procyclean 130'!D447,IF(ISNUMBER(SEARCH("12",'Procyclean 130'!D447)),EDATE(AB1446,12),IF(ISNUMBER(SEARCH("6",'Procyclean 130'!D447)),EDATE(AB1446,6),IF(ISNUMBER(SEARCH("3",'Procyclean 130'!D447)),EDATE(AB1446,3),DATEVALUE('Procyclean 130'!D447))))),""))</f>
        <v/>
      </c>
      <c r="AM1446" t="str">
        <f t="shared" ca="1" si="154"/>
        <v/>
      </c>
    </row>
    <row r="1447" spans="27:39" x14ac:dyDescent="0.3">
      <c r="AA1447" t="str">
        <f>IF(COUNTA('Procyclean 130'!A448,'Procyclean 130'!B448,'Procyclean 130'!C448)&gt;0,"130","")</f>
        <v/>
      </c>
      <c r="AB1447" t="str">
        <f>IFERROR(IF(ISNUMBER('Procyclean 130'!A448),'Procyclean 130'!A448,DATEVALUE('Procyclean 130'!A448)),"")</f>
        <v/>
      </c>
      <c r="AC1447" t="str">
        <f>IF(AA1447="","",'Procyclean 130'!B448)</f>
        <v/>
      </c>
      <c r="AD1447" t="str">
        <f>IF(AA1447="","",IFERROR(1*'Procyclean 130'!C448,IFERROR(_xludf.NUMBERVALUE('Procyclean 130'!C448,".",","),IFERROR(_xludf.NUMBERVALUE('Procyclean 130'!C448,",","."),0))))</f>
        <v/>
      </c>
      <c r="AE1447" t="str">
        <f>IF(AA1447="","",'Procyclean 130'!J448)</f>
        <v/>
      </c>
      <c r="AF1447">
        <f t="shared" si="149"/>
        <v>0</v>
      </c>
      <c r="AG1447" t="str">
        <f t="shared" si="150"/>
        <v/>
      </c>
      <c r="AH1447" t="str">
        <f t="shared" si="151"/>
        <v/>
      </c>
      <c r="AI1447">
        <f t="shared" si="152"/>
        <v>0</v>
      </c>
      <c r="AJ1447">
        <f t="shared" si="153"/>
        <v>0</v>
      </c>
      <c r="AK1447">
        <v>0</v>
      </c>
      <c r="AL1447" t="str">
        <f>IF(AA1447="","",IFERROR(IF(ISNUMBER('Procyclean 130'!D448),'Procyclean 130'!D448,IF(ISNUMBER(SEARCH("12",'Procyclean 130'!D448)),EDATE(AB1447,12),IF(ISNUMBER(SEARCH("6",'Procyclean 130'!D448)),EDATE(AB1447,6),IF(ISNUMBER(SEARCH("3",'Procyclean 130'!D448)),EDATE(AB1447,3),DATEVALUE('Procyclean 130'!D448))))),""))</f>
        <v/>
      </c>
      <c r="AM1447" t="str">
        <f t="shared" ca="1" si="154"/>
        <v/>
      </c>
    </row>
    <row r="1448" spans="27:39" x14ac:dyDescent="0.3">
      <c r="AA1448" t="str">
        <f>IF(COUNTA('Procyclean 130'!A449,'Procyclean 130'!B449,'Procyclean 130'!C449)&gt;0,"130","")</f>
        <v/>
      </c>
      <c r="AB1448" t="str">
        <f>IFERROR(IF(ISNUMBER('Procyclean 130'!A449),'Procyclean 130'!A449,DATEVALUE('Procyclean 130'!A449)),"")</f>
        <v/>
      </c>
      <c r="AC1448" t="str">
        <f>IF(AA1448="","",'Procyclean 130'!B449)</f>
        <v/>
      </c>
      <c r="AD1448" t="str">
        <f>IF(AA1448="","",IFERROR(1*'Procyclean 130'!C449,IFERROR(_xludf.NUMBERVALUE('Procyclean 130'!C449,".",","),IFERROR(_xludf.NUMBERVALUE('Procyclean 130'!C449,",","."),0))))</f>
        <v/>
      </c>
      <c r="AE1448" t="str">
        <f>IF(AA1448="","",'Procyclean 130'!J449)</f>
        <v/>
      </c>
      <c r="AF1448">
        <f t="shared" si="149"/>
        <v>0</v>
      </c>
      <c r="AG1448" t="str">
        <f t="shared" si="150"/>
        <v/>
      </c>
      <c r="AH1448" t="str">
        <f t="shared" si="151"/>
        <v/>
      </c>
      <c r="AI1448">
        <f t="shared" si="152"/>
        <v>0</v>
      </c>
      <c r="AJ1448">
        <f t="shared" si="153"/>
        <v>0</v>
      </c>
      <c r="AK1448">
        <v>0</v>
      </c>
      <c r="AL1448" t="str">
        <f>IF(AA1448="","",IFERROR(IF(ISNUMBER('Procyclean 130'!D449),'Procyclean 130'!D449,IF(ISNUMBER(SEARCH("12",'Procyclean 130'!D449)),EDATE(AB1448,12),IF(ISNUMBER(SEARCH("6",'Procyclean 130'!D449)),EDATE(AB1448,6),IF(ISNUMBER(SEARCH("3",'Procyclean 130'!D449)),EDATE(AB1448,3),DATEVALUE('Procyclean 130'!D449))))),""))</f>
        <v/>
      </c>
      <c r="AM1448" t="str">
        <f t="shared" ca="1" si="154"/>
        <v/>
      </c>
    </row>
    <row r="1449" spans="27:39" x14ac:dyDescent="0.3">
      <c r="AA1449" t="str">
        <f>IF(COUNTA('Procyclean 130'!A450,'Procyclean 130'!B450,'Procyclean 130'!C450)&gt;0,"130","")</f>
        <v/>
      </c>
      <c r="AB1449" t="str">
        <f>IFERROR(IF(ISNUMBER('Procyclean 130'!A450),'Procyclean 130'!A450,DATEVALUE('Procyclean 130'!A450)),"")</f>
        <v/>
      </c>
      <c r="AC1449" t="str">
        <f>IF(AA1449="","",'Procyclean 130'!B450)</f>
        <v/>
      </c>
      <c r="AD1449" t="str">
        <f>IF(AA1449="","",IFERROR(1*'Procyclean 130'!C450,IFERROR(_xludf.NUMBERVALUE('Procyclean 130'!C450,".",","),IFERROR(_xludf.NUMBERVALUE('Procyclean 130'!C450,",","."),0))))</f>
        <v/>
      </c>
      <c r="AE1449" t="str">
        <f>IF(AA1449="","",'Procyclean 130'!J450)</f>
        <v/>
      </c>
      <c r="AF1449">
        <f t="shared" si="149"/>
        <v>0</v>
      </c>
      <c r="AG1449" t="str">
        <f t="shared" si="150"/>
        <v/>
      </c>
      <c r="AH1449" t="str">
        <f t="shared" si="151"/>
        <v/>
      </c>
      <c r="AI1449">
        <f t="shared" si="152"/>
        <v>0</v>
      </c>
      <c r="AJ1449">
        <f t="shared" si="153"/>
        <v>0</v>
      </c>
      <c r="AK1449">
        <v>0</v>
      </c>
      <c r="AL1449" t="str">
        <f>IF(AA1449="","",IFERROR(IF(ISNUMBER('Procyclean 130'!D450),'Procyclean 130'!D450,IF(ISNUMBER(SEARCH("12",'Procyclean 130'!D450)),EDATE(AB1449,12),IF(ISNUMBER(SEARCH("6",'Procyclean 130'!D450)),EDATE(AB1449,6),IF(ISNUMBER(SEARCH("3",'Procyclean 130'!D450)),EDATE(AB1449,3),DATEVALUE('Procyclean 130'!D450))))),""))</f>
        <v/>
      </c>
      <c r="AM1449" t="str">
        <f t="shared" ca="1" si="154"/>
        <v/>
      </c>
    </row>
    <row r="1450" spans="27:39" x14ac:dyDescent="0.3">
      <c r="AA1450" t="str">
        <f>IF(COUNTA('Procyclean 130'!A451,'Procyclean 130'!B451,'Procyclean 130'!C451)&gt;0,"130","")</f>
        <v/>
      </c>
      <c r="AB1450" t="str">
        <f>IFERROR(IF(ISNUMBER('Procyclean 130'!A451),'Procyclean 130'!A451,DATEVALUE('Procyclean 130'!A451)),"")</f>
        <v/>
      </c>
      <c r="AC1450" t="str">
        <f>IF(AA1450="","",'Procyclean 130'!B451)</f>
        <v/>
      </c>
      <c r="AD1450" t="str">
        <f>IF(AA1450="","",IFERROR(1*'Procyclean 130'!C451,IFERROR(_xludf.NUMBERVALUE('Procyclean 130'!C451,".",","),IFERROR(_xludf.NUMBERVALUE('Procyclean 130'!C451,",","."),0))))</f>
        <v/>
      </c>
      <c r="AE1450" t="str">
        <f>IF(AA1450="","",'Procyclean 130'!J451)</f>
        <v/>
      </c>
      <c r="AF1450">
        <f t="shared" si="149"/>
        <v>0</v>
      </c>
      <c r="AG1450" t="str">
        <f t="shared" si="150"/>
        <v/>
      </c>
      <c r="AH1450" t="str">
        <f t="shared" si="151"/>
        <v/>
      </c>
      <c r="AI1450">
        <f t="shared" si="152"/>
        <v>0</v>
      </c>
      <c r="AJ1450">
        <f t="shared" si="153"/>
        <v>0</v>
      </c>
      <c r="AK1450">
        <v>0</v>
      </c>
      <c r="AL1450" t="str">
        <f>IF(AA1450="","",IFERROR(IF(ISNUMBER('Procyclean 130'!D451),'Procyclean 130'!D451,IF(ISNUMBER(SEARCH("12",'Procyclean 130'!D451)),EDATE(AB1450,12),IF(ISNUMBER(SEARCH("6",'Procyclean 130'!D451)),EDATE(AB1450,6),IF(ISNUMBER(SEARCH("3",'Procyclean 130'!D451)),EDATE(AB1450,3),DATEVALUE('Procyclean 130'!D451))))),""))</f>
        <v/>
      </c>
      <c r="AM1450" t="str">
        <f t="shared" ca="1" si="154"/>
        <v/>
      </c>
    </row>
    <row r="1451" spans="27:39" x14ac:dyDescent="0.3">
      <c r="AA1451" t="str">
        <f>IF(COUNTA('Procyclean 130'!A452,'Procyclean 130'!B452,'Procyclean 130'!C452)&gt;0,"130","")</f>
        <v/>
      </c>
      <c r="AB1451" t="str">
        <f>IFERROR(IF(ISNUMBER('Procyclean 130'!A452),'Procyclean 130'!A452,DATEVALUE('Procyclean 130'!A452)),"")</f>
        <v/>
      </c>
      <c r="AC1451" t="str">
        <f>IF(AA1451="","",'Procyclean 130'!B452)</f>
        <v/>
      </c>
      <c r="AD1451" t="str">
        <f>IF(AA1451="","",IFERROR(1*'Procyclean 130'!C452,IFERROR(_xludf.NUMBERVALUE('Procyclean 130'!C452,".",","),IFERROR(_xludf.NUMBERVALUE('Procyclean 130'!C452,",","."),0))))</f>
        <v/>
      </c>
      <c r="AE1451" t="str">
        <f>IF(AA1451="","",'Procyclean 130'!J452)</f>
        <v/>
      </c>
      <c r="AF1451">
        <f t="shared" si="149"/>
        <v>0</v>
      </c>
      <c r="AG1451" t="str">
        <f t="shared" si="150"/>
        <v/>
      </c>
      <c r="AH1451" t="str">
        <f t="shared" si="151"/>
        <v/>
      </c>
      <c r="AI1451">
        <f t="shared" si="152"/>
        <v>0</v>
      </c>
      <c r="AJ1451">
        <f t="shared" si="153"/>
        <v>0</v>
      </c>
      <c r="AK1451">
        <v>0</v>
      </c>
      <c r="AL1451" t="str">
        <f>IF(AA1451="","",IFERROR(IF(ISNUMBER('Procyclean 130'!D452),'Procyclean 130'!D452,IF(ISNUMBER(SEARCH("12",'Procyclean 130'!D452)),EDATE(AB1451,12),IF(ISNUMBER(SEARCH("6",'Procyclean 130'!D452)),EDATE(AB1451,6),IF(ISNUMBER(SEARCH("3",'Procyclean 130'!D452)),EDATE(AB1451,3),DATEVALUE('Procyclean 130'!D452))))),""))</f>
        <v/>
      </c>
      <c r="AM1451" t="str">
        <f t="shared" ca="1" si="154"/>
        <v/>
      </c>
    </row>
    <row r="1452" spans="27:39" x14ac:dyDescent="0.3">
      <c r="AA1452" t="str">
        <f>IF(COUNTA('Procyclean 130'!A453,'Procyclean 130'!B453,'Procyclean 130'!C453)&gt;0,"130","")</f>
        <v/>
      </c>
      <c r="AB1452" t="str">
        <f>IFERROR(IF(ISNUMBER('Procyclean 130'!A453),'Procyclean 130'!A453,DATEVALUE('Procyclean 130'!A453)),"")</f>
        <v/>
      </c>
      <c r="AC1452" t="str">
        <f>IF(AA1452="","",'Procyclean 130'!B453)</f>
        <v/>
      </c>
      <c r="AD1452" t="str">
        <f>IF(AA1452="","",IFERROR(1*'Procyclean 130'!C453,IFERROR(_xludf.NUMBERVALUE('Procyclean 130'!C453,".",","),IFERROR(_xludf.NUMBERVALUE('Procyclean 130'!C453,",","."),0))))</f>
        <v/>
      </c>
      <c r="AE1452" t="str">
        <f>IF(AA1452="","",'Procyclean 130'!J453)</f>
        <v/>
      </c>
      <c r="AF1452">
        <f t="shared" si="149"/>
        <v>0</v>
      </c>
      <c r="AG1452" t="str">
        <f t="shared" si="150"/>
        <v/>
      </c>
      <c r="AH1452" t="str">
        <f t="shared" si="151"/>
        <v/>
      </c>
      <c r="AI1452">
        <f t="shared" si="152"/>
        <v>0</v>
      </c>
      <c r="AJ1452">
        <f t="shared" si="153"/>
        <v>0</v>
      </c>
      <c r="AK1452">
        <v>0</v>
      </c>
      <c r="AL1452" t="str">
        <f>IF(AA1452="","",IFERROR(IF(ISNUMBER('Procyclean 130'!D453),'Procyclean 130'!D453,IF(ISNUMBER(SEARCH("12",'Procyclean 130'!D453)),EDATE(AB1452,12),IF(ISNUMBER(SEARCH("6",'Procyclean 130'!D453)),EDATE(AB1452,6),IF(ISNUMBER(SEARCH("3",'Procyclean 130'!D453)),EDATE(AB1452,3),DATEVALUE('Procyclean 130'!D453))))),""))</f>
        <v/>
      </c>
      <c r="AM1452" t="str">
        <f t="shared" ca="1" si="154"/>
        <v/>
      </c>
    </row>
    <row r="1453" spans="27:39" x14ac:dyDescent="0.3">
      <c r="AA1453" t="str">
        <f>IF(COUNTA('Procyclean 130'!A454,'Procyclean 130'!B454,'Procyclean 130'!C454)&gt;0,"130","")</f>
        <v/>
      </c>
      <c r="AB1453" t="str">
        <f>IFERROR(IF(ISNUMBER('Procyclean 130'!A454),'Procyclean 130'!A454,DATEVALUE('Procyclean 130'!A454)),"")</f>
        <v/>
      </c>
      <c r="AC1453" t="str">
        <f>IF(AA1453="","",'Procyclean 130'!B454)</f>
        <v/>
      </c>
      <c r="AD1453" t="str">
        <f>IF(AA1453="","",IFERROR(1*'Procyclean 130'!C454,IFERROR(_xludf.NUMBERVALUE('Procyclean 130'!C454,".",","),IFERROR(_xludf.NUMBERVALUE('Procyclean 130'!C454,",","."),0))))</f>
        <v/>
      </c>
      <c r="AE1453" t="str">
        <f>IF(AA1453="","",'Procyclean 130'!J454)</f>
        <v/>
      </c>
      <c r="AF1453">
        <f t="shared" si="149"/>
        <v>0</v>
      </c>
      <c r="AG1453" t="str">
        <f t="shared" si="150"/>
        <v/>
      </c>
      <c r="AH1453" t="str">
        <f t="shared" si="151"/>
        <v/>
      </c>
      <c r="AI1453">
        <f t="shared" si="152"/>
        <v>0</v>
      </c>
      <c r="AJ1453">
        <f t="shared" si="153"/>
        <v>0</v>
      </c>
      <c r="AK1453">
        <v>0</v>
      </c>
      <c r="AL1453" t="str">
        <f>IF(AA1453="","",IFERROR(IF(ISNUMBER('Procyclean 130'!D454),'Procyclean 130'!D454,IF(ISNUMBER(SEARCH("12",'Procyclean 130'!D454)),EDATE(AB1453,12),IF(ISNUMBER(SEARCH("6",'Procyclean 130'!D454)),EDATE(AB1453,6),IF(ISNUMBER(SEARCH("3",'Procyclean 130'!D454)),EDATE(AB1453,3),DATEVALUE('Procyclean 130'!D454))))),""))</f>
        <v/>
      </c>
      <c r="AM1453" t="str">
        <f t="shared" ca="1" si="154"/>
        <v/>
      </c>
    </row>
    <row r="1454" spans="27:39" x14ac:dyDescent="0.3">
      <c r="AA1454" t="str">
        <f>IF(COUNTA('Procyclean 130'!A455,'Procyclean 130'!B455,'Procyclean 130'!C455)&gt;0,"130","")</f>
        <v/>
      </c>
      <c r="AB1454" t="str">
        <f>IFERROR(IF(ISNUMBER('Procyclean 130'!A455),'Procyclean 130'!A455,DATEVALUE('Procyclean 130'!A455)),"")</f>
        <v/>
      </c>
      <c r="AC1454" t="str">
        <f>IF(AA1454="","",'Procyclean 130'!B455)</f>
        <v/>
      </c>
      <c r="AD1454" t="str">
        <f>IF(AA1454="","",IFERROR(1*'Procyclean 130'!C455,IFERROR(_xludf.NUMBERVALUE('Procyclean 130'!C455,".",","),IFERROR(_xludf.NUMBERVALUE('Procyclean 130'!C455,",","."),0))))</f>
        <v/>
      </c>
      <c r="AE1454" t="str">
        <f>IF(AA1454="","",'Procyclean 130'!J455)</f>
        <v/>
      </c>
      <c r="AF1454">
        <f t="shared" si="149"/>
        <v>0</v>
      </c>
      <c r="AG1454" t="str">
        <f t="shared" si="150"/>
        <v/>
      </c>
      <c r="AH1454" t="str">
        <f t="shared" si="151"/>
        <v/>
      </c>
      <c r="AI1454">
        <f t="shared" si="152"/>
        <v>0</v>
      </c>
      <c r="AJ1454">
        <f t="shared" si="153"/>
        <v>0</v>
      </c>
      <c r="AK1454">
        <v>0</v>
      </c>
      <c r="AL1454" t="str">
        <f>IF(AA1454="","",IFERROR(IF(ISNUMBER('Procyclean 130'!D455),'Procyclean 130'!D455,IF(ISNUMBER(SEARCH("12",'Procyclean 130'!D455)),EDATE(AB1454,12),IF(ISNUMBER(SEARCH("6",'Procyclean 130'!D455)),EDATE(AB1454,6),IF(ISNUMBER(SEARCH("3",'Procyclean 130'!D455)),EDATE(AB1454,3),DATEVALUE('Procyclean 130'!D455))))),""))</f>
        <v/>
      </c>
      <c r="AM1454" t="str">
        <f t="shared" ca="1" si="154"/>
        <v/>
      </c>
    </row>
    <row r="1455" spans="27:39" x14ac:dyDescent="0.3">
      <c r="AA1455" t="str">
        <f>IF(COUNTA('Procyclean 130'!A456,'Procyclean 130'!B456,'Procyclean 130'!C456)&gt;0,"130","")</f>
        <v/>
      </c>
      <c r="AB1455" t="str">
        <f>IFERROR(IF(ISNUMBER('Procyclean 130'!A456),'Procyclean 130'!A456,DATEVALUE('Procyclean 130'!A456)),"")</f>
        <v/>
      </c>
      <c r="AC1455" t="str">
        <f>IF(AA1455="","",'Procyclean 130'!B456)</f>
        <v/>
      </c>
      <c r="AD1455" t="str">
        <f>IF(AA1455="","",IFERROR(1*'Procyclean 130'!C456,IFERROR(_xludf.NUMBERVALUE('Procyclean 130'!C456,".",","),IFERROR(_xludf.NUMBERVALUE('Procyclean 130'!C456,",","."),0))))</f>
        <v/>
      </c>
      <c r="AE1455" t="str">
        <f>IF(AA1455="","",'Procyclean 130'!J456)</f>
        <v/>
      </c>
      <c r="AF1455">
        <f t="shared" si="149"/>
        <v>0</v>
      </c>
      <c r="AG1455" t="str">
        <f t="shared" si="150"/>
        <v/>
      </c>
      <c r="AH1455" t="str">
        <f t="shared" si="151"/>
        <v/>
      </c>
      <c r="AI1455">
        <f t="shared" si="152"/>
        <v>0</v>
      </c>
      <c r="AJ1455">
        <f t="shared" si="153"/>
        <v>0</v>
      </c>
      <c r="AK1455">
        <v>0</v>
      </c>
      <c r="AL1455" t="str">
        <f>IF(AA1455="","",IFERROR(IF(ISNUMBER('Procyclean 130'!D456),'Procyclean 130'!D456,IF(ISNUMBER(SEARCH("12",'Procyclean 130'!D456)),EDATE(AB1455,12),IF(ISNUMBER(SEARCH("6",'Procyclean 130'!D456)),EDATE(AB1455,6),IF(ISNUMBER(SEARCH("3",'Procyclean 130'!D456)),EDATE(AB1455,3),DATEVALUE('Procyclean 130'!D456))))),""))</f>
        <v/>
      </c>
      <c r="AM1455" t="str">
        <f t="shared" ca="1" si="154"/>
        <v/>
      </c>
    </row>
    <row r="1456" spans="27:39" x14ac:dyDescent="0.3">
      <c r="AA1456" t="str">
        <f>IF(COUNTA('Procyclean 130'!A457,'Procyclean 130'!B457,'Procyclean 130'!C457)&gt;0,"130","")</f>
        <v/>
      </c>
      <c r="AB1456" t="str">
        <f>IFERROR(IF(ISNUMBER('Procyclean 130'!A457),'Procyclean 130'!A457,DATEVALUE('Procyclean 130'!A457)),"")</f>
        <v/>
      </c>
      <c r="AC1456" t="str">
        <f>IF(AA1456="","",'Procyclean 130'!B457)</f>
        <v/>
      </c>
      <c r="AD1456" t="str">
        <f>IF(AA1456="","",IFERROR(1*'Procyclean 130'!C457,IFERROR(_xludf.NUMBERVALUE('Procyclean 130'!C457,".",","),IFERROR(_xludf.NUMBERVALUE('Procyclean 130'!C457,",","."),0))))</f>
        <v/>
      </c>
      <c r="AE1456" t="str">
        <f>IF(AA1456="","",'Procyclean 130'!J457)</f>
        <v/>
      </c>
      <c r="AF1456">
        <f t="shared" si="149"/>
        <v>0</v>
      </c>
      <c r="AG1456" t="str">
        <f t="shared" si="150"/>
        <v/>
      </c>
      <c r="AH1456" t="str">
        <f t="shared" si="151"/>
        <v/>
      </c>
      <c r="AI1456">
        <f t="shared" si="152"/>
        <v>0</v>
      </c>
      <c r="AJ1456">
        <f t="shared" si="153"/>
        <v>0</v>
      </c>
      <c r="AK1456">
        <v>0</v>
      </c>
      <c r="AL1456" t="str">
        <f>IF(AA1456="","",IFERROR(IF(ISNUMBER('Procyclean 130'!D457),'Procyclean 130'!D457,IF(ISNUMBER(SEARCH("12",'Procyclean 130'!D457)),EDATE(AB1456,12),IF(ISNUMBER(SEARCH("6",'Procyclean 130'!D457)),EDATE(AB1456,6),IF(ISNUMBER(SEARCH("3",'Procyclean 130'!D457)),EDATE(AB1456,3),DATEVALUE('Procyclean 130'!D457))))),""))</f>
        <v/>
      </c>
      <c r="AM1456" t="str">
        <f t="shared" ca="1" si="154"/>
        <v/>
      </c>
    </row>
    <row r="1457" spans="27:39" x14ac:dyDescent="0.3">
      <c r="AA1457" t="str">
        <f>IF(COUNTA('Procyclean 130'!A458,'Procyclean 130'!B458,'Procyclean 130'!C458)&gt;0,"130","")</f>
        <v/>
      </c>
      <c r="AB1457" t="str">
        <f>IFERROR(IF(ISNUMBER('Procyclean 130'!A458),'Procyclean 130'!A458,DATEVALUE('Procyclean 130'!A458)),"")</f>
        <v/>
      </c>
      <c r="AC1457" t="str">
        <f>IF(AA1457="","",'Procyclean 130'!B458)</f>
        <v/>
      </c>
      <c r="AD1457" t="str">
        <f>IF(AA1457="","",IFERROR(1*'Procyclean 130'!C458,IFERROR(_xludf.NUMBERVALUE('Procyclean 130'!C458,".",","),IFERROR(_xludf.NUMBERVALUE('Procyclean 130'!C458,",","."),0))))</f>
        <v/>
      </c>
      <c r="AE1457" t="str">
        <f>IF(AA1457="","",'Procyclean 130'!J458)</f>
        <v/>
      </c>
      <c r="AF1457">
        <f t="shared" si="149"/>
        <v>0</v>
      </c>
      <c r="AG1457" t="str">
        <f t="shared" si="150"/>
        <v/>
      </c>
      <c r="AH1457" t="str">
        <f t="shared" si="151"/>
        <v/>
      </c>
      <c r="AI1457">
        <f t="shared" si="152"/>
        <v>0</v>
      </c>
      <c r="AJ1457">
        <f t="shared" si="153"/>
        <v>0</v>
      </c>
      <c r="AK1457">
        <v>0</v>
      </c>
      <c r="AL1457" t="str">
        <f>IF(AA1457="","",IFERROR(IF(ISNUMBER('Procyclean 130'!D458),'Procyclean 130'!D458,IF(ISNUMBER(SEARCH("12",'Procyclean 130'!D458)),EDATE(AB1457,12),IF(ISNUMBER(SEARCH("6",'Procyclean 130'!D458)),EDATE(AB1457,6),IF(ISNUMBER(SEARCH("3",'Procyclean 130'!D458)),EDATE(AB1457,3),DATEVALUE('Procyclean 130'!D458))))),""))</f>
        <v/>
      </c>
      <c r="AM1457" t="str">
        <f t="shared" ca="1" si="154"/>
        <v/>
      </c>
    </row>
    <row r="1458" spans="27:39" x14ac:dyDescent="0.3">
      <c r="AA1458" t="str">
        <f>IF(COUNTA('Procyclean 130'!A459,'Procyclean 130'!B459,'Procyclean 130'!C459)&gt;0,"130","")</f>
        <v/>
      </c>
      <c r="AB1458" t="str">
        <f>IFERROR(IF(ISNUMBER('Procyclean 130'!A459),'Procyclean 130'!A459,DATEVALUE('Procyclean 130'!A459)),"")</f>
        <v/>
      </c>
      <c r="AC1458" t="str">
        <f>IF(AA1458="","",'Procyclean 130'!B459)</f>
        <v/>
      </c>
      <c r="AD1458" t="str">
        <f>IF(AA1458="","",IFERROR(1*'Procyclean 130'!C459,IFERROR(_xludf.NUMBERVALUE('Procyclean 130'!C459,".",","),IFERROR(_xludf.NUMBERVALUE('Procyclean 130'!C459,",","."),0))))</f>
        <v/>
      </c>
      <c r="AE1458" t="str">
        <f>IF(AA1458="","",'Procyclean 130'!J459)</f>
        <v/>
      </c>
      <c r="AF1458">
        <f t="shared" si="149"/>
        <v>0</v>
      </c>
      <c r="AG1458" t="str">
        <f t="shared" si="150"/>
        <v/>
      </c>
      <c r="AH1458" t="str">
        <f t="shared" si="151"/>
        <v/>
      </c>
      <c r="AI1458">
        <f t="shared" si="152"/>
        <v>0</v>
      </c>
      <c r="AJ1458">
        <f t="shared" si="153"/>
        <v>0</v>
      </c>
      <c r="AK1458">
        <v>0</v>
      </c>
      <c r="AL1458" t="str">
        <f>IF(AA1458="","",IFERROR(IF(ISNUMBER('Procyclean 130'!D459),'Procyclean 130'!D459,IF(ISNUMBER(SEARCH("12",'Procyclean 130'!D459)),EDATE(AB1458,12),IF(ISNUMBER(SEARCH("6",'Procyclean 130'!D459)),EDATE(AB1458,6),IF(ISNUMBER(SEARCH("3",'Procyclean 130'!D459)),EDATE(AB1458,3),DATEVALUE('Procyclean 130'!D459))))),""))</f>
        <v/>
      </c>
      <c r="AM1458" t="str">
        <f t="shared" ca="1" si="154"/>
        <v/>
      </c>
    </row>
    <row r="1459" spans="27:39" x14ac:dyDescent="0.3">
      <c r="AA1459" t="str">
        <f>IF(COUNTA('Procyclean 130'!A460,'Procyclean 130'!B460,'Procyclean 130'!C460)&gt;0,"130","")</f>
        <v/>
      </c>
      <c r="AB1459" t="str">
        <f>IFERROR(IF(ISNUMBER('Procyclean 130'!A460),'Procyclean 130'!A460,DATEVALUE('Procyclean 130'!A460)),"")</f>
        <v/>
      </c>
      <c r="AC1459" t="str">
        <f>IF(AA1459="","",'Procyclean 130'!B460)</f>
        <v/>
      </c>
      <c r="AD1459" t="str">
        <f>IF(AA1459="","",IFERROR(1*'Procyclean 130'!C460,IFERROR(_xludf.NUMBERVALUE('Procyclean 130'!C460,".",","),IFERROR(_xludf.NUMBERVALUE('Procyclean 130'!C460,",","."),0))))</f>
        <v/>
      </c>
      <c r="AE1459" t="str">
        <f>IF(AA1459="","",'Procyclean 130'!J460)</f>
        <v/>
      </c>
      <c r="AF1459">
        <f t="shared" si="149"/>
        <v>0</v>
      </c>
      <c r="AG1459" t="str">
        <f t="shared" si="150"/>
        <v/>
      </c>
      <c r="AH1459" t="str">
        <f t="shared" si="151"/>
        <v/>
      </c>
      <c r="AI1459">
        <f t="shared" si="152"/>
        <v>0</v>
      </c>
      <c r="AJ1459">
        <f t="shared" si="153"/>
        <v>0</v>
      </c>
      <c r="AK1459">
        <v>0</v>
      </c>
      <c r="AL1459" t="str">
        <f>IF(AA1459="","",IFERROR(IF(ISNUMBER('Procyclean 130'!D460),'Procyclean 130'!D460,IF(ISNUMBER(SEARCH("12",'Procyclean 130'!D460)),EDATE(AB1459,12),IF(ISNUMBER(SEARCH("6",'Procyclean 130'!D460)),EDATE(AB1459,6),IF(ISNUMBER(SEARCH("3",'Procyclean 130'!D460)),EDATE(AB1459,3),DATEVALUE('Procyclean 130'!D460))))),""))</f>
        <v/>
      </c>
      <c r="AM1459" t="str">
        <f t="shared" ca="1" si="154"/>
        <v/>
      </c>
    </row>
    <row r="1460" spans="27:39" x14ac:dyDescent="0.3">
      <c r="AA1460" t="str">
        <f>IF(COUNTA('Procyclean 130'!A461,'Procyclean 130'!B461,'Procyclean 130'!C461)&gt;0,"130","")</f>
        <v/>
      </c>
      <c r="AB1460" t="str">
        <f>IFERROR(IF(ISNUMBER('Procyclean 130'!A461),'Procyclean 130'!A461,DATEVALUE('Procyclean 130'!A461)),"")</f>
        <v/>
      </c>
      <c r="AC1460" t="str">
        <f>IF(AA1460="","",'Procyclean 130'!B461)</f>
        <v/>
      </c>
      <c r="AD1460" t="str">
        <f>IF(AA1460="","",IFERROR(1*'Procyclean 130'!C461,IFERROR(_xludf.NUMBERVALUE('Procyclean 130'!C461,".",","),IFERROR(_xludf.NUMBERVALUE('Procyclean 130'!C461,",","."),0))))</f>
        <v/>
      </c>
      <c r="AE1460" t="str">
        <f>IF(AA1460="","",'Procyclean 130'!J461)</f>
        <v/>
      </c>
      <c r="AF1460">
        <f t="shared" si="149"/>
        <v>0</v>
      </c>
      <c r="AG1460" t="str">
        <f t="shared" si="150"/>
        <v/>
      </c>
      <c r="AH1460" t="str">
        <f t="shared" si="151"/>
        <v/>
      </c>
      <c r="AI1460">
        <f t="shared" si="152"/>
        <v>0</v>
      </c>
      <c r="AJ1460">
        <f t="shared" si="153"/>
        <v>0</v>
      </c>
      <c r="AK1460">
        <v>0</v>
      </c>
      <c r="AL1460" t="str">
        <f>IF(AA1460="","",IFERROR(IF(ISNUMBER('Procyclean 130'!D461),'Procyclean 130'!D461,IF(ISNUMBER(SEARCH("12",'Procyclean 130'!D461)),EDATE(AB1460,12),IF(ISNUMBER(SEARCH("6",'Procyclean 130'!D461)),EDATE(AB1460,6),IF(ISNUMBER(SEARCH("3",'Procyclean 130'!D461)),EDATE(AB1460,3),DATEVALUE('Procyclean 130'!D461))))),""))</f>
        <v/>
      </c>
      <c r="AM1460" t="str">
        <f t="shared" ca="1" si="154"/>
        <v/>
      </c>
    </row>
    <row r="1461" spans="27:39" x14ac:dyDescent="0.3">
      <c r="AA1461" t="str">
        <f>IF(COUNTA('Procyclean 130'!A462,'Procyclean 130'!B462,'Procyclean 130'!C462)&gt;0,"130","")</f>
        <v/>
      </c>
      <c r="AB1461" t="str">
        <f>IFERROR(IF(ISNUMBER('Procyclean 130'!A462),'Procyclean 130'!A462,DATEVALUE('Procyclean 130'!A462)),"")</f>
        <v/>
      </c>
      <c r="AC1461" t="str">
        <f>IF(AA1461="","",'Procyclean 130'!B462)</f>
        <v/>
      </c>
      <c r="AD1461" t="str">
        <f>IF(AA1461="","",IFERROR(1*'Procyclean 130'!C462,IFERROR(_xludf.NUMBERVALUE('Procyclean 130'!C462,".",","),IFERROR(_xludf.NUMBERVALUE('Procyclean 130'!C462,",","."),0))))</f>
        <v/>
      </c>
      <c r="AE1461" t="str">
        <f>IF(AA1461="","",'Procyclean 130'!J462)</f>
        <v/>
      </c>
      <c r="AF1461">
        <f t="shared" si="149"/>
        <v>0</v>
      </c>
      <c r="AG1461" t="str">
        <f t="shared" si="150"/>
        <v/>
      </c>
      <c r="AH1461" t="str">
        <f t="shared" si="151"/>
        <v/>
      </c>
      <c r="AI1461">
        <f t="shared" si="152"/>
        <v>0</v>
      </c>
      <c r="AJ1461">
        <f t="shared" si="153"/>
        <v>0</v>
      </c>
      <c r="AK1461">
        <v>0</v>
      </c>
      <c r="AL1461" t="str">
        <f>IF(AA1461="","",IFERROR(IF(ISNUMBER('Procyclean 130'!D462),'Procyclean 130'!D462,IF(ISNUMBER(SEARCH("12",'Procyclean 130'!D462)),EDATE(AB1461,12),IF(ISNUMBER(SEARCH("6",'Procyclean 130'!D462)),EDATE(AB1461,6),IF(ISNUMBER(SEARCH("3",'Procyclean 130'!D462)),EDATE(AB1461,3),DATEVALUE('Procyclean 130'!D462))))),""))</f>
        <v/>
      </c>
      <c r="AM1461" t="str">
        <f t="shared" ca="1" si="154"/>
        <v/>
      </c>
    </row>
    <row r="1462" spans="27:39" x14ac:dyDescent="0.3">
      <c r="AA1462" t="str">
        <f>IF(COUNTA('Procyclean 130'!A463,'Procyclean 130'!B463,'Procyclean 130'!C463)&gt;0,"130","")</f>
        <v/>
      </c>
      <c r="AB1462" t="str">
        <f>IFERROR(IF(ISNUMBER('Procyclean 130'!A463),'Procyclean 130'!A463,DATEVALUE('Procyclean 130'!A463)),"")</f>
        <v/>
      </c>
      <c r="AC1462" t="str">
        <f>IF(AA1462="","",'Procyclean 130'!B463)</f>
        <v/>
      </c>
      <c r="AD1462" t="str">
        <f>IF(AA1462="","",IFERROR(1*'Procyclean 130'!C463,IFERROR(_xludf.NUMBERVALUE('Procyclean 130'!C463,".",","),IFERROR(_xludf.NUMBERVALUE('Procyclean 130'!C463,",","."),0))))</f>
        <v/>
      </c>
      <c r="AE1462" t="str">
        <f>IF(AA1462="","",'Procyclean 130'!J463)</f>
        <v/>
      </c>
      <c r="AF1462">
        <f t="shared" si="149"/>
        <v>0</v>
      </c>
      <c r="AG1462" t="str">
        <f t="shared" si="150"/>
        <v/>
      </c>
      <c r="AH1462" t="str">
        <f t="shared" si="151"/>
        <v/>
      </c>
      <c r="AI1462">
        <f t="shared" si="152"/>
        <v>0</v>
      </c>
      <c r="AJ1462">
        <f t="shared" si="153"/>
        <v>0</v>
      </c>
      <c r="AK1462">
        <v>0</v>
      </c>
      <c r="AL1462" t="str">
        <f>IF(AA1462="","",IFERROR(IF(ISNUMBER('Procyclean 130'!D463),'Procyclean 130'!D463,IF(ISNUMBER(SEARCH("12",'Procyclean 130'!D463)),EDATE(AB1462,12),IF(ISNUMBER(SEARCH("6",'Procyclean 130'!D463)),EDATE(AB1462,6),IF(ISNUMBER(SEARCH("3",'Procyclean 130'!D463)),EDATE(AB1462,3),DATEVALUE('Procyclean 130'!D463))))),""))</f>
        <v/>
      </c>
      <c r="AM1462" t="str">
        <f t="shared" ca="1" si="154"/>
        <v/>
      </c>
    </row>
    <row r="1463" spans="27:39" x14ac:dyDescent="0.3">
      <c r="AA1463" t="str">
        <f>IF(COUNTA('Procyclean 130'!A464,'Procyclean 130'!B464,'Procyclean 130'!C464)&gt;0,"130","")</f>
        <v/>
      </c>
      <c r="AB1463" t="str">
        <f>IFERROR(IF(ISNUMBER('Procyclean 130'!A464),'Procyclean 130'!A464,DATEVALUE('Procyclean 130'!A464)),"")</f>
        <v/>
      </c>
      <c r="AC1463" t="str">
        <f>IF(AA1463="","",'Procyclean 130'!B464)</f>
        <v/>
      </c>
      <c r="AD1463" t="str">
        <f>IF(AA1463="","",IFERROR(1*'Procyclean 130'!C464,IFERROR(_xludf.NUMBERVALUE('Procyclean 130'!C464,".",","),IFERROR(_xludf.NUMBERVALUE('Procyclean 130'!C464,",","."),0))))</f>
        <v/>
      </c>
      <c r="AE1463" t="str">
        <f>IF(AA1463="","",'Procyclean 130'!J464)</f>
        <v/>
      </c>
      <c r="AF1463">
        <f t="shared" si="149"/>
        <v>0</v>
      </c>
      <c r="AG1463" t="str">
        <f t="shared" si="150"/>
        <v/>
      </c>
      <c r="AH1463" t="str">
        <f t="shared" si="151"/>
        <v/>
      </c>
      <c r="AI1463">
        <f t="shared" si="152"/>
        <v>0</v>
      </c>
      <c r="AJ1463">
        <f t="shared" si="153"/>
        <v>0</v>
      </c>
      <c r="AK1463">
        <v>0</v>
      </c>
      <c r="AL1463" t="str">
        <f>IF(AA1463="","",IFERROR(IF(ISNUMBER('Procyclean 130'!D464),'Procyclean 130'!D464,IF(ISNUMBER(SEARCH("12",'Procyclean 130'!D464)),EDATE(AB1463,12),IF(ISNUMBER(SEARCH("6",'Procyclean 130'!D464)),EDATE(AB1463,6),IF(ISNUMBER(SEARCH("3",'Procyclean 130'!D464)),EDATE(AB1463,3),DATEVALUE('Procyclean 130'!D464))))),""))</f>
        <v/>
      </c>
      <c r="AM1463" t="str">
        <f t="shared" ca="1" si="154"/>
        <v/>
      </c>
    </row>
    <row r="1464" spans="27:39" x14ac:dyDescent="0.3">
      <c r="AA1464" t="str">
        <f>IF(COUNTA('Procyclean 130'!A465,'Procyclean 130'!B465,'Procyclean 130'!C465)&gt;0,"130","")</f>
        <v/>
      </c>
      <c r="AB1464" t="str">
        <f>IFERROR(IF(ISNUMBER('Procyclean 130'!A465),'Procyclean 130'!A465,DATEVALUE('Procyclean 130'!A465)),"")</f>
        <v/>
      </c>
      <c r="AC1464" t="str">
        <f>IF(AA1464="","",'Procyclean 130'!B465)</f>
        <v/>
      </c>
      <c r="AD1464" t="str">
        <f>IF(AA1464="","",IFERROR(1*'Procyclean 130'!C465,IFERROR(_xludf.NUMBERVALUE('Procyclean 130'!C465,".",","),IFERROR(_xludf.NUMBERVALUE('Procyclean 130'!C465,",","."),0))))</f>
        <v/>
      </c>
      <c r="AE1464" t="str">
        <f>IF(AA1464="","",'Procyclean 130'!J465)</f>
        <v/>
      </c>
      <c r="AF1464">
        <f t="shared" si="149"/>
        <v>0</v>
      </c>
      <c r="AG1464" t="str">
        <f t="shared" si="150"/>
        <v/>
      </c>
      <c r="AH1464" t="str">
        <f t="shared" si="151"/>
        <v/>
      </c>
      <c r="AI1464">
        <f t="shared" si="152"/>
        <v>0</v>
      </c>
      <c r="AJ1464">
        <f t="shared" si="153"/>
        <v>0</v>
      </c>
      <c r="AK1464">
        <v>0</v>
      </c>
      <c r="AL1464" t="str">
        <f>IF(AA1464="","",IFERROR(IF(ISNUMBER('Procyclean 130'!D465),'Procyclean 130'!D465,IF(ISNUMBER(SEARCH("12",'Procyclean 130'!D465)),EDATE(AB1464,12),IF(ISNUMBER(SEARCH("6",'Procyclean 130'!D465)),EDATE(AB1464,6),IF(ISNUMBER(SEARCH("3",'Procyclean 130'!D465)),EDATE(AB1464,3),DATEVALUE('Procyclean 130'!D465))))),""))</f>
        <v/>
      </c>
      <c r="AM1464" t="str">
        <f t="shared" ca="1" si="154"/>
        <v/>
      </c>
    </row>
    <row r="1465" spans="27:39" x14ac:dyDescent="0.3">
      <c r="AA1465" t="str">
        <f>IF(COUNTA('Procyclean 130'!A466,'Procyclean 130'!B466,'Procyclean 130'!C466)&gt;0,"130","")</f>
        <v/>
      </c>
      <c r="AB1465" t="str">
        <f>IFERROR(IF(ISNUMBER('Procyclean 130'!A466),'Procyclean 130'!A466,DATEVALUE('Procyclean 130'!A466)),"")</f>
        <v/>
      </c>
      <c r="AC1465" t="str">
        <f>IF(AA1465="","",'Procyclean 130'!B466)</f>
        <v/>
      </c>
      <c r="AD1465" t="str">
        <f>IF(AA1465="","",IFERROR(1*'Procyclean 130'!C466,IFERROR(_xludf.NUMBERVALUE('Procyclean 130'!C466,".",","),IFERROR(_xludf.NUMBERVALUE('Procyclean 130'!C466,",","."),0))))</f>
        <v/>
      </c>
      <c r="AE1465" t="str">
        <f>IF(AA1465="","",'Procyclean 130'!J466)</f>
        <v/>
      </c>
      <c r="AF1465">
        <f t="shared" si="149"/>
        <v>0</v>
      </c>
      <c r="AG1465" t="str">
        <f t="shared" si="150"/>
        <v/>
      </c>
      <c r="AH1465" t="str">
        <f t="shared" si="151"/>
        <v/>
      </c>
      <c r="AI1465">
        <f t="shared" si="152"/>
        <v>0</v>
      </c>
      <c r="AJ1465">
        <f t="shared" si="153"/>
        <v>0</v>
      </c>
      <c r="AK1465">
        <v>0</v>
      </c>
      <c r="AL1465" t="str">
        <f>IF(AA1465="","",IFERROR(IF(ISNUMBER('Procyclean 130'!D466),'Procyclean 130'!D466,IF(ISNUMBER(SEARCH("12",'Procyclean 130'!D466)),EDATE(AB1465,12),IF(ISNUMBER(SEARCH("6",'Procyclean 130'!D466)),EDATE(AB1465,6),IF(ISNUMBER(SEARCH("3",'Procyclean 130'!D466)),EDATE(AB1465,3),DATEVALUE('Procyclean 130'!D466))))),""))</f>
        <v/>
      </c>
      <c r="AM1465" t="str">
        <f t="shared" ca="1" si="154"/>
        <v/>
      </c>
    </row>
    <row r="1466" spans="27:39" x14ac:dyDescent="0.3">
      <c r="AA1466" t="str">
        <f>IF(COUNTA('Procyclean 130'!A467,'Procyclean 130'!B467,'Procyclean 130'!C467)&gt;0,"130","")</f>
        <v/>
      </c>
      <c r="AB1466" t="str">
        <f>IFERROR(IF(ISNUMBER('Procyclean 130'!A467),'Procyclean 130'!A467,DATEVALUE('Procyclean 130'!A467)),"")</f>
        <v/>
      </c>
      <c r="AC1466" t="str">
        <f>IF(AA1466="","",'Procyclean 130'!B467)</f>
        <v/>
      </c>
      <c r="AD1466" t="str">
        <f>IF(AA1466="","",IFERROR(1*'Procyclean 130'!C467,IFERROR(_xludf.NUMBERVALUE('Procyclean 130'!C467,".",","),IFERROR(_xludf.NUMBERVALUE('Procyclean 130'!C467,",","."),0))))</f>
        <v/>
      </c>
      <c r="AE1466" t="str">
        <f>IF(AA1466="","",'Procyclean 130'!J467)</f>
        <v/>
      </c>
      <c r="AF1466">
        <f t="shared" si="149"/>
        <v>0</v>
      </c>
      <c r="AG1466" t="str">
        <f t="shared" si="150"/>
        <v/>
      </c>
      <c r="AH1466" t="str">
        <f t="shared" si="151"/>
        <v/>
      </c>
      <c r="AI1466">
        <f t="shared" si="152"/>
        <v>0</v>
      </c>
      <c r="AJ1466">
        <f t="shared" si="153"/>
        <v>0</v>
      </c>
      <c r="AK1466">
        <v>0</v>
      </c>
      <c r="AL1466" t="str">
        <f>IF(AA1466="","",IFERROR(IF(ISNUMBER('Procyclean 130'!D467),'Procyclean 130'!D467,IF(ISNUMBER(SEARCH("12",'Procyclean 130'!D467)),EDATE(AB1466,12),IF(ISNUMBER(SEARCH("6",'Procyclean 130'!D467)),EDATE(AB1466,6),IF(ISNUMBER(SEARCH("3",'Procyclean 130'!D467)),EDATE(AB1466,3),DATEVALUE('Procyclean 130'!D467))))),""))</f>
        <v/>
      </c>
      <c r="AM1466" t="str">
        <f t="shared" ca="1" si="154"/>
        <v/>
      </c>
    </row>
    <row r="1467" spans="27:39" x14ac:dyDescent="0.3">
      <c r="AA1467" t="str">
        <f>IF(COUNTA('Procyclean 130'!A468,'Procyclean 130'!B468,'Procyclean 130'!C468)&gt;0,"130","")</f>
        <v/>
      </c>
      <c r="AB1467" t="str">
        <f>IFERROR(IF(ISNUMBER('Procyclean 130'!A468),'Procyclean 130'!A468,DATEVALUE('Procyclean 130'!A468)),"")</f>
        <v/>
      </c>
      <c r="AC1467" t="str">
        <f>IF(AA1467="","",'Procyclean 130'!B468)</f>
        <v/>
      </c>
      <c r="AD1467" t="str">
        <f>IF(AA1467="","",IFERROR(1*'Procyclean 130'!C468,IFERROR(_xludf.NUMBERVALUE('Procyclean 130'!C468,".",","),IFERROR(_xludf.NUMBERVALUE('Procyclean 130'!C468,",","."),0))))</f>
        <v/>
      </c>
      <c r="AE1467" t="str">
        <f>IF(AA1467="","",'Procyclean 130'!J468)</f>
        <v/>
      </c>
      <c r="AF1467">
        <f t="shared" si="149"/>
        <v>0</v>
      </c>
      <c r="AG1467" t="str">
        <f t="shared" si="150"/>
        <v/>
      </c>
      <c r="AH1467" t="str">
        <f t="shared" si="151"/>
        <v/>
      </c>
      <c r="AI1467">
        <f t="shared" si="152"/>
        <v>0</v>
      </c>
      <c r="AJ1467">
        <f t="shared" si="153"/>
        <v>0</v>
      </c>
      <c r="AK1467">
        <v>0</v>
      </c>
      <c r="AL1467" t="str">
        <f>IF(AA1467="","",IFERROR(IF(ISNUMBER('Procyclean 130'!D468),'Procyclean 130'!D468,IF(ISNUMBER(SEARCH("12",'Procyclean 130'!D468)),EDATE(AB1467,12),IF(ISNUMBER(SEARCH("6",'Procyclean 130'!D468)),EDATE(AB1467,6),IF(ISNUMBER(SEARCH("3",'Procyclean 130'!D468)),EDATE(AB1467,3),DATEVALUE('Procyclean 130'!D468))))),""))</f>
        <v/>
      </c>
      <c r="AM1467" t="str">
        <f t="shared" ca="1" si="154"/>
        <v/>
      </c>
    </row>
    <row r="1468" spans="27:39" x14ac:dyDescent="0.3">
      <c r="AA1468" t="str">
        <f>IF(COUNTA('Procyclean 130'!A469,'Procyclean 130'!B469,'Procyclean 130'!C469)&gt;0,"130","")</f>
        <v/>
      </c>
      <c r="AB1468" t="str">
        <f>IFERROR(IF(ISNUMBER('Procyclean 130'!A469),'Procyclean 130'!A469,DATEVALUE('Procyclean 130'!A469)),"")</f>
        <v/>
      </c>
      <c r="AC1468" t="str">
        <f>IF(AA1468="","",'Procyclean 130'!B469)</f>
        <v/>
      </c>
      <c r="AD1468" t="str">
        <f>IF(AA1468="","",IFERROR(1*'Procyclean 130'!C469,IFERROR(_xludf.NUMBERVALUE('Procyclean 130'!C469,".",","),IFERROR(_xludf.NUMBERVALUE('Procyclean 130'!C469,",","."),0))))</f>
        <v/>
      </c>
      <c r="AE1468" t="str">
        <f>IF(AA1468="","",'Procyclean 130'!J469)</f>
        <v/>
      </c>
      <c r="AF1468">
        <f t="shared" si="149"/>
        <v>0</v>
      </c>
      <c r="AG1468" t="str">
        <f t="shared" si="150"/>
        <v/>
      </c>
      <c r="AH1468" t="str">
        <f t="shared" si="151"/>
        <v/>
      </c>
      <c r="AI1468">
        <f t="shared" si="152"/>
        <v>0</v>
      </c>
      <c r="AJ1468">
        <f t="shared" si="153"/>
        <v>0</v>
      </c>
      <c r="AK1468">
        <v>0</v>
      </c>
      <c r="AL1468" t="str">
        <f>IF(AA1468="","",IFERROR(IF(ISNUMBER('Procyclean 130'!D469),'Procyclean 130'!D469,IF(ISNUMBER(SEARCH("12",'Procyclean 130'!D469)),EDATE(AB1468,12),IF(ISNUMBER(SEARCH("6",'Procyclean 130'!D469)),EDATE(AB1468,6),IF(ISNUMBER(SEARCH("3",'Procyclean 130'!D469)),EDATE(AB1468,3),DATEVALUE('Procyclean 130'!D469))))),""))</f>
        <v/>
      </c>
      <c r="AM1468" t="str">
        <f t="shared" ca="1" si="154"/>
        <v/>
      </c>
    </row>
    <row r="1469" spans="27:39" x14ac:dyDescent="0.3">
      <c r="AA1469" t="str">
        <f>IF(COUNTA('Procyclean 130'!A470,'Procyclean 130'!B470,'Procyclean 130'!C470)&gt;0,"130","")</f>
        <v/>
      </c>
      <c r="AB1469" t="str">
        <f>IFERROR(IF(ISNUMBER('Procyclean 130'!A470),'Procyclean 130'!A470,DATEVALUE('Procyclean 130'!A470)),"")</f>
        <v/>
      </c>
      <c r="AC1469" t="str">
        <f>IF(AA1469="","",'Procyclean 130'!B470)</f>
        <v/>
      </c>
      <c r="AD1469" t="str">
        <f>IF(AA1469="","",IFERROR(1*'Procyclean 130'!C470,IFERROR(_xludf.NUMBERVALUE('Procyclean 130'!C470,".",","),IFERROR(_xludf.NUMBERVALUE('Procyclean 130'!C470,",","."),0))))</f>
        <v/>
      </c>
      <c r="AE1469" t="str">
        <f>IF(AA1469="","",'Procyclean 130'!J470)</f>
        <v/>
      </c>
      <c r="AF1469">
        <f t="shared" si="149"/>
        <v>0</v>
      </c>
      <c r="AG1469" t="str">
        <f t="shared" si="150"/>
        <v/>
      </c>
      <c r="AH1469" t="str">
        <f t="shared" si="151"/>
        <v/>
      </c>
      <c r="AI1469">
        <f t="shared" si="152"/>
        <v>0</v>
      </c>
      <c r="AJ1469">
        <f t="shared" si="153"/>
        <v>0</v>
      </c>
      <c r="AK1469">
        <v>0</v>
      </c>
      <c r="AL1469" t="str">
        <f>IF(AA1469="","",IFERROR(IF(ISNUMBER('Procyclean 130'!D470),'Procyclean 130'!D470,IF(ISNUMBER(SEARCH("12",'Procyclean 130'!D470)),EDATE(AB1469,12),IF(ISNUMBER(SEARCH("6",'Procyclean 130'!D470)),EDATE(AB1469,6),IF(ISNUMBER(SEARCH("3",'Procyclean 130'!D470)),EDATE(AB1469,3),DATEVALUE('Procyclean 130'!D470))))),""))</f>
        <v/>
      </c>
      <c r="AM1469" t="str">
        <f t="shared" ca="1" si="154"/>
        <v/>
      </c>
    </row>
    <row r="1470" spans="27:39" x14ac:dyDescent="0.3">
      <c r="AA1470" t="str">
        <f>IF(COUNTA('Procyclean 130'!A471,'Procyclean 130'!B471,'Procyclean 130'!C471)&gt;0,"130","")</f>
        <v/>
      </c>
      <c r="AB1470" t="str">
        <f>IFERROR(IF(ISNUMBER('Procyclean 130'!A471),'Procyclean 130'!A471,DATEVALUE('Procyclean 130'!A471)),"")</f>
        <v/>
      </c>
      <c r="AC1470" t="str">
        <f>IF(AA1470="","",'Procyclean 130'!B471)</f>
        <v/>
      </c>
      <c r="AD1470" t="str">
        <f>IF(AA1470="","",IFERROR(1*'Procyclean 130'!C471,IFERROR(_xludf.NUMBERVALUE('Procyclean 130'!C471,".",","),IFERROR(_xludf.NUMBERVALUE('Procyclean 130'!C471,",","."),0))))</f>
        <v/>
      </c>
      <c r="AE1470" t="str">
        <f>IF(AA1470="","",'Procyclean 130'!J471)</f>
        <v/>
      </c>
      <c r="AF1470">
        <f t="shared" si="149"/>
        <v>0</v>
      </c>
      <c r="AG1470" t="str">
        <f t="shared" si="150"/>
        <v/>
      </c>
      <c r="AH1470" t="str">
        <f t="shared" si="151"/>
        <v/>
      </c>
      <c r="AI1470">
        <f t="shared" si="152"/>
        <v>0</v>
      </c>
      <c r="AJ1470">
        <f t="shared" si="153"/>
        <v>0</v>
      </c>
      <c r="AK1470">
        <v>0</v>
      </c>
      <c r="AL1470" t="str">
        <f>IF(AA1470="","",IFERROR(IF(ISNUMBER('Procyclean 130'!D471),'Procyclean 130'!D471,IF(ISNUMBER(SEARCH("12",'Procyclean 130'!D471)),EDATE(AB1470,12),IF(ISNUMBER(SEARCH("6",'Procyclean 130'!D471)),EDATE(AB1470,6),IF(ISNUMBER(SEARCH("3",'Procyclean 130'!D471)),EDATE(AB1470,3),DATEVALUE('Procyclean 130'!D471))))),""))</f>
        <v/>
      </c>
      <c r="AM1470" t="str">
        <f t="shared" ca="1" si="154"/>
        <v/>
      </c>
    </row>
    <row r="1471" spans="27:39" x14ac:dyDescent="0.3">
      <c r="AA1471" t="str">
        <f>IF(COUNTA('Procyclean 130'!A472,'Procyclean 130'!B472,'Procyclean 130'!C472)&gt;0,"130","")</f>
        <v/>
      </c>
      <c r="AB1471" t="str">
        <f>IFERROR(IF(ISNUMBER('Procyclean 130'!A472),'Procyclean 130'!A472,DATEVALUE('Procyclean 130'!A472)),"")</f>
        <v/>
      </c>
      <c r="AC1471" t="str">
        <f>IF(AA1471="","",'Procyclean 130'!B472)</f>
        <v/>
      </c>
      <c r="AD1471" t="str">
        <f>IF(AA1471="","",IFERROR(1*'Procyclean 130'!C472,IFERROR(_xludf.NUMBERVALUE('Procyclean 130'!C472,".",","),IFERROR(_xludf.NUMBERVALUE('Procyclean 130'!C472,",","."),0))))</f>
        <v/>
      </c>
      <c r="AE1471" t="str">
        <f>IF(AA1471="","",'Procyclean 130'!J472)</f>
        <v/>
      </c>
      <c r="AF1471">
        <f t="shared" si="149"/>
        <v>0</v>
      </c>
      <c r="AG1471" t="str">
        <f t="shared" si="150"/>
        <v/>
      </c>
      <c r="AH1471" t="str">
        <f t="shared" si="151"/>
        <v/>
      </c>
      <c r="AI1471">
        <f t="shared" si="152"/>
        <v>0</v>
      </c>
      <c r="AJ1471">
        <f t="shared" si="153"/>
        <v>0</v>
      </c>
      <c r="AK1471">
        <v>0</v>
      </c>
      <c r="AL1471" t="str">
        <f>IF(AA1471="","",IFERROR(IF(ISNUMBER('Procyclean 130'!D472),'Procyclean 130'!D472,IF(ISNUMBER(SEARCH("12",'Procyclean 130'!D472)),EDATE(AB1471,12),IF(ISNUMBER(SEARCH("6",'Procyclean 130'!D472)),EDATE(AB1471,6),IF(ISNUMBER(SEARCH("3",'Procyclean 130'!D472)),EDATE(AB1471,3),DATEVALUE('Procyclean 130'!D472))))),""))</f>
        <v/>
      </c>
      <c r="AM1471" t="str">
        <f t="shared" ca="1" si="154"/>
        <v/>
      </c>
    </row>
    <row r="1472" spans="27:39" x14ac:dyDescent="0.3">
      <c r="AA1472" t="str">
        <f>IF(COUNTA('Procyclean 130'!A473,'Procyclean 130'!B473,'Procyclean 130'!C473)&gt;0,"130","")</f>
        <v/>
      </c>
      <c r="AB1472" t="str">
        <f>IFERROR(IF(ISNUMBER('Procyclean 130'!A473),'Procyclean 130'!A473,DATEVALUE('Procyclean 130'!A473)),"")</f>
        <v/>
      </c>
      <c r="AC1472" t="str">
        <f>IF(AA1472="","",'Procyclean 130'!B473)</f>
        <v/>
      </c>
      <c r="AD1472" t="str">
        <f>IF(AA1472="","",IFERROR(1*'Procyclean 130'!C473,IFERROR(_xludf.NUMBERVALUE('Procyclean 130'!C473,".",","),IFERROR(_xludf.NUMBERVALUE('Procyclean 130'!C473,",","."),0))))</f>
        <v/>
      </c>
      <c r="AE1472" t="str">
        <f>IF(AA1472="","",'Procyclean 130'!J473)</f>
        <v/>
      </c>
      <c r="AF1472">
        <f t="shared" si="149"/>
        <v>0</v>
      </c>
      <c r="AG1472" t="str">
        <f t="shared" si="150"/>
        <v/>
      </c>
      <c r="AH1472" t="str">
        <f t="shared" si="151"/>
        <v/>
      </c>
      <c r="AI1472">
        <f t="shared" si="152"/>
        <v>0</v>
      </c>
      <c r="AJ1472">
        <f t="shared" si="153"/>
        <v>0</v>
      </c>
      <c r="AK1472">
        <v>0</v>
      </c>
      <c r="AL1472" t="str">
        <f>IF(AA1472="","",IFERROR(IF(ISNUMBER('Procyclean 130'!D473),'Procyclean 130'!D473,IF(ISNUMBER(SEARCH("12",'Procyclean 130'!D473)),EDATE(AB1472,12),IF(ISNUMBER(SEARCH("6",'Procyclean 130'!D473)),EDATE(AB1472,6),IF(ISNUMBER(SEARCH("3",'Procyclean 130'!D473)),EDATE(AB1472,3),DATEVALUE('Procyclean 130'!D473))))),""))</f>
        <v/>
      </c>
      <c r="AM1472" t="str">
        <f t="shared" ca="1" si="154"/>
        <v/>
      </c>
    </row>
    <row r="1473" spans="27:39" x14ac:dyDescent="0.3">
      <c r="AA1473" t="str">
        <f>IF(COUNTA('Procyclean 130'!A474,'Procyclean 130'!B474,'Procyclean 130'!C474)&gt;0,"130","")</f>
        <v/>
      </c>
      <c r="AB1473" t="str">
        <f>IFERROR(IF(ISNUMBER('Procyclean 130'!A474),'Procyclean 130'!A474,DATEVALUE('Procyclean 130'!A474)),"")</f>
        <v/>
      </c>
      <c r="AC1473" t="str">
        <f>IF(AA1473="","",'Procyclean 130'!B474)</f>
        <v/>
      </c>
      <c r="AD1473" t="str">
        <f>IF(AA1473="","",IFERROR(1*'Procyclean 130'!C474,IFERROR(_xludf.NUMBERVALUE('Procyclean 130'!C474,".",","),IFERROR(_xludf.NUMBERVALUE('Procyclean 130'!C474,",","."),0))))</f>
        <v/>
      </c>
      <c r="AE1473" t="str">
        <f>IF(AA1473="","",'Procyclean 130'!J474)</f>
        <v/>
      </c>
      <c r="AF1473">
        <f t="shared" si="149"/>
        <v>0</v>
      </c>
      <c r="AG1473" t="str">
        <f t="shared" si="150"/>
        <v/>
      </c>
      <c r="AH1473" t="str">
        <f t="shared" si="151"/>
        <v/>
      </c>
      <c r="AI1473">
        <f t="shared" si="152"/>
        <v>0</v>
      </c>
      <c r="AJ1473">
        <f t="shared" si="153"/>
        <v>0</v>
      </c>
      <c r="AK1473">
        <v>0</v>
      </c>
      <c r="AL1473" t="str">
        <f>IF(AA1473="","",IFERROR(IF(ISNUMBER('Procyclean 130'!D474),'Procyclean 130'!D474,IF(ISNUMBER(SEARCH("12",'Procyclean 130'!D474)),EDATE(AB1473,12),IF(ISNUMBER(SEARCH("6",'Procyclean 130'!D474)),EDATE(AB1473,6),IF(ISNUMBER(SEARCH("3",'Procyclean 130'!D474)),EDATE(AB1473,3),DATEVALUE('Procyclean 130'!D474))))),""))</f>
        <v/>
      </c>
      <c r="AM1473" t="str">
        <f t="shared" ca="1" si="154"/>
        <v/>
      </c>
    </row>
    <row r="1474" spans="27:39" x14ac:dyDescent="0.3">
      <c r="AA1474" t="str">
        <f>IF(COUNTA('Procyclean 130'!A475,'Procyclean 130'!B475,'Procyclean 130'!C475)&gt;0,"130","")</f>
        <v/>
      </c>
      <c r="AB1474" t="str">
        <f>IFERROR(IF(ISNUMBER('Procyclean 130'!A475),'Procyclean 130'!A475,DATEVALUE('Procyclean 130'!A475)),"")</f>
        <v/>
      </c>
      <c r="AC1474" t="str">
        <f>IF(AA1474="","",'Procyclean 130'!B475)</f>
        <v/>
      </c>
      <c r="AD1474" t="str">
        <f>IF(AA1474="","",IFERROR(1*'Procyclean 130'!C475,IFERROR(_xludf.NUMBERVALUE('Procyclean 130'!C475,".",","),IFERROR(_xludf.NUMBERVALUE('Procyclean 130'!C475,",","."),0))))</f>
        <v/>
      </c>
      <c r="AE1474" t="str">
        <f>IF(AA1474="","",'Procyclean 130'!J475)</f>
        <v/>
      </c>
      <c r="AF1474">
        <f t="shared" ref="AF1474:AF1537" si="155">IF(AA1474="",0,--AND(ISNUMBER(SEARCH("aprov",AE1474)),NOT(ISNUMBER(SEARCH("reprov",AE1474)))))</f>
        <v>0</v>
      </c>
      <c r="AG1474" t="str">
        <f t="shared" ref="AG1474:AG1537" si="156">IF(AB1474="","",YEAR(AB1474))</f>
        <v/>
      </c>
      <c r="AH1474" t="str">
        <f t="shared" ref="AH1474:AH1537" si="157">IF(AB1474="","",MONTH(AB1474))</f>
        <v/>
      </c>
      <c r="AI1474">
        <f t="shared" ref="AI1474:AI1537" si="158">IF(AB1474="",0,AB1474+ROW()/1000000)</f>
        <v>0</v>
      </c>
      <c r="AJ1474">
        <f t="shared" ref="AJ1474:AJ1537" si="159">--(AA1474&lt;&gt;"")</f>
        <v>0</v>
      </c>
      <c r="AK1474">
        <v>0</v>
      </c>
      <c r="AL1474" t="str">
        <f>IF(AA1474="","",IFERROR(IF(ISNUMBER('Procyclean 130'!D475),'Procyclean 130'!D475,IF(ISNUMBER(SEARCH("12",'Procyclean 130'!D475)),EDATE(AB1474,12),IF(ISNUMBER(SEARCH("6",'Procyclean 130'!D475)),EDATE(AB1474,6),IF(ISNUMBER(SEARCH("3",'Procyclean 130'!D475)),EDATE(AB1474,3),DATEVALUE('Procyclean 130'!D475))))),""))</f>
        <v/>
      </c>
      <c r="AM1474" t="str">
        <f t="shared" ref="AM1474:AM1537" ca="1" si="160">IF(AND(AJ1474=1,AL1474&lt;&gt;"",AL1474&gt;=TODAY(),AG1474=$W$3),AL1474+ROW()/1000000,"")</f>
        <v/>
      </c>
    </row>
    <row r="1475" spans="27:39" x14ac:dyDescent="0.3">
      <c r="AA1475" t="str">
        <f>IF(COUNTA('Procyclean 130'!A476,'Procyclean 130'!B476,'Procyclean 130'!C476)&gt;0,"130","")</f>
        <v/>
      </c>
      <c r="AB1475" t="str">
        <f>IFERROR(IF(ISNUMBER('Procyclean 130'!A476),'Procyclean 130'!A476,DATEVALUE('Procyclean 130'!A476)),"")</f>
        <v/>
      </c>
      <c r="AC1475" t="str">
        <f>IF(AA1475="","",'Procyclean 130'!B476)</f>
        <v/>
      </c>
      <c r="AD1475" t="str">
        <f>IF(AA1475="","",IFERROR(1*'Procyclean 130'!C476,IFERROR(_xludf.NUMBERVALUE('Procyclean 130'!C476,".",","),IFERROR(_xludf.NUMBERVALUE('Procyclean 130'!C476,",","."),0))))</f>
        <v/>
      </c>
      <c r="AE1475" t="str">
        <f>IF(AA1475="","",'Procyclean 130'!J476)</f>
        <v/>
      </c>
      <c r="AF1475">
        <f t="shared" si="155"/>
        <v>0</v>
      </c>
      <c r="AG1475" t="str">
        <f t="shared" si="156"/>
        <v/>
      </c>
      <c r="AH1475" t="str">
        <f t="shared" si="157"/>
        <v/>
      </c>
      <c r="AI1475">
        <f t="shared" si="158"/>
        <v>0</v>
      </c>
      <c r="AJ1475">
        <f t="shared" si="159"/>
        <v>0</v>
      </c>
      <c r="AK1475">
        <v>0</v>
      </c>
      <c r="AL1475" t="str">
        <f>IF(AA1475="","",IFERROR(IF(ISNUMBER('Procyclean 130'!D476),'Procyclean 130'!D476,IF(ISNUMBER(SEARCH("12",'Procyclean 130'!D476)),EDATE(AB1475,12),IF(ISNUMBER(SEARCH("6",'Procyclean 130'!D476)),EDATE(AB1475,6),IF(ISNUMBER(SEARCH("3",'Procyclean 130'!D476)),EDATE(AB1475,3),DATEVALUE('Procyclean 130'!D476))))),""))</f>
        <v/>
      </c>
      <c r="AM1475" t="str">
        <f t="shared" ca="1" si="160"/>
        <v/>
      </c>
    </row>
    <row r="1476" spans="27:39" x14ac:dyDescent="0.3">
      <c r="AA1476" t="str">
        <f>IF(COUNTA('Procyclean 130'!A477,'Procyclean 130'!B477,'Procyclean 130'!C477)&gt;0,"130","")</f>
        <v/>
      </c>
      <c r="AB1476" t="str">
        <f>IFERROR(IF(ISNUMBER('Procyclean 130'!A477),'Procyclean 130'!A477,DATEVALUE('Procyclean 130'!A477)),"")</f>
        <v/>
      </c>
      <c r="AC1476" t="str">
        <f>IF(AA1476="","",'Procyclean 130'!B477)</f>
        <v/>
      </c>
      <c r="AD1476" t="str">
        <f>IF(AA1476="","",IFERROR(1*'Procyclean 130'!C477,IFERROR(_xludf.NUMBERVALUE('Procyclean 130'!C477,".",","),IFERROR(_xludf.NUMBERVALUE('Procyclean 130'!C477,",","."),0))))</f>
        <v/>
      </c>
      <c r="AE1476" t="str">
        <f>IF(AA1476="","",'Procyclean 130'!J477)</f>
        <v/>
      </c>
      <c r="AF1476">
        <f t="shared" si="155"/>
        <v>0</v>
      </c>
      <c r="AG1476" t="str">
        <f t="shared" si="156"/>
        <v/>
      </c>
      <c r="AH1476" t="str">
        <f t="shared" si="157"/>
        <v/>
      </c>
      <c r="AI1476">
        <f t="shared" si="158"/>
        <v>0</v>
      </c>
      <c r="AJ1476">
        <f t="shared" si="159"/>
        <v>0</v>
      </c>
      <c r="AK1476">
        <v>0</v>
      </c>
      <c r="AL1476" t="str">
        <f>IF(AA1476="","",IFERROR(IF(ISNUMBER('Procyclean 130'!D477),'Procyclean 130'!D477,IF(ISNUMBER(SEARCH("12",'Procyclean 130'!D477)),EDATE(AB1476,12),IF(ISNUMBER(SEARCH("6",'Procyclean 130'!D477)),EDATE(AB1476,6),IF(ISNUMBER(SEARCH("3",'Procyclean 130'!D477)),EDATE(AB1476,3),DATEVALUE('Procyclean 130'!D477))))),""))</f>
        <v/>
      </c>
      <c r="AM1476" t="str">
        <f t="shared" ca="1" si="160"/>
        <v/>
      </c>
    </row>
    <row r="1477" spans="27:39" x14ac:dyDescent="0.3">
      <c r="AA1477" t="str">
        <f>IF(COUNTA('Procyclean 130'!A478,'Procyclean 130'!B478,'Procyclean 130'!C478)&gt;0,"130","")</f>
        <v/>
      </c>
      <c r="AB1477" t="str">
        <f>IFERROR(IF(ISNUMBER('Procyclean 130'!A478),'Procyclean 130'!A478,DATEVALUE('Procyclean 130'!A478)),"")</f>
        <v/>
      </c>
      <c r="AC1477" t="str">
        <f>IF(AA1477="","",'Procyclean 130'!B478)</f>
        <v/>
      </c>
      <c r="AD1477" t="str">
        <f>IF(AA1477="","",IFERROR(1*'Procyclean 130'!C478,IFERROR(_xludf.NUMBERVALUE('Procyclean 130'!C478,".",","),IFERROR(_xludf.NUMBERVALUE('Procyclean 130'!C478,",","."),0))))</f>
        <v/>
      </c>
      <c r="AE1477" t="str">
        <f>IF(AA1477="","",'Procyclean 130'!J478)</f>
        <v/>
      </c>
      <c r="AF1477">
        <f t="shared" si="155"/>
        <v>0</v>
      </c>
      <c r="AG1477" t="str">
        <f t="shared" si="156"/>
        <v/>
      </c>
      <c r="AH1477" t="str">
        <f t="shared" si="157"/>
        <v/>
      </c>
      <c r="AI1477">
        <f t="shared" si="158"/>
        <v>0</v>
      </c>
      <c r="AJ1477">
        <f t="shared" si="159"/>
        <v>0</v>
      </c>
      <c r="AK1477">
        <v>0</v>
      </c>
      <c r="AL1477" t="str">
        <f>IF(AA1477="","",IFERROR(IF(ISNUMBER('Procyclean 130'!D478),'Procyclean 130'!D478,IF(ISNUMBER(SEARCH("12",'Procyclean 130'!D478)),EDATE(AB1477,12),IF(ISNUMBER(SEARCH("6",'Procyclean 130'!D478)),EDATE(AB1477,6),IF(ISNUMBER(SEARCH("3",'Procyclean 130'!D478)),EDATE(AB1477,3),DATEVALUE('Procyclean 130'!D478))))),""))</f>
        <v/>
      </c>
      <c r="AM1477" t="str">
        <f t="shared" ca="1" si="160"/>
        <v/>
      </c>
    </row>
    <row r="1478" spans="27:39" x14ac:dyDescent="0.3">
      <c r="AA1478" t="str">
        <f>IF(COUNTA('Procyclean 130'!A479,'Procyclean 130'!B479,'Procyclean 130'!C479)&gt;0,"130","")</f>
        <v/>
      </c>
      <c r="AB1478" t="str">
        <f>IFERROR(IF(ISNUMBER('Procyclean 130'!A479),'Procyclean 130'!A479,DATEVALUE('Procyclean 130'!A479)),"")</f>
        <v/>
      </c>
      <c r="AC1478" t="str">
        <f>IF(AA1478="","",'Procyclean 130'!B479)</f>
        <v/>
      </c>
      <c r="AD1478" t="str">
        <f>IF(AA1478="","",IFERROR(1*'Procyclean 130'!C479,IFERROR(_xludf.NUMBERVALUE('Procyclean 130'!C479,".",","),IFERROR(_xludf.NUMBERVALUE('Procyclean 130'!C479,",","."),0))))</f>
        <v/>
      </c>
      <c r="AE1478" t="str">
        <f>IF(AA1478="","",'Procyclean 130'!J479)</f>
        <v/>
      </c>
      <c r="AF1478">
        <f t="shared" si="155"/>
        <v>0</v>
      </c>
      <c r="AG1478" t="str">
        <f t="shared" si="156"/>
        <v/>
      </c>
      <c r="AH1478" t="str">
        <f t="shared" si="157"/>
        <v/>
      </c>
      <c r="AI1478">
        <f t="shared" si="158"/>
        <v>0</v>
      </c>
      <c r="AJ1478">
        <f t="shared" si="159"/>
        <v>0</v>
      </c>
      <c r="AK1478">
        <v>0</v>
      </c>
      <c r="AL1478" t="str">
        <f>IF(AA1478="","",IFERROR(IF(ISNUMBER('Procyclean 130'!D479),'Procyclean 130'!D479,IF(ISNUMBER(SEARCH("12",'Procyclean 130'!D479)),EDATE(AB1478,12),IF(ISNUMBER(SEARCH("6",'Procyclean 130'!D479)),EDATE(AB1478,6),IF(ISNUMBER(SEARCH("3",'Procyclean 130'!D479)),EDATE(AB1478,3),DATEVALUE('Procyclean 130'!D479))))),""))</f>
        <v/>
      </c>
      <c r="AM1478" t="str">
        <f t="shared" ca="1" si="160"/>
        <v/>
      </c>
    </row>
    <row r="1479" spans="27:39" x14ac:dyDescent="0.3">
      <c r="AA1479" t="str">
        <f>IF(COUNTA('Procyclean 130'!A480,'Procyclean 130'!B480,'Procyclean 130'!C480)&gt;0,"130","")</f>
        <v/>
      </c>
      <c r="AB1479" t="str">
        <f>IFERROR(IF(ISNUMBER('Procyclean 130'!A480),'Procyclean 130'!A480,DATEVALUE('Procyclean 130'!A480)),"")</f>
        <v/>
      </c>
      <c r="AC1479" t="str">
        <f>IF(AA1479="","",'Procyclean 130'!B480)</f>
        <v/>
      </c>
      <c r="AD1479" t="str">
        <f>IF(AA1479="","",IFERROR(1*'Procyclean 130'!C480,IFERROR(_xludf.NUMBERVALUE('Procyclean 130'!C480,".",","),IFERROR(_xludf.NUMBERVALUE('Procyclean 130'!C480,",","."),0))))</f>
        <v/>
      </c>
      <c r="AE1479" t="str">
        <f>IF(AA1479="","",'Procyclean 130'!J480)</f>
        <v/>
      </c>
      <c r="AF1479">
        <f t="shared" si="155"/>
        <v>0</v>
      </c>
      <c r="AG1479" t="str">
        <f t="shared" si="156"/>
        <v/>
      </c>
      <c r="AH1479" t="str">
        <f t="shared" si="157"/>
        <v/>
      </c>
      <c r="AI1479">
        <f t="shared" si="158"/>
        <v>0</v>
      </c>
      <c r="AJ1479">
        <f t="shared" si="159"/>
        <v>0</v>
      </c>
      <c r="AK1479">
        <v>0</v>
      </c>
      <c r="AL1479" t="str">
        <f>IF(AA1479="","",IFERROR(IF(ISNUMBER('Procyclean 130'!D480),'Procyclean 130'!D480,IF(ISNUMBER(SEARCH("12",'Procyclean 130'!D480)),EDATE(AB1479,12),IF(ISNUMBER(SEARCH("6",'Procyclean 130'!D480)),EDATE(AB1479,6),IF(ISNUMBER(SEARCH("3",'Procyclean 130'!D480)),EDATE(AB1479,3),DATEVALUE('Procyclean 130'!D480))))),""))</f>
        <v/>
      </c>
      <c r="AM1479" t="str">
        <f t="shared" ca="1" si="160"/>
        <v/>
      </c>
    </row>
    <row r="1480" spans="27:39" x14ac:dyDescent="0.3">
      <c r="AA1480" t="str">
        <f>IF(COUNTA('Procyclean 130'!A481,'Procyclean 130'!B481,'Procyclean 130'!C481)&gt;0,"130","")</f>
        <v/>
      </c>
      <c r="AB1480" t="str">
        <f>IFERROR(IF(ISNUMBER('Procyclean 130'!A481),'Procyclean 130'!A481,DATEVALUE('Procyclean 130'!A481)),"")</f>
        <v/>
      </c>
      <c r="AC1480" t="str">
        <f>IF(AA1480="","",'Procyclean 130'!B481)</f>
        <v/>
      </c>
      <c r="AD1480" t="str">
        <f>IF(AA1480="","",IFERROR(1*'Procyclean 130'!C481,IFERROR(_xludf.NUMBERVALUE('Procyclean 130'!C481,".",","),IFERROR(_xludf.NUMBERVALUE('Procyclean 130'!C481,",","."),0))))</f>
        <v/>
      </c>
      <c r="AE1480" t="str">
        <f>IF(AA1480="","",'Procyclean 130'!J481)</f>
        <v/>
      </c>
      <c r="AF1480">
        <f t="shared" si="155"/>
        <v>0</v>
      </c>
      <c r="AG1480" t="str">
        <f t="shared" si="156"/>
        <v/>
      </c>
      <c r="AH1480" t="str">
        <f t="shared" si="157"/>
        <v/>
      </c>
      <c r="AI1480">
        <f t="shared" si="158"/>
        <v>0</v>
      </c>
      <c r="AJ1480">
        <f t="shared" si="159"/>
        <v>0</v>
      </c>
      <c r="AK1480">
        <v>0</v>
      </c>
      <c r="AL1480" t="str">
        <f>IF(AA1480="","",IFERROR(IF(ISNUMBER('Procyclean 130'!D481),'Procyclean 130'!D481,IF(ISNUMBER(SEARCH("12",'Procyclean 130'!D481)),EDATE(AB1480,12),IF(ISNUMBER(SEARCH("6",'Procyclean 130'!D481)),EDATE(AB1480,6),IF(ISNUMBER(SEARCH("3",'Procyclean 130'!D481)),EDATE(AB1480,3),DATEVALUE('Procyclean 130'!D481))))),""))</f>
        <v/>
      </c>
      <c r="AM1480" t="str">
        <f t="shared" ca="1" si="160"/>
        <v/>
      </c>
    </row>
    <row r="1481" spans="27:39" x14ac:dyDescent="0.3">
      <c r="AA1481" t="str">
        <f>IF(COUNTA('Procyclean 130'!A482,'Procyclean 130'!B482,'Procyclean 130'!C482)&gt;0,"130","")</f>
        <v/>
      </c>
      <c r="AB1481" t="str">
        <f>IFERROR(IF(ISNUMBER('Procyclean 130'!A482),'Procyclean 130'!A482,DATEVALUE('Procyclean 130'!A482)),"")</f>
        <v/>
      </c>
      <c r="AC1481" t="str">
        <f>IF(AA1481="","",'Procyclean 130'!B482)</f>
        <v/>
      </c>
      <c r="AD1481" t="str">
        <f>IF(AA1481="","",IFERROR(1*'Procyclean 130'!C482,IFERROR(_xludf.NUMBERVALUE('Procyclean 130'!C482,".",","),IFERROR(_xludf.NUMBERVALUE('Procyclean 130'!C482,",","."),0))))</f>
        <v/>
      </c>
      <c r="AE1481" t="str">
        <f>IF(AA1481="","",'Procyclean 130'!J482)</f>
        <v/>
      </c>
      <c r="AF1481">
        <f t="shared" si="155"/>
        <v>0</v>
      </c>
      <c r="AG1481" t="str">
        <f t="shared" si="156"/>
        <v/>
      </c>
      <c r="AH1481" t="str">
        <f t="shared" si="157"/>
        <v/>
      </c>
      <c r="AI1481">
        <f t="shared" si="158"/>
        <v>0</v>
      </c>
      <c r="AJ1481">
        <f t="shared" si="159"/>
        <v>0</v>
      </c>
      <c r="AK1481">
        <v>0</v>
      </c>
      <c r="AL1481" t="str">
        <f>IF(AA1481="","",IFERROR(IF(ISNUMBER('Procyclean 130'!D482),'Procyclean 130'!D482,IF(ISNUMBER(SEARCH("12",'Procyclean 130'!D482)),EDATE(AB1481,12),IF(ISNUMBER(SEARCH("6",'Procyclean 130'!D482)),EDATE(AB1481,6),IF(ISNUMBER(SEARCH("3",'Procyclean 130'!D482)),EDATE(AB1481,3),DATEVALUE('Procyclean 130'!D482))))),""))</f>
        <v/>
      </c>
      <c r="AM1481" t="str">
        <f t="shared" ca="1" si="160"/>
        <v/>
      </c>
    </row>
    <row r="1482" spans="27:39" x14ac:dyDescent="0.3">
      <c r="AA1482" t="str">
        <f>IF(COUNTA('Procyclean 130'!A483,'Procyclean 130'!B483,'Procyclean 130'!C483)&gt;0,"130","")</f>
        <v/>
      </c>
      <c r="AB1482" t="str">
        <f>IFERROR(IF(ISNUMBER('Procyclean 130'!A483),'Procyclean 130'!A483,DATEVALUE('Procyclean 130'!A483)),"")</f>
        <v/>
      </c>
      <c r="AC1482" t="str">
        <f>IF(AA1482="","",'Procyclean 130'!B483)</f>
        <v/>
      </c>
      <c r="AD1482" t="str">
        <f>IF(AA1482="","",IFERROR(1*'Procyclean 130'!C483,IFERROR(_xludf.NUMBERVALUE('Procyclean 130'!C483,".",","),IFERROR(_xludf.NUMBERVALUE('Procyclean 130'!C483,",","."),0))))</f>
        <v/>
      </c>
      <c r="AE1482" t="str">
        <f>IF(AA1482="","",'Procyclean 130'!J483)</f>
        <v/>
      </c>
      <c r="AF1482">
        <f t="shared" si="155"/>
        <v>0</v>
      </c>
      <c r="AG1482" t="str">
        <f t="shared" si="156"/>
        <v/>
      </c>
      <c r="AH1482" t="str">
        <f t="shared" si="157"/>
        <v/>
      </c>
      <c r="AI1482">
        <f t="shared" si="158"/>
        <v>0</v>
      </c>
      <c r="AJ1482">
        <f t="shared" si="159"/>
        <v>0</v>
      </c>
      <c r="AK1482">
        <v>0</v>
      </c>
      <c r="AL1482" t="str">
        <f>IF(AA1482="","",IFERROR(IF(ISNUMBER('Procyclean 130'!D483),'Procyclean 130'!D483,IF(ISNUMBER(SEARCH("12",'Procyclean 130'!D483)),EDATE(AB1482,12),IF(ISNUMBER(SEARCH("6",'Procyclean 130'!D483)),EDATE(AB1482,6),IF(ISNUMBER(SEARCH("3",'Procyclean 130'!D483)),EDATE(AB1482,3),DATEVALUE('Procyclean 130'!D483))))),""))</f>
        <v/>
      </c>
      <c r="AM1482" t="str">
        <f t="shared" ca="1" si="160"/>
        <v/>
      </c>
    </row>
    <row r="1483" spans="27:39" x14ac:dyDescent="0.3">
      <c r="AA1483" t="str">
        <f>IF(COUNTA('Procyclean 130'!A484,'Procyclean 130'!B484,'Procyclean 130'!C484)&gt;0,"130","")</f>
        <v/>
      </c>
      <c r="AB1483" t="str">
        <f>IFERROR(IF(ISNUMBER('Procyclean 130'!A484),'Procyclean 130'!A484,DATEVALUE('Procyclean 130'!A484)),"")</f>
        <v/>
      </c>
      <c r="AC1483" t="str">
        <f>IF(AA1483="","",'Procyclean 130'!B484)</f>
        <v/>
      </c>
      <c r="AD1483" t="str">
        <f>IF(AA1483="","",IFERROR(1*'Procyclean 130'!C484,IFERROR(_xludf.NUMBERVALUE('Procyclean 130'!C484,".",","),IFERROR(_xludf.NUMBERVALUE('Procyclean 130'!C484,",","."),0))))</f>
        <v/>
      </c>
      <c r="AE1483" t="str">
        <f>IF(AA1483="","",'Procyclean 130'!J484)</f>
        <v/>
      </c>
      <c r="AF1483">
        <f t="shared" si="155"/>
        <v>0</v>
      </c>
      <c r="AG1483" t="str">
        <f t="shared" si="156"/>
        <v/>
      </c>
      <c r="AH1483" t="str">
        <f t="shared" si="157"/>
        <v/>
      </c>
      <c r="AI1483">
        <f t="shared" si="158"/>
        <v>0</v>
      </c>
      <c r="AJ1483">
        <f t="shared" si="159"/>
        <v>0</v>
      </c>
      <c r="AK1483">
        <v>0</v>
      </c>
      <c r="AL1483" t="str">
        <f>IF(AA1483="","",IFERROR(IF(ISNUMBER('Procyclean 130'!D484),'Procyclean 130'!D484,IF(ISNUMBER(SEARCH("12",'Procyclean 130'!D484)),EDATE(AB1483,12),IF(ISNUMBER(SEARCH("6",'Procyclean 130'!D484)),EDATE(AB1483,6),IF(ISNUMBER(SEARCH("3",'Procyclean 130'!D484)),EDATE(AB1483,3),DATEVALUE('Procyclean 130'!D484))))),""))</f>
        <v/>
      </c>
      <c r="AM1483" t="str">
        <f t="shared" ca="1" si="160"/>
        <v/>
      </c>
    </row>
    <row r="1484" spans="27:39" x14ac:dyDescent="0.3">
      <c r="AA1484" t="str">
        <f>IF(COUNTA('Procyclean 130'!A485,'Procyclean 130'!B485,'Procyclean 130'!C485)&gt;0,"130","")</f>
        <v/>
      </c>
      <c r="AB1484" t="str">
        <f>IFERROR(IF(ISNUMBER('Procyclean 130'!A485),'Procyclean 130'!A485,DATEVALUE('Procyclean 130'!A485)),"")</f>
        <v/>
      </c>
      <c r="AC1484" t="str">
        <f>IF(AA1484="","",'Procyclean 130'!B485)</f>
        <v/>
      </c>
      <c r="AD1484" t="str">
        <f>IF(AA1484="","",IFERROR(1*'Procyclean 130'!C485,IFERROR(_xludf.NUMBERVALUE('Procyclean 130'!C485,".",","),IFERROR(_xludf.NUMBERVALUE('Procyclean 130'!C485,",","."),0))))</f>
        <v/>
      </c>
      <c r="AE1484" t="str">
        <f>IF(AA1484="","",'Procyclean 130'!J485)</f>
        <v/>
      </c>
      <c r="AF1484">
        <f t="shared" si="155"/>
        <v>0</v>
      </c>
      <c r="AG1484" t="str">
        <f t="shared" si="156"/>
        <v/>
      </c>
      <c r="AH1484" t="str">
        <f t="shared" si="157"/>
        <v/>
      </c>
      <c r="AI1484">
        <f t="shared" si="158"/>
        <v>0</v>
      </c>
      <c r="AJ1484">
        <f t="shared" si="159"/>
        <v>0</v>
      </c>
      <c r="AK1484">
        <v>0</v>
      </c>
      <c r="AL1484" t="str">
        <f>IF(AA1484="","",IFERROR(IF(ISNUMBER('Procyclean 130'!D485),'Procyclean 130'!D485,IF(ISNUMBER(SEARCH("12",'Procyclean 130'!D485)),EDATE(AB1484,12),IF(ISNUMBER(SEARCH("6",'Procyclean 130'!D485)),EDATE(AB1484,6),IF(ISNUMBER(SEARCH("3",'Procyclean 130'!D485)),EDATE(AB1484,3),DATEVALUE('Procyclean 130'!D485))))),""))</f>
        <v/>
      </c>
      <c r="AM1484" t="str">
        <f t="shared" ca="1" si="160"/>
        <v/>
      </c>
    </row>
    <row r="1485" spans="27:39" x14ac:dyDescent="0.3">
      <c r="AA1485" t="str">
        <f>IF(COUNTA('Procyclean 130'!A486,'Procyclean 130'!B486,'Procyclean 130'!C486)&gt;0,"130","")</f>
        <v/>
      </c>
      <c r="AB1485" t="str">
        <f>IFERROR(IF(ISNUMBER('Procyclean 130'!A486),'Procyclean 130'!A486,DATEVALUE('Procyclean 130'!A486)),"")</f>
        <v/>
      </c>
      <c r="AC1485" t="str">
        <f>IF(AA1485="","",'Procyclean 130'!B486)</f>
        <v/>
      </c>
      <c r="AD1485" t="str">
        <f>IF(AA1485="","",IFERROR(1*'Procyclean 130'!C486,IFERROR(_xludf.NUMBERVALUE('Procyclean 130'!C486,".",","),IFERROR(_xludf.NUMBERVALUE('Procyclean 130'!C486,",","."),0))))</f>
        <v/>
      </c>
      <c r="AE1485" t="str">
        <f>IF(AA1485="","",'Procyclean 130'!J486)</f>
        <v/>
      </c>
      <c r="AF1485">
        <f t="shared" si="155"/>
        <v>0</v>
      </c>
      <c r="AG1485" t="str">
        <f t="shared" si="156"/>
        <v/>
      </c>
      <c r="AH1485" t="str">
        <f t="shared" si="157"/>
        <v/>
      </c>
      <c r="AI1485">
        <f t="shared" si="158"/>
        <v>0</v>
      </c>
      <c r="AJ1485">
        <f t="shared" si="159"/>
        <v>0</v>
      </c>
      <c r="AK1485">
        <v>0</v>
      </c>
      <c r="AL1485" t="str">
        <f>IF(AA1485="","",IFERROR(IF(ISNUMBER('Procyclean 130'!D486),'Procyclean 130'!D486,IF(ISNUMBER(SEARCH("12",'Procyclean 130'!D486)),EDATE(AB1485,12),IF(ISNUMBER(SEARCH("6",'Procyclean 130'!D486)),EDATE(AB1485,6),IF(ISNUMBER(SEARCH("3",'Procyclean 130'!D486)),EDATE(AB1485,3),DATEVALUE('Procyclean 130'!D486))))),""))</f>
        <v/>
      </c>
      <c r="AM1485" t="str">
        <f t="shared" ca="1" si="160"/>
        <v/>
      </c>
    </row>
    <row r="1486" spans="27:39" x14ac:dyDescent="0.3">
      <c r="AA1486" t="str">
        <f>IF(COUNTA('Procyclean 130'!A487,'Procyclean 130'!B487,'Procyclean 130'!C487)&gt;0,"130","")</f>
        <v/>
      </c>
      <c r="AB1486" t="str">
        <f>IFERROR(IF(ISNUMBER('Procyclean 130'!A487),'Procyclean 130'!A487,DATEVALUE('Procyclean 130'!A487)),"")</f>
        <v/>
      </c>
      <c r="AC1486" t="str">
        <f>IF(AA1486="","",'Procyclean 130'!B487)</f>
        <v/>
      </c>
      <c r="AD1486" t="str">
        <f>IF(AA1486="","",IFERROR(1*'Procyclean 130'!C487,IFERROR(_xludf.NUMBERVALUE('Procyclean 130'!C487,".",","),IFERROR(_xludf.NUMBERVALUE('Procyclean 130'!C487,",","."),0))))</f>
        <v/>
      </c>
      <c r="AE1486" t="str">
        <f>IF(AA1486="","",'Procyclean 130'!J487)</f>
        <v/>
      </c>
      <c r="AF1486">
        <f t="shared" si="155"/>
        <v>0</v>
      </c>
      <c r="AG1486" t="str">
        <f t="shared" si="156"/>
        <v/>
      </c>
      <c r="AH1486" t="str">
        <f t="shared" si="157"/>
        <v/>
      </c>
      <c r="AI1486">
        <f t="shared" si="158"/>
        <v>0</v>
      </c>
      <c r="AJ1486">
        <f t="shared" si="159"/>
        <v>0</v>
      </c>
      <c r="AK1486">
        <v>0</v>
      </c>
      <c r="AL1486" t="str">
        <f>IF(AA1486="","",IFERROR(IF(ISNUMBER('Procyclean 130'!D487),'Procyclean 130'!D487,IF(ISNUMBER(SEARCH("12",'Procyclean 130'!D487)),EDATE(AB1486,12),IF(ISNUMBER(SEARCH("6",'Procyclean 130'!D487)),EDATE(AB1486,6),IF(ISNUMBER(SEARCH("3",'Procyclean 130'!D487)),EDATE(AB1486,3),DATEVALUE('Procyclean 130'!D487))))),""))</f>
        <v/>
      </c>
      <c r="AM1486" t="str">
        <f t="shared" ca="1" si="160"/>
        <v/>
      </c>
    </row>
    <row r="1487" spans="27:39" x14ac:dyDescent="0.3">
      <c r="AA1487" t="str">
        <f>IF(COUNTA('Procyclean 130'!A488,'Procyclean 130'!B488,'Procyclean 130'!C488)&gt;0,"130","")</f>
        <v/>
      </c>
      <c r="AB1487" t="str">
        <f>IFERROR(IF(ISNUMBER('Procyclean 130'!A488),'Procyclean 130'!A488,DATEVALUE('Procyclean 130'!A488)),"")</f>
        <v/>
      </c>
      <c r="AC1487" t="str">
        <f>IF(AA1487="","",'Procyclean 130'!B488)</f>
        <v/>
      </c>
      <c r="AD1487" t="str">
        <f>IF(AA1487="","",IFERROR(1*'Procyclean 130'!C488,IFERROR(_xludf.NUMBERVALUE('Procyclean 130'!C488,".",","),IFERROR(_xludf.NUMBERVALUE('Procyclean 130'!C488,",","."),0))))</f>
        <v/>
      </c>
      <c r="AE1487" t="str">
        <f>IF(AA1487="","",'Procyclean 130'!J488)</f>
        <v/>
      </c>
      <c r="AF1487">
        <f t="shared" si="155"/>
        <v>0</v>
      </c>
      <c r="AG1487" t="str">
        <f t="shared" si="156"/>
        <v/>
      </c>
      <c r="AH1487" t="str">
        <f t="shared" si="157"/>
        <v/>
      </c>
      <c r="AI1487">
        <f t="shared" si="158"/>
        <v>0</v>
      </c>
      <c r="AJ1487">
        <f t="shared" si="159"/>
        <v>0</v>
      </c>
      <c r="AK1487">
        <v>0</v>
      </c>
      <c r="AL1487" t="str">
        <f>IF(AA1487="","",IFERROR(IF(ISNUMBER('Procyclean 130'!D488),'Procyclean 130'!D488,IF(ISNUMBER(SEARCH("12",'Procyclean 130'!D488)),EDATE(AB1487,12),IF(ISNUMBER(SEARCH("6",'Procyclean 130'!D488)),EDATE(AB1487,6),IF(ISNUMBER(SEARCH("3",'Procyclean 130'!D488)),EDATE(AB1487,3),DATEVALUE('Procyclean 130'!D488))))),""))</f>
        <v/>
      </c>
      <c r="AM1487" t="str">
        <f t="shared" ca="1" si="160"/>
        <v/>
      </c>
    </row>
    <row r="1488" spans="27:39" x14ac:dyDescent="0.3">
      <c r="AA1488" t="str">
        <f>IF(COUNTA('Procyclean 130'!A489,'Procyclean 130'!B489,'Procyclean 130'!C489)&gt;0,"130","")</f>
        <v/>
      </c>
      <c r="AB1488" t="str">
        <f>IFERROR(IF(ISNUMBER('Procyclean 130'!A489),'Procyclean 130'!A489,DATEVALUE('Procyclean 130'!A489)),"")</f>
        <v/>
      </c>
      <c r="AC1488" t="str">
        <f>IF(AA1488="","",'Procyclean 130'!B489)</f>
        <v/>
      </c>
      <c r="AD1488" t="str">
        <f>IF(AA1488="","",IFERROR(1*'Procyclean 130'!C489,IFERROR(_xludf.NUMBERVALUE('Procyclean 130'!C489,".",","),IFERROR(_xludf.NUMBERVALUE('Procyclean 130'!C489,",","."),0))))</f>
        <v/>
      </c>
      <c r="AE1488" t="str">
        <f>IF(AA1488="","",'Procyclean 130'!J489)</f>
        <v/>
      </c>
      <c r="AF1488">
        <f t="shared" si="155"/>
        <v>0</v>
      </c>
      <c r="AG1488" t="str">
        <f t="shared" si="156"/>
        <v/>
      </c>
      <c r="AH1488" t="str">
        <f t="shared" si="157"/>
        <v/>
      </c>
      <c r="AI1488">
        <f t="shared" si="158"/>
        <v>0</v>
      </c>
      <c r="AJ1488">
        <f t="shared" si="159"/>
        <v>0</v>
      </c>
      <c r="AK1488">
        <v>0</v>
      </c>
      <c r="AL1488" t="str">
        <f>IF(AA1488="","",IFERROR(IF(ISNUMBER('Procyclean 130'!D489),'Procyclean 130'!D489,IF(ISNUMBER(SEARCH("12",'Procyclean 130'!D489)),EDATE(AB1488,12),IF(ISNUMBER(SEARCH("6",'Procyclean 130'!D489)),EDATE(AB1488,6),IF(ISNUMBER(SEARCH("3",'Procyclean 130'!D489)),EDATE(AB1488,3),DATEVALUE('Procyclean 130'!D489))))),""))</f>
        <v/>
      </c>
      <c r="AM1488" t="str">
        <f t="shared" ca="1" si="160"/>
        <v/>
      </c>
    </row>
    <row r="1489" spans="27:39" x14ac:dyDescent="0.3">
      <c r="AA1489" t="str">
        <f>IF(COUNTA('Procyclean 130'!A490,'Procyclean 130'!B490,'Procyclean 130'!C490)&gt;0,"130","")</f>
        <v/>
      </c>
      <c r="AB1489" t="str">
        <f>IFERROR(IF(ISNUMBER('Procyclean 130'!A490),'Procyclean 130'!A490,DATEVALUE('Procyclean 130'!A490)),"")</f>
        <v/>
      </c>
      <c r="AC1489" t="str">
        <f>IF(AA1489="","",'Procyclean 130'!B490)</f>
        <v/>
      </c>
      <c r="AD1489" t="str">
        <f>IF(AA1489="","",IFERROR(1*'Procyclean 130'!C490,IFERROR(_xludf.NUMBERVALUE('Procyclean 130'!C490,".",","),IFERROR(_xludf.NUMBERVALUE('Procyclean 130'!C490,",","."),0))))</f>
        <v/>
      </c>
      <c r="AE1489" t="str">
        <f>IF(AA1489="","",'Procyclean 130'!J490)</f>
        <v/>
      </c>
      <c r="AF1489">
        <f t="shared" si="155"/>
        <v>0</v>
      </c>
      <c r="AG1489" t="str">
        <f t="shared" si="156"/>
        <v/>
      </c>
      <c r="AH1489" t="str">
        <f t="shared" si="157"/>
        <v/>
      </c>
      <c r="AI1489">
        <f t="shared" si="158"/>
        <v>0</v>
      </c>
      <c r="AJ1489">
        <f t="shared" si="159"/>
        <v>0</v>
      </c>
      <c r="AK1489">
        <v>0</v>
      </c>
      <c r="AL1489" t="str">
        <f>IF(AA1489="","",IFERROR(IF(ISNUMBER('Procyclean 130'!D490),'Procyclean 130'!D490,IF(ISNUMBER(SEARCH("12",'Procyclean 130'!D490)),EDATE(AB1489,12),IF(ISNUMBER(SEARCH("6",'Procyclean 130'!D490)),EDATE(AB1489,6),IF(ISNUMBER(SEARCH("3",'Procyclean 130'!D490)),EDATE(AB1489,3),DATEVALUE('Procyclean 130'!D490))))),""))</f>
        <v/>
      </c>
      <c r="AM1489" t="str">
        <f t="shared" ca="1" si="160"/>
        <v/>
      </c>
    </row>
    <row r="1490" spans="27:39" x14ac:dyDescent="0.3">
      <c r="AA1490" t="str">
        <f>IF(COUNTA('Procyclean 130'!A491,'Procyclean 130'!B491,'Procyclean 130'!C491)&gt;0,"130","")</f>
        <v/>
      </c>
      <c r="AB1490" t="str">
        <f>IFERROR(IF(ISNUMBER('Procyclean 130'!A491),'Procyclean 130'!A491,DATEVALUE('Procyclean 130'!A491)),"")</f>
        <v/>
      </c>
      <c r="AC1490" t="str">
        <f>IF(AA1490="","",'Procyclean 130'!B491)</f>
        <v/>
      </c>
      <c r="AD1490" t="str">
        <f>IF(AA1490="","",IFERROR(1*'Procyclean 130'!C491,IFERROR(_xludf.NUMBERVALUE('Procyclean 130'!C491,".",","),IFERROR(_xludf.NUMBERVALUE('Procyclean 130'!C491,",","."),0))))</f>
        <v/>
      </c>
      <c r="AE1490" t="str">
        <f>IF(AA1490="","",'Procyclean 130'!J491)</f>
        <v/>
      </c>
      <c r="AF1490">
        <f t="shared" si="155"/>
        <v>0</v>
      </c>
      <c r="AG1490" t="str">
        <f t="shared" si="156"/>
        <v/>
      </c>
      <c r="AH1490" t="str">
        <f t="shared" si="157"/>
        <v/>
      </c>
      <c r="AI1490">
        <f t="shared" si="158"/>
        <v>0</v>
      </c>
      <c r="AJ1490">
        <f t="shared" si="159"/>
        <v>0</v>
      </c>
      <c r="AK1490">
        <v>0</v>
      </c>
      <c r="AL1490" t="str">
        <f>IF(AA1490="","",IFERROR(IF(ISNUMBER('Procyclean 130'!D491),'Procyclean 130'!D491,IF(ISNUMBER(SEARCH("12",'Procyclean 130'!D491)),EDATE(AB1490,12),IF(ISNUMBER(SEARCH("6",'Procyclean 130'!D491)),EDATE(AB1490,6),IF(ISNUMBER(SEARCH("3",'Procyclean 130'!D491)),EDATE(AB1490,3),DATEVALUE('Procyclean 130'!D491))))),""))</f>
        <v/>
      </c>
      <c r="AM1490" t="str">
        <f t="shared" ca="1" si="160"/>
        <v/>
      </c>
    </row>
    <row r="1491" spans="27:39" x14ac:dyDescent="0.3">
      <c r="AA1491" t="str">
        <f>IF(COUNTA('Procyclean 130'!A492,'Procyclean 130'!B492,'Procyclean 130'!C492)&gt;0,"130","")</f>
        <v/>
      </c>
      <c r="AB1491" t="str">
        <f>IFERROR(IF(ISNUMBER('Procyclean 130'!A492),'Procyclean 130'!A492,DATEVALUE('Procyclean 130'!A492)),"")</f>
        <v/>
      </c>
      <c r="AC1491" t="str">
        <f>IF(AA1491="","",'Procyclean 130'!B492)</f>
        <v/>
      </c>
      <c r="AD1491" t="str">
        <f>IF(AA1491="","",IFERROR(1*'Procyclean 130'!C492,IFERROR(_xludf.NUMBERVALUE('Procyclean 130'!C492,".",","),IFERROR(_xludf.NUMBERVALUE('Procyclean 130'!C492,",","."),0))))</f>
        <v/>
      </c>
      <c r="AE1491" t="str">
        <f>IF(AA1491="","",'Procyclean 130'!J492)</f>
        <v/>
      </c>
      <c r="AF1491">
        <f t="shared" si="155"/>
        <v>0</v>
      </c>
      <c r="AG1491" t="str">
        <f t="shared" si="156"/>
        <v/>
      </c>
      <c r="AH1491" t="str">
        <f t="shared" si="157"/>
        <v/>
      </c>
      <c r="AI1491">
        <f t="shared" si="158"/>
        <v>0</v>
      </c>
      <c r="AJ1491">
        <f t="shared" si="159"/>
        <v>0</v>
      </c>
      <c r="AK1491">
        <v>0</v>
      </c>
      <c r="AL1491" t="str">
        <f>IF(AA1491="","",IFERROR(IF(ISNUMBER('Procyclean 130'!D492),'Procyclean 130'!D492,IF(ISNUMBER(SEARCH("12",'Procyclean 130'!D492)),EDATE(AB1491,12),IF(ISNUMBER(SEARCH("6",'Procyclean 130'!D492)),EDATE(AB1491,6),IF(ISNUMBER(SEARCH("3",'Procyclean 130'!D492)),EDATE(AB1491,3),DATEVALUE('Procyclean 130'!D492))))),""))</f>
        <v/>
      </c>
      <c r="AM1491" t="str">
        <f t="shared" ca="1" si="160"/>
        <v/>
      </c>
    </row>
    <row r="1492" spans="27:39" x14ac:dyDescent="0.3">
      <c r="AA1492" t="str">
        <f>IF(COUNTA('Procyclean 130'!A493,'Procyclean 130'!B493,'Procyclean 130'!C493)&gt;0,"130","")</f>
        <v/>
      </c>
      <c r="AB1492" t="str">
        <f>IFERROR(IF(ISNUMBER('Procyclean 130'!A493),'Procyclean 130'!A493,DATEVALUE('Procyclean 130'!A493)),"")</f>
        <v/>
      </c>
      <c r="AC1492" t="str">
        <f>IF(AA1492="","",'Procyclean 130'!B493)</f>
        <v/>
      </c>
      <c r="AD1492" t="str">
        <f>IF(AA1492="","",IFERROR(1*'Procyclean 130'!C493,IFERROR(_xludf.NUMBERVALUE('Procyclean 130'!C493,".",","),IFERROR(_xludf.NUMBERVALUE('Procyclean 130'!C493,",","."),0))))</f>
        <v/>
      </c>
      <c r="AE1492" t="str">
        <f>IF(AA1492="","",'Procyclean 130'!J493)</f>
        <v/>
      </c>
      <c r="AF1492">
        <f t="shared" si="155"/>
        <v>0</v>
      </c>
      <c r="AG1492" t="str">
        <f t="shared" si="156"/>
        <v/>
      </c>
      <c r="AH1492" t="str">
        <f t="shared" si="157"/>
        <v/>
      </c>
      <c r="AI1492">
        <f t="shared" si="158"/>
        <v>0</v>
      </c>
      <c r="AJ1492">
        <f t="shared" si="159"/>
        <v>0</v>
      </c>
      <c r="AK1492">
        <v>0</v>
      </c>
      <c r="AL1492" t="str">
        <f>IF(AA1492="","",IFERROR(IF(ISNUMBER('Procyclean 130'!D493),'Procyclean 130'!D493,IF(ISNUMBER(SEARCH("12",'Procyclean 130'!D493)),EDATE(AB1492,12),IF(ISNUMBER(SEARCH("6",'Procyclean 130'!D493)),EDATE(AB1492,6),IF(ISNUMBER(SEARCH("3",'Procyclean 130'!D493)),EDATE(AB1492,3),DATEVALUE('Procyclean 130'!D493))))),""))</f>
        <v/>
      </c>
      <c r="AM1492" t="str">
        <f t="shared" ca="1" si="160"/>
        <v/>
      </c>
    </row>
    <row r="1493" spans="27:39" x14ac:dyDescent="0.3">
      <c r="AA1493" t="str">
        <f>IF(COUNTA('Procyclean 130'!A494,'Procyclean 130'!B494,'Procyclean 130'!C494)&gt;0,"130","")</f>
        <v/>
      </c>
      <c r="AB1493" t="str">
        <f>IFERROR(IF(ISNUMBER('Procyclean 130'!A494),'Procyclean 130'!A494,DATEVALUE('Procyclean 130'!A494)),"")</f>
        <v/>
      </c>
      <c r="AC1493" t="str">
        <f>IF(AA1493="","",'Procyclean 130'!B494)</f>
        <v/>
      </c>
      <c r="AD1493" t="str">
        <f>IF(AA1493="","",IFERROR(1*'Procyclean 130'!C494,IFERROR(_xludf.NUMBERVALUE('Procyclean 130'!C494,".",","),IFERROR(_xludf.NUMBERVALUE('Procyclean 130'!C494,",","."),0))))</f>
        <v/>
      </c>
      <c r="AE1493" t="str">
        <f>IF(AA1493="","",'Procyclean 130'!J494)</f>
        <v/>
      </c>
      <c r="AF1493">
        <f t="shared" si="155"/>
        <v>0</v>
      </c>
      <c r="AG1493" t="str">
        <f t="shared" si="156"/>
        <v/>
      </c>
      <c r="AH1493" t="str">
        <f t="shared" si="157"/>
        <v/>
      </c>
      <c r="AI1493">
        <f t="shared" si="158"/>
        <v>0</v>
      </c>
      <c r="AJ1493">
        <f t="shared" si="159"/>
        <v>0</v>
      </c>
      <c r="AK1493">
        <v>0</v>
      </c>
      <c r="AL1493" t="str">
        <f>IF(AA1493="","",IFERROR(IF(ISNUMBER('Procyclean 130'!D494),'Procyclean 130'!D494,IF(ISNUMBER(SEARCH("12",'Procyclean 130'!D494)),EDATE(AB1493,12),IF(ISNUMBER(SEARCH("6",'Procyclean 130'!D494)),EDATE(AB1493,6),IF(ISNUMBER(SEARCH("3",'Procyclean 130'!D494)),EDATE(AB1493,3),DATEVALUE('Procyclean 130'!D494))))),""))</f>
        <v/>
      </c>
      <c r="AM1493" t="str">
        <f t="shared" ca="1" si="160"/>
        <v/>
      </c>
    </row>
    <row r="1494" spans="27:39" x14ac:dyDescent="0.3">
      <c r="AA1494" t="str">
        <f>IF(COUNTA('Procyclean 130'!A495,'Procyclean 130'!B495,'Procyclean 130'!C495)&gt;0,"130","")</f>
        <v/>
      </c>
      <c r="AB1494" t="str">
        <f>IFERROR(IF(ISNUMBER('Procyclean 130'!A495),'Procyclean 130'!A495,DATEVALUE('Procyclean 130'!A495)),"")</f>
        <v/>
      </c>
      <c r="AC1494" t="str">
        <f>IF(AA1494="","",'Procyclean 130'!B495)</f>
        <v/>
      </c>
      <c r="AD1494" t="str">
        <f>IF(AA1494="","",IFERROR(1*'Procyclean 130'!C495,IFERROR(_xludf.NUMBERVALUE('Procyclean 130'!C495,".",","),IFERROR(_xludf.NUMBERVALUE('Procyclean 130'!C495,",","."),0))))</f>
        <v/>
      </c>
      <c r="AE1494" t="str">
        <f>IF(AA1494="","",'Procyclean 130'!J495)</f>
        <v/>
      </c>
      <c r="AF1494">
        <f t="shared" si="155"/>
        <v>0</v>
      </c>
      <c r="AG1494" t="str">
        <f t="shared" si="156"/>
        <v/>
      </c>
      <c r="AH1494" t="str">
        <f t="shared" si="157"/>
        <v/>
      </c>
      <c r="AI1494">
        <f t="shared" si="158"/>
        <v>0</v>
      </c>
      <c r="AJ1494">
        <f t="shared" si="159"/>
        <v>0</v>
      </c>
      <c r="AK1494">
        <v>0</v>
      </c>
      <c r="AL1494" t="str">
        <f>IF(AA1494="","",IFERROR(IF(ISNUMBER('Procyclean 130'!D495),'Procyclean 130'!D495,IF(ISNUMBER(SEARCH("12",'Procyclean 130'!D495)),EDATE(AB1494,12),IF(ISNUMBER(SEARCH("6",'Procyclean 130'!D495)),EDATE(AB1494,6),IF(ISNUMBER(SEARCH("3",'Procyclean 130'!D495)),EDATE(AB1494,3),DATEVALUE('Procyclean 130'!D495))))),""))</f>
        <v/>
      </c>
      <c r="AM1494" t="str">
        <f t="shared" ca="1" si="160"/>
        <v/>
      </c>
    </row>
    <row r="1495" spans="27:39" x14ac:dyDescent="0.3">
      <c r="AA1495" t="str">
        <f>IF(COUNTA('Procyclean 130'!A496,'Procyclean 130'!B496,'Procyclean 130'!C496)&gt;0,"130","")</f>
        <v/>
      </c>
      <c r="AB1495" t="str">
        <f>IFERROR(IF(ISNUMBER('Procyclean 130'!A496),'Procyclean 130'!A496,DATEVALUE('Procyclean 130'!A496)),"")</f>
        <v/>
      </c>
      <c r="AC1495" t="str">
        <f>IF(AA1495="","",'Procyclean 130'!B496)</f>
        <v/>
      </c>
      <c r="AD1495" t="str">
        <f>IF(AA1495="","",IFERROR(1*'Procyclean 130'!C496,IFERROR(_xludf.NUMBERVALUE('Procyclean 130'!C496,".",","),IFERROR(_xludf.NUMBERVALUE('Procyclean 130'!C496,",","."),0))))</f>
        <v/>
      </c>
      <c r="AE1495" t="str">
        <f>IF(AA1495="","",'Procyclean 130'!J496)</f>
        <v/>
      </c>
      <c r="AF1495">
        <f t="shared" si="155"/>
        <v>0</v>
      </c>
      <c r="AG1495" t="str">
        <f t="shared" si="156"/>
        <v/>
      </c>
      <c r="AH1495" t="str">
        <f t="shared" si="157"/>
        <v/>
      </c>
      <c r="AI1495">
        <f t="shared" si="158"/>
        <v>0</v>
      </c>
      <c r="AJ1495">
        <f t="shared" si="159"/>
        <v>0</v>
      </c>
      <c r="AK1495">
        <v>0</v>
      </c>
      <c r="AL1495" t="str">
        <f>IF(AA1495="","",IFERROR(IF(ISNUMBER('Procyclean 130'!D496),'Procyclean 130'!D496,IF(ISNUMBER(SEARCH("12",'Procyclean 130'!D496)),EDATE(AB1495,12),IF(ISNUMBER(SEARCH("6",'Procyclean 130'!D496)),EDATE(AB1495,6),IF(ISNUMBER(SEARCH("3",'Procyclean 130'!D496)),EDATE(AB1495,3),DATEVALUE('Procyclean 130'!D496))))),""))</f>
        <v/>
      </c>
      <c r="AM1495" t="str">
        <f t="shared" ca="1" si="160"/>
        <v/>
      </c>
    </row>
    <row r="1496" spans="27:39" x14ac:dyDescent="0.3">
      <c r="AA1496" t="str">
        <f>IF(COUNTA('Procyclean 130'!A497,'Procyclean 130'!B497,'Procyclean 130'!C497)&gt;0,"130","")</f>
        <v/>
      </c>
      <c r="AB1496" t="str">
        <f>IFERROR(IF(ISNUMBER('Procyclean 130'!A497),'Procyclean 130'!A497,DATEVALUE('Procyclean 130'!A497)),"")</f>
        <v/>
      </c>
      <c r="AC1496" t="str">
        <f>IF(AA1496="","",'Procyclean 130'!B497)</f>
        <v/>
      </c>
      <c r="AD1496" t="str">
        <f>IF(AA1496="","",IFERROR(1*'Procyclean 130'!C497,IFERROR(_xludf.NUMBERVALUE('Procyclean 130'!C497,".",","),IFERROR(_xludf.NUMBERVALUE('Procyclean 130'!C497,",","."),0))))</f>
        <v/>
      </c>
      <c r="AE1496" t="str">
        <f>IF(AA1496="","",'Procyclean 130'!J497)</f>
        <v/>
      </c>
      <c r="AF1496">
        <f t="shared" si="155"/>
        <v>0</v>
      </c>
      <c r="AG1496" t="str">
        <f t="shared" si="156"/>
        <v/>
      </c>
      <c r="AH1496" t="str">
        <f t="shared" si="157"/>
        <v/>
      </c>
      <c r="AI1496">
        <f t="shared" si="158"/>
        <v>0</v>
      </c>
      <c r="AJ1496">
        <f t="shared" si="159"/>
        <v>0</v>
      </c>
      <c r="AK1496">
        <v>0</v>
      </c>
      <c r="AL1496" t="str">
        <f>IF(AA1496="","",IFERROR(IF(ISNUMBER('Procyclean 130'!D497),'Procyclean 130'!D497,IF(ISNUMBER(SEARCH("12",'Procyclean 130'!D497)),EDATE(AB1496,12),IF(ISNUMBER(SEARCH("6",'Procyclean 130'!D497)),EDATE(AB1496,6),IF(ISNUMBER(SEARCH("3",'Procyclean 130'!D497)),EDATE(AB1496,3),DATEVALUE('Procyclean 130'!D497))))),""))</f>
        <v/>
      </c>
      <c r="AM1496" t="str">
        <f t="shared" ca="1" si="160"/>
        <v/>
      </c>
    </row>
    <row r="1497" spans="27:39" x14ac:dyDescent="0.3">
      <c r="AA1497" t="str">
        <f>IF(COUNTA('Procyclean 130'!A498,'Procyclean 130'!B498,'Procyclean 130'!C498)&gt;0,"130","")</f>
        <v/>
      </c>
      <c r="AB1497" t="str">
        <f>IFERROR(IF(ISNUMBER('Procyclean 130'!A498),'Procyclean 130'!A498,DATEVALUE('Procyclean 130'!A498)),"")</f>
        <v/>
      </c>
      <c r="AC1497" t="str">
        <f>IF(AA1497="","",'Procyclean 130'!B498)</f>
        <v/>
      </c>
      <c r="AD1497" t="str">
        <f>IF(AA1497="","",IFERROR(1*'Procyclean 130'!C498,IFERROR(_xludf.NUMBERVALUE('Procyclean 130'!C498,".",","),IFERROR(_xludf.NUMBERVALUE('Procyclean 130'!C498,",","."),0))))</f>
        <v/>
      </c>
      <c r="AE1497" t="str">
        <f>IF(AA1497="","",'Procyclean 130'!J498)</f>
        <v/>
      </c>
      <c r="AF1497">
        <f t="shared" si="155"/>
        <v>0</v>
      </c>
      <c r="AG1497" t="str">
        <f t="shared" si="156"/>
        <v/>
      </c>
      <c r="AH1497" t="str">
        <f t="shared" si="157"/>
        <v/>
      </c>
      <c r="AI1497">
        <f t="shared" si="158"/>
        <v>0</v>
      </c>
      <c r="AJ1497">
        <f t="shared" si="159"/>
        <v>0</v>
      </c>
      <c r="AK1497">
        <v>0</v>
      </c>
      <c r="AL1497" t="str">
        <f>IF(AA1497="","",IFERROR(IF(ISNUMBER('Procyclean 130'!D498),'Procyclean 130'!D498,IF(ISNUMBER(SEARCH("12",'Procyclean 130'!D498)),EDATE(AB1497,12),IF(ISNUMBER(SEARCH("6",'Procyclean 130'!D498)),EDATE(AB1497,6),IF(ISNUMBER(SEARCH("3",'Procyclean 130'!D498)),EDATE(AB1497,3),DATEVALUE('Procyclean 130'!D498))))),""))</f>
        <v/>
      </c>
      <c r="AM1497" t="str">
        <f t="shared" ca="1" si="160"/>
        <v/>
      </c>
    </row>
    <row r="1498" spans="27:39" x14ac:dyDescent="0.3">
      <c r="AA1498" t="str">
        <f>IF(COUNTA('Procyclean 130'!A499,'Procyclean 130'!B499,'Procyclean 130'!C499)&gt;0,"130","")</f>
        <v/>
      </c>
      <c r="AB1498" t="str">
        <f>IFERROR(IF(ISNUMBER('Procyclean 130'!A499),'Procyclean 130'!A499,DATEVALUE('Procyclean 130'!A499)),"")</f>
        <v/>
      </c>
      <c r="AC1498" t="str">
        <f>IF(AA1498="","",'Procyclean 130'!B499)</f>
        <v/>
      </c>
      <c r="AD1498" t="str">
        <f>IF(AA1498="","",IFERROR(1*'Procyclean 130'!C499,IFERROR(_xludf.NUMBERVALUE('Procyclean 130'!C499,".",","),IFERROR(_xludf.NUMBERVALUE('Procyclean 130'!C499,",","."),0))))</f>
        <v/>
      </c>
      <c r="AE1498" t="str">
        <f>IF(AA1498="","",'Procyclean 130'!J499)</f>
        <v/>
      </c>
      <c r="AF1498">
        <f t="shared" si="155"/>
        <v>0</v>
      </c>
      <c r="AG1498" t="str">
        <f t="shared" si="156"/>
        <v/>
      </c>
      <c r="AH1498" t="str">
        <f t="shared" si="157"/>
        <v/>
      </c>
      <c r="AI1498">
        <f t="shared" si="158"/>
        <v>0</v>
      </c>
      <c r="AJ1498">
        <f t="shared" si="159"/>
        <v>0</v>
      </c>
      <c r="AK1498">
        <v>0</v>
      </c>
      <c r="AL1498" t="str">
        <f>IF(AA1498="","",IFERROR(IF(ISNUMBER('Procyclean 130'!D499),'Procyclean 130'!D499,IF(ISNUMBER(SEARCH("12",'Procyclean 130'!D499)),EDATE(AB1498,12),IF(ISNUMBER(SEARCH("6",'Procyclean 130'!D499)),EDATE(AB1498,6),IF(ISNUMBER(SEARCH("3",'Procyclean 130'!D499)),EDATE(AB1498,3),DATEVALUE('Procyclean 130'!D499))))),""))</f>
        <v/>
      </c>
      <c r="AM1498" t="str">
        <f t="shared" ca="1" si="160"/>
        <v/>
      </c>
    </row>
    <row r="1499" spans="27:39" x14ac:dyDescent="0.3">
      <c r="AA1499" t="str">
        <f>IF(COUNTA('Procyclean 130'!A500,'Procyclean 130'!B500,'Procyclean 130'!C500)&gt;0,"130","")</f>
        <v/>
      </c>
      <c r="AB1499" t="str">
        <f>IFERROR(IF(ISNUMBER('Procyclean 130'!A500),'Procyclean 130'!A500,DATEVALUE('Procyclean 130'!A500)),"")</f>
        <v/>
      </c>
      <c r="AC1499" t="str">
        <f>IF(AA1499="","",'Procyclean 130'!B500)</f>
        <v/>
      </c>
      <c r="AD1499" t="str">
        <f>IF(AA1499="","",IFERROR(1*'Procyclean 130'!C500,IFERROR(_xludf.NUMBERVALUE('Procyclean 130'!C500,".",","),IFERROR(_xludf.NUMBERVALUE('Procyclean 130'!C500,",","."),0))))</f>
        <v/>
      </c>
      <c r="AE1499" t="str">
        <f>IF(AA1499="","",'Procyclean 130'!J500)</f>
        <v/>
      </c>
      <c r="AF1499">
        <f t="shared" si="155"/>
        <v>0</v>
      </c>
      <c r="AG1499" t="str">
        <f t="shared" si="156"/>
        <v/>
      </c>
      <c r="AH1499" t="str">
        <f t="shared" si="157"/>
        <v/>
      </c>
      <c r="AI1499">
        <f t="shared" si="158"/>
        <v>0</v>
      </c>
      <c r="AJ1499">
        <f t="shared" si="159"/>
        <v>0</v>
      </c>
      <c r="AK1499">
        <v>0</v>
      </c>
      <c r="AL1499" t="str">
        <f>IF(AA1499="","",IFERROR(IF(ISNUMBER('Procyclean 130'!D500),'Procyclean 130'!D500,IF(ISNUMBER(SEARCH("12",'Procyclean 130'!D500)),EDATE(AB1499,12),IF(ISNUMBER(SEARCH("6",'Procyclean 130'!D500)),EDATE(AB1499,6),IF(ISNUMBER(SEARCH("3",'Procyclean 130'!D500)),EDATE(AB1499,3),DATEVALUE('Procyclean 130'!D500))))),""))</f>
        <v/>
      </c>
      <c r="AM1499" t="str">
        <f t="shared" ca="1" si="160"/>
        <v/>
      </c>
    </row>
    <row r="1500" spans="27:39" x14ac:dyDescent="0.3">
      <c r="AA1500" t="str">
        <f>IF(COUNTA('Procyclean 130'!A501,'Procyclean 130'!B501,'Procyclean 130'!C501)&gt;0,"130","")</f>
        <v/>
      </c>
      <c r="AB1500" t="str">
        <f>IFERROR(IF(ISNUMBER('Procyclean 130'!A501),'Procyclean 130'!A501,DATEVALUE('Procyclean 130'!A501)),"")</f>
        <v/>
      </c>
      <c r="AC1500" t="str">
        <f>IF(AA1500="","",'Procyclean 130'!B501)</f>
        <v/>
      </c>
      <c r="AD1500" t="str">
        <f>IF(AA1500="","",IFERROR(1*'Procyclean 130'!C501,IFERROR(_xludf.NUMBERVALUE('Procyclean 130'!C501,".",","),IFERROR(_xludf.NUMBERVALUE('Procyclean 130'!C501,",","."),0))))</f>
        <v/>
      </c>
      <c r="AE1500" t="str">
        <f>IF(AA1500="","",'Procyclean 130'!J501)</f>
        <v/>
      </c>
      <c r="AF1500">
        <f t="shared" si="155"/>
        <v>0</v>
      </c>
      <c r="AG1500" t="str">
        <f t="shared" si="156"/>
        <v/>
      </c>
      <c r="AH1500" t="str">
        <f t="shared" si="157"/>
        <v/>
      </c>
      <c r="AI1500">
        <f t="shared" si="158"/>
        <v>0</v>
      </c>
      <c r="AJ1500">
        <f t="shared" si="159"/>
        <v>0</v>
      </c>
      <c r="AK1500">
        <v>0</v>
      </c>
      <c r="AL1500" t="str">
        <f>IF(AA1500="","",IFERROR(IF(ISNUMBER('Procyclean 130'!D501),'Procyclean 130'!D501,IF(ISNUMBER(SEARCH("12",'Procyclean 130'!D501)),EDATE(AB1500,12),IF(ISNUMBER(SEARCH("6",'Procyclean 130'!D501)),EDATE(AB1500,6),IF(ISNUMBER(SEARCH("3",'Procyclean 130'!D501)),EDATE(AB1500,3),DATEVALUE('Procyclean 130'!D501))))),""))</f>
        <v/>
      </c>
      <c r="AM1500" t="str">
        <f t="shared" ca="1" si="160"/>
        <v/>
      </c>
    </row>
    <row r="1501" spans="27:39" x14ac:dyDescent="0.3">
      <c r="AA1501" t="str">
        <f>IF(COUNTA('Procyclean 130'!A502,'Procyclean 130'!B502,'Procyclean 130'!C502)&gt;0,"130","")</f>
        <v/>
      </c>
      <c r="AB1501" t="str">
        <f>IFERROR(IF(ISNUMBER('Procyclean 130'!A502),'Procyclean 130'!A502,DATEVALUE('Procyclean 130'!A502)),"")</f>
        <v/>
      </c>
      <c r="AC1501" t="str">
        <f>IF(AA1501="","",'Procyclean 130'!B502)</f>
        <v/>
      </c>
      <c r="AD1501" t="str">
        <f>IF(AA1501="","",IFERROR(1*'Procyclean 130'!C502,IFERROR(_xludf.NUMBERVALUE('Procyclean 130'!C502,".",","),IFERROR(_xludf.NUMBERVALUE('Procyclean 130'!C502,",","."),0))))</f>
        <v/>
      </c>
      <c r="AE1501" t="str">
        <f>IF(AA1501="","",'Procyclean 130'!J502)</f>
        <v/>
      </c>
      <c r="AF1501">
        <f t="shared" si="155"/>
        <v>0</v>
      </c>
      <c r="AG1501" t="str">
        <f t="shared" si="156"/>
        <v/>
      </c>
      <c r="AH1501" t="str">
        <f t="shared" si="157"/>
        <v/>
      </c>
      <c r="AI1501">
        <f t="shared" si="158"/>
        <v>0</v>
      </c>
      <c r="AJ1501">
        <f t="shared" si="159"/>
        <v>0</v>
      </c>
      <c r="AK1501">
        <v>0</v>
      </c>
      <c r="AL1501" t="str">
        <f>IF(AA1501="","",IFERROR(IF(ISNUMBER('Procyclean 130'!D502),'Procyclean 130'!D502,IF(ISNUMBER(SEARCH("12",'Procyclean 130'!D502)),EDATE(AB1501,12),IF(ISNUMBER(SEARCH("6",'Procyclean 130'!D502)),EDATE(AB1501,6),IF(ISNUMBER(SEARCH("3",'Procyclean 130'!D502)),EDATE(AB1501,3),DATEVALUE('Procyclean 130'!D502))))),""))</f>
        <v/>
      </c>
      <c r="AM1501" t="str">
        <f t="shared" ca="1" si="160"/>
        <v/>
      </c>
    </row>
    <row r="1502" spans="27:39" x14ac:dyDescent="0.3">
      <c r="AA1502" t="str">
        <f>IF(COUNTA('Procyclean 210'!C4,'Procyclean 210'!D4,'Procyclean 210'!E4)&gt;0,"210","")</f>
        <v/>
      </c>
      <c r="AB1502" t="str">
        <f>IFERROR(IF(ISNUMBER('Procyclean 210'!C4),'Procyclean 210'!C4,DATEVALUE('Procyclean 210'!C4)),"")</f>
        <v/>
      </c>
      <c r="AC1502" t="str">
        <f>IF(AA1502="","",'Procyclean 210'!D4)</f>
        <v/>
      </c>
      <c r="AD1502" t="str">
        <f>IF(AA1502="","",IFERROR(1*'Procyclean 210'!E4,IFERROR(_xludf.NUMBERVALUE('Procyclean 210'!E4,".",","),IFERROR(_xludf.NUMBERVALUE('Procyclean 210'!E4,",","."),0))))</f>
        <v/>
      </c>
      <c r="AE1502" t="str">
        <f>IF(AA1502="","",'Procyclean 210'!B4)</f>
        <v/>
      </c>
      <c r="AF1502">
        <f t="shared" si="155"/>
        <v>0</v>
      </c>
      <c r="AG1502" t="str">
        <f t="shared" si="156"/>
        <v/>
      </c>
      <c r="AH1502" t="str">
        <f t="shared" si="157"/>
        <v/>
      </c>
      <c r="AI1502">
        <f t="shared" si="158"/>
        <v>0</v>
      </c>
      <c r="AJ1502">
        <f t="shared" si="159"/>
        <v>0</v>
      </c>
      <c r="AK1502">
        <v>0</v>
      </c>
      <c r="AL1502" t="str">
        <f>IF(AA1502="","",IFERROR(IF(ISNUMBER('Procyclean 210'!F4),'Procyclean 210'!F4,IF(ISNUMBER(SEARCH("12",'Procyclean 210'!F4)),EDATE(AB1502,12),IF(ISNUMBER(SEARCH("6",'Procyclean 210'!F4)),EDATE(AB1502,6),IF(ISNUMBER(SEARCH("3",'Procyclean 210'!F4)),EDATE(AB1502,3),DATEVALUE('Procyclean 210'!F4))))),""))</f>
        <v/>
      </c>
      <c r="AM1502" t="str">
        <f t="shared" ca="1" si="160"/>
        <v/>
      </c>
    </row>
    <row r="1503" spans="27:39" x14ac:dyDescent="0.3">
      <c r="AA1503" t="str">
        <f>IF(COUNTA('Procyclean 210'!C5,'Procyclean 210'!D5,'Procyclean 210'!E5)&gt;0,"210","")</f>
        <v/>
      </c>
      <c r="AB1503" t="str">
        <f>IFERROR(IF(ISNUMBER('Procyclean 210'!C5),'Procyclean 210'!C5,DATEVALUE('Procyclean 210'!C5)),"")</f>
        <v/>
      </c>
      <c r="AC1503" t="str">
        <f>IF(AA1503="","",'Procyclean 210'!D5)</f>
        <v/>
      </c>
      <c r="AD1503" t="str">
        <f>IF(AA1503="","",IFERROR(1*'Procyclean 210'!E5,IFERROR(_xludf.NUMBERVALUE('Procyclean 210'!E5,".",","),IFERROR(_xludf.NUMBERVALUE('Procyclean 210'!E5,",","."),0))))</f>
        <v/>
      </c>
      <c r="AE1503" t="str">
        <f>IF(AA1503="","",'Procyclean 210'!B5)</f>
        <v/>
      </c>
      <c r="AF1503">
        <f t="shared" si="155"/>
        <v>0</v>
      </c>
      <c r="AG1503" t="str">
        <f t="shared" si="156"/>
        <v/>
      </c>
      <c r="AH1503" t="str">
        <f t="shared" si="157"/>
        <v/>
      </c>
      <c r="AI1503">
        <f t="shared" si="158"/>
        <v>0</v>
      </c>
      <c r="AJ1503">
        <f t="shared" si="159"/>
        <v>0</v>
      </c>
      <c r="AK1503">
        <v>0</v>
      </c>
      <c r="AL1503" t="str">
        <f>IF(AA1503="","",IFERROR(IF(ISNUMBER('Procyclean 210'!F5),'Procyclean 210'!F5,IF(ISNUMBER(SEARCH("12",'Procyclean 210'!F5)),EDATE(AB1503,12),IF(ISNUMBER(SEARCH("6",'Procyclean 210'!F5)),EDATE(AB1503,6),IF(ISNUMBER(SEARCH("3",'Procyclean 210'!F5)),EDATE(AB1503,3),DATEVALUE('Procyclean 210'!F5))))),""))</f>
        <v/>
      </c>
      <c r="AM1503" t="str">
        <f t="shared" ca="1" si="160"/>
        <v/>
      </c>
    </row>
    <row r="1504" spans="27:39" x14ac:dyDescent="0.3">
      <c r="AA1504" t="str">
        <f>IF(COUNTA('Procyclean 210'!C6,'Procyclean 210'!D6,'Procyclean 210'!E6)&gt;0,"210","")</f>
        <v/>
      </c>
      <c r="AB1504" t="str">
        <f>IFERROR(IF(ISNUMBER('Procyclean 210'!C6),'Procyclean 210'!C6,DATEVALUE('Procyclean 210'!C6)),"")</f>
        <v/>
      </c>
      <c r="AC1504" t="str">
        <f>IF(AA1504="","",'Procyclean 210'!D6)</f>
        <v/>
      </c>
      <c r="AD1504" t="str">
        <f>IF(AA1504="","",IFERROR(1*'Procyclean 210'!E6,IFERROR(_xludf.NUMBERVALUE('Procyclean 210'!E6,".",","),IFERROR(_xludf.NUMBERVALUE('Procyclean 210'!E6,",","."),0))))</f>
        <v/>
      </c>
      <c r="AE1504" t="str">
        <f>IF(AA1504="","",'Procyclean 210'!B6)</f>
        <v/>
      </c>
      <c r="AF1504">
        <f t="shared" si="155"/>
        <v>0</v>
      </c>
      <c r="AG1504" t="str">
        <f t="shared" si="156"/>
        <v/>
      </c>
      <c r="AH1504" t="str">
        <f t="shared" si="157"/>
        <v/>
      </c>
      <c r="AI1504">
        <f t="shared" si="158"/>
        <v>0</v>
      </c>
      <c r="AJ1504">
        <f t="shared" si="159"/>
        <v>0</v>
      </c>
      <c r="AK1504">
        <v>0</v>
      </c>
      <c r="AL1504" t="str">
        <f>IF(AA1504="","",IFERROR(IF(ISNUMBER('Procyclean 210'!F6),'Procyclean 210'!F6,IF(ISNUMBER(SEARCH("12",'Procyclean 210'!F6)),EDATE(AB1504,12),IF(ISNUMBER(SEARCH("6",'Procyclean 210'!F6)),EDATE(AB1504,6),IF(ISNUMBER(SEARCH("3",'Procyclean 210'!F6)),EDATE(AB1504,3),DATEVALUE('Procyclean 210'!F6))))),""))</f>
        <v/>
      </c>
      <c r="AM1504" t="str">
        <f t="shared" ca="1" si="160"/>
        <v/>
      </c>
    </row>
    <row r="1505" spans="27:39" x14ac:dyDescent="0.3">
      <c r="AA1505" t="str">
        <f>IF(COUNTA('Procyclean 210'!C7,'Procyclean 210'!D7,'Procyclean 210'!E7)&gt;0,"210","")</f>
        <v/>
      </c>
      <c r="AB1505" t="str">
        <f>IFERROR(IF(ISNUMBER('Procyclean 210'!C7),'Procyclean 210'!C7,DATEVALUE('Procyclean 210'!C7)),"")</f>
        <v/>
      </c>
      <c r="AC1505" t="str">
        <f>IF(AA1505="","",'Procyclean 210'!D7)</f>
        <v/>
      </c>
      <c r="AD1505" t="str">
        <f>IF(AA1505="","",IFERROR(1*'Procyclean 210'!E7,IFERROR(_xludf.NUMBERVALUE('Procyclean 210'!E7,".",","),IFERROR(_xludf.NUMBERVALUE('Procyclean 210'!E7,",","."),0))))</f>
        <v/>
      </c>
      <c r="AE1505" t="str">
        <f>IF(AA1505="","",'Procyclean 210'!B7)</f>
        <v/>
      </c>
      <c r="AF1505">
        <f t="shared" si="155"/>
        <v>0</v>
      </c>
      <c r="AG1505" t="str">
        <f t="shared" si="156"/>
        <v/>
      </c>
      <c r="AH1505" t="str">
        <f t="shared" si="157"/>
        <v/>
      </c>
      <c r="AI1505">
        <f t="shared" si="158"/>
        <v>0</v>
      </c>
      <c r="AJ1505">
        <f t="shared" si="159"/>
        <v>0</v>
      </c>
      <c r="AK1505">
        <v>0</v>
      </c>
      <c r="AL1505" t="str">
        <f>IF(AA1505="","",IFERROR(IF(ISNUMBER('Procyclean 210'!F7),'Procyclean 210'!F7,IF(ISNUMBER(SEARCH("12",'Procyclean 210'!F7)),EDATE(AB1505,12),IF(ISNUMBER(SEARCH("6",'Procyclean 210'!F7)),EDATE(AB1505,6),IF(ISNUMBER(SEARCH("3",'Procyclean 210'!F7)),EDATE(AB1505,3),DATEVALUE('Procyclean 210'!F7))))),""))</f>
        <v/>
      </c>
      <c r="AM1505" t="str">
        <f t="shared" ca="1" si="160"/>
        <v/>
      </c>
    </row>
    <row r="1506" spans="27:39" x14ac:dyDescent="0.3">
      <c r="AA1506" t="str">
        <f>IF(COUNTA('Procyclean 210'!C8,'Procyclean 210'!D8,'Procyclean 210'!E8)&gt;0,"210","")</f>
        <v/>
      </c>
      <c r="AB1506" t="str">
        <f>IFERROR(IF(ISNUMBER('Procyclean 210'!C8),'Procyclean 210'!C8,DATEVALUE('Procyclean 210'!C8)),"")</f>
        <v/>
      </c>
      <c r="AC1506" t="str">
        <f>IF(AA1506="","",'Procyclean 210'!D8)</f>
        <v/>
      </c>
      <c r="AD1506" t="str">
        <f>IF(AA1506="","",IFERROR(1*'Procyclean 210'!E8,IFERROR(_xludf.NUMBERVALUE('Procyclean 210'!E8,".",","),IFERROR(_xludf.NUMBERVALUE('Procyclean 210'!E8,",","."),0))))</f>
        <v/>
      </c>
      <c r="AE1506" t="str">
        <f>IF(AA1506="","",'Procyclean 210'!B8)</f>
        <v/>
      </c>
      <c r="AF1506">
        <f t="shared" si="155"/>
        <v>0</v>
      </c>
      <c r="AG1506" t="str">
        <f t="shared" si="156"/>
        <v/>
      </c>
      <c r="AH1506" t="str">
        <f t="shared" si="157"/>
        <v/>
      </c>
      <c r="AI1506">
        <f t="shared" si="158"/>
        <v>0</v>
      </c>
      <c r="AJ1506">
        <f t="shared" si="159"/>
        <v>0</v>
      </c>
      <c r="AK1506">
        <v>0</v>
      </c>
      <c r="AL1506" t="str">
        <f>IF(AA1506="","",IFERROR(IF(ISNUMBER('Procyclean 210'!F8),'Procyclean 210'!F8,IF(ISNUMBER(SEARCH("12",'Procyclean 210'!F8)),EDATE(AB1506,12),IF(ISNUMBER(SEARCH("6",'Procyclean 210'!F8)),EDATE(AB1506,6),IF(ISNUMBER(SEARCH("3",'Procyclean 210'!F8)),EDATE(AB1506,3),DATEVALUE('Procyclean 210'!F8))))),""))</f>
        <v/>
      </c>
      <c r="AM1506" t="str">
        <f t="shared" ca="1" si="160"/>
        <v/>
      </c>
    </row>
    <row r="1507" spans="27:39" x14ac:dyDescent="0.3">
      <c r="AA1507" t="str">
        <f>IF(COUNTA('Procyclean 210'!C9,'Procyclean 210'!D9,'Procyclean 210'!E9)&gt;0,"210","")</f>
        <v/>
      </c>
      <c r="AB1507" t="str">
        <f>IFERROR(IF(ISNUMBER('Procyclean 210'!C9),'Procyclean 210'!C9,DATEVALUE('Procyclean 210'!C9)),"")</f>
        <v/>
      </c>
      <c r="AC1507" t="str">
        <f>IF(AA1507="","",'Procyclean 210'!D9)</f>
        <v/>
      </c>
      <c r="AD1507" t="str">
        <f>IF(AA1507="","",IFERROR(1*'Procyclean 210'!E9,IFERROR(_xludf.NUMBERVALUE('Procyclean 210'!E9,".",","),IFERROR(_xludf.NUMBERVALUE('Procyclean 210'!E9,",","."),0))))</f>
        <v/>
      </c>
      <c r="AE1507" t="str">
        <f>IF(AA1507="","",'Procyclean 210'!B9)</f>
        <v/>
      </c>
      <c r="AF1507">
        <f t="shared" si="155"/>
        <v>0</v>
      </c>
      <c r="AG1507" t="str">
        <f t="shared" si="156"/>
        <v/>
      </c>
      <c r="AH1507" t="str">
        <f t="shared" si="157"/>
        <v/>
      </c>
      <c r="AI1507">
        <f t="shared" si="158"/>
        <v>0</v>
      </c>
      <c r="AJ1507">
        <f t="shared" si="159"/>
        <v>0</v>
      </c>
      <c r="AK1507">
        <v>0</v>
      </c>
      <c r="AL1507" t="str">
        <f>IF(AA1507="","",IFERROR(IF(ISNUMBER('Procyclean 210'!F9),'Procyclean 210'!F9,IF(ISNUMBER(SEARCH("12",'Procyclean 210'!F9)),EDATE(AB1507,12),IF(ISNUMBER(SEARCH("6",'Procyclean 210'!F9)),EDATE(AB1507,6),IF(ISNUMBER(SEARCH("3",'Procyclean 210'!F9)),EDATE(AB1507,3),DATEVALUE('Procyclean 210'!F9))))),""))</f>
        <v/>
      </c>
      <c r="AM1507" t="str">
        <f t="shared" ca="1" si="160"/>
        <v/>
      </c>
    </row>
    <row r="1508" spans="27:39" x14ac:dyDescent="0.3">
      <c r="AA1508" t="str">
        <f>IF(COUNTA('Procyclean 210'!C10,'Procyclean 210'!D10,'Procyclean 210'!E10)&gt;0,"210","")</f>
        <v/>
      </c>
      <c r="AB1508" t="str">
        <f>IFERROR(IF(ISNUMBER('Procyclean 210'!C10),'Procyclean 210'!C10,DATEVALUE('Procyclean 210'!C10)),"")</f>
        <v/>
      </c>
      <c r="AC1508" t="str">
        <f>IF(AA1508="","",'Procyclean 210'!D10)</f>
        <v/>
      </c>
      <c r="AD1508" t="str">
        <f>IF(AA1508="","",IFERROR(1*'Procyclean 210'!E10,IFERROR(_xludf.NUMBERVALUE('Procyclean 210'!E10,".",","),IFERROR(_xludf.NUMBERVALUE('Procyclean 210'!E10,",","."),0))))</f>
        <v/>
      </c>
      <c r="AE1508" t="str">
        <f>IF(AA1508="","",'Procyclean 210'!B10)</f>
        <v/>
      </c>
      <c r="AF1508">
        <f t="shared" si="155"/>
        <v>0</v>
      </c>
      <c r="AG1508" t="str">
        <f t="shared" si="156"/>
        <v/>
      </c>
      <c r="AH1508" t="str">
        <f t="shared" si="157"/>
        <v/>
      </c>
      <c r="AI1508">
        <f t="shared" si="158"/>
        <v>0</v>
      </c>
      <c r="AJ1508">
        <f t="shared" si="159"/>
        <v>0</v>
      </c>
      <c r="AK1508">
        <v>0</v>
      </c>
      <c r="AL1508" t="str">
        <f>IF(AA1508="","",IFERROR(IF(ISNUMBER('Procyclean 210'!F10),'Procyclean 210'!F10,IF(ISNUMBER(SEARCH("12",'Procyclean 210'!F10)),EDATE(AB1508,12),IF(ISNUMBER(SEARCH("6",'Procyclean 210'!F10)),EDATE(AB1508,6),IF(ISNUMBER(SEARCH("3",'Procyclean 210'!F10)),EDATE(AB1508,3),DATEVALUE('Procyclean 210'!F10))))),""))</f>
        <v/>
      </c>
      <c r="AM1508" t="str">
        <f t="shared" ca="1" si="160"/>
        <v/>
      </c>
    </row>
    <row r="1509" spans="27:39" x14ac:dyDescent="0.3">
      <c r="AA1509" t="str">
        <f>IF(COUNTA('Procyclean 210'!C11,'Procyclean 210'!D11,'Procyclean 210'!E11)&gt;0,"210","")</f>
        <v/>
      </c>
      <c r="AB1509" t="str">
        <f>IFERROR(IF(ISNUMBER('Procyclean 210'!C11),'Procyclean 210'!C11,DATEVALUE('Procyclean 210'!C11)),"")</f>
        <v/>
      </c>
      <c r="AC1509" t="str">
        <f>IF(AA1509="","",'Procyclean 210'!D11)</f>
        <v/>
      </c>
      <c r="AD1509" t="str">
        <f>IF(AA1509="","",IFERROR(1*'Procyclean 210'!E11,IFERROR(_xludf.NUMBERVALUE('Procyclean 210'!E11,".",","),IFERROR(_xludf.NUMBERVALUE('Procyclean 210'!E11,",","."),0))))</f>
        <v/>
      </c>
      <c r="AE1509" t="str">
        <f>IF(AA1509="","",'Procyclean 210'!B11)</f>
        <v/>
      </c>
      <c r="AF1509">
        <f t="shared" si="155"/>
        <v>0</v>
      </c>
      <c r="AG1509" t="str">
        <f t="shared" si="156"/>
        <v/>
      </c>
      <c r="AH1509" t="str">
        <f t="shared" si="157"/>
        <v/>
      </c>
      <c r="AI1509">
        <f t="shared" si="158"/>
        <v>0</v>
      </c>
      <c r="AJ1509">
        <f t="shared" si="159"/>
        <v>0</v>
      </c>
      <c r="AK1509">
        <v>0</v>
      </c>
      <c r="AL1509" t="str">
        <f>IF(AA1509="","",IFERROR(IF(ISNUMBER('Procyclean 210'!F11),'Procyclean 210'!F11,IF(ISNUMBER(SEARCH("12",'Procyclean 210'!F11)),EDATE(AB1509,12),IF(ISNUMBER(SEARCH("6",'Procyclean 210'!F11)),EDATE(AB1509,6),IF(ISNUMBER(SEARCH("3",'Procyclean 210'!F11)),EDATE(AB1509,3),DATEVALUE('Procyclean 210'!F11))))),""))</f>
        <v/>
      </c>
      <c r="AM1509" t="str">
        <f t="shared" ca="1" si="160"/>
        <v/>
      </c>
    </row>
    <row r="1510" spans="27:39" x14ac:dyDescent="0.3">
      <c r="AA1510" t="str">
        <f>IF(COUNTA('Procyclean 210'!C12,'Procyclean 210'!D12,'Procyclean 210'!E12)&gt;0,"210","")</f>
        <v/>
      </c>
      <c r="AB1510" t="str">
        <f>IFERROR(IF(ISNUMBER('Procyclean 210'!C12),'Procyclean 210'!C12,DATEVALUE('Procyclean 210'!C12)),"")</f>
        <v/>
      </c>
      <c r="AC1510" t="str">
        <f>IF(AA1510="","",'Procyclean 210'!D12)</f>
        <v/>
      </c>
      <c r="AD1510" t="str">
        <f>IF(AA1510="","",IFERROR(1*'Procyclean 210'!E12,IFERROR(_xludf.NUMBERVALUE('Procyclean 210'!E12,".",","),IFERROR(_xludf.NUMBERVALUE('Procyclean 210'!E12,",","."),0))))</f>
        <v/>
      </c>
      <c r="AE1510" t="str">
        <f>IF(AA1510="","",'Procyclean 210'!B12)</f>
        <v/>
      </c>
      <c r="AF1510">
        <f t="shared" si="155"/>
        <v>0</v>
      </c>
      <c r="AG1510" t="str">
        <f t="shared" si="156"/>
        <v/>
      </c>
      <c r="AH1510" t="str">
        <f t="shared" si="157"/>
        <v/>
      </c>
      <c r="AI1510">
        <f t="shared" si="158"/>
        <v>0</v>
      </c>
      <c r="AJ1510">
        <f t="shared" si="159"/>
        <v>0</v>
      </c>
      <c r="AK1510">
        <v>0</v>
      </c>
      <c r="AL1510" t="str">
        <f>IF(AA1510="","",IFERROR(IF(ISNUMBER('Procyclean 210'!F12),'Procyclean 210'!F12,IF(ISNUMBER(SEARCH("12",'Procyclean 210'!F12)),EDATE(AB1510,12),IF(ISNUMBER(SEARCH("6",'Procyclean 210'!F12)),EDATE(AB1510,6),IF(ISNUMBER(SEARCH("3",'Procyclean 210'!F12)),EDATE(AB1510,3),DATEVALUE('Procyclean 210'!F12))))),""))</f>
        <v/>
      </c>
      <c r="AM1510" t="str">
        <f t="shared" ca="1" si="160"/>
        <v/>
      </c>
    </row>
    <row r="1511" spans="27:39" x14ac:dyDescent="0.3">
      <c r="AA1511" t="str">
        <f>IF(COUNTA('Procyclean 210'!C13,'Procyclean 210'!D13,'Procyclean 210'!E13)&gt;0,"210","")</f>
        <v/>
      </c>
      <c r="AB1511" t="str">
        <f>IFERROR(IF(ISNUMBER('Procyclean 210'!C13),'Procyclean 210'!C13,DATEVALUE('Procyclean 210'!C13)),"")</f>
        <v/>
      </c>
      <c r="AC1511" t="str">
        <f>IF(AA1511="","",'Procyclean 210'!D13)</f>
        <v/>
      </c>
      <c r="AD1511" t="str">
        <f>IF(AA1511="","",IFERROR(1*'Procyclean 210'!E13,IFERROR(_xludf.NUMBERVALUE('Procyclean 210'!E13,".",","),IFERROR(_xludf.NUMBERVALUE('Procyclean 210'!E13,",","."),0))))</f>
        <v/>
      </c>
      <c r="AE1511" t="str">
        <f>IF(AA1511="","",'Procyclean 210'!B13)</f>
        <v/>
      </c>
      <c r="AF1511">
        <f t="shared" si="155"/>
        <v>0</v>
      </c>
      <c r="AG1511" t="str">
        <f t="shared" si="156"/>
        <v/>
      </c>
      <c r="AH1511" t="str">
        <f t="shared" si="157"/>
        <v/>
      </c>
      <c r="AI1511">
        <f t="shared" si="158"/>
        <v>0</v>
      </c>
      <c r="AJ1511">
        <f t="shared" si="159"/>
        <v>0</v>
      </c>
      <c r="AK1511">
        <v>0</v>
      </c>
      <c r="AL1511" t="str">
        <f>IF(AA1511="","",IFERROR(IF(ISNUMBER('Procyclean 210'!F13),'Procyclean 210'!F13,IF(ISNUMBER(SEARCH("12",'Procyclean 210'!F13)),EDATE(AB1511,12),IF(ISNUMBER(SEARCH("6",'Procyclean 210'!F13)),EDATE(AB1511,6),IF(ISNUMBER(SEARCH("3",'Procyclean 210'!F13)),EDATE(AB1511,3),DATEVALUE('Procyclean 210'!F13))))),""))</f>
        <v/>
      </c>
      <c r="AM1511" t="str">
        <f t="shared" ca="1" si="160"/>
        <v/>
      </c>
    </row>
    <row r="1512" spans="27:39" x14ac:dyDescent="0.3">
      <c r="AA1512" t="str">
        <f>IF(COUNTA('Procyclean 210'!C14,'Procyclean 210'!D14,'Procyclean 210'!E14)&gt;0,"210","")</f>
        <v/>
      </c>
      <c r="AB1512" t="str">
        <f>IFERROR(IF(ISNUMBER('Procyclean 210'!C14),'Procyclean 210'!C14,DATEVALUE('Procyclean 210'!C14)),"")</f>
        <v/>
      </c>
      <c r="AC1512" t="str">
        <f>IF(AA1512="","",'Procyclean 210'!D14)</f>
        <v/>
      </c>
      <c r="AD1512" t="str">
        <f>IF(AA1512="","",IFERROR(1*'Procyclean 210'!E14,IFERROR(_xludf.NUMBERVALUE('Procyclean 210'!E14,".",","),IFERROR(_xludf.NUMBERVALUE('Procyclean 210'!E14,",","."),0))))</f>
        <v/>
      </c>
      <c r="AE1512" t="str">
        <f>IF(AA1512="","",'Procyclean 210'!B14)</f>
        <v/>
      </c>
      <c r="AF1512">
        <f t="shared" si="155"/>
        <v>0</v>
      </c>
      <c r="AG1512" t="str">
        <f t="shared" si="156"/>
        <v/>
      </c>
      <c r="AH1512" t="str">
        <f t="shared" si="157"/>
        <v/>
      </c>
      <c r="AI1512">
        <f t="shared" si="158"/>
        <v>0</v>
      </c>
      <c r="AJ1512">
        <f t="shared" si="159"/>
        <v>0</v>
      </c>
      <c r="AK1512">
        <v>0</v>
      </c>
      <c r="AL1512" t="str">
        <f>IF(AA1512="","",IFERROR(IF(ISNUMBER('Procyclean 210'!F14),'Procyclean 210'!F14,IF(ISNUMBER(SEARCH("12",'Procyclean 210'!F14)),EDATE(AB1512,12),IF(ISNUMBER(SEARCH("6",'Procyclean 210'!F14)),EDATE(AB1512,6),IF(ISNUMBER(SEARCH("3",'Procyclean 210'!F14)),EDATE(AB1512,3),DATEVALUE('Procyclean 210'!F14))))),""))</f>
        <v/>
      </c>
      <c r="AM1512" t="str">
        <f t="shared" ca="1" si="160"/>
        <v/>
      </c>
    </row>
    <row r="1513" spans="27:39" x14ac:dyDescent="0.3">
      <c r="AA1513" t="str">
        <f>IF(COUNTA('Procyclean 210'!C15,'Procyclean 210'!D15,'Procyclean 210'!E15)&gt;0,"210","")</f>
        <v/>
      </c>
      <c r="AB1513" t="str">
        <f>IFERROR(IF(ISNUMBER('Procyclean 210'!C15),'Procyclean 210'!C15,DATEVALUE('Procyclean 210'!C15)),"")</f>
        <v/>
      </c>
      <c r="AC1513" t="str">
        <f>IF(AA1513="","",'Procyclean 210'!D15)</f>
        <v/>
      </c>
      <c r="AD1513" t="str">
        <f>IF(AA1513="","",IFERROR(1*'Procyclean 210'!E15,IFERROR(_xludf.NUMBERVALUE('Procyclean 210'!E15,".",","),IFERROR(_xludf.NUMBERVALUE('Procyclean 210'!E15,",","."),0))))</f>
        <v/>
      </c>
      <c r="AE1513" t="str">
        <f>IF(AA1513="","",'Procyclean 210'!B15)</f>
        <v/>
      </c>
      <c r="AF1513">
        <f t="shared" si="155"/>
        <v>0</v>
      </c>
      <c r="AG1513" t="str">
        <f t="shared" si="156"/>
        <v/>
      </c>
      <c r="AH1513" t="str">
        <f t="shared" si="157"/>
        <v/>
      </c>
      <c r="AI1513">
        <f t="shared" si="158"/>
        <v>0</v>
      </c>
      <c r="AJ1513">
        <f t="shared" si="159"/>
        <v>0</v>
      </c>
      <c r="AK1513">
        <v>0</v>
      </c>
      <c r="AL1513" t="str">
        <f>IF(AA1513="","",IFERROR(IF(ISNUMBER('Procyclean 210'!F15),'Procyclean 210'!F15,IF(ISNUMBER(SEARCH("12",'Procyclean 210'!F15)),EDATE(AB1513,12),IF(ISNUMBER(SEARCH("6",'Procyclean 210'!F15)),EDATE(AB1513,6),IF(ISNUMBER(SEARCH("3",'Procyclean 210'!F15)),EDATE(AB1513,3),DATEVALUE('Procyclean 210'!F15))))),""))</f>
        <v/>
      </c>
      <c r="AM1513" t="str">
        <f t="shared" ca="1" si="160"/>
        <v/>
      </c>
    </row>
    <row r="1514" spans="27:39" x14ac:dyDescent="0.3">
      <c r="AA1514" t="str">
        <f>IF(COUNTA('Procyclean 210'!C16,'Procyclean 210'!D16,'Procyclean 210'!E16)&gt;0,"210","")</f>
        <v/>
      </c>
      <c r="AB1514" t="str">
        <f>IFERROR(IF(ISNUMBER('Procyclean 210'!C16),'Procyclean 210'!C16,DATEVALUE('Procyclean 210'!C16)),"")</f>
        <v/>
      </c>
      <c r="AC1514" t="str">
        <f>IF(AA1514="","",'Procyclean 210'!D16)</f>
        <v/>
      </c>
      <c r="AD1514" t="str">
        <f>IF(AA1514="","",IFERROR(1*'Procyclean 210'!E16,IFERROR(_xludf.NUMBERVALUE('Procyclean 210'!E16,".",","),IFERROR(_xludf.NUMBERVALUE('Procyclean 210'!E16,",","."),0))))</f>
        <v/>
      </c>
      <c r="AE1514" t="str">
        <f>IF(AA1514="","",'Procyclean 210'!B16)</f>
        <v/>
      </c>
      <c r="AF1514">
        <f t="shared" si="155"/>
        <v>0</v>
      </c>
      <c r="AG1514" t="str">
        <f t="shared" si="156"/>
        <v/>
      </c>
      <c r="AH1514" t="str">
        <f t="shared" si="157"/>
        <v/>
      </c>
      <c r="AI1514">
        <f t="shared" si="158"/>
        <v>0</v>
      </c>
      <c r="AJ1514">
        <f t="shared" si="159"/>
        <v>0</v>
      </c>
      <c r="AK1514">
        <v>0</v>
      </c>
      <c r="AL1514" t="str">
        <f>IF(AA1514="","",IFERROR(IF(ISNUMBER('Procyclean 210'!F16),'Procyclean 210'!F16,IF(ISNUMBER(SEARCH("12",'Procyclean 210'!F16)),EDATE(AB1514,12),IF(ISNUMBER(SEARCH("6",'Procyclean 210'!F16)),EDATE(AB1514,6),IF(ISNUMBER(SEARCH("3",'Procyclean 210'!F16)),EDATE(AB1514,3),DATEVALUE('Procyclean 210'!F16))))),""))</f>
        <v/>
      </c>
      <c r="AM1514" t="str">
        <f t="shared" ca="1" si="160"/>
        <v/>
      </c>
    </row>
    <row r="1515" spans="27:39" x14ac:dyDescent="0.3">
      <c r="AA1515" t="str">
        <f>IF(COUNTA('Procyclean 210'!C17,'Procyclean 210'!D17,'Procyclean 210'!E17)&gt;0,"210","")</f>
        <v/>
      </c>
      <c r="AB1515" t="str">
        <f>IFERROR(IF(ISNUMBER('Procyclean 210'!C17),'Procyclean 210'!C17,DATEVALUE('Procyclean 210'!C17)),"")</f>
        <v/>
      </c>
      <c r="AC1515" t="str">
        <f>IF(AA1515="","",'Procyclean 210'!D17)</f>
        <v/>
      </c>
      <c r="AD1515" t="str">
        <f>IF(AA1515="","",IFERROR(1*'Procyclean 210'!E17,IFERROR(_xludf.NUMBERVALUE('Procyclean 210'!E17,".",","),IFERROR(_xludf.NUMBERVALUE('Procyclean 210'!E17,",","."),0))))</f>
        <v/>
      </c>
      <c r="AE1515" t="str">
        <f>IF(AA1515="","",'Procyclean 210'!B17)</f>
        <v/>
      </c>
      <c r="AF1515">
        <f t="shared" si="155"/>
        <v>0</v>
      </c>
      <c r="AG1515" t="str">
        <f t="shared" si="156"/>
        <v/>
      </c>
      <c r="AH1515" t="str">
        <f t="shared" si="157"/>
        <v/>
      </c>
      <c r="AI1515">
        <f t="shared" si="158"/>
        <v>0</v>
      </c>
      <c r="AJ1515">
        <f t="shared" si="159"/>
        <v>0</v>
      </c>
      <c r="AK1515">
        <v>0</v>
      </c>
      <c r="AL1515" t="str">
        <f>IF(AA1515="","",IFERROR(IF(ISNUMBER('Procyclean 210'!F17),'Procyclean 210'!F17,IF(ISNUMBER(SEARCH("12",'Procyclean 210'!F17)),EDATE(AB1515,12),IF(ISNUMBER(SEARCH("6",'Procyclean 210'!F17)),EDATE(AB1515,6),IF(ISNUMBER(SEARCH("3",'Procyclean 210'!F17)),EDATE(AB1515,3),DATEVALUE('Procyclean 210'!F17))))),""))</f>
        <v/>
      </c>
      <c r="AM1515" t="str">
        <f t="shared" ca="1" si="160"/>
        <v/>
      </c>
    </row>
    <row r="1516" spans="27:39" x14ac:dyDescent="0.3">
      <c r="AA1516" t="str">
        <f>IF(COUNTA('Procyclean 210'!C18,'Procyclean 210'!D18,'Procyclean 210'!E18)&gt;0,"210","")</f>
        <v/>
      </c>
      <c r="AB1516" t="str">
        <f>IFERROR(IF(ISNUMBER('Procyclean 210'!C18),'Procyclean 210'!C18,DATEVALUE('Procyclean 210'!C18)),"")</f>
        <v/>
      </c>
      <c r="AC1516" t="str">
        <f>IF(AA1516="","",'Procyclean 210'!D18)</f>
        <v/>
      </c>
      <c r="AD1516" t="str">
        <f>IF(AA1516="","",IFERROR(1*'Procyclean 210'!E18,IFERROR(_xludf.NUMBERVALUE('Procyclean 210'!E18,".",","),IFERROR(_xludf.NUMBERVALUE('Procyclean 210'!E18,",","."),0))))</f>
        <v/>
      </c>
      <c r="AE1516" t="str">
        <f>IF(AA1516="","",'Procyclean 210'!B18)</f>
        <v/>
      </c>
      <c r="AF1516">
        <f t="shared" si="155"/>
        <v>0</v>
      </c>
      <c r="AG1516" t="str">
        <f t="shared" si="156"/>
        <v/>
      </c>
      <c r="AH1516" t="str">
        <f t="shared" si="157"/>
        <v/>
      </c>
      <c r="AI1516">
        <f t="shared" si="158"/>
        <v>0</v>
      </c>
      <c r="AJ1516">
        <f t="shared" si="159"/>
        <v>0</v>
      </c>
      <c r="AK1516">
        <v>0</v>
      </c>
      <c r="AL1516" t="str">
        <f>IF(AA1516="","",IFERROR(IF(ISNUMBER('Procyclean 210'!F18),'Procyclean 210'!F18,IF(ISNUMBER(SEARCH("12",'Procyclean 210'!F18)),EDATE(AB1516,12),IF(ISNUMBER(SEARCH("6",'Procyclean 210'!F18)),EDATE(AB1516,6),IF(ISNUMBER(SEARCH("3",'Procyclean 210'!F18)),EDATE(AB1516,3),DATEVALUE('Procyclean 210'!F18))))),""))</f>
        <v/>
      </c>
      <c r="AM1516" t="str">
        <f t="shared" ca="1" si="160"/>
        <v/>
      </c>
    </row>
    <row r="1517" spans="27:39" x14ac:dyDescent="0.3">
      <c r="AA1517" t="str">
        <f>IF(COUNTA('Procyclean 210'!C19,'Procyclean 210'!D19,'Procyclean 210'!E19)&gt;0,"210","")</f>
        <v/>
      </c>
      <c r="AB1517" t="str">
        <f>IFERROR(IF(ISNUMBER('Procyclean 210'!C19),'Procyclean 210'!C19,DATEVALUE('Procyclean 210'!C19)),"")</f>
        <v/>
      </c>
      <c r="AC1517" t="str">
        <f>IF(AA1517="","",'Procyclean 210'!D19)</f>
        <v/>
      </c>
      <c r="AD1517" t="str">
        <f>IF(AA1517="","",IFERROR(1*'Procyclean 210'!E19,IFERROR(_xludf.NUMBERVALUE('Procyclean 210'!E19,".",","),IFERROR(_xludf.NUMBERVALUE('Procyclean 210'!E19,",","."),0))))</f>
        <v/>
      </c>
      <c r="AE1517" t="str">
        <f>IF(AA1517="","",'Procyclean 210'!B19)</f>
        <v/>
      </c>
      <c r="AF1517">
        <f t="shared" si="155"/>
        <v>0</v>
      </c>
      <c r="AG1517" t="str">
        <f t="shared" si="156"/>
        <v/>
      </c>
      <c r="AH1517" t="str">
        <f t="shared" si="157"/>
        <v/>
      </c>
      <c r="AI1517">
        <f t="shared" si="158"/>
        <v>0</v>
      </c>
      <c r="AJ1517">
        <f t="shared" si="159"/>
        <v>0</v>
      </c>
      <c r="AK1517">
        <v>0</v>
      </c>
      <c r="AL1517" t="str">
        <f>IF(AA1517="","",IFERROR(IF(ISNUMBER('Procyclean 210'!F19),'Procyclean 210'!F19,IF(ISNUMBER(SEARCH("12",'Procyclean 210'!F19)),EDATE(AB1517,12),IF(ISNUMBER(SEARCH("6",'Procyclean 210'!F19)),EDATE(AB1517,6),IF(ISNUMBER(SEARCH("3",'Procyclean 210'!F19)),EDATE(AB1517,3),DATEVALUE('Procyclean 210'!F19))))),""))</f>
        <v/>
      </c>
      <c r="AM1517" t="str">
        <f t="shared" ca="1" si="160"/>
        <v/>
      </c>
    </row>
    <row r="1518" spans="27:39" x14ac:dyDescent="0.3">
      <c r="AA1518" t="str">
        <f>IF(COUNTA('Procyclean 210'!C20,'Procyclean 210'!D20,'Procyclean 210'!E20)&gt;0,"210","")</f>
        <v/>
      </c>
      <c r="AB1518" t="str">
        <f>IFERROR(IF(ISNUMBER('Procyclean 210'!C20),'Procyclean 210'!C20,DATEVALUE('Procyclean 210'!C20)),"")</f>
        <v/>
      </c>
      <c r="AC1518" t="str">
        <f>IF(AA1518="","",'Procyclean 210'!D20)</f>
        <v/>
      </c>
      <c r="AD1518" t="str">
        <f>IF(AA1518="","",IFERROR(1*'Procyclean 210'!E20,IFERROR(_xludf.NUMBERVALUE('Procyclean 210'!E20,".",","),IFERROR(_xludf.NUMBERVALUE('Procyclean 210'!E20,",","."),0))))</f>
        <v/>
      </c>
      <c r="AE1518" t="str">
        <f>IF(AA1518="","",'Procyclean 210'!B20)</f>
        <v/>
      </c>
      <c r="AF1518">
        <f t="shared" si="155"/>
        <v>0</v>
      </c>
      <c r="AG1518" t="str">
        <f t="shared" si="156"/>
        <v/>
      </c>
      <c r="AH1518" t="str">
        <f t="shared" si="157"/>
        <v/>
      </c>
      <c r="AI1518">
        <f t="shared" si="158"/>
        <v>0</v>
      </c>
      <c r="AJ1518">
        <f t="shared" si="159"/>
        <v>0</v>
      </c>
      <c r="AK1518">
        <v>0</v>
      </c>
      <c r="AL1518" t="str">
        <f>IF(AA1518="","",IFERROR(IF(ISNUMBER('Procyclean 210'!F20),'Procyclean 210'!F20,IF(ISNUMBER(SEARCH("12",'Procyclean 210'!F20)),EDATE(AB1518,12),IF(ISNUMBER(SEARCH("6",'Procyclean 210'!F20)),EDATE(AB1518,6),IF(ISNUMBER(SEARCH("3",'Procyclean 210'!F20)),EDATE(AB1518,3),DATEVALUE('Procyclean 210'!F20))))),""))</f>
        <v/>
      </c>
      <c r="AM1518" t="str">
        <f t="shared" ca="1" si="160"/>
        <v/>
      </c>
    </row>
    <row r="1519" spans="27:39" x14ac:dyDescent="0.3">
      <c r="AA1519" t="str">
        <f>IF(COUNTA('Procyclean 210'!C21,'Procyclean 210'!D21,'Procyclean 210'!E21)&gt;0,"210","")</f>
        <v/>
      </c>
      <c r="AB1519" t="str">
        <f>IFERROR(IF(ISNUMBER('Procyclean 210'!C21),'Procyclean 210'!C21,DATEVALUE('Procyclean 210'!C21)),"")</f>
        <v/>
      </c>
      <c r="AC1519" t="str">
        <f>IF(AA1519="","",'Procyclean 210'!D21)</f>
        <v/>
      </c>
      <c r="AD1519" t="str">
        <f>IF(AA1519="","",IFERROR(1*'Procyclean 210'!E21,IFERROR(_xludf.NUMBERVALUE('Procyclean 210'!E21,".",","),IFERROR(_xludf.NUMBERVALUE('Procyclean 210'!E21,",","."),0))))</f>
        <v/>
      </c>
      <c r="AE1519" t="str">
        <f>IF(AA1519="","",'Procyclean 210'!B21)</f>
        <v/>
      </c>
      <c r="AF1519">
        <f t="shared" si="155"/>
        <v>0</v>
      </c>
      <c r="AG1519" t="str">
        <f t="shared" si="156"/>
        <v/>
      </c>
      <c r="AH1519" t="str">
        <f t="shared" si="157"/>
        <v/>
      </c>
      <c r="AI1519">
        <f t="shared" si="158"/>
        <v>0</v>
      </c>
      <c r="AJ1519">
        <f t="shared" si="159"/>
        <v>0</v>
      </c>
      <c r="AK1519">
        <v>0</v>
      </c>
      <c r="AL1519" t="str">
        <f>IF(AA1519="","",IFERROR(IF(ISNUMBER('Procyclean 210'!F21),'Procyclean 210'!F21,IF(ISNUMBER(SEARCH("12",'Procyclean 210'!F21)),EDATE(AB1519,12),IF(ISNUMBER(SEARCH("6",'Procyclean 210'!F21)),EDATE(AB1519,6),IF(ISNUMBER(SEARCH("3",'Procyclean 210'!F21)),EDATE(AB1519,3),DATEVALUE('Procyclean 210'!F21))))),""))</f>
        <v/>
      </c>
      <c r="AM1519" t="str">
        <f t="shared" ca="1" si="160"/>
        <v/>
      </c>
    </row>
    <row r="1520" spans="27:39" x14ac:dyDescent="0.3">
      <c r="AA1520" t="str">
        <f>IF(COUNTA('Procyclean 210'!C22,'Procyclean 210'!D22,'Procyclean 210'!E22)&gt;0,"210","")</f>
        <v/>
      </c>
      <c r="AB1520" t="str">
        <f>IFERROR(IF(ISNUMBER('Procyclean 210'!C22),'Procyclean 210'!C22,DATEVALUE('Procyclean 210'!C22)),"")</f>
        <v/>
      </c>
      <c r="AC1520" t="str">
        <f>IF(AA1520="","",'Procyclean 210'!D22)</f>
        <v/>
      </c>
      <c r="AD1520" t="str">
        <f>IF(AA1520="","",IFERROR(1*'Procyclean 210'!E22,IFERROR(_xludf.NUMBERVALUE('Procyclean 210'!E22,".",","),IFERROR(_xludf.NUMBERVALUE('Procyclean 210'!E22,",","."),0))))</f>
        <v/>
      </c>
      <c r="AE1520" t="str">
        <f>IF(AA1520="","",'Procyclean 210'!B22)</f>
        <v/>
      </c>
      <c r="AF1520">
        <f t="shared" si="155"/>
        <v>0</v>
      </c>
      <c r="AG1520" t="str">
        <f t="shared" si="156"/>
        <v/>
      </c>
      <c r="AH1520" t="str">
        <f t="shared" si="157"/>
        <v/>
      </c>
      <c r="AI1520">
        <f t="shared" si="158"/>
        <v>0</v>
      </c>
      <c r="AJ1520">
        <f t="shared" si="159"/>
        <v>0</v>
      </c>
      <c r="AK1520">
        <v>0</v>
      </c>
      <c r="AL1520" t="str">
        <f>IF(AA1520="","",IFERROR(IF(ISNUMBER('Procyclean 210'!F22),'Procyclean 210'!F22,IF(ISNUMBER(SEARCH("12",'Procyclean 210'!F22)),EDATE(AB1520,12),IF(ISNUMBER(SEARCH("6",'Procyclean 210'!F22)),EDATE(AB1520,6),IF(ISNUMBER(SEARCH("3",'Procyclean 210'!F22)),EDATE(AB1520,3),DATEVALUE('Procyclean 210'!F22))))),""))</f>
        <v/>
      </c>
      <c r="AM1520" t="str">
        <f t="shared" ca="1" si="160"/>
        <v/>
      </c>
    </row>
    <row r="1521" spans="27:39" x14ac:dyDescent="0.3">
      <c r="AA1521" t="str">
        <f>IF(COUNTA('Procyclean 210'!C23,'Procyclean 210'!D23,'Procyclean 210'!E23)&gt;0,"210","")</f>
        <v/>
      </c>
      <c r="AB1521" t="str">
        <f>IFERROR(IF(ISNUMBER('Procyclean 210'!C23),'Procyclean 210'!C23,DATEVALUE('Procyclean 210'!C23)),"")</f>
        <v/>
      </c>
      <c r="AC1521" t="str">
        <f>IF(AA1521="","",'Procyclean 210'!D23)</f>
        <v/>
      </c>
      <c r="AD1521" t="str">
        <f>IF(AA1521="","",IFERROR(1*'Procyclean 210'!E23,IFERROR(_xludf.NUMBERVALUE('Procyclean 210'!E23,".",","),IFERROR(_xludf.NUMBERVALUE('Procyclean 210'!E23,",","."),0))))</f>
        <v/>
      </c>
      <c r="AE1521" t="str">
        <f>IF(AA1521="","",'Procyclean 210'!B23)</f>
        <v/>
      </c>
      <c r="AF1521">
        <f t="shared" si="155"/>
        <v>0</v>
      </c>
      <c r="AG1521" t="str">
        <f t="shared" si="156"/>
        <v/>
      </c>
      <c r="AH1521" t="str">
        <f t="shared" si="157"/>
        <v/>
      </c>
      <c r="AI1521">
        <f t="shared" si="158"/>
        <v>0</v>
      </c>
      <c r="AJ1521">
        <f t="shared" si="159"/>
        <v>0</v>
      </c>
      <c r="AK1521">
        <v>0</v>
      </c>
      <c r="AL1521" t="str">
        <f>IF(AA1521="","",IFERROR(IF(ISNUMBER('Procyclean 210'!F23),'Procyclean 210'!F23,IF(ISNUMBER(SEARCH("12",'Procyclean 210'!F23)),EDATE(AB1521,12),IF(ISNUMBER(SEARCH("6",'Procyclean 210'!F23)),EDATE(AB1521,6),IF(ISNUMBER(SEARCH("3",'Procyclean 210'!F23)),EDATE(AB1521,3),DATEVALUE('Procyclean 210'!F23))))),""))</f>
        <v/>
      </c>
      <c r="AM1521" t="str">
        <f t="shared" ca="1" si="160"/>
        <v/>
      </c>
    </row>
    <row r="1522" spans="27:39" x14ac:dyDescent="0.3">
      <c r="AA1522" t="str">
        <f>IF(COUNTA('Procyclean 210'!C24,'Procyclean 210'!D24,'Procyclean 210'!E24)&gt;0,"210","")</f>
        <v/>
      </c>
      <c r="AB1522" t="str">
        <f>IFERROR(IF(ISNUMBER('Procyclean 210'!C24),'Procyclean 210'!C24,DATEVALUE('Procyclean 210'!C24)),"")</f>
        <v/>
      </c>
      <c r="AC1522" t="str">
        <f>IF(AA1522="","",'Procyclean 210'!D24)</f>
        <v/>
      </c>
      <c r="AD1522" t="str">
        <f>IF(AA1522="","",IFERROR(1*'Procyclean 210'!E24,IFERROR(_xludf.NUMBERVALUE('Procyclean 210'!E24,".",","),IFERROR(_xludf.NUMBERVALUE('Procyclean 210'!E24,",","."),0))))</f>
        <v/>
      </c>
      <c r="AE1522" t="str">
        <f>IF(AA1522="","",'Procyclean 210'!B24)</f>
        <v/>
      </c>
      <c r="AF1522">
        <f t="shared" si="155"/>
        <v>0</v>
      </c>
      <c r="AG1522" t="str">
        <f t="shared" si="156"/>
        <v/>
      </c>
      <c r="AH1522" t="str">
        <f t="shared" si="157"/>
        <v/>
      </c>
      <c r="AI1522">
        <f t="shared" si="158"/>
        <v>0</v>
      </c>
      <c r="AJ1522">
        <f t="shared" si="159"/>
        <v>0</v>
      </c>
      <c r="AK1522">
        <v>0</v>
      </c>
      <c r="AL1522" t="str">
        <f>IF(AA1522="","",IFERROR(IF(ISNUMBER('Procyclean 210'!F24),'Procyclean 210'!F24,IF(ISNUMBER(SEARCH("12",'Procyclean 210'!F24)),EDATE(AB1522,12),IF(ISNUMBER(SEARCH("6",'Procyclean 210'!F24)),EDATE(AB1522,6),IF(ISNUMBER(SEARCH("3",'Procyclean 210'!F24)),EDATE(AB1522,3),DATEVALUE('Procyclean 210'!F24))))),""))</f>
        <v/>
      </c>
      <c r="AM1522" t="str">
        <f t="shared" ca="1" si="160"/>
        <v/>
      </c>
    </row>
    <row r="1523" spans="27:39" x14ac:dyDescent="0.3">
      <c r="AA1523" t="str">
        <f>IF(COUNTA('Procyclean 210'!C25,'Procyclean 210'!D25,'Procyclean 210'!E25)&gt;0,"210","")</f>
        <v/>
      </c>
      <c r="AB1523" t="str">
        <f>IFERROR(IF(ISNUMBER('Procyclean 210'!C25),'Procyclean 210'!C25,DATEVALUE('Procyclean 210'!C25)),"")</f>
        <v/>
      </c>
      <c r="AC1523" t="str">
        <f>IF(AA1523="","",'Procyclean 210'!D25)</f>
        <v/>
      </c>
      <c r="AD1523" t="str">
        <f>IF(AA1523="","",IFERROR(1*'Procyclean 210'!E25,IFERROR(_xludf.NUMBERVALUE('Procyclean 210'!E25,".",","),IFERROR(_xludf.NUMBERVALUE('Procyclean 210'!E25,",","."),0))))</f>
        <v/>
      </c>
      <c r="AE1523" t="str">
        <f>IF(AA1523="","",'Procyclean 210'!B25)</f>
        <v/>
      </c>
      <c r="AF1523">
        <f t="shared" si="155"/>
        <v>0</v>
      </c>
      <c r="AG1523" t="str">
        <f t="shared" si="156"/>
        <v/>
      </c>
      <c r="AH1523" t="str">
        <f t="shared" si="157"/>
        <v/>
      </c>
      <c r="AI1523">
        <f t="shared" si="158"/>
        <v>0</v>
      </c>
      <c r="AJ1523">
        <f t="shared" si="159"/>
        <v>0</v>
      </c>
      <c r="AK1523">
        <v>0</v>
      </c>
      <c r="AL1523" t="str">
        <f>IF(AA1523="","",IFERROR(IF(ISNUMBER('Procyclean 210'!F25),'Procyclean 210'!F25,IF(ISNUMBER(SEARCH("12",'Procyclean 210'!F25)),EDATE(AB1523,12),IF(ISNUMBER(SEARCH("6",'Procyclean 210'!F25)),EDATE(AB1523,6),IF(ISNUMBER(SEARCH("3",'Procyclean 210'!F25)),EDATE(AB1523,3),DATEVALUE('Procyclean 210'!F25))))),""))</f>
        <v/>
      </c>
      <c r="AM1523" t="str">
        <f t="shared" ca="1" si="160"/>
        <v/>
      </c>
    </row>
    <row r="1524" spans="27:39" x14ac:dyDescent="0.3">
      <c r="AA1524" t="str">
        <f>IF(COUNTA('Procyclean 210'!C26,'Procyclean 210'!D26,'Procyclean 210'!E26)&gt;0,"210","")</f>
        <v/>
      </c>
      <c r="AB1524" t="str">
        <f>IFERROR(IF(ISNUMBER('Procyclean 210'!C26),'Procyclean 210'!C26,DATEVALUE('Procyclean 210'!C26)),"")</f>
        <v/>
      </c>
      <c r="AC1524" t="str">
        <f>IF(AA1524="","",'Procyclean 210'!D26)</f>
        <v/>
      </c>
      <c r="AD1524" t="str">
        <f>IF(AA1524="","",IFERROR(1*'Procyclean 210'!E26,IFERROR(_xludf.NUMBERVALUE('Procyclean 210'!E26,".",","),IFERROR(_xludf.NUMBERVALUE('Procyclean 210'!E26,",","."),0))))</f>
        <v/>
      </c>
      <c r="AE1524" t="str">
        <f>IF(AA1524="","",'Procyclean 210'!B26)</f>
        <v/>
      </c>
      <c r="AF1524">
        <f t="shared" si="155"/>
        <v>0</v>
      </c>
      <c r="AG1524" t="str">
        <f t="shared" si="156"/>
        <v/>
      </c>
      <c r="AH1524" t="str">
        <f t="shared" si="157"/>
        <v/>
      </c>
      <c r="AI1524">
        <f t="shared" si="158"/>
        <v>0</v>
      </c>
      <c r="AJ1524">
        <f t="shared" si="159"/>
        <v>0</v>
      </c>
      <c r="AK1524">
        <v>0</v>
      </c>
      <c r="AL1524" t="str">
        <f>IF(AA1524="","",IFERROR(IF(ISNUMBER('Procyclean 210'!F26),'Procyclean 210'!F26,IF(ISNUMBER(SEARCH("12",'Procyclean 210'!F26)),EDATE(AB1524,12),IF(ISNUMBER(SEARCH("6",'Procyclean 210'!F26)),EDATE(AB1524,6),IF(ISNUMBER(SEARCH("3",'Procyclean 210'!F26)),EDATE(AB1524,3),DATEVALUE('Procyclean 210'!F26))))),""))</f>
        <v/>
      </c>
      <c r="AM1524" t="str">
        <f t="shared" ca="1" si="160"/>
        <v/>
      </c>
    </row>
    <row r="1525" spans="27:39" x14ac:dyDescent="0.3">
      <c r="AA1525" t="str">
        <f>IF(COUNTA('Procyclean 210'!C27,'Procyclean 210'!D27,'Procyclean 210'!E27)&gt;0,"210","")</f>
        <v/>
      </c>
      <c r="AB1525" t="str">
        <f>IFERROR(IF(ISNUMBER('Procyclean 210'!C27),'Procyclean 210'!C27,DATEVALUE('Procyclean 210'!C27)),"")</f>
        <v/>
      </c>
      <c r="AC1525" t="str">
        <f>IF(AA1525="","",'Procyclean 210'!D27)</f>
        <v/>
      </c>
      <c r="AD1525" t="str">
        <f>IF(AA1525="","",IFERROR(1*'Procyclean 210'!E27,IFERROR(_xludf.NUMBERVALUE('Procyclean 210'!E27,".",","),IFERROR(_xludf.NUMBERVALUE('Procyclean 210'!E27,",","."),0))))</f>
        <v/>
      </c>
      <c r="AE1525" t="str">
        <f>IF(AA1525="","",'Procyclean 210'!B27)</f>
        <v/>
      </c>
      <c r="AF1525">
        <f t="shared" si="155"/>
        <v>0</v>
      </c>
      <c r="AG1525" t="str">
        <f t="shared" si="156"/>
        <v/>
      </c>
      <c r="AH1525" t="str">
        <f t="shared" si="157"/>
        <v/>
      </c>
      <c r="AI1525">
        <f t="shared" si="158"/>
        <v>0</v>
      </c>
      <c r="AJ1525">
        <f t="shared" si="159"/>
        <v>0</v>
      </c>
      <c r="AK1525">
        <v>0</v>
      </c>
      <c r="AL1525" t="str">
        <f>IF(AA1525="","",IFERROR(IF(ISNUMBER('Procyclean 210'!F27),'Procyclean 210'!F27,IF(ISNUMBER(SEARCH("12",'Procyclean 210'!F27)),EDATE(AB1525,12),IF(ISNUMBER(SEARCH("6",'Procyclean 210'!F27)),EDATE(AB1525,6),IF(ISNUMBER(SEARCH("3",'Procyclean 210'!F27)),EDATE(AB1525,3),DATEVALUE('Procyclean 210'!F27))))),""))</f>
        <v/>
      </c>
      <c r="AM1525" t="str">
        <f t="shared" ca="1" si="160"/>
        <v/>
      </c>
    </row>
    <row r="1526" spans="27:39" x14ac:dyDescent="0.3">
      <c r="AA1526" t="str">
        <f>IF(COUNTA('Procyclean 210'!C28,'Procyclean 210'!D28,'Procyclean 210'!E28)&gt;0,"210","")</f>
        <v/>
      </c>
      <c r="AB1526" t="str">
        <f>IFERROR(IF(ISNUMBER('Procyclean 210'!C28),'Procyclean 210'!C28,DATEVALUE('Procyclean 210'!C28)),"")</f>
        <v/>
      </c>
      <c r="AC1526" t="str">
        <f>IF(AA1526="","",'Procyclean 210'!D28)</f>
        <v/>
      </c>
      <c r="AD1526" t="str">
        <f>IF(AA1526="","",IFERROR(1*'Procyclean 210'!E28,IFERROR(_xludf.NUMBERVALUE('Procyclean 210'!E28,".",","),IFERROR(_xludf.NUMBERVALUE('Procyclean 210'!E28,",","."),0))))</f>
        <v/>
      </c>
      <c r="AE1526" t="str">
        <f>IF(AA1526="","",'Procyclean 210'!B28)</f>
        <v/>
      </c>
      <c r="AF1526">
        <f t="shared" si="155"/>
        <v>0</v>
      </c>
      <c r="AG1526" t="str">
        <f t="shared" si="156"/>
        <v/>
      </c>
      <c r="AH1526" t="str">
        <f t="shared" si="157"/>
        <v/>
      </c>
      <c r="AI1526">
        <f t="shared" si="158"/>
        <v>0</v>
      </c>
      <c r="AJ1526">
        <f t="shared" si="159"/>
        <v>0</v>
      </c>
      <c r="AK1526">
        <v>0</v>
      </c>
      <c r="AL1526" t="str">
        <f>IF(AA1526="","",IFERROR(IF(ISNUMBER('Procyclean 210'!F28),'Procyclean 210'!F28,IF(ISNUMBER(SEARCH("12",'Procyclean 210'!F28)),EDATE(AB1526,12),IF(ISNUMBER(SEARCH("6",'Procyclean 210'!F28)),EDATE(AB1526,6),IF(ISNUMBER(SEARCH("3",'Procyclean 210'!F28)),EDATE(AB1526,3),DATEVALUE('Procyclean 210'!F28))))),""))</f>
        <v/>
      </c>
      <c r="AM1526" t="str">
        <f t="shared" ca="1" si="160"/>
        <v/>
      </c>
    </row>
    <row r="1527" spans="27:39" x14ac:dyDescent="0.3">
      <c r="AA1527" t="str">
        <f>IF(COUNTA('Procyclean 210'!C29,'Procyclean 210'!D29,'Procyclean 210'!E29)&gt;0,"210","")</f>
        <v/>
      </c>
      <c r="AB1527" t="str">
        <f>IFERROR(IF(ISNUMBER('Procyclean 210'!C29),'Procyclean 210'!C29,DATEVALUE('Procyclean 210'!C29)),"")</f>
        <v/>
      </c>
      <c r="AC1527" t="str">
        <f>IF(AA1527="","",'Procyclean 210'!D29)</f>
        <v/>
      </c>
      <c r="AD1527" t="str">
        <f>IF(AA1527="","",IFERROR(1*'Procyclean 210'!E29,IFERROR(_xludf.NUMBERVALUE('Procyclean 210'!E29,".",","),IFERROR(_xludf.NUMBERVALUE('Procyclean 210'!E29,",","."),0))))</f>
        <v/>
      </c>
      <c r="AE1527" t="str">
        <f>IF(AA1527="","",'Procyclean 210'!B29)</f>
        <v/>
      </c>
      <c r="AF1527">
        <f t="shared" si="155"/>
        <v>0</v>
      </c>
      <c r="AG1527" t="str">
        <f t="shared" si="156"/>
        <v/>
      </c>
      <c r="AH1527" t="str">
        <f t="shared" si="157"/>
        <v/>
      </c>
      <c r="AI1527">
        <f t="shared" si="158"/>
        <v>0</v>
      </c>
      <c r="AJ1527">
        <f t="shared" si="159"/>
        <v>0</v>
      </c>
      <c r="AK1527">
        <v>0</v>
      </c>
      <c r="AL1527" t="str">
        <f>IF(AA1527="","",IFERROR(IF(ISNUMBER('Procyclean 210'!F29),'Procyclean 210'!F29,IF(ISNUMBER(SEARCH("12",'Procyclean 210'!F29)),EDATE(AB1527,12),IF(ISNUMBER(SEARCH("6",'Procyclean 210'!F29)),EDATE(AB1527,6),IF(ISNUMBER(SEARCH("3",'Procyclean 210'!F29)),EDATE(AB1527,3),DATEVALUE('Procyclean 210'!F29))))),""))</f>
        <v/>
      </c>
      <c r="AM1527" t="str">
        <f t="shared" ca="1" si="160"/>
        <v/>
      </c>
    </row>
    <row r="1528" spans="27:39" x14ac:dyDescent="0.3">
      <c r="AA1528" t="str">
        <f>IF(COUNTA('Procyclean 210'!C30,'Procyclean 210'!D30,'Procyclean 210'!E30)&gt;0,"210","")</f>
        <v/>
      </c>
      <c r="AB1528" t="str">
        <f>IFERROR(IF(ISNUMBER('Procyclean 210'!C30),'Procyclean 210'!C30,DATEVALUE('Procyclean 210'!C30)),"")</f>
        <v/>
      </c>
      <c r="AC1528" t="str">
        <f>IF(AA1528="","",'Procyclean 210'!D30)</f>
        <v/>
      </c>
      <c r="AD1528" t="str">
        <f>IF(AA1528="","",IFERROR(1*'Procyclean 210'!E30,IFERROR(_xludf.NUMBERVALUE('Procyclean 210'!E30,".",","),IFERROR(_xludf.NUMBERVALUE('Procyclean 210'!E30,",","."),0))))</f>
        <v/>
      </c>
      <c r="AE1528" t="str">
        <f>IF(AA1528="","",'Procyclean 210'!B30)</f>
        <v/>
      </c>
      <c r="AF1528">
        <f t="shared" si="155"/>
        <v>0</v>
      </c>
      <c r="AG1528" t="str">
        <f t="shared" si="156"/>
        <v/>
      </c>
      <c r="AH1528" t="str">
        <f t="shared" si="157"/>
        <v/>
      </c>
      <c r="AI1528">
        <f t="shared" si="158"/>
        <v>0</v>
      </c>
      <c r="AJ1528">
        <f t="shared" si="159"/>
        <v>0</v>
      </c>
      <c r="AK1528">
        <v>0</v>
      </c>
      <c r="AL1528" t="str">
        <f>IF(AA1528="","",IFERROR(IF(ISNUMBER('Procyclean 210'!F30),'Procyclean 210'!F30,IF(ISNUMBER(SEARCH("12",'Procyclean 210'!F30)),EDATE(AB1528,12),IF(ISNUMBER(SEARCH("6",'Procyclean 210'!F30)),EDATE(AB1528,6),IF(ISNUMBER(SEARCH("3",'Procyclean 210'!F30)),EDATE(AB1528,3),DATEVALUE('Procyclean 210'!F30))))),""))</f>
        <v/>
      </c>
      <c r="AM1528" t="str">
        <f t="shared" ca="1" si="160"/>
        <v/>
      </c>
    </row>
    <row r="1529" spans="27:39" x14ac:dyDescent="0.3">
      <c r="AA1529" t="str">
        <f>IF(COUNTA('Procyclean 210'!C31,'Procyclean 210'!D31,'Procyclean 210'!E31)&gt;0,"210","")</f>
        <v/>
      </c>
      <c r="AB1529" t="str">
        <f>IFERROR(IF(ISNUMBER('Procyclean 210'!C31),'Procyclean 210'!C31,DATEVALUE('Procyclean 210'!C31)),"")</f>
        <v/>
      </c>
      <c r="AC1529" t="str">
        <f>IF(AA1529="","",'Procyclean 210'!D31)</f>
        <v/>
      </c>
      <c r="AD1529" t="str">
        <f>IF(AA1529="","",IFERROR(1*'Procyclean 210'!E31,IFERROR(_xludf.NUMBERVALUE('Procyclean 210'!E31,".",","),IFERROR(_xludf.NUMBERVALUE('Procyclean 210'!E31,",","."),0))))</f>
        <v/>
      </c>
      <c r="AE1529" t="str">
        <f>IF(AA1529="","",'Procyclean 210'!B31)</f>
        <v/>
      </c>
      <c r="AF1529">
        <f t="shared" si="155"/>
        <v>0</v>
      </c>
      <c r="AG1529" t="str">
        <f t="shared" si="156"/>
        <v/>
      </c>
      <c r="AH1529" t="str">
        <f t="shared" si="157"/>
        <v/>
      </c>
      <c r="AI1529">
        <f t="shared" si="158"/>
        <v>0</v>
      </c>
      <c r="AJ1529">
        <f t="shared" si="159"/>
        <v>0</v>
      </c>
      <c r="AK1529">
        <v>0</v>
      </c>
      <c r="AL1529" t="str">
        <f>IF(AA1529="","",IFERROR(IF(ISNUMBER('Procyclean 210'!F31),'Procyclean 210'!F31,IF(ISNUMBER(SEARCH("12",'Procyclean 210'!F31)),EDATE(AB1529,12),IF(ISNUMBER(SEARCH("6",'Procyclean 210'!F31)),EDATE(AB1529,6),IF(ISNUMBER(SEARCH("3",'Procyclean 210'!F31)),EDATE(AB1529,3),DATEVALUE('Procyclean 210'!F31))))),""))</f>
        <v/>
      </c>
      <c r="AM1529" t="str">
        <f t="shared" ca="1" si="160"/>
        <v/>
      </c>
    </row>
    <row r="1530" spans="27:39" x14ac:dyDescent="0.3">
      <c r="AA1530" t="str">
        <f>IF(COUNTA('Procyclean 210'!C32,'Procyclean 210'!D32,'Procyclean 210'!E32)&gt;0,"210","")</f>
        <v/>
      </c>
      <c r="AB1530" t="str">
        <f>IFERROR(IF(ISNUMBER('Procyclean 210'!C32),'Procyclean 210'!C32,DATEVALUE('Procyclean 210'!C32)),"")</f>
        <v/>
      </c>
      <c r="AC1530" t="str">
        <f>IF(AA1530="","",'Procyclean 210'!D32)</f>
        <v/>
      </c>
      <c r="AD1530" t="str">
        <f>IF(AA1530="","",IFERROR(1*'Procyclean 210'!E32,IFERROR(_xludf.NUMBERVALUE('Procyclean 210'!E32,".",","),IFERROR(_xludf.NUMBERVALUE('Procyclean 210'!E32,",","."),0))))</f>
        <v/>
      </c>
      <c r="AE1530" t="str">
        <f>IF(AA1530="","",'Procyclean 210'!B32)</f>
        <v/>
      </c>
      <c r="AF1530">
        <f t="shared" si="155"/>
        <v>0</v>
      </c>
      <c r="AG1530" t="str">
        <f t="shared" si="156"/>
        <v/>
      </c>
      <c r="AH1530" t="str">
        <f t="shared" si="157"/>
        <v/>
      </c>
      <c r="AI1530">
        <f t="shared" si="158"/>
        <v>0</v>
      </c>
      <c r="AJ1530">
        <f t="shared" si="159"/>
        <v>0</v>
      </c>
      <c r="AK1530">
        <v>0</v>
      </c>
      <c r="AL1530" t="str">
        <f>IF(AA1530="","",IFERROR(IF(ISNUMBER('Procyclean 210'!F32),'Procyclean 210'!F32,IF(ISNUMBER(SEARCH("12",'Procyclean 210'!F32)),EDATE(AB1530,12),IF(ISNUMBER(SEARCH("6",'Procyclean 210'!F32)),EDATE(AB1530,6),IF(ISNUMBER(SEARCH("3",'Procyclean 210'!F32)),EDATE(AB1530,3),DATEVALUE('Procyclean 210'!F32))))),""))</f>
        <v/>
      </c>
      <c r="AM1530" t="str">
        <f t="shared" ca="1" si="160"/>
        <v/>
      </c>
    </row>
    <row r="1531" spans="27:39" x14ac:dyDescent="0.3">
      <c r="AA1531" t="str">
        <f>IF(COUNTA('Procyclean 210'!C33,'Procyclean 210'!D33,'Procyclean 210'!E33)&gt;0,"210","")</f>
        <v/>
      </c>
      <c r="AB1531" t="str">
        <f>IFERROR(IF(ISNUMBER('Procyclean 210'!C33),'Procyclean 210'!C33,DATEVALUE('Procyclean 210'!C33)),"")</f>
        <v/>
      </c>
      <c r="AC1531" t="str">
        <f>IF(AA1531="","",'Procyclean 210'!D33)</f>
        <v/>
      </c>
      <c r="AD1531" t="str">
        <f>IF(AA1531="","",IFERROR(1*'Procyclean 210'!E33,IFERROR(_xludf.NUMBERVALUE('Procyclean 210'!E33,".",","),IFERROR(_xludf.NUMBERVALUE('Procyclean 210'!E33,",","."),0))))</f>
        <v/>
      </c>
      <c r="AE1531" t="str">
        <f>IF(AA1531="","",'Procyclean 210'!B33)</f>
        <v/>
      </c>
      <c r="AF1531">
        <f t="shared" si="155"/>
        <v>0</v>
      </c>
      <c r="AG1531" t="str">
        <f t="shared" si="156"/>
        <v/>
      </c>
      <c r="AH1531" t="str">
        <f t="shared" si="157"/>
        <v/>
      </c>
      <c r="AI1531">
        <f t="shared" si="158"/>
        <v>0</v>
      </c>
      <c r="AJ1531">
        <f t="shared" si="159"/>
        <v>0</v>
      </c>
      <c r="AK1531">
        <v>0</v>
      </c>
      <c r="AL1531" t="str">
        <f>IF(AA1531="","",IFERROR(IF(ISNUMBER('Procyclean 210'!F33),'Procyclean 210'!F33,IF(ISNUMBER(SEARCH("12",'Procyclean 210'!F33)),EDATE(AB1531,12),IF(ISNUMBER(SEARCH("6",'Procyclean 210'!F33)),EDATE(AB1531,6),IF(ISNUMBER(SEARCH("3",'Procyclean 210'!F33)),EDATE(AB1531,3),DATEVALUE('Procyclean 210'!F33))))),""))</f>
        <v/>
      </c>
      <c r="AM1531" t="str">
        <f t="shared" ca="1" si="160"/>
        <v/>
      </c>
    </row>
    <row r="1532" spans="27:39" x14ac:dyDescent="0.3">
      <c r="AA1532" t="str">
        <f>IF(COUNTA('Procyclean 210'!C34,'Procyclean 210'!D34,'Procyclean 210'!E34)&gt;0,"210","")</f>
        <v/>
      </c>
      <c r="AB1532" t="str">
        <f>IFERROR(IF(ISNUMBER('Procyclean 210'!C34),'Procyclean 210'!C34,DATEVALUE('Procyclean 210'!C34)),"")</f>
        <v/>
      </c>
      <c r="AC1532" t="str">
        <f>IF(AA1532="","",'Procyclean 210'!D34)</f>
        <v/>
      </c>
      <c r="AD1532" t="str">
        <f>IF(AA1532="","",IFERROR(1*'Procyclean 210'!E34,IFERROR(_xludf.NUMBERVALUE('Procyclean 210'!E34,".",","),IFERROR(_xludf.NUMBERVALUE('Procyclean 210'!E34,",","."),0))))</f>
        <v/>
      </c>
      <c r="AE1532" t="str">
        <f>IF(AA1532="","",'Procyclean 210'!B34)</f>
        <v/>
      </c>
      <c r="AF1532">
        <f t="shared" si="155"/>
        <v>0</v>
      </c>
      <c r="AG1532" t="str">
        <f t="shared" si="156"/>
        <v/>
      </c>
      <c r="AH1532" t="str">
        <f t="shared" si="157"/>
        <v/>
      </c>
      <c r="AI1532">
        <f t="shared" si="158"/>
        <v>0</v>
      </c>
      <c r="AJ1532">
        <f t="shared" si="159"/>
        <v>0</v>
      </c>
      <c r="AK1532">
        <v>0</v>
      </c>
      <c r="AL1532" t="str">
        <f>IF(AA1532="","",IFERROR(IF(ISNUMBER('Procyclean 210'!F34),'Procyclean 210'!F34,IF(ISNUMBER(SEARCH("12",'Procyclean 210'!F34)),EDATE(AB1532,12),IF(ISNUMBER(SEARCH("6",'Procyclean 210'!F34)),EDATE(AB1532,6),IF(ISNUMBER(SEARCH("3",'Procyclean 210'!F34)),EDATE(AB1532,3),DATEVALUE('Procyclean 210'!F34))))),""))</f>
        <v/>
      </c>
      <c r="AM1532" t="str">
        <f t="shared" ca="1" si="160"/>
        <v/>
      </c>
    </row>
    <row r="1533" spans="27:39" x14ac:dyDescent="0.3">
      <c r="AA1533" t="str">
        <f>IF(COUNTA('Procyclean 210'!C35,'Procyclean 210'!D35,'Procyclean 210'!E35)&gt;0,"210","")</f>
        <v/>
      </c>
      <c r="AB1533" t="str">
        <f>IFERROR(IF(ISNUMBER('Procyclean 210'!C35),'Procyclean 210'!C35,DATEVALUE('Procyclean 210'!C35)),"")</f>
        <v/>
      </c>
      <c r="AC1533" t="str">
        <f>IF(AA1533="","",'Procyclean 210'!D35)</f>
        <v/>
      </c>
      <c r="AD1533" t="str">
        <f>IF(AA1533="","",IFERROR(1*'Procyclean 210'!E35,IFERROR(_xludf.NUMBERVALUE('Procyclean 210'!E35,".",","),IFERROR(_xludf.NUMBERVALUE('Procyclean 210'!E35,",","."),0))))</f>
        <v/>
      </c>
      <c r="AE1533" t="str">
        <f>IF(AA1533="","",'Procyclean 210'!B35)</f>
        <v/>
      </c>
      <c r="AF1533">
        <f t="shared" si="155"/>
        <v>0</v>
      </c>
      <c r="AG1533" t="str">
        <f t="shared" si="156"/>
        <v/>
      </c>
      <c r="AH1533" t="str">
        <f t="shared" si="157"/>
        <v/>
      </c>
      <c r="AI1533">
        <f t="shared" si="158"/>
        <v>0</v>
      </c>
      <c r="AJ1533">
        <f t="shared" si="159"/>
        <v>0</v>
      </c>
      <c r="AK1533">
        <v>0</v>
      </c>
      <c r="AL1533" t="str">
        <f>IF(AA1533="","",IFERROR(IF(ISNUMBER('Procyclean 210'!F35),'Procyclean 210'!F35,IF(ISNUMBER(SEARCH("12",'Procyclean 210'!F35)),EDATE(AB1533,12),IF(ISNUMBER(SEARCH("6",'Procyclean 210'!F35)),EDATE(AB1533,6),IF(ISNUMBER(SEARCH("3",'Procyclean 210'!F35)),EDATE(AB1533,3),DATEVALUE('Procyclean 210'!F35))))),""))</f>
        <v/>
      </c>
      <c r="AM1533" t="str">
        <f t="shared" ca="1" si="160"/>
        <v/>
      </c>
    </row>
    <row r="1534" spans="27:39" x14ac:dyDescent="0.3">
      <c r="AA1534" t="str">
        <f>IF(COUNTA('Procyclean 210'!C36,'Procyclean 210'!D36,'Procyclean 210'!E36)&gt;0,"210","")</f>
        <v/>
      </c>
      <c r="AB1534" t="str">
        <f>IFERROR(IF(ISNUMBER('Procyclean 210'!C36),'Procyclean 210'!C36,DATEVALUE('Procyclean 210'!C36)),"")</f>
        <v/>
      </c>
      <c r="AC1534" t="str">
        <f>IF(AA1534="","",'Procyclean 210'!D36)</f>
        <v/>
      </c>
      <c r="AD1534" t="str">
        <f>IF(AA1534="","",IFERROR(1*'Procyclean 210'!E36,IFERROR(_xludf.NUMBERVALUE('Procyclean 210'!E36,".",","),IFERROR(_xludf.NUMBERVALUE('Procyclean 210'!E36,",","."),0))))</f>
        <v/>
      </c>
      <c r="AE1534" t="str">
        <f>IF(AA1534="","",'Procyclean 210'!B36)</f>
        <v/>
      </c>
      <c r="AF1534">
        <f t="shared" si="155"/>
        <v>0</v>
      </c>
      <c r="AG1534" t="str">
        <f t="shared" si="156"/>
        <v/>
      </c>
      <c r="AH1534" t="str">
        <f t="shared" si="157"/>
        <v/>
      </c>
      <c r="AI1534">
        <f t="shared" si="158"/>
        <v>0</v>
      </c>
      <c r="AJ1534">
        <f t="shared" si="159"/>
        <v>0</v>
      </c>
      <c r="AK1534">
        <v>0</v>
      </c>
      <c r="AL1534" t="str">
        <f>IF(AA1534="","",IFERROR(IF(ISNUMBER('Procyclean 210'!F36),'Procyclean 210'!F36,IF(ISNUMBER(SEARCH("12",'Procyclean 210'!F36)),EDATE(AB1534,12),IF(ISNUMBER(SEARCH("6",'Procyclean 210'!F36)),EDATE(AB1534,6),IF(ISNUMBER(SEARCH("3",'Procyclean 210'!F36)),EDATE(AB1534,3),DATEVALUE('Procyclean 210'!F36))))),""))</f>
        <v/>
      </c>
      <c r="AM1534" t="str">
        <f t="shared" ca="1" si="160"/>
        <v/>
      </c>
    </row>
    <row r="1535" spans="27:39" x14ac:dyDescent="0.3">
      <c r="AA1535" t="str">
        <f>IF(COUNTA('Procyclean 210'!C37,'Procyclean 210'!D37,'Procyclean 210'!E37)&gt;0,"210","")</f>
        <v/>
      </c>
      <c r="AB1535" t="str">
        <f>IFERROR(IF(ISNUMBER('Procyclean 210'!C37),'Procyclean 210'!C37,DATEVALUE('Procyclean 210'!C37)),"")</f>
        <v/>
      </c>
      <c r="AC1535" t="str">
        <f>IF(AA1535="","",'Procyclean 210'!D37)</f>
        <v/>
      </c>
      <c r="AD1535" t="str">
        <f>IF(AA1535="","",IFERROR(1*'Procyclean 210'!E37,IFERROR(_xludf.NUMBERVALUE('Procyclean 210'!E37,".",","),IFERROR(_xludf.NUMBERVALUE('Procyclean 210'!E37,",","."),0))))</f>
        <v/>
      </c>
      <c r="AE1535" t="str">
        <f>IF(AA1535="","",'Procyclean 210'!B37)</f>
        <v/>
      </c>
      <c r="AF1535">
        <f t="shared" si="155"/>
        <v>0</v>
      </c>
      <c r="AG1535" t="str">
        <f t="shared" si="156"/>
        <v/>
      </c>
      <c r="AH1535" t="str">
        <f t="shared" si="157"/>
        <v/>
      </c>
      <c r="AI1535">
        <f t="shared" si="158"/>
        <v>0</v>
      </c>
      <c r="AJ1535">
        <f t="shared" si="159"/>
        <v>0</v>
      </c>
      <c r="AK1535">
        <v>0</v>
      </c>
      <c r="AL1535" t="str">
        <f>IF(AA1535="","",IFERROR(IF(ISNUMBER('Procyclean 210'!F37),'Procyclean 210'!F37,IF(ISNUMBER(SEARCH("12",'Procyclean 210'!F37)),EDATE(AB1535,12),IF(ISNUMBER(SEARCH("6",'Procyclean 210'!F37)),EDATE(AB1535,6),IF(ISNUMBER(SEARCH("3",'Procyclean 210'!F37)),EDATE(AB1535,3),DATEVALUE('Procyclean 210'!F37))))),""))</f>
        <v/>
      </c>
      <c r="AM1535" t="str">
        <f t="shared" ca="1" si="160"/>
        <v/>
      </c>
    </row>
    <row r="1536" spans="27:39" x14ac:dyDescent="0.3">
      <c r="AA1536" t="str">
        <f>IF(COUNTA('Procyclean 210'!C38,'Procyclean 210'!D38,'Procyclean 210'!E38)&gt;0,"210","")</f>
        <v/>
      </c>
      <c r="AB1536" t="str">
        <f>IFERROR(IF(ISNUMBER('Procyclean 210'!C38),'Procyclean 210'!C38,DATEVALUE('Procyclean 210'!C38)),"")</f>
        <v/>
      </c>
      <c r="AC1536" t="str">
        <f>IF(AA1536="","",'Procyclean 210'!D38)</f>
        <v/>
      </c>
      <c r="AD1536" t="str">
        <f>IF(AA1536="","",IFERROR(1*'Procyclean 210'!E38,IFERROR(_xludf.NUMBERVALUE('Procyclean 210'!E38,".",","),IFERROR(_xludf.NUMBERVALUE('Procyclean 210'!E38,",","."),0))))</f>
        <v/>
      </c>
      <c r="AE1536" t="str">
        <f>IF(AA1536="","",'Procyclean 210'!B38)</f>
        <v/>
      </c>
      <c r="AF1536">
        <f t="shared" si="155"/>
        <v>0</v>
      </c>
      <c r="AG1536" t="str">
        <f t="shared" si="156"/>
        <v/>
      </c>
      <c r="AH1536" t="str">
        <f t="shared" si="157"/>
        <v/>
      </c>
      <c r="AI1536">
        <f t="shared" si="158"/>
        <v>0</v>
      </c>
      <c r="AJ1536">
        <f t="shared" si="159"/>
        <v>0</v>
      </c>
      <c r="AK1536">
        <v>0</v>
      </c>
      <c r="AL1536" t="str">
        <f>IF(AA1536="","",IFERROR(IF(ISNUMBER('Procyclean 210'!F38),'Procyclean 210'!F38,IF(ISNUMBER(SEARCH("12",'Procyclean 210'!F38)),EDATE(AB1536,12),IF(ISNUMBER(SEARCH("6",'Procyclean 210'!F38)),EDATE(AB1536,6),IF(ISNUMBER(SEARCH("3",'Procyclean 210'!F38)),EDATE(AB1536,3),DATEVALUE('Procyclean 210'!F38))))),""))</f>
        <v/>
      </c>
      <c r="AM1536" t="str">
        <f t="shared" ca="1" si="160"/>
        <v/>
      </c>
    </row>
    <row r="1537" spans="27:39" x14ac:dyDescent="0.3">
      <c r="AA1537" t="str">
        <f>IF(COUNTA('Procyclean 210'!C39,'Procyclean 210'!D39,'Procyclean 210'!E39)&gt;0,"210","")</f>
        <v/>
      </c>
      <c r="AB1537" t="str">
        <f>IFERROR(IF(ISNUMBER('Procyclean 210'!C39),'Procyclean 210'!C39,DATEVALUE('Procyclean 210'!C39)),"")</f>
        <v/>
      </c>
      <c r="AC1537" t="str">
        <f>IF(AA1537="","",'Procyclean 210'!D39)</f>
        <v/>
      </c>
      <c r="AD1537" t="str">
        <f>IF(AA1537="","",IFERROR(1*'Procyclean 210'!E39,IFERROR(_xludf.NUMBERVALUE('Procyclean 210'!E39,".",","),IFERROR(_xludf.NUMBERVALUE('Procyclean 210'!E39,",","."),0))))</f>
        <v/>
      </c>
      <c r="AE1537" t="str">
        <f>IF(AA1537="","",'Procyclean 210'!B39)</f>
        <v/>
      </c>
      <c r="AF1537">
        <f t="shared" si="155"/>
        <v>0</v>
      </c>
      <c r="AG1537" t="str">
        <f t="shared" si="156"/>
        <v/>
      </c>
      <c r="AH1537" t="str">
        <f t="shared" si="157"/>
        <v/>
      </c>
      <c r="AI1537">
        <f t="shared" si="158"/>
        <v>0</v>
      </c>
      <c r="AJ1537">
        <f t="shared" si="159"/>
        <v>0</v>
      </c>
      <c r="AK1537">
        <v>0</v>
      </c>
      <c r="AL1537" t="str">
        <f>IF(AA1537="","",IFERROR(IF(ISNUMBER('Procyclean 210'!F39),'Procyclean 210'!F39,IF(ISNUMBER(SEARCH("12",'Procyclean 210'!F39)),EDATE(AB1537,12),IF(ISNUMBER(SEARCH("6",'Procyclean 210'!F39)),EDATE(AB1537,6),IF(ISNUMBER(SEARCH("3",'Procyclean 210'!F39)),EDATE(AB1537,3),DATEVALUE('Procyclean 210'!F39))))),""))</f>
        <v/>
      </c>
      <c r="AM1537" t="str">
        <f t="shared" ca="1" si="160"/>
        <v/>
      </c>
    </row>
    <row r="1538" spans="27:39" x14ac:dyDescent="0.3">
      <c r="AA1538" t="str">
        <f>IF(COUNTA('Procyclean 210'!C40,'Procyclean 210'!D40,'Procyclean 210'!E40)&gt;0,"210","")</f>
        <v/>
      </c>
      <c r="AB1538" t="str">
        <f>IFERROR(IF(ISNUMBER('Procyclean 210'!C40),'Procyclean 210'!C40,DATEVALUE('Procyclean 210'!C40)),"")</f>
        <v/>
      </c>
      <c r="AC1538" t="str">
        <f>IF(AA1538="","",'Procyclean 210'!D40)</f>
        <v/>
      </c>
      <c r="AD1538" t="str">
        <f>IF(AA1538="","",IFERROR(1*'Procyclean 210'!E40,IFERROR(_xludf.NUMBERVALUE('Procyclean 210'!E40,".",","),IFERROR(_xludf.NUMBERVALUE('Procyclean 210'!E40,",","."),0))))</f>
        <v/>
      </c>
      <c r="AE1538" t="str">
        <f>IF(AA1538="","",'Procyclean 210'!B40)</f>
        <v/>
      </c>
      <c r="AF1538">
        <f t="shared" ref="AF1538:AF1601" si="161">IF(AA1538="",0,--AND(ISNUMBER(SEARCH("aprov",AE1538)),NOT(ISNUMBER(SEARCH("reprov",AE1538)))))</f>
        <v>0</v>
      </c>
      <c r="AG1538" t="str">
        <f t="shared" ref="AG1538:AG1601" si="162">IF(AB1538="","",YEAR(AB1538))</f>
        <v/>
      </c>
      <c r="AH1538" t="str">
        <f t="shared" ref="AH1538:AH1601" si="163">IF(AB1538="","",MONTH(AB1538))</f>
        <v/>
      </c>
      <c r="AI1538">
        <f t="shared" ref="AI1538:AI1601" si="164">IF(AB1538="",0,AB1538+ROW()/1000000)</f>
        <v>0</v>
      </c>
      <c r="AJ1538">
        <f t="shared" ref="AJ1538:AJ1601" si="165">--(AA1538&lt;&gt;"")</f>
        <v>0</v>
      </c>
      <c r="AK1538">
        <v>0</v>
      </c>
      <c r="AL1538" t="str">
        <f>IF(AA1538="","",IFERROR(IF(ISNUMBER('Procyclean 210'!F40),'Procyclean 210'!F40,IF(ISNUMBER(SEARCH("12",'Procyclean 210'!F40)),EDATE(AB1538,12),IF(ISNUMBER(SEARCH("6",'Procyclean 210'!F40)),EDATE(AB1538,6),IF(ISNUMBER(SEARCH("3",'Procyclean 210'!F40)),EDATE(AB1538,3),DATEVALUE('Procyclean 210'!F40))))),""))</f>
        <v/>
      </c>
      <c r="AM1538" t="str">
        <f t="shared" ref="AM1538:AM1601" ca="1" si="166">IF(AND(AJ1538=1,AL1538&lt;&gt;"",AL1538&gt;=TODAY(),AG1538=$W$3),AL1538+ROW()/1000000,"")</f>
        <v/>
      </c>
    </row>
    <row r="1539" spans="27:39" x14ac:dyDescent="0.3">
      <c r="AA1539" t="str">
        <f>IF(COUNTA('Procyclean 210'!C41,'Procyclean 210'!D41,'Procyclean 210'!E41)&gt;0,"210","")</f>
        <v/>
      </c>
      <c r="AB1539" t="str">
        <f>IFERROR(IF(ISNUMBER('Procyclean 210'!C41),'Procyclean 210'!C41,DATEVALUE('Procyclean 210'!C41)),"")</f>
        <v/>
      </c>
      <c r="AC1539" t="str">
        <f>IF(AA1539="","",'Procyclean 210'!D41)</f>
        <v/>
      </c>
      <c r="AD1539" t="str">
        <f>IF(AA1539="","",IFERROR(1*'Procyclean 210'!E41,IFERROR(_xludf.NUMBERVALUE('Procyclean 210'!E41,".",","),IFERROR(_xludf.NUMBERVALUE('Procyclean 210'!E41,",","."),0))))</f>
        <v/>
      </c>
      <c r="AE1539" t="str">
        <f>IF(AA1539="","",'Procyclean 210'!B41)</f>
        <v/>
      </c>
      <c r="AF1539">
        <f t="shared" si="161"/>
        <v>0</v>
      </c>
      <c r="AG1539" t="str">
        <f t="shared" si="162"/>
        <v/>
      </c>
      <c r="AH1539" t="str">
        <f t="shared" si="163"/>
        <v/>
      </c>
      <c r="AI1539">
        <f t="shared" si="164"/>
        <v>0</v>
      </c>
      <c r="AJ1539">
        <f t="shared" si="165"/>
        <v>0</v>
      </c>
      <c r="AK1539">
        <v>0</v>
      </c>
      <c r="AL1539" t="str">
        <f>IF(AA1539="","",IFERROR(IF(ISNUMBER('Procyclean 210'!F41),'Procyclean 210'!F41,IF(ISNUMBER(SEARCH("12",'Procyclean 210'!F41)),EDATE(AB1539,12),IF(ISNUMBER(SEARCH("6",'Procyclean 210'!F41)),EDATE(AB1539,6),IF(ISNUMBER(SEARCH("3",'Procyclean 210'!F41)),EDATE(AB1539,3),DATEVALUE('Procyclean 210'!F41))))),""))</f>
        <v/>
      </c>
      <c r="AM1539" t="str">
        <f t="shared" ca="1" si="166"/>
        <v/>
      </c>
    </row>
    <row r="1540" spans="27:39" x14ac:dyDescent="0.3">
      <c r="AA1540" t="str">
        <f>IF(COUNTA('Procyclean 210'!C42,'Procyclean 210'!D42,'Procyclean 210'!E42)&gt;0,"210","")</f>
        <v/>
      </c>
      <c r="AB1540" t="str">
        <f>IFERROR(IF(ISNUMBER('Procyclean 210'!C42),'Procyclean 210'!C42,DATEVALUE('Procyclean 210'!C42)),"")</f>
        <v/>
      </c>
      <c r="AC1540" t="str">
        <f>IF(AA1540="","",'Procyclean 210'!D42)</f>
        <v/>
      </c>
      <c r="AD1540" t="str">
        <f>IF(AA1540="","",IFERROR(1*'Procyclean 210'!E42,IFERROR(_xludf.NUMBERVALUE('Procyclean 210'!E42,".",","),IFERROR(_xludf.NUMBERVALUE('Procyclean 210'!E42,",","."),0))))</f>
        <v/>
      </c>
      <c r="AE1540" t="str">
        <f>IF(AA1540="","",'Procyclean 210'!B42)</f>
        <v/>
      </c>
      <c r="AF1540">
        <f t="shared" si="161"/>
        <v>0</v>
      </c>
      <c r="AG1540" t="str">
        <f t="shared" si="162"/>
        <v/>
      </c>
      <c r="AH1540" t="str">
        <f t="shared" si="163"/>
        <v/>
      </c>
      <c r="AI1540">
        <f t="shared" si="164"/>
        <v>0</v>
      </c>
      <c r="AJ1540">
        <f t="shared" si="165"/>
        <v>0</v>
      </c>
      <c r="AK1540">
        <v>0</v>
      </c>
      <c r="AL1540" t="str">
        <f>IF(AA1540="","",IFERROR(IF(ISNUMBER('Procyclean 210'!F42),'Procyclean 210'!F42,IF(ISNUMBER(SEARCH("12",'Procyclean 210'!F42)),EDATE(AB1540,12),IF(ISNUMBER(SEARCH("6",'Procyclean 210'!F42)),EDATE(AB1540,6),IF(ISNUMBER(SEARCH("3",'Procyclean 210'!F42)),EDATE(AB1540,3),DATEVALUE('Procyclean 210'!F42))))),""))</f>
        <v/>
      </c>
      <c r="AM1540" t="str">
        <f t="shared" ca="1" si="166"/>
        <v/>
      </c>
    </row>
    <row r="1541" spans="27:39" x14ac:dyDescent="0.3">
      <c r="AA1541" t="str">
        <f>IF(COUNTA('Procyclean 210'!C43,'Procyclean 210'!D43,'Procyclean 210'!E43)&gt;0,"210","")</f>
        <v/>
      </c>
      <c r="AB1541" t="str">
        <f>IFERROR(IF(ISNUMBER('Procyclean 210'!C43),'Procyclean 210'!C43,DATEVALUE('Procyclean 210'!C43)),"")</f>
        <v/>
      </c>
      <c r="AC1541" t="str">
        <f>IF(AA1541="","",'Procyclean 210'!D43)</f>
        <v/>
      </c>
      <c r="AD1541" t="str">
        <f>IF(AA1541="","",IFERROR(1*'Procyclean 210'!E43,IFERROR(_xludf.NUMBERVALUE('Procyclean 210'!E43,".",","),IFERROR(_xludf.NUMBERVALUE('Procyclean 210'!E43,",","."),0))))</f>
        <v/>
      </c>
      <c r="AE1541" t="str">
        <f>IF(AA1541="","",'Procyclean 210'!B43)</f>
        <v/>
      </c>
      <c r="AF1541">
        <f t="shared" si="161"/>
        <v>0</v>
      </c>
      <c r="AG1541" t="str">
        <f t="shared" si="162"/>
        <v/>
      </c>
      <c r="AH1541" t="str">
        <f t="shared" si="163"/>
        <v/>
      </c>
      <c r="AI1541">
        <f t="shared" si="164"/>
        <v>0</v>
      </c>
      <c r="AJ1541">
        <f t="shared" si="165"/>
        <v>0</v>
      </c>
      <c r="AK1541">
        <v>0</v>
      </c>
      <c r="AL1541" t="str">
        <f>IF(AA1541="","",IFERROR(IF(ISNUMBER('Procyclean 210'!F43),'Procyclean 210'!F43,IF(ISNUMBER(SEARCH("12",'Procyclean 210'!F43)),EDATE(AB1541,12),IF(ISNUMBER(SEARCH("6",'Procyclean 210'!F43)),EDATE(AB1541,6),IF(ISNUMBER(SEARCH("3",'Procyclean 210'!F43)),EDATE(AB1541,3),DATEVALUE('Procyclean 210'!F43))))),""))</f>
        <v/>
      </c>
      <c r="AM1541" t="str">
        <f t="shared" ca="1" si="166"/>
        <v/>
      </c>
    </row>
    <row r="1542" spans="27:39" x14ac:dyDescent="0.3">
      <c r="AA1542" t="str">
        <f>IF(COUNTA('Procyclean 210'!C44,'Procyclean 210'!D44,'Procyclean 210'!E44)&gt;0,"210","")</f>
        <v/>
      </c>
      <c r="AB1542" t="str">
        <f>IFERROR(IF(ISNUMBER('Procyclean 210'!C44),'Procyclean 210'!C44,DATEVALUE('Procyclean 210'!C44)),"")</f>
        <v/>
      </c>
      <c r="AC1542" t="str">
        <f>IF(AA1542="","",'Procyclean 210'!D44)</f>
        <v/>
      </c>
      <c r="AD1542" t="str">
        <f>IF(AA1542="","",IFERROR(1*'Procyclean 210'!E44,IFERROR(_xludf.NUMBERVALUE('Procyclean 210'!E44,".",","),IFERROR(_xludf.NUMBERVALUE('Procyclean 210'!E44,",","."),0))))</f>
        <v/>
      </c>
      <c r="AE1542" t="str">
        <f>IF(AA1542="","",'Procyclean 210'!B44)</f>
        <v/>
      </c>
      <c r="AF1542">
        <f t="shared" si="161"/>
        <v>0</v>
      </c>
      <c r="AG1542" t="str">
        <f t="shared" si="162"/>
        <v/>
      </c>
      <c r="AH1542" t="str">
        <f t="shared" si="163"/>
        <v/>
      </c>
      <c r="AI1542">
        <f t="shared" si="164"/>
        <v>0</v>
      </c>
      <c r="AJ1542">
        <f t="shared" si="165"/>
        <v>0</v>
      </c>
      <c r="AK1542">
        <v>0</v>
      </c>
      <c r="AL1542" t="str">
        <f>IF(AA1542="","",IFERROR(IF(ISNUMBER('Procyclean 210'!F44),'Procyclean 210'!F44,IF(ISNUMBER(SEARCH("12",'Procyclean 210'!F44)),EDATE(AB1542,12),IF(ISNUMBER(SEARCH("6",'Procyclean 210'!F44)),EDATE(AB1542,6),IF(ISNUMBER(SEARCH("3",'Procyclean 210'!F44)),EDATE(AB1542,3),DATEVALUE('Procyclean 210'!F44))))),""))</f>
        <v/>
      </c>
      <c r="AM1542" t="str">
        <f t="shared" ca="1" si="166"/>
        <v/>
      </c>
    </row>
    <row r="1543" spans="27:39" x14ac:dyDescent="0.3">
      <c r="AA1543" t="str">
        <f>IF(COUNTA('Procyclean 210'!C45,'Procyclean 210'!D45,'Procyclean 210'!E45)&gt;0,"210","")</f>
        <v/>
      </c>
      <c r="AB1543" t="str">
        <f>IFERROR(IF(ISNUMBER('Procyclean 210'!C45),'Procyclean 210'!C45,DATEVALUE('Procyclean 210'!C45)),"")</f>
        <v/>
      </c>
      <c r="AC1543" t="str">
        <f>IF(AA1543="","",'Procyclean 210'!D45)</f>
        <v/>
      </c>
      <c r="AD1543" t="str">
        <f>IF(AA1543="","",IFERROR(1*'Procyclean 210'!E45,IFERROR(_xludf.NUMBERVALUE('Procyclean 210'!E45,".",","),IFERROR(_xludf.NUMBERVALUE('Procyclean 210'!E45,",","."),0))))</f>
        <v/>
      </c>
      <c r="AE1543" t="str">
        <f>IF(AA1543="","",'Procyclean 210'!B45)</f>
        <v/>
      </c>
      <c r="AF1543">
        <f t="shared" si="161"/>
        <v>0</v>
      </c>
      <c r="AG1543" t="str">
        <f t="shared" si="162"/>
        <v/>
      </c>
      <c r="AH1543" t="str">
        <f t="shared" si="163"/>
        <v/>
      </c>
      <c r="AI1543">
        <f t="shared" si="164"/>
        <v>0</v>
      </c>
      <c r="AJ1543">
        <f t="shared" si="165"/>
        <v>0</v>
      </c>
      <c r="AK1543">
        <v>0</v>
      </c>
      <c r="AL1543" t="str">
        <f>IF(AA1543="","",IFERROR(IF(ISNUMBER('Procyclean 210'!F45),'Procyclean 210'!F45,IF(ISNUMBER(SEARCH("12",'Procyclean 210'!F45)),EDATE(AB1543,12),IF(ISNUMBER(SEARCH("6",'Procyclean 210'!F45)),EDATE(AB1543,6),IF(ISNUMBER(SEARCH("3",'Procyclean 210'!F45)),EDATE(AB1543,3),DATEVALUE('Procyclean 210'!F45))))),""))</f>
        <v/>
      </c>
      <c r="AM1543" t="str">
        <f t="shared" ca="1" si="166"/>
        <v/>
      </c>
    </row>
    <row r="1544" spans="27:39" x14ac:dyDescent="0.3">
      <c r="AA1544" t="str">
        <f>IF(COUNTA('Procyclean 210'!C46,'Procyclean 210'!D46,'Procyclean 210'!E46)&gt;0,"210","")</f>
        <v/>
      </c>
      <c r="AB1544" t="str">
        <f>IFERROR(IF(ISNUMBER('Procyclean 210'!C46),'Procyclean 210'!C46,DATEVALUE('Procyclean 210'!C46)),"")</f>
        <v/>
      </c>
      <c r="AC1544" t="str">
        <f>IF(AA1544="","",'Procyclean 210'!D46)</f>
        <v/>
      </c>
      <c r="AD1544" t="str">
        <f>IF(AA1544="","",IFERROR(1*'Procyclean 210'!E46,IFERROR(_xludf.NUMBERVALUE('Procyclean 210'!E46,".",","),IFERROR(_xludf.NUMBERVALUE('Procyclean 210'!E46,",","."),0))))</f>
        <v/>
      </c>
      <c r="AE1544" t="str">
        <f>IF(AA1544="","",'Procyclean 210'!B46)</f>
        <v/>
      </c>
      <c r="AF1544">
        <f t="shared" si="161"/>
        <v>0</v>
      </c>
      <c r="AG1544" t="str">
        <f t="shared" si="162"/>
        <v/>
      </c>
      <c r="AH1544" t="str">
        <f t="shared" si="163"/>
        <v/>
      </c>
      <c r="AI1544">
        <f t="shared" si="164"/>
        <v>0</v>
      </c>
      <c r="AJ1544">
        <f t="shared" si="165"/>
        <v>0</v>
      </c>
      <c r="AK1544">
        <v>0</v>
      </c>
      <c r="AL1544" t="str">
        <f>IF(AA1544="","",IFERROR(IF(ISNUMBER('Procyclean 210'!F46),'Procyclean 210'!F46,IF(ISNUMBER(SEARCH("12",'Procyclean 210'!F46)),EDATE(AB1544,12),IF(ISNUMBER(SEARCH("6",'Procyclean 210'!F46)),EDATE(AB1544,6),IF(ISNUMBER(SEARCH("3",'Procyclean 210'!F46)),EDATE(AB1544,3),DATEVALUE('Procyclean 210'!F46))))),""))</f>
        <v/>
      </c>
      <c r="AM1544" t="str">
        <f t="shared" ca="1" si="166"/>
        <v/>
      </c>
    </row>
    <row r="1545" spans="27:39" x14ac:dyDescent="0.3">
      <c r="AA1545" t="str">
        <f>IF(COUNTA('Procyclean 210'!C47,'Procyclean 210'!D47,'Procyclean 210'!E47)&gt;0,"210","")</f>
        <v/>
      </c>
      <c r="AB1545" t="str">
        <f>IFERROR(IF(ISNUMBER('Procyclean 210'!C47),'Procyclean 210'!C47,DATEVALUE('Procyclean 210'!C47)),"")</f>
        <v/>
      </c>
      <c r="AC1545" t="str">
        <f>IF(AA1545="","",'Procyclean 210'!D47)</f>
        <v/>
      </c>
      <c r="AD1545" t="str">
        <f>IF(AA1545="","",IFERROR(1*'Procyclean 210'!E47,IFERROR(_xludf.NUMBERVALUE('Procyclean 210'!E47,".",","),IFERROR(_xludf.NUMBERVALUE('Procyclean 210'!E47,",","."),0))))</f>
        <v/>
      </c>
      <c r="AE1545" t="str">
        <f>IF(AA1545="","",'Procyclean 210'!B47)</f>
        <v/>
      </c>
      <c r="AF1545">
        <f t="shared" si="161"/>
        <v>0</v>
      </c>
      <c r="AG1545" t="str">
        <f t="shared" si="162"/>
        <v/>
      </c>
      <c r="AH1545" t="str">
        <f t="shared" si="163"/>
        <v/>
      </c>
      <c r="AI1545">
        <f t="shared" si="164"/>
        <v>0</v>
      </c>
      <c r="AJ1545">
        <f t="shared" si="165"/>
        <v>0</v>
      </c>
      <c r="AK1545">
        <v>0</v>
      </c>
      <c r="AL1545" t="str">
        <f>IF(AA1545="","",IFERROR(IF(ISNUMBER('Procyclean 210'!F47),'Procyclean 210'!F47,IF(ISNUMBER(SEARCH("12",'Procyclean 210'!F47)),EDATE(AB1545,12),IF(ISNUMBER(SEARCH("6",'Procyclean 210'!F47)),EDATE(AB1545,6),IF(ISNUMBER(SEARCH("3",'Procyclean 210'!F47)),EDATE(AB1545,3),DATEVALUE('Procyclean 210'!F47))))),""))</f>
        <v/>
      </c>
      <c r="AM1545" t="str">
        <f t="shared" ca="1" si="166"/>
        <v/>
      </c>
    </row>
    <row r="1546" spans="27:39" x14ac:dyDescent="0.3">
      <c r="AA1546" t="str">
        <f>IF(COUNTA('Procyclean 210'!C48,'Procyclean 210'!D48,'Procyclean 210'!E48)&gt;0,"210","")</f>
        <v/>
      </c>
      <c r="AB1546" t="str">
        <f>IFERROR(IF(ISNUMBER('Procyclean 210'!C48),'Procyclean 210'!C48,DATEVALUE('Procyclean 210'!C48)),"")</f>
        <v/>
      </c>
      <c r="AC1546" t="str">
        <f>IF(AA1546="","",'Procyclean 210'!D48)</f>
        <v/>
      </c>
      <c r="AD1546" t="str">
        <f>IF(AA1546="","",IFERROR(1*'Procyclean 210'!E48,IFERROR(_xludf.NUMBERVALUE('Procyclean 210'!E48,".",","),IFERROR(_xludf.NUMBERVALUE('Procyclean 210'!E48,",","."),0))))</f>
        <v/>
      </c>
      <c r="AE1546" t="str">
        <f>IF(AA1546="","",'Procyclean 210'!B48)</f>
        <v/>
      </c>
      <c r="AF1546">
        <f t="shared" si="161"/>
        <v>0</v>
      </c>
      <c r="AG1546" t="str">
        <f t="shared" si="162"/>
        <v/>
      </c>
      <c r="AH1546" t="str">
        <f t="shared" si="163"/>
        <v/>
      </c>
      <c r="AI1546">
        <f t="shared" si="164"/>
        <v>0</v>
      </c>
      <c r="AJ1546">
        <f t="shared" si="165"/>
        <v>0</v>
      </c>
      <c r="AK1546">
        <v>0</v>
      </c>
      <c r="AL1546" t="str">
        <f>IF(AA1546="","",IFERROR(IF(ISNUMBER('Procyclean 210'!F48),'Procyclean 210'!F48,IF(ISNUMBER(SEARCH("12",'Procyclean 210'!F48)),EDATE(AB1546,12),IF(ISNUMBER(SEARCH("6",'Procyclean 210'!F48)),EDATE(AB1546,6),IF(ISNUMBER(SEARCH("3",'Procyclean 210'!F48)),EDATE(AB1546,3),DATEVALUE('Procyclean 210'!F48))))),""))</f>
        <v/>
      </c>
      <c r="AM1546" t="str">
        <f t="shared" ca="1" si="166"/>
        <v/>
      </c>
    </row>
    <row r="1547" spans="27:39" x14ac:dyDescent="0.3">
      <c r="AA1547" t="str">
        <f>IF(COUNTA('Procyclean 210'!C49,'Procyclean 210'!D49,'Procyclean 210'!E49)&gt;0,"210","")</f>
        <v/>
      </c>
      <c r="AB1547" t="str">
        <f>IFERROR(IF(ISNUMBER('Procyclean 210'!C49),'Procyclean 210'!C49,DATEVALUE('Procyclean 210'!C49)),"")</f>
        <v/>
      </c>
      <c r="AC1547" t="str">
        <f>IF(AA1547="","",'Procyclean 210'!D49)</f>
        <v/>
      </c>
      <c r="AD1547" t="str">
        <f>IF(AA1547="","",IFERROR(1*'Procyclean 210'!E49,IFERROR(_xludf.NUMBERVALUE('Procyclean 210'!E49,".",","),IFERROR(_xludf.NUMBERVALUE('Procyclean 210'!E49,",","."),0))))</f>
        <v/>
      </c>
      <c r="AE1547" t="str">
        <f>IF(AA1547="","",'Procyclean 210'!B49)</f>
        <v/>
      </c>
      <c r="AF1547">
        <f t="shared" si="161"/>
        <v>0</v>
      </c>
      <c r="AG1547" t="str">
        <f t="shared" si="162"/>
        <v/>
      </c>
      <c r="AH1547" t="str">
        <f t="shared" si="163"/>
        <v/>
      </c>
      <c r="AI1547">
        <f t="shared" si="164"/>
        <v>0</v>
      </c>
      <c r="AJ1547">
        <f t="shared" si="165"/>
        <v>0</v>
      </c>
      <c r="AK1547">
        <v>0</v>
      </c>
      <c r="AL1547" t="str">
        <f>IF(AA1547="","",IFERROR(IF(ISNUMBER('Procyclean 210'!F49),'Procyclean 210'!F49,IF(ISNUMBER(SEARCH("12",'Procyclean 210'!F49)),EDATE(AB1547,12),IF(ISNUMBER(SEARCH("6",'Procyclean 210'!F49)),EDATE(AB1547,6),IF(ISNUMBER(SEARCH("3",'Procyclean 210'!F49)),EDATE(AB1547,3),DATEVALUE('Procyclean 210'!F49))))),""))</f>
        <v/>
      </c>
      <c r="AM1547" t="str">
        <f t="shared" ca="1" si="166"/>
        <v/>
      </c>
    </row>
    <row r="1548" spans="27:39" x14ac:dyDescent="0.3">
      <c r="AA1548" t="str">
        <f>IF(COUNTA('Procyclean 210'!C50,'Procyclean 210'!D50,'Procyclean 210'!E50)&gt;0,"210","")</f>
        <v/>
      </c>
      <c r="AB1548" t="str">
        <f>IFERROR(IF(ISNUMBER('Procyclean 210'!C50),'Procyclean 210'!C50,DATEVALUE('Procyclean 210'!C50)),"")</f>
        <v/>
      </c>
      <c r="AC1548" t="str">
        <f>IF(AA1548="","",'Procyclean 210'!D50)</f>
        <v/>
      </c>
      <c r="AD1548" t="str">
        <f>IF(AA1548="","",IFERROR(1*'Procyclean 210'!E50,IFERROR(_xludf.NUMBERVALUE('Procyclean 210'!E50,".",","),IFERROR(_xludf.NUMBERVALUE('Procyclean 210'!E50,",","."),0))))</f>
        <v/>
      </c>
      <c r="AE1548" t="str">
        <f>IF(AA1548="","",'Procyclean 210'!B50)</f>
        <v/>
      </c>
      <c r="AF1548">
        <f t="shared" si="161"/>
        <v>0</v>
      </c>
      <c r="AG1548" t="str">
        <f t="shared" si="162"/>
        <v/>
      </c>
      <c r="AH1548" t="str">
        <f t="shared" si="163"/>
        <v/>
      </c>
      <c r="AI1548">
        <f t="shared" si="164"/>
        <v>0</v>
      </c>
      <c r="AJ1548">
        <f t="shared" si="165"/>
        <v>0</v>
      </c>
      <c r="AK1548">
        <v>0</v>
      </c>
      <c r="AL1548" t="str">
        <f>IF(AA1548="","",IFERROR(IF(ISNUMBER('Procyclean 210'!F50),'Procyclean 210'!F50,IF(ISNUMBER(SEARCH("12",'Procyclean 210'!F50)),EDATE(AB1548,12),IF(ISNUMBER(SEARCH("6",'Procyclean 210'!F50)),EDATE(AB1548,6),IF(ISNUMBER(SEARCH("3",'Procyclean 210'!F50)),EDATE(AB1548,3),DATEVALUE('Procyclean 210'!F50))))),""))</f>
        <v/>
      </c>
      <c r="AM1548" t="str">
        <f t="shared" ca="1" si="166"/>
        <v/>
      </c>
    </row>
    <row r="1549" spans="27:39" x14ac:dyDescent="0.3">
      <c r="AA1549" t="str">
        <f>IF(COUNTA('Procyclean 210'!C51,'Procyclean 210'!D51,'Procyclean 210'!E51)&gt;0,"210","")</f>
        <v/>
      </c>
      <c r="AB1549" t="str">
        <f>IFERROR(IF(ISNUMBER('Procyclean 210'!C51),'Procyclean 210'!C51,DATEVALUE('Procyclean 210'!C51)),"")</f>
        <v/>
      </c>
      <c r="AC1549" t="str">
        <f>IF(AA1549="","",'Procyclean 210'!D51)</f>
        <v/>
      </c>
      <c r="AD1549" t="str">
        <f>IF(AA1549="","",IFERROR(1*'Procyclean 210'!E51,IFERROR(_xludf.NUMBERVALUE('Procyclean 210'!E51,".",","),IFERROR(_xludf.NUMBERVALUE('Procyclean 210'!E51,",","."),0))))</f>
        <v/>
      </c>
      <c r="AE1549" t="str">
        <f>IF(AA1549="","",'Procyclean 210'!B51)</f>
        <v/>
      </c>
      <c r="AF1549">
        <f t="shared" si="161"/>
        <v>0</v>
      </c>
      <c r="AG1549" t="str">
        <f t="shared" si="162"/>
        <v/>
      </c>
      <c r="AH1549" t="str">
        <f t="shared" si="163"/>
        <v/>
      </c>
      <c r="AI1549">
        <f t="shared" si="164"/>
        <v>0</v>
      </c>
      <c r="AJ1549">
        <f t="shared" si="165"/>
        <v>0</v>
      </c>
      <c r="AK1549">
        <v>0</v>
      </c>
      <c r="AL1549" t="str">
        <f>IF(AA1549="","",IFERROR(IF(ISNUMBER('Procyclean 210'!F51),'Procyclean 210'!F51,IF(ISNUMBER(SEARCH("12",'Procyclean 210'!F51)),EDATE(AB1549,12),IF(ISNUMBER(SEARCH("6",'Procyclean 210'!F51)),EDATE(AB1549,6),IF(ISNUMBER(SEARCH("3",'Procyclean 210'!F51)),EDATE(AB1549,3),DATEVALUE('Procyclean 210'!F51))))),""))</f>
        <v/>
      </c>
      <c r="AM1549" t="str">
        <f t="shared" ca="1" si="166"/>
        <v/>
      </c>
    </row>
    <row r="1550" spans="27:39" x14ac:dyDescent="0.3">
      <c r="AA1550" t="str">
        <f>IF(COUNTA('Procyclean 210'!C52,'Procyclean 210'!D52,'Procyclean 210'!E52)&gt;0,"210","")</f>
        <v/>
      </c>
      <c r="AB1550" t="str">
        <f>IFERROR(IF(ISNUMBER('Procyclean 210'!C52),'Procyclean 210'!C52,DATEVALUE('Procyclean 210'!C52)),"")</f>
        <v/>
      </c>
      <c r="AC1550" t="str">
        <f>IF(AA1550="","",'Procyclean 210'!D52)</f>
        <v/>
      </c>
      <c r="AD1550" t="str">
        <f>IF(AA1550="","",IFERROR(1*'Procyclean 210'!E52,IFERROR(_xludf.NUMBERVALUE('Procyclean 210'!E52,".",","),IFERROR(_xludf.NUMBERVALUE('Procyclean 210'!E52,",","."),0))))</f>
        <v/>
      </c>
      <c r="AE1550" t="str">
        <f>IF(AA1550="","",'Procyclean 210'!B52)</f>
        <v/>
      </c>
      <c r="AF1550">
        <f t="shared" si="161"/>
        <v>0</v>
      </c>
      <c r="AG1550" t="str">
        <f t="shared" si="162"/>
        <v/>
      </c>
      <c r="AH1550" t="str">
        <f t="shared" si="163"/>
        <v/>
      </c>
      <c r="AI1550">
        <f t="shared" si="164"/>
        <v>0</v>
      </c>
      <c r="AJ1550">
        <f t="shared" si="165"/>
        <v>0</v>
      </c>
      <c r="AK1550">
        <v>0</v>
      </c>
      <c r="AL1550" t="str">
        <f>IF(AA1550="","",IFERROR(IF(ISNUMBER('Procyclean 210'!F52),'Procyclean 210'!F52,IF(ISNUMBER(SEARCH("12",'Procyclean 210'!F52)),EDATE(AB1550,12),IF(ISNUMBER(SEARCH("6",'Procyclean 210'!F52)),EDATE(AB1550,6),IF(ISNUMBER(SEARCH("3",'Procyclean 210'!F52)),EDATE(AB1550,3),DATEVALUE('Procyclean 210'!F52))))),""))</f>
        <v/>
      </c>
      <c r="AM1550" t="str">
        <f t="shared" ca="1" si="166"/>
        <v/>
      </c>
    </row>
    <row r="1551" spans="27:39" x14ac:dyDescent="0.3">
      <c r="AA1551" t="str">
        <f>IF(COUNTA('Procyclean 210'!C53,'Procyclean 210'!D53,'Procyclean 210'!E53)&gt;0,"210","")</f>
        <v/>
      </c>
      <c r="AB1551" t="str">
        <f>IFERROR(IF(ISNUMBER('Procyclean 210'!C53),'Procyclean 210'!C53,DATEVALUE('Procyclean 210'!C53)),"")</f>
        <v/>
      </c>
      <c r="AC1551" t="str">
        <f>IF(AA1551="","",'Procyclean 210'!D53)</f>
        <v/>
      </c>
      <c r="AD1551" t="str">
        <f>IF(AA1551="","",IFERROR(1*'Procyclean 210'!E53,IFERROR(_xludf.NUMBERVALUE('Procyclean 210'!E53,".",","),IFERROR(_xludf.NUMBERVALUE('Procyclean 210'!E53,",","."),0))))</f>
        <v/>
      </c>
      <c r="AE1551" t="str">
        <f>IF(AA1551="","",'Procyclean 210'!B53)</f>
        <v/>
      </c>
      <c r="AF1551">
        <f t="shared" si="161"/>
        <v>0</v>
      </c>
      <c r="AG1551" t="str">
        <f t="shared" si="162"/>
        <v/>
      </c>
      <c r="AH1551" t="str">
        <f t="shared" si="163"/>
        <v/>
      </c>
      <c r="AI1551">
        <f t="shared" si="164"/>
        <v>0</v>
      </c>
      <c r="AJ1551">
        <f t="shared" si="165"/>
        <v>0</v>
      </c>
      <c r="AK1551">
        <v>0</v>
      </c>
      <c r="AL1551" t="str">
        <f>IF(AA1551="","",IFERROR(IF(ISNUMBER('Procyclean 210'!F53),'Procyclean 210'!F53,IF(ISNUMBER(SEARCH("12",'Procyclean 210'!F53)),EDATE(AB1551,12),IF(ISNUMBER(SEARCH("6",'Procyclean 210'!F53)),EDATE(AB1551,6),IF(ISNUMBER(SEARCH("3",'Procyclean 210'!F53)),EDATE(AB1551,3),DATEVALUE('Procyclean 210'!F53))))),""))</f>
        <v/>
      </c>
      <c r="AM1551" t="str">
        <f t="shared" ca="1" si="166"/>
        <v/>
      </c>
    </row>
    <row r="1552" spans="27:39" x14ac:dyDescent="0.3">
      <c r="AA1552" t="str">
        <f>IF(COUNTA('Procyclean 210'!C54,'Procyclean 210'!D54,'Procyclean 210'!E54)&gt;0,"210","")</f>
        <v/>
      </c>
      <c r="AB1552" t="str">
        <f>IFERROR(IF(ISNUMBER('Procyclean 210'!C54),'Procyclean 210'!C54,DATEVALUE('Procyclean 210'!C54)),"")</f>
        <v/>
      </c>
      <c r="AC1552" t="str">
        <f>IF(AA1552="","",'Procyclean 210'!D54)</f>
        <v/>
      </c>
      <c r="AD1552" t="str">
        <f>IF(AA1552="","",IFERROR(1*'Procyclean 210'!E54,IFERROR(_xludf.NUMBERVALUE('Procyclean 210'!E54,".",","),IFERROR(_xludf.NUMBERVALUE('Procyclean 210'!E54,",","."),0))))</f>
        <v/>
      </c>
      <c r="AE1552" t="str">
        <f>IF(AA1552="","",'Procyclean 210'!B54)</f>
        <v/>
      </c>
      <c r="AF1552">
        <f t="shared" si="161"/>
        <v>0</v>
      </c>
      <c r="AG1552" t="str">
        <f t="shared" si="162"/>
        <v/>
      </c>
      <c r="AH1552" t="str">
        <f t="shared" si="163"/>
        <v/>
      </c>
      <c r="AI1552">
        <f t="shared" si="164"/>
        <v>0</v>
      </c>
      <c r="AJ1552">
        <f t="shared" si="165"/>
        <v>0</v>
      </c>
      <c r="AK1552">
        <v>0</v>
      </c>
      <c r="AL1552" t="str">
        <f>IF(AA1552="","",IFERROR(IF(ISNUMBER('Procyclean 210'!F54),'Procyclean 210'!F54,IF(ISNUMBER(SEARCH("12",'Procyclean 210'!F54)),EDATE(AB1552,12),IF(ISNUMBER(SEARCH("6",'Procyclean 210'!F54)),EDATE(AB1552,6),IF(ISNUMBER(SEARCH("3",'Procyclean 210'!F54)),EDATE(AB1552,3),DATEVALUE('Procyclean 210'!F54))))),""))</f>
        <v/>
      </c>
      <c r="AM1552" t="str">
        <f t="shared" ca="1" si="166"/>
        <v/>
      </c>
    </row>
    <row r="1553" spans="27:39" x14ac:dyDescent="0.3">
      <c r="AA1553" t="str">
        <f>IF(COUNTA('Procyclean 210'!C55,'Procyclean 210'!D55,'Procyclean 210'!E55)&gt;0,"210","")</f>
        <v/>
      </c>
      <c r="AB1553" t="str">
        <f>IFERROR(IF(ISNUMBER('Procyclean 210'!C55),'Procyclean 210'!C55,DATEVALUE('Procyclean 210'!C55)),"")</f>
        <v/>
      </c>
      <c r="AC1553" t="str">
        <f>IF(AA1553="","",'Procyclean 210'!D55)</f>
        <v/>
      </c>
      <c r="AD1553" t="str">
        <f>IF(AA1553="","",IFERROR(1*'Procyclean 210'!E55,IFERROR(_xludf.NUMBERVALUE('Procyclean 210'!E55,".",","),IFERROR(_xludf.NUMBERVALUE('Procyclean 210'!E55,",","."),0))))</f>
        <v/>
      </c>
      <c r="AE1553" t="str">
        <f>IF(AA1553="","",'Procyclean 210'!B55)</f>
        <v/>
      </c>
      <c r="AF1553">
        <f t="shared" si="161"/>
        <v>0</v>
      </c>
      <c r="AG1553" t="str">
        <f t="shared" si="162"/>
        <v/>
      </c>
      <c r="AH1553" t="str">
        <f t="shared" si="163"/>
        <v/>
      </c>
      <c r="AI1553">
        <f t="shared" si="164"/>
        <v>0</v>
      </c>
      <c r="AJ1553">
        <f t="shared" si="165"/>
        <v>0</v>
      </c>
      <c r="AK1553">
        <v>0</v>
      </c>
      <c r="AL1553" t="str">
        <f>IF(AA1553="","",IFERROR(IF(ISNUMBER('Procyclean 210'!F55),'Procyclean 210'!F55,IF(ISNUMBER(SEARCH("12",'Procyclean 210'!F55)),EDATE(AB1553,12),IF(ISNUMBER(SEARCH("6",'Procyclean 210'!F55)),EDATE(AB1553,6),IF(ISNUMBER(SEARCH("3",'Procyclean 210'!F55)),EDATE(AB1553,3),DATEVALUE('Procyclean 210'!F55))))),""))</f>
        <v/>
      </c>
      <c r="AM1553" t="str">
        <f t="shared" ca="1" si="166"/>
        <v/>
      </c>
    </row>
    <row r="1554" spans="27:39" x14ac:dyDescent="0.3">
      <c r="AA1554" t="str">
        <f>IF(COUNTA('Procyclean 210'!C56,'Procyclean 210'!D56,'Procyclean 210'!E56)&gt;0,"210","")</f>
        <v/>
      </c>
      <c r="AB1554" t="str">
        <f>IFERROR(IF(ISNUMBER('Procyclean 210'!C56),'Procyclean 210'!C56,DATEVALUE('Procyclean 210'!C56)),"")</f>
        <v/>
      </c>
      <c r="AC1554" t="str">
        <f>IF(AA1554="","",'Procyclean 210'!D56)</f>
        <v/>
      </c>
      <c r="AD1554" t="str">
        <f>IF(AA1554="","",IFERROR(1*'Procyclean 210'!E56,IFERROR(_xludf.NUMBERVALUE('Procyclean 210'!E56,".",","),IFERROR(_xludf.NUMBERVALUE('Procyclean 210'!E56,",","."),0))))</f>
        <v/>
      </c>
      <c r="AE1554" t="str">
        <f>IF(AA1554="","",'Procyclean 210'!B56)</f>
        <v/>
      </c>
      <c r="AF1554">
        <f t="shared" si="161"/>
        <v>0</v>
      </c>
      <c r="AG1554" t="str">
        <f t="shared" si="162"/>
        <v/>
      </c>
      <c r="AH1554" t="str">
        <f t="shared" si="163"/>
        <v/>
      </c>
      <c r="AI1554">
        <f t="shared" si="164"/>
        <v>0</v>
      </c>
      <c r="AJ1554">
        <f t="shared" si="165"/>
        <v>0</v>
      </c>
      <c r="AK1554">
        <v>0</v>
      </c>
      <c r="AL1554" t="str">
        <f>IF(AA1554="","",IFERROR(IF(ISNUMBER('Procyclean 210'!F56),'Procyclean 210'!F56,IF(ISNUMBER(SEARCH("12",'Procyclean 210'!F56)),EDATE(AB1554,12),IF(ISNUMBER(SEARCH("6",'Procyclean 210'!F56)),EDATE(AB1554,6),IF(ISNUMBER(SEARCH("3",'Procyclean 210'!F56)),EDATE(AB1554,3),DATEVALUE('Procyclean 210'!F56))))),""))</f>
        <v/>
      </c>
      <c r="AM1554" t="str">
        <f t="shared" ca="1" si="166"/>
        <v/>
      </c>
    </row>
    <row r="1555" spans="27:39" x14ac:dyDescent="0.3">
      <c r="AA1555" t="str">
        <f>IF(COUNTA('Procyclean 210'!C57,'Procyclean 210'!D57,'Procyclean 210'!E57)&gt;0,"210","")</f>
        <v/>
      </c>
      <c r="AB1555" t="str">
        <f>IFERROR(IF(ISNUMBER('Procyclean 210'!C57),'Procyclean 210'!C57,DATEVALUE('Procyclean 210'!C57)),"")</f>
        <v/>
      </c>
      <c r="AC1555" t="str">
        <f>IF(AA1555="","",'Procyclean 210'!D57)</f>
        <v/>
      </c>
      <c r="AD1555" t="str">
        <f>IF(AA1555="","",IFERROR(1*'Procyclean 210'!E57,IFERROR(_xludf.NUMBERVALUE('Procyclean 210'!E57,".",","),IFERROR(_xludf.NUMBERVALUE('Procyclean 210'!E57,",","."),0))))</f>
        <v/>
      </c>
      <c r="AE1555" t="str">
        <f>IF(AA1555="","",'Procyclean 210'!B57)</f>
        <v/>
      </c>
      <c r="AF1555">
        <f t="shared" si="161"/>
        <v>0</v>
      </c>
      <c r="AG1555" t="str">
        <f t="shared" si="162"/>
        <v/>
      </c>
      <c r="AH1555" t="str">
        <f t="shared" si="163"/>
        <v/>
      </c>
      <c r="AI1555">
        <f t="shared" si="164"/>
        <v>0</v>
      </c>
      <c r="AJ1555">
        <f t="shared" si="165"/>
        <v>0</v>
      </c>
      <c r="AK1555">
        <v>0</v>
      </c>
      <c r="AL1555" t="str">
        <f>IF(AA1555="","",IFERROR(IF(ISNUMBER('Procyclean 210'!F57),'Procyclean 210'!F57,IF(ISNUMBER(SEARCH("12",'Procyclean 210'!F57)),EDATE(AB1555,12),IF(ISNUMBER(SEARCH("6",'Procyclean 210'!F57)),EDATE(AB1555,6),IF(ISNUMBER(SEARCH("3",'Procyclean 210'!F57)),EDATE(AB1555,3),DATEVALUE('Procyclean 210'!F57))))),""))</f>
        <v/>
      </c>
      <c r="AM1555" t="str">
        <f t="shared" ca="1" si="166"/>
        <v/>
      </c>
    </row>
    <row r="1556" spans="27:39" x14ac:dyDescent="0.3">
      <c r="AA1556" t="str">
        <f>IF(COUNTA('Procyclean 210'!C58,'Procyclean 210'!D58,'Procyclean 210'!E58)&gt;0,"210","")</f>
        <v/>
      </c>
      <c r="AB1556" t="str">
        <f>IFERROR(IF(ISNUMBER('Procyclean 210'!C58),'Procyclean 210'!C58,DATEVALUE('Procyclean 210'!C58)),"")</f>
        <v/>
      </c>
      <c r="AC1556" t="str">
        <f>IF(AA1556="","",'Procyclean 210'!D58)</f>
        <v/>
      </c>
      <c r="AD1556" t="str">
        <f>IF(AA1556="","",IFERROR(1*'Procyclean 210'!E58,IFERROR(_xludf.NUMBERVALUE('Procyclean 210'!E58,".",","),IFERROR(_xludf.NUMBERVALUE('Procyclean 210'!E58,",","."),0))))</f>
        <v/>
      </c>
      <c r="AE1556" t="str">
        <f>IF(AA1556="","",'Procyclean 210'!B58)</f>
        <v/>
      </c>
      <c r="AF1556">
        <f t="shared" si="161"/>
        <v>0</v>
      </c>
      <c r="AG1556" t="str">
        <f t="shared" si="162"/>
        <v/>
      </c>
      <c r="AH1556" t="str">
        <f t="shared" si="163"/>
        <v/>
      </c>
      <c r="AI1556">
        <f t="shared" si="164"/>
        <v>0</v>
      </c>
      <c r="AJ1556">
        <f t="shared" si="165"/>
        <v>0</v>
      </c>
      <c r="AK1556">
        <v>0</v>
      </c>
      <c r="AL1556" t="str">
        <f>IF(AA1556="","",IFERROR(IF(ISNUMBER('Procyclean 210'!F58),'Procyclean 210'!F58,IF(ISNUMBER(SEARCH("12",'Procyclean 210'!F58)),EDATE(AB1556,12),IF(ISNUMBER(SEARCH("6",'Procyclean 210'!F58)),EDATE(AB1556,6),IF(ISNUMBER(SEARCH("3",'Procyclean 210'!F58)),EDATE(AB1556,3),DATEVALUE('Procyclean 210'!F58))))),""))</f>
        <v/>
      </c>
      <c r="AM1556" t="str">
        <f t="shared" ca="1" si="166"/>
        <v/>
      </c>
    </row>
    <row r="1557" spans="27:39" x14ac:dyDescent="0.3">
      <c r="AA1557" t="str">
        <f>IF(COUNTA('Procyclean 210'!C59,'Procyclean 210'!D59,'Procyclean 210'!E59)&gt;0,"210","")</f>
        <v/>
      </c>
      <c r="AB1557" t="str">
        <f>IFERROR(IF(ISNUMBER('Procyclean 210'!C59),'Procyclean 210'!C59,DATEVALUE('Procyclean 210'!C59)),"")</f>
        <v/>
      </c>
      <c r="AC1557" t="str">
        <f>IF(AA1557="","",'Procyclean 210'!D59)</f>
        <v/>
      </c>
      <c r="AD1557" t="str">
        <f>IF(AA1557="","",IFERROR(1*'Procyclean 210'!E59,IFERROR(_xludf.NUMBERVALUE('Procyclean 210'!E59,".",","),IFERROR(_xludf.NUMBERVALUE('Procyclean 210'!E59,",","."),0))))</f>
        <v/>
      </c>
      <c r="AE1557" t="str">
        <f>IF(AA1557="","",'Procyclean 210'!B59)</f>
        <v/>
      </c>
      <c r="AF1557">
        <f t="shared" si="161"/>
        <v>0</v>
      </c>
      <c r="AG1557" t="str">
        <f t="shared" si="162"/>
        <v/>
      </c>
      <c r="AH1557" t="str">
        <f t="shared" si="163"/>
        <v/>
      </c>
      <c r="AI1557">
        <f t="shared" si="164"/>
        <v>0</v>
      </c>
      <c r="AJ1557">
        <f t="shared" si="165"/>
        <v>0</v>
      </c>
      <c r="AK1557">
        <v>0</v>
      </c>
      <c r="AL1557" t="str">
        <f>IF(AA1557="","",IFERROR(IF(ISNUMBER('Procyclean 210'!F59),'Procyclean 210'!F59,IF(ISNUMBER(SEARCH("12",'Procyclean 210'!F59)),EDATE(AB1557,12),IF(ISNUMBER(SEARCH("6",'Procyclean 210'!F59)),EDATE(AB1557,6),IF(ISNUMBER(SEARCH("3",'Procyclean 210'!F59)),EDATE(AB1557,3),DATEVALUE('Procyclean 210'!F59))))),""))</f>
        <v/>
      </c>
      <c r="AM1557" t="str">
        <f t="shared" ca="1" si="166"/>
        <v/>
      </c>
    </row>
    <row r="1558" spans="27:39" x14ac:dyDescent="0.3">
      <c r="AA1558" t="str">
        <f>IF(COUNTA('Procyclean 210'!C60,'Procyclean 210'!D60,'Procyclean 210'!E60)&gt;0,"210","")</f>
        <v/>
      </c>
      <c r="AB1558" t="str">
        <f>IFERROR(IF(ISNUMBER('Procyclean 210'!C60),'Procyclean 210'!C60,DATEVALUE('Procyclean 210'!C60)),"")</f>
        <v/>
      </c>
      <c r="AC1558" t="str">
        <f>IF(AA1558="","",'Procyclean 210'!D60)</f>
        <v/>
      </c>
      <c r="AD1558" t="str">
        <f>IF(AA1558="","",IFERROR(1*'Procyclean 210'!E60,IFERROR(_xludf.NUMBERVALUE('Procyclean 210'!E60,".",","),IFERROR(_xludf.NUMBERVALUE('Procyclean 210'!E60,",","."),0))))</f>
        <v/>
      </c>
      <c r="AE1558" t="str">
        <f>IF(AA1558="","",'Procyclean 210'!B60)</f>
        <v/>
      </c>
      <c r="AF1558">
        <f t="shared" si="161"/>
        <v>0</v>
      </c>
      <c r="AG1558" t="str">
        <f t="shared" si="162"/>
        <v/>
      </c>
      <c r="AH1558" t="str">
        <f t="shared" si="163"/>
        <v/>
      </c>
      <c r="AI1558">
        <f t="shared" si="164"/>
        <v>0</v>
      </c>
      <c r="AJ1558">
        <f t="shared" si="165"/>
        <v>0</v>
      </c>
      <c r="AK1558">
        <v>0</v>
      </c>
      <c r="AL1558" t="str">
        <f>IF(AA1558="","",IFERROR(IF(ISNUMBER('Procyclean 210'!F60),'Procyclean 210'!F60,IF(ISNUMBER(SEARCH("12",'Procyclean 210'!F60)),EDATE(AB1558,12),IF(ISNUMBER(SEARCH("6",'Procyclean 210'!F60)),EDATE(AB1558,6),IF(ISNUMBER(SEARCH("3",'Procyclean 210'!F60)),EDATE(AB1558,3),DATEVALUE('Procyclean 210'!F60))))),""))</f>
        <v/>
      </c>
      <c r="AM1558" t="str">
        <f t="shared" ca="1" si="166"/>
        <v/>
      </c>
    </row>
    <row r="1559" spans="27:39" x14ac:dyDescent="0.3">
      <c r="AA1559" t="str">
        <f>IF(COUNTA('Procyclean 210'!C61,'Procyclean 210'!D61,'Procyclean 210'!E61)&gt;0,"210","")</f>
        <v/>
      </c>
      <c r="AB1559" t="str">
        <f>IFERROR(IF(ISNUMBER('Procyclean 210'!C61),'Procyclean 210'!C61,DATEVALUE('Procyclean 210'!C61)),"")</f>
        <v/>
      </c>
      <c r="AC1559" t="str">
        <f>IF(AA1559="","",'Procyclean 210'!D61)</f>
        <v/>
      </c>
      <c r="AD1559" t="str">
        <f>IF(AA1559="","",IFERROR(1*'Procyclean 210'!E61,IFERROR(_xludf.NUMBERVALUE('Procyclean 210'!E61,".",","),IFERROR(_xludf.NUMBERVALUE('Procyclean 210'!E61,",","."),0))))</f>
        <v/>
      </c>
      <c r="AE1559" t="str">
        <f>IF(AA1559="","",'Procyclean 210'!B61)</f>
        <v/>
      </c>
      <c r="AF1559">
        <f t="shared" si="161"/>
        <v>0</v>
      </c>
      <c r="AG1559" t="str">
        <f t="shared" si="162"/>
        <v/>
      </c>
      <c r="AH1559" t="str">
        <f t="shared" si="163"/>
        <v/>
      </c>
      <c r="AI1559">
        <f t="shared" si="164"/>
        <v>0</v>
      </c>
      <c r="AJ1559">
        <f t="shared" si="165"/>
        <v>0</v>
      </c>
      <c r="AK1559">
        <v>0</v>
      </c>
      <c r="AL1559" t="str">
        <f>IF(AA1559="","",IFERROR(IF(ISNUMBER('Procyclean 210'!F61),'Procyclean 210'!F61,IF(ISNUMBER(SEARCH("12",'Procyclean 210'!F61)),EDATE(AB1559,12),IF(ISNUMBER(SEARCH("6",'Procyclean 210'!F61)),EDATE(AB1559,6),IF(ISNUMBER(SEARCH("3",'Procyclean 210'!F61)),EDATE(AB1559,3),DATEVALUE('Procyclean 210'!F61))))),""))</f>
        <v/>
      </c>
      <c r="AM1559" t="str">
        <f t="shared" ca="1" si="166"/>
        <v/>
      </c>
    </row>
    <row r="1560" spans="27:39" x14ac:dyDescent="0.3">
      <c r="AA1560" t="str">
        <f>IF(COUNTA('Procyclean 210'!C62,'Procyclean 210'!D62,'Procyclean 210'!E62)&gt;0,"210","")</f>
        <v/>
      </c>
      <c r="AB1560" t="str">
        <f>IFERROR(IF(ISNUMBER('Procyclean 210'!C62),'Procyclean 210'!C62,DATEVALUE('Procyclean 210'!C62)),"")</f>
        <v/>
      </c>
      <c r="AC1560" t="str">
        <f>IF(AA1560="","",'Procyclean 210'!D62)</f>
        <v/>
      </c>
      <c r="AD1560" t="str">
        <f>IF(AA1560="","",IFERROR(1*'Procyclean 210'!E62,IFERROR(_xludf.NUMBERVALUE('Procyclean 210'!E62,".",","),IFERROR(_xludf.NUMBERVALUE('Procyclean 210'!E62,",","."),0))))</f>
        <v/>
      </c>
      <c r="AE1560" t="str">
        <f>IF(AA1560="","",'Procyclean 210'!B62)</f>
        <v/>
      </c>
      <c r="AF1560">
        <f t="shared" si="161"/>
        <v>0</v>
      </c>
      <c r="AG1560" t="str">
        <f t="shared" si="162"/>
        <v/>
      </c>
      <c r="AH1560" t="str">
        <f t="shared" si="163"/>
        <v/>
      </c>
      <c r="AI1560">
        <f t="shared" si="164"/>
        <v>0</v>
      </c>
      <c r="AJ1560">
        <f t="shared" si="165"/>
        <v>0</v>
      </c>
      <c r="AK1560">
        <v>0</v>
      </c>
      <c r="AL1560" t="str">
        <f>IF(AA1560="","",IFERROR(IF(ISNUMBER('Procyclean 210'!F62),'Procyclean 210'!F62,IF(ISNUMBER(SEARCH("12",'Procyclean 210'!F62)),EDATE(AB1560,12),IF(ISNUMBER(SEARCH("6",'Procyclean 210'!F62)),EDATE(AB1560,6),IF(ISNUMBER(SEARCH("3",'Procyclean 210'!F62)),EDATE(AB1560,3),DATEVALUE('Procyclean 210'!F62))))),""))</f>
        <v/>
      </c>
      <c r="AM1560" t="str">
        <f t="shared" ca="1" si="166"/>
        <v/>
      </c>
    </row>
    <row r="1561" spans="27:39" x14ac:dyDescent="0.3">
      <c r="AA1561" t="str">
        <f>IF(COUNTA('Procyclean 210'!C63,'Procyclean 210'!D63,'Procyclean 210'!E63)&gt;0,"210","")</f>
        <v/>
      </c>
      <c r="AB1561" t="str">
        <f>IFERROR(IF(ISNUMBER('Procyclean 210'!C63),'Procyclean 210'!C63,DATEVALUE('Procyclean 210'!C63)),"")</f>
        <v/>
      </c>
      <c r="AC1561" t="str">
        <f>IF(AA1561="","",'Procyclean 210'!D63)</f>
        <v/>
      </c>
      <c r="AD1561" t="str">
        <f>IF(AA1561="","",IFERROR(1*'Procyclean 210'!E63,IFERROR(_xludf.NUMBERVALUE('Procyclean 210'!E63,".",","),IFERROR(_xludf.NUMBERVALUE('Procyclean 210'!E63,",","."),0))))</f>
        <v/>
      </c>
      <c r="AE1561" t="str">
        <f>IF(AA1561="","",'Procyclean 210'!B63)</f>
        <v/>
      </c>
      <c r="AF1561">
        <f t="shared" si="161"/>
        <v>0</v>
      </c>
      <c r="AG1561" t="str">
        <f t="shared" si="162"/>
        <v/>
      </c>
      <c r="AH1561" t="str">
        <f t="shared" si="163"/>
        <v/>
      </c>
      <c r="AI1561">
        <f t="shared" si="164"/>
        <v>0</v>
      </c>
      <c r="AJ1561">
        <f t="shared" si="165"/>
        <v>0</v>
      </c>
      <c r="AK1561">
        <v>0</v>
      </c>
      <c r="AL1561" t="str">
        <f>IF(AA1561="","",IFERROR(IF(ISNUMBER('Procyclean 210'!F63),'Procyclean 210'!F63,IF(ISNUMBER(SEARCH("12",'Procyclean 210'!F63)),EDATE(AB1561,12),IF(ISNUMBER(SEARCH("6",'Procyclean 210'!F63)),EDATE(AB1561,6),IF(ISNUMBER(SEARCH("3",'Procyclean 210'!F63)),EDATE(AB1561,3),DATEVALUE('Procyclean 210'!F63))))),""))</f>
        <v/>
      </c>
      <c r="AM1561" t="str">
        <f t="shared" ca="1" si="166"/>
        <v/>
      </c>
    </row>
    <row r="1562" spans="27:39" x14ac:dyDescent="0.3">
      <c r="AA1562" t="str">
        <f>IF(COUNTA('Procyclean 210'!C64,'Procyclean 210'!D64,'Procyclean 210'!E64)&gt;0,"210","")</f>
        <v/>
      </c>
      <c r="AB1562" t="str">
        <f>IFERROR(IF(ISNUMBER('Procyclean 210'!C64),'Procyclean 210'!C64,DATEVALUE('Procyclean 210'!C64)),"")</f>
        <v/>
      </c>
      <c r="AC1562" t="str">
        <f>IF(AA1562="","",'Procyclean 210'!D64)</f>
        <v/>
      </c>
      <c r="AD1562" t="str">
        <f>IF(AA1562="","",IFERROR(1*'Procyclean 210'!E64,IFERROR(_xludf.NUMBERVALUE('Procyclean 210'!E64,".",","),IFERROR(_xludf.NUMBERVALUE('Procyclean 210'!E64,",","."),0))))</f>
        <v/>
      </c>
      <c r="AE1562" t="str">
        <f>IF(AA1562="","",'Procyclean 210'!B64)</f>
        <v/>
      </c>
      <c r="AF1562">
        <f t="shared" si="161"/>
        <v>0</v>
      </c>
      <c r="AG1562" t="str">
        <f t="shared" si="162"/>
        <v/>
      </c>
      <c r="AH1562" t="str">
        <f t="shared" si="163"/>
        <v/>
      </c>
      <c r="AI1562">
        <f t="shared" si="164"/>
        <v>0</v>
      </c>
      <c r="AJ1562">
        <f t="shared" si="165"/>
        <v>0</v>
      </c>
      <c r="AK1562">
        <v>0</v>
      </c>
      <c r="AL1562" t="str">
        <f>IF(AA1562="","",IFERROR(IF(ISNUMBER('Procyclean 210'!F64),'Procyclean 210'!F64,IF(ISNUMBER(SEARCH("12",'Procyclean 210'!F64)),EDATE(AB1562,12),IF(ISNUMBER(SEARCH("6",'Procyclean 210'!F64)),EDATE(AB1562,6),IF(ISNUMBER(SEARCH("3",'Procyclean 210'!F64)),EDATE(AB1562,3),DATEVALUE('Procyclean 210'!F64))))),""))</f>
        <v/>
      </c>
      <c r="AM1562" t="str">
        <f t="shared" ca="1" si="166"/>
        <v/>
      </c>
    </row>
    <row r="1563" spans="27:39" x14ac:dyDescent="0.3">
      <c r="AA1563" t="str">
        <f>IF(COUNTA('Procyclean 210'!C65,'Procyclean 210'!D65,'Procyclean 210'!E65)&gt;0,"210","")</f>
        <v/>
      </c>
      <c r="AB1563" t="str">
        <f>IFERROR(IF(ISNUMBER('Procyclean 210'!C65),'Procyclean 210'!C65,DATEVALUE('Procyclean 210'!C65)),"")</f>
        <v/>
      </c>
      <c r="AC1563" t="str">
        <f>IF(AA1563="","",'Procyclean 210'!D65)</f>
        <v/>
      </c>
      <c r="AD1563" t="str">
        <f>IF(AA1563="","",IFERROR(1*'Procyclean 210'!E65,IFERROR(_xludf.NUMBERVALUE('Procyclean 210'!E65,".",","),IFERROR(_xludf.NUMBERVALUE('Procyclean 210'!E65,",","."),0))))</f>
        <v/>
      </c>
      <c r="AE1563" t="str">
        <f>IF(AA1563="","",'Procyclean 210'!B65)</f>
        <v/>
      </c>
      <c r="AF1563">
        <f t="shared" si="161"/>
        <v>0</v>
      </c>
      <c r="AG1563" t="str">
        <f t="shared" si="162"/>
        <v/>
      </c>
      <c r="AH1563" t="str">
        <f t="shared" si="163"/>
        <v/>
      </c>
      <c r="AI1563">
        <f t="shared" si="164"/>
        <v>0</v>
      </c>
      <c r="AJ1563">
        <f t="shared" si="165"/>
        <v>0</v>
      </c>
      <c r="AK1563">
        <v>0</v>
      </c>
      <c r="AL1563" t="str">
        <f>IF(AA1563="","",IFERROR(IF(ISNUMBER('Procyclean 210'!F65),'Procyclean 210'!F65,IF(ISNUMBER(SEARCH("12",'Procyclean 210'!F65)),EDATE(AB1563,12),IF(ISNUMBER(SEARCH("6",'Procyclean 210'!F65)),EDATE(AB1563,6),IF(ISNUMBER(SEARCH("3",'Procyclean 210'!F65)),EDATE(AB1563,3),DATEVALUE('Procyclean 210'!F65))))),""))</f>
        <v/>
      </c>
      <c r="AM1563" t="str">
        <f t="shared" ca="1" si="166"/>
        <v/>
      </c>
    </row>
    <row r="1564" spans="27:39" x14ac:dyDescent="0.3">
      <c r="AA1564" t="str">
        <f>IF(COUNTA('Procyclean 210'!C66,'Procyclean 210'!D66,'Procyclean 210'!E66)&gt;0,"210","")</f>
        <v/>
      </c>
      <c r="AB1564" t="str">
        <f>IFERROR(IF(ISNUMBER('Procyclean 210'!C66),'Procyclean 210'!C66,DATEVALUE('Procyclean 210'!C66)),"")</f>
        <v/>
      </c>
      <c r="AC1564" t="str">
        <f>IF(AA1564="","",'Procyclean 210'!D66)</f>
        <v/>
      </c>
      <c r="AD1564" t="str">
        <f>IF(AA1564="","",IFERROR(1*'Procyclean 210'!E66,IFERROR(_xludf.NUMBERVALUE('Procyclean 210'!E66,".",","),IFERROR(_xludf.NUMBERVALUE('Procyclean 210'!E66,",","."),0))))</f>
        <v/>
      </c>
      <c r="AE1564" t="str">
        <f>IF(AA1564="","",'Procyclean 210'!B66)</f>
        <v/>
      </c>
      <c r="AF1564">
        <f t="shared" si="161"/>
        <v>0</v>
      </c>
      <c r="AG1564" t="str">
        <f t="shared" si="162"/>
        <v/>
      </c>
      <c r="AH1564" t="str">
        <f t="shared" si="163"/>
        <v/>
      </c>
      <c r="AI1564">
        <f t="shared" si="164"/>
        <v>0</v>
      </c>
      <c r="AJ1564">
        <f t="shared" si="165"/>
        <v>0</v>
      </c>
      <c r="AK1564">
        <v>0</v>
      </c>
      <c r="AL1564" t="str">
        <f>IF(AA1564="","",IFERROR(IF(ISNUMBER('Procyclean 210'!F66),'Procyclean 210'!F66,IF(ISNUMBER(SEARCH("12",'Procyclean 210'!F66)),EDATE(AB1564,12),IF(ISNUMBER(SEARCH("6",'Procyclean 210'!F66)),EDATE(AB1564,6),IF(ISNUMBER(SEARCH("3",'Procyclean 210'!F66)),EDATE(AB1564,3),DATEVALUE('Procyclean 210'!F66))))),""))</f>
        <v/>
      </c>
      <c r="AM1564" t="str">
        <f t="shared" ca="1" si="166"/>
        <v/>
      </c>
    </row>
    <row r="1565" spans="27:39" x14ac:dyDescent="0.3">
      <c r="AA1565" t="str">
        <f>IF(COUNTA('Procyclean 210'!C67,'Procyclean 210'!D67,'Procyclean 210'!E67)&gt;0,"210","")</f>
        <v/>
      </c>
      <c r="AB1565" t="str">
        <f>IFERROR(IF(ISNUMBER('Procyclean 210'!C67),'Procyclean 210'!C67,DATEVALUE('Procyclean 210'!C67)),"")</f>
        <v/>
      </c>
      <c r="AC1565" t="str">
        <f>IF(AA1565="","",'Procyclean 210'!D67)</f>
        <v/>
      </c>
      <c r="AD1565" t="str">
        <f>IF(AA1565="","",IFERROR(1*'Procyclean 210'!E67,IFERROR(_xludf.NUMBERVALUE('Procyclean 210'!E67,".",","),IFERROR(_xludf.NUMBERVALUE('Procyclean 210'!E67,",","."),0))))</f>
        <v/>
      </c>
      <c r="AE1565" t="str">
        <f>IF(AA1565="","",'Procyclean 210'!B67)</f>
        <v/>
      </c>
      <c r="AF1565">
        <f t="shared" si="161"/>
        <v>0</v>
      </c>
      <c r="AG1565" t="str">
        <f t="shared" si="162"/>
        <v/>
      </c>
      <c r="AH1565" t="str">
        <f t="shared" si="163"/>
        <v/>
      </c>
      <c r="AI1565">
        <f t="shared" si="164"/>
        <v>0</v>
      </c>
      <c r="AJ1565">
        <f t="shared" si="165"/>
        <v>0</v>
      </c>
      <c r="AK1565">
        <v>0</v>
      </c>
      <c r="AL1565" t="str">
        <f>IF(AA1565="","",IFERROR(IF(ISNUMBER('Procyclean 210'!F67),'Procyclean 210'!F67,IF(ISNUMBER(SEARCH("12",'Procyclean 210'!F67)),EDATE(AB1565,12),IF(ISNUMBER(SEARCH("6",'Procyclean 210'!F67)),EDATE(AB1565,6),IF(ISNUMBER(SEARCH("3",'Procyclean 210'!F67)),EDATE(AB1565,3),DATEVALUE('Procyclean 210'!F67))))),""))</f>
        <v/>
      </c>
      <c r="AM1565" t="str">
        <f t="shared" ca="1" si="166"/>
        <v/>
      </c>
    </row>
    <row r="1566" spans="27:39" x14ac:dyDescent="0.3">
      <c r="AA1566" t="str">
        <f>IF(COUNTA('Procyclean 210'!C68,'Procyclean 210'!D68,'Procyclean 210'!E68)&gt;0,"210","")</f>
        <v/>
      </c>
      <c r="AB1566" t="str">
        <f>IFERROR(IF(ISNUMBER('Procyclean 210'!C68),'Procyclean 210'!C68,DATEVALUE('Procyclean 210'!C68)),"")</f>
        <v/>
      </c>
      <c r="AC1566" t="str">
        <f>IF(AA1566="","",'Procyclean 210'!D68)</f>
        <v/>
      </c>
      <c r="AD1566" t="str">
        <f>IF(AA1566="","",IFERROR(1*'Procyclean 210'!E68,IFERROR(_xludf.NUMBERVALUE('Procyclean 210'!E68,".",","),IFERROR(_xludf.NUMBERVALUE('Procyclean 210'!E68,",","."),0))))</f>
        <v/>
      </c>
      <c r="AE1566" t="str">
        <f>IF(AA1566="","",'Procyclean 210'!B68)</f>
        <v/>
      </c>
      <c r="AF1566">
        <f t="shared" si="161"/>
        <v>0</v>
      </c>
      <c r="AG1566" t="str">
        <f t="shared" si="162"/>
        <v/>
      </c>
      <c r="AH1566" t="str">
        <f t="shared" si="163"/>
        <v/>
      </c>
      <c r="AI1566">
        <f t="shared" si="164"/>
        <v>0</v>
      </c>
      <c r="AJ1566">
        <f t="shared" si="165"/>
        <v>0</v>
      </c>
      <c r="AK1566">
        <v>0</v>
      </c>
      <c r="AL1566" t="str">
        <f>IF(AA1566="","",IFERROR(IF(ISNUMBER('Procyclean 210'!F68),'Procyclean 210'!F68,IF(ISNUMBER(SEARCH("12",'Procyclean 210'!F68)),EDATE(AB1566,12),IF(ISNUMBER(SEARCH("6",'Procyclean 210'!F68)),EDATE(AB1566,6),IF(ISNUMBER(SEARCH("3",'Procyclean 210'!F68)),EDATE(AB1566,3),DATEVALUE('Procyclean 210'!F68))))),""))</f>
        <v/>
      </c>
      <c r="AM1566" t="str">
        <f t="shared" ca="1" si="166"/>
        <v/>
      </c>
    </row>
    <row r="1567" spans="27:39" x14ac:dyDescent="0.3">
      <c r="AA1567" t="str">
        <f>IF(COUNTA('Procyclean 210'!C69,'Procyclean 210'!D69,'Procyclean 210'!E69)&gt;0,"210","")</f>
        <v/>
      </c>
      <c r="AB1567" t="str">
        <f>IFERROR(IF(ISNUMBER('Procyclean 210'!C69),'Procyclean 210'!C69,DATEVALUE('Procyclean 210'!C69)),"")</f>
        <v/>
      </c>
      <c r="AC1567" t="str">
        <f>IF(AA1567="","",'Procyclean 210'!D69)</f>
        <v/>
      </c>
      <c r="AD1567" t="str">
        <f>IF(AA1567="","",IFERROR(1*'Procyclean 210'!E69,IFERROR(_xludf.NUMBERVALUE('Procyclean 210'!E69,".",","),IFERROR(_xludf.NUMBERVALUE('Procyclean 210'!E69,",","."),0))))</f>
        <v/>
      </c>
      <c r="AE1567" t="str">
        <f>IF(AA1567="","",'Procyclean 210'!B69)</f>
        <v/>
      </c>
      <c r="AF1567">
        <f t="shared" si="161"/>
        <v>0</v>
      </c>
      <c r="AG1567" t="str">
        <f t="shared" si="162"/>
        <v/>
      </c>
      <c r="AH1567" t="str">
        <f t="shared" si="163"/>
        <v/>
      </c>
      <c r="AI1567">
        <f t="shared" si="164"/>
        <v>0</v>
      </c>
      <c r="AJ1567">
        <f t="shared" si="165"/>
        <v>0</v>
      </c>
      <c r="AK1567">
        <v>0</v>
      </c>
      <c r="AL1567" t="str">
        <f>IF(AA1567="","",IFERROR(IF(ISNUMBER('Procyclean 210'!F69),'Procyclean 210'!F69,IF(ISNUMBER(SEARCH("12",'Procyclean 210'!F69)),EDATE(AB1567,12),IF(ISNUMBER(SEARCH("6",'Procyclean 210'!F69)),EDATE(AB1567,6),IF(ISNUMBER(SEARCH("3",'Procyclean 210'!F69)),EDATE(AB1567,3),DATEVALUE('Procyclean 210'!F69))))),""))</f>
        <v/>
      </c>
      <c r="AM1567" t="str">
        <f t="shared" ca="1" si="166"/>
        <v/>
      </c>
    </row>
    <row r="1568" spans="27:39" x14ac:dyDescent="0.3">
      <c r="AA1568" t="str">
        <f>IF(COUNTA('Procyclean 210'!C70,'Procyclean 210'!D70,'Procyclean 210'!E70)&gt;0,"210","")</f>
        <v/>
      </c>
      <c r="AB1568" t="str">
        <f>IFERROR(IF(ISNUMBER('Procyclean 210'!C70),'Procyclean 210'!C70,DATEVALUE('Procyclean 210'!C70)),"")</f>
        <v/>
      </c>
      <c r="AC1568" t="str">
        <f>IF(AA1568="","",'Procyclean 210'!D70)</f>
        <v/>
      </c>
      <c r="AD1568" t="str">
        <f>IF(AA1568="","",IFERROR(1*'Procyclean 210'!E70,IFERROR(_xludf.NUMBERVALUE('Procyclean 210'!E70,".",","),IFERROR(_xludf.NUMBERVALUE('Procyclean 210'!E70,",","."),0))))</f>
        <v/>
      </c>
      <c r="AE1568" t="str">
        <f>IF(AA1568="","",'Procyclean 210'!B70)</f>
        <v/>
      </c>
      <c r="AF1568">
        <f t="shared" si="161"/>
        <v>0</v>
      </c>
      <c r="AG1568" t="str">
        <f t="shared" si="162"/>
        <v/>
      </c>
      <c r="AH1568" t="str">
        <f t="shared" si="163"/>
        <v/>
      </c>
      <c r="AI1568">
        <f t="shared" si="164"/>
        <v>0</v>
      </c>
      <c r="AJ1568">
        <f t="shared" si="165"/>
        <v>0</v>
      </c>
      <c r="AK1568">
        <v>0</v>
      </c>
      <c r="AL1568" t="str">
        <f>IF(AA1568="","",IFERROR(IF(ISNUMBER('Procyclean 210'!F70),'Procyclean 210'!F70,IF(ISNUMBER(SEARCH("12",'Procyclean 210'!F70)),EDATE(AB1568,12),IF(ISNUMBER(SEARCH("6",'Procyclean 210'!F70)),EDATE(AB1568,6),IF(ISNUMBER(SEARCH("3",'Procyclean 210'!F70)),EDATE(AB1568,3),DATEVALUE('Procyclean 210'!F70))))),""))</f>
        <v/>
      </c>
      <c r="AM1568" t="str">
        <f t="shared" ca="1" si="166"/>
        <v/>
      </c>
    </row>
    <row r="1569" spans="27:39" x14ac:dyDescent="0.3">
      <c r="AA1569" t="str">
        <f>IF(COUNTA('Procyclean 210'!C71,'Procyclean 210'!D71,'Procyclean 210'!E71)&gt;0,"210","")</f>
        <v/>
      </c>
      <c r="AB1569" t="str">
        <f>IFERROR(IF(ISNUMBER('Procyclean 210'!C71),'Procyclean 210'!C71,DATEVALUE('Procyclean 210'!C71)),"")</f>
        <v/>
      </c>
      <c r="AC1569" t="str">
        <f>IF(AA1569="","",'Procyclean 210'!D71)</f>
        <v/>
      </c>
      <c r="AD1569" t="str">
        <f>IF(AA1569="","",IFERROR(1*'Procyclean 210'!E71,IFERROR(_xludf.NUMBERVALUE('Procyclean 210'!E71,".",","),IFERROR(_xludf.NUMBERVALUE('Procyclean 210'!E71,",","."),0))))</f>
        <v/>
      </c>
      <c r="AE1569" t="str">
        <f>IF(AA1569="","",'Procyclean 210'!B71)</f>
        <v/>
      </c>
      <c r="AF1569">
        <f t="shared" si="161"/>
        <v>0</v>
      </c>
      <c r="AG1569" t="str">
        <f t="shared" si="162"/>
        <v/>
      </c>
      <c r="AH1569" t="str">
        <f t="shared" si="163"/>
        <v/>
      </c>
      <c r="AI1569">
        <f t="shared" si="164"/>
        <v>0</v>
      </c>
      <c r="AJ1569">
        <f t="shared" si="165"/>
        <v>0</v>
      </c>
      <c r="AK1569">
        <v>0</v>
      </c>
      <c r="AL1569" t="str">
        <f>IF(AA1569="","",IFERROR(IF(ISNUMBER('Procyclean 210'!F71),'Procyclean 210'!F71,IF(ISNUMBER(SEARCH("12",'Procyclean 210'!F71)),EDATE(AB1569,12),IF(ISNUMBER(SEARCH("6",'Procyclean 210'!F71)),EDATE(AB1569,6),IF(ISNUMBER(SEARCH("3",'Procyclean 210'!F71)),EDATE(AB1569,3),DATEVALUE('Procyclean 210'!F71))))),""))</f>
        <v/>
      </c>
      <c r="AM1569" t="str">
        <f t="shared" ca="1" si="166"/>
        <v/>
      </c>
    </row>
    <row r="1570" spans="27:39" x14ac:dyDescent="0.3">
      <c r="AA1570" t="str">
        <f>IF(COUNTA('Procyclean 210'!C72,'Procyclean 210'!D72,'Procyclean 210'!E72)&gt;0,"210","")</f>
        <v/>
      </c>
      <c r="AB1570" t="str">
        <f>IFERROR(IF(ISNUMBER('Procyclean 210'!C72),'Procyclean 210'!C72,DATEVALUE('Procyclean 210'!C72)),"")</f>
        <v/>
      </c>
      <c r="AC1570" t="str">
        <f>IF(AA1570="","",'Procyclean 210'!D72)</f>
        <v/>
      </c>
      <c r="AD1570" t="str">
        <f>IF(AA1570="","",IFERROR(1*'Procyclean 210'!E72,IFERROR(_xludf.NUMBERVALUE('Procyclean 210'!E72,".",","),IFERROR(_xludf.NUMBERVALUE('Procyclean 210'!E72,",","."),0))))</f>
        <v/>
      </c>
      <c r="AE1570" t="str">
        <f>IF(AA1570="","",'Procyclean 210'!B72)</f>
        <v/>
      </c>
      <c r="AF1570">
        <f t="shared" si="161"/>
        <v>0</v>
      </c>
      <c r="AG1570" t="str">
        <f t="shared" si="162"/>
        <v/>
      </c>
      <c r="AH1570" t="str">
        <f t="shared" si="163"/>
        <v/>
      </c>
      <c r="AI1570">
        <f t="shared" si="164"/>
        <v>0</v>
      </c>
      <c r="AJ1570">
        <f t="shared" si="165"/>
        <v>0</v>
      </c>
      <c r="AK1570">
        <v>0</v>
      </c>
      <c r="AL1570" t="str">
        <f>IF(AA1570="","",IFERROR(IF(ISNUMBER('Procyclean 210'!F72),'Procyclean 210'!F72,IF(ISNUMBER(SEARCH("12",'Procyclean 210'!F72)),EDATE(AB1570,12),IF(ISNUMBER(SEARCH("6",'Procyclean 210'!F72)),EDATE(AB1570,6),IF(ISNUMBER(SEARCH("3",'Procyclean 210'!F72)),EDATE(AB1570,3),DATEVALUE('Procyclean 210'!F72))))),""))</f>
        <v/>
      </c>
      <c r="AM1570" t="str">
        <f t="shared" ca="1" si="166"/>
        <v/>
      </c>
    </row>
    <row r="1571" spans="27:39" x14ac:dyDescent="0.3">
      <c r="AA1571" t="str">
        <f>IF(COUNTA('Procyclean 210'!C73,'Procyclean 210'!D73,'Procyclean 210'!E73)&gt;0,"210","")</f>
        <v/>
      </c>
      <c r="AB1571" t="str">
        <f>IFERROR(IF(ISNUMBER('Procyclean 210'!C73),'Procyclean 210'!C73,DATEVALUE('Procyclean 210'!C73)),"")</f>
        <v/>
      </c>
      <c r="AC1571" t="str">
        <f>IF(AA1571="","",'Procyclean 210'!D73)</f>
        <v/>
      </c>
      <c r="AD1571" t="str">
        <f>IF(AA1571="","",IFERROR(1*'Procyclean 210'!E73,IFERROR(_xludf.NUMBERVALUE('Procyclean 210'!E73,".",","),IFERROR(_xludf.NUMBERVALUE('Procyclean 210'!E73,",","."),0))))</f>
        <v/>
      </c>
      <c r="AE1571" t="str">
        <f>IF(AA1571="","",'Procyclean 210'!B73)</f>
        <v/>
      </c>
      <c r="AF1571">
        <f t="shared" si="161"/>
        <v>0</v>
      </c>
      <c r="AG1571" t="str">
        <f t="shared" si="162"/>
        <v/>
      </c>
      <c r="AH1571" t="str">
        <f t="shared" si="163"/>
        <v/>
      </c>
      <c r="AI1571">
        <f t="shared" si="164"/>
        <v>0</v>
      </c>
      <c r="AJ1571">
        <f t="shared" si="165"/>
        <v>0</v>
      </c>
      <c r="AK1571">
        <v>0</v>
      </c>
      <c r="AL1571" t="str">
        <f>IF(AA1571="","",IFERROR(IF(ISNUMBER('Procyclean 210'!F73),'Procyclean 210'!F73,IF(ISNUMBER(SEARCH("12",'Procyclean 210'!F73)),EDATE(AB1571,12),IF(ISNUMBER(SEARCH("6",'Procyclean 210'!F73)),EDATE(AB1571,6),IF(ISNUMBER(SEARCH("3",'Procyclean 210'!F73)),EDATE(AB1571,3),DATEVALUE('Procyclean 210'!F73))))),""))</f>
        <v/>
      </c>
      <c r="AM1571" t="str">
        <f t="shared" ca="1" si="166"/>
        <v/>
      </c>
    </row>
    <row r="1572" spans="27:39" x14ac:dyDescent="0.3">
      <c r="AA1572" t="str">
        <f>IF(COUNTA('Procyclean 210'!C74,'Procyclean 210'!D74,'Procyclean 210'!E74)&gt;0,"210","")</f>
        <v/>
      </c>
      <c r="AB1572" t="str">
        <f>IFERROR(IF(ISNUMBER('Procyclean 210'!C74),'Procyclean 210'!C74,DATEVALUE('Procyclean 210'!C74)),"")</f>
        <v/>
      </c>
      <c r="AC1572" t="str">
        <f>IF(AA1572="","",'Procyclean 210'!D74)</f>
        <v/>
      </c>
      <c r="AD1572" t="str">
        <f>IF(AA1572="","",IFERROR(1*'Procyclean 210'!E74,IFERROR(_xludf.NUMBERVALUE('Procyclean 210'!E74,".",","),IFERROR(_xludf.NUMBERVALUE('Procyclean 210'!E74,",","."),0))))</f>
        <v/>
      </c>
      <c r="AE1572" t="str">
        <f>IF(AA1572="","",'Procyclean 210'!B74)</f>
        <v/>
      </c>
      <c r="AF1572">
        <f t="shared" si="161"/>
        <v>0</v>
      </c>
      <c r="AG1572" t="str">
        <f t="shared" si="162"/>
        <v/>
      </c>
      <c r="AH1572" t="str">
        <f t="shared" si="163"/>
        <v/>
      </c>
      <c r="AI1572">
        <f t="shared" si="164"/>
        <v>0</v>
      </c>
      <c r="AJ1572">
        <f t="shared" si="165"/>
        <v>0</v>
      </c>
      <c r="AK1572">
        <v>0</v>
      </c>
      <c r="AL1572" t="str">
        <f>IF(AA1572="","",IFERROR(IF(ISNUMBER('Procyclean 210'!F74),'Procyclean 210'!F74,IF(ISNUMBER(SEARCH("12",'Procyclean 210'!F74)),EDATE(AB1572,12),IF(ISNUMBER(SEARCH("6",'Procyclean 210'!F74)),EDATE(AB1572,6),IF(ISNUMBER(SEARCH("3",'Procyclean 210'!F74)),EDATE(AB1572,3),DATEVALUE('Procyclean 210'!F74))))),""))</f>
        <v/>
      </c>
      <c r="AM1572" t="str">
        <f t="shared" ca="1" si="166"/>
        <v/>
      </c>
    </row>
    <row r="1573" spans="27:39" x14ac:dyDescent="0.3">
      <c r="AA1573" t="str">
        <f>IF(COUNTA('Procyclean 210'!C75,'Procyclean 210'!D75,'Procyclean 210'!E75)&gt;0,"210","")</f>
        <v/>
      </c>
      <c r="AB1573" t="str">
        <f>IFERROR(IF(ISNUMBER('Procyclean 210'!C75),'Procyclean 210'!C75,DATEVALUE('Procyclean 210'!C75)),"")</f>
        <v/>
      </c>
      <c r="AC1573" t="str">
        <f>IF(AA1573="","",'Procyclean 210'!D75)</f>
        <v/>
      </c>
      <c r="AD1573" t="str">
        <f>IF(AA1573="","",IFERROR(1*'Procyclean 210'!E75,IFERROR(_xludf.NUMBERVALUE('Procyclean 210'!E75,".",","),IFERROR(_xludf.NUMBERVALUE('Procyclean 210'!E75,",","."),0))))</f>
        <v/>
      </c>
      <c r="AE1573" t="str">
        <f>IF(AA1573="","",'Procyclean 210'!B75)</f>
        <v/>
      </c>
      <c r="AF1573">
        <f t="shared" si="161"/>
        <v>0</v>
      </c>
      <c r="AG1573" t="str">
        <f t="shared" si="162"/>
        <v/>
      </c>
      <c r="AH1573" t="str">
        <f t="shared" si="163"/>
        <v/>
      </c>
      <c r="AI1573">
        <f t="shared" si="164"/>
        <v>0</v>
      </c>
      <c r="AJ1573">
        <f t="shared" si="165"/>
        <v>0</v>
      </c>
      <c r="AK1573">
        <v>0</v>
      </c>
      <c r="AL1573" t="str">
        <f>IF(AA1573="","",IFERROR(IF(ISNUMBER('Procyclean 210'!F75),'Procyclean 210'!F75,IF(ISNUMBER(SEARCH("12",'Procyclean 210'!F75)),EDATE(AB1573,12),IF(ISNUMBER(SEARCH("6",'Procyclean 210'!F75)),EDATE(AB1573,6),IF(ISNUMBER(SEARCH("3",'Procyclean 210'!F75)),EDATE(AB1573,3),DATEVALUE('Procyclean 210'!F75))))),""))</f>
        <v/>
      </c>
      <c r="AM1573" t="str">
        <f t="shared" ca="1" si="166"/>
        <v/>
      </c>
    </row>
    <row r="1574" spans="27:39" x14ac:dyDescent="0.3">
      <c r="AA1574" t="str">
        <f>IF(COUNTA('Procyclean 210'!C76,'Procyclean 210'!D76,'Procyclean 210'!E76)&gt;0,"210","")</f>
        <v/>
      </c>
      <c r="AB1574" t="str">
        <f>IFERROR(IF(ISNUMBER('Procyclean 210'!C76),'Procyclean 210'!C76,DATEVALUE('Procyclean 210'!C76)),"")</f>
        <v/>
      </c>
      <c r="AC1574" t="str">
        <f>IF(AA1574="","",'Procyclean 210'!D76)</f>
        <v/>
      </c>
      <c r="AD1574" t="str">
        <f>IF(AA1574="","",IFERROR(1*'Procyclean 210'!E76,IFERROR(_xludf.NUMBERVALUE('Procyclean 210'!E76,".",","),IFERROR(_xludf.NUMBERVALUE('Procyclean 210'!E76,",","."),0))))</f>
        <v/>
      </c>
      <c r="AE1574" t="str">
        <f>IF(AA1574="","",'Procyclean 210'!B76)</f>
        <v/>
      </c>
      <c r="AF1574">
        <f t="shared" si="161"/>
        <v>0</v>
      </c>
      <c r="AG1574" t="str">
        <f t="shared" si="162"/>
        <v/>
      </c>
      <c r="AH1574" t="str">
        <f t="shared" si="163"/>
        <v/>
      </c>
      <c r="AI1574">
        <f t="shared" si="164"/>
        <v>0</v>
      </c>
      <c r="AJ1574">
        <f t="shared" si="165"/>
        <v>0</v>
      </c>
      <c r="AK1574">
        <v>0</v>
      </c>
      <c r="AL1574" t="str">
        <f>IF(AA1574="","",IFERROR(IF(ISNUMBER('Procyclean 210'!F76),'Procyclean 210'!F76,IF(ISNUMBER(SEARCH("12",'Procyclean 210'!F76)),EDATE(AB1574,12),IF(ISNUMBER(SEARCH("6",'Procyclean 210'!F76)),EDATE(AB1574,6),IF(ISNUMBER(SEARCH("3",'Procyclean 210'!F76)),EDATE(AB1574,3),DATEVALUE('Procyclean 210'!F76))))),""))</f>
        <v/>
      </c>
      <c r="AM1574" t="str">
        <f t="shared" ca="1" si="166"/>
        <v/>
      </c>
    </row>
    <row r="1575" spans="27:39" x14ac:dyDescent="0.3">
      <c r="AA1575" t="str">
        <f>IF(COUNTA('Procyclean 210'!C77,'Procyclean 210'!D77,'Procyclean 210'!E77)&gt;0,"210","")</f>
        <v/>
      </c>
      <c r="AB1575" t="str">
        <f>IFERROR(IF(ISNUMBER('Procyclean 210'!C77),'Procyclean 210'!C77,DATEVALUE('Procyclean 210'!C77)),"")</f>
        <v/>
      </c>
      <c r="AC1575" t="str">
        <f>IF(AA1575="","",'Procyclean 210'!D77)</f>
        <v/>
      </c>
      <c r="AD1575" t="str">
        <f>IF(AA1575="","",IFERROR(1*'Procyclean 210'!E77,IFERROR(_xludf.NUMBERVALUE('Procyclean 210'!E77,".",","),IFERROR(_xludf.NUMBERVALUE('Procyclean 210'!E77,",","."),0))))</f>
        <v/>
      </c>
      <c r="AE1575" t="str">
        <f>IF(AA1575="","",'Procyclean 210'!B77)</f>
        <v/>
      </c>
      <c r="AF1575">
        <f t="shared" si="161"/>
        <v>0</v>
      </c>
      <c r="AG1575" t="str">
        <f t="shared" si="162"/>
        <v/>
      </c>
      <c r="AH1575" t="str">
        <f t="shared" si="163"/>
        <v/>
      </c>
      <c r="AI1575">
        <f t="shared" si="164"/>
        <v>0</v>
      </c>
      <c r="AJ1575">
        <f t="shared" si="165"/>
        <v>0</v>
      </c>
      <c r="AK1575">
        <v>0</v>
      </c>
      <c r="AL1575" t="str">
        <f>IF(AA1575="","",IFERROR(IF(ISNUMBER('Procyclean 210'!F77),'Procyclean 210'!F77,IF(ISNUMBER(SEARCH("12",'Procyclean 210'!F77)),EDATE(AB1575,12),IF(ISNUMBER(SEARCH("6",'Procyclean 210'!F77)),EDATE(AB1575,6),IF(ISNUMBER(SEARCH("3",'Procyclean 210'!F77)),EDATE(AB1575,3),DATEVALUE('Procyclean 210'!F77))))),""))</f>
        <v/>
      </c>
      <c r="AM1575" t="str">
        <f t="shared" ca="1" si="166"/>
        <v/>
      </c>
    </row>
    <row r="1576" spans="27:39" x14ac:dyDescent="0.3">
      <c r="AA1576" t="str">
        <f>IF(COUNTA('Procyclean 210'!C78,'Procyclean 210'!D78,'Procyclean 210'!E78)&gt;0,"210","")</f>
        <v/>
      </c>
      <c r="AB1576" t="str">
        <f>IFERROR(IF(ISNUMBER('Procyclean 210'!C78),'Procyclean 210'!C78,DATEVALUE('Procyclean 210'!C78)),"")</f>
        <v/>
      </c>
      <c r="AC1576" t="str">
        <f>IF(AA1576="","",'Procyclean 210'!D78)</f>
        <v/>
      </c>
      <c r="AD1576" t="str">
        <f>IF(AA1576="","",IFERROR(1*'Procyclean 210'!E78,IFERROR(_xludf.NUMBERVALUE('Procyclean 210'!E78,".",","),IFERROR(_xludf.NUMBERVALUE('Procyclean 210'!E78,",","."),0))))</f>
        <v/>
      </c>
      <c r="AE1576" t="str">
        <f>IF(AA1576="","",'Procyclean 210'!B78)</f>
        <v/>
      </c>
      <c r="AF1576">
        <f t="shared" si="161"/>
        <v>0</v>
      </c>
      <c r="AG1576" t="str">
        <f t="shared" si="162"/>
        <v/>
      </c>
      <c r="AH1576" t="str">
        <f t="shared" si="163"/>
        <v/>
      </c>
      <c r="AI1576">
        <f t="shared" si="164"/>
        <v>0</v>
      </c>
      <c r="AJ1576">
        <f t="shared" si="165"/>
        <v>0</v>
      </c>
      <c r="AK1576">
        <v>0</v>
      </c>
      <c r="AL1576" t="str">
        <f>IF(AA1576="","",IFERROR(IF(ISNUMBER('Procyclean 210'!F78),'Procyclean 210'!F78,IF(ISNUMBER(SEARCH("12",'Procyclean 210'!F78)),EDATE(AB1576,12),IF(ISNUMBER(SEARCH("6",'Procyclean 210'!F78)),EDATE(AB1576,6),IF(ISNUMBER(SEARCH("3",'Procyclean 210'!F78)),EDATE(AB1576,3),DATEVALUE('Procyclean 210'!F78))))),""))</f>
        <v/>
      </c>
      <c r="AM1576" t="str">
        <f t="shared" ca="1" si="166"/>
        <v/>
      </c>
    </row>
    <row r="1577" spans="27:39" x14ac:dyDescent="0.3">
      <c r="AA1577" t="str">
        <f>IF(COUNTA('Procyclean 210'!C79,'Procyclean 210'!D79,'Procyclean 210'!E79)&gt;0,"210","")</f>
        <v/>
      </c>
      <c r="AB1577" t="str">
        <f>IFERROR(IF(ISNUMBER('Procyclean 210'!C79),'Procyclean 210'!C79,DATEVALUE('Procyclean 210'!C79)),"")</f>
        <v/>
      </c>
      <c r="AC1577" t="str">
        <f>IF(AA1577="","",'Procyclean 210'!D79)</f>
        <v/>
      </c>
      <c r="AD1577" t="str">
        <f>IF(AA1577="","",IFERROR(1*'Procyclean 210'!E79,IFERROR(_xludf.NUMBERVALUE('Procyclean 210'!E79,".",","),IFERROR(_xludf.NUMBERVALUE('Procyclean 210'!E79,",","."),0))))</f>
        <v/>
      </c>
      <c r="AE1577" t="str">
        <f>IF(AA1577="","",'Procyclean 210'!B79)</f>
        <v/>
      </c>
      <c r="AF1577">
        <f t="shared" si="161"/>
        <v>0</v>
      </c>
      <c r="AG1577" t="str">
        <f t="shared" si="162"/>
        <v/>
      </c>
      <c r="AH1577" t="str">
        <f t="shared" si="163"/>
        <v/>
      </c>
      <c r="AI1577">
        <f t="shared" si="164"/>
        <v>0</v>
      </c>
      <c r="AJ1577">
        <f t="shared" si="165"/>
        <v>0</v>
      </c>
      <c r="AK1577">
        <v>0</v>
      </c>
      <c r="AL1577" t="str">
        <f>IF(AA1577="","",IFERROR(IF(ISNUMBER('Procyclean 210'!F79),'Procyclean 210'!F79,IF(ISNUMBER(SEARCH("12",'Procyclean 210'!F79)),EDATE(AB1577,12),IF(ISNUMBER(SEARCH("6",'Procyclean 210'!F79)),EDATE(AB1577,6),IF(ISNUMBER(SEARCH("3",'Procyclean 210'!F79)),EDATE(AB1577,3),DATEVALUE('Procyclean 210'!F79))))),""))</f>
        <v/>
      </c>
      <c r="AM1577" t="str">
        <f t="shared" ca="1" si="166"/>
        <v/>
      </c>
    </row>
    <row r="1578" spans="27:39" x14ac:dyDescent="0.3">
      <c r="AA1578" t="str">
        <f>IF(COUNTA('Procyclean 210'!C80,'Procyclean 210'!D80,'Procyclean 210'!E80)&gt;0,"210","")</f>
        <v/>
      </c>
      <c r="AB1578" t="str">
        <f>IFERROR(IF(ISNUMBER('Procyclean 210'!C80),'Procyclean 210'!C80,DATEVALUE('Procyclean 210'!C80)),"")</f>
        <v/>
      </c>
      <c r="AC1578" t="str">
        <f>IF(AA1578="","",'Procyclean 210'!D80)</f>
        <v/>
      </c>
      <c r="AD1578" t="str">
        <f>IF(AA1578="","",IFERROR(1*'Procyclean 210'!E80,IFERROR(_xludf.NUMBERVALUE('Procyclean 210'!E80,".",","),IFERROR(_xludf.NUMBERVALUE('Procyclean 210'!E80,",","."),0))))</f>
        <v/>
      </c>
      <c r="AE1578" t="str">
        <f>IF(AA1578="","",'Procyclean 210'!B80)</f>
        <v/>
      </c>
      <c r="AF1578">
        <f t="shared" si="161"/>
        <v>0</v>
      </c>
      <c r="AG1578" t="str">
        <f t="shared" si="162"/>
        <v/>
      </c>
      <c r="AH1578" t="str">
        <f t="shared" si="163"/>
        <v/>
      </c>
      <c r="AI1578">
        <f t="shared" si="164"/>
        <v>0</v>
      </c>
      <c r="AJ1578">
        <f t="shared" si="165"/>
        <v>0</v>
      </c>
      <c r="AK1578">
        <v>0</v>
      </c>
      <c r="AL1578" t="str">
        <f>IF(AA1578="","",IFERROR(IF(ISNUMBER('Procyclean 210'!F80),'Procyclean 210'!F80,IF(ISNUMBER(SEARCH("12",'Procyclean 210'!F80)),EDATE(AB1578,12),IF(ISNUMBER(SEARCH("6",'Procyclean 210'!F80)),EDATE(AB1578,6),IF(ISNUMBER(SEARCH("3",'Procyclean 210'!F80)),EDATE(AB1578,3),DATEVALUE('Procyclean 210'!F80))))),""))</f>
        <v/>
      </c>
      <c r="AM1578" t="str">
        <f t="shared" ca="1" si="166"/>
        <v/>
      </c>
    </row>
    <row r="1579" spans="27:39" x14ac:dyDescent="0.3">
      <c r="AA1579" t="str">
        <f>IF(COUNTA('Procyclean 210'!C81,'Procyclean 210'!D81,'Procyclean 210'!E81)&gt;0,"210","")</f>
        <v/>
      </c>
      <c r="AB1579" t="str">
        <f>IFERROR(IF(ISNUMBER('Procyclean 210'!C81),'Procyclean 210'!C81,DATEVALUE('Procyclean 210'!C81)),"")</f>
        <v/>
      </c>
      <c r="AC1579" t="str">
        <f>IF(AA1579="","",'Procyclean 210'!D81)</f>
        <v/>
      </c>
      <c r="AD1579" t="str">
        <f>IF(AA1579="","",IFERROR(1*'Procyclean 210'!E81,IFERROR(_xludf.NUMBERVALUE('Procyclean 210'!E81,".",","),IFERROR(_xludf.NUMBERVALUE('Procyclean 210'!E81,",","."),0))))</f>
        <v/>
      </c>
      <c r="AE1579" t="str">
        <f>IF(AA1579="","",'Procyclean 210'!B81)</f>
        <v/>
      </c>
      <c r="AF1579">
        <f t="shared" si="161"/>
        <v>0</v>
      </c>
      <c r="AG1579" t="str">
        <f t="shared" si="162"/>
        <v/>
      </c>
      <c r="AH1579" t="str">
        <f t="shared" si="163"/>
        <v/>
      </c>
      <c r="AI1579">
        <f t="shared" si="164"/>
        <v>0</v>
      </c>
      <c r="AJ1579">
        <f t="shared" si="165"/>
        <v>0</v>
      </c>
      <c r="AK1579">
        <v>0</v>
      </c>
      <c r="AL1579" t="str">
        <f>IF(AA1579="","",IFERROR(IF(ISNUMBER('Procyclean 210'!F81),'Procyclean 210'!F81,IF(ISNUMBER(SEARCH("12",'Procyclean 210'!F81)),EDATE(AB1579,12),IF(ISNUMBER(SEARCH("6",'Procyclean 210'!F81)),EDATE(AB1579,6),IF(ISNUMBER(SEARCH("3",'Procyclean 210'!F81)),EDATE(AB1579,3),DATEVALUE('Procyclean 210'!F81))))),""))</f>
        <v/>
      </c>
      <c r="AM1579" t="str">
        <f t="shared" ca="1" si="166"/>
        <v/>
      </c>
    </row>
    <row r="1580" spans="27:39" x14ac:dyDescent="0.3">
      <c r="AA1580" t="str">
        <f>IF(COUNTA('Procyclean 210'!C82,'Procyclean 210'!D82,'Procyclean 210'!E82)&gt;0,"210","")</f>
        <v/>
      </c>
      <c r="AB1580" t="str">
        <f>IFERROR(IF(ISNUMBER('Procyclean 210'!C82),'Procyclean 210'!C82,DATEVALUE('Procyclean 210'!C82)),"")</f>
        <v/>
      </c>
      <c r="AC1580" t="str">
        <f>IF(AA1580="","",'Procyclean 210'!D82)</f>
        <v/>
      </c>
      <c r="AD1580" t="str">
        <f>IF(AA1580="","",IFERROR(1*'Procyclean 210'!E82,IFERROR(_xludf.NUMBERVALUE('Procyclean 210'!E82,".",","),IFERROR(_xludf.NUMBERVALUE('Procyclean 210'!E82,",","."),0))))</f>
        <v/>
      </c>
      <c r="AE1580" t="str">
        <f>IF(AA1580="","",'Procyclean 210'!B82)</f>
        <v/>
      </c>
      <c r="AF1580">
        <f t="shared" si="161"/>
        <v>0</v>
      </c>
      <c r="AG1580" t="str">
        <f t="shared" si="162"/>
        <v/>
      </c>
      <c r="AH1580" t="str">
        <f t="shared" si="163"/>
        <v/>
      </c>
      <c r="AI1580">
        <f t="shared" si="164"/>
        <v>0</v>
      </c>
      <c r="AJ1580">
        <f t="shared" si="165"/>
        <v>0</v>
      </c>
      <c r="AK1580">
        <v>0</v>
      </c>
      <c r="AL1580" t="str">
        <f>IF(AA1580="","",IFERROR(IF(ISNUMBER('Procyclean 210'!F82),'Procyclean 210'!F82,IF(ISNUMBER(SEARCH("12",'Procyclean 210'!F82)),EDATE(AB1580,12),IF(ISNUMBER(SEARCH("6",'Procyclean 210'!F82)),EDATE(AB1580,6),IF(ISNUMBER(SEARCH("3",'Procyclean 210'!F82)),EDATE(AB1580,3),DATEVALUE('Procyclean 210'!F82))))),""))</f>
        <v/>
      </c>
      <c r="AM1580" t="str">
        <f t="shared" ca="1" si="166"/>
        <v/>
      </c>
    </row>
    <row r="1581" spans="27:39" x14ac:dyDescent="0.3">
      <c r="AA1581" t="str">
        <f>IF(COUNTA('Procyclean 210'!C83,'Procyclean 210'!D83,'Procyclean 210'!E83)&gt;0,"210","")</f>
        <v/>
      </c>
      <c r="AB1581" t="str">
        <f>IFERROR(IF(ISNUMBER('Procyclean 210'!C83),'Procyclean 210'!C83,DATEVALUE('Procyclean 210'!C83)),"")</f>
        <v/>
      </c>
      <c r="AC1581" t="str">
        <f>IF(AA1581="","",'Procyclean 210'!D83)</f>
        <v/>
      </c>
      <c r="AD1581" t="str">
        <f>IF(AA1581="","",IFERROR(1*'Procyclean 210'!E83,IFERROR(_xludf.NUMBERVALUE('Procyclean 210'!E83,".",","),IFERROR(_xludf.NUMBERVALUE('Procyclean 210'!E83,",","."),0))))</f>
        <v/>
      </c>
      <c r="AE1581" t="str">
        <f>IF(AA1581="","",'Procyclean 210'!B83)</f>
        <v/>
      </c>
      <c r="AF1581">
        <f t="shared" si="161"/>
        <v>0</v>
      </c>
      <c r="AG1581" t="str">
        <f t="shared" si="162"/>
        <v/>
      </c>
      <c r="AH1581" t="str">
        <f t="shared" si="163"/>
        <v/>
      </c>
      <c r="AI1581">
        <f t="shared" si="164"/>
        <v>0</v>
      </c>
      <c r="AJ1581">
        <f t="shared" si="165"/>
        <v>0</v>
      </c>
      <c r="AK1581">
        <v>0</v>
      </c>
      <c r="AL1581" t="str">
        <f>IF(AA1581="","",IFERROR(IF(ISNUMBER('Procyclean 210'!F83),'Procyclean 210'!F83,IF(ISNUMBER(SEARCH("12",'Procyclean 210'!F83)),EDATE(AB1581,12),IF(ISNUMBER(SEARCH("6",'Procyclean 210'!F83)),EDATE(AB1581,6),IF(ISNUMBER(SEARCH("3",'Procyclean 210'!F83)),EDATE(AB1581,3),DATEVALUE('Procyclean 210'!F83))))),""))</f>
        <v/>
      </c>
      <c r="AM1581" t="str">
        <f t="shared" ca="1" si="166"/>
        <v/>
      </c>
    </row>
    <row r="1582" spans="27:39" x14ac:dyDescent="0.3">
      <c r="AA1582" t="str">
        <f>IF(COUNTA('Procyclean 210'!C84,'Procyclean 210'!D84,'Procyclean 210'!E84)&gt;0,"210","")</f>
        <v/>
      </c>
      <c r="AB1582" t="str">
        <f>IFERROR(IF(ISNUMBER('Procyclean 210'!C84),'Procyclean 210'!C84,DATEVALUE('Procyclean 210'!C84)),"")</f>
        <v/>
      </c>
      <c r="AC1582" t="str">
        <f>IF(AA1582="","",'Procyclean 210'!D84)</f>
        <v/>
      </c>
      <c r="AD1582" t="str">
        <f>IF(AA1582="","",IFERROR(1*'Procyclean 210'!E84,IFERROR(_xludf.NUMBERVALUE('Procyclean 210'!E84,".",","),IFERROR(_xludf.NUMBERVALUE('Procyclean 210'!E84,",","."),0))))</f>
        <v/>
      </c>
      <c r="AE1582" t="str">
        <f>IF(AA1582="","",'Procyclean 210'!B84)</f>
        <v/>
      </c>
      <c r="AF1582">
        <f t="shared" si="161"/>
        <v>0</v>
      </c>
      <c r="AG1582" t="str">
        <f t="shared" si="162"/>
        <v/>
      </c>
      <c r="AH1582" t="str">
        <f t="shared" si="163"/>
        <v/>
      </c>
      <c r="AI1582">
        <f t="shared" si="164"/>
        <v>0</v>
      </c>
      <c r="AJ1582">
        <f t="shared" si="165"/>
        <v>0</v>
      </c>
      <c r="AK1582">
        <v>0</v>
      </c>
      <c r="AL1582" t="str">
        <f>IF(AA1582="","",IFERROR(IF(ISNUMBER('Procyclean 210'!F84),'Procyclean 210'!F84,IF(ISNUMBER(SEARCH("12",'Procyclean 210'!F84)),EDATE(AB1582,12),IF(ISNUMBER(SEARCH("6",'Procyclean 210'!F84)),EDATE(AB1582,6),IF(ISNUMBER(SEARCH("3",'Procyclean 210'!F84)),EDATE(AB1582,3),DATEVALUE('Procyclean 210'!F84))))),""))</f>
        <v/>
      </c>
      <c r="AM1582" t="str">
        <f t="shared" ca="1" si="166"/>
        <v/>
      </c>
    </row>
    <row r="1583" spans="27:39" x14ac:dyDescent="0.3">
      <c r="AA1583" t="str">
        <f>IF(COUNTA('Procyclean 210'!C85,'Procyclean 210'!D85,'Procyclean 210'!E85)&gt;0,"210","")</f>
        <v/>
      </c>
      <c r="AB1583" t="str">
        <f>IFERROR(IF(ISNUMBER('Procyclean 210'!C85),'Procyclean 210'!C85,DATEVALUE('Procyclean 210'!C85)),"")</f>
        <v/>
      </c>
      <c r="AC1583" t="str">
        <f>IF(AA1583="","",'Procyclean 210'!D85)</f>
        <v/>
      </c>
      <c r="AD1583" t="str">
        <f>IF(AA1583="","",IFERROR(1*'Procyclean 210'!E85,IFERROR(_xludf.NUMBERVALUE('Procyclean 210'!E85,".",","),IFERROR(_xludf.NUMBERVALUE('Procyclean 210'!E85,",","."),0))))</f>
        <v/>
      </c>
      <c r="AE1583" t="str">
        <f>IF(AA1583="","",'Procyclean 210'!B85)</f>
        <v/>
      </c>
      <c r="AF1583">
        <f t="shared" si="161"/>
        <v>0</v>
      </c>
      <c r="AG1583" t="str">
        <f t="shared" si="162"/>
        <v/>
      </c>
      <c r="AH1583" t="str">
        <f t="shared" si="163"/>
        <v/>
      </c>
      <c r="AI1583">
        <f t="shared" si="164"/>
        <v>0</v>
      </c>
      <c r="AJ1583">
        <f t="shared" si="165"/>
        <v>0</v>
      </c>
      <c r="AK1583">
        <v>0</v>
      </c>
      <c r="AL1583" t="str">
        <f>IF(AA1583="","",IFERROR(IF(ISNUMBER('Procyclean 210'!F85),'Procyclean 210'!F85,IF(ISNUMBER(SEARCH("12",'Procyclean 210'!F85)),EDATE(AB1583,12),IF(ISNUMBER(SEARCH("6",'Procyclean 210'!F85)),EDATE(AB1583,6),IF(ISNUMBER(SEARCH("3",'Procyclean 210'!F85)),EDATE(AB1583,3),DATEVALUE('Procyclean 210'!F85))))),""))</f>
        <v/>
      </c>
      <c r="AM1583" t="str">
        <f t="shared" ca="1" si="166"/>
        <v/>
      </c>
    </row>
    <row r="1584" spans="27:39" x14ac:dyDescent="0.3">
      <c r="AA1584" t="str">
        <f>IF(COUNTA('Procyclean 210'!C86,'Procyclean 210'!D86,'Procyclean 210'!E86)&gt;0,"210","")</f>
        <v/>
      </c>
      <c r="AB1584" t="str">
        <f>IFERROR(IF(ISNUMBER('Procyclean 210'!C86),'Procyclean 210'!C86,DATEVALUE('Procyclean 210'!C86)),"")</f>
        <v/>
      </c>
      <c r="AC1584" t="str">
        <f>IF(AA1584="","",'Procyclean 210'!D86)</f>
        <v/>
      </c>
      <c r="AD1584" t="str">
        <f>IF(AA1584="","",IFERROR(1*'Procyclean 210'!E86,IFERROR(_xludf.NUMBERVALUE('Procyclean 210'!E86,".",","),IFERROR(_xludf.NUMBERVALUE('Procyclean 210'!E86,",","."),0))))</f>
        <v/>
      </c>
      <c r="AE1584" t="str">
        <f>IF(AA1584="","",'Procyclean 210'!B86)</f>
        <v/>
      </c>
      <c r="AF1584">
        <f t="shared" si="161"/>
        <v>0</v>
      </c>
      <c r="AG1584" t="str">
        <f t="shared" si="162"/>
        <v/>
      </c>
      <c r="AH1584" t="str">
        <f t="shared" si="163"/>
        <v/>
      </c>
      <c r="AI1584">
        <f t="shared" si="164"/>
        <v>0</v>
      </c>
      <c r="AJ1584">
        <f t="shared" si="165"/>
        <v>0</v>
      </c>
      <c r="AK1584">
        <v>0</v>
      </c>
      <c r="AL1584" t="str">
        <f>IF(AA1584="","",IFERROR(IF(ISNUMBER('Procyclean 210'!F86),'Procyclean 210'!F86,IF(ISNUMBER(SEARCH("12",'Procyclean 210'!F86)),EDATE(AB1584,12),IF(ISNUMBER(SEARCH("6",'Procyclean 210'!F86)),EDATE(AB1584,6),IF(ISNUMBER(SEARCH("3",'Procyclean 210'!F86)),EDATE(AB1584,3),DATEVALUE('Procyclean 210'!F86))))),""))</f>
        <v/>
      </c>
      <c r="AM1584" t="str">
        <f t="shared" ca="1" si="166"/>
        <v/>
      </c>
    </row>
    <row r="1585" spans="27:39" x14ac:dyDescent="0.3">
      <c r="AA1585" t="str">
        <f>IF(COUNTA('Procyclean 210'!C87,'Procyclean 210'!D87,'Procyclean 210'!E87)&gt;0,"210","")</f>
        <v/>
      </c>
      <c r="AB1585" t="str">
        <f>IFERROR(IF(ISNUMBER('Procyclean 210'!C87),'Procyclean 210'!C87,DATEVALUE('Procyclean 210'!C87)),"")</f>
        <v/>
      </c>
      <c r="AC1585" t="str">
        <f>IF(AA1585="","",'Procyclean 210'!D87)</f>
        <v/>
      </c>
      <c r="AD1585" t="str">
        <f>IF(AA1585="","",IFERROR(1*'Procyclean 210'!E87,IFERROR(_xludf.NUMBERVALUE('Procyclean 210'!E87,".",","),IFERROR(_xludf.NUMBERVALUE('Procyclean 210'!E87,",","."),0))))</f>
        <v/>
      </c>
      <c r="AE1585" t="str">
        <f>IF(AA1585="","",'Procyclean 210'!B87)</f>
        <v/>
      </c>
      <c r="AF1585">
        <f t="shared" si="161"/>
        <v>0</v>
      </c>
      <c r="AG1585" t="str">
        <f t="shared" si="162"/>
        <v/>
      </c>
      <c r="AH1585" t="str">
        <f t="shared" si="163"/>
        <v/>
      </c>
      <c r="AI1585">
        <f t="shared" si="164"/>
        <v>0</v>
      </c>
      <c r="AJ1585">
        <f t="shared" si="165"/>
        <v>0</v>
      </c>
      <c r="AK1585">
        <v>0</v>
      </c>
      <c r="AL1585" t="str">
        <f>IF(AA1585="","",IFERROR(IF(ISNUMBER('Procyclean 210'!F87),'Procyclean 210'!F87,IF(ISNUMBER(SEARCH("12",'Procyclean 210'!F87)),EDATE(AB1585,12),IF(ISNUMBER(SEARCH("6",'Procyclean 210'!F87)),EDATE(AB1585,6),IF(ISNUMBER(SEARCH("3",'Procyclean 210'!F87)),EDATE(AB1585,3),DATEVALUE('Procyclean 210'!F87))))),""))</f>
        <v/>
      </c>
      <c r="AM1585" t="str">
        <f t="shared" ca="1" si="166"/>
        <v/>
      </c>
    </row>
    <row r="1586" spans="27:39" x14ac:dyDescent="0.3">
      <c r="AA1586" t="str">
        <f>IF(COUNTA('Procyclean 210'!C88,'Procyclean 210'!D88,'Procyclean 210'!E88)&gt;0,"210","")</f>
        <v/>
      </c>
      <c r="AB1586" t="str">
        <f>IFERROR(IF(ISNUMBER('Procyclean 210'!C88),'Procyclean 210'!C88,DATEVALUE('Procyclean 210'!C88)),"")</f>
        <v/>
      </c>
      <c r="AC1586" t="str">
        <f>IF(AA1586="","",'Procyclean 210'!D88)</f>
        <v/>
      </c>
      <c r="AD1586" t="str">
        <f>IF(AA1586="","",IFERROR(1*'Procyclean 210'!E88,IFERROR(_xludf.NUMBERVALUE('Procyclean 210'!E88,".",","),IFERROR(_xludf.NUMBERVALUE('Procyclean 210'!E88,",","."),0))))</f>
        <v/>
      </c>
      <c r="AE1586" t="str">
        <f>IF(AA1586="","",'Procyclean 210'!B88)</f>
        <v/>
      </c>
      <c r="AF1586">
        <f t="shared" si="161"/>
        <v>0</v>
      </c>
      <c r="AG1586" t="str">
        <f t="shared" si="162"/>
        <v/>
      </c>
      <c r="AH1586" t="str">
        <f t="shared" si="163"/>
        <v/>
      </c>
      <c r="AI1586">
        <f t="shared" si="164"/>
        <v>0</v>
      </c>
      <c r="AJ1586">
        <f t="shared" si="165"/>
        <v>0</v>
      </c>
      <c r="AK1586">
        <v>0</v>
      </c>
      <c r="AL1586" t="str">
        <f>IF(AA1586="","",IFERROR(IF(ISNUMBER('Procyclean 210'!F88),'Procyclean 210'!F88,IF(ISNUMBER(SEARCH("12",'Procyclean 210'!F88)),EDATE(AB1586,12),IF(ISNUMBER(SEARCH("6",'Procyclean 210'!F88)),EDATE(AB1586,6),IF(ISNUMBER(SEARCH("3",'Procyclean 210'!F88)),EDATE(AB1586,3),DATEVALUE('Procyclean 210'!F88))))),""))</f>
        <v/>
      </c>
      <c r="AM1586" t="str">
        <f t="shared" ca="1" si="166"/>
        <v/>
      </c>
    </row>
    <row r="1587" spans="27:39" x14ac:dyDescent="0.3">
      <c r="AA1587" t="str">
        <f>IF(COUNTA('Procyclean 210'!C89,'Procyclean 210'!D89,'Procyclean 210'!E89)&gt;0,"210","")</f>
        <v/>
      </c>
      <c r="AB1587" t="str">
        <f>IFERROR(IF(ISNUMBER('Procyclean 210'!C89),'Procyclean 210'!C89,DATEVALUE('Procyclean 210'!C89)),"")</f>
        <v/>
      </c>
      <c r="AC1587" t="str">
        <f>IF(AA1587="","",'Procyclean 210'!D89)</f>
        <v/>
      </c>
      <c r="AD1587" t="str">
        <f>IF(AA1587="","",IFERROR(1*'Procyclean 210'!E89,IFERROR(_xludf.NUMBERVALUE('Procyclean 210'!E89,".",","),IFERROR(_xludf.NUMBERVALUE('Procyclean 210'!E89,",","."),0))))</f>
        <v/>
      </c>
      <c r="AE1587" t="str">
        <f>IF(AA1587="","",'Procyclean 210'!B89)</f>
        <v/>
      </c>
      <c r="AF1587">
        <f t="shared" si="161"/>
        <v>0</v>
      </c>
      <c r="AG1587" t="str">
        <f t="shared" si="162"/>
        <v/>
      </c>
      <c r="AH1587" t="str">
        <f t="shared" si="163"/>
        <v/>
      </c>
      <c r="AI1587">
        <f t="shared" si="164"/>
        <v>0</v>
      </c>
      <c r="AJ1587">
        <f t="shared" si="165"/>
        <v>0</v>
      </c>
      <c r="AK1587">
        <v>0</v>
      </c>
      <c r="AL1587" t="str">
        <f>IF(AA1587="","",IFERROR(IF(ISNUMBER('Procyclean 210'!F89),'Procyclean 210'!F89,IF(ISNUMBER(SEARCH("12",'Procyclean 210'!F89)),EDATE(AB1587,12),IF(ISNUMBER(SEARCH("6",'Procyclean 210'!F89)),EDATE(AB1587,6),IF(ISNUMBER(SEARCH("3",'Procyclean 210'!F89)),EDATE(AB1587,3),DATEVALUE('Procyclean 210'!F89))))),""))</f>
        <v/>
      </c>
      <c r="AM1587" t="str">
        <f t="shared" ca="1" si="166"/>
        <v/>
      </c>
    </row>
    <row r="1588" spans="27:39" x14ac:dyDescent="0.3">
      <c r="AA1588" t="str">
        <f>IF(COUNTA('Procyclean 210'!C90,'Procyclean 210'!D90,'Procyclean 210'!E90)&gt;0,"210","")</f>
        <v/>
      </c>
      <c r="AB1588" t="str">
        <f>IFERROR(IF(ISNUMBER('Procyclean 210'!C90),'Procyclean 210'!C90,DATEVALUE('Procyclean 210'!C90)),"")</f>
        <v/>
      </c>
      <c r="AC1588" t="str">
        <f>IF(AA1588="","",'Procyclean 210'!D90)</f>
        <v/>
      </c>
      <c r="AD1588" t="str">
        <f>IF(AA1588="","",IFERROR(1*'Procyclean 210'!E90,IFERROR(_xludf.NUMBERVALUE('Procyclean 210'!E90,".",","),IFERROR(_xludf.NUMBERVALUE('Procyclean 210'!E90,",","."),0))))</f>
        <v/>
      </c>
      <c r="AE1588" t="str">
        <f>IF(AA1588="","",'Procyclean 210'!B90)</f>
        <v/>
      </c>
      <c r="AF1588">
        <f t="shared" si="161"/>
        <v>0</v>
      </c>
      <c r="AG1588" t="str">
        <f t="shared" si="162"/>
        <v/>
      </c>
      <c r="AH1588" t="str">
        <f t="shared" si="163"/>
        <v/>
      </c>
      <c r="AI1588">
        <f t="shared" si="164"/>
        <v>0</v>
      </c>
      <c r="AJ1588">
        <f t="shared" si="165"/>
        <v>0</v>
      </c>
      <c r="AK1588">
        <v>0</v>
      </c>
      <c r="AL1588" t="str">
        <f>IF(AA1588="","",IFERROR(IF(ISNUMBER('Procyclean 210'!F90),'Procyclean 210'!F90,IF(ISNUMBER(SEARCH("12",'Procyclean 210'!F90)),EDATE(AB1588,12),IF(ISNUMBER(SEARCH("6",'Procyclean 210'!F90)),EDATE(AB1588,6),IF(ISNUMBER(SEARCH("3",'Procyclean 210'!F90)),EDATE(AB1588,3),DATEVALUE('Procyclean 210'!F90))))),""))</f>
        <v/>
      </c>
      <c r="AM1588" t="str">
        <f t="shared" ca="1" si="166"/>
        <v/>
      </c>
    </row>
    <row r="1589" spans="27:39" x14ac:dyDescent="0.3">
      <c r="AA1589" t="str">
        <f>IF(COUNTA('Procyclean 210'!C91,'Procyclean 210'!D91,'Procyclean 210'!E91)&gt;0,"210","")</f>
        <v/>
      </c>
      <c r="AB1589" t="str">
        <f>IFERROR(IF(ISNUMBER('Procyclean 210'!C91),'Procyclean 210'!C91,DATEVALUE('Procyclean 210'!C91)),"")</f>
        <v/>
      </c>
      <c r="AC1589" t="str">
        <f>IF(AA1589="","",'Procyclean 210'!D91)</f>
        <v/>
      </c>
      <c r="AD1589" t="str">
        <f>IF(AA1589="","",IFERROR(1*'Procyclean 210'!E91,IFERROR(_xludf.NUMBERVALUE('Procyclean 210'!E91,".",","),IFERROR(_xludf.NUMBERVALUE('Procyclean 210'!E91,",","."),0))))</f>
        <v/>
      </c>
      <c r="AE1589" t="str">
        <f>IF(AA1589="","",'Procyclean 210'!B91)</f>
        <v/>
      </c>
      <c r="AF1589">
        <f t="shared" si="161"/>
        <v>0</v>
      </c>
      <c r="AG1589" t="str">
        <f t="shared" si="162"/>
        <v/>
      </c>
      <c r="AH1589" t="str">
        <f t="shared" si="163"/>
        <v/>
      </c>
      <c r="AI1589">
        <f t="shared" si="164"/>
        <v>0</v>
      </c>
      <c r="AJ1589">
        <f t="shared" si="165"/>
        <v>0</v>
      </c>
      <c r="AK1589">
        <v>0</v>
      </c>
      <c r="AL1589" t="str">
        <f>IF(AA1589="","",IFERROR(IF(ISNUMBER('Procyclean 210'!F91),'Procyclean 210'!F91,IF(ISNUMBER(SEARCH("12",'Procyclean 210'!F91)),EDATE(AB1589,12),IF(ISNUMBER(SEARCH("6",'Procyclean 210'!F91)),EDATE(AB1589,6),IF(ISNUMBER(SEARCH("3",'Procyclean 210'!F91)),EDATE(AB1589,3),DATEVALUE('Procyclean 210'!F91))))),""))</f>
        <v/>
      </c>
      <c r="AM1589" t="str">
        <f t="shared" ca="1" si="166"/>
        <v/>
      </c>
    </row>
    <row r="1590" spans="27:39" x14ac:dyDescent="0.3">
      <c r="AA1590" t="str">
        <f>IF(COUNTA('Procyclean 210'!C92,'Procyclean 210'!D92,'Procyclean 210'!E92)&gt;0,"210","")</f>
        <v/>
      </c>
      <c r="AB1590" t="str">
        <f>IFERROR(IF(ISNUMBER('Procyclean 210'!C92),'Procyclean 210'!C92,DATEVALUE('Procyclean 210'!C92)),"")</f>
        <v/>
      </c>
      <c r="AC1590" t="str">
        <f>IF(AA1590="","",'Procyclean 210'!D92)</f>
        <v/>
      </c>
      <c r="AD1590" t="str">
        <f>IF(AA1590="","",IFERROR(1*'Procyclean 210'!E92,IFERROR(_xludf.NUMBERVALUE('Procyclean 210'!E92,".",","),IFERROR(_xludf.NUMBERVALUE('Procyclean 210'!E92,",","."),0))))</f>
        <v/>
      </c>
      <c r="AE1590" t="str">
        <f>IF(AA1590="","",'Procyclean 210'!B92)</f>
        <v/>
      </c>
      <c r="AF1590">
        <f t="shared" si="161"/>
        <v>0</v>
      </c>
      <c r="AG1590" t="str">
        <f t="shared" si="162"/>
        <v/>
      </c>
      <c r="AH1590" t="str">
        <f t="shared" si="163"/>
        <v/>
      </c>
      <c r="AI1590">
        <f t="shared" si="164"/>
        <v>0</v>
      </c>
      <c r="AJ1590">
        <f t="shared" si="165"/>
        <v>0</v>
      </c>
      <c r="AK1590">
        <v>0</v>
      </c>
      <c r="AL1590" t="str">
        <f>IF(AA1590="","",IFERROR(IF(ISNUMBER('Procyclean 210'!F92),'Procyclean 210'!F92,IF(ISNUMBER(SEARCH("12",'Procyclean 210'!F92)),EDATE(AB1590,12),IF(ISNUMBER(SEARCH("6",'Procyclean 210'!F92)),EDATE(AB1590,6),IF(ISNUMBER(SEARCH("3",'Procyclean 210'!F92)),EDATE(AB1590,3),DATEVALUE('Procyclean 210'!F92))))),""))</f>
        <v/>
      </c>
      <c r="AM1590" t="str">
        <f t="shared" ca="1" si="166"/>
        <v/>
      </c>
    </row>
    <row r="1591" spans="27:39" x14ac:dyDescent="0.3">
      <c r="AA1591" t="str">
        <f>IF(COUNTA('Procyclean 210'!C93,'Procyclean 210'!D93,'Procyclean 210'!E93)&gt;0,"210","")</f>
        <v/>
      </c>
      <c r="AB1591" t="str">
        <f>IFERROR(IF(ISNUMBER('Procyclean 210'!C93),'Procyclean 210'!C93,DATEVALUE('Procyclean 210'!C93)),"")</f>
        <v/>
      </c>
      <c r="AC1591" t="str">
        <f>IF(AA1591="","",'Procyclean 210'!D93)</f>
        <v/>
      </c>
      <c r="AD1591" t="str">
        <f>IF(AA1591="","",IFERROR(1*'Procyclean 210'!E93,IFERROR(_xludf.NUMBERVALUE('Procyclean 210'!E93,".",","),IFERROR(_xludf.NUMBERVALUE('Procyclean 210'!E93,",","."),0))))</f>
        <v/>
      </c>
      <c r="AE1591" t="str">
        <f>IF(AA1591="","",'Procyclean 210'!B93)</f>
        <v/>
      </c>
      <c r="AF1591">
        <f t="shared" si="161"/>
        <v>0</v>
      </c>
      <c r="AG1591" t="str">
        <f t="shared" si="162"/>
        <v/>
      </c>
      <c r="AH1591" t="str">
        <f t="shared" si="163"/>
        <v/>
      </c>
      <c r="AI1591">
        <f t="shared" si="164"/>
        <v>0</v>
      </c>
      <c r="AJ1591">
        <f t="shared" si="165"/>
        <v>0</v>
      </c>
      <c r="AK1591">
        <v>0</v>
      </c>
      <c r="AL1591" t="str">
        <f>IF(AA1591="","",IFERROR(IF(ISNUMBER('Procyclean 210'!F93),'Procyclean 210'!F93,IF(ISNUMBER(SEARCH("12",'Procyclean 210'!F93)),EDATE(AB1591,12),IF(ISNUMBER(SEARCH("6",'Procyclean 210'!F93)),EDATE(AB1591,6),IF(ISNUMBER(SEARCH("3",'Procyclean 210'!F93)),EDATE(AB1591,3),DATEVALUE('Procyclean 210'!F93))))),""))</f>
        <v/>
      </c>
      <c r="AM1591" t="str">
        <f t="shared" ca="1" si="166"/>
        <v/>
      </c>
    </row>
    <row r="1592" spans="27:39" x14ac:dyDescent="0.3">
      <c r="AA1592" t="str">
        <f>IF(COUNTA('Procyclean 210'!C94,'Procyclean 210'!D94,'Procyclean 210'!E94)&gt;0,"210","")</f>
        <v/>
      </c>
      <c r="AB1592" t="str">
        <f>IFERROR(IF(ISNUMBER('Procyclean 210'!C94),'Procyclean 210'!C94,DATEVALUE('Procyclean 210'!C94)),"")</f>
        <v/>
      </c>
      <c r="AC1592" t="str">
        <f>IF(AA1592="","",'Procyclean 210'!D94)</f>
        <v/>
      </c>
      <c r="AD1592" t="str">
        <f>IF(AA1592="","",IFERROR(1*'Procyclean 210'!E94,IFERROR(_xludf.NUMBERVALUE('Procyclean 210'!E94,".",","),IFERROR(_xludf.NUMBERVALUE('Procyclean 210'!E94,",","."),0))))</f>
        <v/>
      </c>
      <c r="AE1592" t="str">
        <f>IF(AA1592="","",'Procyclean 210'!B94)</f>
        <v/>
      </c>
      <c r="AF1592">
        <f t="shared" si="161"/>
        <v>0</v>
      </c>
      <c r="AG1592" t="str">
        <f t="shared" si="162"/>
        <v/>
      </c>
      <c r="AH1592" t="str">
        <f t="shared" si="163"/>
        <v/>
      </c>
      <c r="AI1592">
        <f t="shared" si="164"/>
        <v>0</v>
      </c>
      <c r="AJ1592">
        <f t="shared" si="165"/>
        <v>0</v>
      </c>
      <c r="AK1592">
        <v>0</v>
      </c>
      <c r="AL1592" t="str">
        <f>IF(AA1592="","",IFERROR(IF(ISNUMBER('Procyclean 210'!F94),'Procyclean 210'!F94,IF(ISNUMBER(SEARCH("12",'Procyclean 210'!F94)),EDATE(AB1592,12),IF(ISNUMBER(SEARCH("6",'Procyclean 210'!F94)),EDATE(AB1592,6),IF(ISNUMBER(SEARCH("3",'Procyclean 210'!F94)),EDATE(AB1592,3),DATEVALUE('Procyclean 210'!F94))))),""))</f>
        <v/>
      </c>
      <c r="AM1592" t="str">
        <f t="shared" ca="1" si="166"/>
        <v/>
      </c>
    </row>
    <row r="1593" spans="27:39" x14ac:dyDescent="0.3">
      <c r="AA1593" t="str">
        <f>IF(COUNTA('Procyclean 210'!C95,'Procyclean 210'!D95,'Procyclean 210'!E95)&gt;0,"210","")</f>
        <v/>
      </c>
      <c r="AB1593" t="str">
        <f>IFERROR(IF(ISNUMBER('Procyclean 210'!C95),'Procyclean 210'!C95,DATEVALUE('Procyclean 210'!C95)),"")</f>
        <v/>
      </c>
      <c r="AC1593" t="str">
        <f>IF(AA1593="","",'Procyclean 210'!D95)</f>
        <v/>
      </c>
      <c r="AD1593" t="str">
        <f>IF(AA1593="","",IFERROR(1*'Procyclean 210'!E95,IFERROR(_xludf.NUMBERVALUE('Procyclean 210'!E95,".",","),IFERROR(_xludf.NUMBERVALUE('Procyclean 210'!E95,",","."),0))))</f>
        <v/>
      </c>
      <c r="AE1593" t="str">
        <f>IF(AA1593="","",'Procyclean 210'!B95)</f>
        <v/>
      </c>
      <c r="AF1593">
        <f t="shared" si="161"/>
        <v>0</v>
      </c>
      <c r="AG1593" t="str">
        <f t="shared" si="162"/>
        <v/>
      </c>
      <c r="AH1593" t="str">
        <f t="shared" si="163"/>
        <v/>
      </c>
      <c r="AI1593">
        <f t="shared" si="164"/>
        <v>0</v>
      </c>
      <c r="AJ1593">
        <f t="shared" si="165"/>
        <v>0</v>
      </c>
      <c r="AK1593">
        <v>0</v>
      </c>
      <c r="AL1593" t="str">
        <f>IF(AA1593="","",IFERROR(IF(ISNUMBER('Procyclean 210'!F95),'Procyclean 210'!F95,IF(ISNUMBER(SEARCH("12",'Procyclean 210'!F95)),EDATE(AB1593,12),IF(ISNUMBER(SEARCH("6",'Procyclean 210'!F95)),EDATE(AB1593,6),IF(ISNUMBER(SEARCH("3",'Procyclean 210'!F95)),EDATE(AB1593,3),DATEVALUE('Procyclean 210'!F95))))),""))</f>
        <v/>
      </c>
      <c r="AM1593" t="str">
        <f t="shared" ca="1" si="166"/>
        <v/>
      </c>
    </row>
    <row r="1594" spans="27:39" x14ac:dyDescent="0.3">
      <c r="AA1594" t="str">
        <f>IF(COUNTA('Procyclean 210'!C96,'Procyclean 210'!D96,'Procyclean 210'!E96)&gt;0,"210","")</f>
        <v/>
      </c>
      <c r="AB1594" t="str">
        <f>IFERROR(IF(ISNUMBER('Procyclean 210'!C96),'Procyclean 210'!C96,DATEVALUE('Procyclean 210'!C96)),"")</f>
        <v/>
      </c>
      <c r="AC1594" t="str">
        <f>IF(AA1594="","",'Procyclean 210'!D96)</f>
        <v/>
      </c>
      <c r="AD1594" t="str">
        <f>IF(AA1594="","",IFERROR(1*'Procyclean 210'!E96,IFERROR(_xludf.NUMBERVALUE('Procyclean 210'!E96,".",","),IFERROR(_xludf.NUMBERVALUE('Procyclean 210'!E96,",","."),0))))</f>
        <v/>
      </c>
      <c r="AE1594" t="str">
        <f>IF(AA1594="","",'Procyclean 210'!B96)</f>
        <v/>
      </c>
      <c r="AF1594">
        <f t="shared" si="161"/>
        <v>0</v>
      </c>
      <c r="AG1594" t="str">
        <f t="shared" si="162"/>
        <v/>
      </c>
      <c r="AH1594" t="str">
        <f t="shared" si="163"/>
        <v/>
      </c>
      <c r="AI1594">
        <f t="shared" si="164"/>
        <v>0</v>
      </c>
      <c r="AJ1594">
        <f t="shared" si="165"/>
        <v>0</v>
      </c>
      <c r="AK1594">
        <v>0</v>
      </c>
      <c r="AL1594" t="str">
        <f>IF(AA1594="","",IFERROR(IF(ISNUMBER('Procyclean 210'!F96),'Procyclean 210'!F96,IF(ISNUMBER(SEARCH("12",'Procyclean 210'!F96)),EDATE(AB1594,12),IF(ISNUMBER(SEARCH("6",'Procyclean 210'!F96)),EDATE(AB1594,6),IF(ISNUMBER(SEARCH("3",'Procyclean 210'!F96)),EDATE(AB1594,3),DATEVALUE('Procyclean 210'!F96))))),""))</f>
        <v/>
      </c>
      <c r="AM1594" t="str">
        <f t="shared" ca="1" si="166"/>
        <v/>
      </c>
    </row>
    <row r="1595" spans="27:39" x14ac:dyDescent="0.3">
      <c r="AA1595" t="str">
        <f>IF(COUNTA('Procyclean 210'!C97,'Procyclean 210'!D97,'Procyclean 210'!E97)&gt;0,"210","")</f>
        <v/>
      </c>
      <c r="AB1595" t="str">
        <f>IFERROR(IF(ISNUMBER('Procyclean 210'!C97),'Procyclean 210'!C97,DATEVALUE('Procyclean 210'!C97)),"")</f>
        <v/>
      </c>
      <c r="AC1595" t="str">
        <f>IF(AA1595="","",'Procyclean 210'!D97)</f>
        <v/>
      </c>
      <c r="AD1595" t="str">
        <f>IF(AA1595="","",IFERROR(1*'Procyclean 210'!E97,IFERROR(_xludf.NUMBERVALUE('Procyclean 210'!E97,".",","),IFERROR(_xludf.NUMBERVALUE('Procyclean 210'!E97,",","."),0))))</f>
        <v/>
      </c>
      <c r="AE1595" t="str">
        <f>IF(AA1595="","",'Procyclean 210'!B97)</f>
        <v/>
      </c>
      <c r="AF1595">
        <f t="shared" si="161"/>
        <v>0</v>
      </c>
      <c r="AG1595" t="str">
        <f t="shared" si="162"/>
        <v/>
      </c>
      <c r="AH1595" t="str">
        <f t="shared" si="163"/>
        <v/>
      </c>
      <c r="AI1595">
        <f t="shared" si="164"/>
        <v>0</v>
      </c>
      <c r="AJ1595">
        <f t="shared" si="165"/>
        <v>0</v>
      </c>
      <c r="AK1595">
        <v>0</v>
      </c>
      <c r="AL1595" t="str">
        <f>IF(AA1595="","",IFERROR(IF(ISNUMBER('Procyclean 210'!F97),'Procyclean 210'!F97,IF(ISNUMBER(SEARCH("12",'Procyclean 210'!F97)),EDATE(AB1595,12),IF(ISNUMBER(SEARCH("6",'Procyclean 210'!F97)),EDATE(AB1595,6),IF(ISNUMBER(SEARCH("3",'Procyclean 210'!F97)),EDATE(AB1595,3),DATEVALUE('Procyclean 210'!F97))))),""))</f>
        <v/>
      </c>
      <c r="AM1595" t="str">
        <f t="shared" ca="1" si="166"/>
        <v/>
      </c>
    </row>
    <row r="1596" spans="27:39" x14ac:dyDescent="0.3">
      <c r="AA1596" t="str">
        <f>IF(COUNTA('Procyclean 210'!C98,'Procyclean 210'!D98,'Procyclean 210'!E98)&gt;0,"210","")</f>
        <v/>
      </c>
      <c r="AB1596" t="str">
        <f>IFERROR(IF(ISNUMBER('Procyclean 210'!C98),'Procyclean 210'!C98,DATEVALUE('Procyclean 210'!C98)),"")</f>
        <v/>
      </c>
      <c r="AC1596" t="str">
        <f>IF(AA1596="","",'Procyclean 210'!D98)</f>
        <v/>
      </c>
      <c r="AD1596" t="str">
        <f>IF(AA1596="","",IFERROR(1*'Procyclean 210'!E98,IFERROR(_xludf.NUMBERVALUE('Procyclean 210'!E98,".",","),IFERROR(_xludf.NUMBERVALUE('Procyclean 210'!E98,",","."),0))))</f>
        <v/>
      </c>
      <c r="AE1596" t="str">
        <f>IF(AA1596="","",'Procyclean 210'!B98)</f>
        <v/>
      </c>
      <c r="AF1596">
        <f t="shared" si="161"/>
        <v>0</v>
      </c>
      <c r="AG1596" t="str">
        <f t="shared" si="162"/>
        <v/>
      </c>
      <c r="AH1596" t="str">
        <f t="shared" si="163"/>
        <v/>
      </c>
      <c r="AI1596">
        <f t="shared" si="164"/>
        <v>0</v>
      </c>
      <c r="AJ1596">
        <f t="shared" si="165"/>
        <v>0</v>
      </c>
      <c r="AK1596">
        <v>0</v>
      </c>
      <c r="AL1596" t="str">
        <f>IF(AA1596="","",IFERROR(IF(ISNUMBER('Procyclean 210'!F98),'Procyclean 210'!F98,IF(ISNUMBER(SEARCH("12",'Procyclean 210'!F98)),EDATE(AB1596,12),IF(ISNUMBER(SEARCH("6",'Procyclean 210'!F98)),EDATE(AB1596,6),IF(ISNUMBER(SEARCH("3",'Procyclean 210'!F98)),EDATE(AB1596,3),DATEVALUE('Procyclean 210'!F98))))),""))</f>
        <v/>
      </c>
      <c r="AM1596" t="str">
        <f t="shared" ca="1" si="166"/>
        <v/>
      </c>
    </row>
    <row r="1597" spans="27:39" x14ac:dyDescent="0.3">
      <c r="AA1597" t="str">
        <f>IF(COUNTA('Procyclean 210'!C99,'Procyclean 210'!D99,'Procyclean 210'!E99)&gt;0,"210","")</f>
        <v/>
      </c>
      <c r="AB1597" t="str">
        <f>IFERROR(IF(ISNUMBER('Procyclean 210'!C99),'Procyclean 210'!C99,DATEVALUE('Procyclean 210'!C99)),"")</f>
        <v/>
      </c>
      <c r="AC1597" t="str">
        <f>IF(AA1597="","",'Procyclean 210'!D99)</f>
        <v/>
      </c>
      <c r="AD1597" t="str">
        <f>IF(AA1597="","",IFERROR(1*'Procyclean 210'!E99,IFERROR(_xludf.NUMBERVALUE('Procyclean 210'!E99,".",","),IFERROR(_xludf.NUMBERVALUE('Procyclean 210'!E99,",","."),0))))</f>
        <v/>
      </c>
      <c r="AE1597" t="str">
        <f>IF(AA1597="","",'Procyclean 210'!B99)</f>
        <v/>
      </c>
      <c r="AF1597">
        <f t="shared" si="161"/>
        <v>0</v>
      </c>
      <c r="AG1597" t="str">
        <f t="shared" si="162"/>
        <v/>
      </c>
      <c r="AH1597" t="str">
        <f t="shared" si="163"/>
        <v/>
      </c>
      <c r="AI1597">
        <f t="shared" si="164"/>
        <v>0</v>
      </c>
      <c r="AJ1597">
        <f t="shared" si="165"/>
        <v>0</v>
      </c>
      <c r="AK1597">
        <v>0</v>
      </c>
      <c r="AL1597" t="str">
        <f>IF(AA1597="","",IFERROR(IF(ISNUMBER('Procyclean 210'!F99),'Procyclean 210'!F99,IF(ISNUMBER(SEARCH("12",'Procyclean 210'!F99)),EDATE(AB1597,12),IF(ISNUMBER(SEARCH("6",'Procyclean 210'!F99)),EDATE(AB1597,6),IF(ISNUMBER(SEARCH("3",'Procyclean 210'!F99)),EDATE(AB1597,3),DATEVALUE('Procyclean 210'!F99))))),""))</f>
        <v/>
      </c>
      <c r="AM1597" t="str">
        <f t="shared" ca="1" si="166"/>
        <v/>
      </c>
    </row>
    <row r="1598" spans="27:39" x14ac:dyDescent="0.3">
      <c r="AA1598" t="str">
        <f>IF(COUNTA('Procyclean 210'!C100,'Procyclean 210'!D100,'Procyclean 210'!E100)&gt;0,"210","")</f>
        <v/>
      </c>
      <c r="AB1598" t="str">
        <f>IFERROR(IF(ISNUMBER('Procyclean 210'!C100),'Procyclean 210'!C100,DATEVALUE('Procyclean 210'!C100)),"")</f>
        <v/>
      </c>
      <c r="AC1598" t="str">
        <f>IF(AA1598="","",'Procyclean 210'!D100)</f>
        <v/>
      </c>
      <c r="AD1598" t="str">
        <f>IF(AA1598="","",IFERROR(1*'Procyclean 210'!E100,IFERROR(_xludf.NUMBERVALUE('Procyclean 210'!E100,".",","),IFERROR(_xludf.NUMBERVALUE('Procyclean 210'!E100,",","."),0))))</f>
        <v/>
      </c>
      <c r="AE1598" t="str">
        <f>IF(AA1598="","",'Procyclean 210'!B100)</f>
        <v/>
      </c>
      <c r="AF1598">
        <f t="shared" si="161"/>
        <v>0</v>
      </c>
      <c r="AG1598" t="str">
        <f t="shared" si="162"/>
        <v/>
      </c>
      <c r="AH1598" t="str">
        <f t="shared" si="163"/>
        <v/>
      </c>
      <c r="AI1598">
        <f t="shared" si="164"/>
        <v>0</v>
      </c>
      <c r="AJ1598">
        <f t="shared" si="165"/>
        <v>0</v>
      </c>
      <c r="AK1598">
        <v>0</v>
      </c>
      <c r="AL1598" t="str">
        <f>IF(AA1598="","",IFERROR(IF(ISNUMBER('Procyclean 210'!F100),'Procyclean 210'!F100,IF(ISNUMBER(SEARCH("12",'Procyclean 210'!F100)),EDATE(AB1598,12),IF(ISNUMBER(SEARCH("6",'Procyclean 210'!F100)),EDATE(AB1598,6),IF(ISNUMBER(SEARCH("3",'Procyclean 210'!F100)),EDATE(AB1598,3),DATEVALUE('Procyclean 210'!F100))))),""))</f>
        <v/>
      </c>
      <c r="AM1598" t="str">
        <f t="shared" ca="1" si="166"/>
        <v/>
      </c>
    </row>
    <row r="1599" spans="27:39" x14ac:dyDescent="0.3">
      <c r="AA1599" t="str">
        <f>IF(COUNTA('Procyclean 210'!C101,'Procyclean 210'!D101,'Procyclean 210'!E101)&gt;0,"210","")</f>
        <v/>
      </c>
      <c r="AB1599" t="str">
        <f>IFERROR(IF(ISNUMBER('Procyclean 210'!C101),'Procyclean 210'!C101,DATEVALUE('Procyclean 210'!C101)),"")</f>
        <v/>
      </c>
      <c r="AC1599" t="str">
        <f>IF(AA1599="","",'Procyclean 210'!D101)</f>
        <v/>
      </c>
      <c r="AD1599" t="str">
        <f>IF(AA1599="","",IFERROR(1*'Procyclean 210'!E101,IFERROR(_xludf.NUMBERVALUE('Procyclean 210'!E101,".",","),IFERROR(_xludf.NUMBERVALUE('Procyclean 210'!E101,",","."),0))))</f>
        <v/>
      </c>
      <c r="AE1599" t="str">
        <f>IF(AA1599="","",'Procyclean 210'!B101)</f>
        <v/>
      </c>
      <c r="AF1599">
        <f t="shared" si="161"/>
        <v>0</v>
      </c>
      <c r="AG1599" t="str">
        <f t="shared" si="162"/>
        <v/>
      </c>
      <c r="AH1599" t="str">
        <f t="shared" si="163"/>
        <v/>
      </c>
      <c r="AI1599">
        <f t="shared" si="164"/>
        <v>0</v>
      </c>
      <c r="AJ1599">
        <f t="shared" si="165"/>
        <v>0</v>
      </c>
      <c r="AK1599">
        <v>0</v>
      </c>
      <c r="AL1599" t="str">
        <f>IF(AA1599="","",IFERROR(IF(ISNUMBER('Procyclean 210'!F101),'Procyclean 210'!F101,IF(ISNUMBER(SEARCH("12",'Procyclean 210'!F101)),EDATE(AB1599,12),IF(ISNUMBER(SEARCH("6",'Procyclean 210'!F101)),EDATE(AB1599,6),IF(ISNUMBER(SEARCH("3",'Procyclean 210'!F101)),EDATE(AB1599,3),DATEVALUE('Procyclean 210'!F101))))),""))</f>
        <v/>
      </c>
      <c r="AM1599" t="str">
        <f t="shared" ca="1" si="166"/>
        <v/>
      </c>
    </row>
    <row r="1600" spans="27:39" x14ac:dyDescent="0.3">
      <c r="AA1600" t="str">
        <f>IF(COUNTA('Procyclean 210'!C102,'Procyclean 210'!D102,'Procyclean 210'!E102)&gt;0,"210","")</f>
        <v/>
      </c>
      <c r="AB1600" t="str">
        <f>IFERROR(IF(ISNUMBER('Procyclean 210'!C102),'Procyclean 210'!C102,DATEVALUE('Procyclean 210'!C102)),"")</f>
        <v/>
      </c>
      <c r="AC1600" t="str">
        <f>IF(AA1600="","",'Procyclean 210'!D102)</f>
        <v/>
      </c>
      <c r="AD1600" t="str">
        <f>IF(AA1600="","",IFERROR(1*'Procyclean 210'!E102,IFERROR(_xludf.NUMBERVALUE('Procyclean 210'!E102,".",","),IFERROR(_xludf.NUMBERVALUE('Procyclean 210'!E102,",","."),0))))</f>
        <v/>
      </c>
      <c r="AE1600" t="str">
        <f>IF(AA1600="","",'Procyclean 210'!B102)</f>
        <v/>
      </c>
      <c r="AF1600">
        <f t="shared" si="161"/>
        <v>0</v>
      </c>
      <c r="AG1600" t="str">
        <f t="shared" si="162"/>
        <v/>
      </c>
      <c r="AH1600" t="str">
        <f t="shared" si="163"/>
        <v/>
      </c>
      <c r="AI1600">
        <f t="shared" si="164"/>
        <v>0</v>
      </c>
      <c r="AJ1600">
        <f t="shared" si="165"/>
        <v>0</v>
      </c>
      <c r="AK1600">
        <v>0</v>
      </c>
      <c r="AL1600" t="str">
        <f>IF(AA1600="","",IFERROR(IF(ISNUMBER('Procyclean 210'!F102),'Procyclean 210'!F102,IF(ISNUMBER(SEARCH("12",'Procyclean 210'!F102)),EDATE(AB1600,12),IF(ISNUMBER(SEARCH("6",'Procyclean 210'!F102)),EDATE(AB1600,6),IF(ISNUMBER(SEARCH("3",'Procyclean 210'!F102)),EDATE(AB1600,3),DATEVALUE('Procyclean 210'!F102))))),""))</f>
        <v/>
      </c>
      <c r="AM1600" t="str">
        <f t="shared" ca="1" si="166"/>
        <v/>
      </c>
    </row>
    <row r="1601" spans="27:39" x14ac:dyDescent="0.3">
      <c r="AA1601" t="str">
        <f>IF(COUNTA('Procyclean 210'!C103,'Procyclean 210'!D103,'Procyclean 210'!E103)&gt;0,"210","")</f>
        <v/>
      </c>
      <c r="AB1601" t="str">
        <f>IFERROR(IF(ISNUMBER('Procyclean 210'!C103),'Procyclean 210'!C103,DATEVALUE('Procyclean 210'!C103)),"")</f>
        <v/>
      </c>
      <c r="AC1601" t="str">
        <f>IF(AA1601="","",'Procyclean 210'!D103)</f>
        <v/>
      </c>
      <c r="AD1601" t="str">
        <f>IF(AA1601="","",IFERROR(1*'Procyclean 210'!E103,IFERROR(_xludf.NUMBERVALUE('Procyclean 210'!E103,".",","),IFERROR(_xludf.NUMBERVALUE('Procyclean 210'!E103,",","."),0))))</f>
        <v/>
      </c>
      <c r="AE1601" t="str">
        <f>IF(AA1601="","",'Procyclean 210'!B103)</f>
        <v/>
      </c>
      <c r="AF1601">
        <f t="shared" si="161"/>
        <v>0</v>
      </c>
      <c r="AG1601" t="str">
        <f t="shared" si="162"/>
        <v/>
      </c>
      <c r="AH1601" t="str">
        <f t="shared" si="163"/>
        <v/>
      </c>
      <c r="AI1601">
        <f t="shared" si="164"/>
        <v>0</v>
      </c>
      <c r="AJ1601">
        <f t="shared" si="165"/>
        <v>0</v>
      </c>
      <c r="AK1601">
        <v>0</v>
      </c>
      <c r="AL1601" t="str">
        <f>IF(AA1601="","",IFERROR(IF(ISNUMBER('Procyclean 210'!F103),'Procyclean 210'!F103,IF(ISNUMBER(SEARCH("12",'Procyclean 210'!F103)),EDATE(AB1601,12),IF(ISNUMBER(SEARCH("6",'Procyclean 210'!F103)),EDATE(AB1601,6),IF(ISNUMBER(SEARCH("3",'Procyclean 210'!F103)),EDATE(AB1601,3),DATEVALUE('Procyclean 210'!F103))))),""))</f>
        <v/>
      </c>
      <c r="AM1601" t="str">
        <f t="shared" ca="1" si="166"/>
        <v/>
      </c>
    </row>
    <row r="1602" spans="27:39" x14ac:dyDescent="0.3">
      <c r="AA1602" t="str">
        <f>IF(COUNTA('Procyclean 210'!C104,'Procyclean 210'!D104,'Procyclean 210'!E104)&gt;0,"210","")</f>
        <v/>
      </c>
      <c r="AB1602" t="str">
        <f>IFERROR(IF(ISNUMBER('Procyclean 210'!C104),'Procyclean 210'!C104,DATEVALUE('Procyclean 210'!C104)),"")</f>
        <v/>
      </c>
      <c r="AC1602" t="str">
        <f>IF(AA1602="","",'Procyclean 210'!D104)</f>
        <v/>
      </c>
      <c r="AD1602" t="str">
        <f>IF(AA1602="","",IFERROR(1*'Procyclean 210'!E104,IFERROR(_xludf.NUMBERVALUE('Procyclean 210'!E104,".",","),IFERROR(_xludf.NUMBERVALUE('Procyclean 210'!E104,",","."),0))))</f>
        <v/>
      </c>
      <c r="AE1602" t="str">
        <f>IF(AA1602="","",'Procyclean 210'!B104)</f>
        <v/>
      </c>
      <c r="AF1602">
        <f t="shared" ref="AF1602:AF1665" si="167">IF(AA1602="",0,--AND(ISNUMBER(SEARCH("aprov",AE1602)),NOT(ISNUMBER(SEARCH("reprov",AE1602)))))</f>
        <v>0</v>
      </c>
      <c r="AG1602" t="str">
        <f t="shared" ref="AG1602:AG1665" si="168">IF(AB1602="","",YEAR(AB1602))</f>
        <v/>
      </c>
      <c r="AH1602" t="str">
        <f t="shared" ref="AH1602:AH1665" si="169">IF(AB1602="","",MONTH(AB1602))</f>
        <v/>
      </c>
      <c r="AI1602">
        <f t="shared" ref="AI1602:AI1665" si="170">IF(AB1602="",0,AB1602+ROW()/1000000)</f>
        <v>0</v>
      </c>
      <c r="AJ1602">
        <f t="shared" ref="AJ1602:AJ1665" si="171">--(AA1602&lt;&gt;"")</f>
        <v>0</v>
      </c>
      <c r="AK1602">
        <v>0</v>
      </c>
      <c r="AL1602" t="str">
        <f>IF(AA1602="","",IFERROR(IF(ISNUMBER('Procyclean 210'!F104),'Procyclean 210'!F104,IF(ISNUMBER(SEARCH("12",'Procyclean 210'!F104)),EDATE(AB1602,12),IF(ISNUMBER(SEARCH("6",'Procyclean 210'!F104)),EDATE(AB1602,6),IF(ISNUMBER(SEARCH("3",'Procyclean 210'!F104)),EDATE(AB1602,3),DATEVALUE('Procyclean 210'!F104))))),""))</f>
        <v/>
      </c>
      <c r="AM1602" t="str">
        <f t="shared" ref="AM1602:AM1665" ca="1" si="172">IF(AND(AJ1602=1,AL1602&lt;&gt;"",AL1602&gt;=TODAY(),AG1602=$W$3),AL1602+ROW()/1000000,"")</f>
        <v/>
      </c>
    </row>
    <row r="1603" spans="27:39" x14ac:dyDescent="0.3">
      <c r="AA1603" t="str">
        <f>IF(COUNTA('Procyclean 210'!C105,'Procyclean 210'!D105,'Procyclean 210'!E105)&gt;0,"210","")</f>
        <v/>
      </c>
      <c r="AB1603" t="str">
        <f>IFERROR(IF(ISNUMBER('Procyclean 210'!C105),'Procyclean 210'!C105,DATEVALUE('Procyclean 210'!C105)),"")</f>
        <v/>
      </c>
      <c r="AC1603" t="str">
        <f>IF(AA1603="","",'Procyclean 210'!D105)</f>
        <v/>
      </c>
      <c r="AD1603" t="str">
        <f>IF(AA1603="","",IFERROR(1*'Procyclean 210'!E105,IFERROR(_xludf.NUMBERVALUE('Procyclean 210'!E105,".",","),IFERROR(_xludf.NUMBERVALUE('Procyclean 210'!E105,",","."),0))))</f>
        <v/>
      </c>
      <c r="AE1603" t="str">
        <f>IF(AA1603="","",'Procyclean 210'!B105)</f>
        <v/>
      </c>
      <c r="AF1603">
        <f t="shared" si="167"/>
        <v>0</v>
      </c>
      <c r="AG1603" t="str">
        <f t="shared" si="168"/>
        <v/>
      </c>
      <c r="AH1603" t="str">
        <f t="shared" si="169"/>
        <v/>
      </c>
      <c r="AI1603">
        <f t="shared" si="170"/>
        <v>0</v>
      </c>
      <c r="AJ1603">
        <f t="shared" si="171"/>
        <v>0</v>
      </c>
      <c r="AK1603">
        <v>0</v>
      </c>
      <c r="AL1603" t="str">
        <f>IF(AA1603="","",IFERROR(IF(ISNUMBER('Procyclean 210'!F105),'Procyclean 210'!F105,IF(ISNUMBER(SEARCH("12",'Procyclean 210'!F105)),EDATE(AB1603,12),IF(ISNUMBER(SEARCH("6",'Procyclean 210'!F105)),EDATE(AB1603,6),IF(ISNUMBER(SEARCH("3",'Procyclean 210'!F105)),EDATE(AB1603,3),DATEVALUE('Procyclean 210'!F105))))),""))</f>
        <v/>
      </c>
      <c r="AM1603" t="str">
        <f t="shared" ca="1" si="172"/>
        <v/>
      </c>
    </row>
    <row r="1604" spans="27:39" x14ac:dyDescent="0.3">
      <c r="AA1604" t="str">
        <f>IF(COUNTA('Procyclean 210'!C106,'Procyclean 210'!D106,'Procyclean 210'!E106)&gt;0,"210","")</f>
        <v/>
      </c>
      <c r="AB1604" t="str">
        <f>IFERROR(IF(ISNUMBER('Procyclean 210'!C106),'Procyclean 210'!C106,DATEVALUE('Procyclean 210'!C106)),"")</f>
        <v/>
      </c>
      <c r="AC1604" t="str">
        <f>IF(AA1604="","",'Procyclean 210'!D106)</f>
        <v/>
      </c>
      <c r="AD1604" t="str">
        <f>IF(AA1604="","",IFERROR(1*'Procyclean 210'!E106,IFERROR(_xludf.NUMBERVALUE('Procyclean 210'!E106,".",","),IFERROR(_xludf.NUMBERVALUE('Procyclean 210'!E106,",","."),0))))</f>
        <v/>
      </c>
      <c r="AE1604" t="str">
        <f>IF(AA1604="","",'Procyclean 210'!B106)</f>
        <v/>
      </c>
      <c r="AF1604">
        <f t="shared" si="167"/>
        <v>0</v>
      </c>
      <c r="AG1604" t="str">
        <f t="shared" si="168"/>
        <v/>
      </c>
      <c r="AH1604" t="str">
        <f t="shared" si="169"/>
        <v/>
      </c>
      <c r="AI1604">
        <f t="shared" si="170"/>
        <v>0</v>
      </c>
      <c r="AJ1604">
        <f t="shared" si="171"/>
        <v>0</v>
      </c>
      <c r="AK1604">
        <v>0</v>
      </c>
      <c r="AL1604" t="str">
        <f>IF(AA1604="","",IFERROR(IF(ISNUMBER('Procyclean 210'!F106),'Procyclean 210'!F106,IF(ISNUMBER(SEARCH("12",'Procyclean 210'!F106)),EDATE(AB1604,12),IF(ISNUMBER(SEARCH("6",'Procyclean 210'!F106)),EDATE(AB1604,6),IF(ISNUMBER(SEARCH("3",'Procyclean 210'!F106)),EDATE(AB1604,3),DATEVALUE('Procyclean 210'!F106))))),""))</f>
        <v/>
      </c>
      <c r="AM1604" t="str">
        <f t="shared" ca="1" si="172"/>
        <v/>
      </c>
    </row>
    <row r="1605" spans="27:39" x14ac:dyDescent="0.3">
      <c r="AA1605" t="str">
        <f>IF(COUNTA('Procyclean 210'!C107,'Procyclean 210'!D107,'Procyclean 210'!E107)&gt;0,"210","")</f>
        <v/>
      </c>
      <c r="AB1605" t="str">
        <f>IFERROR(IF(ISNUMBER('Procyclean 210'!C107),'Procyclean 210'!C107,DATEVALUE('Procyclean 210'!C107)),"")</f>
        <v/>
      </c>
      <c r="AC1605" t="str">
        <f>IF(AA1605="","",'Procyclean 210'!D107)</f>
        <v/>
      </c>
      <c r="AD1605" t="str">
        <f>IF(AA1605="","",IFERROR(1*'Procyclean 210'!E107,IFERROR(_xludf.NUMBERVALUE('Procyclean 210'!E107,".",","),IFERROR(_xludf.NUMBERVALUE('Procyclean 210'!E107,",","."),0))))</f>
        <v/>
      </c>
      <c r="AE1605" t="str">
        <f>IF(AA1605="","",'Procyclean 210'!B107)</f>
        <v/>
      </c>
      <c r="AF1605">
        <f t="shared" si="167"/>
        <v>0</v>
      </c>
      <c r="AG1605" t="str">
        <f t="shared" si="168"/>
        <v/>
      </c>
      <c r="AH1605" t="str">
        <f t="shared" si="169"/>
        <v/>
      </c>
      <c r="AI1605">
        <f t="shared" si="170"/>
        <v>0</v>
      </c>
      <c r="AJ1605">
        <f t="shared" si="171"/>
        <v>0</v>
      </c>
      <c r="AK1605">
        <v>0</v>
      </c>
      <c r="AL1605" t="str">
        <f>IF(AA1605="","",IFERROR(IF(ISNUMBER('Procyclean 210'!F107),'Procyclean 210'!F107,IF(ISNUMBER(SEARCH("12",'Procyclean 210'!F107)),EDATE(AB1605,12),IF(ISNUMBER(SEARCH("6",'Procyclean 210'!F107)),EDATE(AB1605,6),IF(ISNUMBER(SEARCH("3",'Procyclean 210'!F107)),EDATE(AB1605,3),DATEVALUE('Procyclean 210'!F107))))),""))</f>
        <v/>
      </c>
      <c r="AM1605" t="str">
        <f t="shared" ca="1" si="172"/>
        <v/>
      </c>
    </row>
    <row r="1606" spans="27:39" x14ac:dyDescent="0.3">
      <c r="AA1606" t="str">
        <f>IF(COUNTA('Procyclean 210'!C108,'Procyclean 210'!D108,'Procyclean 210'!E108)&gt;0,"210","")</f>
        <v/>
      </c>
      <c r="AB1606" t="str">
        <f>IFERROR(IF(ISNUMBER('Procyclean 210'!C108),'Procyclean 210'!C108,DATEVALUE('Procyclean 210'!C108)),"")</f>
        <v/>
      </c>
      <c r="AC1606" t="str">
        <f>IF(AA1606="","",'Procyclean 210'!D108)</f>
        <v/>
      </c>
      <c r="AD1606" t="str">
        <f>IF(AA1606="","",IFERROR(1*'Procyclean 210'!E108,IFERROR(_xludf.NUMBERVALUE('Procyclean 210'!E108,".",","),IFERROR(_xludf.NUMBERVALUE('Procyclean 210'!E108,",","."),0))))</f>
        <v/>
      </c>
      <c r="AE1606" t="str">
        <f>IF(AA1606="","",'Procyclean 210'!B108)</f>
        <v/>
      </c>
      <c r="AF1606">
        <f t="shared" si="167"/>
        <v>0</v>
      </c>
      <c r="AG1606" t="str">
        <f t="shared" si="168"/>
        <v/>
      </c>
      <c r="AH1606" t="str">
        <f t="shared" si="169"/>
        <v/>
      </c>
      <c r="AI1606">
        <f t="shared" si="170"/>
        <v>0</v>
      </c>
      <c r="AJ1606">
        <f t="shared" si="171"/>
        <v>0</v>
      </c>
      <c r="AK1606">
        <v>0</v>
      </c>
      <c r="AL1606" t="str">
        <f>IF(AA1606="","",IFERROR(IF(ISNUMBER('Procyclean 210'!F108),'Procyclean 210'!F108,IF(ISNUMBER(SEARCH("12",'Procyclean 210'!F108)),EDATE(AB1606,12),IF(ISNUMBER(SEARCH("6",'Procyclean 210'!F108)),EDATE(AB1606,6),IF(ISNUMBER(SEARCH("3",'Procyclean 210'!F108)),EDATE(AB1606,3),DATEVALUE('Procyclean 210'!F108))))),""))</f>
        <v/>
      </c>
      <c r="AM1606" t="str">
        <f t="shared" ca="1" si="172"/>
        <v/>
      </c>
    </row>
    <row r="1607" spans="27:39" x14ac:dyDescent="0.3">
      <c r="AA1607" t="str">
        <f>IF(COUNTA('Procyclean 210'!C109,'Procyclean 210'!D109,'Procyclean 210'!E109)&gt;0,"210","")</f>
        <v/>
      </c>
      <c r="AB1607" t="str">
        <f>IFERROR(IF(ISNUMBER('Procyclean 210'!C109),'Procyclean 210'!C109,DATEVALUE('Procyclean 210'!C109)),"")</f>
        <v/>
      </c>
      <c r="AC1607" t="str">
        <f>IF(AA1607="","",'Procyclean 210'!D109)</f>
        <v/>
      </c>
      <c r="AD1607" t="str">
        <f>IF(AA1607="","",IFERROR(1*'Procyclean 210'!E109,IFERROR(_xludf.NUMBERVALUE('Procyclean 210'!E109,".",","),IFERROR(_xludf.NUMBERVALUE('Procyclean 210'!E109,",","."),0))))</f>
        <v/>
      </c>
      <c r="AE1607" t="str">
        <f>IF(AA1607="","",'Procyclean 210'!B109)</f>
        <v/>
      </c>
      <c r="AF1607">
        <f t="shared" si="167"/>
        <v>0</v>
      </c>
      <c r="AG1607" t="str">
        <f t="shared" si="168"/>
        <v/>
      </c>
      <c r="AH1607" t="str">
        <f t="shared" si="169"/>
        <v/>
      </c>
      <c r="AI1607">
        <f t="shared" si="170"/>
        <v>0</v>
      </c>
      <c r="AJ1607">
        <f t="shared" si="171"/>
        <v>0</v>
      </c>
      <c r="AK1607">
        <v>0</v>
      </c>
      <c r="AL1607" t="str">
        <f>IF(AA1607="","",IFERROR(IF(ISNUMBER('Procyclean 210'!F109),'Procyclean 210'!F109,IF(ISNUMBER(SEARCH("12",'Procyclean 210'!F109)),EDATE(AB1607,12),IF(ISNUMBER(SEARCH("6",'Procyclean 210'!F109)),EDATE(AB1607,6),IF(ISNUMBER(SEARCH("3",'Procyclean 210'!F109)),EDATE(AB1607,3),DATEVALUE('Procyclean 210'!F109))))),""))</f>
        <v/>
      </c>
      <c r="AM1607" t="str">
        <f t="shared" ca="1" si="172"/>
        <v/>
      </c>
    </row>
    <row r="1608" spans="27:39" x14ac:dyDescent="0.3">
      <c r="AA1608" t="str">
        <f>IF(COUNTA('Procyclean 210'!C110,'Procyclean 210'!D110,'Procyclean 210'!E110)&gt;0,"210","")</f>
        <v/>
      </c>
      <c r="AB1608" t="str">
        <f>IFERROR(IF(ISNUMBER('Procyclean 210'!C110),'Procyclean 210'!C110,DATEVALUE('Procyclean 210'!C110)),"")</f>
        <v/>
      </c>
      <c r="AC1608" t="str">
        <f>IF(AA1608="","",'Procyclean 210'!D110)</f>
        <v/>
      </c>
      <c r="AD1608" t="str">
        <f>IF(AA1608="","",IFERROR(1*'Procyclean 210'!E110,IFERROR(_xludf.NUMBERVALUE('Procyclean 210'!E110,".",","),IFERROR(_xludf.NUMBERVALUE('Procyclean 210'!E110,",","."),0))))</f>
        <v/>
      </c>
      <c r="AE1608" t="str">
        <f>IF(AA1608="","",'Procyclean 210'!B110)</f>
        <v/>
      </c>
      <c r="AF1608">
        <f t="shared" si="167"/>
        <v>0</v>
      </c>
      <c r="AG1608" t="str">
        <f t="shared" si="168"/>
        <v/>
      </c>
      <c r="AH1608" t="str">
        <f t="shared" si="169"/>
        <v/>
      </c>
      <c r="AI1608">
        <f t="shared" si="170"/>
        <v>0</v>
      </c>
      <c r="AJ1608">
        <f t="shared" si="171"/>
        <v>0</v>
      </c>
      <c r="AK1608">
        <v>0</v>
      </c>
      <c r="AL1608" t="str">
        <f>IF(AA1608="","",IFERROR(IF(ISNUMBER('Procyclean 210'!F110),'Procyclean 210'!F110,IF(ISNUMBER(SEARCH("12",'Procyclean 210'!F110)),EDATE(AB1608,12),IF(ISNUMBER(SEARCH("6",'Procyclean 210'!F110)),EDATE(AB1608,6),IF(ISNUMBER(SEARCH("3",'Procyclean 210'!F110)),EDATE(AB1608,3),DATEVALUE('Procyclean 210'!F110))))),""))</f>
        <v/>
      </c>
      <c r="AM1608" t="str">
        <f t="shared" ca="1" si="172"/>
        <v/>
      </c>
    </row>
    <row r="1609" spans="27:39" x14ac:dyDescent="0.3">
      <c r="AA1609" t="str">
        <f>IF(COUNTA('Procyclean 210'!C111,'Procyclean 210'!D111,'Procyclean 210'!E111)&gt;0,"210","")</f>
        <v/>
      </c>
      <c r="AB1609" t="str">
        <f>IFERROR(IF(ISNUMBER('Procyclean 210'!C111),'Procyclean 210'!C111,DATEVALUE('Procyclean 210'!C111)),"")</f>
        <v/>
      </c>
      <c r="AC1609" t="str">
        <f>IF(AA1609="","",'Procyclean 210'!D111)</f>
        <v/>
      </c>
      <c r="AD1609" t="str">
        <f>IF(AA1609="","",IFERROR(1*'Procyclean 210'!E111,IFERROR(_xludf.NUMBERVALUE('Procyclean 210'!E111,".",","),IFERROR(_xludf.NUMBERVALUE('Procyclean 210'!E111,",","."),0))))</f>
        <v/>
      </c>
      <c r="AE1609" t="str">
        <f>IF(AA1609="","",'Procyclean 210'!B111)</f>
        <v/>
      </c>
      <c r="AF1609">
        <f t="shared" si="167"/>
        <v>0</v>
      </c>
      <c r="AG1609" t="str">
        <f t="shared" si="168"/>
        <v/>
      </c>
      <c r="AH1609" t="str">
        <f t="shared" si="169"/>
        <v/>
      </c>
      <c r="AI1609">
        <f t="shared" si="170"/>
        <v>0</v>
      </c>
      <c r="AJ1609">
        <f t="shared" si="171"/>
        <v>0</v>
      </c>
      <c r="AK1609">
        <v>0</v>
      </c>
      <c r="AL1609" t="str">
        <f>IF(AA1609="","",IFERROR(IF(ISNUMBER('Procyclean 210'!F111),'Procyclean 210'!F111,IF(ISNUMBER(SEARCH("12",'Procyclean 210'!F111)),EDATE(AB1609,12),IF(ISNUMBER(SEARCH("6",'Procyclean 210'!F111)),EDATE(AB1609,6),IF(ISNUMBER(SEARCH("3",'Procyclean 210'!F111)),EDATE(AB1609,3),DATEVALUE('Procyclean 210'!F111))))),""))</f>
        <v/>
      </c>
      <c r="AM1609" t="str">
        <f t="shared" ca="1" si="172"/>
        <v/>
      </c>
    </row>
    <row r="1610" spans="27:39" x14ac:dyDescent="0.3">
      <c r="AA1610" t="str">
        <f>IF(COUNTA('Procyclean 210'!C112,'Procyclean 210'!D112,'Procyclean 210'!E112)&gt;0,"210","")</f>
        <v/>
      </c>
      <c r="AB1610" t="str">
        <f>IFERROR(IF(ISNUMBER('Procyclean 210'!C112),'Procyclean 210'!C112,DATEVALUE('Procyclean 210'!C112)),"")</f>
        <v/>
      </c>
      <c r="AC1610" t="str">
        <f>IF(AA1610="","",'Procyclean 210'!D112)</f>
        <v/>
      </c>
      <c r="AD1610" t="str">
        <f>IF(AA1610="","",IFERROR(1*'Procyclean 210'!E112,IFERROR(_xludf.NUMBERVALUE('Procyclean 210'!E112,".",","),IFERROR(_xludf.NUMBERVALUE('Procyclean 210'!E112,",","."),0))))</f>
        <v/>
      </c>
      <c r="AE1610" t="str">
        <f>IF(AA1610="","",'Procyclean 210'!B112)</f>
        <v/>
      </c>
      <c r="AF1610">
        <f t="shared" si="167"/>
        <v>0</v>
      </c>
      <c r="AG1610" t="str">
        <f t="shared" si="168"/>
        <v/>
      </c>
      <c r="AH1610" t="str">
        <f t="shared" si="169"/>
        <v/>
      </c>
      <c r="AI1610">
        <f t="shared" si="170"/>
        <v>0</v>
      </c>
      <c r="AJ1610">
        <f t="shared" si="171"/>
        <v>0</v>
      </c>
      <c r="AK1610">
        <v>0</v>
      </c>
      <c r="AL1610" t="str">
        <f>IF(AA1610="","",IFERROR(IF(ISNUMBER('Procyclean 210'!F112),'Procyclean 210'!F112,IF(ISNUMBER(SEARCH("12",'Procyclean 210'!F112)),EDATE(AB1610,12),IF(ISNUMBER(SEARCH("6",'Procyclean 210'!F112)),EDATE(AB1610,6),IF(ISNUMBER(SEARCH("3",'Procyclean 210'!F112)),EDATE(AB1610,3),DATEVALUE('Procyclean 210'!F112))))),""))</f>
        <v/>
      </c>
      <c r="AM1610" t="str">
        <f t="shared" ca="1" si="172"/>
        <v/>
      </c>
    </row>
    <row r="1611" spans="27:39" x14ac:dyDescent="0.3">
      <c r="AA1611" t="str">
        <f>IF(COUNTA('Procyclean 210'!C113,'Procyclean 210'!D113,'Procyclean 210'!E113)&gt;0,"210","")</f>
        <v/>
      </c>
      <c r="AB1611" t="str">
        <f>IFERROR(IF(ISNUMBER('Procyclean 210'!C113),'Procyclean 210'!C113,DATEVALUE('Procyclean 210'!C113)),"")</f>
        <v/>
      </c>
      <c r="AC1611" t="str">
        <f>IF(AA1611="","",'Procyclean 210'!D113)</f>
        <v/>
      </c>
      <c r="AD1611" t="str">
        <f>IF(AA1611="","",IFERROR(1*'Procyclean 210'!E113,IFERROR(_xludf.NUMBERVALUE('Procyclean 210'!E113,".",","),IFERROR(_xludf.NUMBERVALUE('Procyclean 210'!E113,",","."),0))))</f>
        <v/>
      </c>
      <c r="AE1611" t="str">
        <f>IF(AA1611="","",'Procyclean 210'!B113)</f>
        <v/>
      </c>
      <c r="AF1611">
        <f t="shared" si="167"/>
        <v>0</v>
      </c>
      <c r="AG1611" t="str">
        <f t="shared" si="168"/>
        <v/>
      </c>
      <c r="AH1611" t="str">
        <f t="shared" si="169"/>
        <v/>
      </c>
      <c r="AI1611">
        <f t="shared" si="170"/>
        <v>0</v>
      </c>
      <c r="AJ1611">
        <f t="shared" si="171"/>
        <v>0</v>
      </c>
      <c r="AK1611">
        <v>0</v>
      </c>
      <c r="AL1611" t="str">
        <f>IF(AA1611="","",IFERROR(IF(ISNUMBER('Procyclean 210'!F113),'Procyclean 210'!F113,IF(ISNUMBER(SEARCH("12",'Procyclean 210'!F113)),EDATE(AB1611,12),IF(ISNUMBER(SEARCH("6",'Procyclean 210'!F113)),EDATE(AB1611,6),IF(ISNUMBER(SEARCH("3",'Procyclean 210'!F113)),EDATE(AB1611,3),DATEVALUE('Procyclean 210'!F113))))),""))</f>
        <v/>
      </c>
      <c r="AM1611" t="str">
        <f t="shared" ca="1" si="172"/>
        <v/>
      </c>
    </row>
    <row r="1612" spans="27:39" x14ac:dyDescent="0.3">
      <c r="AA1612" t="str">
        <f>IF(COUNTA('Procyclean 210'!C114,'Procyclean 210'!D114,'Procyclean 210'!E114)&gt;0,"210","")</f>
        <v/>
      </c>
      <c r="AB1612" t="str">
        <f>IFERROR(IF(ISNUMBER('Procyclean 210'!C114),'Procyclean 210'!C114,DATEVALUE('Procyclean 210'!C114)),"")</f>
        <v/>
      </c>
      <c r="AC1612" t="str">
        <f>IF(AA1612="","",'Procyclean 210'!D114)</f>
        <v/>
      </c>
      <c r="AD1612" t="str">
        <f>IF(AA1612="","",IFERROR(1*'Procyclean 210'!E114,IFERROR(_xludf.NUMBERVALUE('Procyclean 210'!E114,".",","),IFERROR(_xludf.NUMBERVALUE('Procyclean 210'!E114,",","."),0))))</f>
        <v/>
      </c>
      <c r="AE1612" t="str">
        <f>IF(AA1612="","",'Procyclean 210'!B114)</f>
        <v/>
      </c>
      <c r="AF1612">
        <f t="shared" si="167"/>
        <v>0</v>
      </c>
      <c r="AG1612" t="str">
        <f t="shared" si="168"/>
        <v/>
      </c>
      <c r="AH1612" t="str">
        <f t="shared" si="169"/>
        <v/>
      </c>
      <c r="AI1612">
        <f t="shared" si="170"/>
        <v>0</v>
      </c>
      <c r="AJ1612">
        <f t="shared" si="171"/>
        <v>0</v>
      </c>
      <c r="AK1612">
        <v>0</v>
      </c>
      <c r="AL1612" t="str">
        <f>IF(AA1612="","",IFERROR(IF(ISNUMBER('Procyclean 210'!F114),'Procyclean 210'!F114,IF(ISNUMBER(SEARCH("12",'Procyclean 210'!F114)),EDATE(AB1612,12),IF(ISNUMBER(SEARCH("6",'Procyclean 210'!F114)),EDATE(AB1612,6),IF(ISNUMBER(SEARCH("3",'Procyclean 210'!F114)),EDATE(AB1612,3),DATEVALUE('Procyclean 210'!F114))))),""))</f>
        <v/>
      </c>
      <c r="AM1612" t="str">
        <f t="shared" ca="1" si="172"/>
        <v/>
      </c>
    </row>
    <row r="1613" spans="27:39" x14ac:dyDescent="0.3">
      <c r="AA1613" t="str">
        <f>IF(COUNTA('Procyclean 210'!C115,'Procyclean 210'!D115,'Procyclean 210'!E115)&gt;0,"210","")</f>
        <v/>
      </c>
      <c r="AB1613" t="str">
        <f>IFERROR(IF(ISNUMBER('Procyclean 210'!C115),'Procyclean 210'!C115,DATEVALUE('Procyclean 210'!C115)),"")</f>
        <v/>
      </c>
      <c r="AC1613" t="str">
        <f>IF(AA1613="","",'Procyclean 210'!D115)</f>
        <v/>
      </c>
      <c r="AD1613" t="str">
        <f>IF(AA1613="","",IFERROR(1*'Procyclean 210'!E115,IFERROR(_xludf.NUMBERVALUE('Procyclean 210'!E115,".",","),IFERROR(_xludf.NUMBERVALUE('Procyclean 210'!E115,",","."),0))))</f>
        <v/>
      </c>
      <c r="AE1613" t="str">
        <f>IF(AA1613="","",'Procyclean 210'!B115)</f>
        <v/>
      </c>
      <c r="AF1613">
        <f t="shared" si="167"/>
        <v>0</v>
      </c>
      <c r="AG1613" t="str">
        <f t="shared" si="168"/>
        <v/>
      </c>
      <c r="AH1613" t="str">
        <f t="shared" si="169"/>
        <v/>
      </c>
      <c r="AI1613">
        <f t="shared" si="170"/>
        <v>0</v>
      </c>
      <c r="AJ1613">
        <f t="shared" si="171"/>
        <v>0</v>
      </c>
      <c r="AK1613">
        <v>0</v>
      </c>
      <c r="AL1613" t="str">
        <f>IF(AA1613="","",IFERROR(IF(ISNUMBER('Procyclean 210'!F115),'Procyclean 210'!F115,IF(ISNUMBER(SEARCH("12",'Procyclean 210'!F115)),EDATE(AB1613,12),IF(ISNUMBER(SEARCH("6",'Procyclean 210'!F115)),EDATE(AB1613,6),IF(ISNUMBER(SEARCH("3",'Procyclean 210'!F115)),EDATE(AB1613,3),DATEVALUE('Procyclean 210'!F115))))),""))</f>
        <v/>
      </c>
      <c r="AM1613" t="str">
        <f t="shared" ca="1" si="172"/>
        <v/>
      </c>
    </row>
    <row r="1614" spans="27:39" x14ac:dyDescent="0.3">
      <c r="AA1614" t="str">
        <f>IF(COUNTA('Procyclean 210'!C116,'Procyclean 210'!D116,'Procyclean 210'!E116)&gt;0,"210","")</f>
        <v/>
      </c>
      <c r="AB1614" t="str">
        <f>IFERROR(IF(ISNUMBER('Procyclean 210'!C116),'Procyclean 210'!C116,DATEVALUE('Procyclean 210'!C116)),"")</f>
        <v/>
      </c>
      <c r="AC1614" t="str">
        <f>IF(AA1614="","",'Procyclean 210'!D116)</f>
        <v/>
      </c>
      <c r="AD1614" t="str">
        <f>IF(AA1614="","",IFERROR(1*'Procyclean 210'!E116,IFERROR(_xludf.NUMBERVALUE('Procyclean 210'!E116,".",","),IFERROR(_xludf.NUMBERVALUE('Procyclean 210'!E116,",","."),0))))</f>
        <v/>
      </c>
      <c r="AE1614" t="str">
        <f>IF(AA1614="","",'Procyclean 210'!B116)</f>
        <v/>
      </c>
      <c r="AF1614">
        <f t="shared" si="167"/>
        <v>0</v>
      </c>
      <c r="AG1614" t="str">
        <f t="shared" si="168"/>
        <v/>
      </c>
      <c r="AH1614" t="str">
        <f t="shared" si="169"/>
        <v/>
      </c>
      <c r="AI1614">
        <f t="shared" si="170"/>
        <v>0</v>
      </c>
      <c r="AJ1614">
        <f t="shared" si="171"/>
        <v>0</v>
      </c>
      <c r="AK1614">
        <v>0</v>
      </c>
      <c r="AL1614" t="str">
        <f>IF(AA1614="","",IFERROR(IF(ISNUMBER('Procyclean 210'!F116),'Procyclean 210'!F116,IF(ISNUMBER(SEARCH("12",'Procyclean 210'!F116)),EDATE(AB1614,12),IF(ISNUMBER(SEARCH("6",'Procyclean 210'!F116)),EDATE(AB1614,6),IF(ISNUMBER(SEARCH("3",'Procyclean 210'!F116)),EDATE(AB1614,3),DATEVALUE('Procyclean 210'!F116))))),""))</f>
        <v/>
      </c>
      <c r="AM1614" t="str">
        <f t="shared" ca="1" si="172"/>
        <v/>
      </c>
    </row>
    <row r="1615" spans="27:39" x14ac:dyDescent="0.3">
      <c r="AA1615" t="str">
        <f>IF(COUNTA('Procyclean 210'!C117,'Procyclean 210'!D117,'Procyclean 210'!E117)&gt;0,"210","")</f>
        <v/>
      </c>
      <c r="AB1615" t="str">
        <f>IFERROR(IF(ISNUMBER('Procyclean 210'!C117),'Procyclean 210'!C117,DATEVALUE('Procyclean 210'!C117)),"")</f>
        <v/>
      </c>
      <c r="AC1615" t="str">
        <f>IF(AA1615="","",'Procyclean 210'!D117)</f>
        <v/>
      </c>
      <c r="AD1615" t="str">
        <f>IF(AA1615="","",IFERROR(1*'Procyclean 210'!E117,IFERROR(_xludf.NUMBERVALUE('Procyclean 210'!E117,".",","),IFERROR(_xludf.NUMBERVALUE('Procyclean 210'!E117,",","."),0))))</f>
        <v/>
      </c>
      <c r="AE1615" t="str">
        <f>IF(AA1615="","",'Procyclean 210'!B117)</f>
        <v/>
      </c>
      <c r="AF1615">
        <f t="shared" si="167"/>
        <v>0</v>
      </c>
      <c r="AG1615" t="str">
        <f t="shared" si="168"/>
        <v/>
      </c>
      <c r="AH1615" t="str">
        <f t="shared" si="169"/>
        <v/>
      </c>
      <c r="AI1615">
        <f t="shared" si="170"/>
        <v>0</v>
      </c>
      <c r="AJ1615">
        <f t="shared" si="171"/>
        <v>0</v>
      </c>
      <c r="AK1615">
        <v>0</v>
      </c>
      <c r="AL1615" t="str">
        <f>IF(AA1615="","",IFERROR(IF(ISNUMBER('Procyclean 210'!F117),'Procyclean 210'!F117,IF(ISNUMBER(SEARCH("12",'Procyclean 210'!F117)),EDATE(AB1615,12),IF(ISNUMBER(SEARCH("6",'Procyclean 210'!F117)),EDATE(AB1615,6),IF(ISNUMBER(SEARCH("3",'Procyclean 210'!F117)),EDATE(AB1615,3),DATEVALUE('Procyclean 210'!F117))))),""))</f>
        <v/>
      </c>
      <c r="AM1615" t="str">
        <f t="shared" ca="1" si="172"/>
        <v/>
      </c>
    </row>
    <row r="1616" spans="27:39" x14ac:dyDescent="0.3">
      <c r="AA1616" t="str">
        <f>IF(COUNTA('Procyclean 210'!C118,'Procyclean 210'!D118,'Procyclean 210'!E118)&gt;0,"210","")</f>
        <v/>
      </c>
      <c r="AB1616" t="str">
        <f>IFERROR(IF(ISNUMBER('Procyclean 210'!C118),'Procyclean 210'!C118,DATEVALUE('Procyclean 210'!C118)),"")</f>
        <v/>
      </c>
      <c r="AC1616" t="str">
        <f>IF(AA1616="","",'Procyclean 210'!D118)</f>
        <v/>
      </c>
      <c r="AD1616" t="str">
        <f>IF(AA1616="","",IFERROR(1*'Procyclean 210'!E118,IFERROR(_xludf.NUMBERVALUE('Procyclean 210'!E118,".",","),IFERROR(_xludf.NUMBERVALUE('Procyclean 210'!E118,",","."),0))))</f>
        <v/>
      </c>
      <c r="AE1616" t="str">
        <f>IF(AA1616="","",'Procyclean 210'!B118)</f>
        <v/>
      </c>
      <c r="AF1616">
        <f t="shared" si="167"/>
        <v>0</v>
      </c>
      <c r="AG1616" t="str">
        <f t="shared" si="168"/>
        <v/>
      </c>
      <c r="AH1616" t="str">
        <f t="shared" si="169"/>
        <v/>
      </c>
      <c r="AI1616">
        <f t="shared" si="170"/>
        <v>0</v>
      </c>
      <c r="AJ1616">
        <f t="shared" si="171"/>
        <v>0</v>
      </c>
      <c r="AK1616">
        <v>0</v>
      </c>
      <c r="AL1616" t="str">
        <f>IF(AA1616="","",IFERROR(IF(ISNUMBER('Procyclean 210'!F118),'Procyclean 210'!F118,IF(ISNUMBER(SEARCH("12",'Procyclean 210'!F118)),EDATE(AB1616,12),IF(ISNUMBER(SEARCH("6",'Procyclean 210'!F118)),EDATE(AB1616,6),IF(ISNUMBER(SEARCH("3",'Procyclean 210'!F118)),EDATE(AB1616,3),DATEVALUE('Procyclean 210'!F118))))),""))</f>
        <v/>
      </c>
      <c r="AM1616" t="str">
        <f t="shared" ca="1" si="172"/>
        <v/>
      </c>
    </row>
    <row r="1617" spans="27:39" x14ac:dyDescent="0.3">
      <c r="AA1617" t="str">
        <f>IF(COUNTA('Procyclean 210'!C119,'Procyclean 210'!D119,'Procyclean 210'!E119)&gt;0,"210","")</f>
        <v/>
      </c>
      <c r="AB1617" t="str">
        <f>IFERROR(IF(ISNUMBER('Procyclean 210'!C119),'Procyclean 210'!C119,DATEVALUE('Procyclean 210'!C119)),"")</f>
        <v/>
      </c>
      <c r="AC1617" t="str">
        <f>IF(AA1617="","",'Procyclean 210'!D119)</f>
        <v/>
      </c>
      <c r="AD1617" t="str">
        <f>IF(AA1617="","",IFERROR(1*'Procyclean 210'!E119,IFERROR(_xludf.NUMBERVALUE('Procyclean 210'!E119,".",","),IFERROR(_xludf.NUMBERVALUE('Procyclean 210'!E119,",","."),0))))</f>
        <v/>
      </c>
      <c r="AE1617" t="str">
        <f>IF(AA1617="","",'Procyclean 210'!B119)</f>
        <v/>
      </c>
      <c r="AF1617">
        <f t="shared" si="167"/>
        <v>0</v>
      </c>
      <c r="AG1617" t="str">
        <f t="shared" si="168"/>
        <v/>
      </c>
      <c r="AH1617" t="str">
        <f t="shared" si="169"/>
        <v/>
      </c>
      <c r="AI1617">
        <f t="shared" si="170"/>
        <v>0</v>
      </c>
      <c r="AJ1617">
        <f t="shared" si="171"/>
        <v>0</v>
      </c>
      <c r="AK1617">
        <v>0</v>
      </c>
      <c r="AL1617" t="str">
        <f>IF(AA1617="","",IFERROR(IF(ISNUMBER('Procyclean 210'!F119),'Procyclean 210'!F119,IF(ISNUMBER(SEARCH("12",'Procyclean 210'!F119)),EDATE(AB1617,12),IF(ISNUMBER(SEARCH("6",'Procyclean 210'!F119)),EDATE(AB1617,6),IF(ISNUMBER(SEARCH("3",'Procyclean 210'!F119)),EDATE(AB1617,3),DATEVALUE('Procyclean 210'!F119))))),""))</f>
        <v/>
      </c>
      <c r="AM1617" t="str">
        <f t="shared" ca="1" si="172"/>
        <v/>
      </c>
    </row>
    <row r="1618" spans="27:39" x14ac:dyDescent="0.3">
      <c r="AA1618" t="str">
        <f>IF(COUNTA('Procyclean 210'!C120,'Procyclean 210'!D120,'Procyclean 210'!E120)&gt;0,"210","")</f>
        <v/>
      </c>
      <c r="AB1618" t="str">
        <f>IFERROR(IF(ISNUMBER('Procyclean 210'!C120),'Procyclean 210'!C120,DATEVALUE('Procyclean 210'!C120)),"")</f>
        <v/>
      </c>
      <c r="AC1618" t="str">
        <f>IF(AA1618="","",'Procyclean 210'!D120)</f>
        <v/>
      </c>
      <c r="AD1618" t="str">
        <f>IF(AA1618="","",IFERROR(1*'Procyclean 210'!E120,IFERROR(_xludf.NUMBERVALUE('Procyclean 210'!E120,".",","),IFERROR(_xludf.NUMBERVALUE('Procyclean 210'!E120,",","."),0))))</f>
        <v/>
      </c>
      <c r="AE1618" t="str">
        <f>IF(AA1618="","",'Procyclean 210'!B120)</f>
        <v/>
      </c>
      <c r="AF1618">
        <f t="shared" si="167"/>
        <v>0</v>
      </c>
      <c r="AG1618" t="str">
        <f t="shared" si="168"/>
        <v/>
      </c>
      <c r="AH1618" t="str">
        <f t="shared" si="169"/>
        <v/>
      </c>
      <c r="AI1618">
        <f t="shared" si="170"/>
        <v>0</v>
      </c>
      <c r="AJ1618">
        <f t="shared" si="171"/>
        <v>0</v>
      </c>
      <c r="AK1618">
        <v>0</v>
      </c>
      <c r="AL1618" t="str">
        <f>IF(AA1618="","",IFERROR(IF(ISNUMBER('Procyclean 210'!F120),'Procyclean 210'!F120,IF(ISNUMBER(SEARCH("12",'Procyclean 210'!F120)),EDATE(AB1618,12),IF(ISNUMBER(SEARCH("6",'Procyclean 210'!F120)),EDATE(AB1618,6),IF(ISNUMBER(SEARCH("3",'Procyclean 210'!F120)),EDATE(AB1618,3),DATEVALUE('Procyclean 210'!F120))))),""))</f>
        <v/>
      </c>
      <c r="AM1618" t="str">
        <f t="shared" ca="1" si="172"/>
        <v/>
      </c>
    </row>
    <row r="1619" spans="27:39" x14ac:dyDescent="0.3">
      <c r="AA1619" t="str">
        <f>IF(COUNTA('Procyclean 210'!C121,'Procyclean 210'!D121,'Procyclean 210'!E121)&gt;0,"210","")</f>
        <v/>
      </c>
      <c r="AB1619" t="str">
        <f>IFERROR(IF(ISNUMBER('Procyclean 210'!C121),'Procyclean 210'!C121,DATEVALUE('Procyclean 210'!C121)),"")</f>
        <v/>
      </c>
      <c r="AC1619" t="str">
        <f>IF(AA1619="","",'Procyclean 210'!D121)</f>
        <v/>
      </c>
      <c r="AD1619" t="str">
        <f>IF(AA1619="","",IFERROR(1*'Procyclean 210'!E121,IFERROR(_xludf.NUMBERVALUE('Procyclean 210'!E121,".",","),IFERROR(_xludf.NUMBERVALUE('Procyclean 210'!E121,",","."),0))))</f>
        <v/>
      </c>
      <c r="AE1619" t="str">
        <f>IF(AA1619="","",'Procyclean 210'!B121)</f>
        <v/>
      </c>
      <c r="AF1619">
        <f t="shared" si="167"/>
        <v>0</v>
      </c>
      <c r="AG1619" t="str">
        <f t="shared" si="168"/>
        <v/>
      </c>
      <c r="AH1619" t="str">
        <f t="shared" si="169"/>
        <v/>
      </c>
      <c r="AI1619">
        <f t="shared" si="170"/>
        <v>0</v>
      </c>
      <c r="AJ1619">
        <f t="shared" si="171"/>
        <v>0</v>
      </c>
      <c r="AK1619">
        <v>0</v>
      </c>
      <c r="AL1619" t="str">
        <f>IF(AA1619="","",IFERROR(IF(ISNUMBER('Procyclean 210'!F121),'Procyclean 210'!F121,IF(ISNUMBER(SEARCH("12",'Procyclean 210'!F121)),EDATE(AB1619,12),IF(ISNUMBER(SEARCH("6",'Procyclean 210'!F121)),EDATE(AB1619,6),IF(ISNUMBER(SEARCH("3",'Procyclean 210'!F121)),EDATE(AB1619,3),DATEVALUE('Procyclean 210'!F121))))),""))</f>
        <v/>
      </c>
      <c r="AM1619" t="str">
        <f t="shared" ca="1" si="172"/>
        <v/>
      </c>
    </row>
    <row r="1620" spans="27:39" x14ac:dyDescent="0.3">
      <c r="AA1620" t="str">
        <f>IF(COUNTA('Procyclean 210'!C122,'Procyclean 210'!D122,'Procyclean 210'!E122)&gt;0,"210","")</f>
        <v/>
      </c>
      <c r="AB1620" t="str">
        <f>IFERROR(IF(ISNUMBER('Procyclean 210'!C122),'Procyclean 210'!C122,DATEVALUE('Procyclean 210'!C122)),"")</f>
        <v/>
      </c>
      <c r="AC1620" t="str">
        <f>IF(AA1620="","",'Procyclean 210'!D122)</f>
        <v/>
      </c>
      <c r="AD1620" t="str">
        <f>IF(AA1620="","",IFERROR(1*'Procyclean 210'!E122,IFERROR(_xludf.NUMBERVALUE('Procyclean 210'!E122,".",","),IFERROR(_xludf.NUMBERVALUE('Procyclean 210'!E122,",","."),0))))</f>
        <v/>
      </c>
      <c r="AE1620" t="str">
        <f>IF(AA1620="","",'Procyclean 210'!B122)</f>
        <v/>
      </c>
      <c r="AF1620">
        <f t="shared" si="167"/>
        <v>0</v>
      </c>
      <c r="AG1620" t="str">
        <f t="shared" si="168"/>
        <v/>
      </c>
      <c r="AH1620" t="str">
        <f t="shared" si="169"/>
        <v/>
      </c>
      <c r="AI1620">
        <f t="shared" si="170"/>
        <v>0</v>
      </c>
      <c r="AJ1620">
        <f t="shared" si="171"/>
        <v>0</v>
      </c>
      <c r="AK1620">
        <v>0</v>
      </c>
      <c r="AL1620" t="str">
        <f>IF(AA1620="","",IFERROR(IF(ISNUMBER('Procyclean 210'!F122),'Procyclean 210'!F122,IF(ISNUMBER(SEARCH("12",'Procyclean 210'!F122)),EDATE(AB1620,12),IF(ISNUMBER(SEARCH("6",'Procyclean 210'!F122)),EDATE(AB1620,6),IF(ISNUMBER(SEARCH("3",'Procyclean 210'!F122)),EDATE(AB1620,3),DATEVALUE('Procyclean 210'!F122))))),""))</f>
        <v/>
      </c>
      <c r="AM1620" t="str">
        <f t="shared" ca="1" si="172"/>
        <v/>
      </c>
    </row>
    <row r="1621" spans="27:39" x14ac:dyDescent="0.3">
      <c r="AA1621" t="str">
        <f>IF(COUNTA('Procyclean 210'!C123,'Procyclean 210'!D123,'Procyclean 210'!E123)&gt;0,"210","")</f>
        <v/>
      </c>
      <c r="AB1621" t="str">
        <f>IFERROR(IF(ISNUMBER('Procyclean 210'!C123),'Procyclean 210'!C123,DATEVALUE('Procyclean 210'!C123)),"")</f>
        <v/>
      </c>
      <c r="AC1621" t="str">
        <f>IF(AA1621="","",'Procyclean 210'!D123)</f>
        <v/>
      </c>
      <c r="AD1621" t="str">
        <f>IF(AA1621="","",IFERROR(1*'Procyclean 210'!E123,IFERROR(_xludf.NUMBERVALUE('Procyclean 210'!E123,".",","),IFERROR(_xludf.NUMBERVALUE('Procyclean 210'!E123,",","."),0))))</f>
        <v/>
      </c>
      <c r="AE1621" t="str">
        <f>IF(AA1621="","",'Procyclean 210'!B123)</f>
        <v/>
      </c>
      <c r="AF1621">
        <f t="shared" si="167"/>
        <v>0</v>
      </c>
      <c r="AG1621" t="str">
        <f t="shared" si="168"/>
        <v/>
      </c>
      <c r="AH1621" t="str">
        <f t="shared" si="169"/>
        <v/>
      </c>
      <c r="AI1621">
        <f t="shared" si="170"/>
        <v>0</v>
      </c>
      <c r="AJ1621">
        <f t="shared" si="171"/>
        <v>0</v>
      </c>
      <c r="AK1621">
        <v>0</v>
      </c>
      <c r="AL1621" t="str">
        <f>IF(AA1621="","",IFERROR(IF(ISNUMBER('Procyclean 210'!F123),'Procyclean 210'!F123,IF(ISNUMBER(SEARCH("12",'Procyclean 210'!F123)),EDATE(AB1621,12),IF(ISNUMBER(SEARCH("6",'Procyclean 210'!F123)),EDATE(AB1621,6),IF(ISNUMBER(SEARCH("3",'Procyclean 210'!F123)),EDATE(AB1621,3),DATEVALUE('Procyclean 210'!F123))))),""))</f>
        <v/>
      </c>
      <c r="AM1621" t="str">
        <f t="shared" ca="1" si="172"/>
        <v/>
      </c>
    </row>
    <row r="1622" spans="27:39" x14ac:dyDescent="0.3">
      <c r="AA1622" t="str">
        <f>IF(COUNTA('Procyclean 210'!C124,'Procyclean 210'!D124,'Procyclean 210'!E124)&gt;0,"210","")</f>
        <v/>
      </c>
      <c r="AB1622" t="str">
        <f>IFERROR(IF(ISNUMBER('Procyclean 210'!C124),'Procyclean 210'!C124,DATEVALUE('Procyclean 210'!C124)),"")</f>
        <v/>
      </c>
      <c r="AC1622" t="str">
        <f>IF(AA1622="","",'Procyclean 210'!D124)</f>
        <v/>
      </c>
      <c r="AD1622" t="str">
        <f>IF(AA1622="","",IFERROR(1*'Procyclean 210'!E124,IFERROR(_xludf.NUMBERVALUE('Procyclean 210'!E124,".",","),IFERROR(_xludf.NUMBERVALUE('Procyclean 210'!E124,",","."),0))))</f>
        <v/>
      </c>
      <c r="AE1622" t="str">
        <f>IF(AA1622="","",'Procyclean 210'!B124)</f>
        <v/>
      </c>
      <c r="AF1622">
        <f t="shared" si="167"/>
        <v>0</v>
      </c>
      <c r="AG1622" t="str">
        <f t="shared" si="168"/>
        <v/>
      </c>
      <c r="AH1622" t="str">
        <f t="shared" si="169"/>
        <v/>
      </c>
      <c r="AI1622">
        <f t="shared" si="170"/>
        <v>0</v>
      </c>
      <c r="AJ1622">
        <f t="shared" si="171"/>
        <v>0</v>
      </c>
      <c r="AK1622">
        <v>0</v>
      </c>
      <c r="AL1622" t="str">
        <f>IF(AA1622="","",IFERROR(IF(ISNUMBER('Procyclean 210'!F124),'Procyclean 210'!F124,IF(ISNUMBER(SEARCH("12",'Procyclean 210'!F124)),EDATE(AB1622,12),IF(ISNUMBER(SEARCH("6",'Procyclean 210'!F124)),EDATE(AB1622,6),IF(ISNUMBER(SEARCH("3",'Procyclean 210'!F124)),EDATE(AB1622,3),DATEVALUE('Procyclean 210'!F124))))),""))</f>
        <v/>
      </c>
      <c r="AM1622" t="str">
        <f t="shared" ca="1" si="172"/>
        <v/>
      </c>
    </row>
    <row r="1623" spans="27:39" x14ac:dyDescent="0.3">
      <c r="AA1623" t="str">
        <f>IF(COUNTA('Procyclean 210'!C125,'Procyclean 210'!D125,'Procyclean 210'!E125)&gt;0,"210","")</f>
        <v/>
      </c>
      <c r="AB1623" t="str">
        <f>IFERROR(IF(ISNUMBER('Procyclean 210'!C125),'Procyclean 210'!C125,DATEVALUE('Procyclean 210'!C125)),"")</f>
        <v/>
      </c>
      <c r="AC1623" t="str">
        <f>IF(AA1623="","",'Procyclean 210'!D125)</f>
        <v/>
      </c>
      <c r="AD1623" t="str">
        <f>IF(AA1623="","",IFERROR(1*'Procyclean 210'!E125,IFERROR(_xludf.NUMBERVALUE('Procyclean 210'!E125,".",","),IFERROR(_xludf.NUMBERVALUE('Procyclean 210'!E125,",","."),0))))</f>
        <v/>
      </c>
      <c r="AE1623" t="str">
        <f>IF(AA1623="","",'Procyclean 210'!B125)</f>
        <v/>
      </c>
      <c r="AF1623">
        <f t="shared" si="167"/>
        <v>0</v>
      </c>
      <c r="AG1623" t="str">
        <f t="shared" si="168"/>
        <v/>
      </c>
      <c r="AH1623" t="str">
        <f t="shared" si="169"/>
        <v/>
      </c>
      <c r="AI1623">
        <f t="shared" si="170"/>
        <v>0</v>
      </c>
      <c r="AJ1623">
        <f t="shared" si="171"/>
        <v>0</v>
      </c>
      <c r="AK1623">
        <v>0</v>
      </c>
      <c r="AL1623" t="str">
        <f>IF(AA1623="","",IFERROR(IF(ISNUMBER('Procyclean 210'!F125),'Procyclean 210'!F125,IF(ISNUMBER(SEARCH("12",'Procyclean 210'!F125)),EDATE(AB1623,12),IF(ISNUMBER(SEARCH("6",'Procyclean 210'!F125)),EDATE(AB1623,6),IF(ISNUMBER(SEARCH("3",'Procyclean 210'!F125)),EDATE(AB1623,3),DATEVALUE('Procyclean 210'!F125))))),""))</f>
        <v/>
      </c>
      <c r="AM1623" t="str">
        <f t="shared" ca="1" si="172"/>
        <v/>
      </c>
    </row>
    <row r="1624" spans="27:39" x14ac:dyDescent="0.3">
      <c r="AA1624" t="str">
        <f>IF(COUNTA('Procyclean 210'!C126,'Procyclean 210'!D126,'Procyclean 210'!E126)&gt;0,"210","")</f>
        <v/>
      </c>
      <c r="AB1624" t="str">
        <f>IFERROR(IF(ISNUMBER('Procyclean 210'!C126),'Procyclean 210'!C126,DATEVALUE('Procyclean 210'!C126)),"")</f>
        <v/>
      </c>
      <c r="AC1624" t="str">
        <f>IF(AA1624="","",'Procyclean 210'!D126)</f>
        <v/>
      </c>
      <c r="AD1624" t="str">
        <f>IF(AA1624="","",IFERROR(1*'Procyclean 210'!E126,IFERROR(_xludf.NUMBERVALUE('Procyclean 210'!E126,".",","),IFERROR(_xludf.NUMBERVALUE('Procyclean 210'!E126,",","."),0))))</f>
        <v/>
      </c>
      <c r="AE1624" t="str">
        <f>IF(AA1624="","",'Procyclean 210'!B126)</f>
        <v/>
      </c>
      <c r="AF1624">
        <f t="shared" si="167"/>
        <v>0</v>
      </c>
      <c r="AG1624" t="str">
        <f t="shared" si="168"/>
        <v/>
      </c>
      <c r="AH1624" t="str">
        <f t="shared" si="169"/>
        <v/>
      </c>
      <c r="AI1624">
        <f t="shared" si="170"/>
        <v>0</v>
      </c>
      <c r="AJ1624">
        <f t="shared" si="171"/>
        <v>0</v>
      </c>
      <c r="AK1624">
        <v>0</v>
      </c>
      <c r="AL1624" t="str">
        <f>IF(AA1624="","",IFERROR(IF(ISNUMBER('Procyclean 210'!F126),'Procyclean 210'!F126,IF(ISNUMBER(SEARCH("12",'Procyclean 210'!F126)),EDATE(AB1624,12),IF(ISNUMBER(SEARCH("6",'Procyclean 210'!F126)),EDATE(AB1624,6),IF(ISNUMBER(SEARCH("3",'Procyclean 210'!F126)),EDATE(AB1624,3),DATEVALUE('Procyclean 210'!F126))))),""))</f>
        <v/>
      </c>
      <c r="AM1624" t="str">
        <f t="shared" ca="1" si="172"/>
        <v/>
      </c>
    </row>
    <row r="1625" spans="27:39" x14ac:dyDescent="0.3">
      <c r="AA1625" t="str">
        <f>IF(COUNTA('Procyclean 210'!C127,'Procyclean 210'!D127,'Procyclean 210'!E127)&gt;0,"210","")</f>
        <v/>
      </c>
      <c r="AB1625" t="str">
        <f>IFERROR(IF(ISNUMBER('Procyclean 210'!C127),'Procyclean 210'!C127,DATEVALUE('Procyclean 210'!C127)),"")</f>
        <v/>
      </c>
      <c r="AC1625" t="str">
        <f>IF(AA1625="","",'Procyclean 210'!D127)</f>
        <v/>
      </c>
      <c r="AD1625" t="str">
        <f>IF(AA1625="","",IFERROR(1*'Procyclean 210'!E127,IFERROR(_xludf.NUMBERVALUE('Procyclean 210'!E127,".",","),IFERROR(_xludf.NUMBERVALUE('Procyclean 210'!E127,",","."),0))))</f>
        <v/>
      </c>
      <c r="AE1625" t="str">
        <f>IF(AA1625="","",'Procyclean 210'!B127)</f>
        <v/>
      </c>
      <c r="AF1625">
        <f t="shared" si="167"/>
        <v>0</v>
      </c>
      <c r="AG1625" t="str">
        <f t="shared" si="168"/>
        <v/>
      </c>
      <c r="AH1625" t="str">
        <f t="shared" si="169"/>
        <v/>
      </c>
      <c r="AI1625">
        <f t="shared" si="170"/>
        <v>0</v>
      </c>
      <c r="AJ1625">
        <f t="shared" si="171"/>
        <v>0</v>
      </c>
      <c r="AK1625">
        <v>0</v>
      </c>
      <c r="AL1625" t="str">
        <f>IF(AA1625="","",IFERROR(IF(ISNUMBER('Procyclean 210'!F127),'Procyclean 210'!F127,IF(ISNUMBER(SEARCH("12",'Procyclean 210'!F127)),EDATE(AB1625,12),IF(ISNUMBER(SEARCH("6",'Procyclean 210'!F127)),EDATE(AB1625,6),IF(ISNUMBER(SEARCH("3",'Procyclean 210'!F127)),EDATE(AB1625,3),DATEVALUE('Procyclean 210'!F127))))),""))</f>
        <v/>
      </c>
      <c r="AM1625" t="str">
        <f t="shared" ca="1" si="172"/>
        <v/>
      </c>
    </row>
    <row r="1626" spans="27:39" x14ac:dyDescent="0.3">
      <c r="AA1626" t="str">
        <f>IF(COUNTA('Procyclean 210'!C128,'Procyclean 210'!D128,'Procyclean 210'!E128)&gt;0,"210","")</f>
        <v/>
      </c>
      <c r="AB1626" t="str">
        <f>IFERROR(IF(ISNUMBER('Procyclean 210'!C128),'Procyclean 210'!C128,DATEVALUE('Procyclean 210'!C128)),"")</f>
        <v/>
      </c>
      <c r="AC1626" t="str">
        <f>IF(AA1626="","",'Procyclean 210'!D128)</f>
        <v/>
      </c>
      <c r="AD1626" t="str">
        <f>IF(AA1626="","",IFERROR(1*'Procyclean 210'!E128,IFERROR(_xludf.NUMBERVALUE('Procyclean 210'!E128,".",","),IFERROR(_xludf.NUMBERVALUE('Procyclean 210'!E128,",","."),0))))</f>
        <v/>
      </c>
      <c r="AE1626" t="str">
        <f>IF(AA1626="","",'Procyclean 210'!B128)</f>
        <v/>
      </c>
      <c r="AF1626">
        <f t="shared" si="167"/>
        <v>0</v>
      </c>
      <c r="AG1626" t="str">
        <f t="shared" si="168"/>
        <v/>
      </c>
      <c r="AH1626" t="str">
        <f t="shared" si="169"/>
        <v/>
      </c>
      <c r="AI1626">
        <f t="shared" si="170"/>
        <v>0</v>
      </c>
      <c r="AJ1626">
        <f t="shared" si="171"/>
        <v>0</v>
      </c>
      <c r="AK1626">
        <v>0</v>
      </c>
      <c r="AL1626" t="str">
        <f>IF(AA1626="","",IFERROR(IF(ISNUMBER('Procyclean 210'!F128),'Procyclean 210'!F128,IF(ISNUMBER(SEARCH("12",'Procyclean 210'!F128)),EDATE(AB1626,12),IF(ISNUMBER(SEARCH("6",'Procyclean 210'!F128)),EDATE(AB1626,6),IF(ISNUMBER(SEARCH("3",'Procyclean 210'!F128)),EDATE(AB1626,3),DATEVALUE('Procyclean 210'!F128))))),""))</f>
        <v/>
      </c>
      <c r="AM1626" t="str">
        <f t="shared" ca="1" si="172"/>
        <v/>
      </c>
    </row>
    <row r="1627" spans="27:39" x14ac:dyDescent="0.3">
      <c r="AA1627" t="str">
        <f>IF(COUNTA('Procyclean 210'!C129,'Procyclean 210'!D129,'Procyclean 210'!E129)&gt;0,"210","")</f>
        <v/>
      </c>
      <c r="AB1627" t="str">
        <f>IFERROR(IF(ISNUMBER('Procyclean 210'!C129),'Procyclean 210'!C129,DATEVALUE('Procyclean 210'!C129)),"")</f>
        <v/>
      </c>
      <c r="AC1627" t="str">
        <f>IF(AA1627="","",'Procyclean 210'!D129)</f>
        <v/>
      </c>
      <c r="AD1627" t="str">
        <f>IF(AA1627="","",IFERROR(1*'Procyclean 210'!E129,IFERROR(_xludf.NUMBERVALUE('Procyclean 210'!E129,".",","),IFERROR(_xludf.NUMBERVALUE('Procyclean 210'!E129,",","."),0))))</f>
        <v/>
      </c>
      <c r="AE1627" t="str">
        <f>IF(AA1627="","",'Procyclean 210'!B129)</f>
        <v/>
      </c>
      <c r="AF1627">
        <f t="shared" si="167"/>
        <v>0</v>
      </c>
      <c r="AG1627" t="str">
        <f t="shared" si="168"/>
        <v/>
      </c>
      <c r="AH1627" t="str">
        <f t="shared" si="169"/>
        <v/>
      </c>
      <c r="AI1627">
        <f t="shared" si="170"/>
        <v>0</v>
      </c>
      <c r="AJ1627">
        <f t="shared" si="171"/>
        <v>0</v>
      </c>
      <c r="AK1627">
        <v>0</v>
      </c>
      <c r="AL1627" t="str">
        <f>IF(AA1627="","",IFERROR(IF(ISNUMBER('Procyclean 210'!F129),'Procyclean 210'!F129,IF(ISNUMBER(SEARCH("12",'Procyclean 210'!F129)),EDATE(AB1627,12),IF(ISNUMBER(SEARCH("6",'Procyclean 210'!F129)),EDATE(AB1627,6),IF(ISNUMBER(SEARCH("3",'Procyclean 210'!F129)),EDATE(AB1627,3),DATEVALUE('Procyclean 210'!F129))))),""))</f>
        <v/>
      </c>
      <c r="AM1627" t="str">
        <f t="shared" ca="1" si="172"/>
        <v/>
      </c>
    </row>
    <row r="1628" spans="27:39" x14ac:dyDescent="0.3">
      <c r="AA1628" t="str">
        <f>IF(COUNTA('Procyclean 210'!C130,'Procyclean 210'!D130,'Procyclean 210'!E130)&gt;0,"210","")</f>
        <v/>
      </c>
      <c r="AB1628" t="str">
        <f>IFERROR(IF(ISNUMBER('Procyclean 210'!C130),'Procyclean 210'!C130,DATEVALUE('Procyclean 210'!C130)),"")</f>
        <v/>
      </c>
      <c r="AC1628" t="str">
        <f>IF(AA1628="","",'Procyclean 210'!D130)</f>
        <v/>
      </c>
      <c r="AD1628" t="str">
        <f>IF(AA1628="","",IFERROR(1*'Procyclean 210'!E130,IFERROR(_xludf.NUMBERVALUE('Procyclean 210'!E130,".",","),IFERROR(_xludf.NUMBERVALUE('Procyclean 210'!E130,",","."),0))))</f>
        <v/>
      </c>
      <c r="AE1628" t="str">
        <f>IF(AA1628="","",'Procyclean 210'!B130)</f>
        <v/>
      </c>
      <c r="AF1628">
        <f t="shared" si="167"/>
        <v>0</v>
      </c>
      <c r="AG1628" t="str">
        <f t="shared" si="168"/>
        <v/>
      </c>
      <c r="AH1628" t="str">
        <f t="shared" si="169"/>
        <v/>
      </c>
      <c r="AI1628">
        <f t="shared" si="170"/>
        <v>0</v>
      </c>
      <c r="AJ1628">
        <f t="shared" si="171"/>
        <v>0</v>
      </c>
      <c r="AK1628">
        <v>0</v>
      </c>
      <c r="AL1628" t="str">
        <f>IF(AA1628="","",IFERROR(IF(ISNUMBER('Procyclean 210'!F130),'Procyclean 210'!F130,IF(ISNUMBER(SEARCH("12",'Procyclean 210'!F130)),EDATE(AB1628,12),IF(ISNUMBER(SEARCH("6",'Procyclean 210'!F130)),EDATE(AB1628,6),IF(ISNUMBER(SEARCH("3",'Procyclean 210'!F130)),EDATE(AB1628,3),DATEVALUE('Procyclean 210'!F130))))),""))</f>
        <v/>
      </c>
      <c r="AM1628" t="str">
        <f t="shared" ca="1" si="172"/>
        <v/>
      </c>
    </row>
    <row r="1629" spans="27:39" x14ac:dyDescent="0.3">
      <c r="AA1629" t="str">
        <f>IF(COUNTA('Procyclean 210'!C131,'Procyclean 210'!D131,'Procyclean 210'!E131)&gt;0,"210","")</f>
        <v/>
      </c>
      <c r="AB1629" t="str">
        <f>IFERROR(IF(ISNUMBER('Procyclean 210'!C131),'Procyclean 210'!C131,DATEVALUE('Procyclean 210'!C131)),"")</f>
        <v/>
      </c>
      <c r="AC1629" t="str">
        <f>IF(AA1629="","",'Procyclean 210'!D131)</f>
        <v/>
      </c>
      <c r="AD1629" t="str">
        <f>IF(AA1629="","",IFERROR(1*'Procyclean 210'!E131,IFERROR(_xludf.NUMBERVALUE('Procyclean 210'!E131,".",","),IFERROR(_xludf.NUMBERVALUE('Procyclean 210'!E131,",","."),0))))</f>
        <v/>
      </c>
      <c r="AE1629" t="str">
        <f>IF(AA1629="","",'Procyclean 210'!B131)</f>
        <v/>
      </c>
      <c r="AF1629">
        <f t="shared" si="167"/>
        <v>0</v>
      </c>
      <c r="AG1629" t="str">
        <f t="shared" si="168"/>
        <v/>
      </c>
      <c r="AH1629" t="str">
        <f t="shared" si="169"/>
        <v/>
      </c>
      <c r="AI1629">
        <f t="shared" si="170"/>
        <v>0</v>
      </c>
      <c r="AJ1629">
        <f t="shared" si="171"/>
        <v>0</v>
      </c>
      <c r="AK1629">
        <v>0</v>
      </c>
      <c r="AL1629" t="str">
        <f>IF(AA1629="","",IFERROR(IF(ISNUMBER('Procyclean 210'!F131),'Procyclean 210'!F131,IF(ISNUMBER(SEARCH("12",'Procyclean 210'!F131)),EDATE(AB1629,12),IF(ISNUMBER(SEARCH("6",'Procyclean 210'!F131)),EDATE(AB1629,6),IF(ISNUMBER(SEARCH("3",'Procyclean 210'!F131)),EDATE(AB1629,3),DATEVALUE('Procyclean 210'!F131))))),""))</f>
        <v/>
      </c>
      <c r="AM1629" t="str">
        <f t="shared" ca="1" si="172"/>
        <v/>
      </c>
    </row>
    <row r="1630" spans="27:39" x14ac:dyDescent="0.3">
      <c r="AA1630" t="str">
        <f>IF(COUNTA('Procyclean 210'!C132,'Procyclean 210'!D132,'Procyclean 210'!E132)&gt;0,"210","")</f>
        <v/>
      </c>
      <c r="AB1630" t="str">
        <f>IFERROR(IF(ISNUMBER('Procyclean 210'!C132),'Procyclean 210'!C132,DATEVALUE('Procyclean 210'!C132)),"")</f>
        <v/>
      </c>
      <c r="AC1630" t="str">
        <f>IF(AA1630="","",'Procyclean 210'!D132)</f>
        <v/>
      </c>
      <c r="AD1630" t="str">
        <f>IF(AA1630="","",IFERROR(1*'Procyclean 210'!E132,IFERROR(_xludf.NUMBERVALUE('Procyclean 210'!E132,".",","),IFERROR(_xludf.NUMBERVALUE('Procyclean 210'!E132,",","."),0))))</f>
        <v/>
      </c>
      <c r="AE1630" t="str">
        <f>IF(AA1630="","",'Procyclean 210'!B132)</f>
        <v/>
      </c>
      <c r="AF1630">
        <f t="shared" si="167"/>
        <v>0</v>
      </c>
      <c r="AG1630" t="str">
        <f t="shared" si="168"/>
        <v/>
      </c>
      <c r="AH1630" t="str">
        <f t="shared" si="169"/>
        <v/>
      </c>
      <c r="AI1630">
        <f t="shared" si="170"/>
        <v>0</v>
      </c>
      <c r="AJ1630">
        <f t="shared" si="171"/>
        <v>0</v>
      </c>
      <c r="AK1630">
        <v>0</v>
      </c>
      <c r="AL1630" t="str">
        <f>IF(AA1630="","",IFERROR(IF(ISNUMBER('Procyclean 210'!F132),'Procyclean 210'!F132,IF(ISNUMBER(SEARCH("12",'Procyclean 210'!F132)),EDATE(AB1630,12),IF(ISNUMBER(SEARCH("6",'Procyclean 210'!F132)),EDATE(AB1630,6),IF(ISNUMBER(SEARCH("3",'Procyclean 210'!F132)),EDATE(AB1630,3),DATEVALUE('Procyclean 210'!F132))))),""))</f>
        <v/>
      </c>
      <c r="AM1630" t="str">
        <f t="shared" ca="1" si="172"/>
        <v/>
      </c>
    </row>
    <row r="1631" spans="27:39" x14ac:dyDescent="0.3">
      <c r="AA1631" t="str">
        <f>IF(COUNTA('Procyclean 210'!C133,'Procyclean 210'!D133,'Procyclean 210'!E133)&gt;0,"210","")</f>
        <v/>
      </c>
      <c r="AB1631" t="str">
        <f>IFERROR(IF(ISNUMBER('Procyclean 210'!C133),'Procyclean 210'!C133,DATEVALUE('Procyclean 210'!C133)),"")</f>
        <v/>
      </c>
      <c r="AC1631" t="str">
        <f>IF(AA1631="","",'Procyclean 210'!D133)</f>
        <v/>
      </c>
      <c r="AD1631" t="str">
        <f>IF(AA1631="","",IFERROR(1*'Procyclean 210'!E133,IFERROR(_xludf.NUMBERVALUE('Procyclean 210'!E133,".",","),IFERROR(_xludf.NUMBERVALUE('Procyclean 210'!E133,",","."),0))))</f>
        <v/>
      </c>
      <c r="AE1631" t="str">
        <f>IF(AA1631="","",'Procyclean 210'!B133)</f>
        <v/>
      </c>
      <c r="AF1631">
        <f t="shared" si="167"/>
        <v>0</v>
      </c>
      <c r="AG1631" t="str">
        <f t="shared" si="168"/>
        <v/>
      </c>
      <c r="AH1631" t="str">
        <f t="shared" si="169"/>
        <v/>
      </c>
      <c r="AI1631">
        <f t="shared" si="170"/>
        <v>0</v>
      </c>
      <c r="AJ1631">
        <f t="shared" si="171"/>
        <v>0</v>
      </c>
      <c r="AK1631">
        <v>0</v>
      </c>
      <c r="AL1631" t="str">
        <f>IF(AA1631="","",IFERROR(IF(ISNUMBER('Procyclean 210'!F133),'Procyclean 210'!F133,IF(ISNUMBER(SEARCH("12",'Procyclean 210'!F133)),EDATE(AB1631,12),IF(ISNUMBER(SEARCH("6",'Procyclean 210'!F133)),EDATE(AB1631,6),IF(ISNUMBER(SEARCH("3",'Procyclean 210'!F133)),EDATE(AB1631,3),DATEVALUE('Procyclean 210'!F133))))),""))</f>
        <v/>
      </c>
      <c r="AM1631" t="str">
        <f t="shared" ca="1" si="172"/>
        <v/>
      </c>
    </row>
    <row r="1632" spans="27:39" x14ac:dyDescent="0.3">
      <c r="AA1632" t="str">
        <f>IF(COUNTA('Procyclean 210'!C134,'Procyclean 210'!D134,'Procyclean 210'!E134)&gt;0,"210","")</f>
        <v/>
      </c>
      <c r="AB1632" t="str">
        <f>IFERROR(IF(ISNUMBER('Procyclean 210'!C134),'Procyclean 210'!C134,DATEVALUE('Procyclean 210'!C134)),"")</f>
        <v/>
      </c>
      <c r="AC1632" t="str">
        <f>IF(AA1632="","",'Procyclean 210'!D134)</f>
        <v/>
      </c>
      <c r="AD1632" t="str">
        <f>IF(AA1632="","",IFERROR(1*'Procyclean 210'!E134,IFERROR(_xludf.NUMBERVALUE('Procyclean 210'!E134,".",","),IFERROR(_xludf.NUMBERVALUE('Procyclean 210'!E134,",","."),0))))</f>
        <v/>
      </c>
      <c r="AE1632" t="str">
        <f>IF(AA1632="","",'Procyclean 210'!B134)</f>
        <v/>
      </c>
      <c r="AF1632">
        <f t="shared" si="167"/>
        <v>0</v>
      </c>
      <c r="AG1632" t="str">
        <f t="shared" si="168"/>
        <v/>
      </c>
      <c r="AH1632" t="str">
        <f t="shared" si="169"/>
        <v/>
      </c>
      <c r="AI1632">
        <f t="shared" si="170"/>
        <v>0</v>
      </c>
      <c r="AJ1632">
        <f t="shared" si="171"/>
        <v>0</v>
      </c>
      <c r="AK1632">
        <v>0</v>
      </c>
      <c r="AL1632" t="str">
        <f>IF(AA1632="","",IFERROR(IF(ISNUMBER('Procyclean 210'!F134),'Procyclean 210'!F134,IF(ISNUMBER(SEARCH("12",'Procyclean 210'!F134)),EDATE(AB1632,12),IF(ISNUMBER(SEARCH("6",'Procyclean 210'!F134)),EDATE(AB1632,6),IF(ISNUMBER(SEARCH("3",'Procyclean 210'!F134)),EDATE(AB1632,3),DATEVALUE('Procyclean 210'!F134))))),""))</f>
        <v/>
      </c>
      <c r="AM1632" t="str">
        <f t="shared" ca="1" si="172"/>
        <v/>
      </c>
    </row>
    <row r="1633" spans="27:39" x14ac:dyDescent="0.3">
      <c r="AA1633" t="str">
        <f>IF(COUNTA('Procyclean 210'!C135,'Procyclean 210'!D135,'Procyclean 210'!E135)&gt;0,"210","")</f>
        <v/>
      </c>
      <c r="AB1633" t="str">
        <f>IFERROR(IF(ISNUMBER('Procyclean 210'!C135),'Procyclean 210'!C135,DATEVALUE('Procyclean 210'!C135)),"")</f>
        <v/>
      </c>
      <c r="AC1633" t="str">
        <f>IF(AA1633="","",'Procyclean 210'!D135)</f>
        <v/>
      </c>
      <c r="AD1633" t="str">
        <f>IF(AA1633="","",IFERROR(1*'Procyclean 210'!E135,IFERROR(_xludf.NUMBERVALUE('Procyclean 210'!E135,".",","),IFERROR(_xludf.NUMBERVALUE('Procyclean 210'!E135,",","."),0))))</f>
        <v/>
      </c>
      <c r="AE1633" t="str">
        <f>IF(AA1633="","",'Procyclean 210'!B135)</f>
        <v/>
      </c>
      <c r="AF1633">
        <f t="shared" si="167"/>
        <v>0</v>
      </c>
      <c r="AG1633" t="str">
        <f t="shared" si="168"/>
        <v/>
      </c>
      <c r="AH1633" t="str">
        <f t="shared" si="169"/>
        <v/>
      </c>
      <c r="AI1633">
        <f t="shared" si="170"/>
        <v>0</v>
      </c>
      <c r="AJ1633">
        <f t="shared" si="171"/>
        <v>0</v>
      </c>
      <c r="AK1633">
        <v>0</v>
      </c>
      <c r="AL1633" t="str">
        <f>IF(AA1633="","",IFERROR(IF(ISNUMBER('Procyclean 210'!F135),'Procyclean 210'!F135,IF(ISNUMBER(SEARCH("12",'Procyclean 210'!F135)),EDATE(AB1633,12),IF(ISNUMBER(SEARCH("6",'Procyclean 210'!F135)),EDATE(AB1633,6),IF(ISNUMBER(SEARCH("3",'Procyclean 210'!F135)),EDATE(AB1633,3),DATEVALUE('Procyclean 210'!F135))))),""))</f>
        <v/>
      </c>
      <c r="AM1633" t="str">
        <f t="shared" ca="1" si="172"/>
        <v/>
      </c>
    </row>
    <row r="1634" spans="27:39" x14ac:dyDescent="0.3">
      <c r="AA1634" t="str">
        <f>IF(COUNTA('Procyclean 210'!C136,'Procyclean 210'!D136,'Procyclean 210'!E136)&gt;0,"210","")</f>
        <v/>
      </c>
      <c r="AB1634" t="str">
        <f>IFERROR(IF(ISNUMBER('Procyclean 210'!C136),'Procyclean 210'!C136,DATEVALUE('Procyclean 210'!C136)),"")</f>
        <v/>
      </c>
      <c r="AC1634" t="str">
        <f>IF(AA1634="","",'Procyclean 210'!D136)</f>
        <v/>
      </c>
      <c r="AD1634" t="str">
        <f>IF(AA1634="","",IFERROR(1*'Procyclean 210'!E136,IFERROR(_xludf.NUMBERVALUE('Procyclean 210'!E136,".",","),IFERROR(_xludf.NUMBERVALUE('Procyclean 210'!E136,",","."),0))))</f>
        <v/>
      </c>
      <c r="AE1634" t="str">
        <f>IF(AA1634="","",'Procyclean 210'!B136)</f>
        <v/>
      </c>
      <c r="AF1634">
        <f t="shared" si="167"/>
        <v>0</v>
      </c>
      <c r="AG1634" t="str">
        <f t="shared" si="168"/>
        <v/>
      </c>
      <c r="AH1634" t="str">
        <f t="shared" si="169"/>
        <v/>
      </c>
      <c r="AI1634">
        <f t="shared" si="170"/>
        <v>0</v>
      </c>
      <c r="AJ1634">
        <f t="shared" si="171"/>
        <v>0</v>
      </c>
      <c r="AK1634">
        <v>0</v>
      </c>
      <c r="AL1634" t="str">
        <f>IF(AA1634="","",IFERROR(IF(ISNUMBER('Procyclean 210'!F136),'Procyclean 210'!F136,IF(ISNUMBER(SEARCH("12",'Procyclean 210'!F136)),EDATE(AB1634,12),IF(ISNUMBER(SEARCH("6",'Procyclean 210'!F136)),EDATE(AB1634,6),IF(ISNUMBER(SEARCH("3",'Procyclean 210'!F136)),EDATE(AB1634,3),DATEVALUE('Procyclean 210'!F136))))),""))</f>
        <v/>
      </c>
      <c r="AM1634" t="str">
        <f t="shared" ca="1" si="172"/>
        <v/>
      </c>
    </row>
    <row r="1635" spans="27:39" x14ac:dyDescent="0.3">
      <c r="AA1635" t="str">
        <f>IF(COUNTA('Procyclean 210'!C137,'Procyclean 210'!D137,'Procyclean 210'!E137)&gt;0,"210","")</f>
        <v/>
      </c>
      <c r="AB1635" t="str">
        <f>IFERROR(IF(ISNUMBER('Procyclean 210'!C137),'Procyclean 210'!C137,DATEVALUE('Procyclean 210'!C137)),"")</f>
        <v/>
      </c>
      <c r="AC1635" t="str">
        <f>IF(AA1635="","",'Procyclean 210'!D137)</f>
        <v/>
      </c>
      <c r="AD1635" t="str">
        <f>IF(AA1635="","",IFERROR(1*'Procyclean 210'!E137,IFERROR(_xludf.NUMBERVALUE('Procyclean 210'!E137,".",","),IFERROR(_xludf.NUMBERVALUE('Procyclean 210'!E137,",","."),0))))</f>
        <v/>
      </c>
      <c r="AE1635" t="str">
        <f>IF(AA1635="","",'Procyclean 210'!B137)</f>
        <v/>
      </c>
      <c r="AF1635">
        <f t="shared" si="167"/>
        <v>0</v>
      </c>
      <c r="AG1635" t="str">
        <f t="shared" si="168"/>
        <v/>
      </c>
      <c r="AH1635" t="str">
        <f t="shared" si="169"/>
        <v/>
      </c>
      <c r="AI1635">
        <f t="shared" si="170"/>
        <v>0</v>
      </c>
      <c r="AJ1635">
        <f t="shared" si="171"/>
        <v>0</v>
      </c>
      <c r="AK1635">
        <v>0</v>
      </c>
      <c r="AL1635" t="str">
        <f>IF(AA1635="","",IFERROR(IF(ISNUMBER('Procyclean 210'!F137),'Procyclean 210'!F137,IF(ISNUMBER(SEARCH("12",'Procyclean 210'!F137)),EDATE(AB1635,12),IF(ISNUMBER(SEARCH("6",'Procyclean 210'!F137)),EDATE(AB1635,6),IF(ISNUMBER(SEARCH("3",'Procyclean 210'!F137)),EDATE(AB1635,3),DATEVALUE('Procyclean 210'!F137))))),""))</f>
        <v/>
      </c>
      <c r="AM1635" t="str">
        <f t="shared" ca="1" si="172"/>
        <v/>
      </c>
    </row>
    <row r="1636" spans="27:39" x14ac:dyDescent="0.3">
      <c r="AA1636" t="str">
        <f>IF(COUNTA('Procyclean 210'!C138,'Procyclean 210'!D138,'Procyclean 210'!E138)&gt;0,"210","")</f>
        <v/>
      </c>
      <c r="AB1636" t="str">
        <f>IFERROR(IF(ISNUMBER('Procyclean 210'!C138),'Procyclean 210'!C138,DATEVALUE('Procyclean 210'!C138)),"")</f>
        <v/>
      </c>
      <c r="AC1636" t="str">
        <f>IF(AA1636="","",'Procyclean 210'!D138)</f>
        <v/>
      </c>
      <c r="AD1636" t="str">
        <f>IF(AA1636="","",IFERROR(1*'Procyclean 210'!E138,IFERROR(_xludf.NUMBERVALUE('Procyclean 210'!E138,".",","),IFERROR(_xludf.NUMBERVALUE('Procyclean 210'!E138,",","."),0))))</f>
        <v/>
      </c>
      <c r="AE1636" t="str">
        <f>IF(AA1636="","",'Procyclean 210'!B138)</f>
        <v/>
      </c>
      <c r="AF1636">
        <f t="shared" si="167"/>
        <v>0</v>
      </c>
      <c r="AG1636" t="str">
        <f t="shared" si="168"/>
        <v/>
      </c>
      <c r="AH1636" t="str">
        <f t="shared" si="169"/>
        <v/>
      </c>
      <c r="AI1636">
        <f t="shared" si="170"/>
        <v>0</v>
      </c>
      <c r="AJ1636">
        <f t="shared" si="171"/>
        <v>0</v>
      </c>
      <c r="AK1636">
        <v>0</v>
      </c>
      <c r="AL1636" t="str">
        <f>IF(AA1636="","",IFERROR(IF(ISNUMBER('Procyclean 210'!F138),'Procyclean 210'!F138,IF(ISNUMBER(SEARCH("12",'Procyclean 210'!F138)),EDATE(AB1636,12),IF(ISNUMBER(SEARCH("6",'Procyclean 210'!F138)),EDATE(AB1636,6),IF(ISNUMBER(SEARCH("3",'Procyclean 210'!F138)),EDATE(AB1636,3),DATEVALUE('Procyclean 210'!F138))))),""))</f>
        <v/>
      </c>
      <c r="AM1636" t="str">
        <f t="shared" ca="1" si="172"/>
        <v/>
      </c>
    </row>
    <row r="1637" spans="27:39" x14ac:dyDescent="0.3">
      <c r="AA1637" t="str">
        <f>IF(COUNTA('Procyclean 210'!C139,'Procyclean 210'!D139,'Procyclean 210'!E139)&gt;0,"210","")</f>
        <v/>
      </c>
      <c r="AB1637" t="str">
        <f>IFERROR(IF(ISNUMBER('Procyclean 210'!C139),'Procyclean 210'!C139,DATEVALUE('Procyclean 210'!C139)),"")</f>
        <v/>
      </c>
      <c r="AC1637" t="str">
        <f>IF(AA1637="","",'Procyclean 210'!D139)</f>
        <v/>
      </c>
      <c r="AD1637" t="str">
        <f>IF(AA1637="","",IFERROR(1*'Procyclean 210'!E139,IFERROR(_xludf.NUMBERVALUE('Procyclean 210'!E139,".",","),IFERROR(_xludf.NUMBERVALUE('Procyclean 210'!E139,",","."),0))))</f>
        <v/>
      </c>
      <c r="AE1637" t="str">
        <f>IF(AA1637="","",'Procyclean 210'!B139)</f>
        <v/>
      </c>
      <c r="AF1637">
        <f t="shared" si="167"/>
        <v>0</v>
      </c>
      <c r="AG1637" t="str">
        <f t="shared" si="168"/>
        <v/>
      </c>
      <c r="AH1637" t="str">
        <f t="shared" si="169"/>
        <v/>
      </c>
      <c r="AI1637">
        <f t="shared" si="170"/>
        <v>0</v>
      </c>
      <c r="AJ1637">
        <f t="shared" si="171"/>
        <v>0</v>
      </c>
      <c r="AK1637">
        <v>0</v>
      </c>
      <c r="AL1637" t="str">
        <f>IF(AA1637="","",IFERROR(IF(ISNUMBER('Procyclean 210'!F139),'Procyclean 210'!F139,IF(ISNUMBER(SEARCH("12",'Procyclean 210'!F139)),EDATE(AB1637,12),IF(ISNUMBER(SEARCH("6",'Procyclean 210'!F139)),EDATE(AB1637,6),IF(ISNUMBER(SEARCH("3",'Procyclean 210'!F139)),EDATE(AB1637,3),DATEVALUE('Procyclean 210'!F139))))),""))</f>
        <v/>
      </c>
      <c r="AM1637" t="str">
        <f t="shared" ca="1" si="172"/>
        <v/>
      </c>
    </row>
    <row r="1638" spans="27:39" x14ac:dyDescent="0.3">
      <c r="AA1638" t="str">
        <f>IF(COUNTA('Procyclean 210'!C140,'Procyclean 210'!D140,'Procyclean 210'!E140)&gt;0,"210","")</f>
        <v/>
      </c>
      <c r="AB1638" t="str">
        <f>IFERROR(IF(ISNUMBER('Procyclean 210'!C140),'Procyclean 210'!C140,DATEVALUE('Procyclean 210'!C140)),"")</f>
        <v/>
      </c>
      <c r="AC1638" t="str">
        <f>IF(AA1638="","",'Procyclean 210'!D140)</f>
        <v/>
      </c>
      <c r="AD1638" t="str">
        <f>IF(AA1638="","",IFERROR(1*'Procyclean 210'!E140,IFERROR(_xludf.NUMBERVALUE('Procyclean 210'!E140,".",","),IFERROR(_xludf.NUMBERVALUE('Procyclean 210'!E140,",","."),0))))</f>
        <v/>
      </c>
      <c r="AE1638" t="str">
        <f>IF(AA1638="","",'Procyclean 210'!B140)</f>
        <v/>
      </c>
      <c r="AF1638">
        <f t="shared" si="167"/>
        <v>0</v>
      </c>
      <c r="AG1638" t="str">
        <f t="shared" si="168"/>
        <v/>
      </c>
      <c r="AH1638" t="str">
        <f t="shared" si="169"/>
        <v/>
      </c>
      <c r="AI1638">
        <f t="shared" si="170"/>
        <v>0</v>
      </c>
      <c r="AJ1638">
        <f t="shared" si="171"/>
        <v>0</v>
      </c>
      <c r="AK1638">
        <v>0</v>
      </c>
      <c r="AL1638" t="str">
        <f>IF(AA1638="","",IFERROR(IF(ISNUMBER('Procyclean 210'!F140),'Procyclean 210'!F140,IF(ISNUMBER(SEARCH("12",'Procyclean 210'!F140)),EDATE(AB1638,12),IF(ISNUMBER(SEARCH("6",'Procyclean 210'!F140)),EDATE(AB1638,6),IF(ISNUMBER(SEARCH("3",'Procyclean 210'!F140)),EDATE(AB1638,3),DATEVALUE('Procyclean 210'!F140))))),""))</f>
        <v/>
      </c>
      <c r="AM1638" t="str">
        <f t="shared" ca="1" si="172"/>
        <v/>
      </c>
    </row>
    <row r="1639" spans="27:39" x14ac:dyDescent="0.3">
      <c r="AA1639" t="str">
        <f>IF(COUNTA('Procyclean 210'!C141,'Procyclean 210'!D141,'Procyclean 210'!E141)&gt;0,"210","")</f>
        <v/>
      </c>
      <c r="AB1639" t="str">
        <f>IFERROR(IF(ISNUMBER('Procyclean 210'!C141),'Procyclean 210'!C141,DATEVALUE('Procyclean 210'!C141)),"")</f>
        <v/>
      </c>
      <c r="AC1639" t="str">
        <f>IF(AA1639="","",'Procyclean 210'!D141)</f>
        <v/>
      </c>
      <c r="AD1639" t="str">
        <f>IF(AA1639="","",IFERROR(1*'Procyclean 210'!E141,IFERROR(_xludf.NUMBERVALUE('Procyclean 210'!E141,".",","),IFERROR(_xludf.NUMBERVALUE('Procyclean 210'!E141,",","."),0))))</f>
        <v/>
      </c>
      <c r="AE1639" t="str">
        <f>IF(AA1639="","",'Procyclean 210'!B141)</f>
        <v/>
      </c>
      <c r="AF1639">
        <f t="shared" si="167"/>
        <v>0</v>
      </c>
      <c r="AG1639" t="str">
        <f t="shared" si="168"/>
        <v/>
      </c>
      <c r="AH1639" t="str">
        <f t="shared" si="169"/>
        <v/>
      </c>
      <c r="AI1639">
        <f t="shared" si="170"/>
        <v>0</v>
      </c>
      <c r="AJ1639">
        <f t="shared" si="171"/>
        <v>0</v>
      </c>
      <c r="AK1639">
        <v>0</v>
      </c>
      <c r="AL1639" t="str">
        <f>IF(AA1639="","",IFERROR(IF(ISNUMBER('Procyclean 210'!F141),'Procyclean 210'!F141,IF(ISNUMBER(SEARCH("12",'Procyclean 210'!F141)),EDATE(AB1639,12),IF(ISNUMBER(SEARCH("6",'Procyclean 210'!F141)),EDATE(AB1639,6),IF(ISNUMBER(SEARCH("3",'Procyclean 210'!F141)),EDATE(AB1639,3),DATEVALUE('Procyclean 210'!F141))))),""))</f>
        <v/>
      </c>
      <c r="AM1639" t="str">
        <f t="shared" ca="1" si="172"/>
        <v/>
      </c>
    </row>
    <row r="1640" spans="27:39" x14ac:dyDescent="0.3">
      <c r="AA1640" t="str">
        <f>IF(COUNTA('Procyclean 210'!C142,'Procyclean 210'!D142,'Procyclean 210'!E142)&gt;0,"210","")</f>
        <v/>
      </c>
      <c r="AB1640" t="str">
        <f>IFERROR(IF(ISNUMBER('Procyclean 210'!C142),'Procyclean 210'!C142,DATEVALUE('Procyclean 210'!C142)),"")</f>
        <v/>
      </c>
      <c r="AC1640" t="str">
        <f>IF(AA1640="","",'Procyclean 210'!D142)</f>
        <v/>
      </c>
      <c r="AD1640" t="str">
        <f>IF(AA1640="","",IFERROR(1*'Procyclean 210'!E142,IFERROR(_xludf.NUMBERVALUE('Procyclean 210'!E142,".",","),IFERROR(_xludf.NUMBERVALUE('Procyclean 210'!E142,",","."),0))))</f>
        <v/>
      </c>
      <c r="AE1640" t="str">
        <f>IF(AA1640="","",'Procyclean 210'!B142)</f>
        <v/>
      </c>
      <c r="AF1640">
        <f t="shared" si="167"/>
        <v>0</v>
      </c>
      <c r="AG1640" t="str">
        <f t="shared" si="168"/>
        <v/>
      </c>
      <c r="AH1640" t="str">
        <f t="shared" si="169"/>
        <v/>
      </c>
      <c r="AI1640">
        <f t="shared" si="170"/>
        <v>0</v>
      </c>
      <c r="AJ1640">
        <f t="shared" si="171"/>
        <v>0</v>
      </c>
      <c r="AK1640">
        <v>0</v>
      </c>
      <c r="AL1640" t="str">
        <f>IF(AA1640="","",IFERROR(IF(ISNUMBER('Procyclean 210'!F142),'Procyclean 210'!F142,IF(ISNUMBER(SEARCH("12",'Procyclean 210'!F142)),EDATE(AB1640,12),IF(ISNUMBER(SEARCH("6",'Procyclean 210'!F142)),EDATE(AB1640,6),IF(ISNUMBER(SEARCH("3",'Procyclean 210'!F142)),EDATE(AB1640,3),DATEVALUE('Procyclean 210'!F142))))),""))</f>
        <v/>
      </c>
      <c r="AM1640" t="str">
        <f t="shared" ca="1" si="172"/>
        <v/>
      </c>
    </row>
    <row r="1641" spans="27:39" x14ac:dyDescent="0.3">
      <c r="AA1641" t="str">
        <f>IF(COUNTA('Procyclean 210'!C143,'Procyclean 210'!D143,'Procyclean 210'!E143)&gt;0,"210","")</f>
        <v/>
      </c>
      <c r="AB1641" t="str">
        <f>IFERROR(IF(ISNUMBER('Procyclean 210'!C143),'Procyclean 210'!C143,DATEVALUE('Procyclean 210'!C143)),"")</f>
        <v/>
      </c>
      <c r="AC1641" t="str">
        <f>IF(AA1641="","",'Procyclean 210'!D143)</f>
        <v/>
      </c>
      <c r="AD1641" t="str">
        <f>IF(AA1641="","",IFERROR(1*'Procyclean 210'!E143,IFERROR(_xludf.NUMBERVALUE('Procyclean 210'!E143,".",","),IFERROR(_xludf.NUMBERVALUE('Procyclean 210'!E143,",","."),0))))</f>
        <v/>
      </c>
      <c r="AE1641" t="str">
        <f>IF(AA1641="","",'Procyclean 210'!B143)</f>
        <v/>
      </c>
      <c r="AF1641">
        <f t="shared" si="167"/>
        <v>0</v>
      </c>
      <c r="AG1641" t="str">
        <f t="shared" si="168"/>
        <v/>
      </c>
      <c r="AH1641" t="str">
        <f t="shared" si="169"/>
        <v/>
      </c>
      <c r="AI1641">
        <f t="shared" si="170"/>
        <v>0</v>
      </c>
      <c r="AJ1641">
        <f t="shared" si="171"/>
        <v>0</v>
      </c>
      <c r="AK1641">
        <v>0</v>
      </c>
      <c r="AL1641" t="str">
        <f>IF(AA1641="","",IFERROR(IF(ISNUMBER('Procyclean 210'!F143),'Procyclean 210'!F143,IF(ISNUMBER(SEARCH("12",'Procyclean 210'!F143)),EDATE(AB1641,12),IF(ISNUMBER(SEARCH("6",'Procyclean 210'!F143)),EDATE(AB1641,6),IF(ISNUMBER(SEARCH("3",'Procyclean 210'!F143)),EDATE(AB1641,3),DATEVALUE('Procyclean 210'!F143))))),""))</f>
        <v/>
      </c>
      <c r="AM1641" t="str">
        <f t="shared" ca="1" si="172"/>
        <v/>
      </c>
    </row>
    <row r="1642" spans="27:39" x14ac:dyDescent="0.3">
      <c r="AA1642" t="str">
        <f>IF(COUNTA('Procyclean 210'!C144,'Procyclean 210'!D144,'Procyclean 210'!E144)&gt;0,"210","")</f>
        <v/>
      </c>
      <c r="AB1642" t="str">
        <f>IFERROR(IF(ISNUMBER('Procyclean 210'!C144),'Procyclean 210'!C144,DATEVALUE('Procyclean 210'!C144)),"")</f>
        <v/>
      </c>
      <c r="AC1642" t="str">
        <f>IF(AA1642="","",'Procyclean 210'!D144)</f>
        <v/>
      </c>
      <c r="AD1642" t="str">
        <f>IF(AA1642="","",IFERROR(1*'Procyclean 210'!E144,IFERROR(_xludf.NUMBERVALUE('Procyclean 210'!E144,".",","),IFERROR(_xludf.NUMBERVALUE('Procyclean 210'!E144,",","."),0))))</f>
        <v/>
      </c>
      <c r="AE1642" t="str">
        <f>IF(AA1642="","",'Procyclean 210'!B144)</f>
        <v/>
      </c>
      <c r="AF1642">
        <f t="shared" si="167"/>
        <v>0</v>
      </c>
      <c r="AG1642" t="str">
        <f t="shared" si="168"/>
        <v/>
      </c>
      <c r="AH1642" t="str">
        <f t="shared" si="169"/>
        <v/>
      </c>
      <c r="AI1642">
        <f t="shared" si="170"/>
        <v>0</v>
      </c>
      <c r="AJ1642">
        <f t="shared" si="171"/>
        <v>0</v>
      </c>
      <c r="AK1642">
        <v>0</v>
      </c>
      <c r="AL1642" t="str">
        <f>IF(AA1642="","",IFERROR(IF(ISNUMBER('Procyclean 210'!F144),'Procyclean 210'!F144,IF(ISNUMBER(SEARCH("12",'Procyclean 210'!F144)),EDATE(AB1642,12),IF(ISNUMBER(SEARCH("6",'Procyclean 210'!F144)),EDATE(AB1642,6),IF(ISNUMBER(SEARCH("3",'Procyclean 210'!F144)),EDATE(AB1642,3),DATEVALUE('Procyclean 210'!F144))))),""))</f>
        <v/>
      </c>
      <c r="AM1642" t="str">
        <f t="shared" ca="1" si="172"/>
        <v/>
      </c>
    </row>
    <row r="1643" spans="27:39" x14ac:dyDescent="0.3">
      <c r="AA1643" t="str">
        <f>IF(COUNTA('Procyclean 210'!C145,'Procyclean 210'!D145,'Procyclean 210'!E145)&gt;0,"210","")</f>
        <v/>
      </c>
      <c r="AB1643" t="str">
        <f>IFERROR(IF(ISNUMBER('Procyclean 210'!C145),'Procyclean 210'!C145,DATEVALUE('Procyclean 210'!C145)),"")</f>
        <v/>
      </c>
      <c r="AC1643" t="str">
        <f>IF(AA1643="","",'Procyclean 210'!D145)</f>
        <v/>
      </c>
      <c r="AD1643" t="str">
        <f>IF(AA1643="","",IFERROR(1*'Procyclean 210'!E145,IFERROR(_xludf.NUMBERVALUE('Procyclean 210'!E145,".",","),IFERROR(_xludf.NUMBERVALUE('Procyclean 210'!E145,",","."),0))))</f>
        <v/>
      </c>
      <c r="AE1643" t="str">
        <f>IF(AA1643="","",'Procyclean 210'!B145)</f>
        <v/>
      </c>
      <c r="AF1643">
        <f t="shared" si="167"/>
        <v>0</v>
      </c>
      <c r="AG1643" t="str">
        <f t="shared" si="168"/>
        <v/>
      </c>
      <c r="AH1643" t="str">
        <f t="shared" si="169"/>
        <v/>
      </c>
      <c r="AI1643">
        <f t="shared" si="170"/>
        <v>0</v>
      </c>
      <c r="AJ1643">
        <f t="shared" si="171"/>
        <v>0</v>
      </c>
      <c r="AK1643">
        <v>0</v>
      </c>
      <c r="AL1643" t="str">
        <f>IF(AA1643="","",IFERROR(IF(ISNUMBER('Procyclean 210'!F145),'Procyclean 210'!F145,IF(ISNUMBER(SEARCH("12",'Procyclean 210'!F145)),EDATE(AB1643,12),IF(ISNUMBER(SEARCH("6",'Procyclean 210'!F145)),EDATE(AB1643,6),IF(ISNUMBER(SEARCH("3",'Procyclean 210'!F145)),EDATE(AB1643,3),DATEVALUE('Procyclean 210'!F145))))),""))</f>
        <v/>
      </c>
      <c r="AM1643" t="str">
        <f t="shared" ca="1" si="172"/>
        <v/>
      </c>
    </row>
    <row r="1644" spans="27:39" x14ac:dyDescent="0.3">
      <c r="AA1644" t="str">
        <f>IF(COUNTA('Procyclean 210'!C146,'Procyclean 210'!D146,'Procyclean 210'!E146)&gt;0,"210","")</f>
        <v/>
      </c>
      <c r="AB1644" t="str">
        <f>IFERROR(IF(ISNUMBER('Procyclean 210'!C146),'Procyclean 210'!C146,DATEVALUE('Procyclean 210'!C146)),"")</f>
        <v/>
      </c>
      <c r="AC1644" t="str">
        <f>IF(AA1644="","",'Procyclean 210'!D146)</f>
        <v/>
      </c>
      <c r="AD1644" t="str">
        <f>IF(AA1644="","",IFERROR(1*'Procyclean 210'!E146,IFERROR(_xludf.NUMBERVALUE('Procyclean 210'!E146,".",","),IFERROR(_xludf.NUMBERVALUE('Procyclean 210'!E146,",","."),0))))</f>
        <v/>
      </c>
      <c r="AE1644" t="str">
        <f>IF(AA1644="","",'Procyclean 210'!B146)</f>
        <v/>
      </c>
      <c r="AF1644">
        <f t="shared" si="167"/>
        <v>0</v>
      </c>
      <c r="AG1644" t="str">
        <f t="shared" si="168"/>
        <v/>
      </c>
      <c r="AH1644" t="str">
        <f t="shared" si="169"/>
        <v/>
      </c>
      <c r="AI1644">
        <f t="shared" si="170"/>
        <v>0</v>
      </c>
      <c r="AJ1644">
        <f t="shared" si="171"/>
        <v>0</v>
      </c>
      <c r="AK1644">
        <v>0</v>
      </c>
      <c r="AL1644" t="str">
        <f>IF(AA1644="","",IFERROR(IF(ISNUMBER('Procyclean 210'!F146),'Procyclean 210'!F146,IF(ISNUMBER(SEARCH("12",'Procyclean 210'!F146)),EDATE(AB1644,12),IF(ISNUMBER(SEARCH("6",'Procyclean 210'!F146)),EDATE(AB1644,6),IF(ISNUMBER(SEARCH("3",'Procyclean 210'!F146)),EDATE(AB1644,3),DATEVALUE('Procyclean 210'!F146))))),""))</f>
        <v/>
      </c>
      <c r="AM1644" t="str">
        <f t="shared" ca="1" si="172"/>
        <v/>
      </c>
    </row>
    <row r="1645" spans="27:39" x14ac:dyDescent="0.3">
      <c r="AA1645" t="str">
        <f>IF(COUNTA('Procyclean 210'!C147,'Procyclean 210'!D147,'Procyclean 210'!E147)&gt;0,"210","")</f>
        <v/>
      </c>
      <c r="AB1645" t="str">
        <f>IFERROR(IF(ISNUMBER('Procyclean 210'!C147),'Procyclean 210'!C147,DATEVALUE('Procyclean 210'!C147)),"")</f>
        <v/>
      </c>
      <c r="AC1645" t="str">
        <f>IF(AA1645="","",'Procyclean 210'!D147)</f>
        <v/>
      </c>
      <c r="AD1645" t="str">
        <f>IF(AA1645="","",IFERROR(1*'Procyclean 210'!E147,IFERROR(_xludf.NUMBERVALUE('Procyclean 210'!E147,".",","),IFERROR(_xludf.NUMBERVALUE('Procyclean 210'!E147,",","."),0))))</f>
        <v/>
      </c>
      <c r="AE1645" t="str">
        <f>IF(AA1645="","",'Procyclean 210'!B147)</f>
        <v/>
      </c>
      <c r="AF1645">
        <f t="shared" si="167"/>
        <v>0</v>
      </c>
      <c r="AG1645" t="str">
        <f t="shared" si="168"/>
        <v/>
      </c>
      <c r="AH1645" t="str">
        <f t="shared" si="169"/>
        <v/>
      </c>
      <c r="AI1645">
        <f t="shared" si="170"/>
        <v>0</v>
      </c>
      <c r="AJ1645">
        <f t="shared" si="171"/>
        <v>0</v>
      </c>
      <c r="AK1645">
        <v>0</v>
      </c>
      <c r="AL1645" t="str">
        <f>IF(AA1645="","",IFERROR(IF(ISNUMBER('Procyclean 210'!F147),'Procyclean 210'!F147,IF(ISNUMBER(SEARCH("12",'Procyclean 210'!F147)),EDATE(AB1645,12),IF(ISNUMBER(SEARCH("6",'Procyclean 210'!F147)),EDATE(AB1645,6),IF(ISNUMBER(SEARCH("3",'Procyclean 210'!F147)),EDATE(AB1645,3),DATEVALUE('Procyclean 210'!F147))))),""))</f>
        <v/>
      </c>
      <c r="AM1645" t="str">
        <f t="shared" ca="1" si="172"/>
        <v/>
      </c>
    </row>
    <row r="1646" spans="27:39" x14ac:dyDescent="0.3">
      <c r="AA1646" t="str">
        <f>IF(COUNTA('Procyclean 210'!C148,'Procyclean 210'!D148,'Procyclean 210'!E148)&gt;0,"210","")</f>
        <v/>
      </c>
      <c r="AB1646" t="str">
        <f>IFERROR(IF(ISNUMBER('Procyclean 210'!C148),'Procyclean 210'!C148,DATEVALUE('Procyclean 210'!C148)),"")</f>
        <v/>
      </c>
      <c r="AC1646" t="str">
        <f>IF(AA1646="","",'Procyclean 210'!D148)</f>
        <v/>
      </c>
      <c r="AD1646" t="str">
        <f>IF(AA1646="","",IFERROR(1*'Procyclean 210'!E148,IFERROR(_xludf.NUMBERVALUE('Procyclean 210'!E148,".",","),IFERROR(_xludf.NUMBERVALUE('Procyclean 210'!E148,",","."),0))))</f>
        <v/>
      </c>
      <c r="AE1646" t="str">
        <f>IF(AA1646="","",'Procyclean 210'!B148)</f>
        <v/>
      </c>
      <c r="AF1646">
        <f t="shared" si="167"/>
        <v>0</v>
      </c>
      <c r="AG1646" t="str">
        <f t="shared" si="168"/>
        <v/>
      </c>
      <c r="AH1646" t="str">
        <f t="shared" si="169"/>
        <v/>
      </c>
      <c r="AI1646">
        <f t="shared" si="170"/>
        <v>0</v>
      </c>
      <c r="AJ1646">
        <f t="shared" si="171"/>
        <v>0</v>
      </c>
      <c r="AK1646">
        <v>0</v>
      </c>
      <c r="AL1646" t="str">
        <f>IF(AA1646="","",IFERROR(IF(ISNUMBER('Procyclean 210'!F148),'Procyclean 210'!F148,IF(ISNUMBER(SEARCH("12",'Procyclean 210'!F148)),EDATE(AB1646,12),IF(ISNUMBER(SEARCH("6",'Procyclean 210'!F148)),EDATE(AB1646,6),IF(ISNUMBER(SEARCH("3",'Procyclean 210'!F148)),EDATE(AB1646,3),DATEVALUE('Procyclean 210'!F148))))),""))</f>
        <v/>
      </c>
      <c r="AM1646" t="str">
        <f t="shared" ca="1" si="172"/>
        <v/>
      </c>
    </row>
    <row r="1647" spans="27:39" x14ac:dyDescent="0.3">
      <c r="AA1647" t="str">
        <f>IF(COUNTA('Procyclean 210'!C149,'Procyclean 210'!D149,'Procyclean 210'!E149)&gt;0,"210","")</f>
        <v/>
      </c>
      <c r="AB1647" t="str">
        <f>IFERROR(IF(ISNUMBER('Procyclean 210'!C149),'Procyclean 210'!C149,DATEVALUE('Procyclean 210'!C149)),"")</f>
        <v/>
      </c>
      <c r="AC1647" t="str">
        <f>IF(AA1647="","",'Procyclean 210'!D149)</f>
        <v/>
      </c>
      <c r="AD1647" t="str">
        <f>IF(AA1647="","",IFERROR(1*'Procyclean 210'!E149,IFERROR(_xludf.NUMBERVALUE('Procyclean 210'!E149,".",","),IFERROR(_xludf.NUMBERVALUE('Procyclean 210'!E149,",","."),0))))</f>
        <v/>
      </c>
      <c r="AE1647" t="str">
        <f>IF(AA1647="","",'Procyclean 210'!B149)</f>
        <v/>
      </c>
      <c r="AF1647">
        <f t="shared" si="167"/>
        <v>0</v>
      </c>
      <c r="AG1647" t="str">
        <f t="shared" si="168"/>
        <v/>
      </c>
      <c r="AH1647" t="str">
        <f t="shared" si="169"/>
        <v/>
      </c>
      <c r="AI1647">
        <f t="shared" si="170"/>
        <v>0</v>
      </c>
      <c r="AJ1647">
        <f t="shared" si="171"/>
        <v>0</v>
      </c>
      <c r="AK1647">
        <v>0</v>
      </c>
      <c r="AL1647" t="str">
        <f>IF(AA1647="","",IFERROR(IF(ISNUMBER('Procyclean 210'!F149),'Procyclean 210'!F149,IF(ISNUMBER(SEARCH("12",'Procyclean 210'!F149)),EDATE(AB1647,12),IF(ISNUMBER(SEARCH("6",'Procyclean 210'!F149)),EDATE(AB1647,6),IF(ISNUMBER(SEARCH("3",'Procyclean 210'!F149)),EDATE(AB1647,3),DATEVALUE('Procyclean 210'!F149))))),""))</f>
        <v/>
      </c>
      <c r="AM1647" t="str">
        <f t="shared" ca="1" si="172"/>
        <v/>
      </c>
    </row>
    <row r="1648" spans="27:39" x14ac:dyDescent="0.3">
      <c r="AA1648" t="str">
        <f>IF(COUNTA('Procyclean 210'!C150,'Procyclean 210'!D150,'Procyclean 210'!E150)&gt;0,"210","")</f>
        <v/>
      </c>
      <c r="AB1648" t="str">
        <f>IFERROR(IF(ISNUMBER('Procyclean 210'!C150),'Procyclean 210'!C150,DATEVALUE('Procyclean 210'!C150)),"")</f>
        <v/>
      </c>
      <c r="AC1648" t="str">
        <f>IF(AA1648="","",'Procyclean 210'!D150)</f>
        <v/>
      </c>
      <c r="AD1648" t="str">
        <f>IF(AA1648="","",IFERROR(1*'Procyclean 210'!E150,IFERROR(_xludf.NUMBERVALUE('Procyclean 210'!E150,".",","),IFERROR(_xludf.NUMBERVALUE('Procyclean 210'!E150,",","."),0))))</f>
        <v/>
      </c>
      <c r="AE1648" t="str">
        <f>IF(AA1648="","",'Procyclean 210'!B150)</f>
        <v/>
      </c>
      <c r="AF1648">
        <f t="shared" si="167"/>
        <v>0</v>
      </c>
      <c r="AG1648" t="str">
        <f t="shared" si="168"/>
        <v/>
      </c>
      <c r="AH1648" t="str">
        <f t="shared" si="169"/>
        <v/>
      </c>
      <c r="AI1648">
        <f t="shared" si="170"/>
        <v>0</v>
      </c>
      <c r="AJ1648">
        <f t="shared" si="171"/>
        <v>0</v>
      </c>
      <c r="AK1648">
        <v>0</v>
      </c>
      <c r="AL1648" t="str">
        <f>IF(AA1648="","",IFERROR(IF(ISNUMBER('Procyclean 210'!F150),'Procyclean 210'!F150,IF(ISNUMBER(SEARCH("12",'Procyclean 210'!F150)),EDATE(AB1648,12),IF(ISNUMBER(SEARCH("6",'Procyclean 210'!F150)),EDATE(AB1648,6),IF(ISNUMBER(SEARCH("3",'Procyclean 210'!F150)),EDATE(AB1648,3),DATEVALUE('Procyclean 210'!F150))))),""))</f>
        <v/>
      </c>
      <c r="AM1648" t="str">
        <f t="shared" ca="1" si="172"/>
        <v/>
      </c>
    </row>
    <row r="1649" spans="27:39" x14ac:dyDescent="0.3">
      <c r="AA1649" t="str">
        <f>IF(COUNTA('Procyclean 210'!C151,'Procyclean 210'!D151,'Procyclean 210'!E151)&gt;0,"210","")</f>
        <v/>
      </c>
      <c r="AB1649" t="str">
        <f>IFERROR(IF(ISNUMBER('Procyclean 210'!C151),'Procyclean 210'!C151,DATEVALUE('Procyclean 210'!C151)),"")</f>
        <v/>
      </c>
      <c r="AC1649" t="str">
        <f>IF(AA1649="","",'Procyclean 210'!D151)</f>
        <v/>
      </c>
      <c r="AD1649" t="str">
        <f>IF(AA1649="","",IFERROR(1*'Procyclean 210'!E151,IFERROR(_xludf.NUMBERVALUE('Procyclean 210'!E151,".",","),IFERROR(_xludf.NUMBERVALUE('Procyclean 210'!E151,",","."),0))))</f>
        <v/>
      </c>
      <c r="AE1649" t="str">
        <f>IF(AA1649="","",'Procyclean 210'!B151)</f>
        <v/>
      </c>
      <c r="AF1649">
        <f t="shared" si="167"/>
        <v>0</v>
      </c>
      <c r="AG1649" t="str">
        <f t="shared" si="168"/>
        <v/>
      </c>
      <c r="AH1649" t="str">
        <f t="shared" si="169"/>
        <v/>
      </c>
      <c r="AI1649">
        <f t="shared" si="170"/>
        <v>0</v>
      </c>
      <c r="AJ1649">
        <f t="shared" si="171"/>
        <v>0</v>
      </c>
      <c r="AK1649">
        <v>0</v>
      </c>
      <c r="AL1649" t="str">
        <f>IF(AA1649="","",IFERROR(IF(ISNUMBER('Procyclean 210'!F151),'Procyclean 210'!F151,IF(ISNUMBER(SEARCH("12",'Procyclean 210'!F151)),EDATE(AB1649,12),IF(ISNUMBER(SEARCH("6",'Procyclean 210'!F151)),EDATE(AB1649,6),IF(ISNUMBER(SEARCH("3",'Procyclean 210'!F151)),EDATE(AB1649,3),DATEVALUE('Procyclean 210'!F151))))),""))</f>
        <v/>
      </c>
      <c r="AM1649" t="str">
        <f t="shared" ca="1" si="172"/>
        <v/>
      </c>
    </row>
    <row r="1650" spans="27:39" x14ac:dyDescent="0.3">
      <c r="AA1650" t="str">
        <f>IF(COUNTA('Procyclean 210'!C152,'Procyclean 210'!D152,'Procyclean 210'!E152)&gt;0,"210","")</f>
        <v/>
      </c>
      <c r="AB1650" t="str">
        <f>IFERROR(IF(ISNUMBER('Procyclean 210'!C152),'Procyclean 210'!C152,DATEVALUE('Procyclean 210'!C152)),"")</f>
        <v/>
      </c>
      <c r="AC1650" t="str">
        <f>IF(AA1650="","",'Procyclean 210'!D152)</f>
        <v/>
      </c>
      <c r="AD1650" t="str">
        <f>IF(AA1650="","",IFERROR(1*'Procyclean 210'!E152,IFERROR(_xludf.NUMBERVALUE('Procyclean 210'!E152,".",","),IFERROR(_xludf.NUMBERVALUE('Procyclean 210'!E152,",","."),0))))</f>
        <v/>
      </c>
      <c r="AE1650" t="str">
        <f>IF(AA1650="","",'Procyclean 210'!B152)</f>
        <v/>
      </c>
      <c r="AF1650">
        <f t="shared" si="167"/>
        <v>0</v>
      </c>
      <c r="AG1650" t="str">
        <f t="shared" si="168"/>
        <v/>
      </c>
      <c r="AH1650" t="str">
        <f t="shared" si="169"/>
        <v/>
      </c>
      <c r="AI1650">
        <f t="shared" si="170"/>
        <v>0</v>
      </c>
      <c r="AJ1650">
        <f t="shared" si="171"/>
        <v>0</v>
      </c>
      <c r="AK1650">
        <v>0</v>
      </c>
      <c r="AL1650" t="str">
        <f>IF(AA1650="","",IFERROR(IF(ISNUMBER('Procyclean 210'!F152),'Procyclean 210'!F152,IF(ISNUMBER(SEARCH("12",'Procyclean 210'!F152)),EDATE(AB1650,12),IF(ISNUMBER(SEARCH("6",'Procyclean 210'!F152)),EDATE(AB1650,6),IF(ISNUMBER(SEARCH("3",'Procyclean 210'!F152)),EDATE(AB1650,3),DATEVALUE('Procyclean 210'!F152))))),""))</f>
        <v/>
      </c>
      <c r="AM1650" t="str">
        <f t="shared" ca="1" si="172"/>
        <v/>
      </c>
    </row>
    <row r="1651" spans="27:39" x14ac:dyDescent="0.3">
      <c r="AA1651" t="str">
        <f>IF(COUNTA('Procyclean 210'!C153,'Procyclean 210'!D153,'Procyclean 210'!E153)&gt;0,"210","")</f>
        <v/>
      </c>
      <c r="AB1651" t="str">
        <f>IFERROR(IF(ISNUMBER('Procyclean 210'!C153),'Procyclean 210'!C153,DATEVALUE('Procyclean 210'!C153)),"")</f>
        <v/>
      </c>
      <c r="AC1651" t="str">
        <f>IF(AA1651="","",'Procyclean 210'!D153)</f>
        <v/>
      </c>
      <c r="AD1651" t="str">
        <f>IF(AA1651="","",IFERROR(1*'Procyclean 210'!E153,IFERROR(_xludf.NUMBERVALUE('Procyclean 210'!E153,".",","),IFERROR(_xludf.NUMBERVALUE('Procyclean 210'!E153,",","."),0))))</f>
        <v/>
      </c>
      <c r="AE1651" t="str">
        <f>IF(AA1651="","",'Procyclean 210'!B153)</f>
        <v/>
      </c>
      <c r="AF1651">
        <f t="shared" si="167"/>
        <v>0</v>
      </c>
      <c r="AG1651" t="str">
        <f t="shared" si="168"/>
        <v/>
      </c>
      <c r="AH1651" t="str">
        <f t="shared" si="169"/>
        <v/>
      </c>
      <c r="AI1651">
        <f t="shared" si="170"/>
        <v>0</v>
      </c>
      <c r="AJ1651">
        <f t="shared" si="171"/>
        <v>0</v>
      </c>
      <c r="AK1651">
        <v>0</v>
      </c>
      <c r="AL1651" t="str">
        <f>IF(AA1651="","",IFERROR(IF(ISNUMBER('Procyclean 210'!F153),'Procyclean 210'!F153,IF(ISNUMBER(SEARCH("12",'Procyclean 210'!F153)),EDATE(AB1651,12),IF(ISNUMBER(SEARCH("6",'Procyclean 210'!F153)),EDATE(AB1651,6),IF(ISNUMBER(SEARCH("3",'Procyclean 210'!F153)),EDATE(AB1651,3),DATEVALUE('Procyclean 210'!F153))))),""))</f>
        <v/>
      </c>
      <c r="AM1651" t="str">
        <f t="shared" ca="1" si="172"/>
        <v/>
      </c>
    </row>
    <row r="1652" spans="27:39" x14ac:dyDescent="0.3">
      <c r="AA1652" t="str">
        <f>IF(COUNTA('Procyclean 210'!C154,'Procyclean 210'!D154,'Procyclean 210'!E154)&gt;0,"210","")</f>
        <v/>
      </c>
      <c r="AB1652" t="str">
        <f>IFERROR(IF(ISNUMBER('Procyclean 210'!C154),'Procyclean 210'!C154,DATEVALUE('Procyclean 210'!C154)),"")</f>
        <v/>
      </c>
      <c r="AC1652" t="str">
        <f>IF(AA1652="","",'Procyclean 210'!D154)</f>
        <v/>
      </c>
      <c r="AD1652" t="str">
        <f>IF(AA1652="","",IFERROR(1*'Procyclean 210'!E154,IFERROR(_xludf.NUMBERVALUE('Procyclean 210'!E154,".",","),IFERROR(_xludf.NUMBERVALUE('Procyclean 210'!E154,",","."),0))))</f>
        <v/>
      </c>
      <c r="AE1652" t="str">
        <f>IF(AA1652="","",'Procyclean 210'!B154)</f>
        <v/>
      </c>
      <c r="AF1652">
        <f t="shared" si="167"/>
        <v>0</v>
      </c>
      <c r="AG1652" t="str">
        <f t="shared" si="168"/>
        <v/>
      </c>
      <c r="AH1652" t="str">
        <f t="shared" si="169"/>
        <v/>
      </c>
      <c r="AI1652">
        <f t="shared" si="170"/>
        <v>0</v>
      </c>
      <c r="AJ1652">
        <f t="shared" si="171"/>
        <v>0</v>
      </c>
      <c r="AK1652">
        <v>0</v>
      </c>
      <c r="AL1652" t="str">
        <f>IF(AA1652="","",IFERROR(IF(ISNUMBER('Procyclean 210'!F154),'Procyclean 210'!F154,IF(ISNUMBER(SEARCH("12",'Procyclean 210'!F154)),EDATE(AB1652,12),IF(ISNUMBER(SEARCH("6",'Procyclean 210'!F154)),EDATE(AB1652,6),IF(ISNUMBER(SEARCH("3",'Procyclean 210'!F154)),EDATE(AB1652,3),DATEVALUE('Procyclean 210'!F154))))),""))</f>
        <v/>
      </c>
      <c r="AM1652" t="str">
        <f t="shared" ca="1" si="172"/>
        <v/>
      </c>
    </row>
    <row r="1653" spans="27:39" x14ac:dyDescent="0.3">
      <c r="AA1653" t="str">
        <f>IF(COUNTA('Procyclean 210'!C155,'Procyclean 210'!D155,'Procyclean 210'!E155)&gt;0,"210","")</f>
        <v/>
      </c>
      <c r="AB1653" t="str">
        <f>IFERROR(IF(ISNUMBER('Procyclean 210'!C155),'Procyclean 210'!C155,DATEVALUE('Procyclean 210'!C155)),"")</f>
        <v/>
      </c>
      <c r="AC1653" t="str">
        <f>IF(AA1653="","",'Procyclean 210'!D155)</f>
        <v/>
      </c>
      <c r="AD1653" t="str">
        <f>IF(AA1653="","",IFERROR(1*'Procyclean 210'!E155,IFERROR(_xludf.NUMBERVALUE('Procyclean 210'!E155,".",","),IFERROR(_xludf.NUMBERVALUE('Procyclean 210'!E155,",","."),0))))</f>
        <v/>
      </c>
      <c r="AE1653" t="str">
        <f>IF(AA1653="","",'Procyclean 210'!B155)</f>
        <v/>
      </c>
      <c r="AF1653">
        <f t="shared" si="167"/>
        <v>0</v>
      </c>
      <c r="AG1653" t="str">
        <f t="shared" si="168"/>
        <v/>
      </c>
      <c r="AH1653" t="str">
        <f t="shared" si="169"/>
        <v/>
      </c>
      <c r="AI1653">
        <f t="shared" si="170"/>
        <v>0</v>
      </c>
      <c r="AJ1653">
        <f t="shared" si="171"/>
        <v>0</v>
      </c>
      <c r="AK1653">
        <v>0</v>
      </c>
      <c r="AL1653" t="str">
        <f>IF(AA1653="","",IFERROR(IF(ISNUMBER('Procyclean 210'!F155),'Procyclean 210'!F155,IF(ISNUMBER(SEARCH("12",'Procyclean 210'!F155)),EDATE(AB1653,12),IF(ISNUMBER(SEARCH("6",'Procyclean 210'!F155)),EDATE(AB1653,6),IF(ISNUMBER(SEARCH("3",'Procyclean 210'!F155)),EDATE(AB1653,3),DATEVALUE('Procyclean 210'!F155))))),""))</f>
        <v/>
      </c>
      <c r="AM1653" t="str">
        <f t="shared" ca="1" si="172"/>
        <v/>
      </c>
    </row>
    <row r="1654" spans="27:39" x14ac:dyDescent="0.3">
      <c r="AA1654" t="str">
        <f>IF(COUNTA('Procyclean 210'!C156,'Procyclean 210'!D156,'Procyclean 210'!E156)&gt;0,"210","")</f>
        <v/>
      </c>
      <c r="AB1654" t="str">
        <f>IFERROR(IF(ISNUMBER('Procyclean 210'!C156),'Procyclean 210'!C156,DATEVALUE('Procyclean 210'!C156)),"")</f>
        <v/>
      </c>
      <c r="AC1654" t="str">
        <f>IF(AA1654="","",'Procyclean 210'!D156)</f>
        <v/>
      </c>
      <c r="AD1654" t="str">
        <f>IF(AA1654="","",IFERROR(1*'Procyclean 210'!E156,IFERROR(_xludf.NUMBERVALUE('Procyclean 210'!E156,".",","),IFERROR(_xludf.NUMBERVALUE('Procyclean 210'!E156,",","."),0))))</f>
        <v/>
      </c>
      <c r="AE1654" t="str">
        <f>IF(AA1654="","",'Procyclean 210'!B156)</f>
        <v/>
      </c>
      <c r="AF1654">
        <f t="shared" si="167"/>
        <v>0</v>
      </c>
      <c r="AG1654" t="str">
        <f t="shared" si="168"/>
        <v/>
      </c>
      <c r="AH1654" t="str">
        <f t="shared" si="169"/>
        <v/>
      </c>
      <c r="AI1654">
        <f t="shared" si="170"/>
        <v>0</v>
      </c>
      <c r="AJ1654">
        <f t="shared" si="171"/>
        <v>0</v>
      </c>
      <c r="AK1654">
        <v>0</v>
      </c>
      <c r="AL1654" t="str">
        <f>IF(AA1654="","",IFERROR(IF(ISNUMBER('Procyclean 210'!F156),'Procyclean 210'!F156,IF(ISNUMBER(SEARCH("12",'Procyclean 210'!F156)),EDATE(AB1654,12),IF(ISNUMBER(SEARCH("6",'Procyclean 210'!F156)),EDATE(AB1654,6),IF(ISNUMBER(SEARCH("3",'Procyclean 210'!F156)),EDATE(AB1654,3),DATEVALUE('Procyclean 210'!F156))))),""))</f>
        <v/>
      </c>
      <c r="AM1654" t="str">
        <f t="shared" ca="1" si="172"/>
        <v/>
      </c>
    </row>
    <row r="1655" spans="27:39" x14ac:dyDescent="0.3">
      <c r="AA1655" t="str">
        <f>IF(COUNTA('Procyclean 210'!C157,'Procyclean 210'!D157,'Procyclean 210'!E157)&gt;0,"210","")</f>
        <v/>
      </c>
      <c r="AB1655" t="str">
        <f>IFERROR(IF(ISNUMBER('Procyclean 210'!C157),'Procyclean 210'!C157,DATEVALUE('Procyclean 210'!C157)),"")</f>
        <v/>
      </c>
      <c r="AC1655" t="str">
        <f>IF(AA1655="","",'Procyclean 210'!D157)</f>
        <v/>
      </c>
      <c r="AD1655" t="str">
        <f>IF(AA1655="","",IFERROR(1*'Procyclean 210'!E157,IFERROR(_xludf.NUMBERVALUE('Procyclean 210'!E157,".",","),IFERROR(_xludf.NUMBERVALUE('Procyclean 210'!E157,",","."),0))))</f>
        <v/>
      </c>
      <c r="AE1655" t="str">
        <f>IF(AA1655="","",'Procyclean 210'!B157)</f>
        <v/>
      </c>
      <c r="AF1655">
        <f t="shared" si="167"/>
        <v>0</v>
      </c>
      <c r="AG1655" t="str">
        <f t="shared" si="168"/>
        <v/>
      </c>
      <c r="AH1655" t="str">
        <f t="shared" si="169"/>
        <v/>
      </c>
      <c r="AI1655">
        <f t="shared" si="170"/>
        <v>0</v>
      </c>
      <c r="AJ1655">
        <f t="shared" si="171"/>
        <v>0</v>
      </c>
      <c r="AK1655">
        <v>0</v>
      </c>
      <c r="AL1655" t="str">
        <f>IF(AA1655="","",IFERROR(IF(ISNUMBER('Procyclean 210'!F157),'Procyclean 210'!F157,IF(ISNUMBER(SEARCH("12",'Procyclean 210'!F157)),EDATE(AB1655,12),IF(ISNUMBER(SEARCH("6",'Procyclean 210'!F157)),EDATE(AB1655,6),IF(ISNUMBER(SEARCH("3",'Procyclean 210'!F157)),EDATE(AB1655,3),DATEVALUE('Procyclean 210'!F157))))),""))</f>
        <v/>
      </c>
      <c r="AM1655" t="str">
        <f t="shared" ca="1" si="172"/>
        <v/>
      </c>
    </row>
    <row r="1656" spans="27:39" x14ac:dyDescent="0.3">
      <c r="AA1656" t="str">
        <f>IF(COUNTA('Procyclean 210'!C158,'Procyclean 210'!D158,'Procyclean 210'!E158)&gt;0,"210","")</f>
        <v/>
      </c>
      <c r="AB1656" t="str">
        <f>IFERROR(IF(ISNUMBER('Procyclean 210'!C158),'Procyclean 210'!C158,DATEVALUE('Procyclean 210'!C158)),"")</f>
        <v/>
      </c>
      <c r="AC1656" t="str">
        <f>IF(AA1656="","",'Procyclean 210'!D158)</f>
        <v/>
      </c>
      <c r="AD1656" t="str">
        <f>IF(AA1656="","",IFERROR(1*'Procyclean 210'!E158,IFERROR(_xludf.NUMBERVALUE('Procyclean 210'!E158,".",","),IFERROR(_xludf.NUMBERVALUE('Procyclean 210'!E158,",","."),0))))</f>
        <v/>
      </c>
      <c r="AE1656" t="str">
        <f>IF(AA1656="","",'Procyclean 210'!B158)</f>
        <v/>
      </c>
      <c r="AF1656">
        <f t="shared" si="167"/>
        <v>0</v>
      </c>
      <c r="AG1656" t="str">
        <f t="shared" si="168"/>
        <v/>
      </c>
      <c r="AH1656" t="str">
        <f t="shared" si="169"/>
        <v/>
      </c>
      <c r="AI1656">
        <f t="shared" si="170"/>
        <v>0</v>
      </c>
      <c r="AJ1656">
        <f t="shared" si="171"/>
        <v>0</v>
      </c>
      <c r="AK1656">
        <v>0</v>
      </c>
      <c r="AL1656" t="str">
        <f>IF(AA1656="","",IFERROR(IF(ISNUMBER('Procyclean 210'!F158),'Procyclean 210'!F158,IF(ISNUMBER(SEARCH("12",'Procyclean 210'!F158)),EDATE(AB1656,12),IF(ISNUMBER(SEARCH("6",'Procyclean 210'!F158)),EDATE(AB1656,6),IF(ISNUMBER(SEARCH("3",'Procyclean 210'!F158)),EDATE(AB1656,3),DATEVALUE('Procyclean 210'!F158))))),""))</f>
        <v/>
      </c>
      <c r="AM1656" t="str">
        <f t="shared" ca="1" si="172"/>
        <v/>
      </c>
    </row>
    <row r="1657" spans="27:39" x14ac:dyDescent="0.3">
      <c r="AA1657" t="str">
        <f>IF(COUNTA('Procyclean 210'!C159,'Procyclean 210'!D159,'Procyclean 210'!E159)&gt;0,"210","")</f>
        <v/>
      </c>
      <c r="AB1657" t="str">
        <f>IFERROR(IF(ISNUMBER('Procyclean 210'!C159),'Procyclean 210'!C159,DATEVALUE('Procyclean 210'!C159)),"")</f>
        <v/>
      </c>
      <c r="AC1657" t="str">
        <f>IF(AA1657="","",'Procyclean 210'!D159)</f>
        <v/>
      </c>
      <c r="AD1657" t="str">
        <f>IF(AA1657="","",IFERROR(1*'Procyclean 210'!E159,IFERROR(_xludf.NUMBERVALUE('Procyclean 210'!E159,".",","),IFERROR(_xludf.NUMBERVALUE('Procyclean 210'!E159,",","."),0))))</f>
        <v/>
      </c>
      <c r="AE1657" t="str">
        <f>IF(AA1657="","",'Procyclean 210'!B159)</f>
        <v/>
      </c>
      <c r="AF1657">
        <f t="shared" si="167"/>
        <v>0</v>
      </c>
      <c r="AG1657" t="str">
        <f t="shared" si="168"/>
        <v/>
      </c>
      <c r="AH1657" t="str">
        <f t="shared" si="169"/>
        <v/>
      </c>
      <c r="AI1657">
        <f t="shared" si="170"/>
        <v>0</v>
      </c>
      <c r="AJ1657">
        <f t="shared" si="171"/>
        <v>0</v>
      </c>
      <c r="AK1657">
        <v>0</v>
      </c>
      <c r="AL1657" t="str">
        <f>IF(AA1657="","",IFERROR(IF(ISNUMBER('Procyclean 210'!F159),'Procyclean 210'!F159,IF(ISNUMBER(SEARCH("12",'Procyclean 210'!F159)),EDATE(AB1657,12),IF(ISNUMBER(SEARCH("6",'Procyclean 210'!F159)),EDATE(AB1657,6),IF(ISNUMBER(SEARCH("3",'Procyclean 210'!F159)),EDATE(AB1657,3),DATEVALUE('Procyclean 210'!F159))))),""))</f>
        <v/>
      </c>
      <c r="AM1657" t="str">
        <f t="shared" ca="1" si="172"/>
        <v/>
      </c>
    </row>
    <row r="1658" spans="27:39" x14ac:dyDescent="0.3">
      <c r="AA1658" t="str">
        <f>IF(COUNTA('Procyclean 210'!C160,'Procyclean 210'!D160,'Procyclean 210'!E160)&gt;0,"210","")</f>
        <v/>
      </c>
      <c r="AB1658" t="str">
        <f>IFERROR(IF(ISNUMBER('Procyclean 210'!C160),'Procyclean 210'!C160,DATEVALUE('Procyclean 210'!C160)),"")</f>
        <v/>
      </c>
      <c r="AC1658" t="str">
        <f>IF(AA1658="","",'Procyclean 210'!D160)</f>
        <v/>
      </c>
      <c r="AD1658" t="str">
        <f>IF(AA1658="","",IFERROR(1*'Procyclean 210'!E160,IFERROR(_xludf.NUMBERVALUE('Procyclean 210'!E160,".",","),IFERROR(_xludf.NUMBERVALUE('Procyclean 210'!E160,",","."),0))))</f>
        <v/>
      </c>
      <c r="AE1658" t="str">
        <f>IF(AA1658="","",'Procyclean 210'!B160)</f>
        <v/>
      </c>
      <c r="AF1658">
        <f t="shared" si="167"/>
        <v>0</v>
      </c>
      <c r="AG1658" t="str">
        <f t="shared" si="168"/>
        <v/>
      </c>
      <c r="AH1658" t="str">
        <f t="shared" si="169"/>
        <v/>
      </c>
      <c r="AI1658">
        <f t="shared" si="170"/>
        <v>0</v>
      </c>
      <c r="AJ1658">
        <f t="shared" si="171"/>
        <v>0</v>
      </c>
      <c r="AK1658">
        <v>0</v>
      </c>
      <c r="AL1658" t="str">
        <f>IF(AA1658="","",IFERROR(IF(ISNUMBER('Procyclean 210'!F160),'Procyclean 210'!F160,IF(ISNUMBER(SEARCH("12",'Procyclean 210'!F160)),EDATE(AB1658,12),IF(ISNUMBER(SEARCH("6",'Procyclean 210'!F160)),EDATE(AB1658,6),IF(ISNUMBER(SEARCH("3",'Procyclean 210'!F160)),EDATE(AB1658,3),DATEVALUE('Procyclean 210'!F160))))),""))</f>
        <v/>
      </c>
      <c r="AM1658" t="str">
        <f t="shared" ca="1" si="172"/>
        <v/>
      </c>
    </row>
    <row r="1659" spans="27:39" x14ac:dyDescent="0.3">
      <c r="AA1659" t="str">
        <f>IF(COUNTA('Procyclean 210'!C161,'Procyclean 210'!D161,'Procyclean 210'!E161)&gt;0,"210","")</f>
        <v/>
      </c>
      <c r="AB1659" t="str">
        <f>IFERROR(IF(ISNUMBER('Procyclean 210'!C161),'Procyclean 210'!C161,DATEVALUE('Procyclean 210'!C161)),"")</f>
        <v/>
      </c>
      <c r="AC1659" t="str">
        <f>IF(AA1659="","",'Procyclean 210'!D161)</f>
        <v/>
      </c>
      <c r="AD1659" t="str">
        <f>IF(AA1659="","",IFERROR(1*'Procyclean 210'!E161,IFERROR(_xludf.NUMBERVALUE('Procyclean 210'!E161,".",","),IFERROR(_xludf.NUMBERVALUE('Procyclean 210'!E161,",","."),0))))</f>
        <v/>
      </c>
      <c r="AE1659" t="str">
        <f>IF(AA1659="","",'Procyclean 210'!B161)</f>
        <v/>
      </c>
      <c r="AF1659">
        <f t="shared" si="167"/>
        <v>0</v>
      </c>
      <c r="AG1659" t="str">
        <f t="shared" si="168"/>
        <v/>
      </c>
      <c r="AH1659" t="str">
        <f t="shared" si="169"/>
        <v/>
      </c>
      <c r="AI1659">
        <f t="shared" si="170"/>
        <v>0</v>
      </c>
      <c r="AJ1659">
        <f t="shared" si="171"/>
        <v>0</v>
      </c>
      <c r="AK1659">
        <v>0</v>
      </c>
      <c r="AL1659" t="str">
        <f>IF(AA1659="","",IFERROR(IF(ISNUMBER('Procyclean 210'!F161),'Procyclean 210'!F161,IF(ISNUMBER(SEARCH("12",'Procyclean 210'!F161)),EDATE(AB1659,12),IF(ISNUMBER(SEARCH("6",'Procyclean 210'!F161)),EDATE(AB1659,6),IF(ISNUMBER(SEARCH("3",'Procyclean 210'!F161)),EDATE(AB1659,3),DATEVALUE('Procyclean 210'!F161))))),""))</f>
        <v/>
      </c>
      <c r="AM1659" t="str">
        <f t="shared" ca="1" si="172"/>
        <v/>
      </c>
    </row>
    <row r="1660" spans="27:39" x14ac:dyDescent="0.3">
      <c r="AA1660" t="str">
        <f>IF(COUNTA('Procyclean 210'!C162,'Procyclean 210'!D162,'Procyclean 210'!E162)&gt;0,"210","")</f>
        <v/>
      </c>
      <c r="AB1660" t="str">
        <f>IFERROR(IF(ISNUMBER('Procyclean 210'!C162),'Procyclean 210'!C162,DATEVALUE('Procyclean 210'!C162)),"")</f>
        <v/>
      </c>
      <c r="AC1660" t="str">
        <f>IF(AA1660="","",'Procyclean 210'!D162)</f>
        <v/>
      </c>
      <c r="AD1660" t="str">
        <f>IF(AA1660="","",IFERROR(1*'Procyclean 210'!E162,IFERROR(_xludf.NUMBERVALUE('Procyclean 210'!E162,".",","),IFERROR(_xludf.NUMBERVALUE('Procyclean 210'!E162,",","."),0))))</f>
        <v/>
      </c>
      <c r="AE1660" t="str">
        <f>IF(AA1660="","",'Procyclean 210'!B162)</f>
        <v/>
      </c>
      <c r="AF1660">
        <f t="shared" si="167"/>
        <v>0</v>
      </c>
      <c r="AG1660" t="str">
        <f t="shared" si="168"/>
        <v/>
      </c>
      <c r="AH1660" t="str">
        <f t="shared" si="169"/>
        <v/>
      </c>
      <c r="AI1660">
        <f t="shared" si="170"/>
        <v>0</v>
      </c>
      <c r="AJ1660">
        <f t="shared" si="171"/>
        <v>0</v>
      </c>
      <c r="AK1660">
        <v>0</v>
      </c>
      <c r="AL1660" t="str">
        <f>IF(AA1660="","",IFERROR(IF(ISNUMBER('Procyclean 210'!F162),'Procyclean 210'!F162,IF(ISNUMBER(SEARCH("12",'Procyclean 210'!F162)),EDATE(AB1660,12),IF(ISNUMBER(SEARCH("6",'Procyclean 210'!F162)),EDATE(AB1660,6),IF(ISNUMBER(SEARCH("3",'Procyclean 210'!F162)),EDATE(AB1660,3),DATEVALUE('Procyclean 210'!F162))))),""))</f>
        <v/>
      </c>
      <c r="AM1660" t="str">
        <f t="shared" ca="1" si="172"/>
        <v/>
      </c>
    </row>
    <row r="1661" spans="27:39" x14ac:dyDescent="0.3">
      <c r="AA1661" t="str">
        <f>IF(COUNTA('Procyclean 210'!C163,'Procyclean 210'!D163,'Procyclean 210'!E163)&gt;0,"210","")</f>
        <v/>
      </c>
      <c r="AB1661" t="str">
        <f>IFERROR(IF(ISNUMBER('Procyclean 210'!C163),'Procyclean 210'!C163,DATEVALUE('Procyclean 210'!C163)),"")</f>
        <v/>
      </c>
      <c r="AC1661" t="str">
        <f>IF(AA1661="","",'Procyclean 210'!D163)</f>
        <v/>
      </c>
      <c r="AD1661" t="str">
        <f>IF(AA1661="","",IFERROR(1*'Procyclean 210'!E163,IFERROR(_xludf.NUMBERVALUE('Procyclean 210'!E163,".",","),IFERROR(_xludf.NUMBERVALUE('Procyclean 210'!E163,",","."),0))))</f>
        <v/>
      </c>
      <c r="AE1661" t="str">
        <f>IF(AA1661="","",'Procyclean 210'!B163)</f>
        <v/>
      </c>
      <c r="AF1661">
        <f t="shared" si="167"/>
        <v>0</v>
      </c>
      <c r="AG1661" t="str">
        <f t="shared" si="168"/>
        <v/>
      </c>
      <c r="AH1661" t="str">
        <f t="shared" si="169"/>
        <v/>
      </c>
      <c r="AI1661">
        <f t="shared" si="170"/>
        <v>0</v>
      </c>
      <c r="AJ1661">
        <f t="shared" si="171"/>
        <v>0</v>
      </c>
      <c r="AK1661">
        <v>0</v>
      </c>
      <c r="AL1661" t="str">
        <f>IF(AA1661="","",IFERROR(IF(ISNUMBER('Procyclean 210'!F163),'Procyclean 210'!F163,IF(ISNUMBER(SEARCH("12",'Procyclean 210'!F163)),EDATE(AB1661,12),IF(ISNUMBER(SEARCH("6",'Procyclean 210'!F163)),EDATE(AB1661,6),IF(ISNUMBER(SEARCH("3",'Procyclean 210'!F163)),EDATE(AB1661,3),DATEVALUE('Procyclean 210'!F163))))),""))</f>
        <v/>
      </c>
      <c r="AM1661" t="str">
        <f t="shared" ca="1" si="172"/>
        <v/>
      </c>
    </row>
    <row r="1662" spans="27:39" x14ac:dyDescent="0.3">
      <c r="AA1662" t="str">
        <f>IF(COUNTA('Procyclean 210'!C164,'Procyclean 210'!D164,'Procyclean 210'!E164)&gt;0,"210","")</f>
        <v/>
      </c>
      <c r="AB1662" t="str">
        <f>IFERROR(IF(ISNUMBER('Procyclean 210'!C164),'Procyclean 210'!C164,DATEVALUE('Procyclean 210'!C164)),"")</f>
        <v/>
      </c>
      <c r="AC1662" t="str">
        <f>IF(AA1662="","",'Procyclean 210'!D164)</f>
        <v/>
      </c>
      <c r="AD1662" t="str">
        <f>IF(AA1662="","",IFERROR(1*'Procyclean 210'!E164,IFERROR(_xludf.NUMBERVALUE('Procyclean 210'!E164,".",","),IFERROR(_xludf.NUMBERVALUE('Procyclean 210'!E164,",","."),0))))</f>
        <v/>
      </c>
      <c r="AE1662" t="str">
        <f>IF(AA1662="","",'Procyclean 210'!B164)</f>
        <v/>
      </c>
      <c r="AF1662">
        <f t="shared" si="167"/>
        <v>0</v>
      </c>
      <c r="AG1662" t="str">
        <f t="shared" si="168"/>
        <v/>
      </c>
      <c r="AH1662" t="str">
        <f t="shared" si="169"/>
        <v/>
      </c>
      <c r="AI1662">
        <f t="shared" si="170"/>
        <v>0</v>
      </c>
      <c r="AJ1662">
        <f t="shared" si="171"/>
        <v>0</v>
      </c>
      <c r="AK1662">
        <v>0</v>
      </c>
      <c r="AL1662" t="str">
        <f>IF(AA1662="","",IFERROR(IF(ISNUMBER('Procyclean 210'!F164),'Procyclean 210'!F164,IF(ISNUMBER(SEARCH("12",'Procyclean 210'!F164)),EDATE(AB1662,12),IF(ISNUMBER(SEARCH("6",'Procyclean 210'!F164)),EDATE(AB1662,6),IF(ISNUMBER(SEARCH("3",'Procyclean 210'!F164)),EDATE(AB1662,3),DATEVALUE('Procyclean 210'!F164))))),""))</f>
        <v/>
      </c>
      <c r="AM1662" t="str">
        <f t="shared" ca="1" si="172"/>
        <v/>
      </c>
    </row>
    <row r="1663" spans="27:39" x14ac:dyDescent="0.3">
      <c r="AA1663" t="str">
        <f>IF(COUNTA('Procyclean 210'!C165,'Procyclean 210'!D165,'Procyclean 210'!E165)&gt;0,"210","")</f>
        <v/>
      </c>
      <c r="AB1663" t="str">
        <f>IFERROR(IF(ISNUMBER('Procyclean 210'!C165),'Procyclean 210'!C165,DATEVALUE('Procyclean 210'!C165)),"")</f>
        <v/>
      </c>
      <c r="AC1663" t="str">
        <f>IF(AA1663="","",'Procyclean 210'!D165)</f>
        <v/>
      </c>
      <c r="AD1663" t="str">
        <f>IF(AA1663="","",IFERROR(1*'Procyclean 210'!E165,IFERROR(_xludf.NUMBERVALUE('Procyclean 210'!E165,".",","),IFERROR(_xludf.NUMBERVALUE('Procyclean 210'!E165,",","."),0))))</f>
        <v/>
      </c>
      <c r="AE1663" t="str">
        <f>IF(AA1663="","",'Procyclean 210'!B165)</f>
        <v/>
      </c>
      <c r="AF1663">
        <f t="shared" si="167"/>
        <v>0</v>
      </c>
      <c r="AG1663" t="str">
        <f t="shared" si="168"/>
        <v/>
      </c>
      <c r="AH1663" t="str">
        <f t="shared" si="169"/>
        <v/>
      </c>
      <c r="AI1663">
        <f t="shared" si="170"/>
        <v>0</v>
      </c>
      <c r="AJ1663">
        <f t="shared" si="171"/>
        <v>0</v>
      </c>
      <c r="AK1663">
        <v>0</v>
      </c>
      <c r="AL1663" t="str">
        <f>IF(AA1663="","",IFERROR(IF(ISNUMBER('Procyclean 210'!F165),'Procyclean 210'!F165,IF(ISNUMBER(SEARCH("12",'Procyclean 210'!F165)),EDATE(AB1663,12),IF(ISNUMBER(SEARCH("6",'Procyclean 210'!F165)),EDATE(AB1663,6),IF(ISNUMBER(SEARCH("3",'Procyclean 210'!F165)),EDATE(AB1663,3),DATEVALUE('Procyclean 210'!F165))))),""))</f>
        <v/>
      </c>
      <c r="AM1663" t="str">
        <f t="shared" ca="1" si="172"/>
        <v/>
      </c>
    </row>
    <row r="1664" spans="27:39" x14ac:dyDescent="0.3">
      <c r="AA1664" t="str">
        <f>IF(COUNTA('Procyclean 210'!C166,'Procyclean 210'!D166,'Procyclean 210'!E166)&gt;0,"210","")</f>
        <v/>
      </c>
      <c r="AB1664" t="str">
        <f>IFERROR(IF(ISNUMBER('Procyclean 210'!C166),'Procyclean 210'!C166,DATEVALUE('Procyclean 210'!C166)),"")</f>
        <v/>
      </c>
      <c r="AC1664" t="str">
        <f>IF(AA1664="","",'Procyclean 210'!D166)</f>
        <v/>
      </c>
      <c r="AD1664" t="str">
        <f>IF(AA1664="","",IFERROR(1*'Procyclean 210'!E166,IFERROR(_xludf.NUMBERVALUE('Procyclean 210'!E166,".",","),IFERROR(_xludf.NUMBERVALUE('Procyclean 210'!E166,",","."),0))))</f>
        <v/>
      </c>
      <c r="AE1664" t="str">
        <f>IF(AA1664="","",'Procyclean 210'!B166)</f>
        <v/>
      </c>
      <c r="AF1664">
        <f t="shared" si="167"/>
        <v>0</v>
      </c>
      <c r="AG1664" t="str">
        <f t="shared" si="168"/>
        <v/>
      </c>
      <c r="AH1664" t="str">
        <f t="shared" si="169"/>
        <v/>
      </c>
      <c r="AI1664">
        <f t="shared" si="170"/>
        <v>0</v>
      </c>
      <c r="AJ1664">
        <f t="shared" si="171"/>
        <v>0</v>
      </c>
      <c r="AK1664">
        <v>0</v>
      </c>
      <c r="AL1664" t="str">
        <f>IF(AA1664="","",IFERROR(IF(ISNUMBER('Procyclean 210'!F166),'Procyclean 210'!F166,IF(ISNUMBER(SEARCH("12",'Procyclean 210'!F166)),EDATE(AB1664,12),IF(ISNUMBER(SEARCH("6",'Procyclean 210'!F166)),EDATE(AB1664,6),IF(ISNUMBER(SEARCH("3",'Procyclean 210'!F166)),EDATE(AB1664,3),DATEVALUE('Procyclean 210'!F166))))),""))</f>
        <v/>
      </c>
      <c r="AM1664" t="str">
        <f t="shared" ca="1" si="172"/>
        <v/>
      </c>
    </row>
    <row r="1665" spans="27:39" x14ac:dyDescent="0.3">
      <c r="AA1665" t="str">
        <f>IF(COUNTA('Procyclean 210'!C167,'Procyclean 210'!D167,'Procyclean 210'!E167)&gt;0,"210","")</f>
        <v/>
      </c>
      <c r="AB1665" t="str">
        <f>IFERROR(IF(ISNUMBER('Procyclean 210'!C167),'Procyclean 210'!C167,DATEVALUE('Procyclean 210'!C167)),"")</f>
        <v/>
      </c>
      <c r="AC1665" t="str">
        <f>IF(AA1665="","",'Procyclean 210'!D167)</f>
        <v/>
      </c>
      <c r="AD1665" t="str">
        <f>IF(AA1665="","",IFERROR(1*'Procyclean 210'!E167,IFERROR(_xludf.NUMBERVALUE('Procyclean 210'!E167,".",","),IFERROR(_xludf.NUMBERVALUE('Procyclean 210'!E167,",","."),0))))</f>
        <v/>
      </c>
      <c r="AE1665" t="str">
        <f>IF(AA1665="","",'Procyclean 210'!B167)</f>
        <v/>
      </c>
      <c r="AF1665">
        <f t="shared" si="167"/>
        <v>0</v>
      </c>
      <c r="AG1665" t="str">
        <f t="shared" si="168"/>
        <v/>
      </c>
      <c r="AH1665" t="str">
        <f t="shared" si="169"/>
        <v/>
      </c>
      <c r="AI1665">
        <f t="shared" si="170"/>
        <v>0</v>
      </c>
      <c r="AJ1665">
        <f t="shared" si="171"/>
        <v>0</v>
      </c>
      <c r="AK1665">
        <v>0</v>
      </c>
      <c r="AL1665" t="str">
        <f>IF(AA1665="","",IFERROR(IF(ISNUMBER('Procyclean 210'!F167),'Procyclean 210'!F167,IF(ISNUMBER(SEARCH("12",'Procyclean 210'!F167)),EDATE(AB1665,12),IF(ISNUMBER(SEARCH("6",'Procyclean 210'!F167)),EDATE(AB1665,6),IF(ISNUMBER(SEARCH("3",'Procyclean 210'!F167)),EDATE(AB1665,3),DATEVALUE('Procyclean 210'!F167))))),""))</f>
        <v/>
      </c>
      <c r="AM1665" t="str">
        <f t="shared" ca="1" si="172"/>
        <v/>
      </c>
    </row>
    <row r="1666" spans="27:39" x14ac:dyDescent="0.3">
      <c r="AA1666" t="str">
        <f>IF(COUNTA('Procyclean 210'!C168,'Procyclean 210'!D168,'Procyclean 210'!E168)&gt;0,"210","")</f>
        <v/>
      </c>
      <c r="AB1666" t="str">
        <f>IFERROR(IF(ISNUMBER('Procyclean 210'!C168),'Procyclean 210'!C168,DATEVALUE('Procyclean 210'!C168)),"")</f>
        <v/>
      </c>
      <c r="AC1666" t="str">
        <f>IF(AA1666="","",'Procyclean 210'!D168)</f>
        <v/>
      </c>
      <c r="AD1666" t="str">
        <f>IF(AA1666="","",IFERROR(1*'Procyclean 210'!E168,IFERROR(_xludf.NUMBERVALUE('Procyclean 210'!E168,".",","),IFERROR(_xludf.NUMBERVALUE('Procyclean 210'!E168,",","."),0))))</f>
        <v/>
      </c>
      <c r="AE1666" t="str">
        <f>IF(AA1666="","",'Procyclean 210'!B168)</f>
        <v/>
      </c>
      <c r="AF1666">
        <f t="shared" ref="AF1666:AF1729" si="173">IF(AA1666="",0,--AND(ISNUMBER(SEARCH("aprov",AE1666)),NOT(ISNUMBER(SEARCH("reprov",AE1666)))))</f>
        <v>0</v>
      </c>
      <c r="AG1666" t="str">
        <f t="shared" ref="AG1666:AG1729" si="174">IF(AB1666="","",YEAR(AB1666))</f>
        <v/>
      </c>
      <c r="AH1666" t="str">
        <f t="shared" ref="AH1666:AH1729" si="175">IF(AB1666="","",MONTH(AB1666))</f>
        <v/>
      </c>
      <c r="AI1666">
        <f t="shared" ref="AI1666:AI1729" si="176">IF(AB1666="",0,AB1666+ROW()/1000000)</f>
        <v>0</v>
      </c>
      <c r="AJ1666">
        <f t="shared" ref="AJ1666:AJ1729" si="177">--(AA1666&lt;&gt;"")</f>
        <v>0</v>
      </c>
      <c r="AK1666">
        <v>0</v>
      </c>
      <c r="AL1666" t="str">
        <f>IF(AA1666="","",IFERROR(IF(ISNUMBER('Procyclean 210'!F168),'Procyclean 210'!F168,IF(ISNUMBER(SEARCH("12",'Procyclean 210'!F168)),EDATE(AB1666,12),IF(ISNUMBER(SEARCH("6",'Procyclean 210'!F168)),EDATE(AB1666,6),IF(ISNUMBER(SEARCH("3",'Procyclean 210'!F168)),EDATE(AB1666,3),DATEVALUE('Procyclean 210'!F168))))),""))</f>
        <v/>
      </c>
      <c r="AM1666" t="str">
        <f t="shared" ref="AM1666:AM1729" ca="1" si="178">IF(AND(AJ1666=1,AL1666&lt;&gt;"",AL1666&gt;=TODAY(),AG1666=$W$3),AL1666+ROW()/1000000,"")</f>
        <v/>
      </c>
    </row>
    <row r="1667" spans="27:39" x14ac:dyDescent="0.3">
      <c r="AA1667" t="str">
        <f>IF(COUNTA('Procyclean 210'!C169,'Procyclean 210'!D169,'Procyclean 210'!E169)&gt;0,"210","")</f>
        <v/>
      </c>
      <c r="AB1667" t="str">
        <f>IFERROR(IF(ISNUMBER('Procyclean 210'!C169),'Procyclean 210'!C169,DATEVALUE('Procyclean 210'!C169)),"")</f>
        <v/>
      </c>
      <c r="AC1667" t="str">
        <f>IF(AA1667="","",'Procyclean 210'!D169)</f>
        <v/>
      </c>
      <c r="AD1667" t="str">
        <f>IF(AA1667="","",IFERROR(1*'Procyclean 210'!E169,IFERROR(_xludf.NUMBERVALUE('Procyclean 210'!E169,".",","),IFERROR(_xludf.NUMBERVALUE('Procyclean 210'!E169,",","."),0))))</f>
        <v/>
      </c>
      <c r="AE1667" t="str">
        <f>IF(AA1667="","",'Procyclean 210'!B169)</f>
        <v/>
      </c>
      <c r="AF1667">
        <f t="shared" si="173"/>
        <v>0</v>
      </c>
      <c r="AG1667" t="str">
        <f t="shared" si="174"/>
        <v/>
      </c>
      <c r="AH1667" t="str">
        <f t="shared" si="175"/>
        <v/>
      </c>
      <c r="AI1667">
        <f t="shared" si="176"/>
        <v>0</v>
      </c>
      <c r="AJ1667">
        <f t="shared" si="177"/>
        <v>0</v>
      </c>
      <c r="AK1667">
        <v>0</v>
      </c>
      <c r="AL1667" t="str">
        <f>IF(AA1667="","",IFERROR(IF(ISNUMBER('Procyclean 210'!F169),'Procyclean 210'!F169,IF(ISNUMBER(SEARCH("12",'Procyclean 210'!F169)),EDATE(AB1667,12),IF(ISNUMBER(SEARCH("6",'Procyclean 210'!F169)),EDATE(AB1667,6),IF(ISNUMBER(SEARCH("3",'Procyclean 210'!F169)),EDATE(AB1667,3),DATEVALUE('Procyclean 210'!F169))))),""))</f>
        <v/>
      </c>
      <c r="AM1667" t="str">
        <f t="shared" ca="1" si="178"/>
        <v/>
      </c>
    </row>
    <row r="1668" spans="27:39" x14ac:dyDescent="0.3">
      <c r="AA1668" t="str">
        <f>IF(COUNTA('Procyclean 210'!C170,'Procyclean 210'!D170,'Procyclean 210'!E170)&gt;0,"210","")</f>
        <v/>
      </c>
      <c r="AB1668" t="str">
        <f>IFERROR(IF(ISNUMBER('Procyclean 210'!C170),'Procyclean 210'!C170,DATEVALUE('Procyclean 210'!C170)),"")</f>
        <v/>
      </c>
      <c r="AC1668" t="str">
        <f>IF(AA1668="","",'Procyclean 210'!D170)</f>
        <v/>
      </c>
      <c r="AD1668" t="str">
        <f>IF(AA1668="","",IFERROR(1*'Procyclean 210'!E170,IFERROR(_xludf.NUMBERVALUE('Procyclean 210'!E170,".",","),IFERROR(_xludf.NUMBERVALUE('Procyclean 210'!E170,",","."),0))))</f>
        <v/>
      </c>
      <c r="AE1668" t="str">
        <f>IF(AA1668="","",'Procyclean 210'!B170)</f>
        <v/>
      </c>
      <c r="AF1668">
        <f t="shared" si="173"/>
        <v>0</v>
      </c>
      <c r="AG1668" t="str">
        <f t="shared" si="174"/>
        <v/>
      </c>
      <c r="AH1668" t="str">
        <f t="shared" si="175"/>
        <v/>
      </c>
      <c r="AI1668">
        <f t="shared" si="176"/>
        <v>0</v>
      </c>
      <c r="AJ1668">
        <f t="shared" si="177"/>
        <v>0</v>
      </c>
      <c r="AK1668">
        <v>0</v>
      </c>
      <c r="AL1668" t="str">
        <f>IF(AA1668="","",IFERROR(IF(ISNUMBER('Procyclean 210'!F170),'Procyclean 210'!F170,IF(ISNUMBER(SEARCH("12",'Procyclean 210'!F170)),EDATE(AB1668,12),IF(ISNUMBER(SEARCH("6",'Procyclean 210'!F170)),EDATE(AB1668,6),IF(ISNUMBER(SEARCH("3",'Procyclean 210'!F170)),EDATE(AB1668,3),DATEVALUE('Procyclean 210'!F170))))),""))</f>
        <v/>
      </c>
      <c r="AM1668" t="str">
        <f t="shared" ca="1" si="178"/>
        <v/>
      </c>
    </row>
    <row r="1669" spans="27:39" x14ac:dyDescent="0.3">
      <c r="AA1669" t="str">
        <f>IF(COUNTA('Procyclean 210'!C171,'Procyclean 210'!D171,'Procyclean 210'!E171)&gt;0,"210","")</f>
        <v/>
      </c>
      <c r="AB1669" t="str">
        <f>IFERROR(IF(ISNUMBER('Procyclean 210'!C171),'Procyclean 210'!C171,DATEVALUE('Procyclean 210'!C171)),"")</f>
        <v/>
      </c>
      <c r="AC1669" t="str">
        <f>IF(AA1669="","",'Procyclean 210'!D171)</f>
        <v/>
      </c>
      <c r="AD1669" t="str">
        <f>IF(AA1669="","",IFERROR(1*'Procyclean 210'!E171,IFERROR(_xludf.NUMBERVALUE('Procyclean 210'!E171,".",","),IFERROR(_xludf.NUMBERVALUE('Procyclean 210'!E171,",","."),0))))</f>
        <v/>
      </c>
      <c r="AE1669" t="str">
        <f>IF(AA1669="","",'Procyclean 210'!B171)</f>
        <v/>
      </c>
      <c r="AF1669">
        <f t="shared" si="173"/>
        <v>0</v>
      </c>
      <c r="AG1669" t="str">
        <f t="shared" si="174"/>
        <v/>
      </c>
      <c r="AH1669" t="str">
        <f t="shared" si="175"/>
        <v/>
      </c>
      <c r="AI1669">
        <f t="shared" si="176"/>
        <v>0</v>
      </c>
      <c r="AJ1669">
        <f t="shared" si="177"/>
        <v>0</v>
      </c>
      <c r="AK1669">
        <v>0</v>
      </c>
      <c r="AL1669" t="str">
        <f>IF(AA1669="","",IFERROR(IF(ISNUMBER('Procyclean 210'!F171),'Procyclean 210'!F171,IF(ISNUMBER(SEARCH("12",'Procyclean 210'!F171)),EDATE(AB1669,12),IF(ISNUMBER(SEARCH("6",'Procyclean 210'!F171)),EDATE(AB1669,6),IF(ISNUMBER(SEARCH("3",'Procyclean 210'!F171)),EDATE(AB1669,3),DATEVALUE('Procyclean 210'!F171))))),""))</f>
        <v/>
      </c>
      <c r="AM1669" t="str">
        <f t="shared" ca="1" si="178"/>
        <v/>
      </c>
    </row>
    <row r="1670" spans="27:39" x14ac:dyDescent="0.3">
      <c r="AA1670" t="str">
        <f>IF(COUNTA('Procyclean 210'!C172,'Procyclean 210'!D172,'Procyclean 210'!E172)&gt;0,"210","")</f>
        <v/>
      </c>
      <c r="AB1670" t="str">
        <f>IFERROR(IF(ISNUMBER('Procyclean 210'!C172),'Procyclean 210'!C172,DATEVALUE('Procyclean 210'!C172)),"")</f>
        <v/>
      </c>
      <c r="AC1670" t="str">
        <f>IF(AA1670="","",'Procyclean 210'!D172)</f>
        <v/>
      </c>
      <c r="AD1670" t="str">
        <f>IF(AA1670="","",IFERROR(1*'Procyclean 210'!E172,IFERROR(_xludf.NUMBERVALUE('Procyclean 210'!E172,".",","),IFERROR(_xludf.NUMBERVALUE('Procyclean 210'!E172,",","."),0))))</f>
        <v/>
      </c>
      <c r="AE1670" t="str">
        <f>IF(AA1670="","",'Procyclean 210'!B172)</f>
        <v/>
      </c>
      <c r="AF1670">
        <f t="shared" si="173"/>
        <v>0</v>
      </c>
      <c r="AG1670" t="str">
        <f t="shared" si="174"/>
        <v/>
      </c>
      <c r="AH1670" t="str">
        <f t="shared" si="175"/>
        <v/>
      </c>
      <c r="AI1670">
        <f t="shared" si="176"/>
        <v>0</v>
      </c>
      <c r="AJ1670">
        <f t="shared" si="177"/>
        <v>0</v>
      </c>
      <c r="AK1670">
        <v>0</v>
      </c>
      <c r="AL1670" t="str">
        <f>IF(AA1670="","",IFERROR(IF(ISNUMBER('Procyclean 210'!F172),'Procyclean 210'!F172,IF(ISNUMBER(SEARCH("12",'Procyclean 210'!F172)),EDATE(AB1670,12),IF(ISNUMBER(SEARCH("6",'Procyclean 210'!F172)),EDATE(AB1670,6),IF(ISNUMBER(SEARCH("3",'Procyclean 210'!F172)),EDATE(AB1670,3),DATEVALUE('Procyclean 210'!F172))))),""))</f>
        <v/>
      </c>
      <c r="AM1670" t="str">
        <f t="shared" ca="1" si="178"/>
        <v/>
      </c>
    </row>
    <row r="1671" spans="27:39" x14ac:dyDescent="0.3">
      <c r="AA1671" t="str">
        <f>IF(COUNTA('Procyclean 210'!C173,'Procyclean 210'!D173,'Procyclean 210'!E173)&gt;0,"210","")</f>
        <v/>
      </c>
      <c r="AB1671" t="str">
        <f>IFERROR(IF(ISNUMBER('Procyclean 210'!C173),'Procyclean 210'!C173,DATEVALUE('Procyclean 210'!C173)),"")</f>
        <v/>
      </c>
      <c r="AC1671" t="str">
        <f>IF(AA1671="","",'Procyclean 210'!D173)</f>
        <v/>
      </c>
      <c r="AD1671" t="str">
        <f>IF(AA1671="","",IFERROR(1*'Procyclean 210'!E173,IFERROR(_xludf.NUMBERVALUE('Procyclean 210'!E173,".",","),IFERROR(_xludf.NUMBERVALUE('Procyclean 210'!E173,",","."),0))))</f>
        <v/>
      </c>
      <c r="AE1671" t="str">
        <f>IF(AA1671="","",'Procyclean 210'!B173)</f>
        <v/>
      </c>
      <c r="AF1671">
        <f t="shared" si="173"/>
        <v>0</v>
      </c>
      <c r="AG1671" t="str">
        <f t="shared" si="174"/>
        <v/>
      </c>
      <c r="AH1671" t="str">
        <f t="shared" si="175"/>
        <v/>
      </c>
      <c r="AI1671">
        <f t="shared" si="176"/>
        <v>0</v>
      </c>
      <c r="AJ1671">
        <f t="shared" si="177"/>
        <v>0</v>
      </c>
      <c r="AK1671">
        <v>0</v>
      </c>
      <c r="AL1671" t="str">
        <f>IF(AA1671="","",IFERROR(IF(ISNUMBER('Procyclean 210'!F173),'Procyclean 210'!F173,IF(ISNUMBER(SEARCH("12",'Procyclean 210'!F173)),EDATE(AB1671,12),IF(ISNUMBER(SEARCH("6",'Procyclean 210'!F173)),EDATE(AB1671,6),IF(ISNUMBER(SEARCH("3",'Procyclean 210'!F173)),EDATE(AB1671,3),DATEVALUE('Procyclean 210'!F173))))),""))</f>
        <v/>
      </c>
      <c r="AM1671" t="str">
        <f t="shared" ca="1" si="178"/>
        <v/>
      </c>
    </row>
    <row r="1672" spans="27:39" x14ac:dyDescent="0.3">
      <c r="AA1672" t="str">
        <f>IF(COUNTA('Procyclean 210'!C174,'Procyclean 210'!D174,'Procyclean 210'!E174)&gt;0,"210","")</f>
        <v/>
      </c>
      <c r="AB1672" t="str">
        <f>IFERROR(IF(ISNUMBER('Procyclean 210'!C174),'Procyclean 210'!C174,DATEVALUE('Procyclean 210'!C174)),"")</f>
        <v/>
      </c>
      <c r="AC1672" t="str">
        <f>IF(AA1672="","",'Procyclean 210'!D174)</f>
        <v/>
      </c>
      <c r="AD1672" t="str">
        <f>IF(AA1672="","",IFERROR(1*'Procyclean 210'!E174,IFERROR(_xludf.NUMBERVALUE('Procyclean 210'!E174,".",","),IFERROR(_xludf.NUMBERVALUE('Procyclean 210'!E174,",","."),0))))</f>
        <v/>
      </c>
      <c r="AE1672" t="str">
        <f>IF(AA1672="","",'Procyclean 210'!B174)</f>
        <v/>
      </c>
      <c r="AF1672">
        <f t="shared" si="173"/>
        <v>0</v>
      </c>
      <c r="AG1672" t="str">
        <f t="shared" si="174"/>
        <v/>
      </c>
      <c r="AH1672" t="str">
        <f t="shared" si="175"/>
        <v/>
      </c>
      <c r="AI1672">
        <f t="shared" si="176"/>
        <v>0</v>
      </c>
      <c r="AJ1672">
        <f t="shared" si="177"/>
        <v>0</v>
      </c>
      <c r="AK1672">
        <v>0</v>
      </c>
      <c r="AL1672" t="str">
        <f>IF(AA1672="","",IFERROR(IF(ISNUMBER('Procyclean 210'!F174),'Procyclean 210'!F174,IF(ISNUMBER(SEARCH("12",'Procyclean 210'!F174)),EDATE(AB1672,12),IF(ISNUMBER(SEARCH("6",'Procyclean 210'!F174)),EDATE(AB1672,6),IF(ISNUMBER(SEARCH("3",'Procyclean 210'!F174)),EDATE(AB1672,3),DATEVALUE('Procyclean 210'!F174))))),""))</f>
        <v/>
      </c>
      <c r="AM1672" t="str">
        <f t="shared" ca="1" si="178"/>
        <v/>
      </c>
    </row>
    <row r="1673" spans="27:39" x14ac:dyDescent="0.3">
      <c r="AA1673" t="str">
        <f>IF(COUNTA('Procyclean 210'!C175,'Procyclean 210'!D175,'Procyclean 210'!E175)&gt;0,"210","")</f>
        <v/>
      </c>
      <c r="AB1673" t="str">
        <f>IFERROR(IF(ISNUMBER('Procyclean 210'!C175),'Procyclean 210'!C175,DATEVALUE('Procyclean 210'!C175)),"")</f>
        <v/>
      </c>
      <c r="AC1673" t="str">
        <f>IF(AA1673="","",'Procyclean 210'!D175)</f>
        <v/>
      </c>
      <c r="AD1673" t="str">
        <f>IF(AA1673="","",IFERROR(1*'Procyclean 210'!E175,IFERROR(_xludf.NUMBERVALUE('Procyclean 210'!E175,".",","),IFERROR(_xludf.NUMBERVALUE('Procyclean 210'!E175,",","."),0))))</f>
        <v/>
      </c>
      <c r="AE1673" t="str">
        <f>IF(AA1673="","",'Procyclean 210'!B175)</f>
        <v/>
      </c>
      <c r="AF1673">
        <f t="shared" si="173"/>
        <v>0</v>
      </c>
      <c r="AG1673" t="str">
        <f t="shared" si="174"/>
        <v/>
      </c>
      <c r="AH1673" t="str">
        <f t="shared" si="175"/>
        <v/>
      </c>
      <c r="AI1673">
        <f t="shared" si="176"/>
        <v>0</v>
      </c>
      <c r="AJ1673">
        <f t="shared" si="177"/>
        <v>0</v>
      </c>
      <c r="AK1673">
        <v>0</v>
      </c>
      <c r="AL1673" t="str">
        <f>IF(AA1673="","",IFERROR(IF(ISNUMBER('Procyclean 210'!F175),'Procyclean 210'!F175,IF(ISNUMBER(SEARCH("12",'Procyclean 210'!F175)),EDATE(AB1673,12),IF(ISNUMBER(SEARCH("6",'Procyclean 210'!F175)),EDATE(AB1673,6),IF(ISNUMBER(SEARCH("3",'Procyclean 210'!F175)),EDATE(AB1673,3),DATEVALUE('Procyclean 210'!F175))))),""))</f>
        <v/>
      </c>
      <c r="AM1673" t="str">
        <f t="shared" ca="1" si="178"/>
        <v/>
      </c>
    </row>
    <row r="1674" spans="27:39" x14ac:dyDescent="0.3">
      <c r="AA1674" t="str">
        <f>IF(COUNTA('Procyclean 210'!C176,'Procyclean 210'!D176,'Procyclean 210'!E176)&gt;0,"210","")</f>
        <v/>
      </c>
      <c r="AB1674" t="str">
        <f>IFERROR(IF(ISNUMBER('Procyclean 210'!C176),'Procyclean 210'!C176,DATEVALUE('Procyclean 210'!C176)),"")</f>
        <v/>
      </c>
      <c r="AC1674" t="str">
        <f>IF(AA1674="","",'Procyclean 210'!D176)</f>
        <v/>
      </c>
      <c r="AD1674" t="str">
        <f>IF(AA1674="","",IFERROR(1*'Procyclean 210'!E176,IFERROR(_xludf.NUMBERVALUE('Procyclean 210'!E176,".",","),IFERROR(_xludf.NUMBERVALUE('Procyclean 210'!E176,",","."),0))))</f>
        <v/>
      </c>
      <c r="AE1674" t="str">
        <f>IF(AA1674="","",'Procyclean 210'!B176)</f>
        <v/>
      </c>
      <c r="AF1674">
        <f t="shared" si="173"/>
        <v>0</v>
      </c>
      <c r="AG1674" t="str">
        <f t="shared" si="174"/>
        <v/>
      </c>
      <c r="AH1674" t="str">
        <f t="shared" si="175"/>
        <v/>
      </c>
      <c r="AI1674">
        <f t="shared" si="176"/>
        <v>0</v>
      </c>
      <c r="AJ1674">
        <f t="shared" si="177"/>
        <v>0</v>
      </c>
      <c r="AK1674">
        <v>0</v>
      </c>
      <c r="AL1674" t="str">
        <f>IF(AA1674="","",IFERROR(IF(ISNUMBER('Procyclean 210'!F176),'Procyclean 210'!F176,IF(ISNUMBER(SEARCH("12",'Procyclean 210'!F176)),EDATE(AB1674,12),IF(ISNUMBER(SEARCH("6",'Procyclean 210'!F176)),EDATE(AB1674,6),IF(ISNUMBER(SEARCH("3",'Procyclean 210'!F176)),EDATE(AB1674,3),DATEVALUE('Procyclean 210'!F176))))),""))</f>
        <v/>
      </c>
      <c r="AM1674" t="str">
        <f t="shared" ca="1" si="178"/>
        <v/>
      </c>
    </row>
    <row r="1675" spans="27:39" x14ac:dyDescent="0.3">
      <c r="AA1675" t="str">
        <f>IF(COUNTA('Procyclean 210'!C177,'Procyclean 210'!D177,'Procyclean 210'!E177)&gt;0,"210","")</f>
        <v/>
      </c>
      <c r="AB1675" t="str">
        <f>IFERROR(IF(ISNUMBER('Procyclean 210'!C177),'Procyclean 210'!C177,DATEVALUE('Procyclean 210'!C177)),"")</f>
        <v/>
      </c>
      <c r="AC1675" t="str">
        <f>IF(AA1675="","",'Procyclean 210'!D177)</f>
        <v/>
      </c>
      <c r="AD1675" t="str">
        <f>IF(AA1675="","",IFERROR(1*'Procyclean 210'!E177,IFERROR(_xludf.NUMBERVALUE('Procyclean 210'!E177,".",","),IFERROR(_xludf.NUMBERVALUE('Procyclean 210'!E177,",","."),0))))</f>
        <v/>
      </c>
      <c r="AE1675" t="str">
        <f>IF(AA1675="","",'Procyclean 210'!B177)</f>
        <v/>
      </c>
      <c r="AF1675">
        <f t="shared" si="173"/>
        <v>0</v>
      </c>
      <c r="AG1675" t="str">
        <f t="shared" si="174"/>
        <v/>
      </c>
      <c r="AH1675" t="str">
        <f t="shared" si="175"/>
        <v/>
      </c>
      <c r="AI1675">
        <f t="shared" si="176"/>
        <v>0</v>
      </c>
      <c r="AJ1675">
        <f t="shared" si="177"/>
        <v>0</v>
      </c>
      <c r="AK1675">
        <v>0</v>
      </c>
      <c r="AL1675" t="str">
        <f>IF(AA1675="","",IFERROR(IF(ISNUMBER('Procyclean 210'!F177),'Procyclean 210'!F177,IF(ISNUMBER(SEARCH("12",'Procyclean 210'!F177)),EDATE(AB1675,12),IF(ISNUMBER(SEARCH("6",'Procyclean 210'!F177)),EDATE(AB1675,6),IF(ISNUMBER(SEARCH("3",'Procyclean 210'!F177)),EDATE(AB1675,3),DATEVALUE('Procyclean 210'!F177))))),""))</f>
        <v/>
      </c>
      <c r="AM1675" t="str">
        <f t="shared" ca="1" si="178"/>
        <v/>
      </c>
    </row>
    <row r="1676" spans="27:39" x14ac:dyDescent="0.3">
      <c r="AA1676" t="str">
        <f>IF(COUNTA('Procyclean 210'!C178,'Procyclean 210'!D178,'Procyclean 210'!E178)&gt;0,"210","")</f>
        <v/>
      </c>
      <c r="AB1676" t="str">
        <f>IFERROR(IF(ISNUMBER('Procyclean 210'!C178),'Procyclean 210'!C178,DATEVALUE('Procyclean 210'!C178)),"")</f>
        <v/>
      </c>
      <c r="AC1676" t="str">
        <f>IF(AA1676="","",'Procyclean 210'!D178)</f>
        <v/>
      </c>
      <c r="AD1676" t="str">
        <f>IF(AA1676="","",IFERROR(1*'Procyclean 210'!E178,IFERROR(_xludf.NUMBERVALUE('Procyclean 210'!E178,".",","),IFERROR(_xludf.NUMBERVALUE('Procyclean 210'!E178,",","."),0))))</f>
        <v/>
      </c>
      <c r="AE1676" t="str">
        <f>IF(AA1676="","",'Procyclean 210'!B178)</f>
        <v/>
      </c>
      <c r="AF1676">
        <f t="shared" si="173"/>
        <v>0</v>
      </c>
      <c r="AG1676" t="str">
        <f t="shared" si="174"/>
        <v/>
      </c>
      <c r="AH1676" t="str">
        <f t="shared" si="175"/>
        <v/>
      </c>
      <c r="AI1676">
        <f t="shared" si="176"/>
        <v>0</v>
      </c>
      <c r="AJ1676">
        <f t="shared" si="177"/>
        <v>0</v>
      </c>
      <c r="AK1676">
        <v>0</v>
      </c>
      <c r="AL1676" t="str">
        <f>IF(AA1676="","",IFERROR(IF(ISNUMBER('Procyclean 210'!F178),'Procyclean 210'!F178,IF(ISNUMBER(SEARCH("12",'Procyclean 210'!F178)),EDATE(AB1676,12),IF(ISNUMBER(SEARCH("6",'Procyclean 210'!F178)),EDATE(AB1676,6),IF(ISNUMBER(SEARCH("3",'Procyclean 210'!F178)),EDATE(AB1676,3),DATEVALUE('Procyclean 210'!F178))))),""))</f>
        <v/>
      </c>
      <c r="AM1676" t="str">
        <f t="shared" ca="1" si="178"/>
        <v/>
      </c>
    </row>
    <row r="1677" spans="27:39" x14ac:dyDescent="0.3">
      <c r="AA1677" t="str">
        <f>IF(COUNTA('Procyclean 210'!C179,'Procyclean 210'!D179,'Procyclean 210'!E179)&gt;0,"210","")</f>
        <v/>
      </c>
      <c r="AB1677" t="str">
        <f>IFERROR(IF(ISNUMBER('Procyclean 210'!C179),'Procyclean 210'!C179,DATEVALUE('Procyclean 210'!C179)),"")</f>
        <v/>
      </c>
      <c r="AC1677" t="str">
        <f>IF(AA1677="","",'Procyclean 210'!D179)</f>
        <v/>
      </c>
      <c r="AD1677" t="str">
        <f>IF(AA1677="","",IFERROR(1*'Procyclean 210'!E179,IFERROR(_xludf.NUMBERVALUE('Procyclean 210'!E179,".",","),IFERROR(_xludf.NUMBERVALUE('Procyclean 210'!E179,",","."),0))))</f>
        <v/>
      </c>
      <c r="AE1677" t="str">
        <f>IF(AA1677="","",'Procyclean 210'!B179)</f>
        <v/>
      </c>
      <c r="AF1677">
        <f t="shared" si="173"/>
        <v>0</v>
      </c>
      <c r="AG1677" t="str">
        <f t="shared" si="174"/>
        <v/>
      </c>
      <c r="AH1677" t="str">
        <f t="shared" si="175"/>
        <v/>
      </c>
      <c r="AI1677">
        <f t="shared" si="176"/>
        <v>0</v>
      </c>
      <c r="AJ1677">
        <f t="shared" si="177"/>
        <v>0</v>
      </c>
      <c r="AK1677">
        <v>0</v>
      </c>
      <c r="AL1677" t="str">
        <f>IF(AA1677="","",IFERROR(IF(ISNUMBER('Procyclean 210'!F179),'Procyclean 210'!F179,IF(ISNUMBER(SEARCH("12",'Procyclean 210'!F179)),EDATE(AB1677,12),IF(ISNUMBER(SEARCH("6",'Procyclean 210'!F179)),EDATE(AB1677,6),IF(ISNUMBER(SEARCH("3",'Procyclean 210'!F179)),EDATE(AB1677,3),DATEVALUE('Procyclean 210'!F179))))),""))</f>
        <v/>
      </c>
      <c r="AM1677" t="str">
        <f t="shared" ca="1" si="178"/>
        <v/>
      </c>
    </row>
    <row r="1678" spans="27:39" x14ac:dyDescent="0.3">
      <c r="AA1678" t="str">
        <f>IF(COUNTA('Procyclean 210'!C180,'Procyclean 210'!D180,'Procyclean 210'!E180)&gt;0,"210","")</f>
        <v/>
      </c>
      <c r="AB1678" t="str">
        <f>IFERROR(IF(ISNUMBER('Procyclean 210'!C180),'Procyclean 210'!C180,DATEVALUE('Procyclean 210'!C180)),"")</f>
        <v/>
      </c>
      <c r="AC1678" t="str">
        <f>IF(AA1678="","",'Procyclean 210'!D180)</f>
        <v/>
      </c>
      <c r="AD1678" t="str">
        <f>IF(AA1678="","",IFERROR(1*'Procyclean 210'!E180,IFERROR(_xludf.NUMBERVALUE('Procyclean 210'!E180,".",","),IFERROR(_xludf.NUMBERVALUE('Procyclean 210'!E180,",","."),0))))</f>
        <v/>
      </c>
      <c r="AE1678" t="str">
        <f>IF(AA1678="","",'Procyclean 210'!B180)</f>
        <v/>
      </c>
      <c r="AF1678">
        <f t="shared" si="173"/>
        <v>0</v>
      </c>
      <c r="AG1678" t="str">
        <f t="shared" si="174"/>
        <v/>
      </c>
      <c r="AH1678" t="str">
        <f t="shared" si="175"/>
        <v/>
      </c>
      <c r="AI1678">
        <f t="shared" si="176"/>
        <v>0</v>
      </c>
      <c r="AJ1678">
        <f t="shared" si="177"/>
        <v>0</v>
      </c>
      <c r="AK1678">
        <v>0</v>
      </c>
      <c r="AL1678" t="str">
        <f>IF(AA1678="","",IFERROR(IF(ISNUMBER('Procyclean 210'!F180),'Procyclean 210'!F180,IF(ISNUMBER(SEARCH("12",'Procyclean 210'!F180)),EDATE(AB1678,12),IF(ISNUMBER(SEARCH("6",'Procyclean 210'!F180)),EDATE(AB1678,6),IF(ISNUMBER(SEARCH("3",'Procyclean 210'!F180)),EDATE(AB1678,3),DATEVALUE('Procyclean 210'!F180))))),""))</f>
        <v/>
      </c>
      <c r="AM1678" t="str">
        <f t="shared" ca="1" si="178"/>
        <v/>
      </c>
    </row>
    <row r="1679" spans="27:39" x14ac:dyDescent="0.3">
      <c r="AA1679" t="str">
        <f>IF(COUNTA('Procyclean 210'!C181,'Procyclean 210'!D181,'Procyclean 210'!E181)&gt;0,"210","")</f>
        <v/>
      </c>
      <c r="AB1679" t="str">
        <f>IFERROR(IF(ISNUMBER('Procyclean 210'!C181),'Procyclean 210'!C181,DATEVALUE('Procyclean 210'!C181)),"")</f>
        <v/>
      </c>
      <c r="AC1679" t="str">
        <f>IF(AA1679="","",'Procyclean 210'!D181)</f>
        <v/>
      </c>
      <c r="AD1679" t="str">
        <f>IF(AA1679="","",IFERROR(1*'Procyclean 210'!E181,IFERROR(_xludf.NUMBERVALUE('Procyclean 210'!E181,".",","),IFERROR(_xludf.NUMBERVALUE('Procyclean 210'!E181,",","."),0))))</f>
        <v/>
      </c>
      <c r="AE1679" t="str">
        <f>IF(AA1679="","",'Procyclean 210'!B181)</f>
        <v/>
      </c>
      <c r="AF1679">
        <f t="shared" si="173"/>
        <v>0</v>
      </c>
      <c r="AG1679" t="str">
        <f t="shared" si="174"/>
        <v/>
      </c>
      <c r="AH1679" t="str">
        <f t="shared" si="175"/>
        <v/>
      </c>
      <c r="AI1679">
        <f t="shared" si="176"/>
        <v>0</v>
      </c>
      <c r="AJ1679">
        <f t="shared" si="177"/>
        <v>0</v>
      </c>
      <c r="AK1679">
        <v>0</v>
      </c>
      <c r="AL1679" t="str">
        <f>IF(AA1679="","",IFERROR(IF(ISNUMBER('Procyclean 210'!F181),'Procyclean 210'!F181,IF(ISNUMBER(SEARCH("12",'Procyclean 210'!F181)),EDATE(AB1679,12),IF(ISNUMBER(SEARCH("6",'Procyclean 210'!F181)),EDATE(AB1679,6),IF(ISNUMBER(SEARCH("3",'Procyclean 210'!F181)),EDATE(AB1679,3),DATEVALUE('Procyclean 210'!F181))))),""))</f>
        <v/>
      </c>
      <c r="AM1679" t="str">
        <f t="shared" ca="1" si="178"/>
        <v/>
      </c>
    </row>
    <row r="1680" spans="27:39" x14ac:dyDescent="0.3">
      <c r="AA1680" t="str">
        <f>IF(COUNTA('Procyclean 210'!C182,'Procyclean 210'!D182,'Procyclean 210'!E182)&gt;0,"210","")</f>
        <v/>
      </c>
      <c r="AB1680" t="str">
        <f>IFERROR(IF(ISNUMBER('Procyclean 210'!C182),'Procyclean 210'!C182,DATEVALUE('Procyclean 210'!C182)),"")</f>
        <v/>
      </c>
      <c r="AC1680" t="str">
        <f>IF(AA1680="","",'Procyclean 210'!D182)</f>
        <v/>
      </c>
      <c r="AD1680" t="str">
        <f>IF(AA1680="","",IFERROR(1*'Procyclean 210'!E182,IFERROR(_xludf.NUMBERVALUE('Procyclean 210'!E182,".",","),IFERROR(_xludf.NUMBERVALUE('Procyclean 210'!E182,",","."),0))))</f>
        <v/>
      </c>
      <c r="AE1680" t="str">
        <f>IF(AA1680="","",'Procyclean 210'!B182)</f>
        <v/>
      </c>
      <c r="AF1680">
        <f t="shared" si="173"/>
        <v>0</v>
      </c>
      <c r="AG1680" t="str">
        <f t="shared" si="174"/>
        <v/>
      </c>
      <c r="AH1680" t="str">
        <f t="shared" si="175"/>
        <v/>
      </c>
      <c r="AI1680">
        <f t="shared" si="176"/>
        <v>0</v>
      </c>
      <c r="AJ1680">
        <f t="shared" si="177"/>
        <v>0</v>
      </c>
      <c r="AK1680">
        <v>0</v>
      </c>
      <c r="AL1680" t="str">
        <f>IF(AA1680="","",IFERROR(IF(ISNUMBER('Procyclean 210'!F182),'Procyclean 210'!F182,IF(ISNUMBER(SEARCH("12",'Procyclean 210'!F182)),EDATE(AB1680,12),IF(ISNUMBER(SEARCH("6",'Procyclean 210'!F182)),EDATE(AB1680,6),IF(ISNUMBER(SEARCH("3",'Procyclean 210'!F182)),EDATE(AB1680,3),DATEVALUE('Procyclean 210'!F182))))),""))</f>
        <v/>
      </c>
      <c r="AM1680" t="str">
        <f t="shared" ca="1" si="178"/>
        <v/>
      </c>
    </row>
    <row r="1681" spans="27:39" x14ac:dyDescent="0.3">
      <c r="AA1681" t="str">
        <f>IF(COUNTA('Procyclean 210'!C183,'Procyclean 210'!D183,'Procyclean 210'!E183)&gt;0,"210","")</f>
        <v/>
      </c>
      <c r="AB1681" t="str">
        <f>IFERROR(IF(ISNUMBER('Procyclean 210'!C183),'Procyclean 210'!C183,DATEVALUE('Procyclean 210'!C183)),"")</f>
        <v/>
      </c>
      <c r="AC1681" t="str">
        <f>IF(AA1681="","",'Procyclean 210'!D183)</f>
        <v/>
      </c>
      <c r="AD1681" t="str">
        <f>IF(AA1681="","",IFERROR(1*'Procyclean 210'!E183,IFERROR(_xludf.NUMBERVALUE('Procyclean 210'!E183,".",","),IFERROR(_xludf.NUMBERVALUE('Procyclean 210'!E183,",","."),0))))</f>
        <v/>
      </c>
      <c r="AE1681" t="str">
        <f>IF(AA1681="","",'Procyclean 210'!B183)</f>
        <v/>
      </c>
      <c r="AF1681">
        <f t="shared" si="173"/>
        <v>0</v>
      </c>
      <c r="AG1681" t="str">
        <f t="shared" si="174"/>
        <v/>
      </c>
      <c r="AH1681" t="str">
        <f t="shared" si="175"/>
        <v/>
      </c>
      <c r="AI1681">
        <f t="shared" si="176"/>
        <v>0</v>
      </c>
      <c r="AJ1681">
        <f t="shared" si="177"/>
        <v>0</v>
      </c>
      <c r="AK1681">
        <v>0</v>
      </c>
      <c r="AL1681" t="str">
        <f>IF(AA1681="","",IFERROR(IF(ISNUMBER('Procyclean 210'!F183),'Procyclean 210'!F183,IF(ISNUMBER(SEARCH("12",'Procyclean 210'!F183)),EDATE(AB1681,12),IF(ISNUMBER(SEARCH("6",'Procyclean 210'!F183)),EDATE(AB1681,6),IF(ISNUMBER(SEARCH("3",'Procyclean 210'!F183)),EDATE(AB1681,3),DATEVALUE('Procyclean 210'!F183))))),""))</f>
        <v/>
      </c>
      <c r="AM1681" t="str">
        <f t="shared" ca="1" si="178"/>
        <v/>
      </c>
    </row>
    <row r="1682" spans="27:39" x14ac:dyDescent="0.3">
      <c r="AA1682" t="str">
        <f>IF(COUNTA('Procyclean 210'!C184,'Procyclean 210'!D184,'Procyclean 210'!E184)&gt;0,"210","")</f>
        <v/>
      </c>
      <c r="AB1682" t="str">
        <f>IFERROR(IF(ISNUMBER('Procyclean 210'!C184),'Procyclean 210'!C184,DATEVALUE('Procyclean 210'!C184)),"")</f>
        <v/>
      </c>
      <c r="AC1682" t="str">
        <f>IF(AA1682="","",'Procyclean 210'!D184)</f>
        <v/>
      </c>
      <c r="AD1682" t="str">
        <f>IF(AA1682="","",IFERROR(1*'Procyclean 210'!E184,IFERROR(_xludf.NUMBERVALUE('Procyclean 210'!E184,".",","),IFERROR(_xludf.NUMBERVALUE('Procyclean 210'!E184,",","."),0))))</f>
        <v/>
      </c>
      <c r="AE1682" t="str">
        <f>IF(AA1682="","",'Procyclean 210'!B184)</f>
        <v/>
      </c>
      <c r="AF1682">
        <f t="shared" si="173"/>
        <v>0</v>
      </c>
      <c r="AG1682" t="str">
        <f t="shared" si="174"/>
        <v/>
      </c>
      <c r="AH1682" t="str">
        <f t="shared" si="175"/>
        <v/>
      </c>
      <c r="AI1682">
        <f t="shared" si="176"/>
        <v>0</v>
      </c>
      <c r="AJ1682">
        <f t="shared" si="177"/>
        <v>0</v>
      </c>
      <c r="AK1682">
        <v>0</v>
      </c>
      <c r="AL1682" t="str">
        <f>IF(AA1682="","",IFERROR(IF(ISNUMBER('Procyclean 210'!F184),'Procyclean 210'!F184,IF(ISNUMBER(SEARCH("12",'Procyclean 210'!F184)),EDATE(AB1682,12),IF(ISNUMBER(SEARCH("6",'Procyclean 210'!F184)),EDATE(AB1682,6),IF(ISNUMBER(SEARCH("3",'Procyclean 210'!F184)),EDATE(AB1682,3),DATEVALUE('Procyclean 210'!F184))))),""))</f>
        <v/>
      </c>
      <c r="AM1682" t="str">
        <f t="shared" ca="1" si="178"/>
        <v/>
      </c>
    </row>
    <row r="1683" spans="27:39" x14ac:dyDescent="0.3">
      <c r="AA1683" t="str">
        <f>IF(COUNTA('Procyclean 210'!C185,'Procyclean 210'!D185,'Procyclean 210'!E185)&gt;0,"210","")</f>
        <v/>
      </c>
      <c r="AB1683" t="str">
        <f>IFERROR(IF(ISNUMBER('Procyclean 210'!C185),'Procyclean 210'!C185,DATEVALUE('Procyclean 210'!C185)),"")</f>
        <v/>
      </c>
      <c r="AC1683" t="str">
        <f>IF(AA1683="","",'Procyclean 210'!D185)</f>
        <v/>
      </c>
      <c r="AD1683" t="str">
        <f>IF(AA1683="","",IFERROR(1*'Procyclean 210'!E185,IFERROR(_xludf.NUMBERVALUE('Procyclean 210'!E185,".",","),IFERROR(_xludf.NUMBERVALUE('Procyclean 210'!E185,",","."),0))))</f>
        <v/>
      </c>
      <c r="AE1683" t="str">
        <f>IF(AA1683="","",'Procyclean 210'!B185)</f>
        <v/>
      </c>
      <c r="AF1683">
        <f t="shared" si="173"/>
        <v>0</v>
      </c>
      <c r="AG1683" t="str">
        <f t="shared" si="174"/>
        <v/>
      </c>
      <c r="AH1683" t="str">
        <f t="shared" si="175"/>
        <v/>
      </c>
      <c r="AI1683">
        <f t="shared" si="176"/>
        <v>0</v>
      </c>
      <c r="AJ1683">
        <f t="shared" si="177"/>
        <v>0</v>
      </c>
      <c r="AK1683">
        <v>0</v>
      </c>
      <c r="AL1683" t="str">
        <f>IF(AA1683="","",IFERROR(IF(ISNUMBER('Procyclean 210'!F185),'Procyclean 210'!F185,IF(ISNUMBER(SEARCH("12",'Procyclean 210'!F185)),EDATE(AB1683,12),IF(ISNUMBER(SEARCH("6",'Procyclean 210'!F185)),EDATE(AB1683,6),IF(ISNUMBER(SEARCH("3",'Procyclean 210'!F185)),EDATE(AB1683,3),DATEVALUE('Procyclean 210'!F185))))),""))</f>
        <v/>
      </c>
      <c r="AM1683" t="str">
        <f t="shared" ca="1" si="178"/>
        <v/>
      </c>
    </row>
    <row r="1684" spans="27:39" x14ac:dyDescent="0.3">
      <c r="AA1684" t="str">
        <f>IF(COUNTA('Procyclean 210'!C186,'Procyclean 210'!D186,'Procyclean 210'!E186)&gt;0,"210","")</f>
        <v/>
      </c>
      <c r="AB1684" t="str">
        <f>IFERROR(IF(ISNUMBER('Procyclean 210'!C186),'Procyclean 210'!C186,DATEVALUE('Procyclean 210'!C186)),"")</f>
        <v/>
      </c>
      <c r="AC1684" t="str">
        <f>IF(AA1684="","",'Procyclean 210'!D186)</f>
        <v/>
      </c>
      <c r="AD1684" t="str">
        <f>IF(AA1684="","",IFERROR(1*'Procyclean 210'!E186,IFERROR(_xludf.NUMBERVALUE('Procyclean 210'!E186,".",","),IFERROR(_xludf.NUMBERVALUE('Procyclean 210'!E186,",","."),0))))</f>
        <v/>
      </c>
      <c r="AE1684" t="str">
        <f>IF(AA1684="","",'Procyclean 210'!B186)</f>
        <v/>
      </c>
      <c r="AF1684">
        <f t="shared" si="173"/>
        <v>0</v>
      </c>
      <c r="AG1684" t="str">
        <f t="shared" si="174"/>
        <v/>
      </c>
      <c r="AH1684" t="str">
        <f t="shared" si="175"/>
        <v/>
      </c>
      <c r="AI1684">
        <f t="shared" si="176"/>
        <v>0</v>
      </c>
      <c r="AJ1684">
        <f t="shared" si="177"/>
        <v>0</v>
      </c>
      <c r="AK1684">
        <v>0</v>
      </c>
      <c r="AL1684" t="str">
        <f>IF(AA1684="","",IFERROR(IF(ISNUMBER('Procyclean 210'!F186),'Procyclean 210'!F186,IF(ISNUMBER(SEARCH("12",'Procyclean 210'!F186)),EDATE(AB1684,12),IF(ISNUMBER(SEARCH("6",'Procyclean 210'!F186)),EDATE(AB1684,6),IF(ISNUMBER(SEARCH("3",'Procyclean 210'!F186)),EDATE(AB1684,3),DATEVALUE('Procyclean 210'!F186))))),""))</f>
        <v/>
      </c>
      <c r="AM1684" t="str">
        <f t="shared" ca="1" si="178"/>
        <v/>
      </c>
    </row>
    <row r="1685" spans="27:39" x14ac:dyDescent="0.3">
      <c r="AA1685" t="str">
        <f>IF(COUNTA('Procyclean 210'!C187,'Procyclean 210'!D187,'Procyclean 210'!E187)&gt;0,"210","")</f>
        <v/>
      </c>
      <c r="AB1685" t="str">
        <f>IFERROR(IF(ISNUMBER('Procyclean 210'!C187),'Procyclean 210'!C187,DATEVALUE('Procyclean 210'!C187)),"")</f>
        <v/>
      </c>
      <c r="AC1685" t="str">
        <f>IF(AA1685="","",'Procyclean 210'!D187)</f>
        <v/>
      </c>
      <c r="AD1685" t="str">
        <f>IF(AA1685="","",IFERROR(1*'Procyclean 210'!E187,IFERROR(_xludf.NUMBERVALUE('Procyclean 210'!E187,".",","),IFERROR(_xludf.NUMBERVALUE('Procyclean 210'!E187,",","."),0))))</f>
        <v/>
      </c>
      <c r="AE1685" t="str">
        <f>IF(AA1685="","",'Procyclean 210'!B187)</f>
        <v/>
      </c>
      <c r="AF1685">
        <f t="shared" si="173"/>
        <v>0</v>
      </c>
      <c r="AG1685" t="str">
        <f t="shared" si="174"/>
        <v/>
      </c>
      <c r="AH1685" t="str">
        <f t="shared" si="175"/>
        <v/>
      </c>
      <c r="AI1685">
        <f t="shared" si="176"/>
        <v>0</v>
      </c>
      <c r="AJ1685">
        <f t="shared" si="177"/>
        <v>0</v>
      </c>
      <c r="AK1685">
        <v>0</v>
      </c>
      <c r="AL1685" t="str">
        <f>IF(AA1685="","",IFERROR(IF(ISNUMBER('Procyclean 210'!F187),'Procyclean 210'!F187,IF(ISNUMBER(SEARCH("12",'Procyclean 210'!F187)),EDATE(AB1685,12),IF(ISNUMBER(SEARCH("6",'Procyclean 210'!F187)),EDATE(AB1685,6),IF(ISNUMBER(SEARCH("3",'Procyclean 210'!F187)),EDATE(AB1685,3),DATEVALUE('Procyclean 210'!F187))))),""))</f>
        <v/>
      </c>
      <c r="AM1685" t="str">
        <f t="shared" ca="1" si="178"/>
        <v/>
      </c>
    </row>
    <row r="1686" spans="27:39" x14ac:dyDescent="0.3">
      <c r="AA1686" t="str">
        <f>IF(COUNTA('Procyclean 210'!C188,'Procyclean 210'!D188,'Procyclean 210'!E188)&gt;0,"210","")</f>
        <v/>
      </c>
      <c r="AB1686" t="str">
        <f>IFERROR(IF(ISNUMBER('Procyclean 210'!C188),'Procyclean 210'!C188,DATEVALUE('Procyclean 210'!C188)),"")</f>
        <v/>
      </c>
      <c r="AC1686" t="str">
        <f>IF(AA1686="","",'Procyclean 210'!D188)</f>
        <v/>
      </c>
      <c r="AD1686" t="str">
        <f>IF(AA1686="","",IFERROR(1*'Procyclean 210'!E188,IFERROR(_xludf.NUMBERVALUE('Procyclean 210'!E188,".",","),IFERROR(_xludf.NUMBERVALUE('Procyclean 210'!E188,",","."),0))))</f>
        <v/>
      </c>
      <c r="AE1686" t="str">
        <f>IF(AA1686="","",'Procyclean 210'!B188)</f>
        <v/>
      </c>
      <c r="AF1686">
        <f t="shared" si="173"/>
        <v>0</v>
      </c>
      <c r="AG1686" t="str">
        <f t="shared" si="174"/>
        <v/>
      </c>
      <c r="AH1686" t="str">
        <f t="shared" si="175"/>
        <v/>
      </c>
      <c r="AI1686">
        <f t="shared" si="176"/>
        <v>0</v>
      </c>
      <c r="AJ1686">
        <f t="shared" si="177"/>
        <v>0</v>
      </c>
      <c r="AK1686">
        <v>0</v>
      </c>
      <c r="AL1686" t="str">
        <f>IF(AA1686="","",IFERROR(IF(ISNUMBER('Procyclean 210'!F188),'Procyclean 210'!F188,IF(ISNUMBER(SEARCH("12",'Procyclean 210'!F188)),EDATE(AB1686,12),IF(ISNUMBER(SEARCH("6",'Procyclean 210'!F188)),EDATE(AB1686,6),IF(ISNUMBER(SEARCH("3",'Procyclean 210'!F188)),EDATE(AB1686,3),DATEVALUE('Procyclean 210'!F188))))),""))</f>
        <v/>
      </c>
      <c r="AM1686" t="str">
        <f t="shared" ca="1" si="178"/>
        <v/>
      </c>
    </row>
    <row r="1687" spans="27:39" x14ac:dyDescent="0.3">
      <c r="AA1687" t="str">
        <f>IF(COUNTA('Procyclean 210'!C189,'Procyclean 210'!D189,'Procyclean 210'!E189)&gt;0,"210","")</f>
        <v/>
      </c>
      <c r="AB1687" t="str">
        <f>IFERROR(IF(ISNUMBER('Procyclean 210'!C189),'Procyclean 210'!C189,DATEVALUE('Procyclean 210'!C189)),"")</f>
        <v/>
      </c>
      <c r="AC1687" t="str">
        <f>IF(AA1687="","",'Procyclean 210'!D189)</f>
        <v/>
      </c>
      <c r="AD1687" t="str">
        <f>IF(AA1687="","",IFERROR(1*'Procyclean 210'!E189,IFERROR(_xludf.NUMBERVALUE('Procyclean 210'!E189,".",","),IFERROR(_xludf.NUMBERVALUE('Procyclean 210'!E189,",","."),0))))</f>
        <v/>
      </c>
      <c r="AE1687" t="str">
        <f>IF(AA1687="","",'Procyclean 210'!B189)</f>
        <v/>
      </c>
      <c r="AF1687">
        <f t="shared" si="173"/>
        <v>0</v>
      </c>
      <c r="AG1687" t="str">
        <f t="shared" si="174"/>
        <v/>
      </c>
      <c r="AH1687" t="str">
        <f t="shared" si="175"/>
        <v/>
      </c>
      <c r="AI1687">
        <f t="shared" si="176"/>
        <v>0</v>
      </c>
      <c r="AJ1687">
        <f t="shared" si="177"/>
        <v>0</v>
      </c>
      <c r="AK1687">
        <v>0</v>
      </c>
      <c r="AL1687" t="str">
        <f>IF(AA1687="","",IFERROR(IF(ISNUMBER('Procyclean 210'!F189),'Procyclean 210'!F189,IF(ISNUMBER(SEARCH("12",'Procyclean 210'!F189)),EDATE(AB1687,12),IF(ISNUMBER(SEARCH("6",'Procyclean 210'!F189)),EDATE(AB1687,6),IF(ISNUMBER(SEARCH("3",'Procyclean 210'!F189)),EDATE(AB1687,3),DATEVALUE('Procyclean 210'!F189))))),""))</f>
        <v/>
      </c>
      <c r="AM1687" t="str">
        <f t="shared" ca="1" si="178"/>
        <v/>
      </c>
    </row>
    <row r="1688" spans="27:39" x14ac:dyDescent="0.3">
      <c r="AA1688" t="str">
        <f>IF(COUNTA('Procyclean 210'!C190,'Procyclean 210'!D190,'Procyclean 210'!E190)&gt;0,"210","")</f>
        <v/>
      </c>
      <c r="AB1688" t="str">
        <f>IFERROR(IF(ISNUMBER('Procyclean 210'!C190),'Procyclean 210'!C190,DATEVALUE('Procyclean 210'!C190)),"")</f>
        <v/>
      </c>
      <c r="AC1688" t="str">
        <f>IF(AA1688="","",'Procyclean 210'!D190)</f>
        <v/>
      </c>
      <c r="AD1688" t="str">
        <f>IF(AA1688="","",IFERROR(1*'Procyclean 210'!E190,IFERROR(_xludf.NUMBERVALUE('Procyclean 210'!E190,".",","),IFERROR(_xludf.NUMBERVALUE('Procyclean 210'!E190,",","."),0))))</f>
        <v/>
      </c>
      <c r="AE1688" t="str">
        <f>IF(AA1688="","",'Procyclean 210'!B190)</f>
        <v/>
      </c>
      <c r="AF1688">
        <f t="shared" si="173"/>
        <v>0</v>
      </c>
      <c r="AG1688" t="str">
        <f t="shared" si="174"/>
        <v/>
      </c>
      <c r="AH1688" t="str">
        <f t="shared" si="175"/>
        <v/>
      </c>
      <c r="AI1688">
        <f t="shared" si="176"/>
        <v>0</v>
      </c>
      <c r="AJ1688">
        <f t="shared" si="177"/>
        <v>0</v>
      </c>
      <c r="AK1688">
        <v>0</v>
      </c>
      <c r="AL1688" t="str">
        <f>IF(AA1688="","",IFERROR(IF(ISNUMBER('Procyclean 210'!F190),'Procyclean 210'!F190,IF(ISNUMBER(SEARCH("12",'Procyclean 210'!F190)),EDATE(AB1688,12),IF(ISNUMBER(SEARCH("6",'Procyclean 210'!F190)),EDATE(AB1688,6),IF(ISNUMBER(SEARCH("3",'Procyclean 210'!F190)),EDATE(AB1688,3),DATEVALUE('Procyclean 210'!F190))))),""))</f>
        <v/>
      </c>
      <c r="AM1688" t="str">
        <f t="shared" ca="1" si="178"/>
        <v/>
      </c>
    </row>
    <row r="1689" spans="27:39" x14ac:dyDescent="0.3">
      <c r="AA1689" t="str">
        <f>IF(COUNTA('Procyclean 210'!C191,'Procyclean 210'!D191,'Procyclean 210'!E191)&gt;0,"210","")</f>
        <v/>
      </c>
      <c r="AB1689" t="str">
        <f>IFERROR(IF(ISNUMBER('Procyclean 210'!C191),'Procyclean 210'!C191,DATEVALUE('Procyclean 210'!C191)),"")</f>
        <v/>
      </c>
      <c r="AC1689" t="str">
        <f>IF(AA1689="","",'Procyclean 210'!D191)</f>
        <v/>
      </c>
      <c r="AD1689" t="str">
        <f>IF(AA1689="","",IFERROR(1*'Procyclean 210'!E191,IFERROR(_xludf.NUMBERVALUE('Procyclean 210'!E191,".",","),IFERROR(_xludf.NUMBERVALUE('Procyclean 210'!E191,",","."),0))))</f>
        <v/>
      </c>
      <c r="AE1689" t="str">
        <f>IF(AA1689="","",'Procyclean 210'!B191)</f>
        <v/>
      </c>
      <c r="AF1689">
        <f t="shared" si="173"/>
        <v>0</v>
      </c>
      <c r="AG1689" t="str">
        <f t="shared" si="174"/>
        <v/>
      </c>
      <c r="AH1689" t="str">
        <f t="shared" si="175"/>
        <v/>
      </c>
      <c r="AI1689">
        <f t="shared" si="176"/>
        <v>0</v>
      </c>
      <c r="AJ1689">
        <f t="shared" si="177"/>
        <v>0</v>
      </c>
      <c r="AK1689">
        <v>0</v>
      </c>
      <c r="AL1689" t="str">
        <f>IF(AA1689="","",IFERROR(IF(ISNUMBER('Procyclean 210'!F191),'Procyclean 210'!F191,IF(ISNUMBER(SEARCH("12",'Procyclean 210'!F191)),EDATE(AB1689,12),IF(ISNUMBER(SEARCH("6",'Procyclean 210'!F191)),EDATE(AB1689,6),IF(ISNUMBER(SEARCH("3",'Procyclean 210'!F191)),EDATE(AB1689,3),DATEVALUE('Procyclean 210'!F191))))),""))</f>
        <v/>
      </c>
      <c r="AM1689" t="str">
        <f t="shared" ca="1" si="178"/>
        <v/>
      </c>
    </row>
    <row r="1690" spans="27:39" x14ac:dyDescent="0.3">
      <c r="AA1690" t="str">
        <f>IF(COUNTA('Procyclean 210'!C192,'Procyclean 210'!D192,'Procyclean 210'!E192)&gt;0,"210","")</f>
        <v/>
      </c>
      <c r="AB1690" t="str">
        <f>IFERROR(IF(ISNUMBER('Procyclean 210'!C192),'Procyclean 210'!C192,DATEVALUE('Procyclean 210'!C192)),"")</f>
        <v/>
      </c>
      <c r="AC1690" t="str">
        <f>IF(AA1690="","",'Procyclean 210'!D192)</f>
        <v/>
      </c>
      <c r="AD1690" t="str">
        <f>IF(AA1690="","",IFERROR(1*'Procyclean 210'!E192,IFERROR(_xludf.NUMBERVALUE('Procyclean 210'!E192,".",","),IFERROR(_xludf.NUMBERVALUE('Procyclean 210'!E192,",","."),0))))</f>
        <v/>
      </c>
      <c r="AE1690" t="str">
        <f>IF(AA1690="","",'Procyclean 210'!B192)</f>
        <v/>
      </c>
      <c r="AF1690">
        <f t="shared" si="173"/>
        <v>0</v>
      </c>
      <c r="AG1690" t="str">
        <f t="shared" si="174"/>
        <v/>
      </c>
      <c r="AH1690" t="str">
        <f t="shared" si="175"/>
        <v/>
      </c>
      <c r="AI1690">
        <f t="shared" si="176"/>
        <v>0</v>
      </c>
      <c r="AJ1690">
        <f t="shared" si="177"/>
        <v>0</v>
      </c>
      <c r="AK1690">
        <v>0</v>
      </c>
      <c r="AL1690" t="str">
        <f>IF(AA1690="","",IFERROR(IF(ISNUMBER('Procyclean 210'!F192),'Procyclean 210'!F192,IF(ISNUMBER(SEARCH("12",'Procyclean 210'!F192)),EDATE(AB1690,12),IF(ISNUMBER(SEARCH("6",'Procyclean 210'!F192)),EDATE(AB1690,6),IF(ISNUMBER(SEARCH("3",'Procyclean 210'!F192)),EDATE(AB1690,3),DATEVALUE('Procyclean 210'!F192))))),""))</f>
        <v/>
      </c>
      <c r="AM1690" t="str">
        <f t="shared" ca="1" si="178"/>
        <v/>
      </c>
    </row>
    <row r="1691" spans="27:39" x14ac:dyDescent="0.3">
      <c r="AA1691" t="str">
        <f>IF(COUNTA('Procyclean 210'!C193,'Procyclean 210'!D193,'Procyclean 210'!E193)&gt;0,"210","")</f>
        <v/>
      </c>
      <c r="AB1691" t="str">
        <f>IFERROR(IF(ISNUMBER('Procyclean 210'!C193),'Procyclean 210'!C193,DATEVALUE('Procyclean 210'!C193)),"")</f>
        <v/>
      </c>
      <c r="AC1691" t="str">
        <f>IF(AA1691="","",'Procyclean 210'!D193)</f>
        <v/>
      </c>
      <c r="AD1691" t="str">
        <f>IF(AA1691="","",IFERROR(1*'Procyclean 210'!E193,IFERROR(_xludf.NUMBERVALUE('Procyclean 210'!E193,".",","),IFERROR(_xludf.NUMBERVALUE('Procyclean 210'!E193,",","."),0))))</f>
        <v/>
      </c>
      <c r="AE1691" t="str">
        <f>IF(AA1691="","",'Procyclean 210'!B193)</f>
        <v/>
      </c>
      <c r="AF1691">
        <f t="shared" si="173"/>
        <v>0</v>
      </c>
      <c r="AG1691" t="str">
        <f t="shared" si="174"/>
        <v/>
      </c>
      <c r="AH1691" t="str">
        <f t="shared" si="175"/>
        <v/>
      </c>
      <c r="AI1691">
        <f t="shared" si="176"/>
        <v>0</v>
      </c>
      <c r="AJ1691">
        <f t="shared" si="177"/>
        <v>0</v>
      </c>
      <c r="AK1691">
        <v>0</v>
      </c>
      <c r="AL1691" t="str">
        <f>IF(AA1691="","",IFERROR(IF(ISNUMBER('Procyclean 210'!F193),'Procyclean 210'!F193,IF(ISNUMBER(SEARCH("12",'Procyclean 210'!F193)),EDATE(AB1691,12),IF(ISNUMBER(SEARCH("6",'Procyclean 210'!F193)),EDATE(AB1691,6),IF(ISNUMBER(SEARCH("3",'Procyclean 210'!F193)),EDATE(AB1691,3),DATEVALUE('Procyclean 210'!F193))))),""))</f>
        <v/>
      </c>
      <c r="AM1691" t="str">
        <f t="shared" ca="1" si="178"/>
        <v/>
      </c>
    </row>
    <row r="1692" spans="27:39" x14ac:dyDescent="0.3">
      <c r="AA1692" t="str">
        <f>IF(COUNTA('Procyclean 210'!C194,'Procyclean 210'!D194,'Procyclean 210'!E194)&gt;0,"210","")</f>
        <v/>
      </c>
      <c r="AB1692" t="str">
        <f>IFERROR(IF(ISNUMBER('Procyclean 210'!C194),'Procyclean 210'!C194,DATEVALUE('Procyclean 210'!C194)),"")</f>
        <v/>
      </c>
      <c r="AC1692" t="str">
        <f>IF(AA1692="","",'Procyclean 210'!D194)</f>
        <v/>
      </c>
      <c r="AD1692" t="str">
        <f>IF(AA1692="","",IFERROR(1*'Procyclean 210'!E194,IFERROR(_xludf.NUMBERVALUE('Procyclean 210'!E194,".",","),IFERROR(_xludf.NUMBERVALUE('Procyclean 210'!E194,",","."),0))))</f>
        <v/>
      </c>
      <c r="AE1692" t="str">
        <f>IF(AA1692="","",'Procyclean 210'!B194)</f>
        <v/>
      </c>
      <c r="AF1692">
        <f t="shared" si="173"/>
        <v>0</v>
      </c>
      <c r="AG1692" t="str">
        <f t="shared" si="174"/>
        <v/>
      </c>
      <c r="AH1692" t="str">
        <f t="shared" si="175"/>
        <v/>
      </c>
      <c r="AI1692">
        <f t="shared" si="176"/>
        <v>0</v>
      </c>
      <c r="AJ1692">
        <f t="shared" si="177"/>
        <v>0</v>
      </c>
      <c r="AK1692">
        <v>0</v>
      </c>
      <c r="AL1692" t="str">
        <f>IF(AA1692="","",IFERROR(IF(ISNUMBER('Procyclean 210'!F194),'Procyclean 210'!F194,IF(ISNUMBER(SEARCH("12",'Procyclean 210'!F194)),EDATE(AB1692,12),IF(ISNUMBER(SEARCH("6",'Procyclean 210'!F194)),EDATE(AB1692,6),IF(ISNUMBER(SEARCH("3",'Procyclean 210'!F194)),EDATE(AB1692,3),DATEVALUE('Procyclean 210'!F194))))),""))</f>
        <v/>
      </c>
      <c r="AM1692" t="str">
        <f t="shared" ca="1" si="178"/>
        <v/>
      </c>
    </row>
    <row r="1693" spans="27:39" x14ac:dyDescent="0.3">
      <c r="AA1693" t="str">
        <f>IF(COUNTA('Procyclean 210'!C195,'Procyclean 210'!D195,'Procyclean 210'!E195)&gt;0,"210","")</f>
        <v/>
      </c>
      <c r="AB1693" t="str">
        <f>IFERROR(IF(ISNUMBER('Procyclean 210'!C195),'Procyclean 210'!C195,DATEVALUE('Procyclean 210'!C195)),"")</f>
        <v/>
      </c>
      <c r="AC1693" t="str">
        <f>IF(AA1693="","",'Procyclean 210'!D195)</f>
        <v/>
      </c>
      <c r="AD1693" t="str">
        <f>IF(AA1693="","",IFERROR(1*'Procyclean 210'!E195,IFERROR(_xludf.NUMBERVALUE('Procyclean 210'!E195,".",","),IFERROR(_xludf.NUMBERVALUE('Procyclean 210'!E195,",","."),0))))</f>
        <v/>
      </c>
      <c r="AE1693" t="str">
        <f>IF(AA1693="","",'Procyclean 210'!B195)</f>
        <v/>
      </c>
      <c r="AF1693">
        <f t="shared" si="173"/>
        <v>0</v>
      </c>
      <c r="AG1693" t="str">
        <f t="shared" si="174"/>
        <v/>
      </c>
      <c r="AH1693" t="str">
        <f t="shared" si="175"/>
        <v/>
      </c>
      <c r="AI1693">
        <f t="shared" si="176"/>
        <v>0</v>
      </c>
      <c r="AJ1693">
        <f t="shared" si="177"/>
        <v>0</v>
      </c>
      <c r="AK1693">
        <v>0</v>
      </c>
      <c r="AL1693" t="str">
        <f>IF(AA1693="","",IFERROR(IF(ISNUMBER('Procyclean 210'!F195),'Procyclean 210'!F195,IF(ISNUMBER(SEARCH("12",'Procyclean 210'!F195)),EDATE(AB1693,12),IF(ISNUMBER(SEARCH("6",'Procyclean 210'!F195)),EDATE(AB1693,6),IF(ISNUMBER(SEARCH("3",'Procyclean 210'!F195)),EDATE(AB1693,3),DATEVALUE('Procyclean 210'!F195))))),""))</f>
        <v/>
      </c>
      <c r="AM1693" t="str">
        <f t="shared" ca="1" si="178"/>
        <v/>
      </c>
    </row>
    <row r="1694" spans="27:39" x14ac:dyDescent="0.3">
      <c r="AA1694" t="str">
        <f>IF(COUNTA('Procyclean 210'!C196,'Procyclean 210'!D196,'Procyclean 210'!E196)&gt;0,"210","")</f>
        <v/>
      </c>
      <c r="AB1694" t="str">
        <f>IFERROR(IF(ISNUMBER('Procyclean 210'!C196),'Procyclean 210'!C196,DATEVALUE('Procyclean 210'!C196)),"")</f>
        <v/>
      </c>
      <c r="AC1694" t="str">
        <f>IF(AA1694="","",'Procyclean 210'!D196)</f>
        <v/>
      </c>
      <c r="AD1694" t="str">
        <f>IF(AA1694="","",IFERROR(1*'Procyclean 210'!E196,IFERROR(_xludf.NUMBERVALUE('Procyclean 210'!E196,".",","),IFERROR(_xludf.NUMBERVALUE('Procyclean 210'!E196,",","."),0))))</f>
        <v/>
      </c>
      <c r="AE1694" t="str">
        <f>IF(AA1694="","",'Procyclean 210'!B196)</f>
        <v/>
      </c>
      <c r="AF1694">
        <f t="shared" si="173"/>
        <v>0</v>
      </c>
      <c r="AG1694" t="str">
        <f t="shared" si="174"/>
        <v/>
      </c>
      <c r="AH1694" t="str">
        <f t="shared" si="175"/>
        <v/>
      </c>
      <c r="AI1694">
        <f t="shared" si="176"/>
        <v>0</v>
      </c>
      <c r="AJ1694">
        <f t="shared" si="177"/>
        <v>0</v>
      </c>
      <c r="AK1694">
        <v>0</v>
      </c>
      <c r="AL1694" t="str">
        <f>IF(AA1694="","",IFERROR(IF(ISNUMBER('Procyclean 210'!F196),'Procyclean 210'!F196,IF(ISNUMBER(SEARCH("12",'Procyclean 210'!F196)),EDATE(AB1694,12),IF(ISNUMBER(SEARCH("6",'Procyclean 210'!F196)),EDATE(AB1694,6),IF(ISNUMBER(SEARCH("3",'Procyclean 210'!F196)),EDATE(AB1694,3),DATEVALUE('Procyclean 210'!F196))))),""))</f>
        <v/>
      </c>
      <c r="AM1694" t="str">
        <f t="shared" ca="1" si="178"/>
        <v/>
      </c>
    </row>
    <row r="1695" spans="27:39" x14ac:dyDescent="0.3">
      <c r="AA1695" t="str">
        <f>IF(COUNTA('Procyclean 210'!C197,'Procyclean 210'!D197,'Procyclean 210'!E197)&gt;0,"210","")</f>
        <v/>
      </c>
      <c r="AB1695" t="str">
        <f>IFERROR(IF(ISNUMBER('Procyclean 210'!C197),'Procyclean 210'!C197,DATEVALUE('Procyclean 210'!C197)),"")</f>
        <v/>
      </c>
      <c r="AC1695" t="str">
        <f>IF(AA1695="","",'Procyclean 210'!D197)</f>
        <v/>
      </c>
      <c r="AD1695" t="str">
        <f>IF(AA1695="","",IFERROR(1*'Procyclean 210'!E197,IFERROR(_xludf.NUMBERVALUE('Procyclean 210'!E197,".",","),IFERROR(_xludf.NUMBERVALUE('Procyclean 210'!E197,",","."),0))))</f>
        <v/>
      </c>
      <c r="AE1695" t="str">
        <f>IF(AA1695="","",'Procyclean 210'!B197)</f>
        <v/>
      </c>
      <c r="AF1695">
        <f t="shared" si="173"/>
        <v>0</v>
      </c>
      <c r="AG1695" t="str">
        <f t="shared" si="174"/>
        <v/>
      </c>
      <c r="AH1695" t="str">
        <f t="shared" si="175"/>
        <v/>
      </c>
      <c r="AI1695">
        <f t="shared" si="176"/>
        <v>0</v>
      </c>
      <c r="AJ1695">
        <f t="shared" si="177"/>
        <v>0</v>
      </c>
      <c r="AK1695">
        <v>0</v>
      </c>
      <c r="AL1695" t="str">
        <f>IF(AA1695="","",IFERROR(IF(ISNUMBER('Procyclean 210'!F197),'Procyclean 210'!F197,IF(ISNUMBER(SEARCH("12",'Procyclean 210'!F197)),EDATE(AB1695,12),IF(ISNUMBER(SEARCH("6",'Procyclean 210'!F197)),EDATE(AB1695,6),IF(ISNUMBER(SEARCH("3",'Procyclean 210'!F197)),EDATE(AB1695,3),DATEVALUE('Procyclean 210'!F197))))),""))</f>
        <v/>
      </c>
      <c r="AM1695" t="str">
        <f t="shared" ca="1" si="178"/>
        <v/>
      </c>
    </row>
    <row r="1696" spans="27:39" x14ac:dyDescent="0.3">
      <c r="AA1696" t="str">
        <f>IF(COUNTA('Procyclean 210'!C198,'Procyclean 210'!D198,'Procyclean 210'!E198)&gt;0,"210","")</f>
        <v/>
      </c>
      <c r="AB1696" t="str">
        <f>IFERROR(IF(ISNUMBER('Procyclean 210'!C198),'Procyclean 210'!C198,DATEVALUE('Procyclean 210'!C198)),"")</f>
        <v/>
      </c>
      <c r="AC1696" t="str">
        <f>IF(AA1696="","",'Procyclean 210'!D198)</f>
        <v/>
      </c>
      <c r="AD1696" t="str">
        <f>IF(AA1696="","",IFERROR(1*'Procyclean 210'!E198,IFERROR(_xludf.NUMBERVALUE('Procyclean 210'!E198,".",","),IFERROR(_xludf.NUMBERVALUE('Procyclean 210'!E198,",","."),0))))</f>
        <v/>
      </c>
      <c r="AE1696" t="str">
        <f>IF(AA1696="","",'Procyclean 210'!B198)</f>
        <v/>
      </c>
      <c r="AF1696">
        <f t="shared" si="173"/>
        <v>0</v>
      </c>
      <c r="AG1696" t="str">
        <f t="shared" si="174"/>
        <v/>
      </c>
      <c r="AH1696" t="str">
        <f t="shared" si="175"/>
        <v/>
      </c>
      <c r="AI1696">
        <f t="shared" si="176"/>
        <v>0</v>
      </c>
      <c r="AJ1696">
        <f t="shared" si="177"/>
        <v>0</v>
      </c>
      <c r="AK1696">
        <v>0</v>
      </c>
      <c r="AL1696" t="str">
        <f>IF(AA1696="","",IFERROR(IF(ISNUMBER('Procyclean 210'!F198),'Procyclean 210'!F198,IF(ISNUMBER(SEARCH("12",'Procyclean 210'!F198)),EDATE(AB1696,12),IF(ISNUMBER(SEARCH("6",'Procyclean 210'!F198)),EDATE(AB1696,6),IF(ISNUMBER(SEARCH("3",'Procyclean 210'!F198)),EDATE(AB1696,3),DATEVALUE('Procyclean 210'!F198))))),""))</f>
        <v/>
      </c>
      <c r="AM1696" t="str">
        <f t="shared" ca="1" si="178"/>
        <v/>
      </c>
    </row>
    <row r="1697" spans="27:39" x14ac:dyDescent="0.3">
      <c r="AA1697" t="str">
        <f>IF(COUNTA('Procyclean 210'!C199,'Procyclean 210'!D199,'Procyclean 210'!E199)&gt;0,"210","")</f>
        <v/>
      </c>
      <c r="AB1697" t="str">
        <f>IFERROR(IF(ISNUMBER('Procyclean 210'!C199),'Procyclean 210'!C199,DATEVALUE('Procyclean 210'!C199)),"")</f>
        <v/>
      </c>
      <c r="AC1697" t="str">
        <f>IF(AA1697="","",'Procyclean 210'!D199)</f>
        <v/>
      </c>
      <c r="AD1697" t="str">
        <f>IF(AA1697="","",IFERROR(1*'Procyclean 210'!E199,IFERROR(_xludf.NUMBERVALUE('Procyclean 210'!E199,".",","),IFERROR(_xludf.NUMBERVALUE('Procyclean 210'!E199,",","."),0))))</f>
        <v/>
      </c>
      <c r="AE1697" t="str">
        <f>IF(AA1697="","",'Procyclean 210'!B199)</f>
        <v/>
      </c>
      <c r="AF1697">
        <f t="shared" si="173"/>
        <v>0</v>
      </c>
      <c r="AG1697" t="str">
        <f t="shared" si="174"/>
        <v/>
      </c>
      <c r="AH1697" t="str">
        <f t="shared" si="175"/>
        <v/>
      </c>
      <c r="AI1697">
        <f t="shared" si="176"/>
        <v>0</v>
      </c>
      <c r="AJ1697">
        <f t="shared" si="177"/>
        <v>0</v>
      </c>
      <c r="AK1697">
        <v>0</v>
      </c>
      <c r="AL1697" t="str">
        <f>IF(AA1697="","",IFERROR(IF(ISNUMBER('Procyclean 210'!F199),'Procyclean 210'!F199,IF(ISNUMBER(SEARCH("12",'Procyclean 210'!F199)),EDATE(AB1697,12),IF(ISNUMBER(SEARCH("6",'Procyclean 210'!F199)),EDATE(AB1697,6),IF(ISNUMBER(SEARCH("3",'Procyclean 210'!F199)),EDATE(AB1697,3),DATEVALUE('Procyclean 210'!F199))))),""))</f>
        <v/>
      </c>
      <c r="AM1697" t="str">
        <f t="shared" ca="1" si="178"/>
        <v/>
      </c>
    </row>
    <row r="1698" spans="27:39" x14ac:dyDescent="0.3">
      <c r="AA1698" t="str">
        <f>IF(COUNTA('Procyclean 210'!C200,'Procyclean 210'!D200,'Procyclean 210'!E200)&gt;0,"210","")</f>
        <v/>
      </c>
      <c r="AB1698" t="str">
        <f>IFERROR(IF(ISNUMBER('Procyclean 210'!C200),'Procyclean 210'!C200,DATEVALUE('Procyclean 210'!C200)),"")</f>
        <v/>
      </c>
      <c r="AC1698" t="str">
        <f>IF(AA1698="","",'Procyclean 210'!D200)</f>
        <v/>
      </c>
      <c r="AD1698" t="str">
        <f>IF(AA1698="","",IFERROR(1*'Procyclean 210'!E200,IFERROR(_xludf.NUMBERVALUE('Procyclean 210'!E200,".",","),IFERROR(_xludf.NUMBERVALUE('Procyclean 210'!E200,",","."),0))))</f>
        <v/>
      </c>
      <c r="AE1698" t="str">
        <f>IF(AA1698="","",'Procyclean 210'!B200)</f>
        <v/>
      </c>
      <c r="AF1698">
        <f t="shared" si="173"/>
        <v>0</v>
      </c>
      <c r="AG1698" t="str">
        <f t="shared" si="174"/>
        <v/>
      </c>
      <c r="AH1698" t="str">
        <f t="shared" si="175"/>
        <v/>
      </c>
      <c r="AI1698">
        <f t="shared" si="176"/>
        <v>0</v>
      </c>
      <c r="AJ1698">
        <f t="shared" si="177"/>
        <v>0</v>
      </c>
      <c r="AK1698">
        <v>0</v>
      </c>
      <c r="AL1698" t="str">
        <f>IF(AA1698="","",IFERROR(IF(ISNUMBER('Procyclean 210'!F200),'Procyclean 210'!F200,IF(ISNUMBER(SEARCH("12",'Procyclean 210'!F200)),EDATE(AB1698,12),IF(ISNUMBER(SEARCH("6",'Procyclean 210'!F200)),EDATE(AB1698,6),IF(ISNUMBER(SEARCH("3",'Procyclean 210'!F200)),EDATE(AB1698,3),DATEVALUE('Procyclean 210'!F200))))),""))</f>
        <v/>
      </c>
      <c r="AM1698" t="str">
        <f t="shared" ca="1" si="178"/>
        <v/>
      </c>
    </row>
    <row r="1699" spans="27:39" x14ac:dyDescent="0.3">
      <c r="AA1699" t="str">
        <f>IF(COUNTA('Procyclean 210'!C201,'Procyclean 210'!D201,'Procyclean 210'!E201)&gt;0,"210","")</f>
        <v/>
      </c>
      <c r="AB1699" t="str">
        <f>IFERROR(IF(ISNUMBER('Procyclean 210'!C201),'Procyclean 210'!C201,DATEVALUE('Procyclean 210'!C201)),"")</f>
        <v/>
      </c>
      <c r="AC1699" t="str">
        <f>IF(AA1699="","",'Procyclean 210'!D201)</f>
        <v/>
      </c>
      <c r="AD1699" t="str">
        <f>IF(AA1699="","",IFERROR(1*'Procyclean 210'!E201,IFERROR(_xludf.NUMBERVALUE('Procyclean 210'!E201,".",","),IFERROR(_xludf.NUMBERVALUE('Procyclean 210'!E201,",","."),0))))</f>
        <v/>
      </c>
      <c r="AE1699" t="str">
        <f>IF(AA1699="","",'Procyclean 210'!B201)</f>
        <v/>
      </c>
      <c r="AF1699">
        <f t="shared" si="173"/>
        <v>0</v>
      </c>
      <c r="AG1699" t="str">
        <f t="shared" si="174"/>
        <v/>
      </c>
      <c r="AH1699" t="str">
        <f t="shared" si="175"/>
        <v/>
      </c>
      <c r="AI1699">
        <f t="shared" si="176"/>
        <v>0</v>
      </c>
      <c r="AJ1699">
        <f t="shared" si="177"/>
        <v>0</v>
      </c>
      <c r="AK1699">
        <v>0</v>
      </c>
      <c r="AL1699" t="str">
        <f>IF(AA1699="","",IFERROR(IF(ISNUMBER('Procyclean 210'!F201),'Procyclean 210'!F201,IF(ISNUMBER(SEARCH("12",'Procyclean 210'!F201)),EDATE(AB1699,12),IF(ISNUMBER(SEARCH("6",'Procyclean 210'!F201)),EDATE(AB1699,6),IF(ISNUMBER(SEARCH("3",'Procyclean 210'!F201)),EDATE(AB1699,3),DATEVALUE('Procyclean 210'!F201))))),""))</f>
        <v/>
      </c>
      <c r="AM1699" t="str">
        <f t="shared" ca="1" si="178"/>
        <v/>
      </c>
    </row>
    <row r="1700" spans="27:39" x14ac:dyDescent="0.3">
      <c r="AA1700" t="str">
        <f>IF(COUNTA('Procyclean 210'!C202,'Procyclean 210'!D202,'Procyclean 210'!E202)&gt;0,"210","")</f>
        <v/>
      </c>
      <c r="AB1700" t="str">
        <f>IFERROR(IF(ISNUMBER('Procyclean 210'!C202),'Procyclean 210'!C202,DATEVALUE('Procyclean 210'!C202)),"")</f>
        <v/>
      </c>
      <c r="AC1700" t="str">
        <f>IF(AA1700="","",'Procyclean 210'!D202)</f>
        <v/>
      </c>
      <c r="AD1700" t="str">
        <f>IF(AA1700="","",IFERROR(1*'Procyclean 210'!E202,IFERROR(_xludf.NUMBERVALUE('Procyclean 210'!E202,".",","),IFERROR(_xludf.NUMBERVALUE('Procyclean 210'!E202,",","."),0))))</f>
        <v/>
      </c>
      <c r="AE1700" t="str">
        <f>IF(AA1700="","",'Procyclean 210'!B202)</f>
        <v/>
      </c>
      <c r="AF1700">
        <f t="shared" si="173"/>
        <v>0</v>
      </c>
      <c r="AG1700" t="str">
        <f t="shared" si="174"/>
        <v/>
      </c>
      <c r="AH1700" t="str">
        <f t="shared" si="175"/>
        <v/>
      </c>
      <c r="AI1700">
        <f t="shared" si="176"/>
        <v>0</v>
      </c>
      <c r="AJ1700">
        <f t="shared" si="177"/>
        <v>0</v>
      </c>
      <c r="AK1700">
        <v>0</v>
      </c>
      <c r="AL1700" t="str">
        <f>IF(AA1700="","",IFERROR(IF(ISNUMBER('Procyclean 210'!F202),'Procyclean 210'!F202,IF(ISNUMBER(SEARCH("12",'Procyclean 210'!F202)),EDATE(AB1700,12),IF(ISNUMBER(SEARCH("6",'Procyclean 210'!F202)),EDATE(AB1700,6),IF(ISNUMBER(SEARCH("3",'Procyclean 210'!F202)),EDATE(AB1700,3),DATEVALUE('Procyclean 210'!F202))))),""))</f>
        <v/>
      </c>
      <c r="AM1700" t="str">
        <f t="shared" ca="1" si="178"/>
        <v/>
      </c>
    </row>
    <row r="1701" spans="27:39" x14ac:dyDescent="0.3">
      <c r="AA1701" t="str">
        <f>IF(COUNTA('Procyclean 210'!C203,'Procyclean 210'!D203,'Procyclean 210'!E203)&gt;0,"210","")</f>
        <v/>
      </c>
      <c r="AB1701" t="str">
        <f>IFERROR(IF(ISNUMBER('Procyclean 210'!C203),'Procyclean 210'!C203,DATEVALUE('Procyclean 210'!C203)),"")</f>
        <v/>
      </c>
      <c r="AC1701" t="str">
        <f>IF(AA1701="","",'Procyclean 210'!D203)</f>
        <v/>
      </c>
      <c r="AD1701" t="str">
        <f>IF(AA1701="","",IFERROR(1*'Procyclean 210'!E203,IFERROR(_xludf.NUMBERVALUE('Procyclean 210'!E203,".",","),IFERROR(_xludf.NUMBERVALUE('Procyclean 210'!E203,",","."),0))))</f>
        <v/>
      </c>
      <c r="AE1701" t="str">
        <f>IF(AA1701="","",'Procyclean 210'!B203)</f>
        <v/>
      </c>
      <c r="AF1701">
        <f t="shared" si="173"/>
        <v>0</v>
      </c>
      <c r="AG1701" t="str">
        <f t="shared" si="174"/>
        <v/>
      </c>
      <c r="AH1701" t="str">
        <f t="shared" si="175"/>
        <v/>
      </c>
      <c r="AI1701">
        <f t="shared" si="176"/>
        <v>0</v>
      </c>
      <c r="AJ1701">
        <f t="shared" si="177"/>
        <v>0</v>
      </c>
      <c r="AK1701">
        <v>0</v>
      </c>
      <c r="AL1701" t="str">
        <f>IF(AA1701="","",IFERROR(IF(ISNUMBER('Procyclean 210'!F203),'Procyclean 210'!F203,IF(ISNUMBER(SEARCH("12",'Procyclean 210'!F203)),EDATE(AB1701,12),IF(ISNUMBER(SEARCH("6",'Procyclean 210'!F203)),EDATE(AB1701,6),IF(ISNUMBER(SEARCH("3",'Procyclean 210'!F203)),EDATE(AB1701,3),DATEVALUE('Procyclean 210'!F203))))),""))</f>
        <v/>
      </c>
      <c r="AM1701" t="str">
        <f t="shared" ca="1" si="178"/>
        <v/>
      </c>
    </row>
    <row r="1702" spans="27:39" x14ac:dyDescent="0.3">
      <c r="AA1702" t="str">
        <f>IF(COUNTA('Procyclean 210'!C204,'Procyclean 210'!D204,'Procyclean 210'!E204)&gt;0,"210","")</f>
        <v/>
      </c>
      <c r="AB1702" t="str">
        <f>IFERROR(IF(ISNUMBER('Procyclean 210'!C204),'Procyclean 210'!C204,DATEVALUE('Procyclean 210'!C204)),"")</f>
        <v/>
      </c>
      <c r="AC1702" t="str">
        <f>IF(AA1702="","",'Procyclean 210'!D204)</f>
        <v/>
      </c>
      <c r="AD1702" t="str">
        <f>IF(AA1702="","",IFERROR(1*'Procyclean 210'!E204,IFERROR(_xludf.NUMBERVALUE('Procyclean 210'!E204,".",","),IFERROR(_xludf.NUMBERVALUE('Procyclean 210'!E204,",","."),0))))</f>
        <v/>
      </c>
      <c r="AE1702" t="str">
        <f>IF(AA1702="","",'Procyclean 210'!B204)</f>
        <v/>
      </c>
      <c r="AF1702">
        <f t="shared" si="173"/>
        <v>0</v>
      </c>
      <c r="AG1702" t="str">
        <f t="shared" si="174"/>
        <v/>
      </c>
      <c r="AH1702" t="str">
        <f t="shared" si="175"/>
        <v/>
      </c>
      <c r="AI1702">
        <f t="shared" si="176"/>
        <v>0</v>
      </c>
      <c r="AJ1702">
        <f t="shared" si="177"/>
        <v>0</v>
      </c>
      <c r="AK1702">
        <v>0</v>
      </c>
      <c r="AL1702" t="str">
        <f>IF(AA1702="","",IFERROR(IF(ISNUMBER('Procyclean 210'!F204),'Procyclean 210'!F204,IF(ISNUMBER(SEARCH("12",'Procyclean 210'!F204)),EDATE(AB1702,12),IF(ISNUMBER(SEARCH("6",'Procyclean 210'!F204)),EDATE(AB1702,6),IF(ISNUMBER(SEARCH("3",'Procyclean 210'!F204)),EDATE(AB1702,3),DATEVALUE('Procyclean 210'!F204))))),""))</f>
        <v/>
      </c>
      <c r="AM1702" t="str">
        <f t="shared" ca="1" si="178"/>
        <v/>
      </c>
    </row>
    <row r="1703" spans="27:39" x14ac:dyDescent="0.3">
      <c r="AA1703" t="str">
        <f>IF(COUNTA('Procyclean 210'!C205,'Procyclean 210'!D205,'Procyclean 210'!E205)&gt;0,"210","")</f>
        <v/>
      </c>
      <c r="AB1703" t="str">
        <f>IFERROR(IF(ISNUMBER('Procyclean 210'!C205),'Procyclean 210'!C205,DATEVALUE('Procyclean 210'!C205)),"")</f>
        <v/>
      </c>
      <c r="AC1703" t="str">
        <f>IF(AA1703="","",'Procyclean 210'!D205)</f>
        <v/>
      </c>
      <c r="AD1703" t="str">
        <f>IF(AA1703="","",IFERROR(1*'Procyclean 210'!E205,IFERROR(_xludf.NUMBERVALUE('Procyclean 210'!E205,".",","),IFERROR(_xludf.NUMBERVALUE('Procyclean 210'!E205,",","."),0))))</f>
        <v/>
      </c>
      <c r="AE1703" t="str">
        <f>IF(AA1703="","",'Procyclean 210'!B205)</f>
        <v/>
      </c>
      <c r="AF1703">
        <f t="shared" si="173"/>
        <v>0</v>
      </c>
      <c r="AG1703" t="str">
        <f t="shared" si="174"/>
        <v/>
      </c>
      <c r="AH1703" t="str">
        <f t="shared" si="175"/>
        <v/>
      </c>
      <c r="AI1703">
        <f t="shared" si="176"/>
        <v>0</v>
      </c>
      <c r="AJ1703">
        <f t="shared" si="177"/>
        <v>0</v>
      </c>
      <c r="AK1703">
        <v>0</v>
      </c>
      <c r="AL1703" t="str">
        <f>IF(AA1703="","",IFERROR(IF(ISNUMBER('Procyclean 210'!F205),'Procyclean 210'!F205,IF(ISNUMBER(SEARCH("12",'Procyclean 210'!F205)),EDATE(AB1703,12),IF(ISNUMBER(SEARCH("6",'Procyclean 210'!F205)),EDATE(AB1703,6),IF(ISNUMBER(SEARCH("3",'Procyclean 210'!F205)),EDATE(AB1703,3),DATEVALUE('Procyclean 210'!F205))))),""))</f>
        <v/>
      </c>
      <c r="AM1703" t="str">
        <f t="shared" ca="1" si="178"/>
        <v/>
      </c>
    </row>
    <row r="1704" spans="27:39" x14ac:dyDescent="0.3">
      <c r="AA1704" t="str">
        <f>IF(COUNTA('Procyclean 210'!C206,'Procyclean 210'!D206,'Procyclean 210'!E206)&gt;0,"210","")</f>
        <v/>
      </c>
      <c r="AB1704" t="str">
        <f>IFERROR(IF(ISNUMBER('Procyclean 210'!C206),'Procyclean 210'!C206,DATEVALUE('Procyclean 210'!C206)),"")</f>
        <v/>
      </c>
      <c r="AC1704" t="str">
        <f>IF(AA1704="","",'Procyclean 210'!D206)</f>
        <v/>
      </c>
      <c r="AD1704" t="str">
        <f>IF(AA1704="","",IFERROR(1*'Procyclean 210'!E206,IFERROR(_xludf.NUMBERVALUE('Procyclean 210'!E206,".",","),IFERROR(_xludf.NUMBERVALUE('Procyclean 210'!E206,",","."),0))))</f>
        <v/>
      </c>
      <c r="AE1704" t="str">
        <f>IF(AA1704="","",'Procyclean 210'!B206)</f>
        <v/>
      </c>
      <c r="AF1704">
        <f t="shared" si="173"/>
        <v>0</v>
      </c>
      <c r="AG1704" t="str">
        <f t="shared" si="174"/>
        <v/>
      </c>
      <c r="AH1704" t="str">
        <f t="shared" si="175"/>
        <v/>
      </c>
      <c r="AI1704">
        <f t="shared" si="176"/>
        <v>0</v>
      </c>
      <c r="AJ1704">
        <f t="shared" si="177"/>
        <v>0</v>
      </c>
      <c r="AK1704">
        <v>0</v>
      </c>
      <c r="AL1704" t="str">
        <f>IF(AA1704="","",IFERROR(IF(ISNUMBER('Procyclean 210'!F206),'Procyclean 210'!F206,IF(ISNUMBER(SEARCH("12",'Procyclean 210'!F206)),EDATE(AB1704,12),IF(ISNUMBER(SEARCH("6",'Procyclean 210'!F206)),EDATE(AB1704,6),IF(ISNUMBER(SEARCH("3",'Procyclean 210'!F206)),EDATE(AB1704,3),DATEVALUE('Procyclean 210'!F206))))),""))</f>
        <v/>
      </c>
      <c r="AM1704" t="str">
        <f t="shared" ca="1" si="178"/>
        <v/>
      </c>
    </row>
    <row r="1705" spans="27:39" x14ac:dyDescent="0.3">
      <c r="AA1705" t="str">
        <f>IF(COUNTA('Procyclean 210'!C207,'Procyclean 210'!D207,'Procyclean 210'!E207)&gt;0,"210","")</f>
        <v/>
      </c>
      <c r="AB1705" t="str">
        <f>IFERROR(IF(ISNUMBER('Procyclean 210'!C207),'Procyclean 210'!C207,DATEVALUE('Procyclean 210'!C207)),"")</f>
        <v/>
      </c>
      <c r="AC1705" t="str">
        <f>IF(AA1705="","",'Procyclean 210'!D207)</f>
        <v/>
      </c>
      <c r="AD1705" t="str">
        <f>IF(AA1705="","",IFERROR(1*'Procyclean 210'!E207,IFERROR(_xludf.NUMBERVALUE('Procyclean 210'!E207,".",","),IFERROR(_xludf.NUMBERVALUE('Procyclean 210'!E207,",","."),0))))</f>
        <v/>
      </c>
      <c r="AE1705" t="str">
        <f>IF(AA1705="","",'Procyclean 210'!B207)</f>
        <v/>
      </c>
      <c r="AF1705">
        <f t="shared" si="173"/>
        <v>0</v>
      </c>
      <c r="AG1705" t="str">
        <f t="shared" si="174"/>
        <v/>
      </c>
      <c r="AH1705" t="str">
        <f t="shared" si="175"/>
        <v/>
      </c>
      <c r="AI1705">
        <f t="shared" si="176"/>
        <v>0</v>
      </c>
      <c r="AJ1705">
        <f t="shared" si="177"/>
        <v>0</v>
      </c>
      <c r="AK1705">
        <v>0</v>
      </c>
      <c r="AL1705" t="str">
        <f>IF(AA1705="","",IFERROR(IF(ISNUMBER('Procyclean 210'!F207),'Procyclean 210'!F207,IF(ISNUMBER(SEARCH("12",'Procyclean 210'!F207)),EDATE(AB1705,12),IF(ISNUMBER(SEARCH("6",'Procyclean 210'!F207)),EDATE(AB1705,6),IF(ISNUMBER(SEARCH("3",'Procyclean 210'!F207)),EDATE(AB1705,3),DATEVALUE('Procyclean 210'!F207))))),""))</f>
        <v/>
      </c>
      <c r="AM1705" t="str">
        <f t="shared" ca="1" si="178"/>
        <v/>
      </c>
    </row>
    <row r="1706" spans="27:39" x14ac:dyDescent="0.3">
      <c r="AA1706" t="str">
        <f>IF(COUNTA('Procyclean 210'!C208,'Procyclean 210'!D208,'Procyclean 210'!E208)&gt;0,"210","")</f>
        <v/>
      </c>
      <c r="AB1706" t="str">
        <f>IFERROR(IF(ISNUMBER('Procyclean 210'!C208),'Procyclean 210'!C208,DATEVALUE('Procyclean 210'!C208)),"")</f>
        <v/>
      </c>
      <c r="AC1706" t="str">
        <f>IF(AA1706="","",'Procyclean 210'!D208)</f>
        <v/>
      </c>
      <c r="AD1706" t="str">
        <f>IF(AA1706="","",IFERROR(1*'Procyclean 210'!E208,IFERROR(_xludf.NUMBERVALUE('Procyclean 210'!E208,".",","),IFERROR(_xludf.NUMBERVALUE('Procyclean 210'!E208,",","."),0))))</f>
        <v/>
      </c>
      <c r="AE1706" t="str">
        <f>IF(AA1706="","",'Procyclean 210'!B208)</f>
        <v/>
      </c>
      <c r="AF1706">
        <f t="shared" si="173"/>
        <v>0</v>
      </c>
      <c r="AG1706" t="str">
        <f t="shared" si="174"/>
        <v/>
      </c>
      <c r="AH1706" t="str">
        <f t="shared" si="175"/>
        <v/>
      </c>
      <c r="AI1706">
        <f t="shared" si="176"/>
        <v>0</v>
      </c>
      <c r="AJ1706">
        <f t="shared" si="177"/>
        <v>0</v>
      </c>
      <c r="AK1706">
        <v>0</v>
      </c>
      <c r="AL1706" t="str">
        <f>IF(AA1706="","",IFERROR(IF(ISNUMBER('Procyclean 210'!F208),'Procyclean 210'!F208,IF(ISNUMBER(SEARCH("12",'Procyclean 210'!F208)),EDATE(AB1706,12),IF(ISNUMBER(SEARCH("6",'Procyclean 210'!F208)),EDATE(AB1706,6),IF(ISNUMBER(SEARCH("3",'Procyclean 210'!F208)),EDATE(AB1706,3),DATEVALUE('Procyclean 210'!F208))))),""))</f>
        <v/>
      </c>
      <c r="AM1706" t="str">
        <f t="shared" ca="1" si="178"/>
        <v/>
      </c>
    </row>
    <row r="1707" spans="27:39" x14ac:dyDescent="0.3">
      <c r="AA1707" t="str">
        <f>IF(COUNTA('Procyclean 210'!C209,'Procyclean 210'!D209,'Procyclean 210'!E209)&gt;0,"210","")</f>
        <v/>
      </c>
      <c r="AB1707" t="str">
        <f>IFERROR(IF(ISNUMBER('Procyclean 210'!C209),'Procyclean 210'!C209,DATEVALUE('Procyclean 210'!C209)),"")</f>
        <v/>
      </c>
      <c r="AC1707" t="str">
        <f>IF(AA1707="","",'Procyclean 210'!D209)</f>
        <v/>
      </c>
      <c r="AD1707" t="str">
        <f>IF(AA1707="","",IFERROR(1*'Procyclean 210'!E209,IFERROR(_xludf.NUMBERVALUE('Procyclean 210'!E209,".",","),IFERROR(_xludf.NUMBERVALUE('Procyclean 210'!E209,",","."),0))))</f>
        <v/>
      </c>
      <c r="AE1707" t="str">
        <f>IF(AA1707="","",'Procyclean 210'!B209)</f>
        <v/>
      </c>
      <c r="AF1707">
        <f t="shared" si="173"/>
        <v>0</v>
      </c>
      <c r="AG1707" t="str">
        <f t="shared" si="174"/>
        <v/>
      </c>
      <c r="AH1707" t="str">
        <f t="shared" si="175"/>
        <v/>
      </c>
      <c r="AI1707">
        <f t="shared" si="176"/>
        <v>0</v>
      </c>
      <c r="AJ1707">
        <f t="shared" si="177"/>
        <v>0</v>
      </c>
      <c r="AK1707">
        <v>0</v>
      </c>
      <c r="AL1707" t="str">
        <f>IF(AA1707="","",IFERROR(IF(ISNUMBER('Procyclean 210'!F209),'Procyclean 210'!F209,IF(ISNUMBER(SEARCH("12",'Procyclean 210'!F209)),EDATE(AB1707,12),IF(ISNUMBER(SEARCH("6",'Procyclean 210'!F209)),EDATE(AB1707,6),IF(ISNUMBER(SEARCH("3",'Procyclean 210'!F209)),EDATE(AB1707,3),DATEVALUE('Procyclean 210'!F209))))),""))</f>
        <v/>
      </c>
      <c r="AM1707" t="str">
        <f t="shared" ca="1" si="178"/>
        <v/>
      </c>
    </row>
    <row r="1708" spans="27:39" x14ac:dyDescent="0.3">
      <c r="AA1708" t="str">
        <f>IF(COUNTA('Procyclean 210'!C210,'Procyclean 210'!D210,'Procyclean 210'!E210)&gt;0,"210","")</f>
        <v/>
      </c>
      <c r="AB1708" t="str">
        <f>IFERROR(IF(ISNUMBER('Procyclean 210'!C210),'Procyclean 210'!C210,DATEVALUE('Procyclean 210'!C210)),"")</f>
        <v/>
      </c>
      <c r="AC1708" t="str">
        <f>IF(AA1708="","",'Procyclean 210'!D210)</f>
        <v/>
      </c>
      <c r="AD1708" t="str">
        <f>IF(AA1708="","",IFERROR(1*'Procyclean 210'!E210,IFERROR(_xludf.NUMBERVALUE('Procyclean 210'!E210,".",","),IFERROR(_xludf.NUMBERVALUE('Procyclean 210'!E210,",","."),0))))</f>
        <v/>
      </c>
      <c r="AE1708" t="str">
        <f>IF(AA1708="","",'Procyclean 210'!B210)</f>
        <v/>
      </c>
      <c r="AF1708">
        <f t="shared" si="173"/>
        <v>0</v>
      </c>
      <c r="AG1708" t="str">
        <f t="shared" si="174"/>
        <v/>
      </c>
      <c r="AH1708" t="str">
        <f t="shared" si="175"/>
        <v/>
      </c>
      <c r="AI1708">
        <f t="shared" si="176"/>
        <v>0</v>
      </c>
      <c r="AJ1708">
        <f t="shared" si="177"/>
        <v>0</v>
      </c>
      <c r="AK1708">
        <v>0</v>
      </c>
      <c r="AL1708" t="str">
        <f>IF(AA1708="","",IFERROR(IF(ISNUMBER('Procyclean 210'!F210),'Procyclean 210'!F210,IF(ISNUMBER(SEARCH("12",'Procyclean 210'!F210)),EDATE(AB1708,12),IF(ISNUMBER(SEARCH("6",'Procyclean 210'!F210)),EDATE(AB1708,6),IF(ISNUMBER(SEARCH("3",'Procyclean 210'!F210)),EDATE(AB1708,3),DATEVALUE('Procyclean 210'!F210))))),""))</f>
        <v/>
      </c>
      <c r="AM1708" t="str">
        <f t="shared" ca="1" si="178"/>
        <v/>
      </c>
    </row>
    <row r="1709" spans="27:39" x14ac:dyDescent="0.3">
      <c r="AA1709" t="str">
        <f>IF(COUNTA('Procyclean 210'!C211,'Procyclean 210'!D211,'Procyclean 210'!E211)&gt;0,"210","")</f>
        <v/>
      </c>
      <c r="AB1709" t="str">
        <f>IFERROR(IF(ISNUMBER('Procyclean 210'!C211),'Procyclean 210'!C211,DATEVALUE('Procyclean 210'!C211)),"")</f>
        <v/>
      </c>
      <c r="AC1709" t="str">
        <f>IF(AA1709="","",'Procyclean 210'!D211)</f>
        <v/>
      </c>
      <c r="AD1709" t="str">
        <f>IF(AA1709="","",IFERROR(1*'Procyclean 210'!E211,IFERROR(_xludf.NUMBERVALUE('Procyclean 210'!E211,".",","),IFERROR(_xludf.NUMBERVALUE('Procyclean 210'!E211,",","."),0))))</f>
        <v/>
      </c>
      <c r="AE1709" t="str">
        <f>IF(AA1709="","",'Procyclean 210'!B211)</f>
        <v/>
      </c>
      <c r="AF1709">
        <f t="shared" si="173"/>
        <v>0</v>
      </c>
      <c r="AG1709" t="str">
        <f t="shared" si="174"/>
        <v/>
      </c>
      <c r="AH1709" t="str">
        <f t="shared" si="175"/>
        <v/>
      </c>
      <c r="AI1709">
        <f t="shared" si="176"/>
        <v>0</v>
      </c>
      <c r="AJ1709">
        <f t="shared" si="177"/>
        <v>0</v>
      </c>
      <c r="AK1709">
        <v>0</v>
      </c>
      <c r="AL1709" t="str">
        <f>IF(AA1709="","",IFERROR(IF(ISNUMBER('Procyclean 210'!F211),'Procyclean 210'!F211,IF(ISNUMBER(SEARCH("12",'Procyclean 210'!F211)),EDATE(AB1709,12),IF(ISNUMBER(SEARCH("6",'Procyclean 210'!F211)),EDATE(AB1709,6),IF(ISNUMBER(SEARCH("3",'Procyclean 210'!F211)),EDATE(AB1709,3),DATEVALUE('Procyclean 210'!F211))))),""))</f>
        <v/>
      </c>
      <c r="AM1709" t="str">
        <f t="shared" ca="1" si="178"/>
        <v/>
      </c>
    </row>
    <row r="1710" spans="27:39" x14ac:dyDescent="0.3">
      <c r="AA1710" t="str">
        <f>IF(COUNTA('Procyclean 210'!C212,'Procyclean 210'!D212,'Procyclean 210'!E212)&gt;0,"210","")</f>
        <v/>
      </c>
      <c r="AB1710" t="str">
        <f>IFERROR(IF(ISNUMBER('Procyclean 210'!C212),'Procyclean 210'!C212,DATEVALUE('Procyclean 210'!C212)),"")</f>
        <v/>
      </c>
      <c r="AC1710" t="str">
        <f>IF(AA1710="","",'Procyclean 210'!D212)</f>
        <v/>
      </c>
      <c r="AD1710" t="str">
        <f>IF(AA1710="","",IFERROR(1*'Procyclean 210'!E212,IFERROR(_xludf.NUMBERVALUE('Procyclean 210'!E212,".",","),IFERROR(_xludf.NUMBERVALUE('Procyclean 210'!E212,",","."),0))))</f>
        <v/>
      </c>
      <c r="AE1710" t="str">
        <f>IF(AA1710="","",'Procyclean 210'!B212)</f>
        <v/>
      </c>
      <c r="AF1710">
        <f t="shared" si="173"/>
        <v>0</v>
      </c>
      <c r="AG1710" t="str">
        <f t="shared" si="174"/>
        <v/>
      </c>
      <c r="AH1710" t="str">
        <f t="shared" si="175"/>
        <v/>
      </c>
      <c r="AI1710">
        <f t="shared" si="176"/>
        <v>0</v>
      </c>
      <c r="AJ1710">
        <f t="shared" si="177"/>
        <v>0</v>
      </c>
      <c r="AK1710">
        <v>0</v>
      </c>
      <c r="AL1710" t="str">
        <f>IF(AA1710="","",IFERROR(IF(ISNUMBER('Procyclean 210'!F212),'Procyclean 210'!F212,IF(ISNUMBER(SEARCH("12",'Procyclean 210'!F212)),EDATE(AB1710,12),IF(ISNUMBER(SEARCH("6",'Procyclean 210'!F212)),EDATE(AB1710,6),IF(ISNUMBER(SEARCH("3",'Procyclean 210'!F212)),EDATE(AB1710,3),DATEVALUE('Procyclean 210'!F212))))),""))</f>
        <v/>
      </c>
      <c r="AM1710" t="str">
        <f t="shared" ca="1" si="178"/>
        <v/>
      </c>
    </row>
    <row r="1711" spans="27:39" x14ac:dyDescent="0.3">
      <c r="AA1711" t="str">
        <f>IF(COUNTA('Procyclean 210'!C213,'Procyclean 210'!D213,'Procyclean 210'!E213)&gt;0,"210","")</f>
        <v/>
      </c>
      <c r="AB1711" t="str">
        <f>IFERROR(IF(ISNUMBER('Procyclean 210'!C213),'Procyclean 210'!C213,DATEVALUE('Procyclean 210'!C213)),"")</f>
        <v/>
      </c>
      <c r="AC1711" t="str">
        <f>IF(AA1711="","",'Procyclean 210'!D213)</f>
        <v/>
      </c>
      <c r="AD1711" t="str">
        <f>IF(AA1711="","",IFERROR(1*'Procyclean 210'!E213,IFERROR(_xludf.NUMBERVALUE('Procyclean 210'!E213,".",","),IFERROR(_xludf.NUMBERVALUE('Procyclean 210'!E213,",","."),0))))</f>
        <v/>
      </c>
      <c r="AE1711" t="str">
        <f>IF(AA1711="","",'Procyclean 210'!B213)</f>
        <v/>
      </c>
      <c r="AF1711">
        <f t="shared" si="173"/>
        <v>0</v>
      </c>
      <c r="AG1711" t="str">
        <f t="shared" si="174"/>
        <v/>
      </c>
      <c r="AH1711" t="str">
        <f t="shared" si="175"/>
        <v/>
      </c>
      <c r="AI1711">
        <f t="shared" si="176"/>
        <v>0</v>
      </c>
      <c r="AJ1711">
        <f t="shared" si="177"/>
        <v>0</v>
      </c>
      <c r="AK1711">
        <v>0</v>
      </c>
      <c r="AL1711" t="str">
        <f>IF(AA1711="","",IFERROR(IF(ISNUMBER('Procyclean 210'!F213),'Procyclean 210'!F213,IF(ISNUMBER(SEARCH("12",'Procyclean 210'!F213)),EDATE(AB1711,12),IF(ISNUMBER(SEARCH("6",'Procyclean 210'!F213)),EDATE(AB1711,6),IF(ISNUMBER(SEARCH("3",'Procyclean 210'!F213)),EDATE(AB1711,3),DATEVALUE('Procyclean 210'!F213))))),""))</f>
        <v/>
      </c>
      <c r="AM1711" t="str">
        <f t="shared" ca="1" si="178"/>
        <v/>
      </c>
    </row>
    <row r="1712" spans="27:39" x14ac:dyDescent="0.3">
      <c r="AA1712" t="str">
        <f>IF(COUNTA('Procyclean 210'!C214,'Procyclean 210'!D214,'Procyclean 210'!E214)&gt;0,"210","")</f>
        <v/>
      </c>
      <c r="AB1712" t="str">
        <f>IFERROR(IF(ISNUMBER('Procyclean 210'!C214),'Procyclean 210'!C214,DATEVALUE('Procyclean 210'!C214)),"")</f>
        <v/>
      </c>
      <c r="AC1712" t="str">
        <f>IF(AA1712="","",'Procyclean 210'!D214)</f>
        <v/>
      </c>
      <c r="AD1712" t="str">
        <f>IF(AA1712="","",IFERROR(1*'Procyclean 210'!E214,IFERROR(_xludf.NUMBERVALUE('Procyclean 210'!E214,".",","),IFERROR(_xludf.NUMBERVALUE('Procyclean 210'!E214,",","."),0))))</f>
        <v/>
      </c>
      <c r="AE1712" t="str">
        <f>IF(AA1712="","",'Procyclean 210'!B214)</f>
        <v/>
      </c>
      <c r="AF1712">
        <f t="shared" si="173"/>
        <v>0</v>
      </c>
      <c r="AG1712" t="str">
        <f t="shared" si="174"/>
        <v/>
      </c>
      <c r="AH1712" t="str">
        <f t="shared" si="175"/>
        <v/>
      </c>
      <c r="AI1712">
        <f t="shared" si="176"/>
        <v>0</v>
      </c>
      <c r="AJ1712">
        <f t="shared" si="177"/>
        <v>0</v>
      </c>
      <c r="AK1712">
        <v>0</v>
      </c>
      <c r="AL1712" t="str">
        <f>IF(AA1712="","",IFERROR(IF(ISNUMBER('Procyclean 210'!F214),'Procyclean 210'!F214,IF(ISNUMBER(SEARCH("12",'Procyclean 210'!F214)),EDATE(AB1712,12),IF(ISNUMBER(SEARCH("6",'Procyclean 210'!F214)),EDATE(AB1712,6),IF(ISNUMBER(SEARCH("3",'Procyclean 210'!F214)),EDATE(AB1712,3),DATEVALUE('Procyclean 210'!F214))))),""))</f>
        <v/>
      </c>
      <c r="AM1712" t="str">
        <f t="shared" ca="1" si="178"/>
        <v/>
      </c>
    </row>
    <row r="1713" spans="27:39" x14ac:dyDescent="0.3">
      <c r="AA1713" t="str">
        <f>IF(COUNTA('Procyclean 210'!C215,'Procyclean 210'!D215,'Procyclean 210'!E215)&gt;0,"210","")</f>
        <v/>
      </c>
      <c r="AB1713" t="str">
        <f>IFERROR(IF(ISNUMBER('Procyclean 210'!C215),'Procyclean 210'!C215,DATEVALUE('Procyclean 210'!C215)),"")</f>
        <v/>
      </c>
      <c r="AC1713" t="str">
        <f>IF(AA1713="","",'Procyclean 210'!D215)</f>
        <v/>
      </c>
      <c r="AD1713" t="str">
        <f>IF(AA1713="","",IFERROR(1*'Procyclean 210'!E215,IFERROR(_xludf.NUMBERVALUE('Procyclean 210'!E215,".",","),IFERROR(_xludf.NUMBERVALUE('Procyclean 210'!E215,",","."),0))))</f>
        <v/>
      </c>
      <c r="AE1713" t="str">
        <f>IF(AA1713="","",'Procyclean 210'!B215)</f>
        <v/>
      </c>
      <c r="AF1713">
        <f t="shared" si="173"/>
        <v>0</v>
      </c>
      <c r="AG1713" t="str">
        <f t="shared" si="174"/>
        <v/>
      </c>
      <c r="AH1713" t="str">
        <f t="shared" si="175"/>
        <v/>
      </c>
      <c r="AI1713">
        <f t="shared" si="176"/>
        <v>0</v>
      </c>
      <c r="AJ1713">
        <f t="shared" si="177"/>
        <v>0</v>
      </c>
      <c r="AK1713">
        <v>0</v>
      </c>
      <c r="AL1713" t="str">
        <f>IF(AA1713="","",IFERROR(IF(ISNUMBER('Procyclean 210'!F215),'Procyclean 210'!F215,IF(ISNUMBER(SEARCH("12",'Procyclean 210'!F215)),EDATE(AB1713,12),IF(ISNUMBER(SEARCH("6",'Procyclean 210'!F215)),EDATE(AB1713,6),IF(ISNUMBER(SEARCH("3",'Procyclean 210'!F215)),EDATE(AB1713,3),DATEVALUE('Procyclean 210'!F215))))),""))</f>
        <v/>
      </c>
      <c r="AM1713" t="str">
        <f t="shared" ca="1" si="178"/>
        <v/>
      </c>
    </row>
    <row r="1714" spans="27:39" x14ac:dyDescent="0.3">
      <c r="AA1714" t="str">
        <f>IF(COUNTA('Procyclean 210'!C216,'Procyclean 210'!D216,'Procyclean 210'!E216)&gt;0,"210","")</f>
        <v/>
      </c>
      <c r="AB1714" t="str">
        <f>IFERROR(IF(ISNUMBER('Procyclean 210'!C216),'Procyclean 210'!C216,DATEVALUE('Procyclean 210'!C216)),"")</f>
        <v/>
      </c>
      <c r="AC1714" t="str">
        <f>IF(AA1714="","",'Procyclean 210'!D216)</f>
        <v/>
      </c>
      <c r="AD1714" t="str">
        <f>IF(AA1714="","",IFERROR(1*'Procyclean 210'!E216,IFERROR(_xludf.NUMBERVALUE('Procyclean 210'!E216,".",","),IFERROR(_xludf.NUMBERVALUE('Procyclean 210'!E216,",","."),0))))</f>
        <v/>
      </c>
      <c r="AE1714" t="str">
        <f>IF(AA1714="","",'Procyclean 210'!B216)</f>
        <v/>
      </c>
      <c r="AF1714">
        <f t="shared" si="173"/>
        <v>0</v>
      </c>
      <c r="AG1714" t="str">
        <f t="shared" si="174"/>
        <v/>
      </c>
      <c r="AH1714" t="str">
        <f t="shared" si="175"/>
        <v/>
      </c>
      <c r="AI1714">
        <f t="shared" si="176"/>
        <v>0</v>
      </c>
      <c r="AJ1714">
        <f t="shared" si="177"/>
        <v>0</v>
      </c>
      <c r="AK1714">
        <v>0</v>
      </c>
      <c r="AL1714" t="str">
        <f>IF(AA1714="","",IFERROR(IF(ISNUMBER('Procyclean 210'!F216),'Procyclean 210'!F216,IF(ISNUMBER(SEARCH("12",'Procyclean 210'!F216)),EDATE(AB1714,12),IF(ISNUMBER(SEARCH("6",'Procyclean 210'!F216)),EDATE(AB1714,6),IF(ISNUMBER(SEARCH("3",'Procyclean 210'!F216)),EDATE(AB1714,3),DATEVALUE('Procyclean 210'!F216))))),""))</f>
        <v/>
      </c>
      <c r="AM1714" t="str">
        <f t="shared" ca="1" si="178"/>
        <v/>
      </c>
    </row>
    <row r="1715" spans="27:39" x14ac:dyDescent="0.3">
      <c r="AA1715" t="str">
        <f>IF(COUNTA('Procyclean 210'!C217,'Procyclean 210'!D217,'Procyclean 210'!E217)&gt;0,"210","")</f>
        <v/>
      </c>
      <c r="AB1715" t="str">
        <f>IFERROR(IF(ISNUMBER('Procyclean 210'!C217),'Procyclean 210'!C217,DATEVALUE('Procyclean 210'!C217)),"")</f>
        <v/>
      </c>
      <c r="AC1715" t="str">
        <f>IF(AA1715="","",'Procyclean 210'!D217)</f>
        <v/>
      </c>
      <c r="AD1715" t="str">
        <f>IF(AA1715="","",IFERROR(1*'Procyclean 210'!E217,IFERROR(_xludf.NUMBERVALUE('Procyclean 210'!E217,".",","),IFERROR(_xludf.NUMBERVALUE('Procyclean 210'!E217,",","."),0))))</f>
        <v/>
      </c>
      <c r="AE1715" t="str">
        <f>IF(AA1715="","",'Procyclean 210'!B217)</f>
        <v/>
      </c>
      <c r="AF1715">
        <f t="shared" si="173"/>
        <v>0</v>
      </c>
      <c r="AG1715" t="str">
        <f t="shared" si="174"/>
        <v/>
      </c>
      <c r="AH1715" t="str">
        <f t="shared" si="175"/>
        <v/>
      </c>
      <c r="AI1715">
        <f t="shared" si="176"/>
        <v>0</v>
      </c>
      <c r="AJ1715">
        <f t="shared" si="177"/>
        <v>0</v>
      </c>
      <c r="AK1715">
        <v>0</v>
      </c>
      <c r="AL1715" t="str">
        <f>IF(AA1715="","",IFERROR(IF(ISNUMBER('Procyclean 210'!F217),'Procyclean 210'!F217,IF(ISNUMBER(SEARCH("12",'Procyclean 210'!F217)),EDATE(AB1715,12),IF(ISNUMBER(SEARCH("6",'Procyclean 210'!F217)),EDATE(AB1715,6),IF(ISNUMBER(SEARCH("3",'Procyclean 210'!F217)),EDATE(AB1715,3),DATEVALUE('Procyclean 210'!F217))))),""))</f>
        <v/>
      </c>
      <c r="AM1715" t="str">
        <f t="shared" ca="1" si="178"/>
        <v/>
      </c>
    </row>
    <row r="1716" spans="27:39" x14ac:dyDescent="0.3">
      <c r="AA1716" t="str">
        <f>IF(COUNTA('Procyclean 210'!C218,'Procyclean 210'!D218,'Procyclean 210'!E218)&gt;0,"210","")</f>
        <v/>
      </c>
      <c r="AB1716" t="str">
        <f>IFERROR(IF(ISNUMBER('Procyclean 210'!C218),'Procyclean 210'!C218,DATEVALUE('Procyclean 210'!C218)),"")</f>
        <v/>
      </c>
      <c r="AC1716" t="str">
        <f>IF(AA1716="","",'Procyclean 210'!D218)</f>
        <v/>
      </c>
      <c r="AD1716" t="str">
        <f>IF(AA1716="","",IFERROR(1*'Procyclean 210'!E218,IFERROR(_xludf.NUMBERVALUE('Procyclean 210'!E218,".",","),IFERROR(_xludf.NUMBERVALUE('Procyclean 210'!E218,",","."),0))))</f>
        <v/>
      </c>
      <c r="AE1716" t="str">
        <f>IF(AA1716="","",'Procyclean 210'!B218)</f>
        <v/>
      </c>
      <c r="AF1716">
        <f t="shared" si="173"/>
        <v>0</v>
      </c>
      <c r="AG1716" t="str">
        <f t="shared" si="174"/>
        <v/>
      </c>
      <c r="AH1716" t="str">
        <f t="shared" si="175"/>
        <v/>
      </c>
      <c r="AI1716">
        <f t="shared" si="176"/>
        <v>0</v>
      </c>
      <c r="AJ1716">
        <f t="shared" si="177"/>
        <v>0</v>
      </c>
      <c r="AK1716">
        <v>0</v>
      </c>
      <c r="AL1716" t="str">
        <f>IF(AA1716="","",IFERROR(IF(ISNUMBER('Procyclean 210'!F218),'Procyclean 210'!F218,IF(ISNUMBER(SEARCH("12",'Procyclean 210'!F218)),EDATE(AB1716,12),IF(ISNUMBER(SEARCH("6",'Procyclean 210'!F218)),EDATE(AB1716,6),IF(ISNUMBER(SEARCH("3",'Procyclean 210'!F218)),EDATE(AB1716,3),DATEVALUE('Procyclean 210'!F218))))),""))</f>
        <v/>
      </c>
      <c r="AM1716" t="str">
        <f t="shared" ca="1" si="178"/>
        <v/>
      </c>
    </row>
    <row r="1717" spans="27:39" x14ac:dyDescent="0.3">
      <c r="AA1717" t="str">
        <f>IF(COUNTA('Procyclean 210'!C219,'Procyclean 210'!D219,'Procyclean 210'!E219)&gt;0,"210","")</f>
        <v/>
      </c>
      <c r="AB1717" t="str">
        <f>IFERROR(IF(ISNUMBER('Procyclean 210'!C219),'Procyclean 210'!C219,DATEVALUE('Procyclean 210'!C219)),"")</f>
        <v/>
      </c>
      <c r="AC1717" t="str">
        <f>IF(AA1717="","",'Procyclean 210'!D219)</f>
        <v/>
      </c>
      <c r="AD1717" t="str">
        <f>IF(AA1717="","",IFERROR(1*'Procyclean 210'!E219,IFERROR(_xludf.NUMBERVALUE('Procyclean 210'!E219,".",","),IFERROR(_xludf.NUMBERVALUE('Procyclean 210'!E219,",","."),0))))</f>
        <v/>
      </c>
      <c r="AE1717" t="str">
        <f>IF(AA1717="","",'Procyclean 210'!B219)</f>
        <v/>
      </c>
      <c r="AF1717">
        <f t="shared" si="173"/>
        <v>0</v>
      </c>
      <c r="AG1717" t="str">
        <f t="shared" si="174"/>
        <v/>
      </c>
      <c r="AH1717" t="str">
        <f t="shared" si="175"/>
        <v/>
      </c>
      <c r="AI1717">
        <f t="shared" si="176"/>
        <v>0</v>
      </c>
      <c r="AJ1717">
        <f t="shared" si="177"/>
        <v>0</v>
      </c>
      <c r="AK1717">
        <v>0</v>
      </c>
      <c r="AL1717" t="str">
        <f>IF(AA1717="","",IFERROR(IF(ISNUMBER('Procyclean 210'!F219),'Procyclean 210'!F219,IF(ISNUMBER(SEARCH("12",'Procyclean 210'!F219)),EDATE(AB1717,12),IF(ISNUMBER(SEARCH("6",'Procyclean 210'!F219)),EDATE(AB1717,6),IF(ISNUMBER(SEARCH("3",'Procyclean 210'!F219)),EDATE(AB1717,3),DATEVALUE('Procyclean 210'!F219))))),""))</f>
        <v/>
      </c>
      <c r="AM1717" t="str">
        <f t="shared" ca="1" si="178"/>
        <v/>
      </c>
    </row>
    <row r="1718" spans="27:39" x14ac:dyDescent="0.3">
      <c r="AA1718" t="str">
        <f>IF(COUNTA('Procyclean 210'!C220,'Procyclean 210'!D220,'Procyclean 210'!E220)&gt;0,"210","")</f>
        <v/>
      </c>
      <c r="AB1718" t="str">
        <f>IFERROR(IF(ISNUMBER('Procyclean 210'!C220),'Procyclean 210'!C220,DATEVALUE('Procyclean 210'!C220)),"")</f>
        <v/>
      </c>
      <c r="AC1718" t="str">
        <f>IF(AA1718="","",'Procyclean 210'!D220)</f>
        <v/>
      </c>
      <c r="AD1718" t="str">
        <f>IF(AA1718="","",IFERROR(1*'Procyclean 210'!E220,IFERROR(_xludf.NUMBERVALUE('Procyclean 210'!E220,".",","),IFERROR(_xludf.NUMBERVALUE('Procyclean 210'!E220,",","."),0))))</f>
        <v/>
      </c>
      <c r="AE1718" t="str">
        <f>IF(AA1718="","",'Procyclean 210'!B220)</f>
        <v/>
      </c>
      <c r="AF1718">
        <f t="shared" si="173"/>
        <v>0</v>
      </c>
      <c r="AG1718" t="str">
        <f t="shared" si="174"/>
        <v/>
      </c>
      <c r="AH1718" t="str">
        <f t="shared" si="175"/>
        <v/>
      </c>
      <c r="AI1718">
        <f t="shared" si="176"/>
        <v>0</v>
      </c>
      <c r="AJ1718">
        <f t="shared" si="177"/>
        <v>0</v>
      </c>
      <c r="AK1718">
        <v>0</v>
      </c>
      <c r="AL1718" t="str">
        <f>IF(AA1718="","",IFERROR(IF(ISNUMBER('Procyclean 210'!F220),'Procyclean 210'!F220,IF(ISNUMBER(SEARCH("12",'Procyclean 210'!F220)),EDATE(AB1718,12),IF(ISNUMBER(SEARCH("6",'Procyclean 210'!F220)),EDATE(AB1718,6),IF(ISNUMBER(SEARCH("3",'Procyclean 210'!F220)),EDATE(AB1718,3),DATEVALUE('Procyclean 210'!F220))))),""))</f>
        <v/>
      </c>
      <c r="AM1718" t="str">
        <f t="shared" ca="1" si="178"/>
        <v/>
      </c>
    </row>
    <row r="1719" spans="27:39" x14ac:dyDescent="0.3">
      <c r="AA1719" t="str">
        <f>IF(COUNTA('Procyclean 210'!C221,'Procyclean 210'!D221,'Procyclean 210'!E221)&gt;0,"210","")</f>
        <v/>
      </c>
      <c r="AB1719" t="str">
        <f>IFERROR(IF(ISNUMBER('Procyclean 210'!C221),'Procyclean 210'!C221,DATEVALUE('Procyclean 210'!C221)),"")</f>
        <v/>
      </c>
      <c r="AC1719" t="str">
        <f>IF(AA1719="","",'Procyclean 210'!D221)</f>
        <v/>
      </c>
      <c r="AD1719" t="str">
        <f>IF(AA1719="","",IFERROR(1*'Procyclean 210'!E221,IFERROR(_xludf.NUMBERVALUE('Procyclean 210'!E221,".",","),IFERROR(_xludf.NUMBERVALUE('Procyclean 210'!E221,",","."),0))))</f>
        <v/>
      </c>
      <c r="AE1719" t="str">
        <f>IF(AA1719="","",'Procyclean 210'!B221)</f>
        <v/>
      </c>
      <c r="AF1719">
        <f t="shared" si="173"/>
        <v>0</v>
      </c>
      <c r="AG1719" t="str">
        <f t="shared" si="174"/>
        <v/>
      </c>
      <c r="AH1719" t="str">
        <f t="shared" si="175"/>
        <v/>
      </c>
      <c r="AI1719">
        <f t="shared" si="176"/>
        <v>0</v>
      </c>
      <c r="AJ1719">
        <f t="shared" si="177"/>
        <v>0</v>
      </c>
      <c r="AK1719">
        <v>0</v>
      </c>
      <c r="AL1719" t="str">
        <f>IF(AA1719="","",IFERROR(IF(ISNUMBER('Procyclean 210'!F221),'Procyclean 210'!F221,IF(ISNUMBER(SEARCH("12",'Procyclean 210'!F221)),EDATE(AB1719,12),IF(ISNUMBER(SEARCH("6",'Procyclean 210'!F221)),EDATE(AB1719,6),IF(ISNUMBER(SEARCH("3",'Procyclean 210'!F221)),EDATE(AB1719,3),DATEVALUE('Procyclean 210'!F221))))),""))</f>
        <v/>
      </c>
      <c r="AM1719" t="str">
        <f t="shared" ca="1" si="178"/>
        <v/>
      </c>
    </row>
    <row r="1720" spans="27:39" x14ac:dyDescent="0.3">
      <c r="AA1720" t="str">
        <f>IF(COUNTA('Procyclean 210'!C222,'Procyclean 210'!D222,'Procyclean 210'!E222)&gt;0,"210","")</f>
        <v/>
      </c>
      <c r="AB1720" t="str">
        <f>IFERROR(IF(ISNUMBER('Procyclean 210'!C222),'Procyclean 210'!C222,DATEVALUE('Procyclean 210'!C222)),"")</f>
        <v/>
      </c>
      <c r="AC1720" t="str">
        <f>IF(AA1720="","",'Procyclean 210'!D222)</f>
        <v/>
      </c>
      <c r="AD1720" t="str">
        <f>IF(AA1720="","",IFERROR(1*'Procyclean 210'!E222,IFERROR(_xludf.NUMBERVALUE('Procyclean 210'!E222,".",","),IFERROR(_xludf.NUMBERVALUE('Procyclean 210'!E222,",","."),0))))</f>
        <v/>
      </c>
      <c r="AE1720" t="str">
        <f>IF(AA1720="","",'Procyclean 210'!B222)</f>
        <v/>
      </c>
      <c r="AF1720">
        <f t="shared" si="173"/>
        <v>0</v>
      </c>
      <c r="AG1720" t="str">
        <f t="shared" si="174"/>
        <v/>
      </c>
      <c r="AH1720" t="str">
        <f t="shared" si="175"/>
        <v/>
      </c>
      <c r="AI1720">
        <f t="shared" si="176"/>
        <v>0</v>
      </c>
      <c r="AJ1720">
        <f t="shared" si="177"/>
        <v>0</v>
      </c>
      <c r="AK1720">
        <v>0</v>
      </c>
      <c r="AL1720" t="str">
        <f>IF(AA1720="","",IFERROR(IF(ISNUMBER('Procyclean 210'!F222),'Procyclean 210'!F222,IF(ISNUMBER(SEARCH("12",'Procyclean 210'!F222)),EDATE(AB1720,12),IF(ISNUMBER(SEARCH("6",'Procyclean 210'!F222)),EDATE(AB1720,6),IF(ISNUMBER(SEARCH("3",'Procyclean 210'!F222)),EDATE(AB1720,3),DATEVALUE('Procyclean 210'!F222))))),""))</f>
        <v/>
      </c>
      <c r="AM1720" t="str">
        <f t="shared" ca="1" si="178"/>
        <v/>
      </c>
    </row>
    <row r="1721" spans="27:39" x14ac:dyDescent="0.3">
      <c r="AA1721" t="str">
        <f>IF(COUNTA('Procyclean 210'!C223,'Procyclean 210'!D223,'Procyclean 210'!E223)&gt;0,"210","")</f>
        <v/>
      </c>
      <c r="AB1721" t="str">
        <f>IFERROR(IF(ISNUMBER('Procyclean 210'!C223),'Procyclean 210'!C223,DATEVALUE('Procyclean 210'!C223)),"")</f>
        <v/>
      </c>
      <c r="AC1721" t="str">
        <f>IF(AA1721="","",'Procyclean 210'!D223)</f>
        <v/>
      </c>
      <c r="AD1721" t="str">
        <f>IF(AA1721="","",IFERROR(1*'Procyclean 210'!E223,IFERROR(_xludf.NUMBERVALUE('Procyclean 210'!E223,".",","),IFERROR(_xludf.NUMBERVALUE('Procyclean 210'!E223,",","."),0))))</f>
        <v/>
      </c>
      <c r="AE1721" t="str">
        <f>IF(AA1721="","",'Procyclean 210'!B223)</f>
        <v/>
      </c>
      <c r="AF1721">
        <f t="shared" si="173"/>
        <v>0</v>
      </c>
      <c r="AG1721" t="str">
        <f t="shared" si="174"/>
        <v/>
      </c>
      <c r="AH1721" t="str">
        <f t="shared" si="175"/>
        <v/>
      </c>
      <c r="AI1721">
        <f t="shared" si="176"/>
        <v>0</v>
      </c>
      <c r="AJ1721">
        <f t="shared" si="177"/>
        <v>0</v>
      </c>
      <c r="AK1721">
        <v>0</v>
      </c>
      <c r="AL1721" t="str">
        <f>IF(AA1721="","",IFERROR(IF(ISNUMBER('Procyclean 210'!F223),'Procyclean 210'!F223,IF(ISNUMBER(SEARCH("12",'Procyclean 210'!F223)),EDATE(AB1721,12),IF(ISNUMBER(SEARCH("6",'Procyclean 210'!F223)),EDATE(AB1721,6),IF(ISNUMBER(SEARCH("3",'Procyclean 210'!F223)),EDATE(AB1721,3),DATEVALUE('Procyclean 210'!F223))))),""))</f>
        <v/>
      </c>
      <c r="AM1721" t="str">
        <f t="shared" ca="1" si="178"/>
        <v/>
      </c>
    </row>
    <row r="1722" spans="27:39" x14ac:dyDescent="0.3">
      <c r="AA1722" t="str">
        <f>IF(COUNTA('Procyclean 210'!C224,'Procyclean 210'!D224,'Procyclean 210'!E224)&gt;0,"210","")</f>
        <v/>
      </c>
      <c r="AB1722" t="str">
        <f>IFERROR(IF(ISNUMBER('Procyclean 210'!C224),'Procyclean 210'!C224,DATEVALUE('Procyclean 210'!C224)),"")</f>
        <v/>
      </c>
      <c r="AC1722" t="str">
        <f>IF(AA1722="","",'Procyclean 210'!D224)</f>
        <v/>
      </c>
      <c r="AD1722" t="str">
        <f>IF(AA1722="","",IFERROR(1*'Procyclean 210'!E224,IFERROR(_xludf.NUMBERVALUE('Procyclean 210'!E224,".",","),IFERROR(_xludf.NUMBERVALUE('Procyclean 210'!E224,",","."),0))))</f>
        <v/>
      </c>
      <c r="AE1722" t="str">
        <f>IF(AA1722="","",'Procyclean 210'!B224)</f>
        <v/>
      </c>
      <c r="AF1722">
        <f t="shared" si="173"/>
        <v>0</v>
      </c>
      <c r="AG1722" t="str">
        <f t="shared" si="174"/>
        <v/>
      </c>
      <c r="AH1722" t="str">
        <f t="shared" si="175"/>
        <v/>
      </c>
      <c r="AI1722">
        <f t="shared" si="176"/>
        <v>0</v>
      </c>
      <c r="AJ1722">
        <f t="shared" si="177"/>
        <v>0</v>
      </c>
      <c r="AK1722">
        <v>0</v>
      </c>
      <c r="AL1722" t="str">
        <f>IF(AA1722="","",IFERROR(IF(ISNUMBER('Procyclean 210'!F224),'Procyclean 210'!F224,IF(ISNUMBER(SEARCH("12",'Procyclean 210'!F224)),EDATE(AB1722,12),IF(ISNUMBER(SEARCH("6",'Procyclean 210'!F224)),EDATE(AB1722,6),IF(ISNUMBER(SEARCH("3",'Procyclean 210'!F224)),EDATE(AB1722,3),DATEVALUE('Procyclean 210'!F224))))),""))</f>
        <v/>
      </c>
      <c r="AM1722" t="str">
        <f t="shared" ca="1" si="178"/>
        <v/>
      </c>
    </row>
    <row r="1723" spans="27:39" x14ac:dyDescent="0.3">
      <c r="AA1723" t="str">
        <f>IF(COUNTA('Procyclean 210'!C225,'Procyclean 210'!D225,'Procyclean 210'!E225)&gt;0,"210","")</f>
        <v/>
      </c>
      <c r="AB1723" t="str">
        <f>IFERROR(IF(ISNUMBER('Procyclean 210'!C225),'Procyclean 210'!C225,DATEVALUE('Procyclean 210'!C225)),"")</f>
        <v/>
      </c>
      <c r="AC1723" t="str">
        <f>IF(AA1723="","",'Procyclean 210'!D225)</f>
        <v/>
      </c>
      <c r="AD1723" t="str">
        <f>IF(AA1723="","",IFERROR(1*'Procyclean 210'!E225,IFERROR(_xludf.NUMBERVALUE('Procyclean 210'!E225,".",","),IFERROR(_xludf.NUMBERVALUE('Procyclean 210'!E225,",","."),0))))</f>
        <v/>
      </c>
      <c r="AE1723" t="str">
        <f>IF(AA1723="","",'Procyclean 210'!B225)</f>
        <v/>
      </c>
      <c r="AF1723">
        <f t="shared" si="173"/>
        <v>0</v>
      </c>
      <c r="AG1723" t="str">
        <f t="shared" si="174"/>
        <v/>
      </c>
      <c r="AH1723" t="str">
        <f t="shared" si="175"/>
        <v/>
      </c>
      <c r="AI1723">
        <f t="shared" si="176"/>
        <v>0</v>
      </c>
      <c r="AJ1723">
        <f t="shared" si="177"/>
        <v>0</v>
      </c>
      <c r="AK1723">
        <v>0</v>
      </c>
      <c r="AL1723" t="str">
        <f>IF(AA1723="","",IFERROR(IF(ISNUMBER('Procyclean 210'!F225),'Procyclean 210'!F225,IF(ISNUMBER(SEARCH("12",'Procyclean 210'!F225)),EDATE(AB1723,12),IF(ISNUMBER(SEARCH("6",'Procyclean 210'!F225)),EDATE(AB1723,6),IF(ISNUMBER(SEARCH("3",'Procyclean 210'!F225)),EDATE(AB1723,3),DATEVALUE('Procyclean 210'!F225))))),""))</f>
        <v/>
      </c>
      <c r="AM1723" t="str">
        <f t="shared" ca="1" si="178"/>
        <v/>
      </c>
    </row>
    <row r="1724" spans="27:39" x14ac:dyDescent="0.3">
      <c r="AA1724" t="str">
        <f>IF(COUNTA('Procyclean 210'!C226,'Procyclean 210'!D226,'Procyclean 210'!E226)&gt;0,"210","")</f>
        <v/>
      </c>
      <c r="AB1724" t="str">
        <f>IFERROR(IF(ISNUMBER('Procyclean 210'!C226),'Procyclean 210'!C226,DATEVALUE('Procyclean 210'!C226)),"")</f>
        <v/>
      </c>
      <c r="AC1724" t="str">
        <f>IF(AA1724="","",'Procyclean 210'!D226)</f>
        <v/>
      </c>
      <c r="AD1724" t="str">
        <f>IF(AA1724="","",IFERROR(1*'Procyclean 210'!E226,IFERROR(_xludf.NUMBERVALUE('Procyclean 210'!E226,".",","),IFERROR(_xludf.NUMBERVALUE('Procyclean 210'!E226,",","."),0))))</f>
        <v/>
      </c>
      <c r="AE1724" t="str">
        <f>IF(AA1724="","",'Procyclean 210'!B226)</f>
        <v/>
      </c>
      <c r="AF1724">
        <f t="shared" si="173"/>
        <v>0</v>
      </c>
      <c r="AG1724" t="str">
        <f t="shared" si="174"/>
        <v/>
      </c>
      <c r="AH1724" t="str">
        <f t="shared" si="175"/>
        <v/>
      </c>
      <c r="AI1724">
        <f t="shared" si="176"/>
        <v>0</v>
      </c>
      <c r="AJ1724">
        <f t="shared" si="177"/>
        <v>0</v>
      </c>
      <c r="AK1724">
        <v>0</v>
      </c>
      <c r="AL1724" t="str">
        <f>IF(AA1724="","",IFERROR(IF(ISNUMBER('Procyclean 210'!F226),'Procyclean 210'!F226,IF(ISNUMBER(SEARCH("12",'Procyclean 210'!F226)),EDATE(AB1724,12),IF(ISNUMBER(SEARCH("6",'Procyclean 210'!F226)),EDATE(AB1724,6),IF(ISNUMBER(SEARCH("3",'Procyclean 210'!F226)),EDATE(AB1724,3),DATEVALUE('Procyclean 210'!F226))))),""))</f>
        <v/>
      </c>
      <c r="AM1724" t="str">
        <f t="shared" ca="1" si="178"/>
        <v/>
      </c>
    </row>
    <row r="1725" spans="27:39" x14ac:dyDescent="0.3">
      <c r="AA1725" t="str">
        <f>IF(COUNTA('Procyclean 210'!C227,'Procyclean 210'!D227,'Procyclean 210'!E227)&gt;0,"210","")</f>
        <v/>
      </c>
      <c r="AB1725" t="str">
        <f>IFERROR(IF(ISNUMBER('Procyclean 210'!C227),'Procyclean 210'!C227,DATEVALUE('Procyclean 210'!C227)),"")</f>
        <v/>
      </c>
      <c r="AC1725" t="str">
        <f>IF(AA1725="","",'Procyclean 210'!D227)</f>
        <v/>
      </c>
      <c r="AD1725" t="str">
        <f>IF(AA1725="","",IFERROR(1*'Procyclean 210'!E227,IFERROR(_xludf.NUMBERVALUE('Procyclean 210'!E227,".",","),IFERROR(_xludf.NUMBERVALUE('Procyclean 210'!E227,",","."),0))))</f>
        <v/>
      </c>
      <c r="AE1725" t="str">
        <f>IF(AA1725="","",'Procyclean 210'!B227)</f>
        <v/>
      </c>
      <c r="AF1725">
        <f t="shared" si="173"/>
        <v>0</v>
      </c>
      <c r="AG1725" t="str">
        <f t="shared" si="174"/>
        <v/>
      </c>
      <c r="AH1725" t="str">
        <f t="shared" si="175"/>
        <v/>
      </c>
      <c r="AI1725">
        <f t="shared" si="176"/>
        <v>0</v>
      </c>
      <c r="AJ1725">
        <f t="shared" si="177"/>
        <v>0</v>
      </c>
      <c r="AK1725">
        <v>0</v>
      </c>
      <c r="AL1725" t="str">
        <f>IF(AA1725="","",IFERROR(IF(ISNUMBER('Procyclean 210'!F227),'Procyclean 210'!F227,IF(ISNUMBER(SEARCH("12",'Procyclean 210'!F227)),EDATE(AB1725,12),IF(ISNUMBER(SEARCH("6",'Procyclean 210'!F227)),EDATE(AB1725,6),IF(ISNUMBER(SEARCH("3",'Procyclean 210'!F227)),EDATE(AB1725,3),DATEVALUE('Procyclean 210'!F227))))),""))</f>
        <v/>
      </c>
      <c r="AM1725" t="str">
        <f t="shared" ca="1" si="178"/>
        <v/>
      </c>
    </row>
    <row r="1726" spans="27:39" x14ac:dyDescent="0.3">
      <c r="AA1726" t="str">
        <f>IF(COUNTA('Procyclean 210'!C228,'Procyclean 210'!D228,'Procyclean 210'!E228)&gt;0,"210","")</f>
        <v/>
      </c>
      <c r="AB1726" t="str">
        <f>IFERROR(IF(ISNUMBER('Procyclean 210'!C228),'Procyclean 210'!C228,DATEVALUE('Procyclean 210'!C228)),"")</f>
        <v/>
      </c>
      <c r="AC1726" t="str">
        <f>IF(AA1726="","",'Procyclean 210'!D228)</f>
        <v/>
      </c>
      <c r="AD1726" t="str">
        <f>IF(AA1726="","",IFERROR(1*'Procyclean 210'!E228,IFERROR(_xludf.NUMBERVALUE('Procyclean 210'!E228,".",","),IFERROR(_xludf.NUMBERVALUE('Procyclean 210'!E228,",","."),0))))</f>
        <v/>
      </c>
      <c r="AE1726" t="str">
        <f>IF(AA1726="","",'Procyclean 210'!B228)</f>
        <v/>
      </c>
      <c r="AF1726">
        <f t="shared" si="173"/>
        <v>0</v>
      </c>
      <c r="AG1726" t="str">
        <f t="shared" si="174"/>
        <v/>
      </c>
      <c r="AH1726" t="str">
        <f t="shared" si="175"/>
        <v/>
      </c>
      <c r="AI1726">
        <f t="shared" si="176"/>
        <v>0</v>
      </c>
      <c r="AJ1726">
        <f t="shared" si="177"/>
        <v>0</v>
      </c>
      <c r="AK1726">
        <v>0</v>
      </c>
      <c r="AL1726" t="str">
        <f>IF(AA1726="","",IFERROR(IF(ISNUMBER('Procyclean 210'!F228),'Procyclean 210'!F228,IF(ISNUMBER(SEARCH("12",'Procyclean 210'!F228)),EDATE(AB1726,12),IF(ISNUMBER(SEARCH("6",'Procyclean 210'!F228)),EDATE(AB1726,6),IF(ISNUMBER(SEARCH("3",'Procyclean 210'!F228)),EDATE(AB1726,3),DATEVALUE('Procyclean 210'!F228))))),""))</f>
        <v/>
      </c>
      <c r="AM1726" t="str">
        <f t="shared" ca="1" si="178"/>
        <v/>
      </c>
    </row>
    <row r="1727" spans="27:39" x14ac:dyDescent="0.3">
      <c r="AA1727" t="str">
        <f>IF(COUNTA('Procyclean 210'!C229,'Procyclean 210'!D229,'Procyclean 210'!E229)&gt;0,"210","")</f>
        <v/>
      </c>
      <c r="AB1727" t="str">
        <f>IFERROR(IF(ISNUMBER('Procyclean 210'!C229),'Procyclean 210'!C229,DATEVALUE('Procyclean 210'!C229)),"")</f>
        <v/>
      </c>
      <c r="AC1727" t="str">
        <f>IF(AA1727="","",'Procyclean 210'!D229)</f>
        <v/>
      </c>
      <c r="AD1727" t="str">
        <f>IF(AA1727="","",IFERROR(1*'Procyclean 210'!E229,IFERROR(_xludf.NUMBERVALUE('Procyclean 210'!E229,".",","),IFERROR(_xludf.NUMBERVALUE('Procyclean 210'!E229,",","."),0))))</f>
        <v/>
      </c>
      <c r="AE1727" t="str">
        <f>IF(AA1727="","",'Procyclean 210'!B229)</f>
        <v/>
      </c>
      <c r="AF1727">
        <f t="shared" si="173"/>
        <v>0</v>
      </c>
      <c r="AG1727" t="str">
        <f t="shared" si="174"/>
        <v/>
      </c>
      <c r="AH1727" t="str">
        <f t="shared" si="175"/>
        <v/>
      </c>
      <c r="AI1727">
        <f t="shared" si="176"/>
        <v>0</v>
      </c>
      <c r="AJ1727">
        <f t="shared" si="177"/>
        <v>0</v>
      </c>
      <c r="AK1727">
        <v>0</v>
      </c>
      <c r="AL1727" t="str">
        <f>IF(AA1727="","",IFERROR(IF(ISNUMBER('Procyclean 210'!F229),'Procyclean 210'!F229,IF(ISNUMBER(SEARCH("12",'Procyclean 210'!F229)),EDATE(AB1727,12),IF(ISNUMBER(SEARCH("6",'Procyclean 210'!F229)),EDATE(AB1727,6),IF(ISNUMBER(SEARCH("3",'Procyclean 210'!F229)),EDATE(AB1727,3),DATEVALUE('Procyclean 210'!F229))))),""))</f>
        <v/>
      </c>
      <c r="AM1727" t="str">
        <f t="shared" ca="1" si="178"/>
        <v/>
      </c>
    </row>
    <row r="1728" spans="27:39" x14ac:dyDescent="0.3">
      <c r="AA1728" t="str">
        <f>IF(COUNTA('Procyclean 210'!C230,'Procyclean 210'!D230,'Procyclean 210'!E230)&gt;0,"210","")</f>
        <v/>
      </c>
      <c r="AB1728" t="str">
        <f>IFERROR(IF(ISNUMBER('Procyclean 210'!C230),'Procyclean 210'!C230,DATEVALUE('Procyclean 210'!C230)),"")</f>
        <v/>
      </c>
      <c r="AC1728" t="str">
        <f>IF(AA1728="","",'Procyclean 210'!D230)</f>
        <v/>
      </c>
      <c r="AD1728" t="str">
        <f>IF(AA1728="","",IFERROR(1*'Procyclean 210'!E230,IFERROR(_xludf.NUMBERVALUE('Procyclean 210'!E230,".",","),IFERROR(_xludf.NUMBERVALUE('Procyclean 210'!E230,",","."),0))))</f>
        <v/>
      </c>
      <c r="AE1728" t="str">
        <f>IF(AA1728="","",'Procyclean 210'!B230)</f>
        <v/>
      </c>
      <c r="AF1728">
        <f t="shared" si="173"/>
        <v>0</v>
      </c>
      <c r="AG1728" t="str">
        <f t="shared" si="174"/>
        <v/>
      </c>
      <c r="AH1728" t="str">
        <f t="shared" si="175"/>
        <v/>
      </c>
      <c r="AI1728">
        <f t="shared" si="176"/>
        <v>0</v>
      </c>
      <c r="AJ1728">
        <f t="shared" si="177"/>
        <v>0</v>
      </c>
      <c r="AK1728">
        <v>0</v>
      </c>
      <c r="AL1728" t="str">
        <f>IF(AA1728="","",IFERROR(IF(ISNUMBER('Procyclean 210'!F230),'Procyclean 210'!F230,IF(ISNUMBER(SEARCH("12",'Procyclean 210'!F230)),EDATE(AB1728,12),IF(ISNUMBER(SEARCH("6",'Procyclean 210'!F230)),EDATE(AB1728,6),IF(ISNUMBER(SEARCH("3",'Procyclean 210'!F230)),EDATE(AB1728,3),DATEVALUE('Procyclean 210'!F230))))),""))</f>
        <v/>
      </c>
      <c r="AM1728" t="str">
        <f t="shared" ca="1" si="178"/>
        <v/>
      </c>
    </row>
    <row r="1729" spans="27:39" x14ac:dyDescent="0.3">
      <c r="AA1729" t="str">
        <f>IF(COUNTA('Procyclean 210'!C231,'Procyclean 210'!D231,'Procyclean 210'!E231)&gt;0,"210","")</f>
        <v/>
      </c>
      <c r="AB1729" t="str">
        <f>IFERROR(IF(ISNUMBER('Procyclean 210'!C231),'Procyclean 210'!C231,DATEVALUE('Procyclean 210'!C231)),"")</f>
        <v/>
      </c>
      <c r="AC1729" t="str">
        <f>IF(AA1729="","",'Procyclean 210'!D231)</f>
        <v/>
      </c>
      <c r="AD1729" t="str">
        <f>IF(AA1729="","",IFERROR(1*'Procyclean 210'!E231,IFERROR(_xludf.NUMBERVALUE('Procyclean 210'!E231,".",","),IFERROR(_xludf.NUMBERVALUE('Procyclean 210'!E231,",","."),0))))</f>
        <v/>
      </c>
      <c r="AE1729" t="str">
        <f>IF(AA1729="","",'Procyclean 210'!B231)</f>
        <v/>
      </c>
      <c r="AF1729">
        <f t="shared" si="173"/>
        <v>0</v>
      </c>
      <c r="AG1729" t="str">
        <f t="shared" si="174"/>
        <v/>
      </c>
      <c r="AH1729" t="str">
        <f t="shared" si="175"/>
        <v/>
      </c>
      <c r="AI1729">
        <f t="shared" si="176"/>
        <v>0</v>
      </c>
      <c r="AJ1729">
        <f t="shared" si="177"/>
        <v>0</v>
      </c>
      <c r="AK1729">
        <v>0</v>
      </c>
      <c r="AL1729" t="str">
        <f>IF(AA1729="","",IFERROR(IF(ISNUMBER('Procyclean 210'!F231),'Procyclean 210'!F231,IF(ISNUMBER(SEARCH("12",'Procyclean 210'!F231)),EDATE(AB1729,12),IF(ISNUMBER(SEARCH("6",'Procyclean 210'!F231)),EDATE(AB1729,6),IF(ISNUMBER(SEARCH("3",'Procyclean 210'!F231)),EDATE(AB1729,3),DATEVALUE('Procyclean 210'!F231))))),""))</f>
        <v/>
      </c>
      <c r="AM1729" t="str">
        <f t="shared" ca="1" si="178"/>
        <v/>
      </c>
    </row>
    <row r="1730" spans="27:39" x14ac:dyDescent="0.3">
      <c r="AA1730" t="str">
        <f>IF(COUNTA('Procyclean 210'!C232,'Procyclean 210'!D232,'Procyclean 210'!E232)&gt;0,"210","")</f>
        <v/>
      </c>
      <c r="AB1730" t="str">
        <f>IFERROR(IF(ISNUMBER('Procyclean 210'!C232),'Procyclean 210'!C232,DATEVALUE('Procyclean 210'!C232)),"")</f>
        <v/>
      </c>
      <c r="AC1730" t="str">
        <f>IF(AA1730="","",'Procyclean 210'!D232)</f>
        <v/>
      </c>
      <c r="AD1730" t="str">
        <f>IF(AA1730="","",IFERROR(1*'Procyclean 210'!E232,IFERROR(_xludf.NUMBERVALUE('Procyclean 210'!E232,".",","),IFERROR(_xludf.NUMBERVALUE('Procyclean 210'!E232,",","."),0))))</f>
        <v/>
      </c>
      <c r="AE1730" t="str">
        <f>IF(AA1730="","",'Procyclean 210'!B232)</f>
        <v/>
      </c>
      <c r="AF1730">
        <f t="shared" ref="AF1730:AF1793" si="179">IF(AA1730="",0,--AND(ISNUMBER(SEARCH("aprov",AE1730)),NOT(ISNUMBER(SEARCH("reprov",AE1730)))))</f>
        <v>0</v>
      </c>
      <c r="AG1730" t="str">
        <f t="shared" ref="AG1730:AG1793" si="180">IF(AB1730="","",YEAR(AB1730))</f>
        <v/>
      </c>
      <c r="AH1730" t="str">
        <f t="shared" ref="AH1730:AH1793" si="181">IF(AB1730="","",MONTH(AB1730))</f>
        <v/>
      </c>
      <c r="AI1730">
        <f t="shared" ref="AI1730:AI1793" si="182">IF(AB1730="",0,AB1730+ROW()/1000000)</f>
        <v>0</v>
      </c>
      <c r="AJ1730">
        <f t="shared" ref="AJ1730:AJ1793" si="183">--(AA1730&lt;&gt;"")</f>
        <v>0</v>
      </c>
      <c r="AK1730">
        <v>0</v>
      </c>
      <c r="AL1730" t="str">
        <f>IF(AA1730="","",IFERROR(IF(ISNUMBER('Procyclean 210'!F232),'Procyclean 210'!F232,IF(ISNUMBER(SEARCH("12",'Procyclean 210'!F232)),EDATE(AB1730,12),IF(ISNUMBER(SEARCH("6",'Procyclean 210'!F232)),EDATE(AB1730,6),IF(ISNUMBER(SEARCH("3",'Procyclean 210'!F232)),EDATE(AB1730,3),DATEVALUE('Procyclean 210'!F232))))),""))</f>
        <v/>
      </c>
      <c r="AM1730" t="str">
        <f t="shared" ref="AM1730:AM1793" ca="1" si="184">IF(AND(AJ1730=1,AL1730&lt;&gt;"",AL1730&gt;=TODAY(),AG1730=$W$3),AL1730+ROW()/1000000,"")</f>
        <v/>
      </c>
    </row>
    <row r="1731" spans="27:39" x14ac:dyDescent="0.3">
      <c r="AA1731" t="str">
        <f>IF(COUNTA('Procyclean 210'!C233,'Procyclean 210'!D233,'Procyclean 210'!E233)&gt;0,"210","")</f>
        <v/>
      </c>
      <c r="AB1731" t="str">
        <f>IFERROR(IF(ISNUMBER('Procyclean 210'!C233),'Procyclean 210'!C233,DATEVALUE('Procyclean 210'!C233)),"")</f>
        <v/>
      </c>
      <c r="AC1731" t="str">
        <f>IF(AA1731="","",'Procyclean 210'!D233)</f>
        <v/>
      </c>
      <c r="AD1731" t="str">
        <f>IF(AA1731="","",IFERROR(1*'Procyclean 210'!E233,IFERROR(_xludf.NUMBERVALUE('Procyclean 210'!E233,".",","),IFERROR(_xludf.NUMBERVALUE('Procyclean 210'!E233,",","."),0))))</f>
        <v/>
      </c>
      <c r="AE1731" t="str">
        <f>IF(AA1731="","",'Procyclean 210'!B233)</f>
        <v/>
      </c>
      <c r="AF1731">
        <f t="shared" si="179"/>
        <v>0</v>
      </c>
      <c r="AG1731" t="str">
        <f t="shared" si="180"/>
        <v/>
      </c>
      <c r="AH1731" t="str">
        <f t="shared" si="181"/>
        <v/>
      </c>
      <c r="AI1731">
        <f t="shared" si="182"/>
        <v>0</v>
      </c>
      <c r="AJ1731">
        <f t="shared" si="183"/>
        <v>0</v>
      </c>
      <c r="AK1731">
        <v>0</v>
      </c>
      <c r="AL1731" t="str">
        <f>IF(AA1731="","",IFERROR(IF(ISNUMBER('Procyclean 210'!F233),'Procyclean 210'!F233,IF(ISNUMBER(SEARCH("12",'Procyclean 210'!F233)),EDATE(AB1731,12),IF(ISNUMBER(SEARCH("6",'Procyclean 210'!F233)),EDATE(AB1731,6),IF(ISNUMBER(SEARCH("3",'Procyclean 210'!F233)),EDATE(AB1731,3),DATEVALUE('Procyclean 210'!F233))))),""))</f>
        <v/>
      </c>
      <c r="AM1731" t="str">
        <f t="shared" ca="1" si="184"/>
        <v/>
      </c>
    </row>
    <row r="1732" spans="27:39" x14ac:dyDescent="0.3">
      <c r="AA1732" t="str">
        <f>IF(COUNTA('Procyclean 210'!C234,'Procyclean 210'!D234,'Procyclean 210'!E234)&gt;0,"210","")</f>
        <v/>
      </c>
      <c r="AB1732" t="str">
        <f>IFERROR(IF(ISNUMBER('Procyclean 210'!C234),'Procyclean 210'!C234,DATEVALUE('Procyclean 210'!C234)),"")</f>
        <v/>
      </c>
      <c r="AC1732" t="str">
        <f>IF(AA1732="","",'Procyclean 210'!D234)</f>
        <v/>
      </c>
      <c r="AD1732" t="str">
        <f>IF(AA1732="","",IFERROR(1*'Procyclean 210'!E234,IFERROR(_xludf.NUMBERVALUE('Procyclean 210'!E234,".",","),IFERROR(_xludf.NUMBERVALUE('Procyclean 210'!E234,",","."),0))))</f>
        <v/>
      </c>
      <c r="AE1732" t="str">
        <f>IF(AA1732="","",'Procyclean 210'!B234)</f>
        <v/>
      </c>
      <c r="AF1732">
        <f t="shared" si="179"/>
        <v>0</v>
      </c>
      <c r="AG1732" t="str">
        <f t="shared" si="180"/>
        <v/>
      </c>
      <c r="AH1732" t="str">
        <f t="shared" si="181"/>
        <v/>
      </c>
      <c r="AI1732">
        <f t="shared" si="182"/>
        <v>0</v>
      </c>
      <c r="AJ1732">
        <f t="shared" si="183"/>
        <v>0</v>
      </c>
      <c r="AK1732">
        <v>0</v>
      </c>
      <c r="AL1732" t="str">
        <f>IF(AA1732="","",IFERROR(IF(ISNUMBER('Procyclean 210'!F234),'Procyclean 210'!F234,IF(ISNUMBER(SEARCH("12",'Procyclean 210'!F234)),EDATE(AB1732,12),IF(ISNUMBER(SEARCH("6",'Procyclean 210'!F234)),EDATE(AB1732,6),IF(ISNUMBER(SEARCH("3",'Procyclean 210'!F234)),EDATE(AB1732,3),DATEVALUE('Procyclean 210'!F234))))),""))</f>
        <v/>
      </c>
      <c r="AM1732" t="str">
        <f t="shared" ca="1" si="184"/>
        <v/>
      </c>
    </row>
    <row r="1733" spans="27:39" x14ac:dyDescent="0.3">
      <c r="AA1733" t="str">
        <f>IF(COUNTA('Procyclean 210'!C235,'Procyclean 210'!D235,'Procyclean 210'!E235)&gt;0,"210","")</f>
        <v/>
      </c>
      <c r="AB1733" t="str">
        <f>IFERROR(IF(ISNUMBER('Procyclean 210'!C235),'Procyclean 210'!C235,DATEVALUE('Procyclean 210'!C235)),"")</f>
        <v/>
      </c>
      <c r="AC1733" t="str">
        <f>IF(AA1733="","",'Procyclean 210'!D235)</f>
        <v/>
      </c>
      <c r="AD1733" t="str">
        <f>IF(AA1733="","",IFERROR(1*'Procyclean 210'!E235,IFERROR(_xludf.NUMBERVALUE('Procyclean 210'!E235,".",","),IFERROR(_xludf.NUMBERVALUE('Procyclean 210'!E235,",","."),0))))</f>
        <v/>
      </c>
      <c r="AE1733" t="str">
        <f>IF(AA1733="","",'Procyclean 210'!B235)</f>
        <v/>
      </c>
      <c r="AF1733">
        <f t="shared" si="179"/>
        <v>0</v>
      </c>
      <c r="AG1733" t="str">
        <f t="shared" si="180"/>
        <v/>
      </c>
      <c r="AH1733" t="str">
        <f t="shared" si="181"/>
        <v/>
      </c>
      <c r="AI1733">
        <f t="shared" si="182"/>
        <v>0</v>
      </c>
      <c r="AJ1733">
        <f t="shared" si="183"/>
        <v>0</v>
      </c>
      <c r="AK1733">
        <v>0</v>
      </c>
      <c r="AL1733" t="str">
        <f>IF(AA1733="","",IFERROR(IF(ISNUMBER('Procyclean 210'!F235),'Procyclean 210'!F235,IF(ISNUMBER(SEARCH("12",'Procyclean 210'!F235)),EDATE(AB1733,12),IF(ISNUMBER(SEARCH("6",'Procyclean 210'!F235)),EDATE(AB1733,6),IF(ISNUMBER(SEARCH("3",'Procyclean 210'!F235)),EDATE(AB1733,3),DATEVALUE('Procyclean 210'!F235))))),""))</f>
        <v/>
      </c>
      <c r="AM1733" t="str">
        <f t="shared" ca="1" si="184"/>
        <v/>
      </c>
    </row>
    <row r="1734" spans="27:39" x14ac:dyDescent="0.3">
      <c r="AA1734" t="str">
        <f>IF(COUNTA('Procyclean 210'!C236,'Procyclean 210'!D236,'Procyclean 210'!E236)&gt;0,"210","")</f>
        <v/>
      </c>
      <c r="AB1734" t="str">
        <f>IFERROR(IF(ISNUMBER('Procyclean 210'!C236),'Procyclean 210'!C236,DATEVALUE('Procyclean 210'!C236)),"")</f>
        <v/>
      </c>
      <c r="AC1734" t="str">
        <f>IF(AA1734="","",'Procyclean 210'!D236)</f>
        <v/>
      </c>
      <c r="AD1734" t="str">
        <f>IF(AA1734="","",IFERROR(1*'Procyclean 210'!E236,IFERROR(_xludf.NUMBERVALUE('Procyclean 210'!E236,".",","),IFERROR(_xludf.NUMBERVALUE('Procyclean 210'!E236,",","."),0))))</f>
        <v/>
      </c>
      <c r="AE1734" t="str">
        <f>IF(AA1734="","",'Procyclean 210'!B236)</f>
        <v/>
      </c>
      <c r="AF1734">
        <f t="shared" si="179"/>
        <v>0</v>
      </c>
      <c r="AG1734" t="str">
        <f t="shared" si="180"/>
        <v/>
      </c>
      <c r="AH1734" t="str">
        <f t="shared" si="181"/>
        <v/>
      </c>
      <c r="AI1734">
        <f t="shared" si="182"/>
        <v>0</v>
      </c>
      <c r="AJ1734">
        <f t="shared" si="183"/>
        <v>0</v>
      </c>
      <c r="AK1734">
        <v>0</v>
      </c>
      <c r="AL1734" t="str">
        <f>IF(AA1734="","",IFERROR(IF(ISNUMBER('Procyclean 210'!F236),'Procyclean 210'!F236,IF(ISNUMBER(SEARCH("12",'Procyclean 210'!F236)),EDATE(AB1734,12),IF(ISNUMBER(SEARCH("6",'Procyclean 210'!F236)),EDATE(AB1734,6),IF(ISNUMBER(SEARCH("3",'Procyclean 210'!F236)),EDATE(AB1734,3),DATEVALUE('Procyclean 210'!F236))))),""))</f>
        <v/>
      </c>
      <c r="AM1734" t="str">
        <f t="shared" ca="1" si="184"/>
        <v/>
      </c>
    </row>
    <row r="1735" spans="27:39" x14ac:dyDescent="0.3">
      <c r="AA1735" t="str">
        <f>IF(COUNTA('Procyclean 210'!C237,'Procyclean 210'!D237,'Procyclean 210'!E237)&gt;0,"210","")</f>
        <v/>
      </c>
      <c r="AB1735" t="str">
        <f>IFERROR(IF(ISNUMBER('Procyclean 210'!C237),'Procyclean 210'!C237,DATEVALUE('Procyclean 210'!C237)),"")</f>
        <v/>
      </c>
      <c r="AC1735" t="str">
        <f>IF(AA1735="","",'Procyclean 210'!D237)</f>
        <v/>
      </c>
      <c r="AD1735" t="str">
        <f>IF(AA1735="","",IFERROR(1*'Procyclean 210'!E237,IFERROR(_xludf.NUMBERVALUE('Procyclean 210'!E237,".",","),IFERROR(_xludf.NUMBERVALUE('Procyclean 210'!E237,",","."),0))))</f>
        <v/>
      </c>
      <c r="AE1735" t="str">
        <f>IF(AA1735="","",'Procyclean 210'!B237)</f>
        <v/>
      </c>
      <c r="AF1735">
        <f t="shared" si="179"/>
        <v>0</v>
      </c>
      <c r="AG1735" t="str">
        <f t="shared" si="180"/>
        <v/>
      </c>
      <c r="AH1735" t="str">
        <f t="shared" si="181"/>
        <v/>
      </c>
      <c r="AI1735">
        <f t="shared" si="182"/>
        <v>0</v>
      </c>
      <c r="AJ1735">
        <f t="shared" si="183"/>
        <v>0</v>
      </c>
      <c r="AK1735">
        <v>0</v>
      </c>
      <c r="AL1735" t="str">
        <f>IF(AA1735="","",IFERROR(IF(ISNUMBER('Procyclean 210'!F237),'Procyclean 210'!F237,IF(ISNUMBER(SEARCH("12",'Procyclean 210'!F237)),EDATE(AB1735,12),IF(ISNUMBER(SEARCH("6",'Procyclean 210'!F237)),EDATE(AB1735,6),IF(ISNUMBER(SEARCH("3",'Procyclean 210'!F237)),EDATE(AB1735,3),DATEVALUE('Procyclean 210'!F237))))),""))</f>
        <v/>
      </c>
      <c r="AM1735" t="str">
        <f t="shared" ca="1" si="184"/>
        <v/>
      </c>
    </row>
    <row r="1736" spans="27:39" x14ac:dyDescent="0.3">
      <c r="AA1736" t="str">
        <f>IF(COUNTA('Procyclean 210'!C238,'Procyclean 210'!D238,'Procyclean 210'!E238)&gt;0,"210","")</f>
        <v/>
      </c>
      <c r="AB1736" t="str">
        <f>IFERROR(IF(ISNUMBER('Procyclean 210'!C238),'Procyclean 210'!C238,DATEVALUE('Procyclean 210'!C238)),"")</f>
        <v/>
      </c>
      <c r="AC1736" t="str">
        <f>IF(AA1736="","",'Procyclean 210'!D238)</f>
        <v/>
      </c>
      <c r="AD1736" t="str">
        <f>IF(AA1736="","",IFERROR(1*'Procyclean 210'!E238,IFERROR(_xludf.NUMBERVALUE('Procyclean 210'!E238,".",","),IFERROR(_xludf.NUMBERVALUE('Procyclean 210'!E238,",","."),0))))</f>
        <v/>
      </c>
      <c r="AE1736" t="str">
        <f>IF(AA1736="","",'Procyclean 210'!B238)</f>
        <v/>
      </c>
      <c r="AF1736">
        <f t="shared" si="179"/>
        <v>0</v>
      </c>
      <c r="AG1736" t="str">
        <f t="shared" si="180"/>
        <v/>
      </c>
      <c r="AH1736" t="str">
        <f t="shared" si="181"/>
        <v/>
      </c>
      <c r="AI1736">
        <f t="shared" si="182"/>
        <v>0</v>
      </c>
      <c r="AJ1736">
        <f t="shared" si="183"/>
        <v>0</v>
      </c>
      <c r="AK1736">
        <v>0</v>
      </c>
      <c r="AL1736" t="str">
        <f>IF(AA1736="","",IFERROR(IF(ISNUMBER('Procyclean 210'!F238),'Procyclean 210'!F238,IF(ISNUMBER(SEARCH("12",'Procyclean 210'!F238)),EDATE(AB1736,12),IF(ISNUMBER(SEARCH("6",'Procyclean 210'!F238)),EDATE(AB1736,6),IF(ISNUMBER(SEARCH("3",'Procyclean 210'!F238)),EDATE(AB1736,3),DATEVALUE('Procyclean 210'!F238))))),""))</f>
        <v/>
      </c>
      <c r="AM1736" t="str">
        <f t="shared" ca="1" si="184"/>
        <v/>
      </c>
    </row>
    <row r="1737" spans="27:39" x14ac:dyDescent="0.3">
      <c r="AA1737" t="str">
        <f>IF(COUNTA('Procyclean 210'!C239,'Procyclean 210'!D239,'Procyclean 210'!E239)&gt;0,"210","")</f>
        <v/>
      </c>
      <c r="AB1737" t="str">
        <f>IFERROR(IF(ISNUMBER('Procyclean 210'!C239),'Procyclean 210'!C239,DATEVALUE('Procyclean 210'!C239)),"")</f>
        <v/>
      </c>
      <c r="AC1737" t="str">
        <f>IF(AA1737="","",'Procyclean 210'!D239)</f>
        <v/>
      </c>
      <c r="AD1737" t="str">
        <f>IF(AA1737="","",IFERROR(1*'Procyclean 210'!E239,IFERROR(_xludf.NUMBERVALUE('Procyclean 210'!E239,".",","),IFERROR(_xludf.NUMBERVALUE('Procyclean 210'!E239,",","."),0))))</f>
        <v/>
      </c>
      <c r="AE1737" t="str">
        <f>IF(AA1737="","",'Procyclean 210'!B239)</f>
        <v/>
      </c>
      <c r="AF1737">
        <f t="shared" si="179"/>
        <v>0</v>
      </c>
      <c r="AG1737" t="str">
        <f t="shared" si="180"/>
        <v/>
      </c>
      <c r="AH1737" t="str">
        <f t="shared" si="181"/>
        <v/>
      </c>
      <c r="AI1737">
        <f t="shared" si="182"/>
        <v>0</v>
      </c>
      <c r="AJ1737">
        <f t="shared" si="183"/>
        <v>0</v>
      </c>
      <c r="AK1737">
        <v>0</v>
      </c>
      <c r="AL1737" t="str">
        <f>IF(AA1737="","",IFERROR(IF(ISNUMBER('Procyclean 210'!F239),'Procyclean 210'!F239,IF(ISNUMBER(SEARCH("12",'Procyclean 210'!F239)),EDATE(AB1737,12),IF(ISNUMBER(SEARCH("6",'Procyclean 210'!F239)),EDATE(AB1737,6),IF(ISNUMBER(SEARCH("3",'Procyclean 210'!F239)),EDATE(AB1737,3),DATEVALUE('Procyclean 210'!F239))))),""))</f>
        <v/>
      </c>
      <c r="AM1737" t="str">
        <f t="shared" ca="1" si="184"/>
        <v/>
      </c>
    </row>
    <row r="1738" spans="27:39" x14ac:dyDescent="0.3">
      <c r="AA1738" t="str">
        <f>IF(COUNTA('Procyclean 210'!C240,'Procyclean 210'!D240,'Procyclean 210'!E240)&gt;0,"210","")</f>
        <v/>
      </c>
      <c r="AB1738" t="str">
        <f>IFERROR(IF(ISNUMBER('Procyclean 210'!C240),'Procyclean 210'!C240,DATEVALUE('Procyclean 210'!C240)),"")</f>
        <v/>
      </c>
      <c r="AC1738" t="str">
        <f>IF(AA1738="","",'Procyclean 210'!D240)</f>
        <v/>
      </c>
      <c r="AD1738" t="str">
        <f>IF(AA1738="","",IFERROR(1*'Procyclean 210'!E240,IFERROR(_xludf.NUMBERVALUE('Procyclean 210'!E240,".",","),IFERROR(_xludf.NUMBERVALUE('Procyclean 210'!E240,",","."),0))))</f>
        <v/>
      </c>
      <c r="AE1738" t="str">
        <f>IF(AA1738="","",'Procyclean 210'!B240)</f>
        <v/>
      </c>
      <c r="AF1738">
        <f t="shared" si="179"/>
        <v>0</v>
      </c>
      <c r="AG1738" t="str">
        <f t="shared" si="180"/>
        <v/>
      </c>
      <c r="AH1738" t="str">
        <f t="shared" si="181"/>
        <v/>
      </c>
      <c r="AI1738">
        <f t="shared" si="182"/>
        <v>0</v>
      </c>
      <c r="AJ1738">
        <f t="shared" si="183"/>
        <v>0</v>
      </c>
      <c r="AK1738">
        <v>0</v>
      </c>
      <c r="AL1738" t="str">
        <f>IF(AA1738="","",IFERROR(IF(ISNUMBER('Procyclean 210'!F240),'Procyclean 210'!F240,IF(ISNUMBER(SEARCH("12",'Procyclean 210'!F240)),EDATE(AB1738,12),IF(ISNUMBER(SEARCH("6",'Procyclean 210'!F240)),EDATE(AB1738,6),IF(ISNUMBER(SEARCH("3",'Procyclean 210'!F240)),EDATE(AB1738,3),DATEVALUE('Procyclean 210'!F240))))),""))</f>
        <v/>
      </c>
      <c r="AM1738" t="str">
        <f t="shared" ca="1" si="184"/>
        <v/>
      </c>
    </row>
    <row r="1739" spans="27:39" x14ac:dyDescent="0.3">
      <c r="AA1739" t="str">
        <f>IF(COUNTA('Procyclean 210'!C241,'Procyclean 210'!D241,'Procyclean 210'!E241)&gt;0,"210","")</f>
        <v/>
      </c>
      <c r="AB1739" t="str">
        <f>IFERROR(IF(ISNUMBER('Procyclean 210'!C241),'Procyclean 210'!C241,DATEVALUE('Procyclean 210'!C241)),"")</f>
        <v/>
      </c>
      <c r="AC1739" t="str">
        <f>IF(AA1739="","",'Procyclean 210'!D241)</f>
        <v/>
      </c>
      <c r="AD1739" t="str">
        <f>IF(AA1739="","",IFERROR(1*'Procyclean 210'!E241,IFERROR(_xludf.NUMBERVALUE('Procyclean 210'!E241,".",","),IFERROR(_xludf.NUMBERVALUE('Procyclean 210'!E241,",","."),0))))</f>
        <v/>
      </c>
      <c r="AE1739" t="str">
        <f>IF(AA1739="","",'Procyclean 210'!B241)</f>
        <v/>
      </c>
      <c r="AF1739">
        <f t="shared" si="179"/>
        <v>0</v>
      </c>
      <c r="AG1739" t="str">
        <f t="shared" si="180"/>
        <v/>
      </c>
      <c r="AH1739" t="str">
        <f t="shared" si="181"/>
        <v/>
      </c>
      <c r="AI1739">
        <f t="shared" si="182"/>
        <v>0</v>
      </c>
      <c r="AJ1739">
        <f t="shared" si="183"/>
        <v>0</v>
      </c>
      <c r="AK1739">
        <v>0</v>
      </c>
      <c r="AL1739" t="str">
        <f>IF(AA1739="","",IFERROR(IF(ISNUMBER('Procyclean 210'!F241),'Procyclean 210'!F241,IF(ISNUMBER(SEARCH("12",'Procyclean 210'!F241)),EDATE(AB1739,12),IF(ISNUMBER(SEARCH("6",'Procyclean 210'!F241)),EDATE(AB1739,6),IF(ISNUMBER(SEARCH("3",'Procyclean 210'!F241)),EDATE(AB1739,3),DATEVALUE('Procyclean 210'!F241))))),""))</f>
        <v/>
      </c>
      <c r="AM1739" t="str">
        <f t="shared" ca="1" si="184"/>
        <v/>
      </c>
    </row>
    <row r="1740" spans="27:39" x14ac:dyDescent="0.3">
      <c r="AA1740" t="str">
        <f>IF(COUNTA('Procyclean 210'!C242,'Procyclean 210'!D242,'Procyclean 210'!E242)&gt;0,"210","")</f>
        <v/>
      </c>
      <c r="AB1740" t="str">
        <f>IFERROR(IF(ISNUMBER('Procyclean 210'!C242),'Procyclean 210'!C242,DATEVALUE('Procyclean 210'!C242)),"")</f>
        <v/>
      </c>
      <c r="AC1740" t="str">
        <f>IF(AA1740="","",'Procyclean 210'!D242)</f>
        <v/>
      </c>
      <c r="AD1740" t="str">
        <f>IF(AA1740="","",IFERROR(1*'Procyclean 210'!E242,IFERROR(_xludf.NUMBERVALUE('Procyclean 210'!E242,".",","),IFERROR(_xludf.NUMBERVALUE('Procyclean 210'!E242,",","."),0))))</f>
        <v/>
      </c>
      <c r="AE1740" t="str">
        <f>IF(AA1740="","",'Procyclean 210'!B242)</f>
        <v/>
      </c>
      <c r="AF1740">
        <f t="shared" si="179"/>
        <v>0</v>
      </c>
      <c r="AG1740" t="str">
        <f t="shared" si="180"/>
        <v/>
      </c>
      <c r="AH1740" t="str">
        <f t="shared" si="181"/>
        <v/>
      </c>
      <c r="AI1740">
        <f t="shared" si="182"/>
        <v>0</v>
      </c>
      <c r="AJ1740">
        <f t="shared" si="183"/>
        <v>0</v>
      </c>
      <c r="AK1740">
        <v>0</v>
      </c>
      <c r="AL1740" t="str">
        <f>IF(AA1740="","",IFERROR(IF(ISNUMBER('Procyclean 210'!F242),'Procyclean 210'!F242,IF(ISNUMBER(SEARCH("12",'Procyclean 210'!F242)),EDATE(AB1740,12),IF(ISNUMBER(SEARCH("6",'Procyclean 210'!F242)),EDATE(AB1740,6),IF(ISNUMBER(SEARCH("3",'Procyclean 210'!F242)),EDATE(AB1740,3),DATEVALUE('Procyclean 210'!F242))))),""))</f>
        <v/>
      </c>
      <c r="AM1740" t="str">
        <f t="shared" ca="1" si="184"/>
        <v/>
      </c>
    </row>
    <row r="1741" spans="27:39" x14ac:dyDescent="0.3">
      <c r="AA1741" t="str">
        <f>IF(COUNTA('Procyclean 210'!C243,'Procyclean 210'!D243,'Procyclean 210'!E243)&gt;0,"210","")</f>
        <v/>
      </c>
      <c r="AB1741" t="str">
        <f>IFERROR(IF(ISNUMBER('Procyclean 210'!C243),'Procyclean 210'!C243,DATEVALUE('Procyclean 210'!C243)),"")</f>
        <v/>
      </c>
      <c r="AC1741" t="str">
        <f>IF(AA1741="","",'Procyclean 210'!D243)</f>
        <v/>
      </c>
      <c r="AD1741" t="str">
        <f>IF(AA1741="","",IFERROR(1*'Procyclean 210'!E243,IFERROR(_xludf.NUMBERVALUE('Procyclean 210'!E243,".",","),IFERROR(_xludf.NUMBERVALUE('Procyclean 210'!E243,",","."),0))))</f>
        <v/>
      </c>
      <c r="AE1741" t="str">
        <f>IF(AA1741="","",'Procyclean 210'!B243)</f>
        <v/>
      </c>
      <c r="AF1741">
        <f t="shared" si="179"/>
        <v>0</v>
      </c>
      <c r="AG1741" t="str">
        <f t="shared" si="180"/>
        <v/>
      </c>
      <c r="AH1741" t="str">
        <f t="shared" si="181"/>
        <v/>
      </c>
      <c r="AI1741">
        <f t="shared" si="182"/>
        <v>0</v>
      </c>
      <c r="AJ1741">
        <f t="shared" si="183"/>
        <v>0</v>
      </c>
      <c r="AK1741">
        <v>0</v>
      </c>
      <c r="AL1741" t="str">
        <f>IF(AA1741="","",IFERROR(IF(ISNUMBER('Procyclean 210'!F243),'Procyclean 210'!F243,IF(ISNUMBER(SEARCH("12",'Procyclean 210'!F243)),EDATE(AB1741,12),IF(ISNUMBER(SEARCH("6",'Procyclean 210'!F243)),EDATE(AB1741,6),IF(ISNUMBER(SEARCH("3",'Procyclean 210'!F243)),EDATE(AB1741,3),DATEVALUE('Procyclean 210'!F243))))),""))</f>
        <v/>
      </c>
      <c r="AM1741" t="str">
        <f t="shared" ca="1" si="184"/>
        <v/>
      </c>
    </row>
    <row r="1742" spans="27:39" x14ac:dyDescent="0.3">
      <c r="AA1742" t="str">
        <f>IF(COUNTA('Procyclean 210'!C244,'Procyclean 210'!D244,'Procyclean 210'!E244)&gt;0,"210","")</f>
        <v/>
      </c>
      <c r="AB1742" t="str">
        <f>IFERROR(IF(ISNUMBER('Procyclean 210'!C244),'Procyclean 210'!C244,DATEVALUE('Procyclean 210'!C244)),"")</f>
        <v/>
      </c>
      <c r="AC1742" t="str">
        <f>IF(AA1742="","",'Procyclean 210'!D244)</f>
        <v/>
      </c>
      <c r="AD1742" t="str">
        <f>IF(AA1742="","",IFERROR(1*'Procyclean 210'!E244,IFERROR(_xludf.NUMBERVALUE('Procyclean 210'!E244,".",","),IFERROR(_xludf.NUMBERVALUE('Procyclean 210'!E244,",","."),0))))</f>
        <v/>
      </c>
      <c r="AE1742" t="str">
        <f>IF(AA1742="","",'Procyclean 210'!B244)</f>
        <v/>
      </c>
      <c r="AF1742">
        <f t="shared" si="179"/>
        <v>0</v>
      </c>
      <c r="AG1742" t="str">
        <f t="shared" si="180"/>
        <v/>
      </c>
      <c r="AH1742" t="str">
        <f t="shared" si="181"/>
        <v/>
      </c>
      <c r="AI1742">
        <f t="shared" si="182"/>
        <v>0</v>
      </c>
      <c r="AJ1742">
        <f t="shared" si="183"/>
        <v>0</v>
      </c>
      <c r="AK1742">
        <v>0</v>
      </c>
      <c r="AL1742" t="str">
        <f>IF(AA1742="","",IFERROR(IF(ISNUMBER('Procyclean 210'!F244),'Procyclean 210'!F244,IF(ISNUMBER(SEARCH("12",'Procyclean 210'!F244)),EDATE(AB1742,12),IF(ISNUMBER(SEARCH("6",'Procyclean 210'!F244)),EDATE(AB1742,6),IF(ISNUMBER(SEARCH("3",'Procyclean 210'!F244)),EDATE(AB1742,3),DATEVALUE('Procyclean 210'!F244))))),""))</f>
        <v/>
      </c>
      <c r="AM1742" t="str">
        <f t="shared" ca="1" si="184"/>
        <v/>
      </c>
    </row>
    <row r="1743" spans="27:39" x14ac:dyDescent="0.3">
      <c r="AA1743" t="str">
        <f>IF(COUNTA('Procyclean 210'!C245,'Procyclean 210'!D245,'Procyclean 210'!E245)&gt;0,"210","")</f>
        <v/>
      </c>
      <c r="AB1743" t="str">
        <f>IFERROR(IF(ISNUMBER('Procyclean 210'!C245),'Procyclean 210'!C245,DATEVALUE('Procyclean 210'!C245)),"")</f>
        <v/>
      </c>
      <c r="AC1743" t="str">
        <f>IF(AA1743="","",'Procyclean 210'!D245)</f>
        <v/>
      </c>
      <c r="AD1743" t="str">
        <f>IF(AA1743="","",IFERROR(1*'Procyclean 210'!E245,IFERROR(_xludf.NUMBERVALUE('Procyclean 210'!E245,".",","),IFERROR(_xludf.NUMBERVALUE('Procyclean 210'!E245,",","."),0))))</f>
        <v/>
      </c>
      <c r="AE1743" t="str">
        <f>IF(AA1743="","",'Procyclean 210'!B245)</f>
        <v/>
      </c>
      <c r="AF1743">
        <f t="shared" si="179"/>
        <v>0</v>
      </c>
      <c r="AG1743" t="str">
        <f t="shared" si="180"/>
        <v/>
      </c>
      <c r="AH1743" t="str">
        <f t="shared" si="181"/>
        <v/>
      </c>
      <c r="AI1743">
        <f t="shared" si="182"/>
        <v>0</v>
      </c>
      <c r="AJ1743">
        <f t="shared" si="183"/>
        <v>0</v>
      </c>
      <c r="AK1743">
        <v>0</v>
      </c>
      <c r="AL1743" t="str">
        <f>IF(AA1743="","",IFERROR(IF(ISNUMBER('Procyclean 210'!F245),'Procyclean 210'!F245,IF(ISNUMBER(SEARCH("12",'Procyclean 210'!F245)),EDATE(AB1743,12),IF(ISNUMBER(SEARCH("6",'Procyclean 210'!F245)),EDATE(AB1743,6),IF(ISNUMBER(SEARCH("3",'Procyclean 210'!F245)),EDATE(AB1743,3),DATEVALUE('Procyclean 210'!F245))))),""))</f>
        <v/>
      </c>
      <c r="AM1743" t="str">
        <f t="shared" ca="1" si="184"/>
        <v/>
      </c>
    </row>
    <row r="1744" spans="27:39" x14ac:dyDescent="0.3">
      <c r="AA1744" t="str">
        <f>IF(COUNTA('Procyclean 210'!C246,'Procyclean 210'!D246,'Procyclean 210'!E246)&gt;0,"210","")</f>
        <v/>
      </c>
      <c r="AB1744" t="str">
        <f>IFERROR(IF(ISNUMBER('Procyclean 210'!C246),'Procyclean 210'!C246,DATEVALUE('Procyclean 210'!C246)),"")</f>
        <v/>
      </c>
      <c r="AC1744" t="str">
        <f>IF(AA1744="","",'Procyclean 210'!D246)</f>
        <v/>
      </c>
      <c r="AD1744" t="str">
        <f>IF(AA1744="","",IFERROR(1*'Procyclean 210'!E246,IFERROR(_xludf.NUMBERVALUE('Procyclean 210'!E246,".",","),IFERROR(_xludf.NUMBERVALUE('Procyclean 210'!E246,",","."),0))))</f>
        <v/>
      </c>
      <c r="AE1744" t="str">
        <f>IF(AA1744="","",'Procyclean 210'!B246)</f>
        <v/>
      </c>
      <c r="AF1744">
        <f t="shared" si="179"/>
        <v>0</v>
      </c>
      <c r="AG1744" t="str">
        <f t="shared" si="180"/>
        <v/>
      </c>
      <c r="AH1744" t="str">
        <f t="shared" si="181"/>
        <v/>
      </c>
      <c r="AI1744">
        <f t="shared" si="182"/>
        <v>0</v>
      </c>
      <c r="AJ1744">
        <f t="shared" si="183"/>
        <v>0</v>
      </c>
      <c r="AK1744">
        <v>0</v>
      </c>
      <c r="AL1744" t="str">
        <f>IF(AA1744="","",IFERROR(IF(ISNUMBER('Procyclean 210'!F246),'Procyclean 210'!F246,IF(ISNUMBER(SEARCH("12",'Procyclean 210'!F246)),EDATE(AB1744,12),IF(ISNUMBER(SEARCH("6",'Procyclean 210'!F246)),EDATE(AB1744,6),IF(ISNUMBER(SEARCH("3",'Procyclean 210'!F246)),EDATE(AB1744,3),DATEVALUE('Procyclean 210'!F246))))),""))</f>
        <v/>
      </c>
      <c r="AM1744" t="str">
        <f t="shared" ca="1" si="184"/>
        <v/>
      </c>
    </row>
    <row r="1745" spans="27:39" x14ac:dyDescent="0.3">
      <c r="AA1745" t="str">
        <f>IF(COUNTA('Procyclean 210'!C247,'Procyclean 210'!D247,'Procyclean 210'!E247)&gt;0,"210","")</f>
        <v/>
      </c>
      <c r="AB1745" t="str">
        <f>IFERROR(IF(ISNUMBER('Procyclean 210'!C247),'Procyclean 210'!C247,DATEVALUE('Procyclean 210'!C247)),"")</f>
        <v/>
      </c>
      <c r="AC1745" t="str">
        <f>IF(AA1745="","",'Procyclean 210'!D247)</f>
        <v/>
      </c>
      <c r="AD1745" t="str">
        <f>IF(AA1745="","",IFERROR(1*'Procyclean 210'!E247,IFERROR(_xludf.NUMBERVALUE('Procyclean 210'!E247,".",","),IFERROR(_xludf.NUMBERVALUE('Procyclean 210'!E247,",","."),0))))</f>
        <v/>
      </c>
      <c r="AE1745" t="str">
        <f>IF(AA1745="","",'Procyclean 210'!B247)</f>
        <v/>
      </c>
      <c r="AF1745">
        <f t="shared" si="179"/>
        <v>0</v>
      </c>
      <c r="AG1745" t="str">
        <f t="shared" si="180"/>
        <v/>
      </c>
      <c r="AH1745" t="str">
        <f t="shared" si="181"/>
        <v/>
      </c>
      <c r="AI1745">
        <f t="shared" si="182"/>
        <v>0</v>
      </c>
      <c r="AJ1745">
        <f t="shared" si="183"/>
        <v>0</v>
      </c>
      <c r="AK1745">
        <v>0</v>
      </c>
      <c r="AL1745" t="str">
        <f>IF(AA1745="","",IFERROR(IF(ISNUMBER('Procyclean 210'!F247),'Procyclean 210'!F247,IF(ISNUMBER(SEARCH("12",'Procyclean 210'!F247)),EDATE(AB1745,12),IF(ISNUMBER(SEARCH("6",'Procyclean 210'!F247)),EDATE(AB1745,6),IF(ISNUMBER(SEARCH("3",'Procyclean 210'!F247)),EDATE(AB1745,3),DATEVALUE('Procyclean 210'!F247))))),""))</f>
        <v/>
      </c>
      <c r="AM1745" t="str">
        <f t="shared" ca="1" si="184"/>
        <v/>
      </c>
    </row>
    <row r="1746" spans="27:39" x14ac:dyDescent="0.3">
      <c r="AA1746" t="str">
        <f>IF(COUNTA('Procyclean 210'!C248,'Procyclean 210'!D248,'Procyclean 210'!E248)&gt;0,"210","")</f>
        <v/>
      </c>
      <c r="AB1746" t="str">
        <f>IFERROR(IF(ISNUMBER('Procyclean 210'!C248),'Procyclean 210'!C248,DATEVALUE('Procyclean 210'!C248)),"")</f>
        <v/>
      </c>
      <c r="AC1746" t="str">
        <f>IF(AA1746="","",'Procyclean 210'!D248)</f>
        <v/>
      </c>
      <c r="AD1746" t="str">
        <f>IF(AA1746="","",IFERROR(1*'Procyclean 210'!E248,IFERROR(_xludf.NUMBERVALUE('Procyclean 210'!E248,".",","),IFERROR(_xludf.NUMBERVALUE('Procyclean 210'!E248,",","."),0))))</f>
        <v/>
      </c>
      <c r="AE1746" t="str">
        <f>IF(AA1746="","",'Procyclean 210'!B248)</f>
        <v/>
      </c>
      <c r="AF1746">
        <f t="shared" si="179"/>
        <v>0</v>
      </c>
      <c r="AG1746" t="str">
        <f t="shared" si="180"/>
        <v/>
      </c>
      <c r="AH1746" t="str">
        <f t="shared" si="181"/>
        <v/>
      </c>
      <c r="AI1746">
        <f t="shared" si="182"/>
        <v>0</v>
      </c>
      <c r="AJ1746">
        <f t="shared" si="183"/>
        <v>0</v>
      </c>
      <c r="AK1746">
        <v>0</v>
      </c>
      <c r="AL1746" t="str">
        <f>IF(AA1746="","",IFERROR(IF(ISNUMBER('Procyclean 210'!F248),'Procyclean 210'!F248,IF(ISNUMBER(SEARCH("12",'Procyclean 210'!F248)),EDATE(AB1746,12),IF(ISNUMBER(SEARCH("6",'Procyclean 210'!F248)),EDATE(AB1746,6),IF(ISNUMBER(SEARCH("3",'Procyclean 210'!F248)),EDATE(AB1746,3),DATEVALUE('Procyclean 210'!F248))))),""))</f>
        <v/>
      </c>
      <c r="AM1746" t="str">
        <f t="shared" ca="1" si="184"/>
        <v/>
      </c>
    </row>
    <row r="1747" spans="27:39" x14ac:dyDescent="0.3">
      <c r="AA1747" t="str">
        <f>IF(COUNTA('Procyclean 210'!C249,'Procyclean 210'!D249,'Procyclean 210'!E249)&gt;0,"210","")</f>
        <v/>
      </c>
      <c r="AB1747" t="str">
        <f>IFERROR(IF(ISNUMBER('Procyclean 210'!C249),'Procyclean 210'!C249,DATEVALUE('Procyclean 210'!C249)),"")</f>
        <v/>
      </c>
      <c r="AC1747" t="str">
        <f>IF(AA1747="","",'Procyclean 210'!D249)</f>
        <v/>
      </c>
      <c r="AD1747" t="str">
        <f>IF(AA1747="","",IFERROR(1*'Procyclean 210'!E249,IFERROR(_xludf.NUMBERVALUE('Procyclean 210'!E249,".",","),IFERROR(_xludf.NUMBERVALUE('Procyclean 210'!E249,",","."),0))))</f>
        <v/>
      </c>
      <c r="AE1747" t="str">
        <f>IF(AA1747="","",'Procyclean 210'!B249)</f>
        <v/>
      </c>
      <c r="AF1747">
        <f t="shared" si="179"/>
        <v>0</v>
      </c>
      <c r="AG1747" t="str">
        <f t="shared" si="180"/>
        <v/>
      </c>
      <c r="AH1747" t="str">
        <f t="shared" si="181"/>
        <v/>
      </c>
      <c r="AI1747">
        <f t="shared" si="182"/>
        <v>0</v>
      </c>
      <c r="AJ1747">
        <f t="shared" si="183"/>
        <v>0</v>
      </c>
      <c r="AK1747">
        <v>0</v>
      </c>
      <c r="AL1747" t="str">
        <f>IF(AA1747="","",IFERROR(IF(ISNUMBER('Procyclean 210'!F249),'Procyclean 210'!F249,IF(ISNUMBER(SEARCH("12",'Procyclean 210'!F249)),EDATE(AB1747,12),IF(ISNUMBER(SEARCH("6",'Procyclean 210'!F249)),EDATE(AB1747,6),IF(ISNUMBER(SEARCH("3",'Procyclean 210'!F249)),EDATE(AB1747,3),DATEVALUE('Procyclean 210'!F249))))),""))</f>
        <v/>
      </c>
      <c r="AM1747" t="str">
        <f t="shared" ca="1" si="184"/>
        <v/>
      </c>
    </row>
    <row r="1748" spans="27:39" x14ac:dyDescent="0.3">
      <c r="AA1748" t="str">
        <f>IF(COUNTA('Procyclean 210'!C250,'Procyclean 210'!D250,'Procyclean 210'!E250)&gt;0,"210","")</f>
        <v/>
      </c>
      <c r="AB1748" t="str">
        <f>IFERROR(IF(ISNUMBER('Procyclean 210'!C250),'Procyclean 210'!C250,DATEVALUE('Procyclean 210'!C250)),"")</f>
        <v/>
      </c>
      <c r="AC1748" t="str">
        <f>IF(AA1748="","",'Procyclean 210'!D250)</f>
        <v/>
      </c>
      <c r="AD1748" t="str">
        <f>IF(AA1748="","",IFERROR(1*'Procyclean 210'!E250,IFERROR(_xludf.NUMBERVALUE('Procyclean 210'!E250,".",","),IFERROR(_xludf.NUMBERVALUE('Procyclean 210'!E250,",","."),0))))</f>
        <v/>
      </c>
      <c r="AE1748" t="str">
        <f>IF(AA1748="","",'Procyclean 210'!B250)</f>
        <v/>
      </c>
      <c r="AF1748">
        <f t="shared" si="179"/>
        <v>0</v>
      </c>
      <c r="AG1748" t="str">
        <f t="shared" si="180"/>
        <v/>
      </c>
      <c r="AH1748" t="str">
        <f t="shared" si="181"/>
        <v/>
      </c>
      <c r="AI1748">
        <f t="shared" si="182"/>
        <v>0</v>
      </c>
      <c r="AJ1748">
        <f t="shared" si="183"/>
        <v>0</v>
      </c>
      <c r="AK1748">
        <v>0</v>
      </c>
      <c r="AL1748" t="str">
        <f>IF(AA1748="","",IFERROR(IF(ISNUMBER('Procyclean 210'!F250),'Procyclean 210'!F250,IF(ISNUMBER(SEARCH("12",'Procyclean 210'!F250)),EDATE(AB1748,12),IF(ISNUMBER(SEARCH("6",'Procyclean 210'!F250)),EDATE(AB1748,6),IF(ISNUMBER(SEARCH("3",'Procyclean 210'!F250)),EDATE(AB1748,3),DATEVALUE('Procyclean 210'!F250))))),""))</f>
        <v/>
      </c>
      <c r="AM1748" t="str">
        <f t="shared" ca="1" si="184"/>
        <v/>
      </c>
    </row>
    <row r="1749" spans="27:39" x14ac:dyDescent="0.3">
      <c r="AA1749" t="str">
        <f>IF(COUNTA('Procyclean 210'!C251,'Procyclean 210'!D251,'Procyclean 210'!E251)&gt;0,"210","")</f>
        <v/>
      </c>
      <c r="AB1749" t="str">
        <f>IFERROR(IF(ISNUMBER('Procyclean 210'!C251),'Procyclean 210'!C251,DATEVALUE('Procyclean 210'!C251)),"")</f>
        <v/>
      </c>
      <c r="AC1749" t="str">
        <f>IF(AA1749="","",'Procyclean 210'!D251)</f>
        <v/>
      </c>
      <c r="AD1749" t="str">
        <f>IF(AA1749="","",IFERROR(1*'Procyclean 210'!E251,IFERROR(_xludf.NUMBERVALUE('Procyclean 210'!E251,".",","),IFERROR(_xludf.NUMBERVALUE('Procyclean 210'!E251,",","."),0))))</f>
        <v/>
      </c>
      <c r="AE1749" t="str">
        <f>IF(AA1749="","",'Procyclean 210'!B251)</f>
        <v/>
      </c>
      <c r="AF1749">
        <f t="shared" si="179"/>
        <v>0</v>
      </c>
      <c r="AG1749" t="str">
        <f t="shared" si="180"/>
        <v/>
      </c>
      <c r="AH1749" t="str">
        <f t="shared" si="181"/>
        <v/>
      </c>
      <c r="AI1749">
        <f t="shared" si="182"/>
        <v>0</v>
      </c>
      <c r="AJ1749">
        <f t="shared" si="183"/>
        <v>0</v>
      </c>
      <c r="AK1749">
        <v>0</v>
      </c>
      <c r="AL1749" t="str">
        <f>IF(AA1749="","",IFERROR(IF(ISNUMBER('Procyclean 210'!F251),'Procyclean 210'!F251,IF(ISNUMBER(SEARCH("12",'Procyclean 210'!F251)),EDATE(AB1749,12),IF(ISNUMBER(SEARCH("6",'Procyclean 210'!F251)),EDATE(AB1749,6),IF(ISNUMBER(SEARCH("3",'Procyclean 210'!F251)),EDATE(AB1749,3),DATEVALUE('Procyclean 210'!F251))))),""))</f>
        <v/>
      </c>
      <c r="AM1749" t="str">
        <f t="shared" ca="1" si="184"/>
        <v/>
      </c>
    </row>
    <row r="1750" spans="27:39" x14ac:dyDescent="0.3">
      <c r="AA1750" t="str">
        <f>IF(COUNTA('Procyclean 210'!C252,'Procyclean 210'!D252,'Procyclean 210'!E252)&gt;0,"210","")</f>
        <v/>
      </c>
      <c r="AB1750" t="str">
        <f>IFERROR(IF(ISNUMBER('Procyclean 210'!C252),'Procyclean 210'!C252,DATEVALUE('Procyclean 210'!C252)),"")</f>
        <v/>
      </c>
      <c r="AC1750" t="str">
        <f>IF(AA1750="","",'Procyclean 210'!D252)</f>
        <v/>
      </c>
      <c r="AD1750" t="str">
        <f>IF(AA1750="","",IFERROR(1*'Procyclean 210'!E252,IFERROR(_xludf.NUMBERVALUE('Procyclean 210'!E252,".",","),IFERROR(_xludf.NUMBERVALUE('Procyclean 210'!E252,",","."),0))))</f>
        <v/>
      </c>
      <c r="AE1750" t="str">
        <f>IF(AA1750="","",'Procyclean 210'!B252)</f>
        <v/>
      </c>
      <c r="AF1750">
        <f t="shared" si="179"/>
        <v>0</v>
      </c>
      <c r="AG1750" t="str">
        <f t="shared" si="180"/>
        <v/>
      </c>
      <c r="AH1750" t="str">
        <f t="shared" si="181"/>
        <v/>
      </c>
      <c r="AI1750">
        <f t="shared" si="182"/>
        <v>0</v>
      </c>
      <c r="AJ1750">
        <f t="shared" si="183"/>
        <v>0</v>
      </c>
      <c r="AK1750">
        <v>0</v>
      </c>
      <c r="AL1750" t="str">
        <f>IF(AA1750="","",IFERROR(IF(ISNUMBER('Procyclean 210'!F252),'Procyclean 210'!F252,IF(ISNUMBER(SEARCH("12",'Procyclean 210'!F252)),EDATE(AB1750,12),IF(ISNUMBER(SEARCH("6",'Procyclean 210'!F252)),EDATE(AB1750,6),IF(ISNUMBER(SEARCH("3",'Procyclean 210'!F252)),EDATE(AB1750,3),DATEVALUE('Procyclean 210'!F252))))),""))</f>
        <v/>
      </c>
      <c r="AM1750" t="str">
        <f t="shared" ca="1" si="184"/>
        <v/>
      </c>
    </row>
    <row r="1751" spans="27:39" x14ac:dyDescent="0.3">
      <c r="AA1751" t="str">
        <f>IF(COUNTA('Procyclean 210'!C253,'Procyclean 210'!D253,'Procyclean 210'!E253)&gt;0,"210","")</f>
        <v/>
      </c>
      <c r="AB1751" t="str">
        <f>IFERROR(IF(ISNUMBER('Procyclean 210'!C253),'Procyclean 210'!C253,DATEVALUE('Procyclean 210'!C253)),"")</f>
        <v/>
      </c>
      <c r="AC1751" t="str">
        <f>IF(AA1751="","",'Procyclean 210'!D253)</f>
        <v/>
      </c>
      <c r="AD1751" t="str">
        <f>IF(AA1751="","",IFERROR(1*'Procyclean 210'!E253,IFERROR(_xludf.NUMBERVALUE('Procyclean 210'!E253,".",","),IFERROR(_xludf.NUMBERVALUE('Procyclean 210'!E253,",","."),0))))</f>
        <v/>
      </c>
      <c r="AE1751" t="str">
        <f>IF(AA1751="","",'Procyclean 210'!B253)</f>
        <v/>
      </c>
      <c r="AF1751">
        <f t="shared" si="179"/>
        <v>0</v>
      </c>
      <c r="AG1751" t="str">
        <f t="shared" si="180"/>
        <v/>
      </c>
      <c r="AH1751" t="str">
        <f t="shared" si="181"/>
        <v/>
      </c>
      <c r="AI1751">
        <f t="shared" si="182"/>
        <v>0</v>
      </c>
      <c r="AJ1751">
        <f t="shared" si="183"/>
        <v>0</v>
      </c>
      <c r="AK1751">
        <v>0</v>
      </c>
      <c r="AL1751" t="str">
        <f>IF(AA1751="","",IFERROR(IF(ISNUMBER('Procyclean 210'!F253),'Procyclean 210'!F253,IF(ISNUMBER(SEARCH("12",'Procyclean 210'!F253)),EDATE(AB1751,12),IF(ISNUMBER(SEARCH("6",'Procyclean 210'!F253)),EDATE(AB1751,6),IF(ISNUMBER(SEARCH("3",'Procyclean 210'!F253)),EDATE(AB1751,3),DATEVALUE('Procyclean 210'!F253))))),""))</f>
        <v/>
      </c>
      <c r="AM1751" t="str">
        <f t="shared" ca="1" si="184"/>
        <v/>
      </c>
    </row>
    <row r="1752" spans="27:39" x14ac:dyDescent="0.3">
      <c r="AA1752" t="str">
        <f>IF(COUNTA('Procyclean 210'!C254,'Procyclean 210'!D254,'Procyclean 210'!E254)&gt;0,"210","")</f>
        <v/>
      </c>
      <c r="AB1752" t="str">
        <f>IFERROR(IF(ISNUMBER('Procyclean 210'!C254),'Procyclean 210'!C254,DATEVALUE('Procyclean 210'!C254)),"")</f>
        <v/>
      </c>
      <c r="AC1752" t="str">
        <f>IF(AA1752="","",'Procyclean 210'!D254)</f>
        <v/>
      </c>
      <c r="AD1752" t="str">
        <f>IF(AA1752="","",IFERROR(1*'Procyclean 210'!E254,IFERROR(_xludf.NUMBERVALUE('Procyclean 210'!E254,".",","),IFERROR(_xludf.NUMBERVALUE('Procyclean 210'!E254,",","."),0))))</f>
        <v/>
      </c>
      <c r="AE1752" t="str">
        <f>IF(AA1752="","",'Procyclean 210'!B254)</f>
        <v/>
      </c>
      <c r="AF1752">
        <f t="shared" si="179"/>
        <v>0</v>
      </c>
      <c r="AG1752" t="str">
        <f t="shared" si="180"/>
        <v/>
      </c>
      <c r="AH1752" t="str">
        <f t="shared" si="181"/>
        <v/>
      </c>
      <c r="AI1752">
        <f t="shared" si="182"/>
        <v>0</v>
      </c>
      <c r="AJ1752">
        <f t="shared" si="183"/>
        <v>0</v>
      </c>
      <c r="AK1752">
        <v>0</v>
      </c>
      <c r="AL1752" t="str">
        <f>IF(AA1752="","",IFERROR(IF(ISNUMBER('Procyclean 210'!F254),'Procyclean 210'!F254,IF(ISNUMBER(SEARCH("12",'Procyclean 210'!F254)),EDATE(AB1752,12),IF(ISNUMBER(SEARCH("6",'Procyclean 210'!F254)),EDATE(AB1752,6),IF(ISNUMBER(SEARCH("3",'Procyclean 210'!F254)),EDATE(AB1752,3),DATEVALUE('Procyclean 210'!F254))))),""))</f>
        <v/>
      </c>
      <c r="AM1752" t="str">
        <f t="shared" ca="1" si="184"/>
        <v/>
      </c>
    </row>
    <row r="1753" spans="27:39" x14ac:dyDescent="0.3">
      <c r="AA1753" t="str">
        <f>IF(COUNTA('Procyclean 210'!C255,'Procyclean 210'!D255,'Procyclean 210'!E255)&gt;0,"210","")</f>
        <v/>
      </c>
      <c r="AB1753" t="str">
        <f>IFERROR(IF(ISNUMBER('Procyclean 210'!C255),'Procyclean 210'!C255,DATEVALUE('Procyclean 210'!C255)),"")</f>
        <v/>
      </c>
      <c r="AC1753" t="str">
        <f>IF(AA1753="","",'Procyclean 210'!D255)</f>
        <v/>
      </c>
      <c r="AD1753" t="str">
        <f>IF(AA1753="","",IFERROR(1*'Procyclean 210'!E255,IFERROR(_xludf.NUMBERVALUE('Procyclean 210'!E255,".",","),IFERROR(_xludf.NUMBERVALUE('Procyclean 210'!E255,",","."),0))))</f>
        <v/>
      </c>
      <c r="AE1753" t="str">
        <f>IF(AA1753="","",'Procyclean 210'!B255)</f>
        <v/>
      </c>
      <c r="AF1753">
        <f t="shared" si="179"/>
        <v>0</v>
      </c>
      <c r="AG1753" t="str">
        <f t="shared" si="180"/>
        <v/>
      </c>
      <c r="AH1753" t="str">
        <f t="shared" si="181"/>
        <v/>
      </c>
      <c r="AI1753">
        <f t="shared" si="182"/>
        <v>0</v>
      </c>
      <c r="AJ1753">
        <f t="shared" si="183"/>
        <v>0</v>
      </c>
      <c r="AK1753">
        <v>0</v>
      </c>
      <c r="AL1753" t="str">
        <f>IF(AA1753="","",IFERROR(IF(ISNUMBER('Procyclean 210'!F255),'Procyclean 210'!F255,IF(ISNUMBER(SEARCH("12",'Procyclean 210'!F255)),EDATE(AB1753,12),IF(ISNUMBER(SEARCH("6",'Procyclean 210'!F255)),EDATE(AB1753,6),IF(ISNUMBER(SEARCH("3",'Procyclean 210'!F255)),EDATE(AB1753,3),DATEVALUE('Procyclean 210'!F255))))),""))</f>
        <v/>
      </c>
      <c r="AM1753" t="str">
        <f t="shared" ca="1" si="184"/>
        <v/>
      </c>
    </row>
    <row r="1754" spans="27:39" x14ac:dyDescent="0.3">
      <c r="AA1754" t="str">
        <f>IF(COUNTA('Procyclean 210'!C256,'Procyclean 210'!D256,'Procyclean 210'!E256)&gt;0,"210","")</f>
        <v/>
      </c>
      <c r="AB1754" t="str">
        <f>IFERROR(IF(ISNUMBER('Procyclean 210'!C256),'Procyclean 210'!C256,DATEVALUE('Procyclean 210'!C256)),"")</f>
        <v/>
      </c>
      <c r="AC1754" t="str">
        <f>IF(AA1754="","",'Procyclean 210'!D256)</f>
        <v/>
      </c>
      <c r="AD1754" t="str">
        <f>IF(AA1754="","",IFERROR(1*'Procyclean 210'!E256,IFERROR(_xludf.NUMBERVALUE('Procyclean 210'!E256,".",","),IFERROR(_xludf.NUMBERVALUE('Procyclean 210'!E256,",","."),0))))</f>
        <v/>
      </c>
      <c r="AE1754" t="str">
        <f>IF(AA1754="","",'Procyclean 210'!B256)</f>
        <v/>
      </c>
      <c r="AF1754">
        <f t="shared" si="179"/>
        <v>0</v>
      </c>
      <c r="AG1754" t="str">
        <f t="shared" si="180"/>
        <v/>
      </c>
      <c r="AH1754" t="str">
        <f t="shared" si="181"/>
        <v/>
      </c>
      <c r="AI1754">
        <f t="shared" si="182"/>
        <v>0</v>
      </c>
      <c r="AJ1754">
        <f t="shared" si="183"/>
        <v>0</v>
      </c>
      <c r="AK1754">
        <v>0</v>
      </c>
      <c r="AL1754" t="str">
        <f>IF(AA1754="","",IFERROR(IF(ISNUMBER('Procyclean 210'!F256),'Procyclean 210'!F256,IF(ISNUMBER(SEARCH("12",'Procyclean 210'!F256)),EDATE(AB1754,12),IF(ISNUMBER(SEARCH("6",'Procyclean 210'!F256)),EDATE(AB1754,6),IF(ISNUMBER(SEARCH("3",'Procyclean 210'!F256)),EDATE(AB1754,3),DATEVALUE('Procyclean 210'!F256))))),""))</f>
        <v/>
      </c>
      <c r="AM1754" t="str">
        <f t="shared" ca="1" si="184"/>
        <v/>
      </c>
    </row>
    <row r="1755" spans="27:39" x14ac:dyDescent="0.3">
      <c r="AA1755" t="str">
        <f>IF(COUNTA('Procyclean 210'!C257,'Procyclean 210'!D257,'Procyclean 210'!E257)&gt;0,"210","")</f>
        <v/>
      </c>
      <c r="AB1755" t="str">
        <f>IFERROR(IF(ISNUMBER('Procyclean 210'!C257),'Procyclean 210'!C257,DATEVALUE('Procyclean 210'!C257)),"")</f>
        <v/>
      </c>
      <c r="AC1755" t="str">
        <f>IF(AA1755="","",'Procyclean 210'!D257)</f>
        <v/>
      </c>
      <c r="AD1755" t="str">
        <f>IF(AA1755="","",IFERROR(1*'Procyclean 210'!E257,IFERROR(_xludf.NUMBERVALUE('Procyclean 210'!E257,".",","),IFERROR(_xludf.NUMBERVALUE('Procyclean 210'!E257,",","."),0))))</f>
        <v/>
      </c>
      <c r="AE1755" t="str">
        <f>IF(AA1755="","",'Procyclean 210'!B257)</f>
        <v/>
      </c>
      <c r="AF1755">
        <f t="shared" si="179"/>
        <v>0</v>
      </c>
      <c r="AG1755" t="str">
        <f t="shared" si="180"/>
        <v/>
      </c>
      <c r="AH1755" t="str">
        <f t="shared" si="181"/>
        <v/>
      </c>
      <c r="AI1755">
        <f t="shared" si="182"/>
        <v>0</v>
      </c>
      <c r="AJ1755">
        <f t="shared" si="183"/>
        <v>0</v>
      </c>
      <c r="AK1755">
        <v>0</v>
      </c>
      <c r="AL1755" t="str">
        <f>IF(AA1755="","",IFERROR(IF(ISNUMBER('Procyclean 210'!F257),'Procyclean 210'!F257,IF(ISNUMBER(SEARCH("12",'Procyclean 210'!F257)),EDATE(AB1755,12),IF(ISNUMBER(SEARCH("6",'Procyclean 210'!F257)),EDATE(AB1755,6),IF(ISNUMBER(SEARCH("3",'Procyclean 210'!F257)),EDATE(AB1755,3),DATEVALUE('Procyclean 210'!F257))))),""))</f>
        <v/>
      </c>
      <c r="AM1755" t="str">
        <f t="shared" ca="1" si="184"/>
        <v/>
      </c>
    </row>
    <row r="1756" spans="27:39" x14ac:dyDescent="0.3">
      <c r="AA1756" t="str">
        <f>IF(COUNTA('Procyclean 210'!C258,'Procyclean 210'!D258,'Procyclean 210'!E258)&gt;0,"210","")</f>
        <v/>
      </c>
      <c r="AB1756" t="str">
        <f>IFERROR(IF(ISNUMBER('Procyclean 210'!C258),'Procyclean 210'!C258,DATEVALUE('Procyclean 210'!C258)),"")</f>
        <v/>
      </c>
      <c r="AC1756" t="str">
        <f>IF(AA1756="","",'Procyclean 210'!D258)</f>
        <v/>
      </c>
      <c r="AD1756" t="str">
        <f>IF(AA1756="","",IFERROR(1*'Procyclean 210'!E258,IFERROR(_xludf.NUMBERVALUE('Procyclean 210'!E258,".",","),IFERROR(_xludf.NUMBERVALUE('Procyclean 210'!E258,",","."),0))))</f>
        <v/>
      </c>
      <c r="AE1756" t="str">
        <f>IF(AA1756="","",'Procyclean 210'!B258)</f>
        <v/>
      </c>
      <c r="AF1756">
        <f t="shared" si="179"/>
        <v>0</v>
      </c>
      <c r="AG1756" t="str">
        <f t="shared" si="180"/>
        <v/>
      </c>
      <c r="AH1756" t="str">
        <f t="shared" si="181"/>
        <v/>
      </c>
      <c r="AI1756">
        <f t="shared" si="182"/>
        <v>0</v>
      </c>
      <c r="AJ1756">
        <f t="shared" si="183"/>
        <v>0</v>
      </c>
      <c r="AK1756">
        <v>0</v>
      </c>
      <c r="AL1756" t="str">
        <f>IF(AA1756="","",IFERROR(IF(ISNUMBER('Procyclean 210'!F258),'Procyclean 210'!F258,IF(ISNUMBER(SEARCH("12",'Procyclean 210'!F258)),EDATE(AB1756,12),IF(ISNUMBER(SEARCH("6",'Procyclean 210'!F258)),EDATE(AB1756,6),IF(ISNUMBER(SEARCH("3",'Procyclean 210'!F258)),EDATE(AB1756,3),DATEVALUE('Procyclean 210'!F258))))),""))</f>
        <v/>
      </c>
      <c r="AM1756" t="str">
        <f t="shared" ca="1" si="184"/>
        <v/>
      </c>
    </row>
    <row r="1757" spans="27:39" x14ac:dyDescent="0.3">
      <c r="AA1757" t="str">
        <f>IF(COUNTA('Procyclean 210'!C259,'Procyclean 210'!D259,'Procyclean 210'!E259)&gt;0,"210","")</f>
        <v/>
      </c>
      <c r="AB1757" t="str">
        <f>IFERROR(IF(ISNUMBER('Procyclean 210'!C259),'Procyclean 210'!C259,DATEVALUE('Procyclean 210'!C259)),"")</f>
        <v/>
      </c>
      <c r="AC1757" t="str">
        <f>IF(AA1757="","",'Procyclean 210'!D259)</f>
        <v/>
      </c>
      <c r="AD1757" t="str">
        <f>IF(AA1757="","",IFERROR(1*'Procyclean 210'!E259,IFERROR(_xludf.NUMBERVALUE('Procyclean 210'!E259,".",","),IFERROR(_xludf.NUMBERVALUE('Procyclean 210'!E259,",","."),0))))</f>
        <v/>
      </c>
      <c r="AE1757" t="str">
        <f>IF(AA1757="","",'Procyclean 210'!B259)</f>
        <v/>
      </c>
      <c r="AF1757">
        <f t="shared" si="179"/>
        <v>0</v>
      </c>
      <c r="AG1757" t="str">
        <f t="shared" si="180"/>
        <v/>
      </c>
      <c r="AH1757" t="str">
        <f t="shared" si="181"/>
        <v/>
      </c>
      <c r="AI1757">
        <f t="shared" si="182"/>
        <v>0</v>
      </c>
      <c r="AJ1757">
        <f t="shared" si="183"/>
        <v>0</v>
      </c>
      <c r="AK1757">
        <v>0</v>
      </c>
      <c r="AL1757" t="str">
        <f>IF(AA1757="","",IFERROR(IF(ISNUMBER('Procyclean 210'!F259),'Procyclean 210'!F259,IF(ISNUMBER(SEARCH("12",'Procyclean 210'!F259)),EDATE(AB1757,12),IF(ISNUMBER(SEARCH("6",'Procyclean 210'!F259)),EDATE(AB1757,6),IF(ISNUMBER(SEARCH("3",'Procyclean 210'!F259)),EDATE(AB1757,3),DATEVALUE('Procyclean 210'!F259))))),""))</f>
        <v/>
      </c>
      <c r="AM1757" t="str">
        <f t="shared" ca="1" si="184"/>
        <v/>
      </c>
    </row>
    <row r="1758" spans="27:39" x14ac:dyDescent="0.3">
      <c r="AA1758" t="str">
        <f>IF(COUNTA('Procyclean 210'!C260,'Procyclean 210'!D260,'Procyclean 210'!E260)&gt;0,"210","")</f>
        <v/>
      </c>
      <c r="AB1758" t="str">
        <f>IFERROR(IF(ISNUMBER('Procyclean 210'!C260),'Procyclean 210'!C260,DATEVALUE('Procyclean 210'!C260)),"")</f>
        <v/>
      </c>
      <c r="AC1758" t="str">
        <f>IF(AA1758="","",'Procyclean 210'!D260)</f>
        <v/>
      </c>
      <c r="AD1758" t="str">
        <f>IF(AA1758="","",IFERROR(1*'Procyclean 210'!E260,IFERROR(_xludf.NUMBERVALUE('Procyclean 210'!E260,".",","),IFERROR(_xludf.NUMBERVALUE('Procyclean 210'!E260,",","."),0))))</f>
        <v/>
      </c>
      <c r="AE1758" t="str">
        <f>IF(AA1758="","",'Procyclean 210'!B260)</f>
        <v/>
      </c>
      <c r="AF1758">
        <f t="shared" si="179"/>
        <v>0</v>
      </c>
      <c r="AG1758" t="str">
        <f t="shared" si="180"/>
        <v/>
      </c>
      <c r="AH1758" t="str">
        <f t="shared" si="181"/>
        <v/>
      </c>
      <c r="AI1758">
        <f t="shared" si="182"/>
        <v>0</v>
      </c>
      <c r="AJ1758">
        <f t="shared" si="183"/>
        <v>0</v>
      </c>
      <c r="AK1758">
        <v>0</v>
      </c>
      <c r="AL1758" t="str">
        <f>IF(AA1758="","",IFERROR(IF(ISNUMBER('Procyclean 210'!F260),'Procyclean 210'!F260,IF(ISNUMBER(SEARCH("12",'Procyclean 210'!F260)),EDATE(AB1758,12),IF(ISNUMBER(SEARCH("6",'Procyclean 210'!F260)),EDATE(AB1758,6),IF(ISNUMBER(SEARCH("3",'Procyclean 210'!F260)),EDATE(AB1758,3),DATEVALUE('Procyclean 210'!F260))))),""))</f>
        <v/>
      </c>
      <c r="AM1758" t="str">
        <f t="shared" ca="1" si="184"/>
        <v/>
      </c>
    </row>
    <row r="1759" spans="27:39" x14ac:dyDescent="0.3">
      <c r="AA1759" t="str">
        <f>IF(COUNTA('Procyclean 210'!C261,'Procyclean 210'!D261,'Procyclean 210'!E261)&gt;0,"210","")</f>
        <v/>
      </c>
      <c r="AB1759" t="str">
        <f>IFERROR(IF(ISNUMBER('Procyclean 210'!C261),'Procyclean 210'!C261,DATEVALUE('Procyclean 210'!C261)),"")</f>
        <v/>
      </c>
      <c r="AC1759" t="str">
        <f>IF(AA1759="","",'Procyclean 210'!D261)</f>
        <v/>
      </c>
      <c r="AD1759" t="str">
        <f>IF(AA1759="","",IFERROR(1*'Procyclean 210'!E261,IFERROR(_xludf.NUMBERVALUE('Procyclean 210'!E261,".",","),IFERROR(_xludf.NUMBERVALUE('Procyclean 210'!E261,",","."),0))))</f>
        <v/>
      </c>
      <c r="AE1759" t="str">
        <f>IF(AA1759="","",'Procyclean 210'!B261)</f>
        <v/>
      </c>
      <c r="AF1759">
        <f t="shared" si="179"/>
        <v>0</v>
      </c>
      <c r="AG1759" t="str">
        <f t="shared" si="180"/>
        <v/>
      </c>
      <c r="AH1759" t="str">
        <f t="shared" si="181"/>
        <v/>
      </c>
      <c r="AI1759">
        <f t="shared" si="182"/>
        <v>0</v>
      </c>
      <c r="AJ1759">
        <f t="shared" si="183"/>
        <v>0</v>
      </c>
      <c r="AK1759">
        <v>0</v>
      </c>
      <c r="AL1759" t="str">
        <f>IF(AA1759="","",IFERROR(IF(ISNUMBER('Procyclean 210'!F261),'Procyclean 210'!F261,IF(ISNUMBER(SEARCH("12",'Procyclean 210'!F261)),EDATE(AB1759,12),IF(ISNUMBER(SEARCH("6",'Procyclean 210'!F261)),EDATE(AB1759,6),IF(ISNUMBER(SEARCH("3",'Procyclean 210'!F261)),EDATE(AB1759,3),DATEVALUE('Procyclean 210'!F261))))),""))</f>
        <v/>
      </c>
      <c r="AM1759" t="str">
        <f t="shared" ca="1" si="184"/>
        <v/>
      </c>
    </row>
    <row r="1760" spans="27:39" x14ac:dyDescent="0.3">
      <c r="AA1760" t="str">
        <f>IF(COUNTA('Procyclean 210'!C262,'Procyclean 210'!D262,'Procyclean 210'!E262)&gt;0,"210","")</f>
        <v/>
      </c>
      <c r="AB1760" t="str">
        <f>IFERROR(IF(ISNUMBER('Procyclean 210'!C262),'Procyclean 210'!C262,DATEVALUE('Procyclean 210'!C262)),"")</f>
        <v/>
      </c>
      <c r="AC1760" t="str">
        <f>IF(AA1760="","",'Procyclean 210'!D262)</f>
        <v/>
      </c>
      <c r="AD1760" t="str">
        <f>IF(AA1760="","",IFERROR(1*'Procyclean 210'!E262,IFERROR(_xludf.NUMBERVALUE('Procyclean 210'!E262,".",","),IFERROR(_xludf.NUMBERVALUE('Procyclean 210'!E262,",","."),0))))</f>
        <v/>
      </c>
      <c r="AE1760" t="str">
        <f>IF(AA1760="","",'Procyclean 210'!B262)</f>
        <v/>
      </c>
      <c r="AF1760">
        <f t="shared" si="179"/>
        <v>0</v>
      </c>
      <c r="AG1760" t="str">
        <f t="shared" si="180"/>
        <v/>
      </c>
      <c r="AH1760" t="str">
        <f t="shared" si="181"/>
        <v/>
      </c>
      <c r="AI1760">
        <f t="shared" si="182"/>
        <v>0</v>
      </c>
      <c r="AJ1760">
        <f t="shared" si="183"/>
        <v>0</v>
      </c>
      <c r="AK1760">
        <v>0</v>
      </c>
      <c r="AL1760" t="str">
        <f>IF(AA1760="","",IFERROR(IF(ISNUMBER('Procyclean 210'!F262),'Procyclean 210'!F262,IF(ISNUMBER(SEARCH("12",'Procyclean 210'!F262)),EDATE(AB1760,12),IF(ISNUMBER(SEARCH("6",'Procyclean 210'!F262)),EDATE(AB1760,6),IF(ISNUMBER(SEARCH("3",'Procyclean 210'!F262)),EDATE(AB1760,3),DATEVALUE('Procyclean 210'!F262))))),""))</f>
        <v/>
      </c>
      <c r="AM1760" t="str">
        <f t="shared" ca="1" si="184"/>
        <v/>
      </c>
    </row>
    <row r="1761" spans="27:39" x14ac:dyDescent="0.3">
      <c r="AA1761" t="str">
        <f>IF(COUNTA('Procyclean 210'!C263,'Procyclean 210'!D263,'Procyclean 210'!E263)&gt;0,"210","")</f>
        <v/>
      </c>
      <c r="AB1761" t="str">
        <f>IFERROR(IF(ISNUMBER('Procyclean 210'!C263),'Procyclean 210'!C263,DATEVALUE('Procyclean 210'!C263)),"")</f>
        <v/>
      </c>
      <c r="AC1761" t="str">
        <f>IF(AA1761="","",'Procyclean 210'!D263)</f>
        <v/>
      </c>
      <c r="AD1761" t="str">
        <f>IF(AA1761="","",IFERROR(1*'Procyclean 210'!E263,IFERROR(_xludf.NUMBERVALUE('Procyclean 210'!E263,".",","),IFERROR(_xludf.NUMBERVALUE('Procyclean 210'!E263,",","."),0))))</f>
        <v/>
      </c>
      <c r="AE1761" t="str">
        <f>IF(AA1761="","",'Procyclean 210'!B263)</f>
        <v/>
      </c>
      <c r="AF1761">
        <f t="shared" si="179"/>
        <v>0</v>
      </c>
      <c r="AG1761" t="str">
        <f t="shared" si="180"/>
        <v/>
      </c>
      <c r="AH1761" t="str">
        <f t="shared" si="181"/>
        <v/>
      </c>
      <c r="AI1761">
        <f t="shared" si="182"/>
        <v>0</v>
      </c>
      <c r="AJ1761">
        <f t="shared" si="183"/>
        <v>0</v>
      </c>
      <c r="AK1761">
        <v>0</v>
      </c>
      <c r="AL1761" t="str">
        <f>IF(AA1761="","",IFERROR(IF(ISNUMBER('Procyclean 210'!F263),'Procyclean 210'!F263,IF(ISNUMBER(SEARCH("12",'Procyclean 210'!F263)),EDATE(AB1761,12),IF(ISNUMBER(SEARCH("6",'Procyclean 210'!F263)),EDATE(AB1761,6),IF(ISNUMBER(SEARCH("3",'Procyclean 210'!F263)),EDATE(AB1761,3),DATEVALUE('Procyclean 210'!F263))))),""))</f>
        <v/>
      </c>
      <c r="AM1761" t="str">
        <f t="shared" ca="1" si="184"/>
        <v/>
      </c>
    </row>
    <row r="1762" spans="27:39" x14ac:dyDescent="0.3">
      <c r="AA1762" t="str">
        <f>IF(COUNTA('Procyclean 210'!C264,'Procyclean 210'!D264,'Procyclean 210'!E264)&gt;0,"210","")</f>
        <v/>
      </c>
      <c r="AB1762" t="str">
        <f>IFERROR(IF(ISNUMBER('Procyclean 210'!C264),'Procyclean 210'!C264,DATEVALUE('Procyclean 210'!C264)),"")</f>
        <v/>
      </c>
      <c r="AC1762" t="str">
        <f>IF(AA1762="","",'Procyclean 210'!D264)</f>
        <v/>
      </c>
      <c r="AD1762" t="str">
        <f>IF(AA1762="","",IFERROR(1*'Procyclean 210'!E264,IFERROR(_xludf.NUMBERVALUE('Procyclean 210'!E264,".",","),IFERROR(_xludf.NUMBERVALUE('Procyclean 210'!E264,",","."),0))))</f>
        <v/>
      </c>
      <c r="AE1762" t="str">
        <f>IF(AA1762="","",'Procyclean 210'!B264)</f>
        <v/>
      </c>
      <c r="AF1762">
        <f t="shared" si="179"/>
        <v>0</v>
      </c>
      <c r="AG1762" t="str">
        <f t="shared" si="180"/>
        <v/>
      </c>
      <c r="AH1762" t="str">
        <f t="shared" si="181"/>
        <v/>
      </c>
      <c r="AI1762">
        <f t="shared" si="182"/>
        <v>0</v>
      </c>
      <c r="AJ1762">
        <f t="shared" si="183"/>
        <v>0</v>
      </c>
      <c r="AK1762">
        <v>0</v>
      </c>
      <c r="AL1762" t="str">
        <f>IF(AA1762="","",IFERROR(IF(ISNUMBER('Procyclean 210'!F264),'Procyclean 210'!F264,IF(ISNUMBER(SEARCH("12",'Procyclean 210'!F264)),EDATE(AB1762,12),IF(ISNUMBER(SEARCH("6",'Procyclean 210'!F264)),EDATE(AB1762,6),IF(ISNUMBER(SEARCH("3",'Procyclean 210'!F264)),EDATE(AB1762,3),DATEVALUE('Procyclean 210'!F264))))),""))</f>
        <v/>
      </c>
      <c r="AM1762" t="str">
        <f t="shared" ca="1" si="184"/>
        <v/>
      </c>
    </row>
    <row r="1763" spans="27:39" x14ac:dyDescent="0.3">
      <c r="AA1763" t="str">
        <f>IF(COUNTA('Procyclean 210'!C265,'Procyclean 210'!D265,'Procyclean 210'!E265)&gt;0,"210","")</f>
        <v/>
      </c>
      <c r="AB1763" t="str">
        <f>IFERROR(IF(ISNUMBER('Procyclean 210'!C265),'Procyclean 210'!C265,DATEVALUE('Procyclean 210'!C265)),"")</f>
        <v/>
      </c>
      <c r="AC1763" t="str">
        <f>IF(AA1763="","",'Procyclean 210'!D265)</f>
        <v/>
      </c>
      <c r="AD1763" t="str">
        <f>IF(AA1763="","",IFERROR(1*'Procyclean 210'!E265,IFERROR(_xludf.NUMBERVALUE('Procyclean 210'!E265,".",","),IFERROR(_xludf.NUMBERVALUE('Procyclean 210'!E265,",","."),0))))</f>
        <v/>
      </c>
      <c r="AE1763" t="str">
        <f>IF(AA1763="","",'Procyclean 210'!B265)</f>
        <v/>
      </c>
      <c r="AF1763">
        <f t="shared" si="179"/>
        <v>0</v>
      </c>
      <c r="AG1763" t="str">
        <f t="shared" si="180"/>
        <v/>
      </c>
      <c r="AH1763" t="str">
        <f t="shared" si="181"/>
        <v/>
      </c>
      <c r="AI1763">
        <f t="shared" si="182"/>
        <v>0</v>
      </c>
      <c r="AJ1763">
        <f t="shared" si="183"/>
        <v>0</v>
      </c>
      <c r="AK1763">
        <v>0</v>
      </c>
      <c r="AL1763" t="str">
        <f>IF(AA1763="","",IFERROR(IF(ISNUMBER('Procyclean 210'!F265),'Procyclean 210'!F265,IF(ISNUMBER(SEARCH("12",'Procyclean 210'!F265)),EDATE(AB1763,12),IF(ISNUMBER(SEARCH("6",'Procyclean 210'!F265)),EDATE(AB1763,6),IF(ISNUMBER(SEARCH("3",'Procyclean 210'!F265)),EDATE(AB1763,3),DATEVALUE('Procyclean 210'!F265))))),""))</f>
        <v/>
      </c>
      <c r="AM1763" t="str">
        <f t="shared" ca="1" si="184"/>
        <v/>
      </c>
    </row>
    <row r="1764" spans="27:39" x14ac:dyDescent="0.3">
      <c r="AA1764" t="str">
        <f>IF(COUNTA('Procyclean 210'!C266,'Procyclean 210'!D266,'Procyclean 210'!E266)&gt;0,"210","")</f>
        <v/>
      </c>
      <c r="AB1764" t="str">
        <f>IFERROR(IF(ISNUMBER('Procyclean 210'!C266),'Procyclean 210'!C266,DATEVALUE('Procyclean 210'!C266)),"")</f>
        <v/>
      </c>
      <c r="AC1764" t="str">
        <f>IF(AA1764="","",'Procyclean 210'!D266)</f>
        <v/>
      </c>
      <c r="AD1764" t="str">
        <f>IF(AA1764="","",IFERROR(1*'Procyclean 210'!E266,IFERROR(_xludf.NUMBERVALUE('Procyclean 210'!E266,".",","),IFERROR(_xludf.NUMBERVALUE('Procyclean 210'!E266,",","."),0))))</f>
        <v/>
      </c>
      <c r="AE1764" t="str">
        <f>IF(AA1764="","",'Procyclean 210'!B266)</f>
        <v/>
      </c>
      <c r="AF1764">
        <f t="shared" si="179"/>
        <v>0</v>
      </c>
      <c r="AG1764" t="str">
        <f t="shared" si="180"/>
        <v/>
      </c>
      <c r="AH1764" t="str">
        <f t="shared" si="181"/>
        <v/>
      </c>
      <c r="AI1764">
        <f t="shared" si="182"/>
        <v>0</v>
      </c>
      <c r="AJ1764">
        <f t="shared" si="183"/>
        <v>0</v>
      </c>
      <c r="AK1764">
        <v>0</v>
      </c>
      <c r="AL1764" t="str">
        <f>IF(AA1764="","",IFERROR(IF(ISNUMBER('Procyclean 210'!F266),'Procyclean 210'!F266,IF(ISNUMBER(SEARCH("12",'Procyclean 210'!F266)),EDATE(AB1764,12),IF(ISNUMBER(SEARCH("6",'Procyclean 210'!F266)),EDATE(AB1764,6),IF(ISNUMBER(SEARCH("3",'Procyclean 210'!F266)),EDATE(AB1764,3),DATEVALUE('Procyclean 210'!F266))))),""))</f>
        <v/>
      </c>
      <c r="AM1764" t="str">
        <f t="shared" ca="1" si="184"/>
        <v/>
      </c>
    </row>
    <row r="1765" spans="27:39" x14ac:dyDescent="0.3">
      <c r="AA1765" t="str">
        <f>IF(COUNTA('Procyclean 210'!C267,'Procyclean 210'!D267,'Procyclean 210'!E267)&gt;0,"210","")</f>
        <v/>
      </c>
      <c r="AB1765" t="str">
        <f>IFERROR(IF(ISNUMBER('Procyclean 210'!C267),'Procyclean 210'!C267,DATEVALUE('Procyclean 210'!C267)),"")</f>
        <v/>
      </c>
      <c r="AC1765" t="str">
        <f>IF(AA1765="","",'Procyclean 210'!D267)</f>
        <v/>
      </c>
      <c r="AD1765" t="str">
        <f>IF(AA1765="","",IFERROR(1*'Procyclean 210'!E267,IFERROR(_xludf.NUMBERVALUE('Procyclean 210'!E267,".",","),IFERROR(_xludf.NUMBERVALUE('Procyclean 210'!E267,",","."),0))))</f>
        <v/>
      </c>
      <c r="AE1765" t="str">
        <f>IF(AA1765="","",'Procyclean 210'!B267)</f>
        <v/>
      </c>
      <c r="AF1765">
        <f t="shared" si="179"/>
        <v>0</v>
      </c>
      <c r="AG1765" t="str">
        <f t="shared" si="180"/>
        <v/>
      </c>
      <c r="AH1765" t="str">
        <f t="shared" si="181"/>
        <v/>
      </c>
      <c r="AI1765">
        <f t="shared" si="182"/>
        <v>0</v>
      </c>
      <c r="AJ1765">
        <f t="shared" si="183"/>
        <v>0</v>
      </c>
      <c r="AK1765">
        <v>0</v>
      </c>
      <c r="AL1765" t="str">
        <f>IF(AA1765="","",IFERROR(IF(ISNUMBER('Procyclean 210'!F267),'Procyclean 210'!F267,IF(ISNUMBER(SEARCH("12",'Procyclean 210'!F267)),EDATE(AB1765,12),IF(ISNUMBER(SEARCH("6",'Procyclean 210'!F267)),EDATE(AB1765,6),IF(ISNUMBER(SEARCH("3",'Procyclean 210'!F267)),EDATE(AB1765,3),DATEVALUE('Procyclean 210'!F267))))),""))</f>
        <v/>
      </c>
      <c r="AM1765" t="str">
        <f t="shared" ca="1" si="184"/>
        <v/>
      </c>
    </row>
    <row r="1766" spans="27:39" x14ac:dyDescent="0.3">
      <c r="AA1766" t="str">
        <f>IF(COUNTA('Procyclean 210'!C268,'Procyclean 210'!D268,'Procyclean 210'!E268)&gt;0,"210","")</f>
        <v/>
      </c>
      <c r="AB1766" t="str">
        <f>IFERROR(IF(ISNUMBER('Procyclean 210'!C268),'Procyclean 210'!C268,DATEVALUE('Procyclean 210'!C268)),"")</f>
        <v/>
      </c>
      <c r="AC1766" t="str">
        <f>IF(AA1766="","",'Procyclean 210'!D268)</f>
        <v/>
      </c>
      <c r="AD1766" t="str">
        <f>IF(AA1766="","",IFERROR(1*'Procyclean 210'!E268,IFERROR(_xludf.NUMBERVALUE('Procyclean 210'!E268,".",","),IFERROR(_xludf.NUMBERVALUE('Procyclean 210'!E268,",","."),0))))</f>
        <v/>
      </c>
      <c r="AE1766" t="str">
        <f>IF(AA1766="","",'Procyclean 210'!B268)</f>
        <v/>
      </c>
      <c r="AF1766">
        <f t="shared" si="179"/>
        <v>0</v>
      </c>
      <c r="AG1766" t="str">
        <f t="shared" si="180"/>
        <v/>
      </c>
      <c r="AH1766" t="str">
        <f t="shared" si="181"/>
        <v/>
      </c>
      <c r="AI1766">
        <f t="shared" si="182"/>
        <v>0</v>
      </c>
      <c r="AJ1766">
        <f t="shared" si="183"/>
        <v>0</v>
      </c>
      <c r="AK1766">
        <v>0</v>
      </c>
      <c r="AL1766" t="str">
        <f>IF(AA1766="","",IFERROR(IF(ISNUMBER('Procyclean 210'!F268),'Procyclean 210'!F268,IF(ISNUMBER(SEARCH("12",'Procyclean 210'!F268)),EDATE(AB1766,12),IF(ISNUMBER(SEARCH("6",'Procyclean 210'!F268)),EDATE(AB1766,6),IF(ISNUMBER(SEARCH("3",'Procyclean 210'!F268)),EDATE(AB1766,3),DATEVALUE('Procyclean 210'!F268))))),""))</f>
        <v/>
      </c>
      <c r="AM1766" t="str">
        <f t="shared" ca="1" si="184"/>
        <v/>
      </c>
    </row>
    <row r="1767" spans="27:39" x14ac:dyDescent="0.3">
      <c r="AA1767" t="str">
        <f>IF(COUNTA('Procyclean 210'!C269,'Procyclean 210'!D269,'Procyclean 210'!E269)&gt;0,"210","")</f>
        <v/>
      </c>
      <c r="AB1767" t="str">
        <f>IFERROR(IF(ISNUMBER('Procyclean 210'!C269),'Procyclean 210'!C269,DATEVALUE('Procyclean 210'!C269)),"")</f>
        <v/>
      </c>
      <c r="AC1767" t="str">
        <f>IF(AA1767="","",'Procyclean 210'!D269)</f>
        <v/>
      </c>
      <c r="AD1767" t="str">
        <f>IF(AA1767="","",IFERROR(1*'Procyclean 210'!E269,IFERROR(_xludf.NUMBERVALUE('Procyclean 210'!E269,".",","),IFERROR(_xludf.NUMBERVALUE('Procyclean 210'!E269,",","."),0))))</f>
        <v/>
      </c>
      <c r="AE1767" t="str">
        <f>IF(AA1767="","",'Procyclean 210'!B269)</f>
        <v/>
      </c>
      <c r="AF1767">
        <f t="shared" si="179"/>
        <v>0</v>
      </c>
      <c r="AG1767" t="str">
        <f t="shared" si="180"/>
        <v/>
      </c>
      <c r="AH1767" t="str">
        <f t="shared" si="181"/>
        <v/>
      </c>
      <c r="AI1767">
        <f t="shared" si="182"/>
        <v>0</v>
      </c>
      <c r="AJ1767">
        <f t="shared" si="183"/>
        <v>0</v>
      </c>
      <c r="AK1767">
        <v>0</v>
      </c>
      <c r="AL1767" t="str">
        <f>IF(AA1767="","",IFERROR(IF(ISNUMBER('Procyclean 210'!F269),'Procyclean 210'!F269,IF(ISNUMBER(SEARCH("12",'Procyclean 210'!F269)),EDATE(AB1767,12),IF(ISNUMBER(SEARCH("6",'Procyclean 210'!F269)),EDATE(AB1767,6),IF(ISNUMBER(SEARCH("3",'Procyclean 210'!F269)),EDATE(AB1767,3),DATEVALUE('Procyclean 210'!F269))))),""))</f>
        <v/>
      </c>
      <c r="AM1767" t="str">
        <f t="shared" ca="1" si="184"/>
        <v/>
      </c>
    </row>
    <row r="1768" spans="27:39" x14ac:dyDescent="0.3">
      <c r="AA1768" t="str">
        <f>IF(COUNTA('Procyclean 210'!C270,'Procyclean 210'!D270,'Procyclean 210'!E270)&gt;0,"210","")</f>
        <v/>
      </c>
      <c r="AB1768" t="str">
        <f>IFERROR(IF(ISNUMBER('Procyclean 210'!C270),'Procyclean 210'!C270,DATEVALUE('Procyclean 210'!C270)),"")</f>
        <v/>
      </c>
      <c r="AC1768" t="str">
        <f>IF(AA1768="","",'Procyclean 210'!D270)</f>
        <v/>
      </c>
      <c r="AD1768" t="str">
        <f>IF(AA1768="","",IFERROR(1*'Procyclean 210'!E270,IFERROR(_xludf.NUMBERVALUE('Procyclean 210'!E270,".",","),IFERROR(_xludf.NUMBERVALUE('Procyclean 210'!E270,",","."),0))))</f>
        <v/>
      </c>
      <c r="AE1768" t="str">
        <f>IF(AA1768="","",'Procyclean 210'!B270)</f>
        <v/>
      </c>
      <c r="AF1768">
        <f t="shared" si="179"/>
        <v>0</v>
      </c>
      <c r="AG1768" t="str">
        <f t="shared" si="180"/>
        <v/>
      </c>
      <c r="AH1768" t="str">
        <f t="shared" si="181"/>
        <v/>
      </c>
      <c r="AI1768">
        <f t="shared" si="182"/>
        <v>0</v>
      </c>
      <c r="AJ1768">
        <f t="shared" si="183"/>
        <v>0</v>
      </c>
      <c r="AK1768">
        <v>0</v>
      </c>
      <c r="AL1768" t="str">
        <f>IF(AA1768="","",IFERROR(IF(ISNUMBER('Procyclean 210'!F270),'Procyclean 210'!F270,IF(ISNUMBER(SEARCH("12",'Procyclean 210'!F270)),EDATE(AB1768,12),IF(ISNUMBER(SEARCH("6",'Procyclean 210'!F270)),EDATE(AB1768,6),IF(ISNUMBER(SEARCH("3",'Procyclean 210'!F270)),EDATE(AB1768,3),DATEVALUE('Procyclean 210'!F270))))),""))</f>
        <v/>
      </c>
      <c r="AM1768" t="str">
        <f t="shared" ca="1" si="184"/>
        <v/>
      </c>
    </row>
    <row r="1769" spans="27:39" x14ac:dyDescent="0.3">
      <c r="AA1769" t="str">
        <f>IF(COUNTA('Procyclean 210'!C271,'Procyclean 210'!D271,'Procyclean 210'!E271)&gt;0,"210","")</f>
        <v/>
      </c>
      <c r="AB1769" t="str">
        <f>IFERROR(IF(ISNUMBER('Procyclean 210'!C271),'Procyclean 210'!C271,DATEVALUE('Procyclean 210'!C271)),"")</f>
        <v/>
      </c>
      <c r="AC1769" t="str">
        <f>IF(AA1769="","",'Procyclean 210'!D271)</f>
        <v/>
      </c>
      <c r="AD1769" t="str">
        <f>IF(AA1769="","",IFERROR(1*'Procyclean 210'!E271,IFERROR(_xludf.NUMBERVALUE('Procyclean 210'!E271,".",","),IFERROR(_xludf.NUMBERVALUE('Procyclean 210'!E271,",","."),0))))</f>
        <v/>
      </c>
      <c r="AE1769" t="str">
        <f>IF(AA1769="","",'Procyclean 210'!B271)</f>
        <v/>
      </c>
      <c r="AF1769">
        <f t="shared" si="179"/>
        <v>0</v>
      </c>
      <c r="AG1769" t="str">
        <f t="shared" si="180"/>
        <v/>
      </c>
      <c r="AH1769" t="str">
        <f t="shared" si="181"/>
        <v/>
      </c>
      <c r="AI1769">
        <f t="shared" si="182"/>
        <v>0</v>
      </c>
      <c r="AJ1769">
        <f t="shared" si="183"/>
        <v>0</v>
      </c>
      <c r="AK1769">
        <v>0</v>
      </c>
      <c r="AL1769" t="str">
        <f>IF(AA1769="","",IFERROR(IF(ISNUMBER('Procyclean 210'!F271),'Procyclean 210'!F271,IF(ISNUMBER(SEARCH("12",'Procyclean 210'!F271)),EDATE(AB1769,12),IF(ISNUMBER(SEARCH("6",'Procyclean 210'!F271)),EDATE(AB1769,6),IF(ISNUMBER(SEARCH("3",'Procyclean 210'!F271)),EDATE(AB1769,3),DATEVALUE('Procyclean 210'!F271))))),""))</f>
        <v/>
      </c>
      <c r="AM1769" t="str">
        <f t="shared" ca="1" si="184"/>
        <v/>
      </c>
    </row>
    <row r="1770" spans="27:39" x14ac:dyDescent="0.3">
      <c r="AA1770" t="str">
        <f>IF(COUNTA('Procyclean 210'!C272,'Procyclean 210'!D272,'Procyclean 210'!E272)&gt;0,"210","")</f>
        <v/>
      </c>
      <c r="AB1770" t="str">
        <f>IFERROR(IF(ISNUMBER('Procyclean 210'!C272),'Procyclean 210'!C272,DATEVALUE('Procyclean 210'!C272)),"")</f>
        <v/>
      </c>
      <c r="AC1770" t="str">
        <f>IF(AA1770="","",'Procyclean 210'!D272)</f>
        <v/>
      </c>
      <c r="AD1770" t="str">
        <f>IF(AA1770="","",IFERROR(1*'Procyclean 210'!E272,IFERROR(_xludf.NUMBERVALUE('Procyclean 210'!E272,".",","),IFERROR(_xludf.NUMBERVALUE('Procyclean 210'!E272,",","."),0))))</f>
        <v/>
      </c>
      <c r="AE1770" t="str">
        <f>IF(AA1770="","",'Procyclean 210'!B272)</f>
        <v/>
      </c>
      <c r="AF1770">
        <f t="shared" si="179"/>
        <v>0</v>
      </c>
      <c r="AG1770" t="str">
        <f t="shared" si="180"/>
        <v/>
      </c>
      <c r="AH1770" t="str">
        <f t="shared" si="181"/>
        <v/>
      </c>
      <c r="AI1770">
        <f t="shared" si="182"/>
        <v>0</v>
      </c>
      <c r="AJ1770">
        <f t="shared" si="183"/>
        <v>0</v>
      </c>
      <c r="AK1770">
        <v>0</v>
      </c>
      <c r="AL1770" t="str">
        <f>IF(AA1770="","",IFERROR(IF(ISNUMBER('Procyclean 210'!F272),'Procyclean 210'!F272,IF(ISNUMBER(SEARCH("12",'Procyclean 210'!F272)),EDATE(AB1770,12),IF(ISNUMBER(SEARCH("6",'Procyclean 210'!F272)),EDATE(AB1770,6),IF(ISNUMBER(SEARCH("3",'Procyclean 210'!F272)),EDATE(AB1770,3),DATEVALUE('Procyclean 210'!F272))))),""))</f>
        <v/>
      </c>
      <c r="AM1770" t="str">
        <f t="shared" ca="1" si="184"/>
        <v/>
      </c>
    </row>
    <row r="1771" spans="27:39" x14ac:dyDescent="0.3">
      <c r="AA1771" t="str">
        <f>IF(COUNTA('Procyclean 210'!C273,'Procyclean 210'!D273,'Procyclean 210'!E273)&gt;0,"210","")</f>
        <v/>
      </c>
      <c r="AB1771" t="str">
        <f>IFERROR(IF(ISNUMBER('Procyclean 210'!C273),'Procyclean 210'!C273,DATEVALUE('Procyclean 210'!C273)),"")</f>
        <v/>
      </c>
      <c r="AC1771" t="str">
        <f>IF(AA1771="","",'Procyclean 210'!D273)</f>
        <v/>
      </c>
      <c r="AD1771" t="str">
        <f>IF(AA1771="","",IFERROR(1*'Procyclean 210'!E273,IFERROR(_xludf.NUMBERVALUE('Procyclean 210'!E273,".",","),IFERROR(_xludf.NUMBERVALUE('Procyclean 210'!E273,",","."),0))))</f>
        <v/>
      </c>
      <c r="AE1771" t="str">
        <f>IF(AA1771="","",'Procyclean 210'!B273)</f>
        <v/>
      </c>
      <c r="AF1771">
        <f t="shared" si="179"/>
        <v>0</v>
      </c>
      <c r="AG1771" t="str">
        <f t="shared" si="180"/>
        <v/>
      </c>
      <c r="AH1771" t="str">
        <f t="shared" si="181"/>
        <v/>
      </c>
      <c r="AI1771">
        <f t="shared" si="182"/>
        <v>0</v>
      </c>
      <c r="AJ1771">
        <f t="shared" si="183"/>
        <v>0</v>
      </c>
      <c r="AK1771">
        <v>0</v>
      </c>
      <c r="AL1771" t="str">
        <f>IF(AA1771="","",IFERROR(IF(ISNUMBER('Procyclean 210'!F273),'Procyclean 210'!F273,IF(ISNUMBER(SEARCH("12",'Procyclean 210'!F273)),EDATE(AB1771,12),IF(ISNUMBER(SEARCH("6",'Procyclean 210'!F273)),EDATE(AB1771,6),IF(ISNUMBER(SEARCH("3",'Procyclean 210'!F273)),EDATE(AB1771,3),DATEVALUE('Procyclean 210'!F273))))),""))</f>
        <v/>
      </c>
      <c r="AM1771" t="str">
        <f t="shared" ca="1" si="184"/>
        <v/>
      </c>
    </row>
    <row r="1772" spans="27:39" x14ac:dyDescent="0.3">
      <c r="AA1772" t="str">
        <f>IF(COUNTA('Procyclean 210'!C274,'Procyclean 210'!D274,'Procyclean 210'!E274)&gt;0,"210","")</f>
        <v/>
      </c>
      <c r="AB1772" t="str">
        <f>IFERROR(IF(ISNUMBER('Procyclean 210'!C274),'Procyclean 210'!C274,DATEVALUE('Procyclean 210'!C274)),"")</f>
        <v/>
      </c>
      <c r="AC1772" t="str">
        <f>IF(AA1772="","",'Procyclean 210'!D274)</f>
        <v/>
      </c>
      <c r="AD1772" t="str">
        <f>IF(AA1772="","",IFERROR(1*'Procyclean 210'!E274,IFERROR(_xludf.NUMBERVALUE('Procyclean 210'!E274,".",","),IFERROR(_xludf.NUMBERVALUE('Procyclean 210'!E274,",","."),0))))</f>
        <v/>
      </c>
      <c r="AE1772" t="str">
        <f>IF(AA1772="","",'Procyclean 210'!B274)</f>
        <v/>
      </c>
      <c r="AF1772">
        <f t="shared" si="179"/>
        <v>0</v>
      </c>
      <c r="AG1772" t="str">
        <f t="shared" si="180"/>
        <v/>
      </c>
      <c r="AH1772" t="str">
        <f t="shared" si="181"/>
        <v/>
      </c>
      <c r="AI1772">
        <f t="shared" si="182"/>
        <v>0</v>
      </c>
      <c r="AJ1772">
        <f t="shared" si="183"/>
        <v>0</v>
      </c>
      <c r="AK1772">
        <v>0</v>
      </c>
      <c r="AL1772" t="str">
        <f>IF(AA1772="","",IFERROR(IF(ISNUMBER('Procyclean 210'!F274),'Procyclean 210'!F274,IF(ISNUMBER(SEARCH("12",'Procyclean 210'!F274)),EDATE(AB1772,12),IF(ISNUMBER(SEARCH("6",'Procyclean 210'!F274)),EDATE(AB1772,6),IF(ISNUMBER(SEARCH("3",'Procyclean 210'!F274)),EDATE(AB1772,3),DATEVALUE('Procyclean 210'!F274))))),""))</f>
        <v/>
      </c>
      <c r="AM1772" t="str">
        <f t="shared" ca="1" si="184"/>
        <v/>
      </c>
    </row>
    <row r="1773" spans="27:39" x14ac:dyDescent="0.3">
      <c r="AA1773" t="str">
        <f>IF(COUNTA('Procyclean 210'!C275,'Procyclean 210'!D275,'Procyclean 210'!E275)&gt;0,"210","")</f>
        <v/>
      </c>
      <c r="AB1773" t="str">
        <f>IFERROR(IF(ISNUMBER('Procyclean 210'!C275),'Procyclean 210'!C275,DATEVALUE('Procyclean 210'!C275)),"")</f>
        <v/>
      </c>
      <c r="AC1773" t="str">
        <f>IF(AA1773="","",'Procyclean 210'!D275)</f>
        <v/>
      </c>
      <c r="AD1773" t="str">
        <f>IF(AA1773="","",IFERROR(1*'Procyclean 210'!E275,IFERROR(_xludf.NUMBERVALUE('Procyclean 210'!E275,".",","),IFERROR(_xludf.NUMBERVALUE('Procyclean 210'!E275,",","."),0))))</f>
        <v/>
      </c>
      <c r="AE1773" t="str">
        <f>IF(AA1773="","",'Procyclean 210'!B275)</f>
        <v/>
      </c>
      <c r="AF1773">
        <f t="shared" si="179"/>
        <v>0</v>
      </c>
      <c r="AG1773" t="str">
        <f t="shared" si="180"/>
        <v/>
      </c>
      <c r="AH1773" t="str">
        <f t="shared" si="181"/>
        <v/>
      </c>
      <c r="AI1773">
        <f t="shared" si="182"/>
        <v>0</v>
      </c>
      <c r="AJ1773">
        <f t="shared" si="183"/>
        <v>0</v>
      </c>
      <c r="AK1773">
        <v>0</v>
      </c>
      <c r="AL1773" t="str">
        <f>IF(AA1773="","",IFERROR(IF(ISNUMBER('Procyclean 210'!F275),'Procyclean 210'!F275,IF(ISNUMBER(SEARCH("12",'Procyclean 210'!F275)),EDATE(AB1773,12),IF(ISNUMBER(SEARCH("6",'Procyclean 210'!F275)),EDATE(AB1773,6),IF(ISNUMBER(SEARCH("3",'Procyclean 210'!F275)),EDATE(AB1773,3),DATEVALUE('Procyclean 210'!F275))))),""))</f>
        <v/>
      </c>
      <c r="AM1773" t="str">
        <f t="shared" ca="1" si="184"/>
        <v/>
      </c>
    </row>
    <row r="1774" spans="27:39" x14ac:dyDescent="0.3">
      <c r="AA1774" t="str">
        <f>IF(COUNTA('Procyclean 210'!C276,'Procyclean 210'!D276,'Procyclean 210'!E276)&gt;0,"210","")</f>
        <v/>
      </c>
      <c r="AB1774" t="str">
        <f>IFERROR(IF(ISNUMBER('Procyclean 210'!C276),'Procyclean 210'!C276,DATEVALUE('Procyclean 210'!C276)),"")</f>
        <v/>
      </c>
      <c r="AC1774" t="str">
        <f>IF(AA1774="","",'Procyclean 210'!D276)</f>
        <v/>
      </c>
      <c r="AD1774" t="str">
        <f>IF(AA1774="","",IFERROR(1*'Procyclean 210'!E276,IFERROR(_xludf.NUMBERVALUE('Procyclean 210'!E276,".",","),IFERROR(_xludf.NUMBERVALUE('Procyclean 210'!E276,",","."),0))))</f>
        <v/>
      </c>
      <c r="AE1774" t="str">
        <f>IF(AA1774="","",'Procyclean 210'!B276)</f>
        <v/>
      </c>
      <c r="AF1774">
        <f t="shared" si="179"/>
        <v>0</v>
      </c>
      <c r="AG1774" t="str">
        <f t="shared" si="180"/>
        <v/>
      </c>
      <c r="AH1774" t="str">
        <f t="shared" si="181"/>
        <v/>
      </c>
      <c r="AI1774">
        <f t="shared" si="182"/>
        <v>0</v>
      </c>
      <c r="AJ1774">
        <f t="shared" si="183"/>
        <v>0</v>
      </c>
      <c r="AK1774">
        <v>0</v>
      </c>
      <c r="AL1774" t="str">
        <f>IF(AA1774="","",IFERROR(IF(ISNUMBER('Procyclean 210'!F276),'Procyclean 210'!F276,IF(ISNUMBER(SEARCH("12",'Procyclean 210'!F276)),EDATE(AB1774,12),IF(ISNUMBER(SEARCH("6",'Procyclean 210'!F276)),EDATE(AB1774,6),IF(ISNUMBER(SEARCH("3",'Procyclean 210'!F276)),EDATE(AB1774,3),DATEVALUE('Procyclean 210'!F276))))),""))</f>
        <v/>
      </c>
      <c r="AM1774" t="str">
        <f t="shared" ca="1" si="184"/>
        <v/>
      </c>
    </row>
    <row r="1775" spans="27:39" x14ac:dyDescent="0.3">
      <c r="AA1775" t="str">
        <f>IF(COUNTA('Procyclean 210'!C277,'Procyclean 210'!D277,'Procyclean 210'!E277)&gt;0,"210","")</f>
        <v/>
      </c>
      <c r="AB1775" t="str">
        <f>IFERROR(IF(ISNUMBER('Procyclean 210'!C277),'Procyclean 210'!C277,DATEVALUE('Procyclean 210'!C277)),"")</f>
        <v/>
      </c>
      <c r="AC1775" t="str">
        <f>IF(AA1775="","",'Procyclean 210'!D277)</f>
        <v/>
      </c>
      <c r="AD1775" t="str">
        <f>IF(AA1775="","",IFERROR(1*'Procyclean 210'!E277,IFERROR(_xludf.NUMBERVALUE('Procyclean 210'!E277,".",","),IFERROR(_xludf.NUMBERVALUE('Procyclean 210'!E277,",","."),0))))</f>
        <v/>
      </c>
      <c r="AE1775" t="str">
        <f>IF(AA1775="","",'Procyclean 210'!B277)</f>
        <v/>
      </c>
      <c r="AF1775">
        <f t="shared" si="179"/>
        <v>0</v>
      </c>
      <c r="AG1775" t="str">
        <f t="shared" si="180"/>
        <v/>
      </c>
      <c r="AH1775" t="str">
        <f t="shared" si="181"/>
        <v/>
      </c>
      <c r="AI1775">
        <f t="shared" si="182"/>
        <v>0</v>
      </c>
      <c r="AJ1775">
        <f t="shared" si="183"/>
        <v>0</v>
      </c>
      <c r="AK1775">
        <v>0</v>
      </c>
      <c r="AL1775" t="str">
        <f>IF(AA1775="","",IFERROR(IF(ISNUMBER('Procyclean 210'!F277),'Procyclean 210'!F277,IF(ISNUMBER(SEARCH("12",'Procyclean 210'!F277)),EDATE(AB1775,12),IF(ISNUMBER(SEARCH("6",'Procyclean 210'!F277)),EDATE(AB1775,6),IF(ISNUMBER(SEARCH("3",'Procyclean 210'!F277)),EDATE(AB1775,3),DATEVALUE('Procyclean 210'!F277))))),""))</f>
        <v/>
      </c>
      <c r="AM1775" t="str">
        <f t="shared" ca="1" si="184"/>
        <v/>
      </c>
    </row>
    <row r="1776" spans="27:39" x14ac:dyDescent="0.3">
      <c r="AA1776" t="str">
        <f>IF(COUNTA('Procyclean 210'!C278,'Procyclean 210'!D278,'Procyclean 210'!E278)&gt;0,"210","")</f>
        <v/>
      </c>
      <c r="AB1776" t="str">
        <f>IFERROR(IF(ISNUMBER('Procyclean 210'!C278),'Procyclean 210'!C278,DATEVALUE('Procyclean 210'!C278)),"")</f>
        <v/>
      </c>
      <c r="AC1776" t="str">
        <f>IF(AA1776="","",'Procyclean 210'!D278)</f>
        <v/>
      </c>
      <c r="AD1776" t="str">
        <f>IF(AA1776="","",IFERROR(1*'Procyclean 210'!E278,IFERROR(_xludf.NUMBERVALUE('Procyclean 210'!E278,".",","),IFERROR(_xludf.NUMBERVALUE('Procyclean 210'!E278,",","."),0))))</f>
        <v/>
      </c>
      <c r="AE1776" t="str">
        <f>IF(AA1776="","",'Procyclean 210'!B278)</f>
        <v/>
      </c>
      <c r="AF1776">
        <f t="shared" si="179"/>
        <v>0</v>
      </c>
      <c r="AG1776" t="str">
        <f t="shared" si="180"/>
        <v/>
      </c>
      <c r="AH1776" t="str">
        <f t="shared" si="181"/>
        <v/>
      </c>
      <c r="AI1776">
        <f t="shared" si="182"/>
        <v>0</v>
      </c>
      <c r="AJ1776">
        <f t="shared" si="183"/>
        <v>0</v>
      </c>
      <c r="AK1776">
        <v>0</v>
      </c>
      <c r="AL1776" t="str">
        <f>IF(AA1776="","",IFERROR(IF(ISNUMBER('Procyclean 210'!F278),'Procyclean 210'!F278,IF(ISNUMBER(SEARCH("12",'Procyclean 210'!F278)),EDATE(AB1776,12),IF(ISNUMBER(SEARCH("6",'Procyclean 210'!F278)),EDATE(AB1776,6),IF(ISNUMBER(SEARCH("3",'Procyclean 210'!F278)),EDATE(AB1776,3),DATEVALUE('Procyclean 210'!F278))))),""))</f>
        <v/>
      </c>
      <c r="AM1776" t="str">
        <f t="shared" ca="1" si="184"/>
        <v/>
      </c>
    </row>
    <row r="1777" spans="27:39" x14ac:dyDescent="0.3">
      <c r="AA1777" t="str">
        <f>IF(COUNTA('Procyclean 210'!C279,'Procyclean 210'!D279,'Procyclean 210'!E279)&gt;0,"210","")</f>
        <v/>
      </c>
      <c r="AB1777" t="str">
        <f>IFERROR(IF(ISNUMBER('Procyclean 210'!C279),'Procyclean 210'!C279,DATEVALUE('Procyclean 210'!C279)),"")</f>
        <v/>
      </c>
      <c r="AC1777" t="str">
        <f>IF(AA1777="","",'Procyclean 210'!D279)</f>
        <v/>
      </c>
      <c r="AD1777" t="str">
        <f>IF(AA1777="","",IFERROR(1*'Procyclean 210'!E279,IFERROR(_xludf.NUMBERVALUE('Procyclean 210'!E279,".",","),IFERROR(_xludf.NUMBERVALUE('Procyclean 210'!E279,",","."),0))))</f>
        <v/>
      </c>
      <c r="AE1777" t="str">
        <f>IF(AA1777="","",'Procyclean 210'!B279)</f>
        <v/>
      </c>
      <c r="AF1777">
        <f t="shared" si="179"/>
        <v>0</v>
      </c>
      <c r="AG1777" t="str">
        <f t="shared" si="180"/>
        <v/>
      </c>
      <c r="AH1777" t="str">
        <f t="shared" si="181"/>
        <v/>
      </c>
      <c r="AI1777">
        <f t="shared" si="182"/>
        <v>0</v>
      </c>
      <c r="AJ1777">
        <f t="shared" si="183"/>
        <v>0</v>
      </c>
      <c r="AK1777">
        <v>0</v>
      </c>
      <c r="AL1777" t="str">
        <f>IF(AA1777="","",IFERROR(IF(ISNUMBER('Procyclean 210'!F279),'Procyclean 210'!F279,IF(ISNUMBER(SEARCH("12",'Procyclean 210'!F279)),EDATE(AB1777,12),IF(ISNUMBER(SEARCH("6",'Procyclean 210'!F279)),EDATE(AB1777,6),IF(ISNUMBER(SEARCH("3",'Procyclean 210'!F279)),EDATE(AB1777,3),DATEVALUE('Procyclean 210'!F279))))),""))</f>
        <v/>
      </c>
      <c r="AM1777" t="str">
        <f t="shared" ca="1" si="184"/>
        <v/>
      </c>
    </row>
    <row r="1778" spans="27:39" x14ac:dyDescent="0.3">
      <c r="AA1778" t="str">
        <f>IF(COUNTA('Procyclean 210'!C280,'Procyclean 210'!D280,'Procyclean 210'!E280)&gt;0,"210","")</f>
        <v/>
      </c>
      <c r="AB1778" t="str">
        <f>IFERROR(IF(ISNUMBER('Procyclean 210'!C280),'Procyclean 210'!C280,DATEVALUE('Procyclean 210'!C280)),"")</f>
        <v/>
      </c>
      <c r="AC1778" t="str">
        <f>IF(AA1778="","",'Procyclean 210'!D280)</f>
        <v/>
      </c>
      <c r="AD1778" t="str">
        <f>IF(AA1778="","",IFERROR(1*'Procyclean 210'!E280,IFERROR(_xludf.NUMBERVALUE('Procyclean 210'!E280,".",","),IFERROR(_xludf.NUMBERVALUE('Procyclean 210'!E280,",","."),0))))</f>
        <v/>
      </c>
      <c r="AE1778" t="str">
        <f>IF(AA1778="","",'Procyclean 210'!B280)</f>
        <v/>
      </c>
      <c r="AF1778">
        <f t="shared" si="179"/>
        <v>0</v>
      </c>
      <c r="AG1778" t="str">
        <f t="shared" si="180"/>
        <v/>
      </c>
      <c r="AH1778" t="str">
        <f t="shared" si="181"/>
        <v/>
      </c>
      <c r="AI1778">
        <f t="shared" si="182"/>
        <v>0</v>
      </c>
      <c r="AJ1778">
        <f t="shared" si="183"/>
        <v>0</v>
      </c>
      <c r="AK1778">
        <v>0</v>
      </c>
      <c r="AL1778" t="str">
        <f>IF(AA1778="","",IFERROR(IF(ISNUMBER('Procyclean 210'!F280),'Procyclean 210'!F280,IF(ISNUMBER(SEARCH("12",'Procyclean 210'!F280)),EDATE(AB1778,12),IF(ISNUMBER(SEARCH("6",'Procyclean 210'!F280)),EDATE(AB1778,6),IF(ISNUMBER(SEARCH("3",'Procyclean 210'!F280)),EDATE(AB1778,3),DATEVALUE('Procyclean 210'!F280))))),""))</f>
        <v/>
      </c>
      <c r="AM1778" t="str">
        <f t="shared" ca="1" si="184"/>
        <v/>
      </c>
    </row>
    <row r="1779" spans="27:39" x14ac:dyDescent="0.3">
      <c r="AA1779" t="str">
        <f>IF(COUNTA('Procyclean 210'!C281,'Procyclean 210'!D281,'Procyclean 210'!E281)&gt;0,"210","")</f>
        <v/>
      </c>
      <c r="AB1779" t="str">
        <f>IFERROR(IF(ISNUMBER('Procyclean 210'!C281),'Procyclean 210'!C281,DATEVALUE('Procyclean 210'!C281)),"")</f>
        <v/>
      </c>
      <c r="AC1779" t="str">
        <f>IF(AA1779="","",'Procyclean 210'!D281)</f>
        <v/>
      </c>
      <c r="AD1779" t="str">
        <f>IF(AA1779="","",IFERROR(1*'Procyclean 210'!E281,IFERROR(_xludf.NUMBERVALUE('Procyclean 210'!E281,".",","),IFERROR(_xludf.NUMBERVALUE('Procyclean 210'!E281,",","."),0))))</f>
        <v/>
      </c>
      <c r="AE1779" t="str">
        <f>IF(AA1779="","",'Procyclean 210'!B281)</f>
        <v/>
      </c>
      <c r="AF1779">
        <f t="shared" si="179"/>
        <v>0</v>
      </c>
      <c r="AG1779" t="str">
        <f t="shared" si="180"/>
        <v/>
      </c>
      <c r="AH1779" t="str">
        <f t="shared" si="181"/>
        <v/>
      </c>
      <c r="AI1779">
        <f t="shared" si="182"/>
        <v>0</v>
      </c>
      <c r="AJ1779">
        <f t="shared" si="183"/>
        <v>0</v>
      </c>
      <c r="AK1779">
        <v>0</v>
      </c>
      <c r="AL1779" t="str">
        <f>IF(AA1779="","",IFERROR(IF(ISNUMBER('Procyclean 210'!F281),'Procyclean 210'!F281,IF(ISNUMBER(SEARCH("12",'Procyclean 210'!F281)),EDATE(AB1779,12),IF(ISNUMBER(SEARCH("6",'Procyclean 210'!F281)),EDATE(AB1779,6),IF(ISNUMBER(SEARCH("3",'Procyclean 210'!F281)),EDATE(AB1779,3),DATEVALUE('Procyclean 210'!F281))))),""))</f>
        <v/>
      </c>
      <c r="AM1779" t="str">
        <f t="shared" ca="1" si="184"/>
        <v/>
      </c>
    </row>
    <row r="1780" spans="27:39" x14ac:dyDescent="0.3">
      <c r="AA1780" t="str">
        <f>IF(COUNTA('Procyclean 210'!C282,'Procyclean 210'!D282,'Procyclean 210'!E282)&gt;0,"210","")</f>
        <v/>
      </c>
      <c r="AB1780" t="str">
        <f>IFERROR(IF(ISNUMBER('Procyclean 210'!C282),'Procyclean 210'!C282,DATEVALUE('Procyclean 210'!C282)),"")</f>
        <v/>
      </c>
      <c r="AC1780" t="str">
        <f>IF(AA1780="","",'Procyclean 210'!D282)</f>
        <v/>
      </c>
      <c r="AD1780" t="str">
        <f>IF(AA1780="","",IFERROR(1*'Procyclean 210'!E282,IFERROR(_xludf.NUMBERVALUE('Procyclean 210'!E282,".",","),IFERROR(_xludf.NUMBERVALUE('Procyclean 210'!E282,",","."),0))))</f>
        <v/>
      </c>
      <c r="AE1780" t="str">
        <f>IF(AA1780="","",'Procyclean 210'!B282)</f>
        <v/>
      </c>
      <c r="AF1780">
        <f t="shared" si="179"/>
        <v>0</v>
      </c>
      <c r="AG1780" t="str">
        <f t="shared" si="180"/>
        <v/>
      </c>
      <c r="AH1780" t="str">
        <f t="shared" si="181"/>
        <v/>
      </c>
      <c r="AI1780">
        <f t="shared" si="182"/>
        <v>0</v>
      </c>
      <c r="AJ1780">
        <f t="shared" si="183"/>
        <v>0</v>
      </c>
      <c r="AK1780">
        <v>0</v>
      </c>
      <c r="AL1780" t="str">
        <f>IF(AA1780="","",IFERROR(IF(ISNUMBER('Procyclean 210'!F282),'Procyclean 210'!F282,IF(ISNUMBER(SEARCH("12",'Procyclean 210'!F282)),EDATE(AB1780,12),IF(ISNUMBER(SEARCH("6",'Procyclean 210'!F282)),EDATE(AB1780,6),IF(ISNUMBER(SEARCH("3",'Procyclean 210'!F282)),EDATE(AB1780,3),DATEVALUE('Procyclean 210'!F282))))),""))</f>
        <v/>
      </c>
      <c r="AM1780" t="str">
        <f t="shared" ca="1" si="184"/>
        <v/>
      </c>
    </row>
    <row r="1781" spans="27:39" x14ac:dyDescent="0.3">
      <c r="AA1781" t="str">
        <f>IF(COUNTA('Procyclean 210'!C283,'Procyclean 210'!D283,'Procyclean 210'!E283)&gt;0,"210","")</f>
        <v/>
      </c>
      <c r="AB1781" t="str">
        <f>IFERROR(IF(ISNUMBER('Procyclean 210'!C283),'Procyclean 210'!C283,DATEVALUE('Procyclean 210'!C283)),"")</f>
        <v/>
      </c>
      <c r="AC1781" t="str">
        <f>IF(AA1781="","",'Procyclean 210'!D283)</f>
        <v/>
      </c>
      <c r="AD1781" t="str">
        <f>IF(AA1781="","",IFERROR(1*'Procyclean 210'!E283,IFERROR(_xludf.NUMBERVALUE('Procyclean 210'!E283,".",","),IFERROR(_xludf.NUMBERVALUE('Procyclean 210'!E283,",","."),0))))</f>
        <v/>
      </c>
      <c r="AE1781" t="str">
        <f>IF(AA1781="","",'Procyclean 210'!B283)</f>
        <v/>
      </c>
      <c r="AF1781">
        <f t="shared" si="179"/>
        <v>0</v>
      </c>
      <c r="AG1781" t="str">
        <f t="shared" si="180"/>
        <v/>
      </c>
      <c r="AH1781" t="str">
        <f t="shared" si="181"/>
        <v/>
      </c>
      <c r="AI1781">
        <f t="shared" si="182"/>
        <v>0</v>
      </c>
      <c r="AJ1781">
        <f t="shared" si="183"/>
        <v>0</v>
      </c>
      <c r="AK1781">
        <v>0</v>
      </c>
      <c r="AL1781" t="str">
        <f>IF(AA1781="","",IFERROR(IF(ISNUMBER('Procyclean 210'!F283),'Procyclean 210'!F283,IF(ISNUMBER(SEARCH("12",'Procyclean 210'!F283)),EDATE(AB1781,12),IF(ISNUMBER(SEARCH("6",'Procyclean 210'!F283)),EDATE(AB1781,6),IF(ISNUMBER(SEARCH("3",'Procyclean 210'!F283)),EDATE(AB1781,3),DATEVALUE('Procyclean 210'!F283))))),""))</f>
        <v/>
      </c>
      <c r="AM1781" t="str">
        <f t="shared" ca="1" si="184"/>
        <v/>
      </c>
    </row>
    <row r="1782" spans="27:39" x14ac:dyDescent="0.3">
      <c r="AA1782" t="str">
        <f>IF(COUNTA('Procyclean 210'!C284,'Procyclean 210'!D284,'Procyclean 210'!E284)&gt;0,"210","")</f>
        <v/>
      </c>
      <c r="AB1782" t="str">
        <f>IFERROR(IF(ISNUMBER('Procyclean 210'!C284),'Procyclean 210'!C284,DATEVALUE('Procyclean 210'!C284)),"")</f>
        <v/>
      </c>
      <c r="AC1782" t="str">
        <f>IF(AA1782="","",'Procyclean 210'!D284)</f>
        <v/>
      </c>
      <c r="AD1782" t="str">
        <f>IF(AA1782="","",IFERROR(1*'Procyclean 210'!E284,IFERROR(_xludf.NUMBERVALUE('Procyclean 210'!E284,".",","),IFERROR(_xludf.NUMBERVALUE('Procyclean 210'!E284,",","."),0))))</f>
        <v/>
      </c>
      <c r="AE1782" t="str">
        <f>IF(AA1782="","",'Procyclean 210'!B284)</f>
        <v/>
      </c>
      <c r="AF1782">
        <f t="shared" si="179"/>
        <v>0</v>
      </c>
      <c r="AG1782" t="str">
        <f t="shared" si="180"/>
        <v/>
      </c>
      <c r="AH1782" t="str">
        <f t="shared" si="181"/>
        <v/>
      </c>
      <c r="AI1782">
        <f t="shared" si="182"/>
        <v>0</v>
      </c>
      <c r="AJ1782">
        <f t="shared" si="183"/>
        <v>0</v>
      </c>
      <c r="AK1782">
        <v>0</v>
      </c>
      <c r="AL1782" t="str">
        <f>IF(AA1782="","",IFERROR(IF(ISNUMBER('Procyclean 210'!F284),'Procyclean 210'!F284,IF(ISNUMBER(SEARCH("12",'Procyclean 210'!F284)),EDATE(AB1782,12),IF(ISNUMBER(SEARCH("6",'Procyclean 210'!F284)),EDATE(AB1782,6),IF(ISNUMBER(SEARCH("3",'Procyclean 210'!F284)),EDATE(AB1782,3),DATEVALUE('Procyclean 210'!F284))))),""))</f>
        <v/>
      </c>
      <c r="AM1782" t="str">
        <f t="shared" ca="1" si="184"/>
        <v/>
      </c>
    </row>
    <row r="1783" spans="27:39" x14ac:dyDescent="0.3">
      <c r="AA1783" t="str">
        <f>IF(COUNTA('Procyclean 210'!C285,'Procyclean 210'!D285,'Procyclean 210'!E285)&gt;0,"210","")</f>
        <v/>
      </c>
      <c r="AB1783" t="str">
        <f>IFERROR(IF(ISNUMBER('Procyclean 210'!C285),'Procyclean 210'!C285,DATEVALUE('Procyclean 210'!C285)),"")</f>
        <v/>
      </c>
      <c r="AC1783" t="str">
        <f>IF(AA1783="","",'Procyclean 210'!D285)</f>
        <v/>
      </c>
      <c r="AD1783" t="str">
        <f>IF(AA1783="","",IFERROR(1*'Procyclean 210'!E285,IFERROR(_xludf.NUMBERVALUE('Procyclean 210'!E285,".",","),IFERROR(_xludf.NUMBERVALUE('Procyclean 210'!E285,",","."),0))))</f>
        <v/>
      </c>
      <c r="AE1783" t="str">
        <f>IF(AA1783="","",'Procyclean 210'!B285)</f>
        <v/>
      </c>
      <c r="AF1783">
        <f t="shared" si="179"/>
        <v>0</v>
      </c>
      <c r="AG1783" t="str">
        <f t="shared" si="180"/>
        <v/>
      </c>
      <c r="AH1783" t="str">
        <f t="shared" si="181"/>
        <v/>
      </c>
      <c r="AI1783">
        <f t="shared" si="182"/>
        <v>0</v>
      </c>
      <c r="AJ1783">
        <f t="shared" si="183"/>
        <v>0</v>
      </c>
      <c r="AK1783">
        <v>0</v>
      </c>
      <c r="AL1783" t="str">
        <f>IF(AA1783="","",IFERROR(IF(ISNUMBER('Procyclean 210'!F285),'Procyclean 210'!F285,IF(ISNUMBER(SEARCH("12",'Procyclean 210'!F285)),EDATE(AB1783,12),IF(ISNUMBER(SEARCH("6",'Procyclean 210'!F285)),EDATE(AB1783,6),IF(ISNUMBER(SEARCH("3",'Procyclean 210'!F285)),EDATE(AB1783,3),DATEVALUE('Procyclean 210'!F285))))),""))</f>
        <v/>
      </c>
      <c r="AM1783" t="str">
        <f t="shared" ca="1" si="184"/>
        <v/>
      </c>
    </row>
    <row r="1784" spans="27:39" x14ac:dyDescent="0.3">
      <c r="AA1784" t="str">
        <f>IF(COUNTA('Procyclean 210'!C286,'Procyclean 210'!D286,'Procyclean 210'!E286)&gt;0,"210","")</f>
        <v/>
      </c>
      <c r="AB1784" t="str">
        <f>IFERROR(IF(ISNUMBER('Procyclean 210'!C286),'Procyclean 210'!C286,DATEVALUE('Procyclean 210'!C286)),"")</f>
        <v/>
      </c>
      <c r="AC1784" t="str">
        <f>IF(AA1784="","",'Procyclean 210'!D286)</f>
        <v/>
      </c>
      <c r="AD1784" t="str">
        <f>IF(AA1784="","",IFERROR(1*'Procyclean 210'!E286,IFERROR(_xludf.NUMBERVALUE('Procyclean 210'!E286,".",","),IFERROR(_xludf.NUMBERVALUE('Procyclean 210'!E286,",","."),0))))</f>
        <v/>
      </c>
      <c r="AE1784" t="str">
        <f>IF(AA1784="","",'Procyclean 210'!B286)</f>
        <v/>
      </c>
      <c r="AF1784">
        <f t="shared" si="179"/>
        <v>0</v>
      </c>
      <c r="AG1784" t="str">
        <f t="shared" si="180"/>
        <v/>
      </c>
      <c r="AH1784" t="str">
        <f t="shared" si="181"/>
        <v/>
      </c>
      <c r="AI1784">
        <f t="shared" si="182"/>
        <v>0</v>
      </c>
      <c r="AJ1784">
        <f t="shared" si="183"/>
        <v>0</v>
      </c>
      <c r="AK1784">
        <v>0</v>
      </c>
      <c r="AL1784" t="str">
        <f>IF(AA1784="","",IFERROR(IF(ISNUMBER('Procyclean 210'!F286),'Procyclean 210'!F286,IF(ISNUMBER(SEARCH("12",'Procyclean 210'!F286)),EDATE(AB1784,12),IF(ISNUMBER(SEARCH("6",'Procyclean 210'!F286)),EDATE(AB1784,6),IF(ISNUMBER(SEARCH("3",'Procyclean 210'!F286)),EDATE(AB1784,3),DATEVALUE('Procyclean 210'!F286))))),""))</f>
        <v/>
      </c>
      <c r="AM1784" t="str">
        <f t="shared" ca="1" si="184"/>
        <v/>
      </c>
    </row>
    <row r="1785" spans="27:39" x14ac:dyDescent="0.3">
      <c r="AA1785" t="str">
        <f>IF(COUNTA('Procyclean 210'!C287,'Procyclean 210'!D287,'Procyclean 210'!E287)&gt;0,"210","")</f>
        <v/>
      </c>
      <c r="AB1785" t="str">
        <f>IFERROR(IF(ISNUMBER('Procyclean 210'!C287),'Procyclean 210'!C287,DATEVALUE('Procyclean 210'!C287)),"")</f>
        <v/>
      </c>
      <c r="AC1785" t="str">
        <f>IF(AA1785="","",'Procyclean 210'!D287)</f>
        <v/>
      </c>
      <c r="AD1785" t="str">
        <f>IF(AA1785="","",IFERROR(1*'Procyclean 210'!E287,IFERROR(_xludf.NUMBERVALUE('Procyclean 210'!E287,".",","),IFERROR(_xludf.NUMBERVALUE('Procyclean 210'!E287,",","."),0))))</f>
        <v/>
      </c>
      <c r="AE1785" t="str">
        <f>IF(AA1785="","",'Procyclean 210'!B287)</f>
        <v/>
      </c>
      <c r="AF1785">
        <f t="shared" si="179"/>
        <v>0</v>
      </c>
      <c r="AG1785" t="str">
        <f t="shared" si="180"/>
        <v/>
      </c>
      <c r="AH1785" t="str">
        <f t="shared" si="181"/>
        <v/>
      </c>
      <c r="AI1785">
        <f t="shared" si="182"/>
        <v>0</v>
      </c>
      <c r="AJ1785">
        <f t="shared" si="183"/>
        <v>0</v>
      </c>
      <c r="AK1785">
        <v>0</v>
      </c>
      <c r="AL1785" t="str">
        <f>IF(AA1785="","",IFERROR(IF(ISNUMBER('Procyclean 210'!F287),'Procyclean 210'!F287,IF(ISNUMBER(SEARCH("12",'Procyclean 210'!F287)),EDATE(AB1785,12),IF(ISNUMBER(SEARCH("6",'Procyclean 210'!F287)),EDATE(AB1785,6),IF(ISNUMBER(SEARCH("3",'Procyclean 210'!F287)),EDATE(AB1785,3),DATEVALUE('Procyclean 210'!F287))))),""))</f>
        <v/>
      </c>
      <c r="AM1785" t="str">
        <f t="shared" ca="1" si="184"/>
        <v/>
      </c>
    </row>
    <row r="1786" spans="27:39" x14ac:dyDescent="0.3">
      <c r="AA1786" t="str">
        <f>IF(COUNTA('Procyclean 210'!C288,'Procyclean 210'!D288,'Procyclean 210'!E288)&gt;0,"210","")</f>
        <v/>
      </c>
      <c r="AB1786" t="str">
        <f>IFERROR(IF(ISNUMBER('Procyclean 210'!C288),'Procyclean 210'!C288,DATEVALUE('Procyclean 210'!C288)),"")</f>
        <v/>
      </c>
      <c r="AC1786" t="str">
        <f>IF(AA1786="","",'Procyclean 210'!D288)</f>
        <v/>
      </c>
      <c r="AD1786" t="str">
        <f>IF(AA1786="","",IFERROR(1*'Procyclean 210'!E288,IFERROR(_xludf.NUMBERVALUE('Procyclean 210'!E288,".",","),IFERROR(_xludf.NUMBERVALUE('Procyclean 210'!E288,",","."),0))))</f>
        <v/>
      </c>
      <c r="AE1786" t="str">
        <f>IF(AA1786="","",'Procyclean 210'!B288)</f>
        <v/>
      </c>
      <c r="AF1786">
        <f t="shared" si="179"/>
        <v>0</v>
      </c>
      <c r="AG1786" t="str">
        <f t="shared" si="180"/>
        <v/>
      </c>
      <c r="AH1786" t="str">
        <f t="shared" si="181"/>
        <v/>
      </c>
      <c r="AI1786">
        <f t="shared" si="182"/>
        <v>0</v>
      </c>
      <c r="AJ1786">
        <f t="shared" si="183"/>
        <v>0</v>
      </c>
      <c r="AK1786">
        <v>0</v>
      </c>
      <c r="AL1786" t="str">
        <f>IF(AA1786="","",IFERROR(IF(ISNUMBER('Procyclean 210'!F288),'Procyclean 210'!F288,IF(ISNUMBER(SEARCH("12",'Procyclean 210'!F288)),EDATE(AB1786,12),IF(ISNUMBER(SEARCH("6",'Procyclean 210'!F288)),EDATE(AB1786,6),IF(ISNUMBER(SEARCH("3",'Procyclean 210'!F288)),EDATE(AB1786,3),DATEVALUE('Procyclean 210'!F288))))),""))</f>
        <v/>
      </c>
      <c r="AM1786" t="str">
        <f t="shared" ca="1" si="184"/>
        <v/>
      </c>
    </row>
    <row r="1787" spans="27:39" x14ac:dyDescent="0.3">
      <c r="AA1787" t="str">
        <f>IF(COUNTA('Procyclean 210'!C289,'Procyclean 210'!D289,'Procyclean 210'!E289)&gt;0,"210","")</f>
        <v/>
      </c>
      <c r="AB1787" t="str">
        <f>IFERROR(IF(ISNUMBER('Procyclean 210'!C289),'Procyclean 210'!C289,DATEVALUE('Procyclean 210'!C289)),"")</f>
        <v/>
      </c>
      <c r="AC1787" t="str">
        <f>IF(AA1787="","",'Procyclean 210'!D289)</f>
        <v/>
      </c>
      <c r="AD1787" t="str">
        <f>IF(AA1787="","",IFERROR(1*'Procyclean 210'!E289,IFERROR(_xludf.NUMBERVALUE('Procyclean 210'!E289,".",","),IFERROR(_xludf.NUMBERVALUE('Procyclean 210'!E289,",","."),0))))</f>
        <v/>
      </c>
      <c r="AE1787" t="str">
        <f>IF(AA1787="","",'Procyclean 210'!B289)</f>
        <v/>
      </c>
      <c r="AF1787">
        <f t="shared" si="179"/>
        <v>0</v>
      </c>
      <c r="AG1787" t="str">
        <f t="shared" si="180"/>
        <v/>
      </c>
      <c r="AH1787" t="str">
        <f t="shared" si="181"/>
        <v/>
      </c>
      <c r="AI1787">
        <f t="shared" si="182"/>
        <v>0</v>
      </c>
      <c r="AJ1787">
        <f t="shared" si="183"/>
        <v>0</v>
      </c>
      <c r="AK1787">
        <v>0</v>
      </c>
      <c r="AL1787" t="str">
        <f>IF(AA1787="","",IFERROR(IF(ISNUMBER('Procyclean 210'!F289),'Procyclean 210'!F289,IF(ISNUMBER(SEARCH("12",'Procyclean 210'!F289)),EDATE(AB1787,12),IF(ISNUMBER(SEARCH("6",'Procyclean 210'!F289)),EDATE(AB1787,6),IF(ISNUMBER(SEARCH("3",'Procyclean 210'!F289)),EDATE(AB1787,3),DATEVALUE('Procyclean 210'!F289))))),""))</f>
        <v/>
      </c>
      <c r="AM1787" t="str">
        <f t="shared" ca="1" si="184"/>
        <v/>
      </c>
    </row>
    <row r="1788" spans="27:39" x14ac:dyDescent="0.3">
      <c r="AA1788" t="str">
        <f>IF(COUNTA('Procyclean 210'!C290,'Procyclean 210'!D290,'Procyclean 210'!E290)&gt;0,"210","")</f>
        <v/>
      </c>
      <c r="AB1788" t="str">
        <f>IFERROR(IF(ISNUMBER('Procyclean 210'!C290),'Procyclean 210'!C290,DATEVALUE('Procyclean 210'!C290)),"")</f>
        <v/>
      </c>
      <c r="AC1788" t="str">
        <f>IF(AA1788="","",'Procyclean 210'!D290)</f>
        <v/>
      </c>
      <c r="AD1788" t="str">
        <f>IF(AA1788="","",IFERROR(1*'Procyclean 210'!E290,IFERROR(_xludf.NUMBERVALUE('Procyclean 210'!E290,".",","),IFERROR(_xludf.NUMBERVALUE('Procyclean 210'!E290,",","."),0))))</f>
        <v/>
      </c>
      <c r="AE1788" t="str">
        <f>IF(AA1788="","",'Procyclean 210'!B290)</f>
        <v/>
      </c>
      <c r="AF1788">
        <f t="shared" si="179"/>
        <v>0</v>
      </c>
      <c r="AG1788" t="str">
        <f t="shared" si="180"/>
        <v/>
      </c>
      <c r="AH1788" t="str">
        <f t="shared" si="181"/>
        <v/>
      </c>
      <c r="AI1788">
        <f t="shared" si="182"/>
        <v>0</v>
      </c>
      <c r="AJ1788">
        <f t="shared" si="183"/>
        <v>0</v>
      </c>
      <c r="AK1788">
        <v>0</v>
      </c>
      <c r="AL1788" t="str">
        <f>IF(AA1788="","",IFERROR(IF(ISNUMBER('Procyclean 210'!F290),'Procyclean 210'!F290,IF(ISNUMBER(SEARCH("12",'Procyclean 210'!F290)),EDATE(AB1788,12),IF(ISNUMBER(SEARCH("6",'Procyclean 210'!F290)),EDATE(AB1788,6),IF(ISNUMBER(SEARCH("3",'Procyclean 210'!F290)),EDATE(AB1788,3),DATEVALUE('Procyclean 210'!F290))))),""))</f>
        <v/>
      </c>
      <c r="AM1788" t="str">
        <f t="shared" ca="1" si="184"/>
        <v/>
      </c>
    </row>
    <row r="1789" spans="27:39" x14ac:dyDescent="0.3">
      <c r="AA1789" t="str">
        <f>IF(COUNTA('Procyclean 210'!C291,'Procyclean 210'!D291,'Procyclean 210'!E291)&gt;0,"210","")</f>
        <v/>
      </c>
      <c r="AB1789" t="str">
        <f>IFERROR(IF(ISNUMBER('Procyclean 210'!C291),'Procyclean 210'!C291,DATEVALUE('Procyclean 210'!C291)),"")</f>
        <v/>
      </c>
      <c r="AC1789" t="str">
        <f>IF(AA1789="","",'Procyclean 210'!D291)</f>
        <v/>
      </c>
      <c r="AD1789" t="str">
        <f>IF(AA1789="","",IFERROR(1*'Procyclean 210'!E291,IFERROR(_xludf.NUMBERVALUE('Procyclean 210'!E291,".",","),IFERROR(_xludf.NUMBERVALUE('Procyclean 210'!E291,",","."),0))))</f>
        <v/>
      </c>
      <c r="AE1789" t="str">
        <f>IF(AA1789="","",'Procyclean 210'!B291)</f>
        <v/>
      </c>
      <c r="AF1789">
        <f t="shared" si="179"/>
        <v>0</v>
      </c>
      <c r="AG1789" t="str">
        <f t="shared" si="180"/>
        <v/>
      </c>
      <c r="AH1789" t="str">
        <f t="shared" si="181"/>
        <v/>
      </c>
      <c r="AI1789">
        <f t="shared" si="182"/>
        <v>0</v>
      </c>
      <c r="AJ1789">
        <f t="shared" si="183"/>
        <v>0</v>
      </c>
      <c r="AK1789">
        <v>0</v>
      </c>
      <c r="AL1789" t="str">
        <f>IF(AA1789="","",IFERROR(IF(ISNUMBER('Procyclean 210'!F291),'Procyclean 210'!F291,IF(ISNUMBER(SEARCH("12",'Procyclean 210'!F291)),EDATE(AB1789,12),IF(ISNUMBER(SEARCH("6",'Procyclean 210'!F291)),EDATE(AB1789,6),IF(ISNUMBER(SEARCH("3",'Procyclean 210'!F291)),EDATE(AB1789,3),DATEVALUE('Procyclean 210'!F291))))),""))</f>
        <v/>
      </c>
      <c r="AM1789" t="str">
        <f t="shared" ca="1" si="184"/>
        <v/>
      </c>
    </row>
    <row r="1790" spans="27:39" x14ac:dyDescent="0.3">
      <c r="AA1790" t="str">
        <f>IF(COUNTA('Procyclean 210'!C292,'Procyclean 210'!D292,'Procyclean 210'!E292)&gt;0,"210","")</f>
        <v/>
      </c>
      <c r="AB1790" t="str">
        <f>IFERROR(IF(ISNUMBER('Procyclean 210'!C292),'Procyclean 210'!C292,DATEVALUE('Procyclean 210'!C292)),"")</f>
        <v/>
      </c>
      <c r="AC1790" t="str">
        <f>IF(AA1790="","",'Procyclean 210'!D292)</f>
        <v/>
      </c>
      <c r="AD1790" t="str">
        <f>IF(AA1790="","",IFERROR(1*'Procyclean 210'!E292,IFERROR(_xludf.NUMBERVALUE('Procyclean 210'!E292,".",","),IFERROR(_xludf.NUMBERVALUE('Procyclean 210'!E292,",","."),0))))</f>
        <v/>
      </c>
      <c r="AE1790" t="str">
        <f>IF(AA1790="","",'Procyclean 210'!B292)</f>
        <v/>
      </c>
      <c r="AF1790">
        <f t="shared" si="179"/>
        <v>0</v>
      </c>
      <c r="AG1790" t="str">
        <f t="shared" si="180"/>
        <v/>
      </c>
      <c r="AH1790" t="str">
        <f t="shared" si="181"/>
        <v/>
      </c>
      <c r="AI1790">
        <f t="shared" si="182"/>
        <v>0</v>
      </c>
      <c r="AJ1790">
        <f t="shared" si="183"/>
        <v>0</v>
      </c>
      <c r="AK1790">
        <v>0</v>
      </c>
      <c r="AL1790" t="str">
        <f>IF(AA1790="","",IFERROR(IF(ISNUMBER('Procyclean 210'!F292),'Procyclean 210'!F292,IF(ISNUMBER(SEARCH("12",'Procyclean 210'!F292)),EDATE(AB1790,12),IF(ISNUMBER(SEARCH("6",'Procyclean 210'!F292)),EDATE(AB1790,6),IF(ISNUMBER(SEARCH("3",'Procyclean 210'!F292)),EDATE(AB1790,3),DATEVALUE('Procyclean 210'!F292))))),""))</f>
        <v/>
      </c>
      <c r="AM1790" t="str">
        <f t="shared" ca="1" si="184"/>
        <v/>
      </c>
    </row>
    <row r="1791" spans="27:39" x14ac:dyDescent="0.3">
      <c r="AA1791" t="str">
        <f>IF(COUNTA('Procyclean 210'!C293,'Procyclean 210'!D293,'Procyclean 210'!E293)&gt;0,"210","")</f>
        <v/>
      </c>
      <c r="AB1791" t="str">
        <f>IFERROR(IF(ISNUMBER('Procyclean 210'!C293),'Procyclean 210'!C293,DATEVALUE('Procyclean 210'!C293)),"")</f>
        <v/>
      </c>
      <c r="AC1791" t="str">
        <f>IF(AA1791="","",'Procyclean 210'!D293)</f>
        <v/>
      </c>
      <c r="AD1791" t="str">
        <f>IF(AA1791="","",IFERROR(1*'Procyclean 210'!E293,IFERROR(_xludf.NUMBERVALUE('Procyclean 210'!E293,".",","),IFERROR(_xludf.NUMBERVALUE('Procyclean 210'!E293,",","."),0))))</f>
        <v/>
      </c>
      <c r="AE1791" t="str">
        <f>IF(AA1791="","",'Procyclean 210'!B293)</f>
        <v/>
      </c>
      <c r="AF1791">
        <f t="shared" si="179"/>
        <v>0</v>
      </c>
      <c r="AG1791" t="str">
        <f t="shared" si="180"/>
        <v/>
      </c>
      <c r="AH1791" t="str">
        <f t="shared" si="181"/>
        <v/>
      </c>
      <c r="AI1791">
        <f t="shared" si="182"/>
        <v>0</v>
      </c>
      <c r="AJ1791">
        <f t="shared" si="183"/>
        <v>0</v>
      </c>
      <c r="AK1791">
        <v>0</v>
      </c>
      <c r="AL1791" t="str">
        <f>IF(AA1791="","",IFERROR(IF(ISNUMBER('Procyclean 210'!F293),'Procyclean 210'!F293,IF(ISNUMBER(SEARCH("12",'Procyclean 210'!F293)),EDATE(AB1791,12),IF(ISNUMBER(SEARCH("6",'Procyclean 210'!F293)),EDATE(AB1791,6),IF(ISNUMBER(SEARCH("3",'Procyclean 210'!F293)),EDATE(AB1791,3),DATEVALUE('Procyclean 210'!F293))))),""))</f>
        <v/>
      </c>
      <c r="AM1791" t="str">
        <f t="shared" ca="1" si="184"/>
        <v/>
      </c>
    </row>
    <row r="1792" spans="27:39" x14ac:dyDescent="0.3">
      <c r="AA1792" t="str">
        <f>IF(COUNTA('Procyclean 210'!C294,'Procyclean 210'!D294,'Procyclean 210'!E294)&gt;0,"210","")</f>
        <v/>
      </c>
      <c r="AB1792" t="str">
        <f>IFERROR(IF(ISNUMBER('Procyclean 210'!C294),'Procyclean 210'!C294,DATEVALUE('Procyclean 210'!C294)),"")</f>
        <v/>
      </c>
      <c r="AC1792" t="str">
        <f>IF(AA1792="","",'Procyclean 210'!D294)</f>
        <v/>
      </c>
      <c r="AD1792" t="str">
        <f>IF(AA1792="","",IFERROR(1*'Procyclean 210'!E294,IFERROR(_xludf.NUMBERVALUE('Procyclean 210'!E294,".",","),IFERROR(_xludf.NUMBERVALUE('Procyclean 210'!E294,",","."),0))))</f>
        <v/>
      </c>
      <c r="AE1792" t="str">
        <f>IF(AA1792="","",'Procyclean 210'!B294)</f>
        <v/>
      </c>
      <c r="AF1792">
        <f t="shared" si="179"/>
        <v>0</v>
      </c>
      <c r="AG1792" t="str">
        <f t="shared" si="180"/>
        <v/>
      </c>
      <c r="AH1792" t="str">
        <f t="shared" si="181"/>
        <v/>
      </c>
      <c r="AI1792">
        <f t="shared" si="182"/>
        <v>0</v>
      </c>
      <c r="AJ1792">
        <f t="shared" si="183"/>
        <v>0</v>
      </c>
      <c r="AK1792">
        <v>0</v>
      </c>
      <c r="AL1792" t="str">
        <f>IF(AA1792="","",IFERROR(IF(ISNUMBER('Procyclean 210'!F294),'Procyclean 210'!F294,IF(ISNUMBER(SEARCH("12",'Procyclean 210'!F294)),EDATE(AB1792,12),IF(ISNUMBER(SEARCH("6",'Procyclean 210'!F294)),EDATE(AB1792,6),IF(ISNUMBER(SEARCH("3",'Procyclean 210'!F294)),EDATE(AB1792,3),DATEVALUE('Procyclean 210'!F294))))),""))</f>
        <v/>
      </c>
      <c r="AM1792" t="str">
        <f t="shared" ca="1" si="184"/>
        <v/>
      </c>
    </row>
    <row r="1793" spans="27:39" x14ac:dyDescent="0.3">
      <c r="AA1793" t="str">
        <f>IF(COUNTA('Procyclean 210'!C295,'Procyclean 210'!D295,'Procyclean 210'!E295)&gt;0,"210","")</f>
        <v/>
      </c>
      <c r="AB1793" t="str">
        <f>IFERROR(IF(ISNUMBER('Procyclean 210'!C295),'Procyclean 210'!C295,DATEVALUE('Procyclean 210'!C295)),"")</f>
        <v/>
      </c>
      <c r="AC1793" t="str">
        <f>IF(AA1793="","",'Procyclean 210'!D295)</f>
        <v/>
      </c>
      <c r="AD1793" t="str">
        <f>IF(AA1793="","",IFERROR(1*'Procyclean 210'!E295,IFERROR(_xludf.NUMBERVALUE('Procyclean 210'!E295,".",","),IFERROR(_xludf.NUMBERVALUE('Procyclean 210'!E295,",","."),0))))</f>
        <v/>
      </c>
      <c r="AE1793" t="str">
        <f>IF(AA1793="","",'Procyclean 210'!B295)</f>
        <v/>
      </c>
      <c r="AF1793">
        <f t="shared" si="179"/>
        <v>0</v>
      </c>
      <c r="AG1793" t="str">
        <f t="shared" si="180"/>
        <v/>
      </c>
      <c r="AH1793" t="str">
        <f t="shared" si="181"/>
        <v/>
      </c>
      <c r="AI1793">
        <f t="shared" si="182"/>
        <v>0</v>
      </c>
      <c r="AJ1793">
        <f t="shared" si="183"/>
        <v>0</v>
      </c>
      <c r="AK1793">
        <v>0</v>
      </c>
      <c r="AL1793" t="str">
        <f>IF(AA1793="","",IFERROR(IF(ISNUMBER('Procyclean 210'!F295),'Procyclean 210'!F295,IF(ISNUMBER(SEARCH("12",'Procyclean 210'!F295)),EDATE(AB1793,12),IF(ISNUMBER(SEARCH("6",'Procyclean 210'!F295)),EDATE(AB1793,6),IF(ISNUMBER(SEARCH("3",'Procyclean 210'!F295)),EDATE(AB1793,3),DATEVALUE('Procyclean 210'!F295))))),""))</f>
        <v/>
      </c>
      <c r="AM1793" t="str">
        <f t="shared" ca="1" si="184"/>
        <v/>
      </c>
    </row>
    <row r="1794" spans="27:39" x14ac:dyDescent="0.3">
      <c r="AA1794" t="str">
        <f>IF(COUNTA('Procyclean 210'!C296,'Procyclean 210'!D296,'Procyclean 210'!E296)&gt;0,"210","")</f>
        <v/>
      </c>
      <c r="AB1794" t="str">
        <f>IFERROR(IF(ISNUMBER('Procyclean 210'!C296),'Procyclean 210'!C296,DATEVALUE('Procyclean 210'!C296)),"")</f>
        <v/>
      </c>
      <c r="AC1794" t="str">
        <f>IF(AA1794="","",'Procyclean 210'!D296)</f>
        <v/>
      </c>
      <c r="AD1794" t="str">
        <f>IF(AA1794="","",IFERROR(1*'Procyclean 210'!E296,IFERROR(_xludf.NUMBERVALUE('Procyclean 210'!E296,".",","),IFERROR(_xludf.NUMBERVALUE('Procyclean 210'!E296,",","."),0))))</f>
        <v/>
      </c>
      <c r="AE1794" t="str">
        <f>IF(AA1794="","",'Procyclean 210'!B296)</f>
        <v/>
      </c>
      <c r="AF1794">
        <f t="shared" ref="AF1794:AF1857" si="185">IF(AA1794="",0,--AND(ISNUMBER(SEARCH("aprov",AE1794)),NOT(ISNUMBER(SEARCH("reprov",AE1794)))))</f>
        <v>0</v>
      </c>
      <c r="AG1794" t="str">
        <f t="shared" ref="AG1794:AG1857" si="186">IF(AB1794="","",YEAR(AB1794))</f>
        <v/>
      </c>
      <c r="AH1794" t="str">
        <f t="shared" ref="AH1794:AH1857" si="187">IF(AB1794="","",MONTH(AB1794))</f>
        <v/>
      </c>
      <c r="AI1794">
        <f t="shared" ref="AI1794:AI1857" si="188">IF(AB1794="",0,AB1794+ROW()/1000000)</f>
        <v>0</v>
      </c>
      <c r="AJ1794">
        <f t="shared" ref="AJ1794:AJ1857" si="189">--(AA1794&lt;&gt;"")</f>
        <v>0</v>
      </c>
      <c r="AK1794">
        <v>0</v>
      </c>
      <c r="AL1794" t="str">
        <f>IF(AA1794="","",IFERROR(IF(ISNUMBER('Procyclean 210'!F296),'Procyclean 210'!F296,IF(ISNUMBER(SEARCH("12",'Procyclean 210'!F296)),EDATE(AB1794,12),IF(ISNUMBER(SEARCH("6",'Procyclean 210'!F296)),EDATE(AB1794,6),IF(ISNUMBER(SEARCH("3",'Procyclean 210'!F296)),EDATE(AB1794,3),DATEVALUE('Procyclean 210'!F296))))),""))</f>
        <v/>
      </c>
      <c r="AM1794" t="str">
        <f t="shared" ref="AM1794:AM1857" ca="1" si="190">IF(AND(AJ1794=1,AL1794&lt;&gt;"",AL1794&gt;=TODAY(),AG1794=$W$3),AL1794+ROW()/1000000,"")</f>
        <v/>
      </c>
    </row>
    <row r="1795" spans="27:39" x14ac:dyDescent="0.3">
      <c r="AA1795" t="str">
        <f>IF(COUNTA('Procyclean 210'!C297,'Procyclean 210'!D297,'Procyclean 210'!E297)&gt;0,"210","")</f>
        <v/>
      </c>
      <c r="AB1795" t="str">
        <f>IFERROR(IF(ISNUMBER('Procyclean 210'!C297),'Procyclean 210'!C297,DATEVALUE('Procyclean 210'!C297)),"")</f>
        <v/>
      </c>
      <c r="AC1795" t="str">
        <f>IF(AA1795="","",'Procyclean 210'!D297)</f>
        <v/>
      </c>
      <c r="AD1795" t="str">
        <f>IF(AA1795="","",IFERROR(1*'Procyclean 210'!E297,IFERROR(_xludf.NUMBERVALUE('Procyclean 210'!E297,".",","),IFERROR(_xludf.NUMBERVALUE('Procyclean 210'!E297,",","."),0))))</f>
        <v/>
      </c>
      <c r="AE1795" t="str">
        <f>IF(AA1795="","",'Procyclean 210'!B297)</f>
        <v/>
      </c>
      <c r="AF1795">
        <f t="shared" si="185"/>
        <v>0</v>
      </c>
      <c r="AG1795" t="str">
        <f t="shared" si="186"/>
        <v/>
      </c>
      <c r="AH1795" t="str">
        <f t="shared" si="187"/>
        <v/>
      </c>
      <c r="AI1795">
        <f t="shared" si="188"/>
        <v>0</v>
      </c>
      <c r="AJ1795">
        <f t="shared" si="189"/>
        <v>0</v>
      </c>
      <c r="AK1795">
        <v>0</v>
      </c>
      <c r="AL1795" t="str">
        <f>IF(AA1795="","",IFERROR(IF(ISNUMBER('Procyclean 210'!F297),'Procyclean 210'!F297,IF(ISNUMBER(SEARCH("12",'Procyclean 210'!F297)),EDATE(AB1795,12),IF(ISNUMBER(SEARCH("6",'Procyclean 210'!F297)),EDATE(AB1795,6),IF(ISNUMBER(SEARCH("3",'Procyclean 210'!F297)),EDATE(AB1795,3),DATEVALUE('Procyclean 210'!F297))))),""))</f>
        <v/>
      </c>
      <c r="AM1795" t="str">
        <f t="shared" ca="1" si="190"/>
        <v/>
      </c>
    </row>
    <row r="1796" spans="27:39" x14ac:dyDescent="0.3">
      <c r="AA1796" t="str">
        <f>IF(COUNTA('Procyclean 210'!C298,'Procyclean 210'!D298,'Procyclean 210'!E298)&gt;0,"210","")</f>
        <v/>
      </c>
      <c r="AB1796" t="str">
        <f>IFERROR(IF(ISNUMBER('Procyclean 210'!C298),'Procyclean 210'!C298,DATEVALUE('Procyclean 210'!C298)),"")</f>
        <v/>
      </c>
      <c r="AC1796" t="str">
        <f>IF(AA1796="","",'Procyclean 210'!D298)</f>
        <v/>
      </c>
      <c r="AD1796" t="str">
        <f>IF(AA1796="","",IFERROR(1*'Procyclean 210'!E298,IFERROR(_xludf.NUMBERVALUE('Procyclean 210'!E298,".",","),IFERROR(_xludf.NUMBERVALUE('Procyclean 210'!E298,",","."),0))))</f>
        <v/>
      </c>
      <c r="AE1796" t="str">
        <f>IF(AA1796="","",'Procyclean 210'!B298)</f>
        <v/>
      </c>
      <c r="AF1796">
        <f t="shared" si="185"/>
        <v>0</v>
      </c>
      <c r="AG1796" t="str">
        <f t="shared" si="186"/>
        <v/>
      </c>
      <c r="AH1796" t="str">
        <f t="shared" si="187"/>
        <v/>
      </c>
      <c r="AI1796">
        <f t="shared" si="188"/>
        <v>0</v>
      </c>
      <c r="AJ1796">
        <f t="shared" si="189"/>
        <v>0</v>
      </c>
      <c r="AK1796">
        <v>0</v>
      </c>
      <c r="AL1796" t="str">
        <f>IF(AA1796="","",IFERROR(IF(ISNUMBER('Procyclean 210'!F298),'Procyclean 210'!F298,IF(ISNUMBER(SEARCH("12",'Procyclean 210'!F298)),EDATE(AB1796,12),IF(ISNUMBER(SEARCH("6",'Procyclean 210'!F298)),EDATE(AB1796,6),IF(ISNUMBER(SEARCH("3",'Procyclean 210'!F298)),EDATE(AB1796,3),DATEVALUE('Procyclean 210'!F298))))),""))</f>
        <v/>
      </c>
      <c r="AM1796" t="str">
        <f t="shared" ca="1" si="190"/>
        <v/>
      </c>
    </row>
    <row r="1797" spans="27:39" x14ac:dyDescent="0.3">
      <c r="AA1797" t="str">
        <f>IF(COUNTA('Procyclean 210'!C299,'Procyclean 210'!D299,'Procyclean 210'!E299)&gt;0,"210","")</f>
        <v/>
      </c>
      <c r="AB1797" t="str">
        <f>IFERROR(IF(ISNUMBER('Procyclean 210'!C299),'Procyclean 210'!C299,DATEVALUE('Procyclean 210'!C299)),"")</f>
        <v/>
      </c>
      <c r="AC1797" t="str">
        <f>IF(AA1797="","",'Procyclean 210'!D299)</f>
        <v/>
      </c>
      <c r="AD1797" t="str">
        <f>IF(AA1797="","",IFERROR(1*'Procyclean 210'!E299,IFERROR(_xludf.NUMBERVALUE('Procyclean 210'!E299,".",","),IFERROR(_xludf.NUMBERVALUE('Procyclean 210'!E299,",","."),0))))</f>
        <v/>
      </c>
      <c r="AE1797" t="str">
        <f>IF(AA1797="","",'Procyclean 210'!B299)</f>
        <v/>
      </c>
      <c r="AF1797">
        <f t="shared" si="185"/>
        <v>0</v>
      </c>
      <c r="AG1797" t="str">
        <f t="shared" si="186"/>
        <v/>
      </c>
      <c r="AH1797" t="str">
        <f t="shared" si="187"/>
        <v/>
      </c>
      <c r="AI1797">
        <f t="shared" si="188"/>
        <v>0</v>
      </c>
      <c r="AJ1797">
        <f t="shared" si="189"/>
        <v>0</v>
      </c>
      <c r="AK1797">
        <v>0</v>
      </c>
      <c r="AL1797" t="str">
        <f>IF(AA1797="","",IFERROR(IF(ISNUMBER('Procyclean 210'!F299),'Procyclean 210'!F299,IF(ISNUMBER(SEARCH("12",'Procyclean 210'!F299)),EDATE(AB1797,12),IF(ISNUMBER(SEARCH("6",'Procyclean 210'!F299)),EDATE(AB1797,6),IF(ISNUMBER(SEARCH("3",'Procyclean 210'!F299)),EDATE(AB1797,3),DATEVALUE('Procyclean 210'!F299))))),""))</f>
        <v/>
      </c>
      <c r="AM1797" t="str">
        <f t="shared" ca="1" si="190"/>
        <v/>
      </c>
    </row>
    <row r="1798" spans="27:39" x14ac:dyDescent="0.3">
      <c r="AA1798" t="str">
        <f>IF(COUNTA('Procyclean 210'!C300,'Procyclean 210'!D300,'Procyclean 210'!E300)&gt;0,"210","")</f>
        <v/>
      </c>
      <c r="AB1798" t="str">
        <f>IFERROR(IF(ISNUMBER('Procyclean 210'!C300),'Procyclean 210'!C300,DATEVALUE('Procyclean 210'!C300)),"")</f>
        <v/>
      </c>
      <c r="AC1798" t="str">
        <f>IF(AA1798="","",'Procyclean 210'!D300)</f>
        <v/>
      </c>
      <c r="AD1798" t="str">
        <f>IF(AA1798="","",IFERROR(1*'Procyclean 210'!E300,IFERROR(_xludf.NUMBERVALUE('Procyclean 210'!E300,".",","),IFERROR(_xludf.NUMBERVALUE('Procyclean 210'!E300,",","."),0))))</f>
        <v/>
      </c>
      <c r="AE1798" t="str">
        <f>IF(AA1798="","",'Procyclean 210'!B300)</f>
        <v/>
      </c>
      <c r="AF1798">
        <f t="shared" si="185"/>
        <v>0</v>
      </c>
      <c r="AG1798" t="str">
        <f t="shared" si="186"/>
        <v/>
      </c>
      <c r="AH1798" t="str">
        <f t="shared" si="187"/>
        <v/>
      </c>
      <c r="AI1798">
        <f t="shared" si="188"/>
        <v>0</v>
      </c>
      <c r="AJ1798">
        <f t="shared" si="189"/>
        <v>0</v>
      </c>
      <c r="AK1798">
        <v>0</v>
      </c>
      <c r="AL1798" t="str">
        <f>IF(AA1798="","",IFERROR(IF(ISNUMBER('Procyclean 210'!F300),'Procyclean 210'!F300,IF(ISNUMBER(SEARCH("12",'Procyclean 210'!F300)),EDATE(AB1798,12),IF(ISNUMBER(SEARCH("6",'Procyclean 210'!F300)),EDATE(AB1798,6),IF(ISNUMBER(SEARCH("3",'Procyclean 210'!F300)),EDATE(AB1798,3),DATEVALUE('Procyclean 210'!F300))))),""))</f>
        <v/>
      </c>
      <c r="AM1798" t="str">
        <f t="shared" ca="1" si="190"/>
        <v/>
      </c>
    </row>
    <row r="1799" spans="27:39" x14ac:dyDescent="0.3">
      <c r="AA1799" t="str">
        <f>IF(COUNTA('Procyclean 210'!C301,'Procyclean 210'!D301,'Procyclean 210'!E301)&gt;0,"210","")</f>
        <v/>
      </c>
      <c r="AB1799" t="str">
        <f>IFERROR(IF(ISNUMBER('Procyclean 210'!C301),'Procyclean 210'!C301,DATEVALUE('Procyclean 210'!C301)),"")</f>
        <v/>
      </c>
      <c r="AC1799" t="str">
        <f>IF(AA1799="","",'Procyclean 210'!D301)</f>
        <v/>
      </c>
      <c r="AD1799" t="str">
        <f>IF(AA1799="","",IFERROR(1*'Procyclean 210'!E301,IFERROR(_xludf.NUMBERVALUE('Procyclean 210'!E301,".",","),IFERROR(_xludf.NUMBERVALUE('Procyclean 210'!E301,",","."),0))))</f>
        <v/>
      </c>
      <c r="AE1799" t="str">
        <f>IF(AA1799="","",'Procyclean 210'!B301)</f>
        <v/>
      </c>
      <c r="AF1799">
        <f t="shared" si="185"/>
        <v>0</v>
      </c>
      <c r="AG1799" t="str">
        <f t="shared" si="186"/>
        <v/>
      </c>
      <c r="AH1799" t="str">
        <f t="shared" si="187"/>
        <v/>
      </c>
      <c r="AI1799">
        <f t="shared" si="188"/>
        <v>0</v>
      </c>
      <c r="AJ1799">
        <f t="shared" si="189"/>
        <v>0</v>
      </c>
      <c r="AK1799">
        <v>0</v>
      </c>
      <c r="AL1799" t="str">
        <f>IF(AA1799="","",IFERROR(IF(ISNUMBER('Procyclean 210'!F301),'Procyclean 210'!F301,IF(ISNUMBER(SEARCH("12",'Procyclean 210'!F301)),EDATE(AB1799,12),IF(ISNUMBER(SEARCH("6",'Procyclean 210'!F301)),EDATE(AB1799,6),IF(ISNUMBER(SEARCH("3",'Procyclean 210'!F301)),EDATE(AB1799,3),DATEVALUE('Procyclean 210'!F301))))),""))</f>
        <v/>
      </c>
      <c r="AM1799" t="str">
        <f t="shared" ca="1" si="190"/>
        <v/>
      </c>
    </row>
    <row r="1800" spans="27:39" x14ac:dyDescent="0.3">
      <c r="AA1800" t="str">
        <f>IF(COUNTA('Procyclean 210'!C302,'Procyclean 210'!D302,'Procyclean 210'!E302)&gt;0,"210","")</f>
        <v/>
      </c>
      <c r="AB1800" t="str">
        <f>IFERROR(IF(ISNUMBER('Procyclean 210'!C302),'Procyclean 210'!C302,DATEVALUE('Procyclean 210'!C302)),"")</f>
        <v/>
      </c>
      <c r="AC1800" t="str">
        <f>IF(AA1800="","",'Procyclean 210'!D302)</f>
        <v/>
      </c>
      <c r="AD1800" t="str">
        <f>IF(AA1800="","",IFERROR(1*'Procyclean 210'!E302,IFERROR(_xludf.NUMBERVALUE('Procyclean 210'!E302,".",","),IFERROR(_xludf.NUMBERVALUE('Procyclean 210'!E302,",","."),0))))</f>
        <v/>
      </c>
      <c r="AE1800" t="str">
        <f>IF(AA1800="","",'Procyclean 210'!B302)</f>
        <v/>
      </c>
      <c r="AF1800">
        <f t="shared" si="185"/>
        <v>0</v>
      </c>
      <c r="AG1800" t="str">
        <f t="shared" si="186"/>
        <v/>
      </c>
      <c r="AH1800" t="str">
        <f t="shared" si="187"/>
        <v/>
      </c>
      <c r="AI1800">
        <f t="shared" si="188"/>
        <v>0</v>
      </c>
      <c r="AJ1800">
        <f t="shared" si="189"/>
        <v>0</v>
      </c>
      <c r="AK1800">
        <v>0</v>
      </c>
      <c r="AL1800" t="str">
        <f>IF(AA1800="","",IFERROR(IF(ISNUMBER('Procyclean 210'!F302),'Procyclean 210'!F302,IF(ISNUMBER(SEARCH("12",'Procyclean 210'!F302)),EDATE(AB1800,12),IF(ISNUMBER(SEARCH("6",'Procyclean 210'!F302)),EDATE(AB1800,6),IF(ISNUMBER(SEARCH("3",'Procyclean 210'!F302)),EDATE(AB1800,3),DATEVALUE('Procyclean 210'!F302))))),""))</f>
        <v/>
      </c>
      <c r="AM1800" t="str">
        <f t="shared" ca="1" si="190"/>
        <v/>
      </c>
    </row>
    <row r="1801" spans="27:39" x14ac:dyDescent="0.3">
      <c r="AA1801" t="str">
        <f>IF(COUNTA('Procyclean 210'!C303,'Procyclean 210'!D303,'Procyclean 210'!E303)&gt;0,"210","")</f>
        <v/>
      </c>
      <c r="AB1801" t="str">
        <f>IFERROR(IF(ISNUMBER('Procyclean 210'!C303),'Procyclean 210'!C303,DATEVALUE('Procyclean 210'!C303)),"")</f>
        <v/>
      </c>
      <c r="AC1801" t="str">
        <f>IF(AA1801="","",'Procyclean 210'!D303)</f>
        <v/>
      </c>
      <c r="AD1801" t="str">
        <f>IF(AA1801="","",IFERROR(1*'Procyclean 210'!E303,IFERROR(_xludf.NUMBERVALUE('Procyclean 210'!E303,".",","),IFERROR(_xludf.NUMBERVALUE('Procyclean 210'!E303,",","."),0))))</f>
        <v/>
      </c>
      <c r="AE1801" t="str">
        <f>IF(AA1801="","",'Procyclean 210'!B303)</f>
        <v/>
      </c>
      <c r="AF1801">
        <f t="shared" si="185"/>
        <v>0</v>
      </c>
      <c r="AG1801" t="str">
        <f t="shared" si="186"/>
        <v/>
      </c>
      <c r="AH1801" t="str">
        <f t="shared" si="187"/>
        <v/>
      </c>
      <c r="AI1801">
        <f t="shared" si="188"/>
        <v>0</v>
      </c>
      <c r="AJ1801">
        <f t="shared" si="189"/>
        <v>0</v>
      </c>
      <c r="AK1801">
        <v>0</v>
      </c>
      <c r="AL1801" t="str">
        <f>IF(AA1801="","",IFERROR(IF(ISNUMBER('Procyclean 210'!F303),'Procyclean 210'!F303,IF(ISNUMBER(SEARCH("12",'Procyclean 210'!F303)),EDATE(AB1801,12),IF(ISNUMBER(SEARCH("6",'Procyclean 210'!F303)),EDATE(AB1801,6),IF(ISNUMBER(SEARCH("3",'Procyclean 210'!F303)),EDATE(AB1801,3),DATEVALUE('Procyclean 210'!F303))))),""))</f>
        <v/>
      </c>
      <c r="AM1801" t="str">
        <f t="shared" ca="1" si="190"/>
        <v/>
      </c>
    </row>
    <row r="1802" spans="27:39" x14ac:dyDescent="0.3">
      <c r="AA1802" t="str">
        <f>IF(COUNTA('Procyclean 210'!C304,'Procyclean 210'!D304,'Procyclean 210'!E304)&gt;0,"210","")</f>
        <v/>
      </c>
      <c r="AB1802" t="str">
        <f>IFERROR(IF(ISNUMBER('Procyclean 210'!C304),'Procyclean 210'!C304,DATEVALUE('Procyclean 210'!C304)),"")</f>
        <v/>
      </c>
      <c r="AC1802" t="str">
        <f>IF(AA1802="","",'Procyclean 210'!D304)</f>
        <v/>
      </c>
      <c r="AD1802" t="str">
        <f>IF(AA1802="","",IFERROR(1*'Procyclean 210'!E304,IFERROR(_xludf.NUMBERVALUE('Procyclean 210'!E304,".",","),IFERROR(_xludf.NUMBERVALUE('Procyclean 210'!E304,",","."),0))))</f>
        <v/>
      </c>
      <c r="AE1802" t="str">
        <f>IF(AA1802="","",'Procyclean 210'!B304)</f>
        <v/>
      </c>
      <c r="AF1802">
        <f t="shared" si="185"/>
        <v>0</v>
      </c>
      <c r="AG1802" t="str">
        <f t="shared" si="186"/>
        <v/>
      </c>
      <c r="AH1802" t="str">
        <f t="shared" si="187"/>
        <v/>
      </c>
      <c r="AI1802">
        <f t="shared" si="188"/>
        <v>0</v>
      </c>
      <c r="AJ1802">
        <f t="shared" si="189"/>
        <v>0</v>
      </c>
      <c r="AK1802">
        <v>0</v>
      </c>
      <c r="AL1802" t="str">
        <f>IF(AA1802="","",IFERROR(IF(ISNUMBER('Procyclean 210'!F304),'Procyclean 210'!F304,IF(ISNUMBER(SEARCH("12",'Procyclean 210'!F304)),EDATE(AB1802,12),IF(ISNUMBER(SEARCH("6",'Procyclean 210'!F304)),EDATE(AB1802,6),IF(ISNUMBER(SEARCH("3",'Procyclean 210'!F304)),EDATE(AB1802,3),DATEVALUE('Procyclean 210'!F304))))),""))</f>
        <v/>
      </c>
      <c r="AM1802" t="str">
        <f t="shared" ca="1" si="190"/>
        <v/>
      </c>
    </row>
    <row r="1803" spans="27:39" x14ac:dyDescent="0.3">
      <c r="AA1803" t="str">
        <f>IF(COUNTA('Procyclean 210'!C305,'Procyclean 210'!D305,'Procyclean 210'!E305)&gt;0,"210","")</f>
        <v/>
      </c>
      <c r="AB1803" t="str">
        <f>IFERROR(IF(ISNUMBER('Procyclean 210'!C305),'Procyclean 210'!C305,DATEVALUE('Procyclean 210'!C305)),"")</f>
        <v/>
      </c>
      <c r="AC1803" t="str">
        <f>IF(AA1803="","",'Procyclean 210'!D305)</f>
        <v/>
      </c>
      <c r="AD1803" t="str">
        <f>IF(AA1803="","",IFERROR(1*'Procyclean 210'!E305,IFERROR(_xludf.NUMBERVALUE('Procyclean 210'!E305,".",","),IFERROR(_xludf.NUMBERVALUE('Procyclean 210'!E305,",","."),0))))</f>
        <v/>
      </c>
      <c r="AE1803" t="str">
        <f>IF(AA1803="","",'Procyclean 210'!B305)</f>
        <v/>
      </c>
      <c r="AF1803">
        <f t="shared" si="185"/>
        <v>0</v>
      </c>
      <c r="AG1803" t="str">
        <f t="shared" si="186"/>
        <v/>
      </c>
      <c r="AH1803" t="str">
        <f t="shared" si="187"/>
        <v/>
      </c>
      <c r="AI1803">
        <f t="shared" si="188"/>
        <v>0</v>
      </c>
      <c r="AJ1803">
        <f t="shared" si="189"/>
        <v>0</v>
      </c>
      <c r="AK1803">
        <v>0</v>
      </c>
      <c r="AL1803" t="str">
        <f>IF(AA1803="","",IFERROR(IF(ISNUMBER('Procyclean 210'!F305),'Procyclean 210'!F305,IF(ISNUMBER(SEARCH("12",'Procyclean 210'!F305)),EDATE(AB1803,12),IF(ISNUMBER(SEARCH("6",'Procyclean 210'!F305)),EDATE(AB1803,6),IF(ISNUMBER(SEARCH("3",'Procyclean 210'!F305)),EDATE(AB1803,3),DATEVALUE('Procyclean 210'!F305))))),""))</f>
        <v/>
      </c>
      <c r="AM1803" t="str">
        <f t="shared" ca="1" si="190"/>
        <v/>
      </c>
    </row>
    <row r="1804" spans="27:39" x14ac:dyDescent="0.3">
      <c r="AA1804" t="str">
        <f>IF(COUNTA('Procyclean 210'!C306,'Procyclean 210'!D306,'Procyclean 210'!E306)&gt;0,"210","")</f>
        <v/>
      </c>
      <c r="AB1804" t="str">
        <f>IFERROR(IF(ISNUMBER('Procyclean 210'!C306),'Procyclean 210'!C306,DATEVALUE('Procyclean 210'!C306)),"")</f>
        <v/>
      </c>
      <c r="AC1804" t="str">
        <f>IF(AA1804="","",'Procyclean 210'!D306)</f>
        <v/>
      </c>
      <c r="AD1804" t="str">
        <f>IF(AA1804="","",IFERROR(1*'Procyclean 210'!E306,IFERROR(_xludf.NUMBERVALUE('Procyclean 210'!E306,".",","),IFERROR(_xludf.NUMBERVALUE('Procyclean 210'!E306,",","."),0))))</f>
        <v/>
      </c>
      <c r="AE1804" t="str">
        <f>IF(AA1804="","",'Procyclean 210'!B306)</f>
        <v/>
      </c>
      <c r="AF1804">
        <f t="shared" si="185"/>
        <v>0</v>
      </c>
      <c r="AG1804" t="str">
        <f t="shared" si="186"/>
        <v/>
      </c>
      <c r="AH1804" t="str">
        <f t="shared" si="187"/>
        <v/>
      </c>
      <c r="AI1804">
        <f t="shared" si="188"/>
        <v>0</v>
      </c>
      <c r="AJ1804">
        <f t="shared" si="189"/>
        <v>0</v>
      </c>
      <c r="AK1804">
        <v>0</v>
      </c>
      <c r="AL1804" t="str">
        <f>IF(AA1804="","",IFERROR(IF(ISNUMBER('Procyclean 210'!F306),'Procyclean 210'!F306,IF(ISNUMBER(SEARCH("12",'Procyclean 210'!F306)),EDATE(AB1804,12),IF(ISNUMBER(SEARCH("6",'Procyclean 210'!F306)),EDATE(AB1804,6),IF(ISNUMBER(SEARCH("3",'Procyclean 210'!F306)),EDATE(AB1804,3),DATEVALUE('Procyclean 210'!F306))))),""))</f>
        <v/>
      </c>
      <c r="AM1804" t="str">
        <f t="shared" ca="1" si="190"/>
        <v/>
      </c>
    </row>
    <row r="1805" spans="27:39" x14ac:dyDescent="0.3">
      <c r="AA1805" t="str">
        <f>IF(COUNTA('Procyclean 210'!C307,'Procyclean 210'!D307,'Procyclean 210'!E307)&gt;0,"210","")</f>
        <v/>
      </c>
      <c r="AB1805" t="str">
        <f>IFERROR(IF(ISNUMBER('Procyclean 210'!C307),'Procyclean 210'!C307,DATEVALUE('Procyclean 210'!C307)),"")</f>
        <v/>
      </c>
      <c r="AC1805" t="str">
        <f>IF(AA1805="","",'Procyclean 210'!D307)</f>
        <v/>
      </c>
      <c r="AD1805" t="str">
        <f>IF(AA1805="","",IFERROR(1*'Procyclean 210'!E307,IFERROR(_xludf.NUMBERVALUE('Procyclean 210'!E307,".",","),IFERROR(_xludf.NUMBERVALUE('Procyclean 210'!E307,",","."),0))))</f>
        <v/>
      </c>
      <c r="AE1805" t="str">
        <f>IF(AA1805="","",'Procyclean 210'!B307)</f>
        <v/>
      </c>
      <c r="AF1805">
        <f t="shared" si="185"/>
        <v>0</v>
      </c>
      <c r="AG1805" t="str">
        <f t="shared" si="186"/>
        <v/>
      </c>
      <c r="AH1805" t="str">
        <f t="shared" si="187"/>
        <v/>
      </c>
      <c r="AI1805">
        <f t="shared" si="188"/>
        <v>0</v>
      </c>
      <c r="AJ1805">
        <f t="shared" si="189"/>
        <v>0</v>
      </c>
      <c r="AK1805">
        <v>0</v>
      </c>
      <c r="AL1805" t="str">
        <f>IF(AA1805="","",IFERROR(IF(ISNUMBER('Procyclean 210'!F307),'Procyclean 210'!F307,IF(ISNUMBER(SEARCH("12",'Procyclean 210'!F307)),EDATE(AB1805,12),IF(ISNUMBER(SEARCH("6",'Procyclean 210'!F307)),EDATE(AB1805,6),IF(ISNUMBER(SEARCH("3",'Procyclean 210'!F307)),EDATE(AB1805,3),DATEVALUE('Procyclean 210'!F307))))),""))</f>
        <v/>
      </c>
      <c r="AM1805" t="str">
        <f t="shared" ca="1" si="190"/>
        <v/>
      </c>
    </row>
    <row r="1806" spans="27:39" x14ac:dyDescent="0.3">
      <c r="AA1806" t="str">
        <f>IF(COUNTA('Procyclean 210'!C308,'Procyclean 210'!D308,'Procyclean 210'!E308)&gt;0,"210","")</f>
        <v/>
      </c>
      <c r="AB1806" t="str">
        <f>IFERROR(IF(ISNUMBER('Procyclean 210'!C308),'Procyclean 210'!C308,DATEVALUE('Procyclean 210'!C308)),"")</f>
        <v/>
      </c>
      <c r="AC1806" t="str">
        <f>IF(AA1806="","",'Procyclean 210'!D308)</f>
        <v/>
      </c>
      <c r="AD1806" t="str">
        <f>IF(AA1806="","",IFERROR(1*'Procyclean 210'!E308,IFERROR(_xludf.NUMBERVALUE('Procyclean 210'!E308,".",","),IFERROR(_xludf.NUMBERVALUE('Procyclean 210'!E308,",","."),0))))</f>
        <v/>
      </c>
      <c r="AE1806" t="str">
        <f>IF(AA1806="","",'Procyclean 210'!B308)</f>
        <v/>
      </c>
      <c r="AF1806">
        <f t="shared" si="185"/>
        <v>0</v>
      </c>
      <c r="AG1806" t="str">
        <f t="shared" si="186"/>
        <v/>
      </c>
      <c r="AH1806" t="str">
        <f t="shared" si="187"/>
        <v/>
      </c>
      <c r="AI1806">
        <f t="shared" si="188"/>
        <v>0</v>
      </c>
      <c r="AJ1806">
        <f t="shared" si="189"/>
        <v>0</v>
      </c>
      <c r="AK1806">
        <v>0</v>
      </c>
      <c r="AL1806" t="str">
        <f>IF(AA1806="","",IFERROR(IF(ISNUMBER('Procyclean 210'!F308),'Procyclean 210'!F308,IF(ISNUMBER(SEARCH("12",'Procyclean 210'!F308)),EDATE(AB1806,12),IF(ISNUMBER(SEARCH("6",'Procyclean 210'!F308)),EDATE(AB1806,6),IF(ISNUMBER(SEARCH("3",'Procyclean 210'!F308)),EDATE(AB1806,3),DATEVALUE('Procyclean 210'!F308))))),""))</f>
        <v/>
      </c>
      <c r="AM1806" t="str">
        <f t="shared" ca="1" si="190"/>
        <v/>
      </c>
    </row>
    <row r="1807" spans="27:39" x14ac:dyDescent="0.3">
      <c r="AA1807" t="str">
        <f>IF(COUNTA('Procyclean 210'!C309,'Procyclean 210'!D309,'Procyclean 210'!E309)&gt;0,"210","")</f>
        <v/>
      </c>
      <c r="AB1807" t="str">
        <f>IFERROR(IF(ISNUMBER('Procyclean 210'!C309),'Procyclean 210'!C309,DATEVALUE('Procyclean 210'!C309)),"")</f>
        <v/>
      </c>
      <c r="AC1807" t="str">
        <f>IF(AA1807="","",'Procyclean 210'!D309)</f>
        <v/>
      </c>
      <c r="AD1807" t="str">
        <f>IF(AA1807="","",IFERROR(1*'Procyclean 210'!E309,IFERROR(_xludf.NUMBERVALUE('Procyclean 210'!E309,".",","),IFERROR(_xludf.NUMBERVALUE('Procyclean 210'!E309,",","."),0))))</f>
        <v/>
      </c>
      <c r="AE1807" t="str">
        <f>IF(AA1807="","",'Procyclean 210'!B309)</f>
        <v/>
      </c>
      <c r="AF1807">
        <f t="shared" si="185"/>
        <v>0</v>
      </c>
      <c r="AG1807" t="str">
        <f t="shared" si="186"/>
        <v/>
      </c>
      <c r="AH1807" t="str">
        <f t="shared" si="187"/>
        <v/>
      </c>
      <c r="AI1807">
        <f t="shared" si="188"/>
        <v>0</v>
      </c>
      <c r="AJ1807">
        <f t="shared" si="189"/>
        <v>0</v>
      </c>
      <c r="AK1807">
        <v>0</v>
      </c>
      <c r="AL1807" t="str">
        <f>IF(AA1807="","",IFERROR(IF(ISNUMBER('Procyclean 210'!F309),'Procyclean 210'!F309,IF(ISNUMBER(SEARCH("12",'Procyclean 210'!F309)),EDATE(AB1807,12),IF(ISNUMBER(SEARCH("6",'Procyclean 210'!F309)),EDATE(AB1807,6),IF(ISNUMBER(SEARCH("3",'Procyclean 210'!F309)),EDATE(AB1807,3),DATEVALUE('Procyclean 210'!F309))))),""))</f>
        <v/>
      </c>
      <c r="AM1807" t="str">
        <f t="shared" ca="1" si="190"/>
        <v/>
      </c>
    </row>
    <row r="1808" spans="27:39" x14ac:dyDescent="0.3">
      <c r="AA1808" t="str">
        <f>IF(COUNTA('Procyclean 210'!C310,'Procyclean 210'!D310,'Procyclean 210'!E310)&gt;0,"210","")</f>
        <v/>
      </c>
      <c r="AB1808" t="str">
        <f>IFERROR(IF(ISNUMBER('Procyclean 210'!C310),'Procyclean 210'!C310,DATEVALUE('Procyclean 210'!C310)),"")</f>
        <v/>
      </c>
      <c r="AC1808" t="str">
        <f>IF(AA1808="","",'Procyclean 210'!D310)</f>
        <v/>
      </c>
      <c r="AD1808" t="str">
        <f>IF(AA1808="","",IFERROR(1*'Procyclean 210'!E310,IFERROR(_xludf.NUMBERVALUE('Procyclean 210'!E310,".",","),IFERROR(_xludf.NUMBERVALUE('Procyclean 210'!E310,",","."),0))))</f>
        <v/>
      </c>
      <c r="AE1808" t="str">
        <f>IF(AA1808="","",'Procyclean 210'!B310)</f>
        <v/>
      </c>
      <c r="AF1808">
        <f t="shared" si="185"/>
        <v>0</v>
      </c>
      <c r="AG1808" t="str">
        <f t="shared" si="186"/>
        <v/>
      </c>
      <c r="AH1808" t="str">
        <f t="shared" si="187"/>
        <v/>
      </c>
      <c r="AI1808">
        <f t="shared" si="188"/>
        <v>0</v>
      </c>
      <c r="AJ1808">
        <f t="shared" si="189"/>
        <v>0</v>
      </c>
      <c r="AK1808">
        <v>0</v>
      </c>
      <c r="AL1808" t="str">
        <f>IF(AA1808="","",IFERROR(IF(ISNUMBER('Procyclean 210'!F310),'Procyclean 210'!F310,IF(ISNUMBER(SEARCH("12",'Procyclean 210'!F310)),EDATE(AB1808,12),IF(ISNUMBER(SEARCH("6",'Procyclean 210'!F310)),EDATE(AB1808,6),IF(ISNUMBER(SEARCH("3",'Procyclean 210'!F310)),EDATE(AB1808,3),DATEVALUE('Procyclean 210'!F310))))),""))</f>
        <v/>
      </c>
      <c r="AM1808" t="str">
        <f t="shared" ca="1" si="190"/>
        <v/>
      </c>
    </row>
    <row r="1809" spans="27:39" x14ac:dyDescent="0.3">
      <c r="AA1809" t="str">
        <f>IF(COUNTA('Procyclean 210'!C311,'Procyclean 210'!D311,'Procyclean 210'!E311)&gt;0,"210","")</f>
        <v/>
      </c>
      <c r="AB1809" t="str">
        <f>IFERROR(IF(ISNUMBER('Procyclean 210'!C311),'Procyclean 210'!C311,DATEVALUE('Procyclean 210'!C311)),"")</f>
        <v/>
      </c>
      <c r="AC1809" t="str">
        <f>IF(AA1809="","",'Procyclean 210'!D311)</f>
        <v/>
      </c>
      <c r="AD1809" t="str">
        <f>IF(AA1809="","",IFERROR(1*'Procyclean 210'!E311,IFERROR(_xludf.NUMBERVALUE('Procyclean 210'!E311,".",","),IFERROR(_xludf.NUMBERVALUE('Procyclean 210'!E311,",","."),0))))</f>
        <v/>
      </c>
      <c r="AE1809" t="str">
        <f>IF(AA1809="","",'Procyclean 210'!B311)</f>
        <v/>
      </c>
      <c r="AF1809">
        <f t="shared" si="185"/>
        <v>0</v>
      </c>
      <c r="AG1809" t="str">
        <f t="shared" si="186"/>
        <v/>
      </c>
      <c r="AH1809" t="str">
        <f t="shared" si="187"/>
        <v/>
      </c>
      <c r="AI1809">
        <f t="shared" si="188"/>
        <v>0</v>
      </c>
      <c r="AJ1809">
        <f t="shared" si="189"/>
        <v>0</v>
      </c>
      <c r="AK1809">
        <v>0</v>
      </c>
      <c r="AL1809" t="str">
        <f>IF(AA1809="","",IFERROR(IF(ISNUMBER('Procyclean 210'!F311),'Procyclean 210'!F311,IF(ISNUMBER(SEARCH("12",'Procyclean 210'!F311)),EDATE(AB1809,12),IF(ISNUMBER(SEARCH("6",'Procyclean 210'!F311)),EDATE(AB1809,6),IF(ISNUMBER(SEARCH("3",'Procyclean 210'!F311)),EDATE(AB1809,3),DATEVALUE('Procyclean 210'!F311))))),""))</f>
        <v/>
      </c>
      <c r="AM1809" t="str">
        <f t="shared" ca="1" si="190"/>
        <v/>
      </c>
    </row>
    <row r="1810" spans="27:39" x14ac:dyDescent="0.3">
      <c r="AA1810" t="str">
        <f>IF(COUNTA('Procyclean 210'!C312,'Procyclean 210'!D312,'Procyclean 210'!E312)&gt;0,"210","")</f>
        <v/>
      </c>
      <c r="AB1810" t="str">
        <f>IFERROR(IF(ISNUMBER('Procyclean 210'!C312),'Procyclean 210'!C312,DATEVALUE('Procyclean 210'!C312)),"")</f>
        <v/>
      </c>
      <c r="AC1810" t="str">
        <f>IF(AA1810="","",'Procyclean 210'!D312)</f>
        <v/>
      </c>
      <c r="AD1810" t="str">
        <f>IF(AA1810="","",IFERROR(1*'Procyclean 210'!E312,IFERROR(_xludf.NUMBERVALUE('Procyclean 210'!E312,".",","),IFERROR(_xludf.NUMBERVALUE('Procyclean 210'!E312,",","."),0))))</f>
        <v/>
      </c>
      <c r="AE1810" t="str">
        <f>IF(AA1810="","",'Procyclean 210'!B312)</f>
        <v/>
      </c>
      <c r="AF1810">
        <f t="shared" si="185"/>
        <v>0</v>
      </c>
      <c r="AG1810" t="str">
        <f t="shared" si="186"/>
        <v/>
      </c>
      <c r="AH1810" t="str">
        <f t="shared" si="187"/>
        <v/>
      </c>
      <c r="AI1810">
        <f t="shared" si="188"/>
        <v>0</v>
      </c>
      <c r="AJ1810">
        <f t="shared" si="189"/>
        <v>0</v>
      </c>
      <c r="AK1810">
        <v>0</v>
      </c>
      <c r="AL1810" t="str">
        <f>IF(AA1810="","",IFERROR(IF(ISNUMBER('Procyclean 210'!F312),'Procyclean 210'!F312,IF(ISNUMBER(SEARCH("12",'Procyclean 210'!F312)),EDATE(AB1810,12),IF(ISNUMBER(SEARCH("6",'Procyclean 210'!F312)),EDATE(AB1810,6),IF(ISNUMBER(SEARCH("3",'Procyclean 210'!F312)),EDATE(AB1810,3),DATEVALUE('Procyclean 210'!F312))))),""))</f>
        <v/>
      </c>
      <c r="AM1810" t="str">
        <f t="shared" ca="1" si="190"/>
        <v/>
      </c>
    </row>
    <row r="1811" spans="27:39" x14ac:dyDescent="0.3">
      <c r="AA1811" t="str">
        <f>IF(COUNTA('Procyclean 210'!C313,'Procyclean 210'!D313,'Procyclean 210'!E313)&gt;0,"210","")</f>
        <v/>
      </c>
      <c r="AB1811" t="str">
        <f>IFERROR(IF(ISNUMBER('Procyclean 210'!C313),'Procyclean 210'!C313,DATEVALUE('Procyclean 210'!C313)),"")</f>
        <v/>
      </c>
      <c r="AC1811" t="str">
        <f>IF(AA1811="","",'Procyclean 210'!D313)</f>
        <v/>
      </c>
      <c r="AD1811" t="str">
        <f>IF(AA1811="","",IFERROR(1*'Procyclean 210'!E313,IFERROR(_xludf.NUMBERVALUE('Procyclean 210'!E313,".",","),IFERROR(_xludf.NUMBERVALUE('Procyclean 210'!E313,",","."),0))))</f>
        <v/>
      </c>
      <c r="AE1811" t="str">
        <f>IF(AA1811="","",'Procyclean 210'!B313)</f>
        <v/>
      </c>
      <c r="AF1811">
        <f t="shared" si="185"/>
        <v>0</v>
      </c>
      <c r="AG1811" t="str">
        <f t="shared" si="186"/>
        <v/>
      </c>
      <c r="AH1811" t="str">
        <f t="shared" si="187"/>
        <v/>
      </c>
      <c r="AI1811">
        <f t="shared" si="188"/>
        <v>0</v>
      </c>
      <c r="AJ1811">
        <f t="shared" si="189"/>
        <v>0</v>
      </c>
      <c r="AK1811">
        <v>0</v>
      </c>
      <c r="AL1811" t="str">
        <f>IF(AA1811="","",IFERROR(IF(ISNUMBER('Procyclean 210'!F313),'Procyclean 210'!F313,IF(ISNUMBER(SEARCH("12",'Procyclean 210'!F313)),EDATE(AB1811,12),IF(ISNUMBER(SEARCH("6",'Procyclean 210'!F313)),EDATE(AB1811,6),IF(ISNUMBER(SEARCH("3",'Procyclean 210'!F313)),EDATE(AB1811,3),DATEVALUE('Procyclean 210'!F313))))),""))</f>
        <v/>
      </c>
      <c r="AM1811" t="str">
        <f t="shared" ca="1" si="190"/>
        <v/>
      </c>
    </row>
    <row r="1812" spans="27:39" x14ac:dyDescent="0.3">
      <c r="AA1812" t="str">
        <f>IF(COUNTA('Procyclean 210'!C314,'Procyclean 210'!D314,'Procyclean 210'!E314)&gt;0,"210","")</f>
        <v/>
      </c>
      <c r="AB1812" t="str">
        <f>IFERROR(IF(ISNUMBER('Procyclean 210'!C314),'Procyclean 210'!C314,DATEVALUE('Procyclean 210'!C314)),"")</f>
        <v/>
      </c>
      <c r="AC1812" t="str">
        <f>IF(AA1812="","",'Procyclean 210'!D314)</f>
        <v/>
      </c>
      <c r="AD1812" t="str">
        <f>IF(AA1812="","",IFERROR(1*'Procyclean 210'!E314,IFERROR(_xludf.NUMBERVALUE('Procyclean 210'!E314,".",","),IFERROR(_xludf.NUMBERVALUE('Procyclean 210'!E314,",","."),0))))</f>
        <v/>
      </c>
      <c r="AE1812" t="str">
        <f>IF(AA1812="","",'Procyclean 210'!B314)</f>
        <v/>
      </c>
      <c r="AF1812">
        <f t="shared" si="185"/>
        <v>0</v>
      </c>
      <c r="AG1812" t="str">
        <f t="shared" si="186"/>
        <v/>
      </c>
      <c r="AH1812" t="str">
        <f t="shared" si="187"/>
        <v/>
      </c>
      <c r="AI1812">
        <f t="shared" si="188"/>
        <v>0</v>
      </c>
      <c r="AJ1812">
        <f t="shared" si="189"/>
        <v>0</v>
      </c>
      <c r="AK1812">
        <v>0</v>
      </c>
      <c r="AL1812" t="str">
        <f>IF(AA1812="","",IFERROR(IF(ISNUMBER('Procyclean 210'!F314),'Procyclean 210'!F314,IF(ISNUMBER(SEARCH("12",'Procyclean 210'!F314)),EDATE(AB1812,12),IF(ISNUMBER(SEARCH("6",'Procyclean 210'!F314)),EDATE(AB1812,6),IF(ISNUMBER(SEARCH("3",'Procyclean 210'!F314)),EDATE(AB1812,3),DATEVALUE('Procyclean 210'!F314))))),""))</f>
        <v/>
      </c>
      <c r="AM1812" t="str">
        <f t="shared" ca="1" si="190"/>
        <v/>
      </c>
    </row>
    <row r="1813" spans="27:39" x14ac:dyDescent="0.3">
      <c r="AA1813" t="str">
        <f>IF(COUNTA('Procyclean 210'!C315,'Procyclean 210'!D315,'Procyclean 210'!E315)&gt;0,"210","")</f>
        <v/>
      </c>
      <c r="AB1813" t="str">
        <f>IFERROR(IF(ISNUMBER('Procyclean 210'!C315),'Procyclean 210'!C315,DATEVALUE('Procyclean 210'!C315)),"")</f>
        <v/>
      </c>
      <c r="AC1813" t="str">
        <f>IF(AA1813="","",'Procyclean 210'!D315)</f>
        <v/>
      </c>
      <c r="AD1813" t="str">
        <f>IF(AA1813="","",IFERROR(1*'Procyclean 210'!E315,IFERROR(_xludf.NUMBERVALUE('Procyclean 210'!E315,".",","),IFERROR(_xludf.NUMBERVALUE('Procyclean 210'!E315,",","."),0))))</f>
        <v/>
      </c>
      <c r="AE1813" t="str">
        <f>IF(AA1813="","",'Procyclean 210'!B315)</f>
        <v/>
      </c>
      <c r="AF1813">
        <f t="shared" si="185"/>
        <v>0</v>
      </c>
      <c r="AG1813" t="str">
        <f t="shared" si="186"/>
        <v/>
      </c>
      <c r="AH1813" t="str">
        <f t="shared" si="187"/>
        <v/>
      </c>
      <c r="AI1813">
        <f t="shared" si="188"/>
        <v>0</v>
      </c>
      <c r="AJ1813">
        <f t="shared" si="189"/>
        <v>0</v>
      </c>
      <c r="AK1813">
        <v>0</v>
      </c>
      <c r="AL1813" t="str">
        <f>IF(AA1813="","",IFERROR(IF(ISNUMBER('Procyclean 210'!F315),'Procyclean 210'!F315,IF(ISNUMBER(SEARCH("12",'Procyclean 210'!F315)),EDATE(AB1813,12),IF(ISNUMBER(SEARCH("6",'Procyclean 210'!F315)),EDATE(AB1813,6),IF(ISNUMBER(SEARCH("3",'Procyclean 210'!F315)),EDATE(AB1813,3),DATEVALUE('Procyclean 210'!F315))))),""))</f>
        <v/>
      </c>
      <c r="AM1813" t="str">
        <f t="shared" ca="1" si="190"/>
        <v/>
      </c>
    </row>
    <row r="1814" spans="27:39" x14ac:dyDescent="0.3">
      <c r="AA1814" t="str">
        <f>IF(COUNTA('Procyclean 210'!C316,'Procyclean 210'!D316,'Procyclean 210'!E316)&gt;0,"210","")</f>
        <v/>
      </c>
      <c r="AB1814" t="str">
        <f>IFERROR(IF(ISNUMBER('Procyclean 210'!C316),'Procyclean 210'!C316,DATEVALUE('Procyclean 210'!C316)),"")</f>
        <v/>
      </c>
      <c r="AC1814" t="str">
        <f>IF(AA1814="","",'Procyclean 210'!D316)</f>
        <v/>
      </c>
      <c r="AD1814" t="str">
        <f>IF(AA1814="","",IFERROR(1*'Procyclean 210'!E316,IFERROR(_xludf.NUMBERVALUE('Procyclean 210'!E316,".",","),IFERROR(_xludf.NUMBERVALUE('Procyclean 210'!E316,",","."),0))))</f>
        <v/>
      </c>
      <c r="AE1814" t="str">
        <f>IF(AA1814="","",'Procyclean 210'!B316)</f>
        <v/>
      </c>
      <c r="AF1814">
        <f t="shared" si="185"/>
        <v>0</v>
      </c>
      <c r="AG1814" t="str">
        <f t="shared" si="186"/>
        <v/>
      </c>
      <c r="AH1814" t="str">
        <f t="shared" si="187"/>
        <v/>
      </c>
      <c r="AI1814">
        <f t="shared" si="188"/>
        <v>0</v>
      </c>
      <c r="AJ1814">
        <f t="shared" si="189"/>
        <v>0</v>
      </c>
      <c r="AK1814">
        <v>0</v>
      </c>
      <c r="AL1814" t="str">
        <f>IF(AA1814="","",IFERROR(IF(ISNUMBER('Procyclean 210'!F316),'Procyclean 210'!F316,IF(ISNUMBER(SEARCH("12",'Procyclean 210'!F316)),EDATE(AB1814,12),IF(ISNUMBER(SEARCH("6",'Procyclean 210'!F316)),EDATE(AB1814,6),IF(ISNUMBER(SEARCH("3",'Procyclean 210'!F316)),EDATE(AB1814,3),DATEVALUE('Procyclean 210'!F316))))),""))</f>
        <v/>
      </c>
      <c r="AM1814" t="str">
        <f t="shared" ca="1" si="190"/>
        <v/>
      </c>
    </row>
    <row r="1815" spans="27:39" x14ac:dyDescent="0.3">
      <c r="AA1815" t="str">
        <f>IF(COUNTA('Procyclean 210'!C317,'Procyclean 210'!D317,'Procyclean 210'!E317)&gt;0,"210","")</f>
        <v/>
      </c>
      <c r="AB1815" t="str">
        <f>IFERROR(IF(ISNUMBER('Procyclean 210'!C317),'Procyclean 210'!C317,DATEVALUE('Procyclean 210'!C317)),"")</f>
        <v/>
      </c>
      <c r="AC1815" t="str">
        <f>IF(AA1815="","",'Procyclean 210'!D317)</f>
        <v/>
      </c>
      <c r="AD1815" t="str">
        <f>IF(AA1815="","",IFERROR(1*'Procyclean 210'!E317,IFERROR(_xludf.NUMBERVALUE('Procyclean 210'!E317,".",","),IFERROR(_xludf.NUMBERVALUE('Procyclean 210'!E317,",","."),0))))</f>
        <v/>
      </c>
      <c r="AE1815" t="str">
        <f>IF(AA1815="","",'Procyclean 210'!B317)</f>
        <v/>
      </c>
      <c r="AF1815">
        <f t="shared" si="185"/>
        <v>0</v>
      </c>
      <c r="AG1815" t="str">
        <f t="shared" si="186"/>
        <v/>
      </c>
      <c r="AH1815" t="str">
        <f t="shared" si="187"/>
        <v/>
      </c>
      <c r="AI1815">
        <f t="shared" si="188"/>
        <v>0</v>
      </c>
      <c r="AJ1815">
        <f t="shared" si="189"/>
        <v>0</v>
      </c>
      <c r="AK1815">
        <v>0</v>
      </c>
      <c r="AL1815" t="str">
        <f>IF(AA1815="","",IFERROR(IF(ISNUMBER('Procyclean 210'!F317),'Procyclean 210'!F317,IF(ISNUMBER(SEARCH("12",'Procyclean 210'!F317)),EDATE(AB1815,12),IF(ISNUMBER(SEARCH("6",'Procyclean 210'!F317)),EDATE(AB1815,6),IF(ISNUMBER(SEARCH("3",'Procyclean 210'!F317)),EDATE(AB1815,3),DATEVALUE('Procyclean 210'!F317))))),""))</f>
        <v/>
      </c>
      <c r="AM1815" t="str">
        <f t="shared" ca="1" si="190"/>
        <v/>
      </c>
    </row>
    <row r="1816" spans="27:39" x14ac:dyDescent="0.3">
      <c r="AA1816" t="str">
        <f>IF(COUNTA('Procyclean 210'!C318,'Procyclean 210'!D318,'Procyclean 210'!E318)&gt;0,"210","")</f>
        <v/>
      </c>
      <c r="AB1816" t="str">
        <f>IFERROR(IF(ISNUMBER('Procyclean 210'!C318),'Procyclean 210'!C318,DATEVALUE('Procyclean 210'!C318)),"")</f>
        <v/>
      </c>
      <c r="AC1816" t="str">
        <f>IF(AA1816="","",'Procyclean 210'!D318)</f>
        <v/>
      </c>
      <c r="AD1816" t="str">
        <f>IF(AA1816="","",IFERROR(1*'Procyclean 210'!E318,IFERROR(_xludf.NUMBERVALUE('Procyclean 210'!E318,".",","),IFERROR(_xludf.NUMBERVALUE('Procyclean 210'!E318,",","."),0))))</f>
        <v/>
      </c>
      <c r="AE1816" t="str">
        <f>IF(AA1816="","",'Procyclean 210'!B318)</f>
        <v/>
      </c>
      <c r="AF1816">
        <f t="shared" si="185"/>
        <v>0</v>
      </c>
      <c r="AG1816" t="str">
        <f t="shared" si="186"/>
        <v/>
      </c>
      <c r="AH1816" t="str">
        <f t="shared" si="187"/>
        <v/>
      </c>
      <c r="AI1816">
        <f t="shared" si="188"/>
        <v>0</v>
      </c>
      <c r="AJ1816">
        <f t="shared" si="189"/>
        <v>0</v>
      </c>
      <c r="AK1816">
        <v>0</v>
      </c>
      <c r="AL1816" t="str">
        <f>IF(AA1816="","",IFERROR(IF(ISNUMBER('Procyclean 210'!F318),'Procyclean 210'!F318,IF(ISNUMBER(SEARCH("12",'Procyclean 210'!F318)),EDATE(AB1816,12),IF(ISNUMBER(SEARCH("6",'Procyclean 210'!F318)),EDATE(AB1816,6),IF(ISNUMBER(SEARCH("3",'Procyclean 210'!F318)),EDATE(AB1816,3),DATEVALUE('Procyclean 210'!F318))))),""))</f>
        <v/>
      </c>
      <c r="AM1816" t="str">
        <f t="shared" ca="1" si="190"/>
        <v/>
      </c>
    </row>
    <row r="1817" spans="27:39" x14ac:dyDescent="0.3">
      <c r="AA1817" t="str">
        <f>IF(COUNTA('Procyclean 210'!C319,'Procyclean 210'!D319,'Procyclean 210'!E319)&gt;0,"210","")</f>
        <v/>
      </c>
      <c r="AB1817" t="str">
        <f>IFERROR(IF(ISNUMBER('Procyclean 210'!C319),'Procyclean 210'!C319,DATEVALUE('Procyclean 210'!C319)),"")</f>
        <v/>
      </c>
      <c r="AC1817" t="str">
        <f>IF(AA1817="","",'Procyclean 210'!D319)</f>
        <v/>
      </c>
      <c r="AD1817" t="str">
        <f>IF(AA1817="","",IFERROR(1*'Procyclean 210'!E319,IFERROR(_xludf.NUMBERVALUE('Procyclean 210'!E319,".",","),IFERROR(_xludf.NUMBERVALUE('Procyclean 210'!E319,",","."),0))))</f>
        <v/>
      </c>
      <c r="AE1817" t="str">
        <f>IF(AA1817="","",'Procyclean 210'!B319)</f>
        <v/>
      </c>
      <c r="AF1817">
        <f t="shared" si="185"/>
        <v>0</v>
      </c>
      <c r="AG1817" t="str">
        <f t="shared" si="186"/>
        <v/>
      </c>
      <c r="AH1817" t="str">
        <f t="shared" si="187"/>
        <v/>
      </c>
      <c r="AI1817">
        <f t="shared" si="188"/>
        <v>0</v>
      </c>
      <c r="AJ1817">
        <f t="shared" si="189"/>
        <v>0</v>
      </c>
      <c r="AK1817">
        <v>0</v>
      </c>
      <c r="AL1817" t="str">
        <f>IF(AA1817="","",IFERROR(IF(ISNUMBER('Procyclean 210'!F319),'Procyclean 210'!F319,IF(ISNUMBER(SEARCH("12",'Procyclean 210'!F319)),EDATE(AB1817,12),IF(ISNUMBER(SEARCH("6",'Procyclean 210'!F319)),EDATE(AB1817,6),IF(ISNUMBER(SEARCH("3",'Procyclean 210'!F319)),EDATE(AB1817,3),DATEVALUE('Procyclean 210'!F319))))),""))</f>
        <v/>
      </c>
      <c r="AM1817" t="str">
        <f t="shared" ca="1" si="190"/>
        <v/>
      </c>
    </row>
    <row r="1818" spans="27:39" x14ac:dyDescent="0.3">
      <c r="AA1818" t="str">
        <f>IF(COUNTA('Procyclean 210'!C320,'Procyclean 210'!D320,'Procyclean 210'!E320)&gt;0,"210","")</f>
        <v/>
      </c>
      <c r="AB1818" t="str">
        <f>IFERROR(IF(ISNUMBER('Procyclean 210'!C320),'Procyclean 210'!C320,DATEVALUE('Procyclean 210'!C320)),"")</f>
        <v/>
      </c>
      <c r="AC1818" t="str">
        <f>IF(AA1818="","",'Procyclean 210'!D320)</f>
        <v/>
      </c>
      <c r="AD1818" t="str">
        <f>IF(AA1818="","",IFERROR(1*'Procyclean 210'!E320,IFERROR(_xludf.NUMBERVALUE('Procyclean 210'!E320,".",","),IFERROR(_xludf.NUMBERVALUE('Procyclean 210'!E320,",","."),0))))</f>
        <v/>
      </c>
      <c r="AE1818" t="str">
        <f>IF(AA1818="","",'Procyclean 210'!B320)</f>
        <v/>
      </c>
      <c r="AF1818">
        <f t="shared" si="185"/>
        <v>0</v>
      </c>
      <c r="AG1818" t="str">
        <f t="shared" si="186"/>
        <v/>
      </c>
      <c r="AH1818" t="str">
        <f t="shared" si="187"/>
        <v/>
      </c>
      <c r="AI1818">
        <f t="shared" si="188"/>
        <v>0</v>
      </c>
      <c r="AJ1818">
        <f t="shared" si="189"/>
        <v>0</v>
      </c>
      <c r="AK1818">
        <v>0</v>
      </c>
      <c r="AL1818" t="str">
        <f>IF(AA1818="","",IFERROR(IF(ISNUMBER('Procyclean 210'!F320),'Procyclean 210'!F320,IF(ISNUMBER(SEARCH("12",'Procyclean 210'!F320)),EDATE(AB1818,12),IF(ISNUMBER(SEARCH("6",'Procyclean 210'!F320)),EDATE(AB1818,6),IF(ISNUMBER(SEARCH("3",'Procyclean 210'!F320)),EDATE(AB1818,3),DATEVALUE('Procyclean 210'!F320))))),""))</f>
        <v/>
      </c>
      <c r="AM1818" t="str">
        <f t="shared" ca="1" si="190"/>
        <v/>
      </c>
    </row>
    <row r="1819" spans="27:39" x14ac:dyDescent="0.3">
      <c r="AA1819" t="str">
        <f>IF(COUNTA('Procyclean 210'!C321,'Procyclean 210'!D321,'Procyclean 210'!E321)&gt;0,"210","")</f>
        <v/>
      </c>
      <c r="AB1819" t="str">
        <f>IFERROR(IF(ISNUMBER('Procyclean 210'!C321),'Procyclean 210'!C321,DATEVALUE('Procyclean 210'!C321)),"")</f>
        <v/>
      </c>
      <c r="AC1819" t="str">
        <f>IF(AA1819="","",'Procyclean 210'!D321)</f>
        <v/>
      </c>
      <c r="AD1819" t="str">
        <f>IF(AA1819="","",IFERROR(1*'Procyclean 210'!E321,IFERROR(_xludf.NUMBERVALUE('Procyclean 210'!E321,".",","),IFERROR(_xludf.NUMBERVALUE('Procyclean 210'!E321,",","."),0))))</f>
        <v/>
      </c>
      <c r="AE1819" t="str">
        <f>IF(AA1819="","",'Procyclean 210'!B321)</f>
        <v/>
      </c>
      <c r="AF1819">
        <f t="shared" si="185"/>
        <v>0</v>
      </c>
      <c r="AG1819" t="str">
        <f t="shared" si="186"/>
        <v/>
      </c>
      <c r="AH1819" t="str">
        <f t="shared" si="187"/>
        <v/>
      </c>
      <c r="AI1819">
        <f t="shared" si="188"/>
        <v>0</v>
      </c>
      <c r="AJ1819">
        <f t="shared" si="189"/>
        <v>0</v>
      </c>
      <c r="AK1819">
        <v>0</v>
      </c>
      <c r="AL1819" t="str">
        <f>IF(AA1819="","",IFERROR(IF(ISNUMBER('Procyclean 210'!F321),'Procyclean 210'!F321,IF(ISNUMBER(SEARCH("12",'Procyclean 210'!F321)),EDATE(AB1819,12),IF(ISNUMBER(SEARCH("6",'Procyclean 210'!F321)),EDATE(AB1819,6),IF(ISNUMBER(SEARCH("3",'Procyclean 210'!F321)),EDATE(AB1819,3),DATEVALUE('Procyclean 210'!F321))))),""))</f>
        <v/>
      </c>
      <c r="AM1819" t="str">
        <f t="shared" ca="1" si="190"/>
        <v/>
      </c>
    </row>
    <row r="1820" spans="27:39" x14ac:dyDescent="0.3">
      <c r="AA1820" t="str">
        <f>IF(COUNTA('Procyclean 210'!C322,'Procyclean 210'!D322,'Procyclean 210'!E322)&gt;0,"210","")</f>
        <v/>
      </c>
      <c r="AB1820" t="str">
        <f>IFERROR(IF(ISNUMBER('Procyclean 210'!C322),'Procyclean 210'!C322,DATEVALUE('Procyclean 210'!C322)),"")</f>
        <v/>
      </c>
      <c r="AC1820" t="str">
        <f>IF(AA1820="","",'Procyclean 210'!D322)</f>
        <v/>
      </c>
      <c r="AD1820" t="str">
        <f>IF(AA1820="","",IFERROR(1*'Procyclean 210'!E322,IFERROR(_xludf.NUMBERVALUE('Procyclean 210'!E322,".",","),IFERROR(_xludf.NUMBERVALUE('Procyclean 210'!E322,",","."),0))))</f>
        <v/>
      </c>
      <c r="AE1820" t="str">
        <f>IF(AA1820="","",'Procyclean 210'!B322)</f>
        <v/>
      </c>
      <c r="AF1820">
        <f t="shared" si="185"/>
        <v>0</v>
      </c>
      <c r="AG1820" t="str">
        <f t="shared" si="186"/>
        <v/>
      </c>
      <c r="AH1820" t="str">
        <f t="shared" si="187"/>
        <v/>
      </c>
      <c r="AI1820">
        <f t="shared" si="188"/>
        <v>0</v>
      </c>
      <c r="AJ1820">
        <f t="shared" si="189"/>
        <v>0</v>
      </c>
      <c r="AK1820">
        <v>0</v>
      </c>
      <c r="AL1820" t="str">
        <f>IF(AA1820="","",IFERROR(IF(ISNUMBER('Procyclean 210'!F322),'Procyclean 210'!F322,IF(ISNUMBER(SEARCH("12",'Procyclean 210'!F322)),EDATE(AB1820,12),IF(ISNUMBER(SEARCH("6",'Procyclean 210'!F322)),EDATE(AB1820,6),IF(ISNUMBER(SEARCH("3",'Procyclean 210'!F322)),EDATE(AB1820,3),DATEVALUE('Procyclean 210'!F322))))),""))</f>
        <v/>
      </c>
      <c r="AM1820" t="str">
        <f t="shared" ca="1" si="190"/>
        <v/>
      </c>
    </row>
    <row r="1821" spans="27:39" x14ac:dyDescent="0.3">
      <c r="AA1821" t="str">
        <f>IF(COUNTA('Procyclean 210'!C323,'Procyclean 210'!D323,'Procyclean 210'!E323)&gt;0,"210","")</f>
        <v/>
      </c>
      <c r="AB1821" t="str">
        <f>IFERROR(IF(ISNUMBER('Procyclean 210'!C323),'Procyclean 210'!C323,DATEVALUE('Procyclean 210'!C323)),"")</f>
        <v/>
      </c>
      <c r="AC1821" t="str">
        <f>IF(AA1821="","",'Procyclean 210'!D323)</f>
        <v/>
      </c>
      <c r="AD1821" t="str">
        <f>IF(AA1821="","",IFERROR(1*'Procyclean 210'!E323,IFERROR(_xludf.NUMBERVALUE('Procyclean 210'!E323,".",","),IFERROR(_xludf.NUMBERVALUE('Procyclean 210'!E323,",","."),0))))</f>
        <v/>
      </c>
      <c r="AE1821" t="str">
        <f>IF(AA1821="","",'Procyclean 210'!B323)</f>
        <v/>
      </c>
      <c r="AF1821">
        <f t="shared" si="185"/>
        <v>0</v>
      </c>
      <c r="AG1821" t="str">
        <f t="shared" si="186"/>
        <v/>
      </c>
      <c r="AH1821" t="str">
        <f t="shared" si="187"/>
        <v/>
      </c>
      <c r="AI1821">
        <f t="shared" si="188"/>
        <v>0</v>
      </c>
      <c r="AJ1821">
        <f t="shared" si="189"/>
        <v>0</v>
      </c>
      <c r="AK1821">
        <v>0</v>
      </c>
      <c r="AL1821" t="str">
        <f>IF(AA1821="","",IFERROR(IF(ISNUMBER('Procyclean 210'!F323),'Procyclean 210'!F323,IF(ISNUMBER(SEARCH("12",'Procyclean 210'!F323)),EDATE(AB1821,12),IF(ISNUMBER(SEARCH("6",'Procyclean 210'!F323)),EDATE(AB1821,6),IF(ISNUMBER(SEARCH("3",'Procyclean 210'!F323)),EDATE(AB1821,3),DATEVALUE('Procyclean 210'!F323))))),""))</f>
        <v/>
      </c>
      <c r="AM1821" t="str">
        <f t="shared" ca="1" si="190"/>
        <v/>
      </c>
    </row>
    <row r="1822" spans="27:39" x14ac:dyDescent="0.3">
      <c r="AA1822" t="str">
        <f>IF(COUNTA('Procyclean 210'!C324,'Procyclean 210'!D324,'Procyclean 210'!E324)&gt;0,"210","")</f>
        <v/>
      </c>
      <c r="AB1822" t="str">
        <f>IFERROR(IF(ISNUMBER('Procyclean 210'!C324),'Procyclean 210'!C324,DATEVALUE('Procyclean 210'!C324)),"")</f>
        <v/>
      </c>
      <c r="AC1822" t="str">
        <f>IF(AA1822="","",'Procyclean 210'!D324)</f>
        <v/>
      </c>
      <c r="AD1822" t="str">
        <f>IF(AA1822="","",IFERROR(1*'Procyclean 210'!E324,IFERROR(_xludf.NUMBERVALUE('Procyclean 210'!E324,".",","),IFERROR(_xludf.NUMBERVALUE('Procyclean 210'!E324,",","."),0))))</f>
        <v/>
      </c>
      <c r="AE1822" t="str">
        <f>IF(AA1822="","",'Procyclean 210'!B324)</f>
        <v/>
      </c>
      <c r="AF1822">
        <f t="shared" si="185"/>
        <v>0</v>
      </c>
      <c r="AG1822" t="str">
        <f t="shared" si="186"/>
        <v/>
      </c>
      <c r="AH1822" t="str">
        <f t="shared" si="187"/>
        <v/>
      </c>
      <c r="AI1822">
        <f t="shared" si="188"/>
        <v>0</v>
      </c>
      <c r="AJ1822">
        <f t="shared" si="189"/>
        <v>0</v>
      </c>
      <c r="AK1822">
        <v>0</v>
      </c>
      <c r="AL1822" t="str">
        <f>IF(AA1822="","",IFERROR(IF(ISNUMBER('Procyclean 210'!F324),'Procyclean 210'!F324,IF(ISNUMBER(SEARCH("12",'Procyclean 210'!F324)),EDATE(AB1822,12),IF(ISNUMBER(SEARCH("6",'Procyclean 210'!F324)),EDATE(AB1822,6),IF(ISNUMBER(SEARCH("3",'Procyclean 210'!F324)),EDATE(AB1822,3),DATEVALUE('Procyclean 210'!F324))))),""))</f>
        <v/>
      </c>
      <c r="AM1822" t="str">
        <f t="shared" ca="1" si="190"/>
        <v/>
      </c>
    </row>
    <row r="1823" spans="27:39" x14ac:dyDescent="0.3">
      <c r="AA1823" t="str">
        <f>IF(COUNTA('Procyclean 210'!C325,'Procyclean 210'!D325,'Procyclean 210'!E325)&gt;0,"210","")</f>
        <v/>
      </c>
      <c r="AB1823" t="str">
        <f>IFERROR(IF(ISNUMBER('Procyclean 210'!C325),'Procyclean 210'!C325,DATEVALUE('Procyclean 210'!C325)),"")</f>
        <v/>
      </c>
      <c r="AC1823" t="str">
        <f>IF(AA1823="","",'Procyclean 210'!D325)</f>
        <v/>
      </c>
      <c r="AD1823" t="str">
        <f>IF(AA1823="","",IFERROR(1*'Procyclean 210'!E325,IFERROR(_xludf.NUMBERVALUE('Procyclean 210'!E325,".",","),IFERROR(_xludf.NUMBERVALUE('Procyclean 210'!E325,",","."),0))))</f>
        <v/>
      </c>
      <c r="AE1823" t="str">
        <f>IF(AA1823="","",'Procyclean 210'!B325)</f>
        <v/>
      </c>
      <c r="AF1823">
        <f t="shared" si="185"/>
        <v>0</v>
      </c>
      <c r="AG1823" t="str">
        <f t="shared" si="186"/>
        <v/>
      </c>
      <c r="AH1823" t="str">
        <f t="shared" si="187"/>
        <v/>
      </c>
      <c r="AI1823">
        <f t="shared" si="188"/>
        <v>0</v>
      </c>
      <c r="AJ1823">
        <f t="shared" si="189"/>
        <v>0</v>
      </c>
      <c r="AK1823">
        <v>0</v>
      </c>
      <c r="AL1823" t="str">
        <f>IF(AA1823="","",IFERROR(IF(ISNUMBER('Procyclean 210'!F325),'Procyclean 210'!F325,IF(ISNUMBER(SEARCH("12",'Procyclean 210'!F325)),EDATE(AB1823,12),IF(ISNUMBER(SEARCH("6",'Procyclean 210'!F325)),EDATE(AB1823,6),IF(ISNUMBER(SEARCH("3",'Procyclean 210'!F325)),EDATE(AB1823,3),DATEVALUE('Procyclean 210'!F325))))),""))</f>
        <v/>
      </c>
      <c r="AM1823" t="str">
        <f t="shared" ca="1" si="190"/>
        <v/>
      </c>
    </row>
    <row r="1824" spans="27:39" x14ac:dyDescent="0.3">
      <c r="AA1824" t="str">
        <f>IF(COUNTA('Procyclean 210'!C326,'Procyclean 210'!D326,'Procyclean 210'!E326)&gt;0,"210","")</f>
        <v/>
      </c>
      <c r="AB1824" t="str">
        <f>IFERROR(IF(ISNUMBER('Procyclean 210'!C326),'Procyclean 210'!C326,DATEVALUE('Procyclean 210'!C326)),"")</f>
        <v/>
      </c>
      <c r="AC1824" t="str">
        <f>IF(AA1824="","",'Procyclean 210'!D326)</f>
        <v/>
      </c>
      <c r="AD1824" t="str">
        <f>IF(AA1824="","",IFERROR(1*'Procyclean 210'!E326,IFERROR(_xludf.NUMBERVALUE('Procyclean 210'!E326,".",","),IFERROR(_xludf.NUMBERVALUE('Procyclean 210'!E326,",","."),0))))</f>
        <v/>
      </c>
      <c r="AE1824" t="str">
        <f>IF(AA1824="","",'Procyclean 210'!B326)</f>
        <v/>
      </c>
      <c r="AF1824">
        <f t="shared" si="185"/>
        <v>0</v>
      </c>
      <c r="AG1824" t="str">
        <f t="shared" si="186"/>
        <v/>
      </c>
      <c r="AH1824" t="str">
        <f t="shared" si="187"/>
        <v/>
      </c>
      <c r="AI1824">
        <f t="shared" si="188"/>
        <v>0</v>
      </c>
      <c r="AJ1824">
        <f t="shared" si="189"/>
        <v>0</v>
      </c>
      <c r="AK1824">
        <v>0</v>
      </c>
      <c r="AL1824" t="str">
        <f>IF(AA1824="","",IFERROR(IF(ISNUMBER('Procyclean 210'!F326),'Procyclean 210'!F326,IF(ISNUMBER(SEARCH("12",'Procyclean 210'!F326)),EDATE(AB1824,12),IF(ISNUMBER(SEARCH("6",'Procyclean 210'!F326)),EDATE(AB1824,6),IF(ISNUMBER(SEARCH("3",'Procyclean 210'!F326)),EDATE(AB1824,3),DATEVALUE('Procyclean 210'!F326))))),""))</f>
        <v/>
      </c>
      <c r="AM1824" t="str">
        <f t="shared" ca="1" si="190"/>
        <v/>
      </c>
    </row>
    <row r="1825" spans="27:39" x14ac:dyDescent="0.3">
      <c r="AA1825" t="str">
        <f>IF(COUNTA('Procyclean 210'!C327,'Procyclean 210'!D327,'Procyclean 210'!E327)&gt;0,"210","")</f>
        <v/>
      </c>
      <c r="AB1825" t="str">
        <f>IFERROR(IF(ISNUMBER('Procyclean 210'!C327),'Procyclean 210'!C327,DATEVALUE('Procyclean 210'!C327)),"")</f>
        <v/>
      </c>
      <c r="AC1825" t="str">
        <f>IF(AA1825="","",'Procyclean 210'!D327)</f>
        <v/>
      </c>
      <c r="AD1825" t="str">
        <f>IF(AA1825="","",IFERROR(1*'Procyclean 210'!E327,IFERROR(_xludf.NUMBERVALUE('Procyclean 210'!E327,".",","),IFERROR(_xludf.NUMBERVALUE('Procyclean 210'!E327,",","."),0))))</f>
        <v/>
      </c>
      <c r="AE1825" t="str">
        <f>IF(AA1825="","",'Procyclean 210'!B327)</f>
        <v/>
      </c>
      <c r="AF1825">
        <f t="shared" si="185"/>
        <v>0</v>
      </c>
      <c r="AG1825" t="str">
        <f t="shared" si="186"/>
        <v/>
      </c>
      <c r="AH1825" t="str">
        <f t="shared" si="187"/>
        <v/>
      </c>
      <c r="AI1825">
        <f t="shared" si="188"/>
        <v>0</v>
      </c>
      <c r="AJ1825">
        <f t="shared" si="189"/>
        <v>0</v>
      </c>
      <c r="AK1825">
        <v>0</v>
      </c>
      <c r="AL1825" t="str">
        <f>IF(AA1825="","",IFERROR(IF(ISNUMBER('Procyclean 210'!F327),'Procyclean 210'!F327,IF(ISNUMBER(SEARCH("12",'Procyclean 210'!F327)),EDATE(AB1825,12),IF(ISNUMBER(SEARCH("6",'Procyclean 210'!F327)),EDATE(AB1825,6),IF(ISNUMBER(SEARCH("3",'Procyclean 210'!F327)),EDATE(AB1825,3),DATEVALUE('Procyclean 210'!F327))))),""))</f>
        <v/>
      </c>
      <c r="AM1825" t="str">
        <f t="shared" ca="1" si="190"/>
        <v/>
      </c>
    </row>
    <row r="1826" spans="27:39" x14ac:dyDescent="0.3">
      <c r="AA1826" t="str">
        <f>IF(COUNTA('Procyclean 210'!C328,'Procyclean 210'!D328,'Procyclean 210'!E328)&gt;0,"210","")</f>
        <v/>
      </c>
      <c r="AB1826" t="str">
        <f>IFERROR(IF(ISNUMBER('Procyclean 210'!C328),'Procyclean 210'!C328,DATEVALUE('Procyclean 210'!C328)),"")</f>
        <v/>
      </c>
      <c r="AC1826" t="str">
        <f>IF(AA1826="","",'Procyclean 210'!D328)</f>
        <v/>
      </c>
      <c r="AD1826" t="str">
        <f>IF(AA1826="","",IFERROR(1*'Procyclean 210'!E328,IFERROR(_xludf.NUMBERVALUE('Procyclean 210'!E328,".",","),IFERROR(_xludf.NUMBERVALUE('Procyclean 210'!E328,",","."),0))))</f>
        <v/>
      </c>
      <c r="AE1826" t="str">
        <f>IF(AA1826="","",'Procyclean 210'!B328)</f>
        <v/>
      </c>
      <c r="AF1826">
        <f t="shared" si="185"/>
        <v>0</v>
      </c>
      <c r="AG1826" t="str">
        <f t="shared" si="186"/>
        <v/>
      </c>
      <c r="AH1826" t="str">
        <f t="shared" si="187"/>
        <v/>
      </c>
      <c r="AI1826">
        <f t="shared" si="188"/>
        <v>0</v>
      </c>
      <c r="AJ1826">
        <f t="shared" si="189"/>
        <v>0</v>
      </c>
      <c r="AK1826">
        <v>0</v>
      </c>
      <c r="AL1826" t="str">
        <f>IF(AA1826="","",IFERROR(IF(ISNUMBER('Procyclean 210'!F328),'Procyclean 210'!F328,IF(ISNUMBER(SEARCH("12",'Procyclean 210'!F328)),EDATE(AB1826,12),IF(ISNUMBER(SEARCH("6",'Procyclean 210'!F328)),EDATE(AB1826,6),IF(ISNUMBER(SEARCH("3",'Procyclean 210'!F328)),EDATE(AB1826,3),DATEVALUE('Procyclean 210'!F328))))),""))</f>
        <v/>
      </c>
      <c r="AM1826" t="str">
        <f t="shared" ca="1" si="190"/>
        <v/>
      </c>
    </row>
    <row r="1827" spans="27:39" x14ac:dyDescent="0.3">
      <c r="AA1827" t="str">
        <f>IF(COUNTA('Procyclean 210'!C329,'Procyclean 210'!D329,'Procyclean 210'!E329)&gt;0,"210","")</f>
        <v/>
      </c>
      <c r="AB1827" t="str">
        <f>IFERROR(IF(ISNUMBER('Procyclean 210'!C329),'Procyclean 210'!C329,DATEVALUE('Procyclean 210'!C329)),"")</f>
        <v/>
      </c>
      <c r="AC1827" t="str">
        <f>IF(AA1827="","",'Procyclean 210'!D329)</f>
        <v/>
      </c>
      <c r="AD1827" t="str">
        <f>IF(AA1827="","",IFERROR(1*'Procyclean 210'!E329,IFERROR(_xludf.NUMBERVALUE('Procyclean 210'!E329,".",","),IFERROR(_xludf.NUMBERVALUE('Procyclean 210'!E329,",","."),0))))</f>
        <v/>
      </c>
      <c r="AE1827" t="str">
        <f>IF(AA1827="","",'Procyclean 210'!B329)</f>
        <v/>
      </c>
      <c r="AF1827">
        <f t="shared" si="185"/>
        <v>0</v>
      </c>
      <c r="AG1827" t="str">
        <f t="shared" si="186"/>
        <v/>
      </c>
      <c r="AH1827" t="str">
        <f t="shared" si="187"/>
        <v/>
      </c>
      <c r="AI1827">
        <f t="shared" si="188"/>
        <v>0</v>
      </c>
      <c r="AJ1827">
        <f t="shared" si="189"/>
        <v>0</v>
      </c>
      <c r="AK1827">
        <v>0</v>
      </c>
      <c r="AL1827" t="str">
        <f>IF(AA1827="","",IFERROR(IF(ISNUMBER('Procyclean 210'!F329),'Procyclean 210'!F329,IF(ISNUMBER(SEARCH("12",'Procyclean 210'!F329)),EDATE(AB1827,12),IF(ISNUMBER(SEARCH("6",'Procyclean 210'!F329)),EDATE(AB1827,6),IF(ISNUMBER(SEARCH("3",'Procyclean 210'!F329)),EDATE(AB1827,3),DATEVALUE('Procyclean 210'!F329))))),""))</f>
        <v/>
      </c>
      <c r="AM1827" t="str">
        <f t="shared" ca="1" si="190"/>
        <v/>
      </c>
    </row>
    <row r="1828" spans="27:39" x14ac:dyDescent="0.3">
      <c r="AA1828" t="str">
        <f>IF(COUNTA('Procyclean 210'!C330,'Procyclean 210'!D330,'Procyclean 210'!E330)&gt;0,"210","")</f>
        <v/>
      </c>
      <c r="AB1828" t="str">
        <f>IFERROR(IF(ISNUMBER('Procyclean 210'!C330),'Procyclean 210'!C330,DATEVALUE('Procyclean 210'!C330)),"")</f>
        <v/>
      </c>
      <c r="AC1828" t="str">
        <f>IF(AA1828="","",'Procyclean 210'!D330)</f>
        <v/>
      </c>
      <c r="AD1828" t="str">
        <f>IF(AA1828="","",IFERROR(1*'Procyclean 210'!E330,IFERROR(_xludf.NUMBERVALUE('Procyclean 210'!E330,".",","),IFERROR(_xludf.NUMBERVALUE('Procyclean 210'!E330,",","."),0))))</f>
        <v/>
      </c>
      <c r="AE1828" t="str">
        <f>IF(AA1828="","",'Procyclean 210'!B330)</f>
        <v/>
      </c>
      <c r="AF1828">
        <f t="shared" si="185"/>
        <v>0</v>
      </c>
      <c r="AG1828" t="str">
        <f t="shared" si="186"/>
        <v/>
      </c>
      <c r="AH1828" t="str">
        <f t="shared" si="187"/>
        <v/>
      </c>
      <c r="AI1828">
        <f t="shared" si="188"/>
        <v>0</v>
      </c>
      <c r="AJ1828">
        <f t="shared" si="189"/>
        <v>0</v>
      </c>
      <c r="AK1828">
        <v>0</v>
      </c>
      <c r="AL1828" t="str">
        <f>IF(AA1828="","",IFERROR(IF(ISNUMBER('Procyclean 210'!F330),'Procyclean 210'!F330,IF(ISNUMBER(SEARCH("12",'Procyclean 210'!F330)),EDATE(AB1828,12),IF(ISNUMBER(SEARCH("6",'Procyclean 210'!F330)),EDATE(AB1828,6),IF(ISNUMBER(SEARCH("3",'Procyclean 210'!F330)),EDATE(AB1828,3),DATEVALUE('Procyclean 210'!F330))))),""))</f>
        <v/>
      </c>
      <c r="AM1828" t="str">
        <f t="shared" ca="1" si="190"/>
        <v/>
      </c>
    </row>
    <row r="1829" spans="27:39" x14ac:dyDescent="0.3">
      <c r="AA1829" t="str">
        <f>IF(COUNTA('Procyclean 210'!C331,'Procyclean 210'!D331,'Procyclean 210'!E331)&gt;0,"210","")</f>
        <v/>
      </c>
      <c r="AB1829" t="str">
        <f>IFERROR(IF(ISNUMBER('Procyclean 210'!C331),'Procyclean 210'!C331,DATEVALUE('Procyclean 210'!C331)),"")</f>
        <v/>
      </c>
      <c r="AC1829" t="str">
        <f>IF(AA1829="","",'Procyclean 210'!D331)</f>
        <v/>
      </c>
      <c r="AD1829" t="str">
        <f>IF(AA1829="","",IFERROR(1*'Procyclean 210'!E331,IFERROR(_xludf.NUMBERVALUE('Procyclean 210'!E331,".",","),IFERROR(_xludf.NUMBERVALUE('Procyclean 210'!E331,",","."),0))))</f>
        <v/>
      </c>
      <c r="AE1829" t="str">
        <f>IF(AA1829="","",'Procyclean 210'!B331)</f>
        <v/>
      </c>
      <c r="AF1829">
        <f t="shared" si="185"/>
        <v>0</v>
      </c>
      <c r="AG1829" t="str">
        <f t="shared" si="186"/>
        <v/>
      </c>
      <c r="AH1829" t="str">
        <f t="shared" si="187"/>
        <v/>
      </c>
      <c r="AI1829">
        <f t="shared" si="188"/>
        <v>0</v>
      </c>
      <c r="AJ1829">
        <f t="shared" si="189"/>
        <v>0</v>
      </c>
      <c r="AK1829">
        <v>0</v>
      </c>
      <c r="AL1829" t="str">
        <f>IF(AA1829="","",IFERROR(IF(ISNUMBER('Procyclean 210'!F331),'Procyclean 210'!F331,IF(ISNUMBER(SEARCH("12",'Procyclean 210'!F331)),EDATE(AB1829,12),IF(ISNUMBER(SEARCH("6",'Procyclean 210'!F331)),EDATE(AB1829,6),IF(ISNUMBER(SEARCH("3",'Procyclean 210'!F331)),EDATE(AB1829,3),DATEVALUE('Procyclean 210'!F331))))),""))</f>
        <v/>
      </c>
      <c r="AM1829" t="str">
        <f t="shared" ca="1" si="190"/>
        <v/>
      </c>
    </row>
    <row r="1830" spans="27:39" x14ac:dyDescent="0.3">
      <c r="AA1830" t="str">
        <f>IF(COUNTA('Procyclean 210'!C332,'Procyclean 210'!D332,'Procyclean 210'!E332)&gt;0,"210","")</f>
        <v/>
      </c>
      <c r="AB1830" t="str">
        <f>IFERROR(IF(ISNUMBER('Procyclean 210'!C332),'Procyclean 210'!C332,DATEVALUE('Procyclean 210'!C332)),"")</f>
        <v/>
      </c>
      <c r="AC1830" t="str">
        <f>IF(AA1830="","",'Procyclean 210'!D332)</f>
        <v/>
      </c>
      <c r="AD1830" t="str">
        <f>IF(AA1830="","",IFERROR(1*'Procyclean 210'!E332,IFERROR(_xludf.NUMBERVALUE('Procyclean 210'!E332,".",","),IFERROR(_xludf.NUMBERVALUE('Procyclean 210'!E332,",","."),0))))</f>
        <v/>
      </c>
      <c r="AE1830" t="str">
        <f>IF(AA1830="","",'Procyclean 210'!B332)</f>
        <v/>
      </c>
      <c r="AF1830">
        <f t="shared" si="185"/>
        <v>0</v>
      </c>
      <c r="AG1830" t="str">
        <f t="shared" si="186"/>
        <v/>
      </c>
      <c r="AH1830" t="str">
        <f t="shared" si="187"/>
        <v/>
      </c>
      <c r="AI1830">
        <f t="shared" si="188"/>
        <v>0</v>
      </c>
      <c r="AJ1830">
        <f t="shared" si="189"/>
        <v>0</v>
      </c>
      <c r="AK1830">
        <v>0</v>
      </c>
      <c r="AL1830" t="str">
        <f>IF(AA1830="","",IFERROR(IF(ISNUMBER('Procyclean 210'!F332),'Procyclean 210'!F332,IF(ISNUMBER(SEARCH("12",'Procyclean 210'!F332)),EDATE(AB1830,12),IF(ISNUMBER(SEARCH("6",'Procyclean 210'!F332)),EDATE(AB1830,6),IF(ISNUMBER(SEARCH("3",'Procyclean 210'!F332)),EDATE(AB1830,3),DATEVALUE('Procyclean 210'!F332))))),""))</f>
        <v/>
      </c>
      <c r="AM1830" t="str">
        <f t="shared" ca="1" si="190"/>
        <v/>
      </c>
    </row>
    <row r="1831" spans="27:39" x14ac:dyDescent="0.3">
      <c r="AA1831" t="str">
        <f>IF(COUNTA('Procyclean 210'!C333,'Procyclean 210'!D333,'Procyclean 210'!E333)&gt;0,"210","")</f>
        <v/>
      </c>
      <c r="AB1831" t="str">
        <f>IFERROR(IF(ISNUMBER('Procyclean 210'!C333),'Procyclean 210'!C333,DATEVALUE('Procyclean 210'!C333)),"")</f>
        <v/>
      </c>
      <c r="AC1831" t="str">
        <f>IF(AA1831="","",'Procyclean 210'!D333)</f>
        <v/>
      </c>
      <c r="AD1831" t="str">
        <f>IF(AA1831="","",IFERROR(1*'Procyclean 210'!E333,IFERROR(_xludf.NUMBERVALUE('Procyclean 210'!E333,".",","),IFERROR(_xludf.NUMBERVALUE('Procyclean 210'!E333,",","."),0))))</f>
        <v/>
      </c>
      <c r="AE1831" t="str">
        <f>IF(AA1831="","",'Procyclean 210'!B333)</f>
        <v/>
      </c>
      <c r="AF1831">
        <f t="shared" si="185"/>
        <v>0</v>
      </c>
      <c r="AG1831" t="str">
        <f t="shared" si="186"/>
        <v/>
      </c>
      <c r="AH1831" t="str">
        <f t="shared" si="187"/>
        <v/>
      </c>
      <c r="AI1831">
        <f t="shared" si="188"/>
        <v>0</v>
      </c>
      <c r="AJ1831">
        <f t="shared" si="189"/>
        <v>0</v>
      </c>
      <c r="AK1831">
        <v>0</v>
      </c>
      <c r="AL1831" t="str">
        <f>IF(AA1831="","",IFERROR(IF(ISNUMBER('Procyclean 210'!F333),'Procyclean 210'!F333,IF(ISNUMBER(SEARCH("12",'Procyclean 210'!F333)),EDATE(AB1831,12),IF(ISNUMBER(SEARCH("6",'Procyclean 210'!F333)),EDATE(AB1831,6),IF(ISNUMBER(SEARCH("3",'Procyclean 210'!F333)),EDATE(AB1831,3),DATEVALUE('Procyclean 210'!F333))))),""))</f>
        <v/>
      </c>
      <c r="AM1831" t="str">
        <f t="shared" ca="1" si="190"/>
        <v/>
      </c>
    </row>
    <row r="1832" spans="27:39" x14ac:dyDescent="0.3">
      <c r="AA1832" t="str">
        <f>IF(COUNTA('Procyclean 210'!C334,'Procyclean 210'!D334,'Procyclean 210'!E334)&gt;0,"210","")</f>
        <v/>
      </c>
      <c r="AB1832" t="str">
        <f>IFERROR(IF(ISNUMBER('Procyclean 210'!C334),'Procyclean 210'!C334,DATEVALUE('Procyclean 210'!C334)),"")</f>
        <v/>
      </c>
      <c r="AC1832" t="str">
        <f>IF(AA1832="","",'Procyclean 210'!D334)</f>
        <v/>
      </c>
      <c r="AD1832" t="str">
        <f>IF(AA1832="","",IFERROR(1*'Procyclean 210'!E334,IFERROR(_xludf.NUMBERVALUE('Procyclean 210'!E334,".",","),IFERROR(_xludf.NUMBERVALUE('Procyclean 210'!E334,",","."),0))))</f>
        <v/>
      </c>
      <c r="AE1832" t="str">
        <f>IF(AA1832="","",'Procyclean 210'!B334)</f>
        <v/>
      </c>
      <c r="AF1832">
        <f t="shared" si="185"/>
        <v>0</v>
      </c>
      <c r="AG1832" t="str">
        <f t="shared" si="186"/>
        <v/>
      </c>
      <c r="AH1832" t="str">
        <f t="shared" si="187"/>
        <v/>
      </c>
      <c r="AI1832">
        <f t="shared" si="188"/>
        <v>0</v>
      </c>
      <c r="AJ1832">
        <f t="shared" si="189"/>
        <v>0</v>
      </c>
      <c r="AK1832">
        <v>0</v>
      </c>
      <c r="AL1832" t="str">
        <f>IF(AA1832="","",IFERROR(IF(ISNUMBER('Procyclean 210'!F334),'Procyclean 210'!F334,IF(ISNUMBER(SEARCH("12",'Procyclean 210'!F334)),EDATE(AB1832,12),IF(ISNUMBER(SEARCH("6",'Procyclean 210'!F334)),EDATE(AB1832,6),IF(ISNUMBER(SEARCH("3",'Procyclean 210'!F334)),EDATE(AB1832,3),DATEVALUE('Procyclean 210'!F334))))),""))</f>
        <v/>
      </c>
      <c r="AM1832" t="str">
        <f t="shared" ca="1" si="190"/>
        <v/>
      </c>
    </row>
    <row r="1833" spans="27:39" x14ac:dyDescent="0.3">
      <c r="AA1833" t="str">
        <f>IF(COUNTA('Procyclean 210'!C335,'Procyclean 210'!D335,'Procyclean 210'!E335)&gt;0,"210","")</f>
        <v/>
      </c>
      <c r="AB1833" t="str">
        <f>IFERROR(IF(ISNUMBER('Procyclean 210'!C335),'Procyclean 210'!C335,DATEVALUE('Procyclean 210'!C335)),"")</f>
        <v/>
      </c>
      <c r="AC1833" t="str">
        <f>IF(AA1833="","",'Procyclean 210'!D335)</f>
        <v/>
      </c>
      <c r="AD1833" t="str">
        <f>IF(AA1833="","",IFERROR(1*'Procyclean 210'!E335,IFERROR(_xludf.NUMBERVALUE('Procyclean 210'!E335,".",","),IFERROR(_xludf.NUMBERVALUE('Procyclean 210'!E335,",","."),0))))</f>
        <v/>
      </c>
      <c r="AE1833" t="str">
        <f>IF(AA1833="","",'Procyclean 210'!B335)</f>
        <v/>
      </c>
      <c r="AF1833">
        <f t="shared" si="185"/>
        <v>0</v>
      </c>
      <c r="AG1833" t="str">
        <f t="shared" si="186"/>
        <v/>
      </c>
      <c r="AH1833" t="str">
        <f t="shared" si="187"/>
        <v/>
      </c>
      <c r="AI1833">
        <f t="shared" si="188"/>
        <v>0</v>
      </c>
      <c r="AJ1833">
        <f t="shared" si="189"/>
        <v>0</v>
      </c>
      <c r="AK1833">
        <v>0</v>
      </c>
      <c r="AL1833" t="str">
        <f>IF(AA1833="","",IFERROR(IF(ISNUMBER('Procyclean 210'!F335),'Procyclean 210'!F335,IF(ISNUMBER(SEARCH("12",'Procyclean 210'!F335)),EDATE(AB1833,12),IF(ISNUMBER(SEARCH("6",'Procyclean 210'!F335)),EDATE(AB1833,6),IF(ISNUMBER(SEARCH("3",'Procyclean 210'!F335)),EDATE(AB1833,3),DATEVALUE('Procyclean 210'!F335))))),""))</f>
        <v/>
      </c>
      <c r="AM1833" t="str">
        <f t="shared" ca="1" si="190"/>
        <v/>
      </c>
    </row>
    <row r="1834" spans="27:39" x14ac:dyDescent="0.3">
      <c r="AA1834" t="str">
        <f>IF(COUNTA('Procyclean 210'!C336,'Procyclean 210'!D336,'Procyclean 210'!E336)&gt;0,"210","")</f>
        <v/>
      </c>
      <c r="AB1834" t="str">
        <f>IFERROR(IF(ISNUMBER('Procyclean 210'!C336),'Procyclean 210'!C336,DATEVALUE('Procyclean 210'!C336)),"")</f>
        <v/>
      </c>
      <c r="AC1834" t="str">
        <f>IF(AA1834="","",'Procyclean 210'!D336)</f>
        <v/>
      </c>
      <c r="AD1834" t="str">
        <f>IF(AA1834="","",IFERROR(1*'Procyclean 210'!E336,IFERROR(_xludf.NUMBERVALUE('Procyclean 210'!E336,".",","),IFERROR(_xludf.NUMBERVALUE('Procyclean 210'!E336,",","."),0))))</f>
        <v/>
      </c>
      <c r="AE1834" t="str">
        <f>IF(AA1834="","",'Procyclean 210'!B336)</f>
        <v/>
      </c>
      <c r="AF1834">
        <f t="shared" si="185"/>
        <v>0</v>
      </c>
      <c r="AG1834" t="str">
        <f t="shared" si="186"/>
        <v/>
      </c>
      <c r="AH1834" t="str">
        <f t="shared" si="187"/>
        <v/>
      </c>
      <c r="AI1834">
        <f t="shared" si="188"/>
        <v>0</v>
      </c>
      <c r="AJ1834">
        <f t="shared" si="189"/>
        <v>0</v>
      </c>
      <c r="AK1834">
        <v>0</v>
      </c>
      <c r="AL1834" t="str">
        <f>IF(AA1834="","",IFERROR(IF(ISNUMBER('Procyclean 210'!F336),'Procyclean 210'!F336,IF(ISNUMBER(SEARCH("12",'Procyclean 210'!F336)),EDATE(AB1834,12),IF(ISNUMBER(SEARCH("6",'Procyclean 210'!F336)),EDATE(AB1834,6),IF(ISNUMBER(SEARCH("3",'Procyclean 210'!F336)),EDATE(AB1834,3),DATEVALUE('Procyclean 210'!F336))))),""))</f>
        <v/>
      </c>
      <c r="AM1834" t="str">
        <f t="shared" ca="1" si="190"/>
        <v/>
      </c>
    </row>
    <row r="1835" spans="27:39" x14ac:dyDescent="0.3">
      <c r="AA1835" t="str">
        <f>IF(COUNTA('Procyclean 210'!C337,'Procyclean 210'!D337,'Procyclean 210'!E337)&gt;0,"210","")</f>
        <v/>
      </c>
      <c r="AB1835" t="str">
        <f>IFERROR(IF(ISNUMBER('Procyclean 210'!C337),'Procyclean 210'!C337,DATEVALUE('Procyclean 210'!C337)),"")</f>
        <v/>
      </c>
      <c r="AC1835" t="str">
        <f>IF(AA1835="","",'Procyclean 210'!D337)</f>
        <v/>
      </c>
      <c r="AD1835" t="str">
        <f>IF(AA1835="","",IFERROR(1*'Procyclean 210'!E337,IFERROR(_xludf.NUMBERVALUE('Procyclean 210'!E337,".",","),IFERROR(_xludf.NUMBERVALUE('Procyclean 210'!E337,",","."),0))))</f>
        <v/>
      </c>
      <c r="AE1835" t="str">
        <f>IF(AA1835="","",'Procyclean 210'!B337)</f>
        <v/>
      </c>
      <c r="AF1835">
        <f t="shared" si="185"/>
        <v>0</v>
      </c>
      <c r="AG1835" t="str">
        <f t="shared" si="186"/>
        <v/>
      </c>
      <c r="AH1835" t="str">
        <f t="shared" si="187"/>
        <v/>
      </c>
      <c r="AI1835">
        <f t="shared" si="188"/>
        <v>0</v>
      </c>
      <c r="AJ1835">
        <f t="shared" si="189"/>
        <v>0</v>
      </c>
      <c r="AK1835">
        <v>0</v>
      </c>
      <c r="AL1835" t="str">
        <f>IF(AA1835="","",IFERROR(IF(ISNUMBER('Procyclean 210'!F337),'Procyclean 210'!F337,IF(ISNUMBER(SEARCH("12",'Procyclean 210'!F337)),EDATE(AB1835,12),IF(ISNUMBER(SEARCH("6",'Procyclean 210'!F337)),EDATE(AB1835,6),IF(ISNUMBER(SEARCH("3",'Procyclean 210'!F337)),EDATE(AB1835,3),DATEVALUE('Procyclean 210'!F337))))),""))</f>
        <v/>
      </c>
      <c r="AM1835" t="str">
        <f t="shared" ca="1" si="190"/>
        <v/>
      </c>
    </row>
    <row r="1836" spans="27:39" x14ac:dyDescent="0.3">
      <c r="AA1836" t="str">
        <f>IF(COUNTA('Procyclean 210'!C338,'Procyclean 210'!D338,'Procyclean 210'!E338)&gt;0,"210","")</f>
        <v/>
      </c>
      <c r="AB1836" t="str">
        <f>IFERROR(IF(ISNUMBER('Procyclean 210'!C338),'Procyclean 210'!C338,DATEVALUE('Procyclean 210'!C338)),"")</f>
        <v/>
      </c>
      <c r="AC1836" t="str">
        <f>IF(AA1836="","",'Procyclean 210'!D338)</f>
        <v/>
      </c>
      <c r="AD1836" t="str">
        <f>IF(AA1836="","",IFERROR(1*'Procyclean 210'!E338,IFERROR(_xludf.NUMBERVALUE('Procyclean 210'!E338,".",","),IFERROR(_xludf.NUMBERVALUE('Procyclean 210'!E338,",","."),0))))</f>
        <v/>
      </c>
      <c r="AE1836" t="str">
        <f>IF(AA1836="","",'Procyclean 210'!B338)</f>
        <v/>
      </c>
      <c r="AF1836">
        <f t="shared" si="185"/>
        <v>0</v>
      </c>
      <c r="AG1836" t="str">
        <f t="shared" si="186"/>
        <v/>
      </c>
      <c r="AH1836" t="str">
        <f t="shared" si="187"/>
        <v/>
      </c>
      <c r="AI1836">
        <f t="shared" si="188"/>
        <v>0</v>
      </c>
      <c r="AJ1836">
        <f t="shared" si="189"/>
        <v>0</v>
      </c>
      <c r="AK1836">
        <v>0</v>
      </c>
      <c r="AL1836" t="str">
        <f>IF(AA1836="","",IFERROR(IF(ISNUMBER('Procyclean 210'!F338),'Procyclean 210'!F338,IF(ISNUMBER(SEARCH("12",'Procyclean 210'!F338)),EDATE(AB1836,12),IF(ISNUMBER(SEARCH("6",'Procyclean 210'!F338)),EDATE(AB1836,6),IF(ISNUMBER(SEARCH("3",'Procyclean 210'!F338)),EDATE(AB1836,3),DATEVALUE('Procyclean 210'!F338))))),""))</f>
        <v/>
      </c>
      <c r="AM1836" t="str">
        <f t="shared" ca="1" si="190"/>
        <v/>
      </c>
    </row>
    <row r="1837" spans="27:39" x14ac:dyDescent="0.3">
      <c r="AA1837" t="str">
        <f>IF(COUNTA('Procyclean 210'!C339,'Procyclean 210'!D339,'Procyclean 210'!E339)&gt;0,"210","")</f>
        <v/>
      </c>
      <c r="AB1837" t="str">
        <f>IFERROR(IF(ISNUMBER('Procyclean 210'!C339),'Procyclean 210'!C339,DATEVALUE('Procyclean 210'!C339)),"")</f>
        <v/>
      </c>
      <c r="AC1837" t="str">
        <f>IF(AA1837="","",'Procyclean 210'!D339)</f>
        <v/>
      </c>
      <c r="AD1837" t="str">
        <f>IF(AA1837="","",IFERROR(1*'Procyclean 210'!E339,IFERROR(_xludf.NUMBERVALUE('Procyclean 210'!E339,".",","),IFERROR(_xludf.NUMBERVALUE('Procyclean 210'!E339,",","."),0))))</f>
        <v/>
      </c>
      <c r="AE1837" t="str">
        <f>IF(AA1837="","",'Procyclean 210'!B339)</f>
        <v/>
      </c>
      <c r="AF1837">
        <f t="shared" si="185"/>
        <v>0</v>
      </c>
      <c r="AG1837" t="str">
        <f t="shared" si="186"/>
        <v/>
      </c>
      <c r="AH1837" t="str">
        <f t="shared" si="187"/>
        <v/>
      </c>
      <c r="AI1837">
        <f t="shared" si="188"/>
        <v>0</v>
      </c>
      <c r="AJ1837">
        <f t="shared" si="189"/>
        <v>0</v>
      </c>
      <c r="AK1837">
        <v>0</v>
      </c>
      <c r="AL1837" t="str">
        <f>IF(AA1837="","",IFERROR(IF(ISNUMBER('Procyclean 210'!F339),'Procyclean 210'!F339,IF(ISNUMBER(SEARCH("12",'Procyclean 210'!F339)),EDATE(AB1837,12),IF(ISNUMBER(SEARCH("6",'Procyclean 210'!F339)),EDATE(AB1837,6),IF(ISNUMBER(SEARCH("3",'Procyclean 210'!F339)),EDATE(AB1837,3),DATEVALUE('Procyclean 210'!F339))))),""))</f>
        <v/>
      </c>
      <c r="AM1837" t="str">
        <f t="shared" ca="1" si="190"/>
        <v/>
      </c>
    </row>
    <row r="1838" spans="27:39" x14ac:dyDescent="0.3">
      <c r="AA1838" t="str">
        <f>IF(COUNTA('Procyclean 210'!C340,'Procyclean 210'!D340,'Procyclean 210'!E340)&gt;0,"210","")</f>
        <v/>
      </c>
      <c r="AB1838" t="str">
        <f>IFERROR(IF(ISNUMBER('Procyclean 210'!C340),'Procyclean 210'!C340,DATEVALUE('Procyclean 210'!C340)),"")</f>
        <v/>
      </c>
      <c r="AC1838" t="str">
        <f>IF(AA1838="","",'Procyclean 210'!D340)</f>
        <v/>
      </c>
      <c r="AD1838" t="str">
        <f>IF(AA1838="","",IFERROR(1*'Procyclean 210'!E340,IFERROR(_xludf.NUMBERVALUE('Procyclean 210'!E340,".",","),IFERROR(_xludf.NUMBERVALUE('Procyclean 210'!E340,",","."),0))))</f>
        <v/>
      </c>
      <c r="AE1838" t="str">
        <f>IF(AA1838="","",'Procyclean 210'!B340)</f>
        <v/>
      </c>
      <c r="AF1838">
        <f t="shared" si="185"/>
        <v>0</v>
      </c>
      <c r="AG1838" t="str">
        <f t="shared" si="186"/>
        <v/>
      </c>
      <c r="AH1838" t="str">
        <f t="shared" si="187"/>
        <v/>
      </c>
      <c r="AI1838">
        <f t="shared" si="188"/>
        <v>0</v>
      </c>
      <c r="AJ1838">
        <f t="shared" si="189"/>
        <v>0</v>
      </c>
      <c r="AK1838">
        <v>0</v>
      </c>
      <c r="AL1838" t="str">
        <f>IF(AA1838="","",IFERROR(IF(ISNUMBER('Procyclean 210'!F340),'Procyclean 210'!F340,IF(ISNUMBER(SEARCH("12",'Procyclean 210'!F340)),EDATE(AB1838,12),IF(ISNUMBER(SEARCH("6",'Procyclean 210'!F340)),EDATE(AB1838,6),IF(ISNUMBER(SEARCH("3",'Procyclean 210'!F340)),EDATE(AB1838,3),DATEVALUE('Procyclean 210'!F340))))),""))</f>
        <v/>
      </c>
      <c r="AM1838" t="str">
        <f t="shared" ca="1" si="190"/>
        <v/>
      </c>
    </row>
    <row r="1839" spans="27:39" x14ac:dyDescent="0.3">
      <c r="AA1839" t="str">
        <f>IF(COUNTA('Procyclean 210'!C341,'Procyclean 210'!D341,'Procyclean 210'!E341)&gt;0,"210","")</f>
        <v/>
      </c>
      <c r="AB1839" t="str">
        <f>IFERROR(IF(ISNUMBER('Procyclean 210'!C341),'Procyclean 210'!C341,DATEVALUE('Procyclean 210'!C341)),"")</f>
        <v/>
      </c>
      <c r="AC1839" t="str">
        <f>IF(AA1839="","",'Procyclean 210'!D341)</f>
        <v/>
      </c>
      <c r="AD1839" t="str">
        <f>IF(AA1839="","",IFERROR(1*'Procyclean 210'!E341,IFERROR(_xludf.NUMBERVALUE('Procyclean 210'!E341,".",","),IFERROR(_xludf.NUMBERVALUE('Procyclean 210'!E341,",","."),0))))</f>
        <v/>
      </c>
      <c r="AE1839" t="str">
        <f>IF(AA1839="","",'Procyclean 210'!B341)</f>
        <v/>
      </c>
      <c r="AF1839">
        <f t="shared" si="185"/>
        <v>0</v>
      </c>
      <c r="AG1839" t="str">
        <f t="shared" si="186"/>
        <v/>
      </c>
      <c r="AH1839" t="str">
        <f t="shared" si="187"/>
        <v/>
      </c>
      <c r="AI1839">
        <f t="shared" si="188"/>
        <v>0</v>
      </c>
      <c r="AJ1839">
        <f t="shared" si="189"/>
        <v>0</v>
      </c>
      <c r="AK1839">
        <v>0</v>
      </c>
      <c r="AL1839" t="str">
        <f>IF(AA1839="","",IFERROR(IF(ISNUMBER('Procyclean 210'!F341),'Procyclean 210'!F341,IF(ISNUMBER(SEARCH("12",'Procyclean 210'!F341)),EDATE(AB1839,12),IF(ISNUMBER(SEARCH("6",'Procyclean 210'!F341)),EDATE(AB1839,6),IF(ISNUMBER(SEARCH("3",'Procyclean 210'!F341)),EDATE(AB1839,3),DATEVALUE('Procyclean 210'!F341))))),""))</f>
        <v/>
      </c>
      <c r="AM1839" t="str">
        <f t="shared" ca="1" si="190"/>
        <v/>
      </c>
    </row>
    <row r="1840" spans="27:39" x14ac:dyDescent="0.3">
      <c r="AA1840" t="str">
        <f>IF(COUNTA('Procyclean 210'!C342,'Procyclean 210'!D342,'Procyclean 210'!E342)&gt;0,"210","")</f>
        <v/>
      </c>
      <c r="AB1840" t="str">
        <f>IFERROR(IF(ISNUMBER('Procyclean 210'!C342),'Procyclean 210'!C342,DATEVALUE('Procyclean 210'!C342)),"")</f>
        <v/>
      </c>
      <c r="AC1840" t="str">
        <f>IF(AA1840="","",'Procyclean 210'!D342)</f>
        <v/>
      </c>
      <c r="AD1840" t="str">
        <f>IF(AA1840="","",IFERROR(1*'Procyclean 210'!E342,IFERROR(_xludf.NUMBERVALUE('Procyclean 210'!E342,".",","),IFERROR(_xludf.NUMBERVALUE('Procyclean 210'!E342,",","."),0))))</f>
        <v/>
      </c>
      <c r="AE1840" t="str">
        <f>IF(AA1840="","",'Procyclean 210'!B342)</f>
        <v/>
      </c>
      <c r="AF1840">
        <f t="shared" si="185"/>
        <v>0</v>
      </c>
      <c r="AG1840" t="str">
        <f t="shared" si="186"/>
        <v/>
      </c>
      <c r="AH1840" t="str">
        <f t="shared" si="187"/>
        <v/>
      </c>
      <c r="AI1840">
        <f t="shared" si="188"/>
        <v>0</v>
      </c>
      <c r="AJ1840">
        <f t="shared" si="189"/>
        <v>0</v>
      </c>
      <c r="AK1840">
        <v>0</v>
      </c>
      <c r="AL1840" t="str">
        <f>IF(AA1840="","",IFERROR(IF(ISNUMBER('Procyclean 210'!F342),'Procyclean 210'!F342,IF(ISNUMBER(SEARCH("12",'Procyclean 210'!F342)),EDATE(AB1840,12),IF(ISNUMBER(SEARCH("6",'Procyclean 210'!F342)),EDATE(AB1840,6),IF(ISNUMBER(SEARCH("3",'Procyclean 210'!F342)),EDATE(AB1840,3),DATEVALUE('Procyclean 210'!F342))))),""))</f>
        <v/>
      </c>
      <c r="AM1840" t="str">
        <f t="shared" ca="1" si="190"/>
        <v/>
      </c>
    </row>
    <row r="1841" spans="27:39" x14ac:dyDescent="0.3">
      <c r="AA1841" t="str">
        <f>IF(COUNTA('Procyclean 210'!C343,'Procyclean 210'!D343,'Procyclean 210'!E343)&gt;0,"210","")</f>
        <v/>
      </c>
      <c r="AB1841" t="str">
        <f>IFERROR(IF(ISNUMBER('Procyclean 210'!C343),'Procyclean 210'!C343,DATEVALUE('Procyclean 210'!C343)),"")</f>
        <v/>
      </c>
      <c r="AC1841" t="str">
        <f>IF(AA1841="","",'Procyclean 210'!D343)</f>
        <v/>
      </c>
      <c r="AD1841" t="str">
        <f>IF(AA1841="","",IFERROR(1*'Procyclean 210'!E343,IFERROR(_xludf.NUMBERVALUE('Procyclean 210'!E343,".",","),IFERROR(_xludf.NUMBERVALUE('Procyclean 210'!E343,",","."),0))))</f>
        <v/>
      </c>
      <c r="AE1841" t="str">
        <f>IF(AA1841="","",'Procyclean 210'!B343)</f>
        <v/>
      </c>
      <c r="AF1841">
        <f t="shared" si="185"/>
        <v>0</v>
      </c>
      <c r="AG1841" t="str">
        <f t="shared" si="186"/>
        <v/>
      </c>
      <c r="AH1841" t="str">
        <f t="shared" si="187"/>
        <v/>
      </c>
      <c r="AI1841">
        <f t="shared" si="188"/>
        <v>0</v>
      </c>
      <c r="AJ1841">
        <f t="shared" si="189"/>
        <v>0</v>
      </c>
      <c r="AK1841">
        <v>0</v>
      </c>
      <c r="AL1841" t="str">
        <f>IF(AA1841="","",IFERROR(IF(ISNUMBER('Procyclean 210'!F343),'Procyclean 210'!F343,IF(ISNUMBER(SEARCH("12",'Procyclean 210'!F343)),EDATE(AB1841,12),IF(ISNUMBER(SEARCH("6",'Procyclean 210'!F343)),EDATE(AB1841,6),IF(ISNUMBER(SEARCH("3",'Procyclean 210'!F343)),EDATE(AB1841,3),DATEVALUE('Procyclean 210'!F343))))),""))</f>
        <v/>
      </c>
      <c r="AM1841" t="str">
        <f t="shared" ca="1" si="190"/>
        <v/>
      </c>
    </row>
    <row r="1842" spans="27:39" x14ac:dyDescent="0.3">
      <c r="AA1842" t="str">
        <f>IF(COUNTA('Procyclean 210'!C344,'Procyclean 210'!D344,'Procyclean 210'!E344)&gt;0,"210","")</f>
        <v/>
      </c>
      <c r="AB1842" t="str">
        <f>IFERROR(IF(ISNUMBER('Procyclean 210'!C344),'Procyclean 210'!C344,DATEVALUE('Procyclean 210'!C344)),"")</f>
        <v/>
      </c>
      <c r="AC1842" t="str">
        <f>IF(AA1842="","",'Procyclean 210'!D344)</f>
        <v/>
      </c>
      <c r="AD1842" t="str">
        <f>IF(AA1842="","",IFERROR(1*'Procyclean 210'!E344,IFERROR(_xludf.NUMBERVALUE('Procyclean 210'!E344,".",","),IFERROR(_xludf.NUMBERVALUE('Procyclean 210'!E344,",","."),0))))</f>
        <v/>
      </c>
      <c r="AE1842" t="str">
        <f>IF(AA1842="","",'Procyclean 210'!B344)</f>
        <v/>
      </c>
      <c r="AF1842">
        <f t="shared" si="185"/>
        <v>0</v>
      </c>
      <c r="AG1842" t="str">
        <f t="shared" si="186"/>
        <v/>
      </c>
      <c r="AH1842" t="str">
        <f t="shared" si="187"/>
        <v/>
      </c>
      <c r="AI1842">
        <f t="shared" si="188"/>
        <v>0</v>
      </c>
      <c r="AJ1842">
        <f t="shared" si="189"/>
        <v>0</v>
      </c>
      <c r="AK1842">
        <v>0</v>
      </c>
      <c r="AL1842" t="str">
        <f>IF(AA1842="","",IFERROR(IF(ISNUMBER('Procyclean 210'!F344),'Procyclean 210'!F344,IF(ISNUMBER(SEARCH("12",'Procyclean 210'!F344)),EDATE(AB1842,12),IF(ISNUMBER(SEARCH("6",'Procyclean 210'!F344)),EDATE(AB1842,6),IF(ISNUMBER(SEARCH("3",'Procyclean 210'!F344)),EDATE(AB1842,3),DATEVALUE('Procyclean 210'!F344))))),""))</f>
        <v/>
      </c>
      <c r="AM1842" t="str">
        <f t="shared" ca="1" si="190"/>
        <v/>
      </c>
    </row>
    <row r="1843" spans="27:39" x14ac:dyDescent="0.3">
      <c r="AA1843" t="str">
        <f>IF(COUNTA('Procyclean 210'!C345,'Procyclean 210'!D345,'Procyclean 210'!E345)&gt;0,"210","")</f>
        <v/>
      </c>
      <c r="AB1843" t="str">
        <f>IFERROR(IF(ISNUMBER('Procyclean 210'!C345),'Procyclean 210'!C345,DATEVALUE('Procyclean 210'!C345)),"")</f>
        <v/>
      </c>
      <c r="AC1843" t="str">
        <f>IF(AA1843="","",'Procyclean 210'!D345)</f>
        <v/>
      </c>
      <c r="AD1843" t="str">
        <f>IF(AA1843="","",IFERROR(1*'Procyclean 210'!E345,IFERROR(_xludf.NUMBERVALUE('Procyclean 210'!E345,".",","),IFERROR(_xludf.NUMBERVALUE('Procyclean 210'!E345,",","."),0))))</f>
        <v/>
      </c>
      <c r="AE1843" t="str">
        <f>IF(AA1843="","",'Procyclean 210'!B345)</f>
        <v/>
      </c>
      <c r="AF1843">
        <f t="shared" si="185"/>
        <v>0</v>
      </c>
      <c r="AG1843" t="str">
        <f t="shared" si="186"/>
        <v/>
      </c>
      <c r="AH1843" t="str">
        <f t="shared" si="187"/>
        <v/>
      </c>
      <c r="AI1843">
        <f t="shared" si="188"/>
        <v>0</v>
      </c>
      <c r="AJ1843">
        <f t="shared" si="189"/>
        <v>0</v>
      </c>
      <c r="AK1843">
        <v>0</v>
      </c>
      <c r="AL1843" t="str">
        <f>IF(AA1843="","",IFERROR(IF(ISNUMBER('Procyclean 210'!F345),'Procyclean 210'!F345,IF(ISNUMBER(SEARCH("12",'Procyclean 210'!F345)),EDATE(AB1843,12),IF(ISNUMBER(SEARCH("6",'Procyclean 210'!F345)),EDATE(AB1843,6),IF(ISNUMBER(SEARCH("3",'Procyclean 210'!F345)),EDATE(AB1843,3),DATEVALUE('Procyclean 210'!F345))))),""))</f>
        <v/>
      </c>
      <c r="AM1843" t="str">
        <f t="shared" ca="1" si="190"/>
        <v/>
      </c>
    </row>
    <row r="1844" spans="27:39" x14ac:dyDescent="0.3">
      <c r="AA1844" t="str">
        <f>IF(COUNTA('Procyclean 210'!C346,'Procyclean 210'!D346,'Procyclean 210'!E346)&gt;0,"210","")</f>
        <v/>
      </c>
      <c r="AB1844" t="str">
        <f>IFERROR(IF(ISNUMBER('Procyclean 210'!C346),'Procyclean 210'!C346,DATEVALUE('Procyclean 210'!C346)),"")</f>
        <v/>
      </c>
      <c r="AC1844" t="str">
        <f>IF(AA1844="","",'Procyclean 210'!D346)</f>
        <v/>
      </c>
      <c r="AD1844" t="str">
        <f>IF(AA1844="","",IFERROR(1*'Procyclean 210'!E346,IFERROR(_xludf.NUMBERVALUE('Procyclean 210'!E346,".",","),IFERROR(_xludf.NUMBERVALUE('Procyclean 210'!E346,",","."),0))))</f>
        <v/>
      </c>
      <c r="AE1844" t="str">
        <f>IF(AA1844="","",'Procyclean 210'!B346)</f>
        <v/>
      </c>
      <c r="AF1844">
        <f t="shared" si="185"/>
        <v>0</v>
      </c>
      <c r="AG1844" t="str">
        <f t="shared" si="186"/>
        <v/>
      </c>
      <c r="AH1844" t="str">
        <f t="shared" si="187"/>
        <v/>
      </c>
      <c r="AI1844">
        <f t="shared" si="188"/>
        <v>0</v>
      </c>
      <c r="AJ1844">
        <f t="shared" si="189"/>
        <v>0</v>
      </c>
      <c r="AK1844">
        <v>0</v>
      </c>
      <c r="AL1844" t="str">
        <f>IF(AA1844="","",IFERROR(IF(ISNUMBER('Procyclean 210'!F346),'Procyclean 210'!F346,IF(ISNUMBER(SEARCH("12",'Procyclean 210'!F346)),EDATE(AB1844,12),IF(ISNUMBER(SEARCH("6",'Procyclean 210'!F346)),EDATE(AB1844,6),IF(ISNUMBER(SEARCH("3",'Procyclean 210'!F346)),EDATE(AB1844,3),DATEVALUE('Procyclean 210'!F346))))),""))</f>
        <v/>
      </c>
      <c r="AM1844" t="str">
        <f t="shared" ca="1" si="190"/>
        <v/>
      </c>
    </row>
    <row r="1845" spans="27:39" x14ac:dyDescent="0.3">
      <c r="AA1845" t="str">
        <f>IF(COUNTA('Procyclean 210'!C347,'Procyclean 210'!D347,'Procyclean 210'!E347)&gt;0,"210","")</f>
        <v/>
      </c>
      <c r="AB1845" t="str">
        <f>IFERROR(IF(ISNUMBER('Procyclean 210'!C347),'Procyclean 210'!C347,DATEVALUE('Procyclean 210'!C347)),"")</f>
        <v/>
      </c>
      <c r="AC1845" t="str">
        <f>IF(AA1845="","",'Procyclean 210'!D347)</f>
        <v/>
      </c>
      <c r="AD1845" t="str">
        <f>IF(AA1845="","",IFERROR(1*'Procyclean 210'!E347,IFERROR(_xludf.NUMBERVALUE('Procyclean 210'!E347,".",","),IFERROR(_xludf.NUMBERVALUE('Procyclean 210'!E347,",","."),0))))</f>
        <v/>
      </c>
      <c r="AE1845" t="str">
        <f>IF(AA1845="","",'Procyclean 210'!B347)</f>
        <v/>
      </c>
      <c r="AF1845">
        <f t="shared" si="185"/>
        <v>0</v>
      </c>
      <c r="AG1845" t="str">
        <f t="shared" si="186"/>
        <v/>
      </c>
      <c r="AH1845" t="str">
        <f t="shared" si="187"/>
        <v/>
      </c>
      <c r="AI1845">
        <f t="shared" si="188"/>
        <v>0</v>
      </c>
      <c r="AJ1845">
        <f t="shared" si="189"/>
        <v>0</v>
      </c>
      <c r="AK1845">
        <v>0</v>
      </c>
      <c r="AL1845" t="str">
        <f>IF(AA1845="","",IFERROR(IF(ISNUMBER('Procyclean 210'!F347),'Procyclean 210'!F347,IF(ISNUMBER(SEARCH("12",'Procyclean 210'!F347)),EDATE(AB1845,12),IF(ISNUMBER(SEARCH("6",'Procyclean 210'!F347)),EDATE(AB1845,6),IF(ISNUMBER(SEARCH("3",'Procyclean 210'!F347)),EDATE(AB1845,3),DATEVALUE('Procyclean 210'!F347))))),""))</f>
        <v/>
      </c>
      <c r="AM1845" t="str">
        <f t="shared" ca="1" si="190"/>
        <v/>
      </c>
    </row>
    <row r="1846" spans="27:39" x14ac:dyDescent="0.3">
      <c r="AA1846" t="str">
        <f>IF(COUNTA('Procyclean 210'!C348,'Procyclean 210'!D348,'Procyclean 210'!E348)&gt;0,"210","")</f>
        <v/>
      </c>
      <c r="AB1846" t="str">
        <f>IFERROR(IF(ISNUMBER('Procyclean 210'!C348),'Procyclean 210'!C348,DATEVALUE('Procyclean 210'!C348)),"")</f>
        <v/>
      </c>
      <c r="AC1846" t="str">
        <f>IF(AA1846="","",'Procyclean 210'!D348)</f>
        <v/>
      </c>
      <c r="AD1846" t="str">
        <f>IF(AA1846="","",IFERROR(1*'Procyclean 210'!E348,IFERROR(_xludf.NUMBERVALUE('Procyclean 210'!E348,".",","),IFERROR(_xludf.NUMBERVALUE('Procyclean 210'!E348,",","."),0))))</f>
        <v/>
      </c>
      <c r="AE1846" t="str">
        <f>IF(AA1846="","",'Procyclean 210'!B348)</f>
        <v/>
      </c>
      <c r="AF1846">
        <f t="shared" si="185"/>
        <v>0</v>
      </c>
      <c r="AG1846" t="str">
        <f t="shared" si="186"/>
        <v/>
      </c>
      <c r="AH1846" t="str">
        <f t="shared" si="187"/>
        <v/>
      </c>
      <c r="AI1846">
        <f t="shared" si="188"/>
        <v>0</v>
      </c>
      <c r="AJ1846">
        <f t="shared" si="189"/>
        <v>0</v>
      </c>
      <c r="AK1846">
        <v>0</v>
      </c>
      <c r="AL1846" t="str">
        <f>IF(AA1846="","",IFERROR(IF(ISNUMBER('Procyclean 210'!F348),'Procyclean 210'!F348,IF(ISNUMBER(SEARCH("12",'Procyclean 210'!F348)),EDATE(AB1846,12),IF(ISNUMBER(SEARCH("6",'Procyclean 210'!F348)),EDATE(AB1846,6),IF(ISNUMBER(SEARCH("3",'Procyclean 210'!F348)),EDATE(AB1846,3),DATEVALUE('Procyclean 210'!F348))))),""))</f>
        <v/>
      </c>
      <c r="AM1846" t="str">
        <f t="shared" ca="1" si="190"/>
        <v/>
      </c>
    </row>
    <row r="1847" spans="27:39" x14ac:dyDescent="0.3">
      <c r="AA1847" t="str">
        <f>IF(COUNTA('Procyclean 210'!C349,'Procyclean 210'!D349,'Procyclean 210'!E349)&gt;0,"210","")</f>
        <v/>
      </c>
      <c r="AB1847" t="str">
        <f>IFERROR(IF(ISNUMBER('Procyclean 210'!C349),'Procyclean 210'!C349,DATEVALUE('Procyclean 210'!C349)),"")</f>
        <v/>
      </c>
      <c r="AC1847" t="str">
        <f>IF(AA1847="","",'Procyclean 210'!D349)</f>
        <v/>
      </c>
      <c r="AD1847" t="str">
        <f>IF(AA1847="","",IFERROR(1*'Procyclean 210'!E349,IFERROR(_xludf.NUMBERVALUE('Procyclean 210'!E349,".",","),IFERROR(_xludf.NUMBERVALUE('Procyclean 210'!E349,",","."),0))))</f>
        <v/>
      </c>
      <c r="AE1847" t="str">
        <f>IF(AA1847="","",'Procyclean 210'!B349)</f>
        <v/>
      </c>
      <c r="AF1847">
        <f t="shared" si="185"/>
        <v>0</v>
      </c>
      <c r="AG1847" t="str">
        <f t="shared" si="186"/>
        <v/>
      </c>
      <c r="AH1847" t="str">
        <f t="shared" si="187"/>
        <v/>
      </c>
      <c r="AI1847">
        <f t="shared" si="188"/>
        <v>0</v>
      </c>
      <c r="AJ1847">
        <f t="shared" si="189"/>
        <v>0</v>
      </c>
      <c r="AK1847">
        <v>0</v>
      </c>
      <c r="AL1847" t="str">
        <f>IF(AA1847="","",IFERROR(IF(ISNUMBER('Procyclean 210'!F349),'Procyclean 210'!F349,IF(ISNUMBER(SEARCH("12",'Procyclean 210'!F349)),EDATE(AB1847,12),IF(ISNUMBER(SEARCH("6",'Procyclean 210'!F349)),EDATE(AB1847,6),IF(ISNUMBER(SEARCH("3",'Procyclean 210'!F349)),EDATE(AB1847,3),DATEVALUE('Procyclean 210'!F349))))),""))</f>
        <v/>
      </c>
      <c r="AM1847" t="str">
        <f t="shared" ca="1" si="190"/>
        <v/>
      </c>
    </row>
    <row r="1848" spans="27:39" x14ac:dyDescent="0.3">
      <c r="AA1848" t="str">
        <f>IF(COUNTA('Procyclean 210'!C350,'Procyclean 210'!D350,'Procyclean 210'!E350)&gt;0,"210","")</f>
        <v/>
      </c>
      <c r="AB1848" t="str">
        <f>IFERROR(IF(ISNUMBER('Procyclean 210'!C350),'Procyclean 210'!C350,DATEVALUE('Procyclean 210'!C350)),"")</f>
        <v/>
      </c>
      <c r="AC1848" t="str">
        <f>IF(AA1848="","",'Procyclean 210'!D350)</f>
        <v/>
      </c>
      <c r="AD1848" t="str">
        <f>IF(AA1848="","",IFERROR(1*'Procyclean 210'!E350,IFERROR(_xludf.NUMBERVALUE('Procyclean 210'!E350,".",","),IFERROR(_xludf.NUMBERVALUE('Procyclean 210'!E350,",","."),0))))</f>
        <v/>
      </c>
      <c r="AE1848" t="str">
        <f>IF(AA1848="","",'Procyclean 210'!B350)</f>
        <v/>
      </c>
      <c r="AF1848">
        <f t="shared" si="185"/>
        <v>0</v>
      </c>
      <c r="AG1848" t="str">
        <f t="shared" si="186"/>
        <v/>
      </c>
      <c r="AH1848" t="str">
        <f t="shared" si="187"/>
        <v/>
      </c>
      <c r="AI1848">
        <f t="shared" si="188"/>
        <v>0</v>
      </c>
      <c r="AJ1848">
        <f t="shared" si="189"/>
        <v>0</v>
      </c>
      <c r="AK1848">
        <v>0</v>
      </c>
      <c r="AL1848" t="str">
        <f>IF(AA1848="","",IFERROR(IF(ISNUMBER('Procyclean 210'!F350),'Procyclean 210'!F350,IF(ISNUMBER(SEARCH("12",'Procyclean 210'!F350)),EDATE(AB1848,12),IF(ISNUMBER(SEARCH("6",'Procyclean 210'!F350)),EDATE(AB1848,6),IF(ISNUMBER(SEARCH("3",'Procyclean 210'!F350)),EDATE(AB1848,3),DATEVALUE('Procyclean 210'!F350))))),""))</f>
        <v/>
      </c>
      <c r="AM1848" t="str">
        <f t="shared" ca="1" si="190"/>
        <v/>
      </c>
    </row>
    <row r="1849" spans="27:39" x14ac:dyDescent="0.3">
      <c r="AA1849" t="str">
        <f>IF(COUNTA('Procyclean 210'!C351,'Procyclean 210'!D351,'Procyclean 210'!E351)&gt;0,"210","")</f>
        <v/>
      </c>
      <c r="AB1849" t="str">
        <f>IFERROR(IF(ISNUMBER('Procyclean 210'!C351),'Procyclean 210'!C351,DATEVALUE('Procyclean 210'!C351)),"")</f>
        <v/>
      </c>
      <c r="AC1849" t="str">
        <f>IF(AA1849="","",'Procyclean 210'!D351)</f>
        <v/>
      </c>
      <c r="AD1849" t="str">
        <f>IF(AA1849="","",IFERROR(1*'Procyclean 210'!E351,IFERROR(_xludf.NUMBERVALUE('Procyclean 210'!E351,".",","),IFERROR(_xludf.NUMBERVALUE('Procyclean 210'!E351,",","."),0))))</f>
        <v/>
      </c>
      <c r="AE1849" t="str">
        <f>IF(AA1849="","",'Procyclean 210'!B351)</f>
        <v/>
      </c>
      <c r="AF1849">
        <f t="shared" si="185"/>
        <v>0</v>
      </c>
      <c r="AG1849" t="str">
        <f t="shared" si="186"/>
        <v/>
      </c>
      <c r="AH1849" t="str">
        <f t="shared" si="187"/>
        <v/>
      </c>
      <c r="AI1849">
        <f t="shared" si="188"/>
        <v>0</v>
      </c>
      <c r="AJ1849">
        <f t="shared" si="189"/>
        <v>0</v>
      </c>
      <c r="AK1849">
        <v>0</v>
      </c>
      <c r="AL1849" t="str">
        <f>IF(AA1849="","",IFERROR(IF(ISNUMBER('Procyclean 210'!F351),'Procyclean 210'!F351,IF(ISNUMBER(SEARCH("12",'Procyclean 210'!F351)),EDATE(AB1849,12),IF(ISNUMBER(SEARCH("6",'Procyclean 210'!F351)),EDATE(AB1849,6),IF(ISNUMBER(SEARCH("3",'Procyclean 210'!F351)),EDATE(AB1849,3),DATEVALUE('Procyclean 210'!F351))))),""))</f>
        <v/>
      </c>
      <c r="AM1849" t="str">
        <f t="shared" ca="1" si="190"/>
        <v/>
      </c>
    </row>
    <row r="1850" spans="27:39" x14ac:dyDescent="0.3">
      <c r="AA1850" t="str">
        <f>IF(COUNTA('Procyclean 210'!C352,'Procyclean 210'!D352,'Procyclean 210'!E352)&gt;0,"210","")</f>
        <v/>
      </c>
      <c r="AB1850" t="str">
        <f>IFERROR(IF(ISNUMBER('Procyclean 210'!C352),'Procyclean 210'!C352,DATEVALUE('Procyclean 210'!C352)),"")</f>
        <v/>
      </c>
      <c r="AC1850" t="str">
        <f>IF(AA1850="","",'Procyclean 210'!D352)</f>
        <v/>
      </c>
      <c r="AD1850" t="str">
        <f>IF(AA1850="","",IFERROR(1*'Procyclean 210'!E352,IFERROR(_xludf.NUMBERVALUE('Procyclean 210'!E352,".",","),IFERROR(_xludf.NUMBERVALUE('Procyclean 210'!E352,",","."),0))))</f>
        <v/>
      </c>
      <c r="AE1850" t="str">
        <f>IF(AA1850="","",'Procyclean 210'!B352)</f>
        <v/>
      </c>
      <c r="AF1850">
        <f t="shared" si="185"/>
        <v>0</v>
      </c>
      <c r="AG1850" t="str">
        <f t="shared" si="186"/>
        <v/>
      </c>
      <c r="AH1850" t="str">
        <f t="shared" si="187"/>
        <v/>
      </c>
      <c r="AI1850">
        <f t="shared" si="188"/>
        <v>0</v>
      </c>
      <c r="AJ1850">
        <f t="shared" si="189"/>
        <v>0</v>
      </c>
      <c r="AK1850">
        <v>0</v>
      </c>
      <c r="AL1850" t="str">
        <f>IF(AA1850="","",IFERROR(IF(ISNUMBER('Procyclean 210'!F352),'Procyclean 210'!F352,IF(ISNUMBER(SEARCH("12",'Procyclean 210'!F352)),EDATE(AB1850,12),IF(ISNUMBER(SEARCH("6",'Procyclean 210'!F352)),EDATE(AB1850,6),IF(ISNUMBER(SEARCH("3",'Procyclean 210'!F352)),EDATE(AB1850,3),DATEVALUE('Procyclean 210'!F352))))),""))</f>
        <v/>
      </c>
      <c r="AM1850" t="str">
        <f t="shared" ca="1" si="190"/>
        <v/>
      </c>
    </row>
    <row r="1851" spans="27:39" x14ac:dyDescent="0.3">
      <c r="AA1851" t="str">
        <f>IF(COUNTA('Procyclean 210'!C353,'Procyclean 210'!D353,'Procyclean 210'!E353)&gt;0,"210","")</f>
        <v/>
      </c>
      <c r="AB1851" t="str">
        <f>IFERROR(IF(ISNUMBER('Procyclean 210'!C353),'Procyclean 210'!C353,DATEVALUE('Procyclean 210'!C353)),"")</f>
        <v/>
      </c>
      <c r="AC1851" t="str">
        <f>IF(AA1851="","",'Procyclean 210'!D353)</f>
        <v/>
      </c>
      <c r="AD1851" t="str">
        <f>IF(AA1851="","",IFERROR(1*'Procyclean 210'!E353,IFERROR(_xludf.NUMBERVALUE('Procyclean 210'!E353,".",","),IFERROR(_xludf.NUMBERVALUE('Procyclean 210'!E353,",","."),0))))</f>
        <v/>
      </c>
      <c r="AE1851" t="str">
        <f>IF(AA1851="","",'Procyclean 210'!B353)</f>
        <v/>
      </c>
      <c r="AF1851">
        <f t="shared" si="185"/>
        <v>0</v>
      </c>
      <c r="AG1851" t="str">
        <f t="shared" si="186"/>
        <v/>
      </c>
      <c r="AH1851" t="str">
        <f t="shared" si="187"/>
        <v/>
      </c>
      <c r="AI1851">
        <f t="shared" si="188"/>
        <v>0</v>
      </c>
      <c r="AJ1851">
        <f t="shared" si="189"/>
        <v>0</v>
      </c>
      <c r="AK1851">
        <v>0</v>
      </c>
      <c r="AL1851" t="str">
        <f>IF(AA1851="","",IFERROR(IF(ISNUMBER('Procyclean 210'!F353),'Procyclean 210'!F353,IF(ISNUMBER(SEARCH("12",'Procyclean 210'!F353)),EDATE(AB1851,12),IF(ISNUMBER(SEARCH("6",'Procyclean 210'!F353)),EDATE(AB1851,6),IF(ISNUMBER(SEARCH("3",'Procyclean 210'!F353)),EDATE(AB1851,3),DATEVALUE('Procyclean 210'!F353))))),""))</f>
        <v/>
      </c>
      <c r="AM1851" t="str">
        <f t="shared" ca="1" si="190"/>
        <v/>
      </c>
    </row>
    <row r="1852" spans="27:39" x14ac:dyDescent="0.3">
      <c r="AA1852" t="str">
        <f>IF(COUNTA('Procyclean 210'!C354,'Procyclean 210'!D354,'Procyclean 210'!E354)&gt;0,"210","")</f>
        <v/>
      </c>
      <c r="AB1852" t="str">
        <f>IFERROR(IF(ISNUMBER('Procyclean 210'!C354),'Procyclean 210'!C354,DATEVALUE('Procyclean 210'!C354)),"")</f>
        <v/>
      </c>
      <c r="AC1852" t="str">
        <f>IF(AA1852="","",'Procyclean 210'!D354)</f>
        <v/>
      </c>
      <c r="AD1852" t="str">
        <f>IF(AA1852="","",IFERROR(1*'Procyclean 210'!E354,IFERROR(_xludf.NUMBERVALUE('Procyclean 210'!E354,".",","),IFERROR(_xludf.NUMBERVALUE('Procyclean 210'!E354,",","."),0))))</f>
        <v/>
      </c>
      <c r="AE1852" t="str">
        <f>IF(AA1852="","",'Procyclean 210'!B354)</f>
        <v/>
      </c>
      <c r="AF1852">
        <f t="shared" si="185"/>
        <v>0</v>
      </c>
      <c r="AG1852" t="str">
        <f t="shared" si="186"/>
        <v/>
      </c>
      <c r="AH1852" t="str">
        <f t="shared" si="187"/>
        <v/>
      </c>
      <c r="AI1852">
        <f t="shared" si="188"/>
        <v>0</v>
      </c>
      <c r="AJ1852">
        <f t="shared" si="189"/>
        <v>0</v>
      </c>
      <c r="AK1852">
        <v>0</v>
      </c>
      <c r="AL1852" t="str">
        <f>IF(AA1852="","",IFERROR(IF(ISNUMBER('Procyclean 210'!F354),'Procyclean 210'!F354,IF(ISNUMBER(SEARCH("12",'Procyclean 210'!F354)),EDATE(AB1852,12),IF(ISNUMBER(SEARCH("6",'Procyclean 210'!F354)),EDATE(AB1852,6),IF(ISNUMBER(SEARCH("3",'Procyclean 210'!F354)),EDATE(AB1852,3),DATEVALUE('Procyclean 210'!F354))))),""))</f>
        <v/>
      </c>
      <c r="AM1852" t="str">
        <f t="shared" ca="1" si="190"/>
        <v/>
      </c>
    </row>
    <row r="1853" spans="27:39" x14ac:dyDescent="0.3">
      <c r="AA1853" t="str">
        <f>IF(COUNTA('Procyclean 210'!C355,'Procyclean 210'!D355,'Procyclean 210'!E355)&gt;0,"210","")</f>
        <v/>
      </c>
      <c r="AB1853" t="str">
        <f>IFERROR(IF(ISNUMBER('Procyclean 210'!C355),'Procyclean 210'!C355,DATEVALUE('Procyclean 210'!C355)),"")</f>
        <v/>
      </c>
      <c r="AC1853" t="str">
        <f>IF(AA1853="","",'Procyclean 210'!D355)</f>
        <v/>
      </c>
      <c r="AD1853" t="str">
        <f>IF(AA1853="","",IFERROR(1*'Procyclean 210'!E355,IFERROR(_xludf.NUMBERVALUE('Procyclean 210'!E355,".",","),IFERROR(_xludf.NUMBERVALUE('Procyclean 210'!E355,",","."),0))))</f>
        <v/>
      </c>
      <c r="AE1853" t="str">
        <f>IF(AA1853="","",'Procyclean 210'!B355)</f>
        <v/>
      </c>
      <c r="AF1853">
        <f t="shared" si="185"/>
        <v>0</v>
      </c>
      <c r="AG1853" t="str">
        <f t="shared" si="186"/>
        <v/>
      </c>
      <c r="AH1853" t="str">
        <f t="shared" si="187"/>
        <v/>
      </c>
      <c r="AI1853">
        <f t="shared" si="188"/>
        <v>0</v>
      </c>
      <c r="AJ1853">
        <f t="shared" si="189"/>
        <v>0</v>
      </c>
      <c r="AK1853">
        <v>0</v>
      </c>
      <c r="AL1853" t="str">
        <f>IF(AA1853="","",IFERROR(IF(ISNUMBER('Procyclean 210'!F355),'Procyclean 210'!F355,IF(ISNUMBER(SEARCH("12",'Procyclean 210'!F355)),EDATE(AB1853,12),IF(ISNUMBER(SEARCH("6",'Procyclean 210'!F355)),EDATE(AB1853,6),IF(ISNUMBER(SEARCH("3",'Procyclean 210'!F355)),EDATE(AB1853,3),DATEVALUE('Procyclean 210'!F355))))),""))</f>
        <v/>
      </c>
      <c r="AM1853" t="str">
        <f t="shared" ca="1" si="190"/>
        <v/>
      </c>
    </row>
    <row r="1854" spans="27:39" x14ac:dyDescent="0.3">
      <c r="AA1854" t="str">
        <f>IF(COUNTA('Procyclean 210'!C356,'Procyclean 210'!D356,'Procyclean 210'!E356)&gt;0,"210","")</f>
        <v/>
      </c>
      <c r="AB1854" t="str">
        <f>IFERROR(IF(ISNUMBER('Procyclean 210'!C356),'Procyclean 210'!C356,DATEVALUE('Procyclean 210'!C356)),"")</f>
        <v/>
      </c>
      <c r="AC1854" t="str">
        <f>IF(AA1854="","",'Procyclean 210'!D356)</f>
        <v/>
      </c>
      <c r="AD1854" t="str">
        <f>IF(AA1854="","",IFERROR(1*'Procyclean 210'!E356,IFERROR(_xludf.NUMBERVALUE('Procyclean 210'!E356,".",","),IFERROR(_xludf.NUMBERVALUE('Procyclean 210'!E356,",","."),0))))</f>
        <v/>
      </c>
      <c r="AE1854" t="str">
        <f>IF(AA1854="","",'Procyclean 210'!B356)</f>
        <v/>
      </c>
      <c r="AF1854">
        <f t="shared" si="185"/>
        <v>0</v>
      </c>
      <c r="AG1854" t="str">
        <f t="shared" si="186"/>
        <v/>
      </c>
      <c r="AH1854" t="str">
        <f t="shared" si="187"/>
        <v/>
      </c>
      <c r="AI1854">
        <f t="shared" si="188"/>
        <v>0</v>
      </c>
      <c r="AJ1854">
        <f t="shared" si="189"/>
        <v>0</v>
      </c>
      <c r="AK1854">
        <v>0</v>
      </c>
      <c r="AL1854" t="str">
        <f>IF(AA1854="","",IFERROR(IF(ISNUMBER('Procyclean 210'!F356),'Procyclean 210'!F356,IF(ISNUMBER(SEARCH("12",'Procyclean 210'!F356)),EDATE(AB1854,12),IF(ISNUMBER(SEARCH("6",'Procyclean 210'!F356)),EDATE(AB1854,6),IF(ISNUMBER(SEARCH("3",'Procyclean 210'!F356)),EDATE(AB1854,3),DATEVALUE('Procyclean 210'!F356))))),""))</f>
        <v/>
      </c>
      <c r="AM1854" t="str">
        <f t="shared" ca="1" si="190"/>
        <v/>
      </c>
    </row>
    <row r="1855" spans="27:39" x14ac:dyDescent="0.3">
      <c r="AA1855" t="str">
        <f>IF(COUNTA('Procyclean 210'!C357,'Procyclean 210'!D357,'Procyclean 210'!E357)&gt;0,"210","")</f>
        <v/>
      </c>
      <c r="AB1855" t="str">
        <f>IFERROR(IF(ISNUMBER('Procyclean 210'!C357),'Procyclean 210'!C357,DATEVALUE('Procyclean 210'!C357)),"")</f>
        <v/>
      </c>
      <c r="AC1855" t="str">
        <f>IF(AA1855="","",'Procyclean 210'!D357)</f>
        <v/>
      </c>
      <c r="AD1855" t="str">
        <f>IF(AA1855="","",IFERROR(1*'Procyclean 210'!E357,IFERROR(_xludf.NUMBERVALUE('Procyclean 210'!E357,".",","),IFERROR(_xludf.NUMBERVALUE('Procyclean 210'!E357,",","."),0))))</f>
        <v/>
      </c>
      <c r="AE1855" t="str">
        <f>IF(AA1855="","",'Procyclean 210'!B357)</f>
        <v/>
      </c>
      <c r="AF1855">
        <f t="shared" si="185"/>
        <v>0</v>
      </c>
      <c r="AG1855" t="str">
        <f t="shared" si="186"/>
        <v/>
      </c>
      <c r="AH1855" t="str">
        <f t="shared" si="187"/>
        <v/>
      </c>
      <c r="AI1855">
        <f t="shared" si="188"/>
        <v>0</v>
      </c>
      <c r="AJ1855">
        <f t="shared" si="189"/>
        <v>0</v>
      </c>
      <c r="AK1855">
        <v>0</v>
      </c>
      <c r="AL1855" t="str">
        <f>IF(AA1855="","",IFERROR(IF(ISNUMBER('Procyclean 210'!F357),'Procyclean 210'!F357,IF(ISNUMBER(SEARCH("12",'Procyclean 210'!F357)),EDATE(AB1855,12),IF(ISNUMBER(SEARCH("6",'Procyclean 210'!F357)),EDATE(AB1855,6),IF(ISNUMBER(SEARCH("3",'Procyclean 210'!F357)),EDATE(AB1855,3),DATEVALUE('Procyclean 210'!F357))))),""))</f>
        <v/>
      </c>
      <c r="AM1855" t="str">
        <f t="shared" ca="1" si="190"/>
        <v/>
      </c>
    </row>
    <row r="1856" spans="27:39" x14ac:dyDescent="0.3">
      <c r="AA1856" t="str">
        <f>IF(COUNTA('Procyclean 210'!C358,'Procyclean 210'!D358,'Procyclean 210'!E358)&gt;0,"210","")</f>
        <v/>
      </c>
      <c r="AB1856" t="str">
        <f>IFERROR(IF(ISNUMBER('Procyclean 210'!C358),'Procyclean 210'!C358,DATEVALUE('Procyclean 210'!C358)),"")</f>
        <v/>
      </c>
      <c r="AC1856" t="str">
        <f>IF(AA1856="","",'Procyclean 210'!D358)</f>
        <v/>
      </c>
      <c r="AD1856" t="str">
        <f>IF(AA1856="","",IFERROR(1*'Procyclean 210'!E358,IFERROR(_xludf.NUMBERVALUE('Procyclean 210'!E358,".",","),IFERROR(_xludf.NUMBERVALUE('Procyclean 210'!E358,",","."),0))))</f>
        <v/>
      </c>
      <c r="AE1856" t="str">
        <f>IF(AA1856="","",'Procyclean 210'!B358)</f>
        <v/>
      </c>
      <c r="AF1856">
        <f t="shared" si="185"/>
        <v>0</v>
      </c>
      <c r="AG1856" t="str">
        <f t="shared" si="186"/>
        <v/>
      </c>
      <c r="AH1856" t="str">
        <f t="shared" si="187"/>
        <v/>
      </c>
      <c r="AI1856">
        <f t="shared" si="188"/>
        <v>0</v>
      </c>
      <c r="AJ1856">
        <f t="shared" si="189"/>
        <v>0</v>
      </c>
      <c r="AK1856">
        <v>0</v>
      </c>
      <c r="AL1856" t="str">
        <f>IF(AA1856="","",IFERROR(IF(ISNUMBER('Procyclean 210'!F358),'Procyclean 210'!F358,IF(ISNUMBER(SEARCH("12",'Procyclean 210'!F358)),EDATE(AB1856,12),IF(ISNUMBER(SEARCH("6",'Procyclean 210'!F358)),EDATE(AB1856,6),IF(ISNUMBER(SEARCH("3",'Procyclean 210'!F358)),EDATE(AB1856,3),DATEVALUE('Procyclean 210'!F358))))),""))</f>
        <v/>
      </c>
      <c r="AM1856" t="str">
        <f t="shared" ca="1" si="190"/>
        <v/>
      </c>
    </row>
    <row r="1857" spans="27:39" x14ac:dyDescent="0.3">
      <c r="AA1857" t="str">
        <f>IF(COUNTA('Procyclean 210'!C359,'Procyclean 210'!D359,'Procyclean 210'!E359)&gt;0,"210","")</f>
        <v/>
      </c>
      <c r="AB1857" t="str">
        <f>IFERROR(IF(ISNUMBER('Procyclean 210'!C359),'Procyclean 210'!C359,DATEVALUE('Procyclean 210'!C359)),"")</f>
        <v/>
      </c>
      <c r="AC1857" t="str">
        <f>IF(AA1857="","",'Procyclean 210'!D359)</f>
        <v/>
      </c>
      <c r="AD1857" t="str">
        <f>IF(AA1857="","",IFERROR(1*'Procyclean 210'!E359,IFERROR(_xludf.NUMBERVALUE('Procyclean 210'!E359,".",","),IFERROR(_xludf.NUMBERVALUE('Procyclean 210'!E359,",","."),0))))</f>
        <v/>
      </c>
      <c r="AE1857" t="str">
        <f>IF(AA1857="","",'Procyclean 210'!B359)</f>
        <v/>
      </c>
      <c r="AF1857">
        <f t="shared" si="185"/>
        <v>0</v>
      </c>
      <c r="AG1857" t="str">
        <f t="shared" si="186"/>
        <v/>
      </c>
      <c r="AH1857" t="str">
        <f t="shared" si="187"/>
        <v/>
      </c>
      <c r="AI1857">
        <f t="shared" si="188"/>
        <v>0</v>
      </c>
      <c r="AJ1857">
        <f t="shared" si="189"/>
        <v>0</v>
      </c>
      <c r="AK1857">
        <v>0</v>
      </c>
      <c r="AL1857" t="str">
        <f>IF(AA1857="","",IFERROR(IF(ISNUMBER('Procyclean 210'!F359),'Procyclean 210'!F359,IF(ISNUMBER(SEARCH("12",'Procyclean 210'!F359)),EDATE(AB1857,12),IF(ISNUMBER(SEARCH("6",'Procyclean 210'!F359)),EDATE(AB1857,6),IF(ISNUMBER(SEARCH("3",'Procyclean 210'!F359)),EDATE(AB1857,3),DATEVALUE('Procyclean 210'!F359))))),""))</f>
        <v/>
      </c>
      <c r="AM1857" t="str">
        <f t="shared" ca="1" si="190"/>
        <v/>
      </c>
    </row>
    <row r="1858" spans="27:39" x14ac:dyDescent="0.3">
      <c r="AA1858" t="str">
        <f>IF(COUNTA('Procyclean 210'!C360,'Procyclean 210'!D360,'Procyclean 210'!E360)&gt;0,"210","")</f>
        <v/>
      </c>
      <c r="AB1858" t="str">
        <f>IFERROR(IF(ISNUMBER('Procyclean 210'!C360),'Procyclean 210'!C360,DATEVALUE('Procyclean 210'!C360)),"")</f>
        <v/>
      </c>
      <c r="AC1858" t="str">
        <f>IF(AA1858="","",'Procyclean 210'!D360)</f>
        <v/>
      </c>
      <c r="AD1858" t="str">
        <f>IF(AA1858="","",IFERROR(1*'Procyclean 210'!E360,IFERROR(_xludf.NUMBERVALUE('Procyclean 210'!E360,".",","),IFERROR(_xludf.NUMBERVALUE('Procyclean 210'!E360,",","."),0))))</f>
        <v/>
      </c>
      <c r="AE1858" t="str">
        <f>IF(AA1858="","",'Procyclean 210'!B360)</f>
        <v/>
      </c>
      <c r="AF1858">
        <f t="shared" ref="AF1858:AF1921" si="191">IF(AA1858="",0,--AND(ISNUMBER(SEARCH("aprov",AE1858)),NOT(ISNUMBER(SEARCH("reprov",AE1858)))))</f>
        <v>0</v>
      </c>
      <c r="AG1858" t="str">
        <f t="shared" ref="AG1858:AG1921" si="192">IF(AB1858="","",YEAR(AB1858))</f>
        <v/>
      </c>
      <c r="AH1858" t="str">
        <f t="shared" ref="AH1858:AH1921" si="193">IF(AB1858="","",MONTH(AB1858))</f>
        <v/>
      </c>
      <c r="AI1858">
        <f t="shared" ref="AI1858:AI1921" si="194">IF(AB1858="",0,AB1858+ROW()/1000000)</f>
        <v>0</v>
      </c>
      <c r="AJ1858">
        <f t="shared" ref="AJ1858:AJ1921" si="195">--(AA1858&lt;&gt;"")</f>
        <v>0</v>
      </c>
      <c r="AK1858">
        <v>0</v>
      </c>
      <c r="AL1858" t="str">
        <f>IF(AA1858="","",IFERROR(IF(ISNUMBER('Procyclean 210'!F360),'Procyclean 210'!F360,IF(ISNUMBER(SEARCH("12",'Procyclean 210'!F360)),EDATE(AB1858,12),IF(ISNUMBER(SEARCH("6",'Procyclean 210'!F360)),EDATE(AB1858,6),IF(ISNUMBER(SEARCH("3",'Procyclean 210'!F360)),EDATE(AB1858,3),DATEVALUE('Procyclean 210'!F360))))),""))</f>
        <v/>
      </c>
      <c r="AM1858" t="str">
        <f t="shared" ref="AM1858:AM1921" ca="1" si="196">IF(AND(AJ1858=1,AL1858&lt;&gt;"",AL1858&gt;=TODAY(),AG1858=$W$3),AL1858+ROW()/1000000,"")</f>
        <v/>
      </c>
    </row>
    <row r="1859" spans="27:39" x14ac:dyDescent="0.3">
      <c r="AA1859" t="str">
        <f>IF(COUNTA('Procyclean 210'!C361,'Procyclean 210'!D361,'Procyclean 210'!E361)&gt;0,"210","")</f>
        <v/>
      </c>
      <c r="AB1859" t="str">
        <f>IFERROR(IF(ISNUMBER('Procyclean 210'!C361),'Procyclean 210'!C361,DATEVALUE('Procyclean 210'!C361)),"")</f>
        <v/>
      </c>
      <c r="AC1859" t="str">
        <f>IF(AA1859="","",'Procyclean 210'!D361)</f>
        <v/>
      </c>
      <c r="AD1859" t="str">
        <f>IF(AA1859="","",IFERROR(1*'Procyclean 210'!E361,IFERROR(_xludf.NUMBERVALUE('Procyclean 210'!E361,".",","),IFERROR(_xludf.NUMBERVALUE('Procyclean 210'!E361,",","."),0))))</f>
        <v/>
      </c>
      <c r="AE1859" t="str">
        <f>IF(AA1859="","",'Procyclean 210'!B361)</f>
        <v/>
      </c>
      <c r="AF1859">
        <f t="shared" si="191"/>
        <v>0</v>
      </c>
      <c r="AG1859" t="str">
        <f t="shared" si="192"/>
        <v/>
      </c>
      <c r="AH1859" t="str">
        <f t="shared" si="193"/>
        <v/>
      </c>
      <c r="AI1859">
        <f t="shared" si="194"/>
        <v>0</v>
      </c>
      <c r="AJ1859">
        <f t="shared" si="195"/>
        <v>0</v>
      </c>
      <c r="AK1859">
        <v>0</v>
      </c>
      <c r="AL1859" t="str">
        <f>IF(AA1859="","",IFERROR(IF(ISNUMBER('Procyclean 210'!F361),'Procyclean 210'!F361,IF(ISNUMBER(SEARCH("12",'Procyclean 210'!F361)),EDATE(AB1859,12),IF(ISNUMBER(SEARCH("6",'Procyclean 210'!F361)),EDATE(AB1859,6),IF(ISNUMBER(SEARCH("3",'Procyclean 210'!F361)),EDATE(AB1859,3),DATEVALUE('Procyclean 210'!F361))))),""))</f>
        <v/>
      </c>
      <c r="AM1859" t="str">
        <f t="shared" ca="1" si="196"/>
        <v/>
      </c>
    </row>
    <row r="1860" spans="27:39" x14ac:dyDescent="0.3">
      <c r="AA1860" t="str">
        <f>IF(COUNTA('Procyclean 210'!C362,'Procyclean 210'!D362,'Procyclean 210'!E362)&gt;0,"210","")</f>
        <v/>
      </c>
      <c r="AB1860" t="str">
        <f>IFERROR(IF(ISNUMBER('Procyclean 210'!C362),'Procyclean 210'!C362,DATEVALUE('Procyclean 210'!C362)),"")</f>
        <v/>
      </c>
      <c r="AC1860" t="str">
        <f>IF(AA1860="","",'Procyclean 210'!D362)</f>
        <v/>
      </c>
      <c r="AD1860" t="str">
        <f>IF(AA1860="","",IFERROR(1*'Procyclean 210'!E362,IFERROR(_xludf.NUMBERVALUE('Procyclean 210'!E362,".",","),IFERROR(_xludf.NUMBERVALUE('Procyclean 210'!E362,",","."),0))))</f>
        <v/>
      </c>
      <c r="AE1860" t="str">
        <f>IF(AA1860="","",'Procyclean 210'!B362)</f>
        <v/>
      </c>
      <c r="AF1860">
        <f t="shared" si="191"/>
        <v>0</v>
      </c>
      <c r="AG1860" t="str">
        <f t="shared" si="192"/>
        <v/>
      </c>
      <c r="AH1860" t="str">
        <f t="shared" si="193"/>
        <v/>
      </c>
      <c r="AI1860">
        <f t="shared" si="194"/>
        <v>0</v>
      </c>
      <c r="AJ1860">
        <f t="shared" si="195"/>
        <v>0</v>
      </c>
      <c r="AK1860">
        <v>0</v>
      </c>
      <c r="AL1860" t="str">
        <f>IF(AA1860="","",IFERROR(IF(ISNUMBER('Procyclean 210'!F362),'Procyclean 210'!F362,IF(ISNUMBER(SEARCH("12",'Procyclean 210'!F362)),EDATE(AB1860,12),IF(ISNUMBER(SEARCH("6",'Procyclean 210'!F362)),EDATE(AB1860,6),IF(ISNUMBER(SEARCH("3",'Procyclean 210'!F362)),EDATE(AB1860,3),DATEVALUE('Procyclean 210'!F362))))),""))</f>
        <v/>
      </c>
      <c r="AM1860" t="str">
        <f t="shared" ca="1" si="196"/>
        <v/>
      </c>
    </row>
    <row r="1861" spans="27:39" x14ac:dyDescent="0.3">
      <c r="AA1861" t="str">
        <f>IF(COUNTA('Procyclean 210'!C363,'Procyclean 210'!D363,'Procyclean 210'!E363)&gt;0,"210","")</f>
        <v/>
      </c>
      <c r="AB1861" t="str">
        <f>IFERROR(IF(ISNUMBER('Procyclean 210'!C363),'Procyclean 210'!C363,DATEVALUE('Procyclean 210'!C363)),"")</f>
        <v/>
      </c>
      <c r="AC1861" t="str">
        <f>IF(AA1861="","",'Procyclean 210'!D363)</f>
        <v/>
      </c>
      <c r="AD1861" t="str">
        <f>IF(AA1861="","",IFERROR(1*'Procyclean 210'!E363,IFERROR(_xludf.NUMBERVALUE('Procyclean 210'!E363,".",","),IFERROR(_xludf.NUMBERVALUE('Procyclean 210'!E363,",","."),0))))</f>
        <v/>
      </c>
      <c r="AE1861" t="str">
        <f>IF(AA1861="","",'Procyclean 210'!B363)</f>
        <v/>
      </c>
      <c r="AF1861">
        <f t="shared" si="191"/>
        <v>0</v>
      </c>
      <c r="AG1861" t="str">
        <f t="shared" si="192"/>
        <v/>
      </c>
      <c r="AH1861" t="str">
        <f t="shared" si="193"/>
        <v/>
      </c>
      <c r="AI1861">
        <f t="shared" si="194"/>
        <v>0</v>
      </c>
      <c r="AJ1861">
        <f t="shared" si="195"/>
        <v>0</v>
      </c>
      <c r="AK1861">
        <v>0</v>
      </c>
      <c r="AL1861" t="str">
        <f>IF(AA1861="","",IFERROR(IF(ISNUMBER('Procyclean 210'!F363),'Procyclean 210'!F363,IF(ISNUMBER(SEARCH("12",'Procyclean 210'!F363)),EDATE(AB1861,12),IF(ISNUMBER(SEARCH("6",'Procyclean 210'!F363)),EDATE(AB1861,6),IF(ISNUMBER(SEARCH("3",'Procyclean 210'!F363)),EDATE(AB1861,3),DATEVALUE('Procyclean 210'!F363))))),""))</f>
        <v/>
      </c>
      <c r="AM1861" t="str">
        <f t="shared" ca="1" si="196"/>
        <v/>
      </c>
    </row>
    <row r="1862" spans="27:39" x14ac:dyDescent="0.3">
      <c r="AA1862" t="str">
        <f>IF(COUNTA('Procyclean 210'!C364,'Procyclean 210'!D364,'Procyclean 210'!E364)&gt;0,"210","")</f>
        <v/>
      </c>
      <c r="AB1862" t="str">
        <f>IFERROR(IF(ISNUMBER('Procyclean 210'!C364),'Procyclean 210'!C364,DATEVALUE('Procyclean 210'!C364)),"")</f>
        <v/>
      </c>
      <c r="AC1862" t="str">
        <f>IF(AA1862="","",'Procyclean 210'!D364)</f>
        <v/>
      </c>
      <c r="AD1862" t="str">
        <f>IF(AA1862="","",IFERROR(1*'Procyclean 210'!E364,IFERROR(_xludf.NUMBERVALUE('Procyclean 210'!E364,".",","),IFERROR(_xludf.NUMBERVALUE('Procyclean 210'!E364,",","."),0))))</f>
        <v/>
      </c>
      <c r="AE1862" t="str">
        <f>IF(AA1862="","",'Procyclean 210'!B364)</f>
        <v/>
      </c>
      <c r="AF1862">
        <f t="shared" si="191"/>
        <v>0</v>
      </c>
      <c r="AG1862" t="str">
        <f t="shared" si="192"/>
        <v/>
      </c>
      <c r="AH1862" t="str">
        <f t="shared" si="193"/>
        <v/>
      </c>
      <c r="AI1862">
        <f t="shared" si="194"/>
        <v>0</v>
      </c>
      <c r="AJ1862">
        <f t="shared" si="195"/>
        <v>0</v>
      </c>
      <c r="AK1862">
        <v>0</v>
      </c>
      <c r="AL1862" t="str">
        <f>IF(AA1862="","",IFERROR(IF(ISNUMBER('Procyclean 210'!F364),'Procyclean 210'!F364,IF(ISNUMBER(SEARCH("12",'Procyclean 210'!F364)),EDATE(AB1862,12),IF(ISNUMBER(SEARCH("6",'Procyclean 210'!F364)),EDATE(AB1862,6),IF(ISNUMBER(SEARCH("3",'Procyclean 210'!F364)),EDATE(AB1862,3),DATEVALUE('Procyclean 210'!F364))))),""))</f>
        <v/>
      </c>
      <c r="AM1862" t="str">
        <f t="shared" ca="1" si="196"/>
        <v/>
      </c>
    </row>
    <row r="1863" spans="27:39" x14ac:dyDescent="0.3">
      <c r="AA1863" t="str">
        <f>IF(COUNTA('Procyclean 210'!C365,'Procyclean 210'!D365,'Procyclean 210'!E365)&gt;0,"210","")</f>
        <v/>
      </c>
      <c r="AB1863" t="str">
        <f>IFERROR(IF(ISNUMBER('Procyclean 210'!C365),'Procyclean 210'!C365,DATEVALUE('Procyclean 210'!C365)),"")</f>
        <v/>
      </c>
      <c r="AC1863" t="str">
        <f>IF(AA1863="","",'Procyclean 210'!D365)</f>
        <v/>
      </c>
      <c r="AD1863" t="str">
        <f>IF(AA1863="","",IFERROR(1*'Procyclean 210'!E365,IFERROR(_xludf.NUMBERVALUE('Procyclean 210'!E365,".",","),IFERROR(_xludf.NUMBERVALUE('Procyclean 210'!E365,",","."),0))))</f>
        <v/>
      </c>
      <c r="AE1863" t="str">
        <f>IF(AA1863="","",'Procyclean 210'!B365)</f>
        <v/>
      </c>
      <c r="AF1863">
        <f t="shared" si="191"/>
        <v>0</v>
      </c>
      <c r="AG1863" t="str">
        <f t="shared" si="192"/>
        <v/>
      </c>
      <c r="AH1863" t="str">
        <f t="shared" si="193"/>
        <v/>
      </c>
      <c r="AI1863">
        <f t="shared" si="194"/>
        <v>0</v>
      </c>
      <c r="AJ1863">
        <f t="shared" si="195"/>
        <v>0</v>
      </c>
      <c r="AK1863">
        <v>0</v>
      </c>
      <c r="AL1863" t="str">
        <f>IF(AA1863="","",IFERROR(IF(ISNUMBER('Procyclean 210'!F365),'Procyclean 210'!F365,IF(ISNUMBER(SEARCH("12",'Procyclean 210'!F365)),EDATE(AB1863,12),IF(ISNUMBER(SEARCH("6",'Procyclean 210'!F365)),EDATE(AB1863,6),IF(ISNUMBER(SEARCH("3",'Procyclean 210'!F365)),EDATE(AB1863,3),DATEVALUE('Procyclean 210'!F365))))),""))</f>
        <v/>
      </c>
      <c r="AM1863" t="str">
        <f t="shared" ca="1" si="196"/>
        <v/>
      </c>
    </row>
    <row r="1864" spans="27:39" x14ac:dyDescent="0.3">
      <c r="AA1864" t="str">
        <f>IF(COUNTA('Procyclean 210'!C366,'Procyclean 210'!D366,'Procyclean 210'!E366)&gt;0,"210","")</f>
        <v/>
      </c>
      <c r="AB1864" t="str">
        <f>IFERROR(IF(ISNUMBER('Procyclean 210'!C366),'Procyclean 210'!C366,DATEVALUE('Procyclean 210'!C366)),"")</f>
        <v/>
      </c>
      <c r="AC1864" t="str">
        <f>IF(AA1864="","",'Procyclean 210'!D366)</f>
        <v/>
      </c>
      <c r="AD1864" t="str">
        <f>IF(AA1864="","",IFERROR(1*'Procyclean 210'!E366,IFERROR(_xludf.NUMBERVALUE('Procyclean 210'!E366,".",","),IFERROR(_xludf.NUMBERVALUE('Procyclean 210'!E366,",","."),0))))</f>
        <v/>
      </c>
      <c r="AE1864" t="str">
        <f>IF(AA1864="","",'Procyclean 210'!B366)</f>
        <v/>
      </c>
      <c r="AF1864">
        <f t="shared" si="191"/>
        <v>0</v>
      </c>
      <c r="AG1864" t="str">
        <f t="shared" si="192"/>
        <v/>
      </c>
      <c r="AH1864" t="str">
        <f t="shared" si="193"/>
        <v/>
      </c>
      <c r="AI1864">
        <f t="shared" si="194"/>
        <v>0</v>
      </c>
      <c r="AJ1864">
        <f t="shared" si="195"/>
        <v>0</v>
      </c>
      <c r="AK1864">
        <v>0</v>
      </c>
      <c r="AL1864" t="str">
        <f>IF(AA1864="","",IFERROR(IF(ISNUMBER('Procyclean 210'!F366),'Procyclean 210'!F366,IF(ISNUMBER(SEARCH("12",'Procyclean 210'!F366)),EDATE(AB1864,12),IF(ISNUMBER(SEARCH("6",'Procyclean 210'!F366)),EDATE(AB1864,6),IF(ISNUMBER(SEARCH("3",'Procyclean 210'!F366)),EDATE(AB1864,3),DATEVALUE('Procyclean 210'!F366))))),""))</f>
        <v/>
      </c>
      <c r="AM1864" t="str">
        <f t="shared" ca="1" si="196"/>
        <v/>
      </c>
    </row>
    <row r="1865" spans="27:39" x14ac:dyDescent="0.3">
      <c r="AA1865" t="str">
        <f>IF(COUNTA('Procyclean 210'!C367,'Procyclean 210'!D367,'Procyclean 210'!E367)&gt;0,"210","")</f>
        <v/>
      </c>
      <c r="AB1865" t="str">
        <f>IFERROR(IF(ISNUMBER('Procyclean 210'!C367),'Procyclean 210'!C367,DATEVALUE('Procyclean 210'!C367)),"")</f>
        <v/>
      </c>
      <c r="AC1865" t="str">
        <f>IF(AA1865="","",'Procyclean 210'!D367)</f>
        <v/>
      </c>
      <c r="AD1865" t="str">
        <f>IF(AA1865="","",IFERROR(1*'Procyclean 210'!E367,IFERROR(_xludf.NUMBERVALUE('Procyclean 210'!E367,".",","),IFERROR(_xludf.NUMBERVALUE('Procyclean 210'!E367,",","."),0))))</f>
        <v/>
      </c>
      <c r="AE1865" t="str">
        <f>IF(AA1865="","",'Procyclean 210'!B367)</f>
        <v/>
      </c>
      <c r="AF1865">
        <f t="shared" si="191"/>
        <v>0</v>
      </c>
      <c r="AG1865" t="str">
        <f t="shared" si="192"/>
        <v/>
      </c>
      <c r="AH1865" t="str">
        <f t="shared" si="193"/>
        <v/>
      </c>
      <c r="AI1865">
        <f t="shared" si="194"/>
        <v>0</v>
      </c>
      <c r="AJ1865">
        <f t="shared" si="195"/>
        <v>0</v>
      </c>
      <c r="AK1865">
        <v>0</v>
      </c>
      <c r="AL1865" t="str">
        <f>IF(AA1865="","",IFERROR(IF(ISNUMBER('Procyclean 210'!F367),'Procyclean 210'!F367,IF(ISNUMBER(SEARCH("12",'Procyclean 210'!F367)),EDATE(AB1865,12),IF(ISNUMBER(SEARCH("6",'Procyclean 210'!F367)),EDATE(AB1865,6),IF(ISNUMBER(SEARCH("3",'Procyclean 210'!F367)),EDATE(AB1865,3),DATEVALUE('Procyclean 210'!F367))))),""))</f>
        <v/>
      </c>
      <c r="AM1865" t="str">
        <f t="shared" ca="1" si="196"/>
        <v/>
      </c>
    </row>
    <row r="1866" spans="27:39" x14ac:dyDescent="0.3">
      <c r="AA1866" t="str">
        <f>IF(COUNTA('Procyclean 210'!C368,'Procyclean 210'!D368,'Procyclean 210'!E368)&gt;0,"210","")</f>
        <v/>
      </c>
      <c r="AB1866" t="str">
        <f>IFERROR(IF(ISNUMBER('Procyclean 210'!C368),'Procyclean 210'!C368,DATEVALUE('Procyclean 210'!C368)),"")</f>
        <v/>
      </c>
      <c r="AC1866" t="str">
        <f>IF(AA1866="","",'Procyclean 210'!D368)</f>
        <v/>
      </c>
      <c r="AD1866" t="str">
        <f>IF(AA1866="","",IFERROR(1*'Procyclean 210'!E368,IFERROR(_xludf.NUMBERVALUE('Procyclean 210'!E368,".",","),IFERROR(_xludf.NUMBERVALUE('Procyclean 210'!E368,",","."),0))))</f>
        <v/>
      </c>
      <c r="AE1866" t="str">
        <f>IF(AA1866="","",'Procyclean 210'!B368)</f>
        <v/>
      </c>
      <c r="AF1866">
        <f t="shared" si="191"/>
        <v>0</v>
      </c>
      <c r="AG1866" t="str">
        <f t="shared" si="192"/>
        <v/>
      </c>
      <c r="AH1866" t="str">
        <f t="shared" si="193"/>
        <v/>
      </c>
      <c r="AI1866">
        <f t="shared" si="194"/>
        <v>0</v>
      </c>
      <c r="AJ1866">
        <f t="shared" si="195"/>
        <v>0</v>
      </c>
      <c r="AK1866">
        <v>0</v>
      </c>
      <c r="AL1866" t="str">
        <f>IF(AA1866="","",IFERROR(IF(ISNUMBER('Procyclean 210'!F368),'Procyclean 210'!F368,IF(ISNUMBER(SEARCH("12",'Procyclean 210'!F368)),EDATE(AB1866,12),IF(ISNUMBER(SEARCH("6",'Procyclean 210'!F368)),EDATE(AB1866,6),IF(ISNUMBER(SEARCH("3",'Procyclean 210'!F368)),EDATE(AB1866,3),DATEVALUE('Procyclean 210'!F368))))),""))</f>
        <v/>
      </c>
      <c r="AM1866" t="str">
        <f t="shared" ca="1" si="196"/>
        <v/>
      </c>
    </row>
    <row r="1867" spans="27:39" x14ac:dyDescent="0.3">
      <c r="AA1867" t="str">
        <f>IF(COUNTA('Procyclean 210'!C369,'Procyclean 210'!D369,'Procyclean 210'!E369)&gt;0,"210","")</f>
        <v/>
      </c>
      <c r="AB1867" t="str">
        <f>IFERROR(IF(ISNUMBER('Procyclean 210'!C369),'Procyclean 210'!C369,DATEVALUE('Procyclean 210'!C369)),"")</f>
        <v/>
      </c>
      <c r="AC1867" t="str">
        <f>IF(AA1867="","",'Procyclean 210'!D369)</f>
        <v/>
      </c>
      <c r="AD1867" t="str">
        <f>IF(AA1867="","",IFERROR(1*'Procyclean 210'!E369,IFERROR(_xludf.NUMBERVALUE('Procyclean 210'!E369,".",","),IFERROR(_xludf.NUMBERVALUE('Procyclean 210'!E369,",","."),0))))</f>
        <v/>
      </c>
      <c r="AE1867" t="str">
        <f>IF(AA1867="","",'Procyclean 210'!B369)</f>
        <v/>
      </c>
      <c r="AF1867">
        <f t="shared" si="191"/>
        <v>0</v>
      </c>
      <c r="AG1867" t="str">
        <f t="shared" si="192"/>
        <v/>
      </c>
      <c r="AH1867" t="str">
        <f t="shared" si="193"/>
        <v/>
      </c>
      <c r="AI1867">
        <f t="shared" si="194"/>
        <v>0</v>
      </c>
      <c r="AJ1867">
        <f t="shared" si="195"/>
        <v>0</v>
      </c>
      <c r="AK1867">
        <v>0</v>
      </c>
      <c r="AL1867" t="str">
        <f>IF(AA1867="","",IFERROR(IF(ISNUMBER('Procyclean 210'!F369),'Procyclean 210'!F369,IF(ISNUMBER(SEARCH("12",'Procyclean 210'!F369)),EDATE(AB1867,12),IF(ISNUMBER(SEARCH("6",'Procyclean 210'!F369)),EDATE(AB1867,6),IF(ISNUMBER(SEARCH("3",'Procyclean 210'!F369)),EDATE(AB1867,3),DATEVALUE('Procyclean 210'!F369))))),""))</f>
        <v/>
      </c>
      <c r="AM1867" t="str">
        <f t="shared" ca="1" si="196"/>
        <v/>
      </c>
    </row>
    <row r="1868" spans="27:39" x14ac:dyDescent="0.3">
      <c r="AA1868" t="str">
        <f>IF(COUNTA('Procyclean 210'!C370,'Procyclean 210'!D370,'Procyclean 210'!E370)&gt;0,"210","")</f>
        <v/>
      </c>
      <c r="AB1868" t="str">
        <f>IFERROR(IF(ISNUMBER('Procyclean 210'!C370),'Procyclean 210'!C370,DATEVALUE('Procyclean 210'!C370)),"")</f>
        <v/>
      </c>
      <c r="AC1868" t="str">
        <f>IF(AA1868="","",'Procyclean 210'!D370)</f>
        <v/>
      </c>
      <c r="AD1868" t="str">
        <f>IF(AA1868="","",IFERROR(1*'Procyclean 210'!E370,IFERROR(_xludf.NUMBERVALUE('Procyclean 210'!E370,".",","),IFERROR(_xludf.NUMBERVALUE('Procyclean 210'!E370,",","."),0))))</f>
        <v/>
      </c>
      <c r="AE1868" t="str">
        <f>IF(AA1868="","",'Procyclean 210'!B370)</f>
        <v/>
      </c>
      <c r="AF1868">
        <f t="shared" si="191"/>
        <v>0</v>
      </c>
      <c r="AG1868" t="str">
        <f t="shared" si="192"/>
        <v/>
      </c>
      <c r="AH1868" t="str">
        <f t="shared" si="193"/>
        <v/>
      </c>
      <c r="AI1868">
        <f t="shared" si="194"/>
        <v>0</v>
      </c>
      <c r="AJ1868">
        <f t="shared" si="195"/>
        <v>0</v>
      </c>
      <c r="AK1868">
        <v>0</v>
      </c>
      <c r="AL1868" t="str">
        <f>IF(AA1868="","",IFERROR(IF(ISNUMBER('Procyclean 210'!F370),'Procyclean 210'!F370,IF(ISNUMBER(SEARCH("12",'Procyclean 210'!F370)),EDATE(AB1868,12),IF(ISNUMBER(SEARCH("6",'Procyclean 210'!F370)),EDATE(AB1868,6),IF(ISNUMBER(SEARCH("3",'Procyclean 210'!F370)),EDATE(AB1868,3),DATEVALUE('Procyclean 210'!F370))))),""))</f>
        <v/>
      </c>
      <c r="AM1868" t="str">
        <f t="shared" ca="1" si="196"/>
        <v/>
      </c>
    </row>
    <row r="1869" spans="27:39" x14ac:dyDescent="0.3">
      <c r="AA1869" t="str">
        <f>IF(COUNTA('Procyclean 210'!C371,'Procyclean 210'!D371,'Procyclean 210'!E371)&gt;0,"210","")</f>
        <v/>
      </c>
      <c r="AB1869" t="str">
        <f>IFERROR(IF(ISNUMBER('Procyclean 210'!C371),'Procyclean 210'!C371,DATEVALUE('Procyclean 210'!C371)),"")</f>
        <v/>
      </c>
      <c r="AC1869" t="str">
        <f>IF(AA1869="","",'Procyclean 210'!D371)</f>
        <v/>
      </c>
      <c r="AD1869" t="str">
        <f>IF(AA1869="","",IFERROR(1*'Procyclean 210'!E371,IFERROR(_xludf.NUMBERVALUE('Procyclean 210'!E371,".",","),IFERROR(_xludf.NUMBERVALUE('Procyclean 210'!E371,",","."),0))))</f>
        <v/>
      </c>
      <c r="AE1869" t="str">
        <f>IF(AA1869="","",'Procyclean 210'!B371)</f>
        <v/>
      </c>
      <c r="AF1869">
        <f t="shared" si="191"/>
        <v>0</v>
      </c>
      <c r="AG1869" t="str">
        <f t="shared" si="192"/>
        <v/>
      </c>
      <c r="AH1869" t="str">
        <f t="shared" si="193"/>
        <v/>
      </c>
      <c r="AI1869">
        <f t="shared" si="194"/>
        <v>0</v>
      </c>
      <c r="AJ1869">
        <f t="shared" si="195"/>
        <v>0</v>
      </c>
      <c r="AK1869">
        <v>0</v>
      </c>
      <c r="AL1869" t="str">
        <f>IF(AA1869="","",IFERROR(IF(ISNUMBER('Procyclean 210'!F371),'Procyclean 210'!F371,IF(ISNUMBER(SEARCH("12",'Procyclean 210'!F371)),EDATE(AB1869,12),IF(ISNUMBER(SEARCH("6",'Procyclean 210'!F371)),EDATE(AB1869,6),IF(ISNUMBER(SEARCH("3",'Procyclean 210'!F371)),EDATE(AB1869,3),DATEVALUE('Procyclean 210'!F371))))),""))</f>
        <v/>
      </c>
      <c r="AM1869" t="str">
        <f t="shared" ca="1" si="196"/>
        <v/>
      </c>
    </row>
    <row r="1870" spans="27:39" x14ac:dyDescent="0.3">
      <c r="AA1870" t="str">
        <f>IF(COUNTA('Procyclean 210'!C372,'Procyclean 210'!D372,'Procyclean 210'!E372)&gt;0,"210","")</f>
        <v/>
      </c>
      <c r="AB1870" t="str">
        <f>IFERROR(IF(ISNUMBER('Procyclean 210'!C372),'Procyclean 210'!C372,DATEVALUE('Procyclean 210'!C372)),"")</f>
        <v/>
      </c>
      <c r="AC1870" t="str">
        <f>IF(AA1870="","",'Procyclean 210'!D372)</f>
        <v/>
      </c>
      <c r="AD1870" t="str">
        <f>IF(AA1870="","",IFERROR(1*'Procyclean 210'!E372,IFERROR(_xludf.NUMBERVALUE('Procyclean 210'!E372,".",","),IFERROR(_xludf.NUMBERVALUE('Procyclean 210'!E372,",","."),0))))</f>
        <v/>
      </c>
      <c r="AE1870" t="str">
        <f>IF(AA1870="","",'Procyclean 210'!B372)</f>
        <v/>
      </c>
      <c r="AF1870">
        <f t="shared" si="191"/>
        <v>0</v>
      </c>
      <c r="AG1870" t="str">
        <f t="shared" si="192"/>
        <v/>
      </c>
      <c r="AH1870" t="str">
        <f t="shared" si="193"/>
        <v/>
      </c>
      <c r="AI1870">
        <f t="shared" si="194"/>
        <v>0</v>
      </c>
      <c r="AJ1870">
        <f t="shared" si="195"/>
        <v>0</v>
      </c>
      <c r="AK1870">
        <v>0</v>
      </c>
      <c r="AL1870" t="str">
        <f>IF(AA1870="","",IFERROR(IF(ISNUMBER('Procyclean 210'!F372),'Procyclean 210'!F372,IF(ISNUMBER(SEARCH("12",'Procyclean 210'!F372)),EDATE(AB1870,12),IF(ISNUMBER(SEARCH("6",'Procyclean 210'!F372)),EDATE(AB1870,6),IF(ISNUMBER(SEARCH("3",'Procyclean 210'!F372)),EDATE(AB1870,3),DATEVALUE('Procyclean 210'!F372))))),""))</f>
        <v/>
      </c>
      <c r="AM1870" t="str">
        <f t="shared" ca="1" si="196"/>
        <v/>
      </c>
    </row>
    <row r="1871" spans="27:39" x14ac:dyDescent="0.3">
      <c r="AA1871" t="str">
        <f>IF(COUNTA('Procyclean 210'!C373,'Procyclean 210'!D373,'Procyclean 210'!E373)&gt;0,"210","")</f>
        <v/>
      </c>
      <c r="AB1871" t="str">
        <f>IFERROR(IF(ISNUMBER('Procyclean 210'!C373),'Procyclean 210'!C373,DATEVALUE('Procyclean 210'!C373)),"")</f>
        <v/>
      </c>
      <c r="AC1871" t="str">
        <f>IF(AA1871="","",'Procyclean 210'!D373)</f>
        <v/>
      </c>
      <c r="AD1871" t="str">
        <f>IF(AA1871="","",IFERROR(1*'Procyclean 210'!E373,IFERROR(_xludf.NUMBERVALUE('Procyclean 210'!E373,".",","),IFERROR(_xludf.NUMBERVALUE('Procyclean 210'!E373,",","."),0))))</f>
        <v/>
      </c>
      <c r="AE1871" t="str">
        <f>IF(AA1871="","",'Procyclean 210'!B373)</f>
        <v/>
      </c>
      <c r="AF1871">
        <f t="shared" si="191"/>
        <v>0</v>
      </c>
      <c r="AG1871" t="str">
        <f t="shared" si="192"/>
        <v/>
      </c>
      <c r="AH1871" t="str">
        <f t="shared" si="193"/>
        <v/>
      </c>
      <c r="AI1871">
        <f t="shared" si="194"/>
        <v>0</v>
      </c>
      <c r="AJ1871">
        <f t="shared" si="195"/>
        <v>0</v>
      </c>
      <c r="AK1871">
        <v>0</v>
      </c>
      <c r="AL1871" t="str">
        <f>IF(AA1871="","",IFERROR(IF(ISNUMBER('Procyclean 210'!F373),'Procyclean 210'!F373,IF(ISNUMBER(SEARCH("12",'Procyclean 210'!F373)),EDATE(AB1871,12),IF(ISNUMBER(SEARCH("6",'Procyclean 210'!F373)),EDATE(AB1871,6),IF(ISNUMBER(SEARCH("3",'Procyclean 210'!F373)),EDATE(AB1871,3),DATEVALUE('Procyclean 210'!F373))))),""))</f>
        <v/>
      </c>
      <c r="AM1871" t="str">
        <f t="shared" ca="1" si="196"/>
        <v/>
      </c>
    </row>
    <row r="1872" spans="27:39" x14ac:dyDescent="0.3">
      <c r="AA1872" t="str">
        <f>IF(COUNTA('Procyclean 210'!C374,'Procyclean 210'!D374,'Procyclean 210'!E374)&gt;0,"210","")</f>
        <v/>
      </c>
      <c r="AB1872" t="str">
        <f>IFERROR(IF(ISNUMBER('Procyclean 210'!C374),'Procyclean 210'!C374,DATEVALUE('Procyclean 210'!C374)),"")</f>
        <v/>
      </c>
      <c r="AC1872" t="str">
        <f>IF(AA1872="","",'Procyclean 210'!D374)</f>
        <v/>
      </c>
      <c r="AD1872" t="str">
        <f>IF(AA1872="","",IFERROR(1*'Procyclean 210'!E374,IFERROR(_xludf.NUMBERVALUE('Procyclean 210'!E374,".",","),IFERROR(_xludf.NUMBERVALUE('Procyclean 210'!E374,",","."),0))))</f>
        <v/>
      </c>
      <c r="AE1872" t="str">
        <f>IF(AA1872="","",'Procyclean 210'!B374)</f>
        <v/>
      </c>
      <c r="AF1872">
        <f t="shared" si="191"/>
        <v>0</v>
      </c>
      <c r="AG1872" t="str">
        <f t="shared" si="192"/>
        <v/>
      </c>
      <c r="AH1872" t="str">
        <f t="shared" si="193"/>
        <v/>
      </c>
      <c r="AI1872">
        <f t="shared" si="194"/>
        <v>0</v>
      </c>
      <c r="AJ1872">
        <f t="shared" si="195"/>
        <v>0</v>
      </c>
      <c r="AK1872">
        <v>0</v>
      </c>
      <c r="AL1872" t="str">
        <f>IF(AA1872="","",IFERROR(IF(ISNUMBER('Procyclean 210'!F374),'Procyclean 210'!F374,IF(ISNUMBER(SEARCH("12",'Procyclean 210'!F374)),EDATE(AB1872,12),IF(ISNUMBER(SEARCH("6",'Procyclean 210'!F374)),EDATE(AB1872,6),IF(ISNUMBER(SEARCH("3",'Procyclean 210'!F374)),EDATE(AB1872,3),DATEVALUE('Procyclean 210'!F374))))),""))</f>
        <v/>
      </c>
      <c r="AM1872" t="str">
        <f t="shared" ca="1" si="196"/>
        <v/>
      </c>
    </row>
    <row r="1873" spans="27:39" x14ac:dyDescent="0.3">
      <c r="AA1873" t="str">
        <f>IF(COUNTA('Procyclean 210'!C375,'Procyclean 210'!D375,'Procyclean 210'!E375)&gt;0,"210","")</f>
        <v/>
      </c>
      <c r="AB1873" t="str">
        <f>IFERROR(IF(ISNUMBER('Procyclean 210'!C375),'Procyclean 210'!C375,DATEVALUE('Procyclean 210'!C375)),"")</f>
        <v/>
      </c>
      <c r="AC1873" t="str">
        <f>IF(AA1873="","",'Procyclean 210'!D375)</f>
        <v/>
      </c>
      <c r="AD1873" t="str">
        <f>IF(AA1873="","",IFERROR(1*'Procyclean 210'!E375,IFERROR(_xludf.NUMBERVALUE('Procyclean 210'!E375,".",","),IFERROR(_xludf.NUMBERVALUE('Procyclean 210'!E375,",","."),0))))</f>
        <v/>
      </c>
      <c r="AE1873" t="str">
        <f>IF(AA1873="","",'Procyclean 210'!B375)</f>
        <v/>
      </c>
      <c r="AF1873">
        <f t="shared" si="191"/>
        <v>0</v>
      </c>
      <c r="AG1873" t="str">
        <f t="shared" si="192"/>
        <v/>
      </c>
      <c r="AH1873" t="str">
        <f t="shared" si="193"/>
        <v/>
      </c>
      <c r="AI1873">
        <f t="shared" si="194"/>
        <v>0</v>
      </c>
      <c r="AJ1873">
        <f t="shared" si="195"/>
        <v>0</v>
      </c>
      <c r="AK1873">
        <v>0</v>
      </c>
      <c r="AL1873" t="str">
        <f>IF(AA1873="","",IFERROR(IF(ISNUMBER('Procyclean 210'!F375),'Procyclean 210'!F375,IF(ISNUMBER(SEARCH("12",'Procyclean 210'!F375)),EDATE(AB1873,12),IF(ISNUMBER(SEARCH("6",'Procyclean 210'!F375)),EDATE(AB1873,6),IF(ISNUMBER(SEARCH("3",'Procyclean 210'!F375)),EDATE(AB1873,3),DATEVALUE('Procyclean 210'!F375))))),""))</f>
        <v/>
      </c>
      <c r="AM1873" t="str">
        <f t="shared" ca="1" si="196"/>
        <v/>
      </c>
    </row>
    <row r="1874" spans="27:39" x14ac:dyDescent="0.3">
      <c r="AA1874" t="str">
        <f>IF(COUNTA('Procyclean 210'!C376,'Procyclean 210'!D376,'Procyclean 210'!E376)&gt;0,"210","")</f>
        <v/>
      </c>
      <c r="AB1874" t="str">
        <f>IFERROR(IF(ISNUMBER('Procyclean 210'!C376),'Procyclean 210'!C376,DATEVALUE('Procyclean 210'!C376)),"")</f>
        <v/>
      </c>
      <c r="AC1874" t="str">
        <f>IF(AA1874="","",'Procyclean 210'!D376)</f>
        <v/>
      </c>
      <c r="AD1874" t="str">
        <f>IF(AA1874="","",IFERROR(1*'Procyclean 210'!E376,IFERROR(_xludf.NUMBERVALUE('Procyclean 210'!E376,".",","),IFERROR(_xludf.NUMBERVALUE('Procyclean 210'!E376,",","."),0))))</f>
        <v/>
      </c>
      <c r="AE1874" t="str">
        <f>IF(AA1874="","",'Procyclean 210'!B376)</f>
        <v/>
      </c>
      <c r="AF1874">
        <f t="shared" si="191"/>
        <v>0</v>
      </c>
      <c r="AG1874" t="str">
        <f t="shared" si="192"/>
        <v/>
      </c>
      <c r="AH1874" t="str">
        <f t="shared" si="193"/>
        <v/>
      </c>
      <c r="AI1874">
        <f t="shared" si="194"/>
        <v>0</v>
      </c>
      <c r="AJ1874">
        <f t="shared" si="195"/>
        <v>0</v>
      </c>
      <c r="AK1874">
        <v>0</v>
      </c>
      <c r="AL1874" t="str">
        <f>IF(AA1874="","",IFERROR(IF(ISNUMBER('Procyclean 210'!F376),'Procyclean 210'!F376,IF(ISNUMBER(SEARCH("12",'Procyclean 210'!F376)),EDATE(AB1874,12),IF(ISNUMBER(SEARCH("6",'Procyclean 210'!F376)),EDATE(AB1874,6),IF(ISNUMBER(SEARCH("3",'Procyclean 210'!F376)),EDATE(AB1874,3),DATEVALUE('Procyclean 210'!F376))))),""))</f>
        <v/>
      </c>
      <c r="AM1874" t="str">
        <f t="shared" ca="1" si="196"/>
        <v/>
      </c>
    </row>
    <row r="1875" spans="27:39" x14ac:dyDescent="0.3">
      <c r="AA1875" t="str">
        <f>IF(COUNTA('Procyclean 210'!C377,'Procyclean 210'!D377,'Procyclean 210'!E377)&gt;0,"210","")</f>
        <v/>
      </c>
      <c r="AB1875" t="str">
        <f>IFERROR(IF(ISNUMBER('Procyclean 210'!C377),'Procyclean 210'!C377,DATEVALUE('Procyclean 210'!C377)),"")</f>
        <v/>
      </c>
      <c r="AC1875" t="str">
        <f>IF(AA1875="","",'Procyclean 210'!D377)</f>
        <v/>
      </c>
      <c r="AD1875" t="str">
        <f>IF(AA1875="","",IFERROR(1*'Procyclean 210'!E377,IFERROR(_xludf.NUMBERVALUE('Procyclean 210'!E377,".",","),IFERROR(_xludf.NUMBERVALUE('Procyclean 210'!E377,",","."),0))))</f>
        <v/>
      </c>
      <c r="AE1875" t="str">
        <f>IF(AA1875="","",'Procyclean 210'!B377)</f>
        <v/>
      </c>
      <c r="AF1875">
        <f t="shared" si="191"/>
        <v>0</v>
      </c>
      <c r="AG1875" t="str">
        <f t="shared" si="192"/>
        <v/>
      </c>
      <c r="AH1875" t="str">
        <f t="shared" si="193"/>
        <v/>
      </c>
      <c r="AI1875">
        <f t="shared" si="194"/>
        <v>0</v>
      </c>
      <c r="AJ1875">
        <f t="shared" si="195"/>
        <v>0</v>
      </c>
      <c r="AK1875">
        <v>0</v>
      </c>
      <c r="AL1875" t="str">
        <f>IF(AA1875="","",IFERROR(IF(ISNUMBER('Procyclean 210'!F377),'Procyclean 210'!F377,IF(ISNUMBER(SEARCH("12",'Procyclean 210'!F377)),EDATE(AB1875,12),IF(ISNUMBER(SEARCH("6",'Procyclean 210'!F377)),EDATE(AB1875,6),IF(ISNUMBER(SEARCH("3",'Procyclean 210'!F377)),EDATE(AB1875,3),DATEVALUE('Procyclean 210'!F377))))),""))</f>
        <v/>
      </c>
      <c r="AM1875" t="str">
        <f t="shared" ca="1" si="196"/>
        <v/>
      </c>
    </row>
    <row r="1876" spans="27:39" x14ac:dyDescent="0.3">
      <c r="AA1876" t="str">
        <f>IF(COUNTA('Procyclean 210'!C378,'Procyclean 210'!D378,'Procyclean 210'!E378)&gt;0,"210","")</f>
        <v/>
      </c>
      <c r="AB1876" t="str">
        <f>IFERROR(IF(ISNUMBER('Procyclean 210'!C378),'Procyclean 210'!C378,DATEVALUE('Procyclean 210'!C378)),"")</f>
        <v/>
      </c>
      <c r="AC1876" t="str">
        <f>IF(AA1876="","",'Procyclean 210'!D378)</f>
        <v/>
      </c>
      <c r="AD1876" t="str">
        <f>IF(AA1876="","",IFERROR(1*'Procyclean 210'!E378,IFERROR(_xludf.NUMBERVALUE('Procyclean 210'!E378,".",","),IFERROR(_xludf.NUMBERVALUE('Procyclean 210'!E378,",","."),0))))</f>
        <v/>
      </c>
      <c r="AE1876" t="str">
        <f>IF(AA1876="","",'Procyclean 210'!B378)</f>
        <v/>
      </c>
      <c r="AF1876">
        <f t="shared" si="191"/>
        <v>0</v>
      </c>
      <c r="AG1876" t="str">
        <f t="shared" si="192"/>
        <v/>
      </c>
      <c r="AH1876" t="str">
        <f t="shared" si="193"/>
        <v/>
      </c>
      <c r="AI1876">
        <f t="shared" si="194"/>
        <v>0</v>
      </c>
      <c r="AJ1876">
        <f t="shared" si="195"/>
        <v>0</v>
      </c>
      <c r="AK1876">
        <v>0</v>
      </c>
      <c r="AL1876" t="str">
        <f>IF(AA1876="","",IFERROR(IF(ISNUMBER('Procyclean 210'!F378),'Procyclean 210'!F378,IF(ISNUMBER(SEARCH("12",'Procyclean 210'!F378)),EDATE(AB1876,12),IF(ISNUMBER(SEARCH("6",'Procyclean 210'!F378)),EDATE(AB1876,6),IF(ISNUMBER(SEARCH("3",'Procyclean 210'!F378)),EDATE(AB1876,3),DATEVALUE('Procyclean 210'!F378))))),""))</f>
        <v/>
      </c>
      <c r="AM1876" t="str">
        <f t="shared" ca="1" si="196"/>
        <v/>
      </c>
    </row>
    <row r="1877" spans="27:39" x14ac:dyDescent="0.3">
      <c r="AA1877" t="str">
        <f>IF(COUNTA('Procyclean 210'!C379,'Procyclean 210'!D379,'Procyclean 210'!E379)&gt;0,"210","")</f>
        <v/>
      </c>
      <c r="AB1877" t="str">
        <f>IFERROR(IF(ISNUMBER('Procyclean 210'!C379),'Procyclean 210'!C379,DATEVALUE('Procyclean 210'!C379)),"")</f>
        <v/>
      </c>
      <c r="AC1877" t="str">
        <f>IF(AA1877="","",'Procyclean 210'!D379)</f>
        <v/>
      </c>
      <c r="AD1877" t="str">
        <f>IF(AA1877="","",IFERROR(1*'Procyclean 210'!E379,IFERROR(_xludf.NUMBERVALUE('Procyclean 210'!E379,".",","),IFERROR(_xludf.NUMBERVALUE('Procyclean 210'!E379,",","."),0))))</f>
        <v/>
      </c>
      <c r="AE1877" t="str">
        <f>IF(AA1877="","",'Procyclean 210'!B379)</f>
        <v/>
      </c>
      <c r="AF1877">
        <f t="shared" si="191"/>
        <v>0</v>
      </c>
      <c r="AG1877" t="str">
        <f t="shared" si="192"/>
        <v/>
      </c>
      <c r="AH1877" t="str">
        <f t="shared" si="193"/>
        <v/>
      </c>
      <c r="AI1877">
        <f t="shared" si="194"/>
        <v>0</v>
      </c>
      <c r="AJ1877">
        <f t="shared" si="195"/>
        <v>0</v>
      </c>
      <c r="AK1877">
        <v>0</v>
      </c>
      <c r="AL1877" t="str">
        <f>IF(AA1877="","",IFERROR(IF(ISNUMBER('Procyclean 210'!F379),'Procyclean 210'!F379,IF(ISNUMBER(SEARCH("12",'Procyclean 210'!F379)),EDATE(AB1877,12),IF(ISNUMBER(SEARCH("6",'Procyclean 210'!F379)),EDATE(AB1877,6),IF(ISNUMBER(SEARCH("3",'Procyclean 210'!F379)),EDATE(AB1877,3),DATEVALUE('Procyclean 210'!F379))))),""))</f>
        <v/>
      </c>
      <c r="AM1877" t="str">
        <f t="shared" ca="1" si="196"/>
        <v/>
      </c>
    </row>
    <row r="1878" spans="27:39" x14ac:dyDescent="0.3">
      <c r="AA1878" t="str">
        <f>IF(COUNTA('Procyclean 210'!C380,'Procyclean 210'!D380,'Procyclean 210'!E380)&gt;0,"210","")</f>
        <v/>
      </c>
      <c r="AB1878" t="str">
        <f>IFERROR(IF(ISNUMBER('Procyclean 210'!C380),'Procyclean 210'!C380,DATEVALUE('Procyclean 210'!C380)),"")</f>
        <v/>
      </c>
      <c r="AC1878" t="str">
        <f>IF(AA1878="","",'Procyclean 210'!D380)</f>
        <v/>
      </c>
      <c r="AD1878" t="str">
        <f>IF(AA1878="","",IFERROR(1*'Procyclean 210'!E380,IFERROR(_xludf.NUMBERVALUE('Procyclean 210'!E380,".",","),IFERROR(_xludf.NUMBERVALUE('Procyclean 210'!E380,",","."),0))))</f>
        <v/>
      </c>
      <c r="AE1878" t="str">
        <f>IF(AA1878="","",'Procyclean 210'!B380)</f>
        <v/>
      </c>
      <c r="AF1878">
        <f t="shared" si="191"/>
        <v>0</v>
      </c>
      <c r="AG1878" t="str">
        <f t="shared" si="192"/>
        <v/>
      </c>
      <c r="AH1878" t="str">
        <f t="shared" si="193"/>
        <v/>
      </c>
      <c r="AI1878">
        <f t="shared" si="194"/>
        <v>0</v>
      </c>
      <c r="AJ1878">
        <f t="shared" si="195"/>
        <v>0</v>
      </c>
      <c r="AK1878">
        <v>0</v>
      </c>
      <c r="AL1878" t="str">
        <f>IF(AA1878="","",IFERROR(IF(ISNUMBER('Procyclean 210'!F380),'Procyclean 210'!F380,IF(ISNUMBER(SEARCH("12",'Procyclean 210'!F380)),EDATE(AB1878,12),IF(ISNUMBER(SEARCH("6",'Procyclean 210'!F380)),EDATE(AB1878,6),IF(ISNUMBER(SEARCH("3",'Procyclean 210'!F380)),EDATE(AB1878,3),DATEVALUE('Procyclean 210'!F380))))),""))</f>
        <v/>
      </c>
      <c r="AM1878" t="str">
        <f t="shared" ca="1" si="196"/>
        <v/>
      </c>
    </row>
    <row r="1879" spans="27:39" x14ac:dyDescent="0.3">
      <c r="AA1879" t="str">
        <f>IF(COUNTA('Procyclean 210'!C381,'Procyclean 210'!D381,'Procyclean 210'!E381)&gt;0,"210","")</f>
        <v/>
      </c>
      <c r="AB1879" t="str">
        <f>IFERROR(IF(ISNUMBER('Procyclean 210'!C381),'Procyclean 210'!C381,DATEVALUE('Procyclean 210'!C381)),"")</f>
        <v/>
      </c>
      <c r="AC1879" t="str">
        <f>IF(AA1879="","",'Procyclean 210'!D381)</f>
        <v/>
      </c>
      <c r="AD1879" t="str">
        <f>IF(AA1879="","",IFERROR(1*'Procyclean 210'!E381,IFERROR(_xludf.NUMBERVALUE('Procyclean 210'!E381,".",","),IFERROR(_xludf.NUMBERVALUE('Procyclean 210'!E381,",","."),0))))</f>
        <v/>
      </c>
      <c r="AE1879" t="str">
        <f>IF(AA1879="","",'Procyclean 210'!B381)</f>
        <v/>
      </c>
      <c r="AF1879">
        <f t="shared" si="191"/>
        <v>0</v>
      </c>
      <c r="AG1879" t="str">
        <f t="shared" si="192"/>
        <v/>
      </c>
      <c r="AH1879" t="str">
        <f t="shared" si="193"/>
        <v/>
      </c>
      <c r="AI1879">
        <f t="shared" si="194"/>
        <v>0</v>
      </c>
      <c r="AJ1879">
        <f t="shared" si="195"/>
        <v>0</v>
      </c>
      <c r="AK1879">
        <v>0</v>
      </c>
      <c r="AL1879" t="str">
        <f>IF(AA1879="","",IFERROR(IF(ISNUMBER('Procyclean 210'!F381),'Procyclean 210'!F381,IF(ISNUMBER(SEARCH("12",'Procyclean 210'!F381)),EDATE(AB1879,12),IF(ISNUMBER(SEARCH("6",'Procyclean 210'!F381)),EDATE(AB1879,6),IF(ISNUMBER(SEARCH("3",'Procyclean 210'!F381)),EDATE(AB1879,3),DATEVALUE('Procyclean 210'!F381))))),""))</f>
        <v/>
      </c>
      <c r="AM1879" t="str">
        <f t="shared" ca="1" si="196"/>
        <v/>
      </c>
    </row>
    <row r="1880" spans="27:39" x14ac:dyDescent="0.3">
      <c r="AA1880" t="str">
        <f>IF(COUNTA('Procyclean 210'!C382,'Procyclean 210'!D382,'Procyclean 210'!E382)&gt;0,"210","")</f>
        <v/>
      </c>
      <c r="AB1880" t="str">
        <f>IFERROR(IF(ISNUMBER('Procyclean 210'!C382),'Procyclean 210'!C382,DATEVALUE('Procyclean 210'!C382)),"")</f>
        <v/>
      </c>
      <c r="AC1880" t="str">
        <f>IF(AA1880="","",'Procyclean 210'!D382)</f>
        <v/>
      </c>
      <c r="AD1880" t="str">
        <f>IF(AA1880="","",IFERROR(1*'Procyclean 210'!E382,IFERROR(_xludf.NUMBERVALUE('Procyclean 210'!E382,".",","),IFERROR(_xludf.NUMBERVALUE('Procyclean 210'!E382,",","."),0))))</f>
        <v/>
      </c>
      <c r="AE1880" t="str">
        <f>IF(AA1880="","",'Procyclean 210'!B382)</f>
        <v/>
      </c>
      <c r="AF1880">
        <f t="shared" si="191"/>
        <v>0</v>
      </c>
      <c r="AG1880" t="str">
        <f t="shared" si="192"/>
        <v/>
      </c>
      <c r="AH1880" t="str">
        <f t="shared" si="193"/>
        <v/>
      </c>
      <c r="AI1880">
        <f t="shared" si="194"/>
        <v>0</v>
      </c>
      <c r="AJ1880">
        <f t="shared" si="195"/>
        <v>0</v>
      </c>
      <c r="AK1880">
        <v>0</v>
      </c>
      <c r="AL1880" t="str">
        <f>IF(AA1880="","",IFERROR(IF(ISNUMBER('Procyclean 210'!F382),'Procyclean 210'!F382,IF(ISNUMBER(SEARCH("12",'Procyclean 210'!F382)),EDATE(AB1880,12),IF(ISNUMBER(SEARCH("6",'Procyclean 210'!F382)),EDATE(AB1880,6),IF(ISNUMBER(SEARCH("3",'Procyclean 210'!F382)),EDATE(AB1880,3),DATEVALUE('Procyclean 210'!F382))))),""))</f>
        <v/>
      </c>
      <c r="AM1880" t="str">
        <f t="shared" ca="1" si="196"/>
        <v/>
      </c>
    </row>
    <row r="1881" spans="27:39" x14ac:dyDescent="0.3">
      <c r="AA1881" t="str">
        <f>IF(COUNTA('Procyclean 210'!C383,'Procyclean 210'!D383,'Procyclean 210'!E383)&gt;0,"210","")</f>
        <v/>
      </c>
      <c r="AB1881" t="str">
        <f>IFERROR(IF(ISNUMBER('Procyclean 210'!C383),'Procyclean 210'!C383,DATEVALUE('Procyclean 210'!C383)),"")</f>
        <v/>
      </c>
      <c r="AC1881" t="str">
        <f>IF(AA1881="","",'Procyclean 210'!D383)</f>
        <v/>
      </c>
      <c r="AD1881" t="str">
        <f>IF(AA1881="","",IFERROR(1*'Procyclean 210'!E383,IFERROR(_xludf.NUMBERVALUE('Procyclean 210'!E383,".",","),IFERROR(_xludf.NUMBERVALUE('Procyclean 210'!E383,",","."),0))))</f>
        <v/>
      </c>
      <c r="AE1881" t="str">
        <f>IF(AA1881="","",'Procyclean 210'!B383)</f>
        <v/>
      </c>
      <c r="AF1881">
        <f t="shared" si="191"/>
        <v>0</v>
      </c>
      <c r="AG1881" t="str">
        <f t="shared" si="192"/>
        <v/>
      </c>
      <c r="AH1881" t="str">
        <f t="shared" si="193"/>
        <v/>
      </c>
      <c r="AI1881">
        <f t="shared" si="194"/>
        <v>0</v>
      </c>
      <c r="AJ1881">
        <f t="shared" si="195"/>
        <v>0</v>
      </c>
      <c r="AK1881">
        <v>0</v>
      </c>
      <c r="AL1881" t="str">
        <f>IF(AA1881="","",IFERROR(IF(ISNUMBER('Procyclean 210'!F383),'Procyclean 210'!F383,IF(ISNUMBER(SEARCH("12",'Procyclean 210'!F383)),EDATE(AB1881,12),IF(ISNUMBER(SEARCH("6",'Procyclean 210'!F383)),EDATE(AB1881,6),IF(ISNUMBER(SEARCH("3",'Procyclean 210'!F383)),EDATE(AB1881,3),DATEVALUE('Procyclean 210'!F383))))),""))</f>
        <v/>
      </c>
      <c r="AM1881" t="str">
        <f t="shared" ca="1" si="196"/>
        <v/>
      </c>
    </row>
    <row r="1882" spans="27:39" x14ac:dyDescent="0.3">
      <c r="AA1882" t="str">
        <f>IF(COUNTA('Procyclean 210'!C384,'Procyclean 210'!D384,'Procyclean 210'!E384)&gt;0,"210","")</f>
        <v/>
      </c>
      <c r="AB1882" t="str">
        <f>IFERROR(IF(ISNUMBER('Procyclean 210'!C384),'Procyclean 210'!C384,DATEVALUE('Procyclean 210'!C384)),"")</f>
        <v/>
      </c>
      <c r="AC1882" t="str">
        <f>IF(AA1882="","",'Procyclean 210'!D384)</f>
        <v/>
      </c>
      <c r="AD1882" t="str">
        <f>IF(AA1882="","",IFERROR(1*'Procyclean 210'!E384,IFERROR(_xludf.NUMBERVALUE('Procyclean 210'!E384,".",","),IFERROR(_xludf.NUMBERVALUE('Procyclean 210'!E384,",","."),0))))</f>
        <v/>
      </c>
      <c r="AE1882" t="str">
        <f>IF(AA1882="","",'Procyclean 210'!B384)</f>
        <v/>
      </c>
      <c r="AF1882">
        <f t="shared" si="191"/>
        <v>0</v>
      </c>
      <c r="AG1882" t="str">
        <f t="shared" si="192"/>
        <v/>
      </c>
      <c r="AH1882" t="str">
        <f t="shared" si="193"/>
        <v/>
      </c>
      <c r="AI1882">
        <f t="shared" si="194"/>
        <v>0</v>
      </c>
      <c r="AJ1882">
        <f t="shared" si="195"/>
        <v>0</v>
      </c>
      <c r="AK1882">
        <v>0</v>
      </c>
      <c r="AL1882" t="str">
        <f>IF(AA1882="","",IFERROR(IF(ISNUMBER('Procyclean 210'!F384),'Procyclean 210'!F384,IF(ISNUMBER(SEARCH("12",'Procyclean 210'!F384)),EDATE(AB1882,12),IF(ISNUMBER(SEARCH("6",'Procyclean 210'!F384)),EDATE(AB1882,6),IF(ISNUMBER(SEARCH("3",'Procyclean 210'!F384)),EDATE(AB1882,3),DATEVALUE('Procyclean 210'!F384))))),""))</f>
        <v/>
      </c>
      <c r="AM1882" t="str">
        <f t="shared" ca="1" si="196"/>
        <v/>
      </c>
    </row>
    <row r="1883" spans="27:39" x14ac:dyDescent="0.3">
      <c r="AA1883" t="str">
        <f>IF(COUNTA('Procyclean 210'!C385,'Procyclean 210'!D385,'Procyclean 210'!E385)&gt;0,"210","")</f>
        <v/>
      </c>
      <c r="AB1883" t="str">
        <f>IFERROR(IF(ISNUMBER('Procyclean 210'!C385),'Procyclean 210'!C385,DATEVALUE('Procyclean 210'!C385)),"")</f>
        <v/>
      </c>
      <c r="AC1883" t="str">
        <f>IF(AA1883="","",'Procyclean 210'!D385)</f>
        <v/>
      </c>
      <c r="AD1883" t="str">
        <f>IF(AA1883="","",IFERROR(1*'Procyclean 210'!E385,IFERROR(_xludf.NUMBERVALUE('Procyclean 210'!E385,".",","),IFERROR(_xludf.NUMBERVALUE('Procyclean 210'!E385,",","."),0))))</f>
        <v/>
      </c>
      <c r="AE1883" t="str">
        <f>IF(AA1883="","",'Procyclean 210'!B385)</f>
        <v/>
      </c>
      <c r="AF1883">
        <f t="shared" si="191"/>
        <v>0</v>
      </c>
      <c r="AG1883" t="str">
        <f t="shared" si="192"/>
        <v/>
      </c>
      <c r="AH1883" t="str">
        <f t="shared" si="193"/>
        <v/>
      </c>
      <c r="AI1883">
        <f t="shared" si="194"/>
        <v>0</v>
      </c>
      <c r="AJ1883">
        <f t="shared" si="195"/>
        <v>0</v>
      </c>
      <c r="AK1883">
        <v>0</v>
      </c>
      <c r="AL1883" t="str">
        <f>IF(AA1883="","",IFERROR(IF(ISNUMBER('Procyclean 210'!F385),'Procyclean 210'!F385,IF(ISNUMBER(SEARCH("12",'Procyclean 210'!F385)),EDATE(AB1883,12),IF(ISNUMBER(SEARCH("6",'Procyclean 210'!F385)),EDATE(AB1883,6),IF(ISNUMBER(SEARCH("3",'Procyclean 210'!F385)),EDATE(AB1883,3),DATEVALUE('Procyclean 210'!F385))))),""))</f>
        <v/>
      </c>
      <c r="AM1883" t="str">
        <f t="shared" ca="1" si="196"/>
        <v/>
      </c>
    </row>
    <row r="1884" spans="27:39" x14ac:dyDescent="0.3">
      <c r="AA1884" t="str">
        <f>IF(COUNTA('Procyclean 210'!C386,'Procyclean 210'!D386,'Procyclean 210'!E386)&gt;0,"210","")</f>
        <v/>
      </c>
      <c r="AB1884" t="str">
        <f>IFERROR(IF(ISNUMBER('Procyclean 210'!C386),'Procyclean 210'!C386,DATEVALUE('Procyclean 210'!C386)),"")</f>
        <v/>
      </c>
      <c r="AC1884" t="str">
        <f>IF(AA1884="","",'Procyclean 210'!D386)</f>
        <v/>
      </c>
      <c r="AD1884" t="str">
        <f>IF(AA1884="","",IFERROR(1*'Procyclean 210'!E386,IFERROR(_xludf.NUMBERVALUE('Procyclean 210'!E386,".",","),IFERROR(_xludf.NUMBERVALUE('Procyclean 210'!E386,",","."),0))))</f>
        <v/>
      </c>
      <c r="AE1884" t="str">
        <f>IF(AA1884="","",'Procyclean 210'!B386)</f>
        <v/>
      </c>
      <c r="AF1884">
        <f t="shared" si="191"/>
        <v>0</v>
      </c>
      <c r="AG1884" t="str">
        <f t="shared" si="192"/>
        <v/>
      </c>
      <c r="AH1884" t="str">
        <f t="shared" si="193"/>
        <v/>
      </c>
      <c r="AI1884">
        <f t="shared" si="194"/>
        <v>0</v>
      </c>
      <c r="AJ1884">
        <f t="shared" si="195"/>
        <v>0</v>
      </c>
      <c r="AK1884">
        <v>0</v>
      </c>
      <c r="AL1884" t="str">
        <f>IF(AA1884="","",IFERROR(IF(ISNUMBER('Procyclean 210'!F386),'Procyclean 210'!F386,IF(ISNUMBER(SEARCH("12",'Procyclean 210'!F386)),EDATE(AB1884,12),IF(ISNUMBER(SEARCH("6",'Procyclean 210'!F386)),EDATE(AB1884,6),IF(ISNUMBER(SEARCH("3",'Procyclean 210'!F386)),EDATE(AB1884,3),DATEVALUE('Procyclean 210'!F386))))),""))</f>
        <v/>
      </c>
      <c r="AM1884" t="str">
        <f t="shared" ca="1" si="196"/>
        <v/>
      </c>
    </row>
    <row r="1885" spans="27:39" x14ac:dyDescent="0.3">
      <c r="AA1885" t="str">
        <f>IF(COUNTA('Procyclean 210'!C387,'Procyclean 210'!D387,'Procyclean 210'!E387)&gt;0,"210","")</f>
        <v/>
      </c>
      <c r="AB1885" t="str">
        <f>IFERROR(IF(ISNUMBER('Procyclean 210'!C387),'Procyclean 210'!C387,DATEVALUE('Procyclean 210'!C387)),"")</f>
        <v/>
      </c>
      <c r="AC1885" t="str">
        <f>IF(AA1885="","",'Procyclean 210'!D387)</f>
        <v/>
      </c>
      <c r="AD1885" t="str">
        <f>IF(AA1885="","",IFERROR(1*'Procyclean 210'!E387,IFERROR(_xludf.NUMBERVALUE('Procyclean 210'!E387,".",","),IFERROR(_xludf.NUMBERVALUE('Procyclean 210'!E387,",","."),0))))</f>
        <v/>
      </c>
      <c r="AE1885" t="str">
        <f>IF(AA1885="","",'Procyclean 210'!B387)</f>
        <v/>
      </c>
      <c r="AF1885">
        <f t="shared" si="191"/>
        <v>0</v>
      </c>
      <c r="AG1885" t="str">
        <f t="shared" si="192"/>
        <v/>
      </c>
      <c r="AH1885" t="str">
        <f t="shared" si="193"/>
        <v/>
      </c>
      <c r="AI1885">
        <f t="shared" si="194"/>
        <v>0</v>
      </c>
      <c r="AJ1885">
        <f t="shared" si="195"/>
        <v>0</v>
      </c>
      <c r="AK1885">
        <v>0</v>
      </c>
      <c r="AL1885" t="str">
        <f>IF(AA1885="","",IFERROR(IF(ISNUMBER('Procyclean 210'!F387),'Procyclean 210'!F387,IF(ISNUMBER(SEARCH("12",'Procyclean 210'!F387)),EDATE(AB1885,12),IF(ISNUMBER(SEARCH("6",'Procyclean 210'!F387)),EDATE(AB1885,6),IF(ISNUMBER(SEARCH("3",'Procyclean 210'!F387)),EDATE(AB1885,3),DATEVALUE('Procyclean 210'!F387))))),""))</f>
        <v/>
      </c>
      <c r="AM1885" t="str">
        <f t="shared" ca="1" si="196"/>
        <v/>
      </c>
    </row>
    <row r="1886" spans="27:39" x14ac:dyDescent="0.3">
      <c r="AA1886" t="str">
        <f>IF(COUNTA('Procyclean 210'!C388,'Procyclean 210'!D388,'Procyclean 210'!E388)&gt;0,"210","")</f>
        <v/>
      </c>
      <c r="AB1886" t="str">
        <f>IFERROR(IF(ISNUMBER('Procyclean 210'!C388),'Procyclean 210'!C388,DATEVALUE('Procyclean 210'!C388)),"")</f>
        <v/>
      </c>
      <c r="AC1886" t="str">
        <f>IF(AA1886="","",'Procyclean 210'!D388)</f>
        <v/>
      </c>
      <c r="AD1886" t="str">
        <f>IF(AA1886="","",IFERROR(1*'Procyclean 210'!E388,IFERROR(_xludf.NUMBERVALUE('Procyclean 210'!E388,".",","),IFERROR(_xludf.NUMBERVALUE('Procyclean 210'!E388,",","."),0))))</f>
        <v/>
      </c>
      <c r="AE1886" t="str">
        <f>IF(AA1886="","",'Procyclean 210'!B388)</f>
        <v/>
      </c>
      <c r="AF1886">
        <f t="shared" si="191"/>
        <v>0</v>
      </c>
      <c r="AG1886" t="str">
        <f t="shared" si="192"/>
        <v/>
      </c>
      <c r="AH1886" t="str">
        <f t="shared" si="193"/>
        <v/>
      </c>
      <c r="AI1886">
        <f t="shared" si="194"/>
        <v>0</v>
      </c>
      <c r="AJ1886">
        <f t="shared" si="195"/>
        <v>0</v>
      </c>
      <c r="AK1886">
        <v>0</v>
      </c>
      <c r="AL1886" t="str">
        <f>IF(AA1886="","",IFERROR(IF(ISNUMBER('Procyclean 210'!F388),'Procyclean 210'!F388,IF(ISNUMBER(SEARCH("12",'Procyclean 210'!F388)),EDATE(AB1886,12),IF(ISNUMBER(SEARCH("6",'Procyclean 210'!F388)),EDATE(AB1886,6),IF(ISNUMBER(SEARCH("3",'Procyclean 210'!F388)),EDATE(AB1886,3),DATEVALUE('Procyclean 210'!F388))))),""))</f>
        <v/>
      </c>
      <c r="AM1886" t="str">
        <f t="shared" ca="1" si="196"/>
        <v/>
      </c>
    </row>
    <row r="1887" spans="27:39" x14ac:dyDescent="0.3">
      <c r="AA1887" t="str">
        <f>IF(COUNTA('Procyclean 210'!C389,'Procyclean 210'!D389,'Procyclean 210'!E389)&gt;0,"210","")</f>
        <v/>
      </c>
      <c r="AB1887" t="str">
        <f>IFERROR(IF(ISNUMBER('Procyclean 210'!C389),'Procyclean 210'!C389,DATEVALUE('Procyclean 210'!C389)),"")</f>
        <v/>
      </c>
      <c r="AC1887" t="str">
        <f>IF(AA1887="","",'Procyclean 210'!D389)</f>
        <v/>
      </c>
      <c r="AD1887" t="str">
        <f>IF(AA1887="","",IFERROR(1*'Procyclean 210'!E389,IFERROR(_xludf.NUMBERVALUE('Procyclean 210'!E389,".",","),IFERROR(_xludf.NUMBERVALUE('Procyclean 210'!E389,",","."),0))))</f>
        <v/>
      </c>
      <c r="AE1887" t="str">
        <f>IF(AA1887="","",'Procyclean 210'!B389)</f>
        <v/>
      </c>
      <c r="AF1887">
        <f t="shared" si="191"/>
        <v>0</v>
      </c>
      <c r="AG1887" t="str">
        <f t="shared" si="192"/>
        <v/>
      </c>
      <c r="AH1887" t="str">
        <f t="shared" si="193"/>
        <v/>
      </c>
      <c r="AI1887">
        <f t="shared" si="194"/>
        <v>0</v>
      </c>
      <c r="AJ1887">
        <f t="shared" si="195"/>
        <v>0</v>
      </c>
      <c r="AK1887">
        <v>0</v>
      </c>
      <c r="AL1887" t="str">
        <f>IF(AA1887="","",IFERROR(IF(ISNUMBER('Procyclean 210'!F389),'Procyclean 210'!F389,IF(ISNUMBER(SEARCH("12",'Procyclean 210'!F389)),EDATE(AB1887,12),IF(ISNUMBER(SEARCH("6",'Procyclean 210'!F389)),EDATE(AB1887,6),IF(ISNUMBER(SEARCH("3",'Procyclean 210'!F389)),EDATE(AB1887,3),DATEVALUE('Procyclean 210'!F389))))),""))</f>
        <v/>
      </c>
      <c r="AM1887" t="str">
        <f t="shared" ca="1" si="196"/>
        <v/>
      </c>
    </row>
    <row r="1888" spans="27:39" x14ac:dyDescent="0.3">
      <c r="AA1888" t="str">
        <f>IF(COUNTA('Procyclean 210'!C390,'Procyclean 210'!D390,'Procyclean 210'!E390)&gt;0,"210","")</f>
        <v/>
      </c>
      <c r="AB1888" t="str">
        <f>IFERROR(IF(ISNUMBER('Procyclean 210'!C390),'Procyclean 210'!C390,DATEVALUE('Procyclean 210'!C390)),"")</f>
        <v/>
      </c>
      <c r="AC1888" t="str">
        <f>IF(AA1888="","",'Procyclean 210'!D390)</f>
        <v/>
      </c>
      <c r="AD1888" t="str">
        <f>IF(AA1888="","",IFERROR(1*'Procyclean 210'!E390,IFERROR(_xludf.NUMBERVALUE('Procyclean 210'!E390,".",","),IFERROR(_xludf.NUMBERVALUE('Procyclean 210'!E390,",","."),0))))</f>
        <v/>
      </c>
      <c r="AE1888" t="str">
        <f>IF(AA1888="","",'Procyclean 210'!B390)</f>
        <v/>
      </c>
      <c r="AF1888">
        <f t="shared" si="191"/>
        <v>0</v>
      </c>
      <c r="AG1888" t="str">
        <f t="shared" si="192"/>
        <v/>
      </c>
      <c r="AH1888" t="str">
        <f t="shared" si="193"/>
        <v/>
      </c>
      <c r="AI1888">
        <f t="shared" si="194"/>
        <v>0</v>
      </c>
      <c r="AJ1888">
        <f t="shared" si="195"/>
        <v>0</v>
      </c>
      <c r="AK1888">
        <v>0</v>
      </c>
      <c r="AL1888" t="str">
        <f>IF(AA1888="","",IFERROR(IF(ISNUMBER('Procyclean 210'!F390),'Procyclean 210'!F390,IF(ISNUMBER(SEARCH("12",'Procyclean 210'!F390)),EDATE(AB1888,12),IF(ISNUMBER(SEARCH("6",'Procyclean 210'!F390)),EDATE(AB1888,6),IF(ISNUMBER(SEARCH("3",'Procyclean 210'!F390)),EDATE(AB1888,3),DATEVALUE('Procyclean 210'!F390))))),""))</f>
        <v/>
      </c>
      <c r="AM1888" t="str">
        <f t="shared" ca="1" si="196"/>
        <v/>
      </c>
    </row>
    <row r="1889" spans="27:39" x14ac:dyDescent="0.3">
      <c r="AA1889" t="str">
        <f>IF(COUNTA('Procyclean 210'!C391,'Procyclean 210'!D391,'Procyclean 210'!E391)&gt;0,"210","")</f>
        <v/>
      </c>
      <c r="AB1889" t="str">
        <f>IFERROR(IF(ISNUMBER('Procyclean 210'!C391),'Procyclean 210'!C391,DATEVALUE('Procyclean 210'!C391)),"")</f>
        <v/>
      </c>
      <c r="AC1889" t="str">
        <f>IF(AA1889="","",'Procyclean 210'!D391)</f>
        <v/>
      </c>
      <c r="AD1889" t="str">
        <f>IF(AA1889="","",IFERROR(1*'Procyclean 210'!E391,IFERROR(_xludf.NUMBERVALUE('Procyclean 210'!E391,".",","),IFERROR(_xludf.NUMBERVALUE('Procyclean 210'!E391,",","."),0))))</f>
        <v/>
      </c>
      <c r="AE1889" t="str">
        <f>IF(AA1889="","",'Procyclean 210'!B391)</f>
        <v/>
      </c>
      <c r="AF1889">
        <f t="shared" si="191"/>
        <v>0</v>
      </c>
      <c r="AG1889" t="str">
        <f t="shared" si="192"/>
        <v/>
      </c>
      <c r="AH1889" t="str">
        <f t="shared" si="193"/>
        <v/>
      </c>
      <c r="AI1889">
        <f t="shared" si="194"/>
        <v>0</v>
      </c>
      <c r="AJ1889">
        <f t="shared" si="195"/>
        <v>0</v>
      </c>
      <c r="AK1889">
        <v>0</v>
      </c>
      <c r="AL1889" t="str">
        <f>IF(AA1889="","",IFERROR(IF(ISNUMBER('Procyclean 210'!F391),'Procyclean 210'!F391,IF(ISNUMBER(SEARCH("12",'Procyclean 210'!F391)),EDATE(AB1889,12),IF(ISNUMBER(SEARCH("6",'Procyclean 210'!F391)),EDATE(AB1889,6),IF(ISNUMBER(SEARCH("3",'Procyclean 210'!F391)),EDATE(AB1889,3),DATEVALUE('Procyclean 210'!F391))))),""))</f>
        <v/>
      </c>
      <c r="AM1889" t="str">
        <f t="shared" ca="1" si="196"/>
        <v/>
      </c>
    </row>
    <row r="1890" spans="27:39" x14ac:dyDescent="0.3">
      <c r="AA1890" t="str">
        <f>IF(COUNTA('Procyclean 210'!C392,'Procyclean 210'!D392,'Procyclean 210'!E392)&gt;0,"210","")</f>
        <v/>
      </c>
      <c r="AB1890" t="str">
        <f>IFERROR(IF(ISNUMBER('Procyclean 210'!C392),'Procyclean 210'!C392,DATEVALUE('Procyclean 210'!C392)),"")</f>
        <v/>
      </c>
      <c r="AC1890" t="str">
        <f>IF(AA1890="","",'Procyclean 210'!D392)</f>
        <v/>
      </c>
      <c r="AD1890" t="str">
        <f>IF(AA1890="","",IFERROR(1*'Procyclean 210'!E392,IFERROR(_xludf.NUMBERVALUE('Procyclean 210'!E392,".",","),IFERROR(_xludf.NUMBERVALUE('Procyclean 210'!E392,",","."),0))))</f>
        <v/>
      </c>
      <c r="AE1890" t="str">
        <f>IF(AA1890="","",'Procyclean 210'!B392)</f>
        <v/>
      </c>
      <c r="AF1890">
        <f t="shared" si="191"/>
        <v>0</v>
      </c>
      <c r="AG1890" t="str">
        <f t="shared" si="192"/>
        <v/>
      </c>
      <c r="AH1890" t="str">
        <f t="shared" si="193"/>
        <v/>
      </c>
      <c r="AI1890">
        <f t="shared" si="194"/>
        <v>0</v>
      </c>
      <c r="AJ1890">
        <f t="shared" si="195"/>
        <v>0</v>
      </c>
      <c r="AK1890">
        <v>0</v>
      </c>
      <c r="AL1890" t="str">
        <f>IF(AA1890="","",IFERROR(IF(ISNUMBER('Procyclean 210'!F392),'Procyclean 210'!F392,IF(ISNUMBER(SEARCH("12",'Procyclean 210'!F392)),EDATE(AB1890,12),IF(ISNUMBER(SEARCH("6",'Procyclean 210'!F392)),EDATE(AB1890,6),IF(ISNUMBER(SEARCH("3",'Procyclean 210'!F392)),EDATE(AB1890,3),DATEVALUE('Procyclean 210'!F392))))),""))</f>
        <v/>
      </c>
      <c r="AM1890" t="str">
        <f t="shared" ca="1" si="196"/>
        <v/>
      </c>
    </row>
    <row r="1891" spans="27:39" x14ac:dyDescent="0.3">
      <c r="AA1891" t="str">
        <f>IF(COUNTA('Procyclean 210'!C393,'Procyclean 210'!D393,'Procyclean 210'!E393)&gt;0,"210","")</f>
        <v/>
      </c>
      <c r="AB1891" t="str">
        <f>IFERROR(IF(ISNUMBER('Procyclean 210'!C393),'Procyclean 210'!C393,DATEVALUE('Procyclean 210'!C393)),"")</f>
        <v/>
      </c>
      <c r="AC1891" t="str">
        <f>IF(AA1891="","",'Procyclean 210'!D393)</f>
        <v/>
      </c>
      <c r="AD1891" t="str">
        <f>IF(AA1891="","",IFERROR(1*'Procyclean 210'!E393,IFERROR(_xludf.NUMBERVALUE('Procyclean 210'!E393,".",","),IFERROR(_xludf.NUMBERVALUE('Procyclean 210'!E393,",","."),0))))</f>
        <v/>
      </c>
      <c r="AE1891" t="str">
        <f>IF(AA1891="","",'Procyclean 210'!B393)</f>
        <v/>
      </c>
      <c r="AF1891">
        <f t="shared" si="191"/>
        <v>0</v>
      </c>
      <c r="AG1891" t="str">
        <f t="shared" si="192"/>
        <v/>
      </c>
      <c r="AH1891" t="str">
        <f t="shared" si="193"/>
        <v/>
      </c>
      <c r="AI1891">
        <f t="shared" si="194"/>
        <v>0</v>
      </c>
      <c r="AJ1891">
        <f t="shared" si="195"/>
        <v>0</v>
      </c>
      <c r="AK1891">
        <v>0</v>
      </c>
      <c r="AL1891" t="str">
        <f>IF(AA1891="","",IFERROR(IF(ISNUMBER('Procyclean 210'!F393),'Procyclean 210'!F393,IF(ISNUMBER(SEARCH("12",'Procyclean 210'!F393)),EDATE(AB1891,12),IF(ISNUMBER(SEARCH("6",'Procyclean 210'!F393)),EDATE(AB1891,6),IF(ISNUMBER(SEARCH("3",'Procyclean 210'!F393)),EDATE(AB1891,3),DATEVALUE('Procyclean 210'!F393))))),""))</f>
        <v/>
      </c>
      <c r="AM1891" t="str">
        <f t="shared" ca="1" si="196"/>
        <v/>
      </c>
    </row>
    <row r="1892" spans="27:39" x14ac:dyDescent="0.3">
      <c r="AA1892" t="str">
        <f>IF(COUNTA('Procyclean 210'!C394,'Procyclean 210'!D394,'Procyclean 210'!E394)&gt;0,"210","")</f>
        <v/>
      </c>
      <c r="AB1892" t="str">
        <f>IFERROR(IF(ISNUMBER('Procyclean 210'!C394),'Procyclean 210'!C394,DATEVALUE('Procyclean 210'!C394)),"")</f>
        <v/>
      </c>
      <c r="AC1892" t="str">
        <f>IF(AA1892="","",'Procyclean 210'!D394)</f>
        <v/>
      </c>
      <c r="AD1892" t="str">
        <f>IF(AA1892="","",IFERROR(1*'Procyclean 210'!E394,IFERROR(_xludf.NUMBERVALUE('Procyclean 210'!E394,".",","),IFERROR(_xludf.NUMBERVALUE('Procyclean 210'!E394,",","."),0))))</f>
        <v/>
      </c>
      <c r="AE1892" t="str">
        <f>IF(AA1892="","",'Procyclean 210'!B394)</f>
        <v/>
      </c>
      <c r="AF1892">
        <f t="shared" si="191"/>
        <v>0</v>
      </c>
      <c r="AG1892" t="str">
        <f t="shared" si="192"/>
        <v/>
      </c>
      <c r="AH1892" t="str">
        <f t="shared" si="193"/>
        <v/>
      </c>
      <c r="AI1892">
        <f t="shared" si="194"/>
        <v>0</v>
      </c>
      <c r="AJ1892">
        <f t="shared" si="195"/>
        <v>0</v>
      </c>
      <c r="AK1892">
        <v>0</v>
      </c>
      <c r="AL1892" t="str">
        <f>IF(AA1892="","",IFERROR(IF(ISNUMBER('Procyclean 210'!F394),'Procyclean 210'!F394,IF(ISNUMBER(SEARCH("12",'Procyclean 210'!F394)),EDATE(AB1892,12),IF(ISNUMBER(SEARCH("6",'Procyclean 210'!F394)),EDATE(AB1892,6),IF(ISNUMBER(SEARCH("3",'Procyclean 210'!F394)),EDATE(AB1892,3),DATEVALUE('Procyclean 210'!F394))))),""))</f>
        <v/>
      </c>
      <c r="AM1892" t="str">
        <f t="shared" ca="1" si="196"/>
        <v/>
      </c>
    </row>
    <row r="1893" spans="27:39" x14ac:dyDescent="0.3">
      <c r="AA1893" t="str">
        <f>IF(COUNTA('Procyclean 210'!C395,'Procyclean 210'!D395,'Procyclean 210'!E395)&gt;0,"210","")</f>
        <v/>
      </c>
      <c r="AB1893" t="str">
        <f>IFERROR(IF(ISNUMBER('Procyclean 210'!C395),'Procyclean 210'!C395,DATEVALUE('Procyclean 210'!C395)),"")</f>
        <v/>
      </c>
      <c r="AC1893" t="str">
        <f>IF(AA1893="","",'Procyclean 210'!D395)</f>
        <v/>
      </c>
      <c r="AD1893" t="str">
        <f>IF(AA1893="","",IFERROR(1*'Procyclean 210'!E395,IFERROR(_xludf.NUMBERVALUE('Procyclean 210'!E395,".",","),IFERROR(_xludf.NUMBERVALUE('Procyclean 210'!E395,",","."),0))))</f>
        <v/>
      </c>
      <c r="AE1893" t="str">
        <f>IF(AA1893="","",'Procyclean 210'!B395)</f>
        <v/>
      </c>
      <c r="AF1893">
        <f t="shared" si="191"/>
        <v>0</v>
      </c>
      <c r="AG1893" t="str">
        <f t="shared" si="192"/>
        <v/>
      </c>
      <c r="AH1893" t="str">
        <f t="shared" si="193"/>
        <v/>
      </c>
      <c r="AI1893">
        <f t="shared" si="194"/>
        <v>0</v>
      </c>
      <c r="AJ1893">
        <f t="shared" si="195"/>
        <v>0</v>
      </c>
      <c r="AK1893">
        <v>0</v>
      </c>
      <c r="AL1893" t="str">
        <f>IF(AA1893="","",IFERROR(IF(ISNUMBER('Procyclean 210'!F395),'Procyclean 210'!F395,IF(ISNUMBER(SEARCH("12",'Procyclean 210'!F395)),EDATE(AB1893,12),IF(ISNUMBER(SEARCH("6",'Procyclean 210'!F395)),EDATE(AB1893,6),IF(ISNUMBER(SEARCH("3",'Procyclean 210'!F395)),EDATE(AB1893,3),DATEVALUE('Procyclean 210'!F395))))),""))</f>
        <v/>
      </c>
      <c r="AM1893" t="str">
        <f t="shared" ca="1" si="196"/>
        <v/>
      </c>
    </row>
    <row r="1894" spans="27:39" x14ac:dyDescent="0.3">
      <c r="AA1894" t="str">
        <f>IF(COUNTA('Procyclean 210'!C396,'Procyclean 210'!D396,'Procyclean 210'!E396)&gt;0,"210","")</f>
        <v/>
      </c>
      <c r="AB1894" t="str">
        <f>IFERROR(IF(ISNUMBER('Procyclean 210'!C396),'Procyclean 210'!C396,DATEVALUE('Procyclean 210'!C396)),"")</f>
        <v/>
      </c>
      <c r="AC1894" t="str">
        <f>IF(AA1894="","",'Procyclean 210'!D396)</f>
        <v/>
      </c>
      <c r="AD1894" t="str">
        <f>IF(AA1894="","",IFERROR(1*'Procyclean 210'!E396,IFERROR(_xludf.NUMBERVALUE('Procyclean 210'!E396,".",","),IFERROR(_xludf.NUMBERVALUE('Procyclean 210'!E396,",","."),0))))</f>
        <v/>
      </c>
      <c r="AE1894" t="str">
        <f>IF(AA1894="","",'Procyclean 210'!B396)</f>
        <v/>
      </c>
      <c r="AF1894">
        <f t="shared" si="191"/>
        <v>0</v>
      </c>
      <c r="AG1894" t="str">
        <f t="shared" si="192"/>
        <v/>
      </c>
      <c r="AH1894" t="str">
        <f t="shared" si="193"/>
        <v/>
      </c>
      <c r="AI1894">
        <f t="shared" si="194"/>
        <v>0</v>
      </c>
      <c r="AJ1894">
        <f t="shared" si="195"/>
        <v>0</v>
      </c>
      <c r="AK1894">
        <v>0</v>
      </c>
      <c r="AL1894" t="str">
        <f>IF(AA1894="","",IFERROR(IF(ISNUMBER('Procyclean 210'!F396),'Procyclean 210'!F396,IF(ISNUMBER(SEARCH("12",'Procyclean 210'!F396)),EDATE(AB1894,12),IF(ISNUMBER(SEARCH("6",'Procyclean 210'!F396)),EDATE(AB1894,6),IF(ISNUMBER(SEARCH("3",'Procyclean 210'!F396)),EDATE(AB1894,3),DATEVALUE('Procyclean 210'!F396))))),""))</f>
        <v/>
      </c>
      <c r="AM1894" t="str">
        <f t="shared" ca="1" si="196"/>
        <v/>
      </c>
    </row>
    <row r="1895" spans="27:39" x14ac:dyDescent="0.3">
      <c r="AA1895" t="str">
        <f>IF(COUNTA('Procyclean 210'!C397,'Procyclean 210'!D397,'Procyclean 210'!E397)&gt;0,"210","")</f>
        <v/>
      </c>
      <c r="AB1895" t="str">
        <f>IFERROR(IF(ISNUMBER('Procyclean 210'!C397),'Procyclean 210'!C397,DATEVALUE('Procyclean 210'!C397)),"")</f>
        <v/>
      </c>
      <c r="AC1895" t="str">
        <f>IF(AA1895="","",'Procyclean 210'!D397)</f>
        <v/>
      </c>
      <c r="AD1895" t="str">
        <f>IF(AA1895="","",IFERROR(1*'Procyclean 210'!E397,IFERROR(_xludf.NUMBERVALUE('Procyclean 210'!E397,".",","),IFERROR(_xludf.NUMBERVALUE('Procyclean 210'!E397,",","."),0))))</f>
        <v/>
      </c>
      <c r="AE1895" t="str">
        <f>IF(AA1895="","",'Procyclean 210'!B397)</f>
        <v/>
      </c>
      <c r="AF1895">
        <f t="shared" si="191"/>
        <v>0</v>
      </c>
      <c r="AG1895" t="str">
        <f t="shared" si="192"/>
        <v/>
      </c>
      <c r="AH1895" t="str">
        <f t="shared" si="193"/>
        <v/>
      </c>
      <c r="AI1895">
        <f t="shared" si="194"/>
        <v>0</v>
      </c>
      <c r="AJ1895">
        <f t="shared" si="195"/>
        <v>0</v>
      </c>
      <c r="AK1895">
        <v>0</v>
      </c>
      <c r="AL1895" t="str">
        <f>IF(AA1895="","",IFERROR(IF(ISNUMBER('Procyclean 210'!F397),'Procyclean 210'!F397,IF(ISNUMBER(SEARCH("12",'Procyclean 210'!F397)),EDATE(AB1895,12),IF(ISNUMBER(SEARCH("6",'Procyclean 210'!F397)),EDATE(AB1895,6),IF(ISNUMBER(SEARCH("3",'Procyclean 210'!F397)),EDATE(AB1895,3),DATEVALUE('Procyclean 210'!F397))))),""))</f>
        <v/>
      </c>
      <c r="AM1895" t="str">
        <f t="shared" ca="1" si="196"/>
        <v/>
      </c>
    </row>
    <row r="1896" spans="27:39" x14ac:dyDescent="0.3">
      <c r="AA1896" t="str">
        <f>IF(COUNTA('Procyclean 210'!C398,'Procyclean 210'!D398,'Procyclean 210'!E398)&gt;0,"210","")</f>
        <v/>
      </c>
      <c r="AB1896" t="str">
        <f>IFERROR(IF(ISNUMBER('Procyclean 210'!C398),'Procyclean 210'!C398,DATEVALUE('Procyclean 210'!C398)),"")</f>
        <v/>
      </c>
      <c r="AC1896" t="str">
        <f>IF(AA1896="","",'Procyclean 210'!D398)</f>
        <v/>
      </c>
      <c r="AD1896" t="str">
        <f>IF(AA1896="","",IFERROR(1*'Procyclean 210'!E398,IFERROR(_xludf.NUMBERVALUE('Procyclean 210'!E398,".",","),IFERROR(_xludf.NUMBERVALUE('Procyclean 210'!E398,",","."),0))))</f>
        <v/>
      </c>
      <c r="AE1896" t="str">
        <f>IF(AA1896="","",'Procyclean 210'!B398)</f>
        <v/>
      </c>
      <c r="AF1896">
        <f t="shared" si="191"/>
        <v>0</v>
      </c>
      <c r="AG1896" t="str">
        <f t="shared" si="192"/>
        <v/>
      </c>
      <c r="AH1896" t="str">
        <f t="shared" si="193"/>
        <v/>
      </c>
      <c r="AI1896">
        <f t="shared" si="194"/>
        <v>0</v>
      </c>
      <c r="AJ1896">
        <f t="shared" si="195"/>
        <v>0</v>
      </c>
      <c r="AK1896">
        <v>0</v>
      </c>
      <c r="AL1896" t="str">
        <f>IF(AA1896="","",IFERROR(IF(ISNUMBER('Procyclean 210'!F398),'Procyclean 210'!F398,IF(ISNUMBER(SEARCH("12",'Procyclean 210'!F398)),EDATE(AB1896,12),IF(ISNUMBER(SEARCH("6",'Procyclean 210'!F398)),EDATE(AB1896,6),IF(ISNUMBER(SEARCH("3",'Procyclean 210'!F398)),EDATE(AB1896,3),DATEVALUE('Procyclean 210'!F398))))),""))</f>
        <v/>
      </c>
      <c r="AM1896" t="str">
        <f t="shared" ca="1" si="196"/>
        <v/>
      </c>
    </row>
    <row r="1897" spans="27:39" x14ac:dyDescent="0.3">
      <c r="AA1897" t="str">
        <f>IF(COUNTA('Procyclean 210'!C399,'Procyclean 210'!D399,'Procyclean 210'!E399)&gt;0,"210","")</f>
        <v/>
      </c>
      <c r="AB1897" t="str">
        <f>IFERROR(IF(ISNUMBER('Procyclean 210'!C399),'Procyclean 210'!C399,DATEVALUE('Procyclean 210'!C399)),"")</f>
        <v/>
      </c>
      <c r="AC1897" t="str">
        <f>IF(AA1897="","",'Procyclean 210'!D399)</f>
        <v/>
      </c>
      <c r="AD1897" t="str">
        <f>IF(AA1897="","",IFERROR(1*'Procyclean 210'!E399,IFERROR(_xludf.NUMBERVALUE('Procyclean 210'!E399,".",","),IFERROR(_xludf.NUMBERVALUE('Procyclean 210'!E399,",","."),0))))</f>
        <v/>
      </c>
      <c r="AE1897" t="str">
        <f>IF(AA1897="","",'Procyclean 210'!B399)</f>
        <v/>
      </c>
      <c r="AF1897">
        <f t="shared" si="191"/>
        <v>0</v>
      </c>
      <c r="AG1897" t="str">
        <f t="shared" si="192"/>
        <v/>
      </c>
      <c r="AH1897" t="str">
        <f t="shared" si="193"/>
        <v/>
      </c>
      <c r="AI1897">
        <f t="shared" si="194"/>
        <v>0</v>
      </c>
      <c r="AJ1897">
        <f t="shared" si="195"/>
        <v>0</v>
      </c>
      <c r="AK1897">
        <v>0</v>
      </c>
      <c r="AL1897" t="str">
        <f>IF(AA1897="","",IFERROR(IF(ISNUMBER('Procyclean 210'!F399),'Procyclean 210'!F399,IF(ISNUMBER(SEARCH("12",'Procyclean 210'!F399)),EDATE(AB1897,12),IF(ISNUMBER(SEARCH("6",'Procyclean 210'!F399)),EDATE(AB1897,6),IF(ISNUMBER(SEARCH("3",'Procyclean 210'!F399)),EDATE(AB1897,3),DATEVALUE('Procyclean 210'!F399))))),""))</f>
        <v/>
      </c>
      <c r="AM1897" t="str">
        <f t="shared" ca="1" si="196"/>
        <v/>
      </c>
    </row>
    <row r="1898" spans="27:39" x14ac:dyDescent="0.3">
      <c r="AA1898" t="str">
        <f>IF(COUNTA('Procyclean 210'!C400,'Procyclean 210'!D400,'Procyclean 210'!E400)&gt;0,"210","")</f>
        <v/>
      </c>
      <c r="AB1898" t="str">
        <f>IFERROR(IF(ISNUMBER('Procyclean 210'!C400),'Procyclean 210'!C400,DATEVALUE('Procyclean 210'!C400)),"")</f>
        <v/>
      </c>
      <c r="AC1898" t="str">
        <f>IF(AA1898="","",'Procyclean 210'!D400)</f>
        <v/>
      </c>
      <c r="AD1898" t="str">
        <f>IF(AA1898="","",IFERROR(1*'Procyclean 210'!E400,IFERROR(_xludf.NUMBERVALUE('Procyclean 210'!E400,".",","),IFERROR(_xludf.NUMBERVALUE('Procyclean 210'!E400,",","."),0))))</f>
        <v/>
      </c>
      <c r="AE1898" t="str">
        <f>IF(AA1898="","",'Procyclean 210'!B400)</f>
        <v/>
      </c>
      <c r="AF1898">
        <f t="shared" si="191"/>
        <v>0</v>
      </c>
      <c r="AG1898" t="str">
        <f t="shared" si="192"/>
        <v/>
      </c>
      <c r="AH1898" t="str">
        <f t="shared" si="193"/>
        <v/>
      </c>
      <c r="AI1898">
        <f t="shared" si="194"/>
        <v>0</v>
      </c>
      <c r="AJ1898">
        <f t="shared" si="195"/>
        <v>0</v>
      </c>
      <c r="AK1898">
        <v>0</v>
      </c>
      <c r="AL1898" t="str">
        <f>IF(AA1898="","",IFERROR(IF(ISNUMBER('Procyclean 210'!F400),'Procyclean 210'!F400,IF(ISNUMBER(SEARCH("12",'Procyclean 210'!F400)),EDATE(AB1898,12),IF(ISNUMBER(SEARCH("6",'Procyclean 210'!F400)),EDATE(AB1898,6),IF(ISNUMBER(SEARCH("3",'Procyclean 210'!F400)),EDATE(AB1898,3),DATEVALUE('Procyclean 210'!F400))))),""))</f>
        <v/>
      </c>
      <c r="AM1898" t="str">
        <f t="shared" ca="1" si="196"/>
        <v/>
      </c>
    </row>
    <row r="1899" spans="27:39" x14ac:dyDescent="0.3">
      <c r="AA1899" t="str">
        <f>IF(COUNTA('Procyclean 210'!C401,'Procyclean 210'!D401,'Procyclean 210'!E401)&gt;0,"210","")</f>
        <v/>
      </c>
      <c r="AB1899" t="str">
        <f>IFERROR(IF(ISNUMBER('Procyclean 210'!C401),'Procyclean 210'!C401,DATEVALUE('Procyclean 210'!C401)),"")</f>
        <v/>
      </c>
      <c r="AC1899" t="str">
        <f>IF(AA1899="","",'Procyclean 210'!D401)</f>
        <v/>
      </c>
      <c r="AD1899" t="str">
        <f>IF(AA1899="","",IFERROR(1*'Procyclean 210'!E401,IFERROR(_xludf.NUMBERVALUE('Procyclean 210'!E401,".",","),IFERROR(_xludf.NUMBERVALUE('Procyclean 210'!E401,",","."),0))))</f>
        <v/>
      </c>
      <c r="AE1899" t="str">
        <f>IF(AA1899="","",'Procyclean 210'!B401)</f>
        <v/>
      </c>
      <c r="AF1899">
        <f t="shared" si="191"/>
        <v>0</v>
      </c>
      <c r="AG1899" t="str">
        <f t="shared" si="192"/>
        <v/>
      </c>
      <c r="AH1899" t="str">
        <f t="shared" si="193"/>
        <v/>
      </c>
      <c r="AI1899">
        <f t="shared" si="194"/>
        <v>0</v>
      </c>
      <c r="AJ1899">
        <f t="shared" si="195"/>
        <v>0</v>
      </c>
      <c r="AK1899">
        <v>0</v>
      </c>
      <c r="AL1899" t="str">
        <f>IF(AA1899="","",IFERROR(IF(ISNUMBER('Procyclean 210'!F401),'Procyclean 210'!F401,IF(ISNUMBER(SEARCH("12",'Procyclean 210'!F401)),EDATE(AB1899,12),IF(ISNUMBER(SEARCH("6",'Procyclean 210'!F401)),EDATE(AB1899,6),IF(ISNUMBER(SEARCH("3",'Procyclean 210'!F401)),EDATE(AB1899,3),DATEVALUE('Procyclean 210'!F401))))),""))</f>
        <v/>
      </c>
      <c r="AM1899" t="str">
        <f t="shared" ca="1" si="196"/>
        <v/>
      </c>
    </row>
    <row r="1900" spans="27:39" x14ac:dyDescent="0.3">
      <c r="AA1900" t="str">
        <f>IF(COUNTA('Procyclean 210'!C402,'Procyclean 210'!D402,'Procyclean 210'!E402)&gt;0,"210","")</f>
        <v/>
      </c>
      <c r="AB1900" t="str">
        <f>IFERROR(IF(ISNUMBER('Procyclean 210'!C402),'Procyclean 210'!C402,DATEVALUE('Procyclean 210'!C402)),"")</f>
        <v/>
      </c>
      <c r="AC1900" t="str">
        <f>IF(AA1900="","",'Procyclean 210'!D402)</f>
        <v/>
      </c>
      <c r="AD1900" t="str">
        <f>IF(AA1900="","",IFERROR(1*'Procyclean 210'!E402,IFERROR(_xludf.NUMBERVALUE('Procyclean 210'!E402,".",","),IFERROR(_xludf.NUMBERVALUE('Procyclean 210'!E402,",","."),0))))</f>
        <v/>
      </c>
      <c r="AE1900" t="str">
        <f>IF(AA1900="","",'Procyclean 210'!B402)</f>
        <v/>
      </c>
      <c r="AF1900">
        <f t="shared" si="191"/>
        <v>0</v>
      </c>
      <c r="AG1900" t="str">
        <f t="shared" si="192"/>
        <v/>
      </c>
      <c r="AH1900" t="str">
        <f t="shared" si="193"/>
        <v/>
      </c>
      <c r="AI1900">
        <f t="shared" si="194"/>
        <v>0</v>
      </c>
      <c r="AJ1900">
        <f t="shared" si="195"/>
        <v>0</v>
      </c>
      <c r="AK1900">
        <v>0</v>
      </c>
      <c r="AL1900" t="str">
        <f>IF(AA1900="","",IFERROR(IF(ISNUMBER('Procyclean 210'!F402),'Procyclean 210'!F402,IF(ISNUMBER(SEARCH("12",'Procyclean 210'!F402)),EDATE(AB1900,12),IF(ISNUMBER(SEARCH("6",'Procyclean 210'!F402)),EDATE(AB1900,6),IF(ISNUMBER(SEARCH("3",'Procyclean 210'!F402)),EDATE(AB1900,3),DATEVALUE('Procyclean 210'!F402))))),""))</f>
        <v/>
      </c>
      <c r="AM1900" t="str">
        <f t="shared" ca="1" si="196"/>
        <v/>
      </c>
    </row>
    <row r="1901" spans="27:39" x14ac:dyDescent="0.3">
      <c r="AA1901" t="str">
        <f>IF(COUNTA('Procyclean 210'!C403,'Procyclean 210'!D403,'Procyclean 210'!E403)&gt;0,"210","")</f>
        <v/>
      </c>
      <c r="AB1901" t="str">
        <f>IFERROR(IF(ISNUMBER('Procyclean 210'!C403),'Procyclean 210'!C403,DATEVALUE('Procyclean 210'!C403)),"")</f>
        <v/>
      </c>
      <c r="AC1901" t="str">
        <f>IF(AA1901="","",'Procyclean 210'!D403)</f>
        <v/>
      </c>
      <c r="AD1901" t="str">
        <f>IF(AA1901="","",IFERROR(1*'Procyclean 210'!E403,IFERROR(_xludf.NUMBERVALUE('Procyclean 210'!E403,".",","),IFERROR(_xludf.NUMBERVALUE('Procyclean 210'!E403,",","."),0))))</f>
        <v/>
      </c>
      <c r="AE1901" t="str">
        <f>IF(AA1901="","",'Procyclean 210'!B403)</f>
        <v/>
      </c>
      <c r="AF1901">
        <f t="shared" si="191"/>
        <v>0</v>
      </c>
      <c r="AG1901" t="str">
        <f t="shared" si="192"/>
        <v/>
      </c>
      <c r="AH1901" t="str">
        <f t="shared" si="193"/>
        <v/>
      </c>
      <c r="AI1901">
        <f t="shared" si="194"/>
        <v>0</v>
      </c>
      <c r="AJ1901">
        <f t="shared" si="195"/>
        <v>0</v>
      </c>
      <c r="AK1901">
        <v>0</v>
      </c>
      <c r="AL1901" t="str">
        <f>IF(AA1901="","",IFERROR(IF(ISNUMBER('Procyclean 210'!F403),'Procyclean 210'!F403,IF(ISNUMBER(SEARCH("12",'Procyclean 210'!F403)),EDATE(AB1901,12),IF(ISNUMBER(SEARCH("6",'Procyclean 210'!F403)),EDATE(AB1901,6),IF(ISNUMBER(SEARCH("3",'Procyclean 210'!F403)),EDATE(AB1901,3),DATEVALUE('Procyclean 210'!F403))))),""))</f>
        <v/>
      </c>
      <c r="AM1901" t="str">
        <f t="shared" ca="1" si="196"/>
        <v/>
      </c>
    </row>
    <row r="1902" spans="27:39" x14ac:dyDescent="0.3">
      <c r="AA1902" t="str">
        <f>IF(COUNTA('Procyclean 210'!C404,'Procyclean 210'!D404,'Procyclean 210'!E404)&gt;0,"210","")</f>
        <v/>
      </c>
      <c r="AB1902" t="str">
        <f>IFERROR(IF(ISNUMBER('Procyclean 210'!C404),'Procyclean 210'!C404,DATEVALUE('Procyclean 210'!C404)),"")</f>
        <v/>
      </c>
      <c r="AC1902" t="str">
        <f>IF(AA1902="","",'Procyclean 210'!D404)</f>
        <v/>
      </c>
      <c r="AD1902" t="str">
        <f>IF(AA1902="","",IFERROR(1*'Procyclean 210'!E404,IFERROR(_xludf.NUMBERVALUE('Procyclean 210'!E404,".",","),IFERROR(_xludf.NUMBERVALUE('Procyclean 210'!E404,",","."),0))))</f>
        <v/>
      </c>
      <c r="AE1902" t="str">
        <f>IF(AA1902="","",'Procyclean 210'!B404)</f>
        <v/>
      </c>
      <c r="AF1902">
        <f t="shared" si="191"/>
        <v>0</v>
      </c>
      <c r="AG1902" t="str">
        <f t="shared" si="192"/>
        <v/>
      </c>
      <c r="AH1902" t="str">
        <f t="shared" si="193"/>
        <v/>
      </c>
      <c r="AI1902">
        <f t="shared" si="194"/>
        <v>0</v>
      </c>
      <c r="AJ1902">
        <f t="shared" si="195"/>
        <v>0</v>
      </c>
      <c r="AK1902">
        <v>0</v>
      </c>
      <c r="AL1902" t="str">
        <f>IF(AA1902="","",IFERROR(IF(ISNUMBER('Procyclean 210'!F404),'Procyclean 210'!F404,IF(ISNUMBER(SEARCH("12",'Procyclean 210'!F404)),EDATE(AB1902,12),IF(ISNUMBER(SEARCH("6",'Procyclean 210'!F404)),EDATE(AB1902,6),IF(ISNUMBER(SEARCH("3",'Procyclean 210'!F404)),EDATE(AB1902,3),DATEVALUE('Procyclean 210'!F404))))),""))</f>
        <v/>
      </c>
      <c r="AM1902" t="str">
        <f t="shared" ca="1" si="196"/>
        <v/>
      </c>
    </row>
    <row r="1903" spans="27:39" x14ac:dyDescent="0.3">
      <c r="AA1903" t="str">
        <f>IF(COUNTA('Procyclean 210'!C405,'Procyclean 210'!D405,'Procyclean 210'!E405)&gt;0,"210","")</f>
        <v/>
      </c>
      <c r="AB1903" t="str">
        <f>IFERROR(IF(ISNUMBER('Procyclean 210'!C405),'Procyclean 210'!C405,DATEVALUE('Procyclean 210'!C405)),"")</f>
        <v/>
      </c>
      <c r="AC1903" t="str">
        <f>IF(AA1903="","",'Procyclean 210'!D405)</f>
        <v/>
      </c>
      <c r="AD1903" t="str">
        <f>IF(AA1903="","",IFERROR(1*'Procyclean 210'!E405,IFERROR(_xludf.NUMBERVALUE('Procyclean 210'!E405,".",","),IFERROR(_xludf.NUMBERVALUE('Procyclean 210'!E405,",","."),0))))</f>
        <v/>
      </c>
      <c r="AE1903" t="str">
        <f>IF(AA1903="","",'Procyclean 210'!B405)</f>
        <v/>
      </c>
      <c r="AF1903">
        <f t="shared" si="191"/>
        <v>0</v>
      </c>
      <c r="AG1903" t="str">
        <f t="shared" si="192"/>
        <v/>
      </c>
      <c r="AH1903" t="str">
        <f t="shared" si="193"/>
        <v/>
      </c>
      <c r="AI1903">
        <f t="shared" si="194"/>
        <v>0</v>
      </c>
      <c r="AJ1903">
        <f t="shared" si="195"/>
        <v>0</v>
      </c>
      <c r="AK1903">
        <v>0</v>
      </c>
      <c r="AL1903" t="str">
        <f>IF(AA1903="","",IFERROR(IF(ISNUMBER('Procyclean 210'!F405),'Procyclean 210'!F405,IF(ISNUMBER(SEARCH("12",'Procyclean 210'!F405)),EDATE(AB1903,12),IF(ISNUMBER(SEARCH("6",'Procyclean 210'!F405)),EDATE(AB1903,6),IF(ISNUMBER(SEARCH("3",'Procyclean 210'!F405)),EDATE(AB1903,3),DATEVALUE('Procyclean 210'!F405))))),""))</f>
        <v/>
      </c>
      <c r="AM1903" t="str">
        <f t="shared" ca="1" si="196"/>
        <v/>
      </c>
    </row>
    <row r="1904" spans="27:39" x14ac:dyDescent="0.3">
      <c r="AA1904" t="str">
        <f>IF(COUNTA('Procyclean 210'!C406,'Procyclean 210'!D406,'Procyclean 210'!E406)&gt;0,"210","")</f>
        <v/>
      </c>
      <c r="AB1904" t="str">
        <f>IFERROR(IF(ISNUMBER('Procyclean 210'!C406),'Procyclean 210'!C406,DATEVALUE('Procyclean 210'!C406)),"")</f>
        <v/>
      </c>
      <c r="AC1904" t="str">
        <f>IF(AA1904="","",'Procyclean 210'!D406)</f>
        <v/>
      </c>
      <c r="AD1904" t="str">
        <f>IF(AA1904="","",IFERROR(1*'Procyclean 210'!E406,IFERROR(_xludf.NUMBERVALUE('Procyclean 210'!E406,".",","),IFERROR(_xludf.NUMBERVALUE('Procyclean 210'!E406,",","."),0))))</f>
        <v/>
      </c>
      <c r="AE1904" t="str">
        <f>IF(AA1904="","",'Procyclean 210'!B406)</f>
        <v/>
      </c>
      <c r="AF1904">
        <f t="shared" si="191"/>
        <v>0</v>
      </c>
      <c r="AG1904" t="str">
        <f t="shared" si="192"/>
        <v/>
      </c>
      <c r="AH1904" t="str">
        <f t="shared" si="193"/>
        <v/>
      </c>
      <c r="AI1904">
        <f t="shared" si="194"/>
        <v>0</v>
      </c>
      <c r="AJ1904">
        <f t="shared" si="195"/>
        <v>0</v>
      </c>
      <c r="AK1904">
        <v>0</v>
      </c>
      <c r="AL1904" t="str">
        <f>IF(AA1904="","",IFERROR(IF(ISNUMBER('Procyclean 210'!F406),'Procyclean 210'!F406,IF(ISNUMBER(SEARCH("12",'Procyclean 210'!F406)),EDATE(AB1904,12),IF(ISNUMBER(SEARCH("6",'Procyclean 210'!F406)),EDATE(AB1904,6),IF(ISNUMBER(SEARCH("3",'Procyclean 210'!F406)),EDATE(AB1904,3),DATEVALUE('Procyclean 210'!F406))))),""))</f>
        <v/>
      </c>
      <c r="AM1904" t="str">
        <f t="shared" ca="1" si="196"/>
        <v/>
      </c>
    </row>
    <row r="1905" spans="27:39" x14ac:dyDescent="0.3">
      <c r="AA1905" t="str">
        <f>IF(COUNTA('Procyclean 210'!C407,'Procyclean 210'!D407,'Procyclean 210'!E407)&gt;0,"210","")</f>
        <v/>
      </c>
      <c r="AB1905" t="str">
        <f>IFERROR(IF(ISNUMBER('Procyclean 210'!C407),'Procyclean 210'!C407,DATEVALUE('Procyclean 210'!C407)),"")</f>
        <v/>
      </c>
      <c r="AC1905" t="str">
        <f>IF(AA1905="","",'Procyclean 210'!D407)</f>
        <v/>
      </c>
      <c r="AD1905" t="str">
        <f>IF(AA1905="","",IFERROR(1*'Procyclean 210'!E407,IFERROR(_xludf.NUMBERVALUE('Procyclean 210'!E407,".",","),IFERROR(_xludf.NUMBERVALUE('Procyclean 210'!E407,",","."),0))))</f>
        <v/>
      </c>
      <c r="AE1905" t="str">
        <f>IF(AA1905="","",'Procyclean 210'!B407)</f>
        <v/>
      </c>
      <c r="AF1905">
        <f t="shared" si="191"/>
        <v>0</v>
      </c>
      <c r="AG1905" t="str">
        <f t="shared" si="192"/>
        <v/>
      </c>
      <c r="AH1905" t="str">
        <f t="shared" si="193"/>
        <v/>
      </c>
      <c r="AI1905">
        <f t="shared" si="194"/>
        <v>0</v>
      </c>
      <c r="AJ1905">
        <f t="shared" si="195"/>
        <v>0</v>
      </c>
      <c r="AK1905">
        <v>0</v>
      </c>
      <c r="AL1905" t="str">
        <f>IF(AA1905="","",IFERROR(IF(ISNUMBER('Procyclean 210'!F407),'Procyclean 210'!F407,IF(ISNUMBER(SEARCH("12",'Procyclean 210'!F407)),EDATE(AB1905,12),IF(ISNUMBER(SEARCH("6",'Procyclean 210'!F407)),EDATE(AB1905,6),IF(ISNUMBER(SEARCH("3",'Procyclean 210'!F407)),EDATE(AB1905,3),DATEVALUE('Procyclean 210'!F407))))),""))</f>
        <v/>
      </c>
      <c r="AM1905" t="str">
        <f t="shared" ca="1" si="196"/>
        <v/>
      </c>
    </row>
    <row r="1906" spans="27:39" x14ac:dyDescent="0.3">
      <c r="AA1906" t="str">
        <f>IF(COUNTA('Procyclean 210'!C408,'Procyclean 210'!D408,'Procyclean 210'!E408)&gt;0,"210","")</f>
        <v/>
      </c>
      <c r="AB1906" t="str">
        <f>IFERROR(IF(ISNUMBER('Procyclean 210'!C408),'Procyclean 210'!C408,DATEVALUE('Procyclean 210'!C408)),"")</f>
        <v/>
      </c>
      <c r="AC1906" t="str">
        <f>IF(AA1906="","",'Procyclean 210'!D408)</f>
        <v/>
      </c>
      <c r="AD1906" t="str">
        <f>IF(AA1906="","",IFERROR(1*'Procyclean 210'!E408,IFERROR(_xludf.NUMBERVALUE('Procyclean 210'!E408,".",","),IFERROR(_xludf.NUMBERVALUE('Procyclean 210'!E408,",","."),0))))</f>
        <v/>
      </c>
      <c r="AE1906" t="str">
        <f>IF(AA1906="","",'Procyclean 210'!B408)</f>
        <v/>
      </c>
      <c r="AF1906">
        <f t="shared" si="191"/>
        <v>0</v>
      </c>
      <c r="AG1906" t="str">
        <f t="shared" si="192"/>
        <v/>
      </c>
      <c r="AH1906" t="str">
        <f t="shared" si="193"/>
        <v/>
      </c>
      <c r="AI1906">
        <f t="shared" si="194"/>
        <v>0</v>
      </c>
      <c r="AJ1906">
        <f t="shared" si="195"/>
        <v>0</v>
      </c>
      <c r="AK1906">
        <v>0</v>
      </c>
      <c r="AL1906" t="str">
        <f>IF(AA1906="","",IFERROR(IF(ISNUMBER('Procyclean 210'!F408),'Procyclean 210'!F408,IF(ISNUMBER(SEARCH("12",'Procyclean 210'!F408)),EDATE(AB1906,12),IF(ISNUMBER(SEARCH("6",'Procyclean 210'!F408)),EDATE(AB1906,6),IF(ISNUMBER(SEARCH("3",'Procyclean 210'!F408)),EDATE(AB1906,3),DATEVALUE('Procyclean 210'!F408))))),""))</f>
        <v/>
      </c>
      <c r="AM1906" t="str">
        <f t="shared" ca="1" si="196"/>
        <v/>
      </c>
    </row>
    <row r="1907" spans="27:39" x14ac:dyDescent="0.3">
      <c r="AA1907" t="str">
        <f>IF(COUNTA('Procyclean 210'!C409,'Procyclean 210'!D409,'Procyclean 210'!E409)&gt;0,"210","")</f>
        <v/>
      </c>
      <c r="AB1907" t="str">
        <f>IFERROR(IF(ISNUMBER('Procyclean 210'!C409),'Procyclean 210'!C409,DATEVALUE('Procyclean 210'!C409)),"")</f>
        <v/>
      </c>
      <c r="AC1907" t="str">
        <f>IF(AA1907="","",'Procyclean 210'!D409)</f>
        <v/>
      </c>
      <c r="AD1907" t="str">
        <f>IF(AA1907="","",IFERROR(1*'Procyclean 210'!E409,IFERROR(_xludf.NUMBERVALUE('Procyclean 210'!E409,".",","),IFERROR(_xludf.NUMBERVALUE('Procyclean 210'!E409,",","."),0))))</f>
        <v/>
      </c>
      <c r="AE1907" t="str">
        <f>IF(AA1907="","",'Procyclean 210'!B409)</f>
        <v/>
      </c>
      <c r="AF1907">
        <f t="shared" si="191"/>
        <v>0</v>
      </c>
      <c r="AG1907" t="str">
        <f t="shared" si="192"/>
        <v/>
      </c>
      <c r="AH1907" t="str">
        <f t="shared" si="193"/>
        <v/>
      </c>
      <c r="AI1907">
        <f t="shared" si="194"/>
        <v>0</v>
      </c>
      <c r="AJ1907">
        <f t="shared" si="195"/>
        <v>0</v>
      </c>
      <c r="AK1907">
        <v>0</v>
      </c>
      <c r="AL1907" t="str">
        <f>IF(AA1907="","",IFERROR(IF(ISNUMBER('Procyclean 210'!F409),'Procyclean 210'!F409,IF(ISNUMBER(SEARCH("12",'Procyclean 210'!F409)),EDATE(AB1907,12),IF(ISNUMBER(SEARCH("6",'Procyclean 210'!F409)),EDATE(AB1907,6),IF(ISNUMBER(SEARCH("3",'Procyclean 210'!F409)),EDATE(AB1907,3),DATEVALUE('Procyclean 210'!F409))))),""))</f>
        <v/>
      </c>
      <c r="AM1907" t="str">
        <f t="shared" ca="1" si="196"/>
        <v/>
      </c>
    </row>
    <row r="1908" spans="27:39" x14ac:dyDescent="0.3">
      <c r="AA1908" t="str">
        <f>IF(COUNTA('Procyclean 210'!C410,'Procyclean 210'!D410,'Procyclean 210'!E410)&gt;0,"210","")</f>
        <v/>
      </c>
      <c r="AB1908" t="str">
        <f>IFERROR(IF(ISNUMBER('Procyclean 210'!C410),'Procyclean 210'!C410,DATEVALUE('Procyclean 210'!C410)),"")</f>
        <v/>
      </c>
      <c r="AC1908" t="str">
        <f>IF(AA1908="","",'Procyclean 210'!D410)</f>
        <v/>
      </c>
      <c r="AD1908" t="str">
        <f>IF(AA1908="","",IFERROR(1*'Procyclean 210'!E410,IFERROR(_xludf.NUMBERVALUE('Procyclean 210'!E410,".",","),IFERROR(_xludf.NUMBERVALUE('Procyclean 210'!E410,",","."),0))))</f>
        <v/>
      </c>
      <c r="AE1908" t="str">
        <f>IF(AA1908="","",'Procyclean 210'!B410)</f>
        <v/>
      </c>
      <c r="AF1908">
        <f t="shared" si="191"/>
        <v>0</v>
      </c>
      <c r="AG1908" t="str">
        <f t="shared" si="192"/>
        <v/>
      </c>
      <c r="AH1908" t="str">
        <f t="shared" si="193"/>
        <v/>
      </c>
      <c r="AI1908">
        <f t="shared" si="194"/>
        <v>0</v>
      </c>
      <c r="AJ1908">
        <f t="shared" si="195"/>
        <v>0</v>
      </c>
      <c r="AK1908">
        <v>0</v>
      </c>
      <c r="AL1908" t="str">
        <f>IF(AA1908="","",IFERROR(IF(ISNUMBER('Procyclean 210'!F410),'Procyclean 210'!F410,IF(ISNUMBER(SEARCH("12",'Procyclean 210'!F410)),EDATE(AB1908,12),IF(ISNUMBER(SEARCH("6",'Procyclean 210'!F410)),EDATE(AB1908,6),IF(ISNUMBER(SEARCH("3",'Procyclean 210'!F410)),EDATE(AB1908,3),DATEVALUE('Procyclean 210'!F410))))),""))</f>
        <v/>
      </c>
      <c r="AM1908" t="str">
        <f t="shared" ca="1" si="196"/>
        <v/>
      </c>
    </row>
    <row r="1909" spans="27:39" x14ac:dyDescent="0.3">
      <c r="AA1909" t="str">
        <f>IF(COUNTA('Procyclean 210'!C411,'Procyclean 210'!D411,'Procyclean 210'!E411)&gt;0,"210","")</f>
        <v/>
      </c>
      <c r="AB1909" t="str">
        <f>IFERROR(IF(ISNUMBER('Procyclean 210'!C411),'Procyclean 210'!C411,DATEVALUE('Procyclean 210'!C411)),"")</f>
        <v/>
      </c>
      <c r="AC1909" t="str">
        <f>IF(AA1909="","",'Procyclean 210'!D411)</f>
        <v/>
      </c>
      <c r="AD1909" t="str">
        <f>IF(AA1909="","",IFERROR(1*'Procyclean 210'!E411,IFERROR(_xludf.NUMBERVALUE('Procyclean 210'!E411,".",","),IFERROR(_xludf.NUMBERVALUE('Procyclean 210'!E411,",","."),0))))</f>
        <v/>
      </c>
      <c r="AE1909" t="str">
        <f>IF(AA1909="","",'Procyclean 210'!B411)</f>
        <v/>
      </c>
      <c r="AF1909">
        <f t="shared" si="191"/>
        <v>0</v>
      </c>
      <c r="AG1909" t="str">
        <f t="shared" si="192"/>
        <v/>
      </c>
      <c r="AH1909" t="str">
        <f t="shared" si="193"/>
        <v/>
      </c>
      <c r="AI1909">
        <f t="shared" si="194"/>
        <v>0</v>
      </c>
      <c r="AJ1909">
        <f t="shared" si="195"/>
        <v>0</v>
      </c>
      <c r="AK1909">
        <v>0</v>
      </c>
      <c r="AL1909" t="str">
        <f>IF(AA1909="","",IFERROR(IF(ISNUMBER('Procyclean 210'!F411),'Procyclean 210'!F411,IF(ISNUMBER(SEARCH("12",'Procyclean 210'!F411)),EDATE(AB1909,12),IF(ISNUMBER(SEARCH("6",'Procyclean 210'!F411)),EDATE(AB1909,6),IF(ISNUMBER(SEARCH("3",'Procyclean 210'!F411)),EDATE(AB1909,3),DATEVALUE('Procyclean 210'!F411))))),""))</f>
        <v/>
      </c>
      <c r="AM1909" t="str">
        <f t="shared" ca="1" si="196"/>
        <v/>
      </c>
    </row>
    <row r="1910" spans="27:39" x14ac:dyDescent="0.3">
      <c r="AA1910" t="str">
        <f>IF(COUNTA('Procyclean 210'!C412,'Procyclean 210'!D412,'Procyclean 210'!E412)&gt;0,"210","")</f>
        <v/>
      </c>
      <c r="AB1910" t="str">
        <f>IFERROR(IF(ISNUMBER('Procyclean 210'!C412),'Procyclean 210'!C412,DATEVALUE('Procyclean 210'!C412)),"")</f>
        <v/>
      </c>
      <c r="AC1910" t="str">
        <f>IF(AA1910="","",'Procyclean 210'!D412)</f>
        <v/>
      </c>
      <c r="AD1910" t="str">
        <f>IF(AA1910="","",IFERROR(1*'Procyclean 210'!E412,IFERROR(_xludf.NUMBERVALUE('Procyclean 210'!E412,".",","),IFERROR(_xludf.NUMBERVALUE('Procyclean 210'!E412,",","."),0))))</f>
        <v/>
      </c>
      <c r="AE1910" t="str">
        <f>IF(AA1910="","",'Procyclean 210'!B412)</f>
        <v/>
      </c>
      <c r="AF1910">
        <f t="shared" si="191"/>
        <v>0</v>
      </c>
      <c r="AG1910" t="str">
        <f t="shared" si="192"/>
        <v/>
      </c>
      <c r="AH1910" t="str">
        <f t="shared" si="193"/>
        <v/>
      </c>
      <c r="AI1910">
        <f t="shared" si="194"/>
        <v>0</v>
      </c>
      <c r="AJ1910">
        <f t="shared" si="195"/>
        <v>0</v>
      </c>
      <c r="AK1910">
        <v>0</v>
      </c>
      <c r="AL1910" t="str">
        <f>IF(AA1910="","",IFERROR(IF(ISNUMBER('Procyclean 210'!F412),'Procyclean 210'!F412,IF(ISNUMBER(SEARCH("12",'Procyclean 210'!F412)),EDATE(AB1910,12),IF(ISNUMBER(SEARCH("6",'Procyclean 210'!F412)),EDATE(AB1910,6),IF(ISNUMBER(SEARCH("3",'Procyclean 210'!F412)),EDATE(AB1910,3),DATEVALUE('Procyclean 210'!F412))))),""))</f>
        <v/>
      </c>
      <c r="AM1910" t="str">
        <f t="shared" ca="1" si="196"/>
        <v/>
      </c>
    </row>
    <row r="1911" spans="27:39" x14ac:dyDescent="0.3">
      <c r="AA1911" t="str">
        <f>IF(COUNTA('Procyclean 210'!C413,'Procyclean 210'!D413,'Procyclean 210'!E413)&gt;0,"210","")</f>
        <v/>
      </c>
      <c r="AB1911" t="str">
        <f>IFERROR(IF(ISNUMBER('Procyclean 210'!C413),'Procyclean 210'!C413,DATEVALUE('Procyclean 210'!C413)),"")</f>
        <v/>
      </c>
      <c r="AC1911" t="str">
        <f>IF(AA1911="","",'Procyclean 210'!D413)</f>
        <v/>
      </c>
      <c r="AD1911" t="str">
        <f>IF(AA1911="","",IFERROR(1*'Procyclean 210'!E413,IFERROR(_xludf.NUMBERVALUE('Procyclean 210'!E413,".",","),IFERROR(_xludf.NUMBERVALUE('Procyclean 210'!E413,",","."),0))))</f>
        <v/>
      </c>
      <c r="AE1911" t="str">
        <f>IF(AA1911="","",'Procyclean 210'!B413)</f>
        <v/>
      </c>
      <c r="AF1911">
        <f t="shared" si="191"/>
        <v>0</v>
      </c>
      <c r="AG1911" t="str">
        <f t="shared" si="192"/>
        <v/>
      </c>
      <c r="AH1911" t="str">
        <f t="shared" si="193"/>
        <v/>
      </c>
      <c r="AI1911">
        <f t="shared" si="194"/>
        <v>0</v>
      </c>
      <c r="AJ1911">
        <f t="shared" si="195"/>
        <v>0</v>
      </c>
      <c r="AK1911">
        <v>0</v>
      </c>
      <c r="AL1911" t="str">
        <f>IF(AA1911="","",IFERROR(IF(ISNUMBER('Procyclean 210'!F413),'Procyclean 210'!F413,IF(ISNUMBER(SEARCH("12",'Procyclean 210'!F413)),EDATE(AB1911,12),IF(ISNUMBER(SEARCH("6",'Procyclean 210'!F413)),EDATE(AB1911,6),IF(ISNUMBER(SEARCH("3",'Procyclean 210'!F413)),EDATE(AB1911,3),DATEVALUE('Procyclean 210'!F413))))),""))</f>
        <v/>
      </c>
      <c r="AM1911" t="str">
        <f t="shared" ca="1" si="196"/>
        <v/>
      </c>
    </row>
    <row r="1912" spans="27:39" x14ac:dyDescent="0.3">
      <c r="AA1912" t="str">
        <f>IF(COUNTA('Procyclean 210'!C414,'Procyclean 210'!D414,'Procyclean 210'!E414)&gt;0,"210","")</f>
        <v/>
      </c>
      <c r="AB1912" t="str">
        <f>IFERROR(IF(ISNUMBER('Procyclean 210'!C414),'Procyclean 210'!C414,DATEVALUE('Procyclean 210'!C414)),"")</f>
        <v/>
      </c>
      <c r="AC1912" t="str">
        <f>IF(AA1912="","",'Procyclean 210'!D414)</f>
        <v/>
      </c>
      <c r="AD1912" t="str">
        <f>IF(AA1912="","",IFERROR(1*'Procyclean 210'!E414,IFERROR(_xludf.NUMBERVALUE('Procyclean 210'!E414,".",","),IFERROR(_xludf.NUMBERVALUE('Procyclean 210'!E414,",","."),0))))</f>
        <v/>
      </c>
      <c r="AE1912" t="str">
        <f>IF(AA1912="","",'Procyclean 210'!B414)</f>
        <v/>
      </c>
      <c r="AF1912">
        <f t="shared" si="191"/>
        <v>0</v>
      </c>
      <c r="AG1912" t="str">
        <f t="shared" si="192"/>
        <v/>
      </c>
      <c r="AH1912" t="str">
        <f t="shared" si="193"/>
        <v/>
      </c>
      <c r="AI1912">
        <f t="shared" si="194"/>
        <v>0</v>
      </c>
      <c r="AJ1912">
        <f t="shared" si="195"/>
        <v>0</v>
      </c>
      <c r="AK1912">
        <v>0</v>
      </c>
      <c r="AL1912" t="str">
        <f>IF(AA1912="","",IFERROR(IF(ISNUMBER('Procyclean 210'!F414),'Procyclean 210'!F414,IF(ISNUMBER(SEARCH("12",'Procyclean 210'!F414)),EDATE(AB1912,12),IF(ISNUMBER(SEARCH("6",'Procyclean 210'!F414)),EDATE(AB1912,6),IF(ISNUMBER(SEARCH("3",'Procyclean 210'!F414)),EDATE(AB1912,3),DATEVALUE('Procyclean 210'!F414))))),""))</f>
        <v/>
      </c>
      <c r="AM1912" t="str">
        <f t="shared" ca="1" si="196"/>
        <v/>
      </c>
    </row>
    <row r="1913" spans="27:39" x14ac:dyDescent="0.3">
      <c r="AA1913" t="str">
        <f>IF(COUNTA('Procyclean 210'!C415,'Procyclean 210'!D415,'Procyclean 210'!E415)&gt;0,"210","")</f>
        <v/>
      </c>
      <c r="AB1913" t="str">
        <f>IFERROR(IF(ISNUMBER('Procyclean 210'!C415),'Procyclean 210'!C415,DATEVALUE('Procyclean 210'!C415)),"")</f>
        <v/>
      </c>
      <c r="AC1913" t="str">
        <f>IF(AA1913="","",'Procyclean 210'!D415)</f>
        <v/>
      </c>
      <c r="AD1913" t="str">
        <f>IF(AA1913="","",IFERROR(1*'Procyclean 210'!E415,IFERROR(_xludf.NUMBERVALUE('Procyclean 210'!E415,".",","),IFERROR(_xludf.NUMBERVALUE('Procyclean 210'!E415,",","."),0))))</f>
        <v/>
      </c>
      <c r="AE1913" t="str">
        <f>IF(AA1913="","",'Procyclean 210'!B415)</f>
        <v/>
      </c>
      <c r="AF1913">
        <f t="shared" si="191"/>
        <v>0</v>
      </c>
      <c r="AG1913" t="str">
        <f t="shared" si="192"/>
        <v/>
      </c>
      <c r="AH1913" t="str">
        <f t="shared" si="193"/>
        <v/>
      </c>
      <c r="AI1913">
        <f t="shared" si="194"/>
        <v>0</v>
      </c>
      <c r="AJ1913">
        <f t="shared" si="195"/>
        <v>0</v>
      </c>
      <c r="AK1913">
        <v>0</v>
      </c>
      <c r="AL1913" t="str">
        <f>IF(AA1913="","",IFERROR(IF(ISNUMBER('Procyclean 210'!F415),'Procyclean 210'!F415,IF(ISNUMBER(SEARCH("12",'Procyclean 210'!F415)),EDATE(AB1913,12),IF(ISNUMBER(SEARCH("6",'Procyclean 210'!F415)),EDATE(AB1913,6),IF(ISNUMBER(SEARCH("3",'Procyclean 210'!F415)),EDATE(AB1913,3),DATEVALUE('Procyclean 210'!F415))))),""))</f>
        <v/>
      </c>
      <c r="AM1913" t="str">
        <f t="shared" ca="1" si="196"/>
        <v/>
      </c>
    </row>
    <row r="1914" spans="27:39" x14ac:dyDescent="0.3">
      <c r="AA1914" t="str">
        <f>IF(COUNTA('Procyclean 210'!C416,'Procyclean 210'!D416,'Procyclean 210'!E416)&gt;0,"210","")</f>
        <v/>
      </c>
      <c r="AB1914" t="str">
        <f>IFERROR(IF(ISNUMBER('Procyclean 210'!C416),'Procyclean 210'!C416,DATEVALUE('Procyclean 210'!C416)),"")</f>
        <v/>
      </c>
      <c r="AC1914" t="str">
        <f>IF(AA1914="","",'Procyclean 210'!D416)</f>
        <v/>
      </c>
      <c r="AD1914" t="str">
        <f>IF(AA1914="","",IFERROR(1*'Procyclean 210'!E416,IFERROR(_xludf.NUMBERVALUE('Procyclean 210'!E416,".",","),IFERROR(_xludf.NUMBERVALUE('Procyclean 210'!E416,",","."),0))))</f>
        <v/>
      </c>
      <c r="AE1914" t="str">
        <f>IF(AA1914="","",'Procyclean 210'!B416)</f>
        <v/>
      </c>
      <c r="AF1914">
        <f t="shared" si="191"/>
        <v>0</v>
      </c>
      <c r="AG1914" t="str">
        <f t="shared" si="192"/>
        <v/>
      </c>
      <c r="AH1914" t="str">
        <f t="shared" si="193"/>
        <v/>
      </c>
      <c r="AI1914">
        <f t="shared" si="194"/>
        <v>0</v>
      </c>
      <c r="AJ1914">
        <f t="shared" si="195"/>
        <v>0</v>
      </c>
      <c r="AK1914">
        <v>0</v>
      </c>
      <c r="AL1914" t="str">
        <f>IF(AA1914="","",IFERROR(IF(ISNUMBER('Procyclean 210'!F416),'Procyclean 210'!F416,IF(ISNUMBER(SEARCH("12",'Procyclean 210'!F416)),EDATE(AB1914,12),IF(ISNUMBER(SEARCH("6",'Procyclean 210'!F416)),EDATE(AB1914,6),IF(ISNUMBER(SEARCH("3",'Procyclean 210'!F416)),EDATE(AB1914,3),DATEVALUE('Procyclean 210'!F416))))),""))</f>
        <v/>
      </c>
      <c r="AM1914" t="str">
        <f t="shared" ca="1" si="196"/>
        <v/>
      </c>
    </row>
    <row r="1915" spans="27:39" x14ac:dyDescent="0.3">
      <c r="AA1915" t="str">
        <f>IF(COUNTA('Procyclean 210'!C417,'Procyclean 210'!D417,'Procyclean 210'!E417)&gt;0,"210","")</f>
        <v/>
      </c>
      <c r="AB1915" t="str">
        <f>IFERROR(IF(ISNUMBER('Procyclean 210'!C417),'Procyclean 210'!C417,DATEVALUE('Procyclean 210'!C417)),"")</f>
        <v/>
      </c>
      <c r="AC1915" t="str">
        <f>IF(AA1915="","",'Procyclean 210'!D417)</f>
        <v/>
      </c>
      <c r="AD1915" t="str">
        <f>IF(AA1915="","",IFERROR(1*'Procyclean 210'!E417,IFERROR(_xludf.NUMBERVALUE('Procyclean 210'!E417,".",","),IFERROR(_xludf.NUMBERVALUE('Procyclean 210'!E417,",","."),0))))</f>
        <v/>
      </c>
      <c r="AE1915" t="str">
        <f>IF(AA1915="","",'Procyclean 210'!B417)</f>
        <v/>
      </c>
      <c r="AF1915">
        <f t="shared" si="191"/>
        <v>0</v>
      </c>
      <c r="AG1915" t="str">
        <f t="shared" si="192"/>
        <v/>
      </c>
      <c r="AH1915" t="str">
        <f t="shared" si="193"/>
        <v/>
      </c>
      <c r="AI1915">
        <f t="shared" si="194"/>
        <v>0</v>
      </c>
      <c r="AJ1915">
        <f t="shared" si="195"/>
        <v>0</v>
      </c>
      <c r="AK1915">
        <v>0</v>
      </c>
      <c r="AL1915" t="str">
        <f>IF(AA1915="","",IFERROR(IF(ISNUMBER('Procyclean 210'!F417),'Procyclean 210'!F417,IF(ISNUMBER(SEARCH("12",'Procyclean 210'!F417)),EDATE(AB1915,12),IF(ISNUMBER(SEARCH("6",'Procyclean 210'!F417)),EDATE(AB1915,6),IF(ISNUMBER(SEARCH("3",'Procyclean 210'!F417)),EDATE(AB1915,3),DATEVALUE('Procyclean 210'!F417))))),""))</f>
        <v/>
      </c>
      <c r="AM1915" t="str">
        <f t="shared" ca="1" si="196"/>
        <v/>
      </c>
    </row>
    <row r="1916" spans="27:39" x14ac:dyDescent="0.3">
      <c r="AA1916" t="str">
        <f>IF(COUNTA('Procyclean 210'!C418,'Procyclean 210'!D418,'Procyclean 210'!E418)&gt;0,"210","")</f>
        <v/>
      </c>
      <c r="AB1916" t="str">
        <f>IFERROR(IF(ISNUMBER('Procyclean 210'!C418),'Procyclean 210'!C418,DATEVALUE('Procyclean 210'!C418)),"")</f>
        <v/>
      </c>
      <c r="AC1916" t="str">
        <f>IF(AA1916="","",'Procyclean 210'!D418)</f>
        <v/>
      </c>
      <c r="AD1916" t="str">
        <f>IF(AA1916="","",IFERROR(1*'Procyclean 210'!E418,IFERROR(_xludf.NUMBERVALUE('Procyclean 210'!E418,".",","),IFERROR(_xludf.NUMBERVALUE('Procyclean 210'!E418,",","."),0))))</f>
        <v/>
      </c>
      <c r="AE1916" t="str">
        <f>IF(AA1916="","",'Procyclean 210'!B418)</f>
        <v/>
      </c>
      <c r="AF1916">
        <f t="shared" si="191"/>
        <v>0</v>
      </c>
      <c r="AG1916" t="str">
        <f t="shared" si="192"/>
        <v/>
      </c>
      <c r="AH1916" t="str">
        <f t="shared" si="193"/>
        <v/>
      </c>
      <c r="AI1916">
        <f t="shared" si="194"/>
        <v>0</v>
      </c>
      <c r="AJ1916">
        <f t="shared" si="195"/>
        <v>0</v>
      </c>
      <c r="AK1916">
        <v>0</v>
      </c>
      <c r="AL1916" t="str">
        <f>IF(AA1916="","",IFERROR(IF(ISNUMBER('Procyclean 210'!F418),'Procyclean 210'!F418,IF(ISNUMBER(SEARCH("12",'Procyclean 210'!F418)),EDATE(AB1916,12),IF(ISNUMBER(SEARCH("6",'Procyclean 210'!F418)),EDATE(AB1916,6),IF(ISNUMBER(SEARCH("3",'Procyclean 210'!F418)),EDATE(AB1916,3),DATEVALUE('Procyclean 210'!F418))))),""))</f>
        <v/>
      </c>
      <c r="AM1916" t="str">
        <f t="shared" ca="1" si="196"/>
        <v/>
      </c>
    </row>
    <row r="1917" spans="27:39" x14ac:dyDescent="0.3">
      <c r="AA1917" t="str">
        <f>IF(COUNTA('Procyclean 210'!C419,'Procyclean 210'!D419,'Procyclean 210'!E419)&gt;0,"210","")</f>
        <v/>
      </c>
      <c r="AB1917" t="str">
        <f>IFERROR(IF(ISNUMBER('Procyclean 210'!C419),'Procyclean 210'!C419,DATEVALUE('Procyclean 210'!C419)),"")</f>
        <v/>
      </c>
      <c r="AC1917" t="str">
        <f>IF(AA1917="","",'Procyclean 210'!D419)</f>
        <v/>
      </c>
      <c r="AD1917" t="str">
        <f>IF(AA1917="","",IFERROR(1*'Procyclean 210'!E419,IFERROR(_xludf.NUMBERVALUE('Procyclean 210'!E419,".",","),IFERROR(_xludf.NUMBERVALUE('Procyclean 210'!E419,",","."),0))))</f>
        <v/>
      </c>
      <c r="AE1917" t="str">
        <f>IF(AA1917="","",'Procyclean 210'!B419)</f>
        <v/>
      </c>
      <c r="AF1917">
        <f t="shared" si="191"/>
        <v>0</v>
      </c>
      <c r="AG1917" t="str">
        <f t="shared" si="192"/>
        <v/>
      </c>
      <c r="AH1917" t="str">
        <f t="shared" si="193"/>
        <v/>
      </c>
      <c r="AI1917">
        <f t="shared" si="194"/>
        <v>0</v>
      </c>
      <c r="AJ1917">
        <f t="shared" si="195"/>
        <v>0</v>
      </c>
      <c r="AK1917">
        <v>0</v>
      </c>
      <c r="AL1917" t="str">
        <f>IF(AA1917="","",IFERROR(IF(ISNUMBER('Procyclean 210'!F419),'Procyclean 210'!F419,IF(ISNUMBER(SEARCH("12",'Procyclean 210'!F419)),EDATE(AB1917,12),IF(ISNUMBER(SEARCH("6",'Procyclean 210'!F419)),EDATE(AB1917,6),IF(ISNUMBER(SEARCH("3",'Procyclean 210'!F419)),EDATE(AB1917,3),DATEVALUE('Procyclean 210'!F419))))),""))</f>
        <v/>
      </c>
      <c r="AM1917" t="str">
        <f t="shared" ca="1" si="196"/>
        <v/>
      </c>
    </row>
    <row r="1918" spans="27:39" x14ac:dyDescent="0.3">
      <c r="AA1918" t="str">
        <f>IF(COUNTA('Procyclean 210'!C420,'Procyclean 210'!D420,'Procyclean 210'!E420)&gt;0,"210","")</f>
        <v/>
      </c>
      <c r="AB1918" t="str">
        <f>IFERROR(IF(ISNUMBER('Procyclean 210'!C420),'Procyclean 210'!C420,DATEVALUE('Procyclean 210'!C420)),"")</f>
        <v/>
      </c>
      <c r="AC1918" t="str">
        <f>IF(AA1918="","",'Procyclean 210'!D420)</f>
        <v/>
      </c>
      <c r="AD1918" t="str">
        <f>IF(AA1918="","",IFERROR(1*'Procyclean 210'!E420,IFERROR(_xludf.NUMBERVALUE('Procyclean 210'!E420,".",","),IFERROR(_xludf.NUMBERVALUE('Procyclean 210'!E420,",","."),0))))</f>
        <v/>
      </c>
      <c r="AE1918" t="str">
        <f>IF(AA1918="","",'Procyclean 210'!B420)</f>
        <v/>
      </c>
      <c r="AF1918">
        <f t="shared" si="191"/>
        <v>0</v>
      </c>
      <c r="AG1918" t="str">
        <f t="shared" si="192"/>
        <v/>
      </c>
      <c r="AH1918" t="str">
        <f t="shared" si="193"/>
        <v/>
      </c>
      <c r="AI1918">
        <f t="shared" si="194"/>
        <v>0</v>
      </c>
      <c r="AJ1918">
        <f t="shared" si="195"/>
        <v>0</v>
      </c>
      <c r="AK1918">
        <v>0</v>
      </c>
      <c r="AL1918" t="str">
        <f>IF(AA1918="","",IFERROR(IF(ISNUMBER('Procyclean 210'!F420),'Procyclean 210'!F420,IF(ISNUMBER(SEARCH("12",'Procyclean 210'!F420)),EDATE(AB1918,12),IF(ISNUMBER(SEARCH("6",'Procyclean 210'!F420)),EDATE(AB1918,6),IF(ISNUMBER(SEARCH("3",'Procyclean 210'!F420)),EDATE(AB1918,3),DATEVALUE('Procyclean 210'!F420))))),""))</f>
        <v/>
      </c>
      <c r="AM1918" t="str">
        <f t="shared" ca="1" si="196"/>
        <v/>
      </c>
    </row>
    <row r="1919" spans="27:39" x14ac:dyDescent="0.3">
      <c r="AA1919" t="str">
        <f>IF(COUNTA('Procyclean 210'!C421,'Procyclean 210'!D421,'Procyclean 210'!E421)&gt;0,"210","")</f>
        <v/>
      </c>
      <c r="AB1919" t="str">
        <f>IFERROR(IF(ISNUMBER('Procyclean 210'!C421),'Procyclean 210'!C421,DATEVALUE('Procyclean 210'!C421)),"")</f>
        <v/>
      </c>
      <c r="AC1919" t="str">
        <f>IF(AA1919="","",'Procyclean 210'!D421)</f>
        <v/>
      </c>
      <c r="AD1919" t="str">
        <f>IF(AA1919="","",IFERROR(1*'Procyclean 210'!E421,IFERROR(_xludf.NUMBERVALUE('Procyclean 210'!E421,".",","),IFERROR(_xludf.NUMBERVALUE('Procyclean 210'!E421,",","."),0))))</f>
        <v/>
      </c>
      <c r="AE1919" t="str">
        <f>IF(AA1919="","",'Procyclean 210'!B421)</f>
        <v/>
      </c>
      <c r="AF1919">
        <f t="shared" si="191"/>
        <v>0</v>
      </c>
      <c r="AG1919" t="str">
        <f t="shared" si="192"/>
        <v/>
      </c>
      <c r="AH1919" t="str">
        <f t="shared" si="193"/>
        <v/>
      </c>
      <c r="AI1919">
        <f t="shared" si="194"/>
        <v>0</v>
      </c>
      <c r="AJ1919">
        <f t="shared" si="195"/>
        <v>0</v>
      </c>
      <c r="AK1919">
        <v>0</v>
      </c>
      <c r="AL1919" t="str">
        <f>IF(AA1919="","",IFERROR(IF(ISNUMBER('Procyclean 210'!F421),'Procyclean 210'!F421,IF(ISNUMBER(SEARCH("12",'Procyclean 210'!F421)),EDATE(AB1919,12),IF(ISNUMBER(SEARCH("6",'Procyclean 210'!F421)),EDATE(AB1919,6),IF(ISNUMBER(SEARCH("3",'Procyclean 210'!F421)),EDATE(AB1919,3),DATEVALUE('Procyclean 210'!F421))))),""))</f>
        <v/>
      </c>
      <c r="AM1919" t="str">
        <f t="shared" ca="1" si="196"/>
        <v/>
      </c>
    </row>
    <row r="1920" spans="27:39" x14ac:dyDescent="0.3">
      <c r="AA1920" t="str">
        <f>IF(COUNTA('Procyclean 210'!C422,'Procyclean 210'!D422,'Procyclean 210'!E422)&gt;0,"210","")</f>
        <v/>
      </c>
      <c r="AB1920" t="str">
        <f>IFERROR(IF(ISNUMBER('Procyclean 210'!C422),'Procyclean 210'!C422,DATEVALUE('Procyclean 210'!C422)),"")</f>
        <v/>
      </c>
      <c r="AC1920" t="str">
        <f>IF(AA1920="","",'Procyclean 210'!D422)</f>
        <v/>
      </c>
      <c r="AD1920" t="str">
        <f>IF(AA1920="","",IFERROR(1*'Procyclean 210'!E422,IFERROR(_xludf.NUMBERVALUE('Procyclean 210'!E422,".",","),IFERROR(_xludf.NUMBERVALUE('Procyclean 210'!E422,",","."),0))))</f>
        <v/>
      </c>
      <c r="AE1920" t="str">
        <f>IF(AA1920="","",'Procyclean 210'!B422)</f>
        <v/>
      </c>
      <c r="AF1920">
        <f t="shared" si="191"/>
        <v>0</v>
      </c>
      <c r="AG1920" t="str">
        <f t="shared" si="192"/>
        <v/>
      </c>
      <c r="AH1920" t="str">
        <f t="shared" si="193"/>
        <v/>
      </c>
      <c r="AI1920">
        <f t="shared" si="194"/>
        <v>0</v>
      </c>
      <c r="AJ1920">
        <f t="shared" si="195"/>
        <v>0</v>
      </c>
      <c r="AK1920">
        <v>0</v>
      </c>
      <c r="AL1920" t="str">
        <f>IF(AA1920="","",IFERROR(IF(ISNUMBER('Procyclean 210'!F422),'Procyclean 210'!F422,IF(ISNUMBER(SEARCH("12",'Procyclean 210'!F422)),EDATE(AB1920,12),IF(ISNUMBER(SEARCH("6",'Procyclean 210'!F422)),EDATE(AB1920,6),IF(ISNUMBER(SEARCH("3",'Procyclean 210'!F422)),EDATE(AB1920,3),DATEVALUE('Procyclean 210'!F422))))),""))</f>
        <v/>
      </c>
      <c r="AM1920" t="str">
        <f t="shared" ca="1" si="196"/>
        <v/>
      </c>
    </row>
    <row r="1921" spans="27:39" x14ac:dyDescent="0.3">
      <c r="AA1921" t="str">
        <f>IF(COUNTA('Procyclean 210'!C423,'Procyclean 210'!D423,'Procyclean 210'!E423)&gt;0,"210","")</f>
        <v/>
      </c>
      <c r="AB1921" t="str">
        <f>IFERROR(IF(ISNUMBER('Procyclean 210'!C423),'Procyclean 210'!C423,DATEVALUE('Procyclean 210'!C423)),"")</f>
        <v/>
      </c>
      <c r="AC1921" t="str">
        <f>IF(AA1921="","",'Procyclean 210'!D423)</f>
        <v/>
      </c>
      <c r="AD1921" t="str">
        <f>IF(AA1921="","",IFERROR(1*'Procyclean 210'!E423,IFERROR(_xludf.NUMBERVALUE('Procyclean 210'!E423,".",","),IFERROR(_xludf.NUMBERVALUE('Procyclean 210'!E423,",","."),0))))</f>
        <v/>
      </c>
      <c r="AE1921" t="str">
        <f>IF(AA1921="","",'Procyclean 210'!B423)</f>
        <v/>
      </c>
      <c r="AF1921">
        <f t="shared" si="191"/>
        <v>0</v>
      </c>
      <c r="AG1921" t="str">
        <f t="shared" si="192"/>
        <v/>
      </c>
      <c r="AH1921" t="str">
        <f t="shared" si="193"/>
        <v/>
      </c>
      <c r="AI1921">
        <f t="shared" si="194"/>
        <v>0</v>
      </c>
      <c r="AJ1921">
        <f t="shared" si="195"/>
        <v>0</v>
      </c>
      <c r="AK1921">
        <v>0</v>
      </c>
      <c r="AL1921" t="str">
        <f>IF(AA1921="","",IFERROR(IF(ISNUMBER('Procyclean 210'!F423),'Procyclean 210'!F423,IF(ISNUMBER(SEARCH("12",'Procyclean 210'!F423)),EDATE(AB1921,12),IF(ISNUMBER(SEARCH("6",'Procyclean 210'!F423)),EDATE(AB1921,6),IF(ISNUMBER(SEARCH("3",'Procyclean 210'!F423)),EDATE(AB1921,3),DATEVALUE('Procyclean 210'!F423))))),""))</f>
        <v/>
      </c>
      <c r="AM1921" t="str">
        <f t="shared" ca="1" si="196"/>
        <v/>
      </c>
    </row>
    <row r="1922" spans="27:39" x14ac:dyDescent="0.3">
      <c r="AA1922" t="str">
        <f>IF(COUNTA('Procyclean 210'!C424,'Procyclean 210'!D424,'Procyclean 210'!E424)&gt;0,"210","")</f>
        <v/>
      </c>
      <c r="AB1922" t="str">
        <f>IFERROR(IF(ISNUMBER('Procyclean 210'!C424),'Procyclean 210'!C424,DATEVALUE('Procyclean 210'!C424)),"")</f>
        <v/>
      </c>
      <c r="AC1922" t="str">
        <f>IF(AA1922="","",'Procyclean 210'!D424)</f>
        <v/>
      </c>
      <c r="AD1922" t="str">
        <f>IF(AA1922="","",IFERROR(1*'Procyclean 210'!E424,IFERROR(_xludf.NUMBERVALUE('Procyclean 210'!E424,".",","),IFERROR(_xludf.NUMBERVALUE('Procyclean 210'!E424,",","."),0))))</f>
        <v/>
      </c>
      <c r="AE1922" t="str">
        <f>IF(AA1922="","",'Procyclean 210'!B424)</f>
        <v/>
      </c>
      <c r="AF1922">
        <f t="shared" ref="AF1922:AF1985" si="197">IF(AA1922="",0,--AND(ISNUMBER(SEARCH("aprov",AE1922)),NOT(ISNUMBER(SEARCH("reprov",AE1922)))))</f>
        <v>0</v>
      </c>
      <c r="AG1922" t="str">
        <f t="shared" ref="AG1922:AG1985" si="198">IF(AB1922="","",YEAR(AB1922))</f>
        <v/>
      </c>
      <c r="AH1922" t="str">
        <f t="shared" ref="AH1922:AH1985" si="199">IF(AB1922="","",MONTH(AB1922))</f>
        <v/>
      </c>
      <c r="AI1922">
        <f t="shared" ref="AI1922:AI1985" si="200">IF(AB1922="",0,AB1922+ROW()/1000000)</f>
        <v>0</v>
      </c>
      <c r="AJ1922">
        <f t="shared" ref="AJ1922:AJ1985" si="201">--(AA1922&lt;&gt;"")</f>
        <v>0</v>
      </c>
      <c r="AK1922">
        <v>0</v>
      </c>
      <c r="AL1922" t="str">
        <f>IF(AA1922="","",IFERROR(IF(ISNUMBER('Procyclean 210'!F424),'Procyclean 210'!F424,IF(ISNUMBER(SEARCH("12",'Procyclean 210'!F424)),EDATE(AB1922,12),IF(ISNUMBER(SEARCH("6",'Procyclean 210'!F424)),EDATE(AB1922,6),IF(ISNUMBER(SEARCH("3",'Procyclean 210'!F424)),EDATE(AB1922,3),DATEVALUE('Procyclean 210'!F424))))),""))</f>
        <v/>
      </c>
      <c r="AM1922" t="str">
        <f t="shared" ref="AM1922:AM1985" ca="1" si="202">IF(AND(AJ1922=1,AL1922&lt;&gt;"",AL1922&gt;=TODAY(),AG1922=$W$3),AL1922+ROW()/1000000,"")</f>
        <v/>
      </c>
    </row>
    <row r="1923" spans="27:39" x14ac:dyDescent="0.3">
      <c r="AA1923" t="str">
        <f>IF(COUNTA('Procyclean 210'!C425,'Procyclean 210'!D425,'Procyclean 210'!E425)&gt;0,"210","")</f>
        <v/>
      </c>
      <c r="AB1923" t="str">
        <f>IFERROR(IF(ISNUMBER('Procyclean 210'!C425),'Procyclean 210'!C425,DATEVALUE('Procyclean 210'!C425)),"")</f>
        <v/>
      </c>
      <c r="AC1923" t="str">
        <f>IF(AA1923="","",'Procyclean 210'!D425)</f>
        <v/>
      </c>
      <c r="AD1923" t="str">
        <f>IF(AA1923="","",IFERROR(1*'Procyclean 210'!E425,IFERROR(_xludf.NUMBERVALUE('Procyclean 210'!E425,".",","),IFERROR(_xludf.NUMBERVALUE('Procyclean 210'!E425,",","."),0))))</f>
        <v/>
      </c>
      <c r="AE1923" t="str">
        <f>IF(AA1923="","",'Procyclean 210'!B425)</f>
        <v/>
      </c>
      <c r="AF1923">
        <f t="shared" si="197"/>
        <v>0</v>
      </c>
      <c r="AG1923" t="str">
        <f t="shared" si="198"/>
        <v/>
      </c>
      <c r="AH1923" t="str">
        <f t="shared" si="199"/>
        <v/>
      </c>
      <c r="AI1923">
        <f t="shared" si="200"/>
        <v>0</v>
      </c>
      <c r="AJ1923">
        <f t="shared" si="201"/>
        <v>0</v>
      </c>
      <c r="AK1923">
        <v>0</v>
      </c>
      <c r="AL1923" t="str">
        <f>IF(AA1923="","",IFERROR(IF(ISNUMBER('Procyclean 210'!F425),'Procyclean 210'!F425,IF(ISNUMBER(SEARCH("12",'Procyclean 210'!F425)),EDATE(AB1923,12),IF(ISNUMBER(SEARCH("6",'Procyclean 210'!F425)),EDATE(AB1923,6),IF(ISNUMBER(SEARCH("3",'Procyclean 210'!F425)),EDATE(AB1923,3),DATEVALUE('Procyclean 210'!F425))))),""))</f>
        <v/>
      </c>
      <c r="AM1923" t="str">
        <f t="shared" ca="1" si="202"/>
        <v/>
      </c>
    </row>
    <row r="1924" spans="27:39" x14ac:dyDescent="0.3">
      <c r="AA1924" t="str">
        <f>IF(COUNTA('Procyclean 210'!C426,'Procyclean 210'!D426,'Procyclean 210'!E426)&gt;0,"210","")</f>
        <v/>
      </c>
      <c r="AB1924" t="str">
        <f>IFERROR(IF(ISNUMBER('Procyclean 210'!C426),'Procyclean 210'!C426,DATEVALUE('Procyclean 210'!C426)),"")</f>
        <v/>
      </c>
      <c r="AC1924" t="str">
        <f>IF(AA1924="","",'Procyclean 210'!D426)</f>
        <v/>
      </c>
      <c r="AD1924" t="str">
        <f>IF(AA1924="","",IFERROR(1*'Procyclean 210'!E426,IFERROR(_xludf.NUMBERVALUE('Procyclean 210'!E426,".",","),IFERROR(_xludf.NUMBERVALUE('Procyclean 210'!E426,",","."),0))))</f>
        <v/>
      </c>
      <c r="AE1924" t="str">
        <f>IF(AA1924="","",'Procyclean 210'!B426)</f>
        <v/>
      </c>
      <c r="AF1924">
        <f t="shared" si="197"/>
        <v>0</v>
      </c>
      <c r="AG1924" t="str">
        <f t="shared" si="198"/>
        <v/>
      </c>
      <c r="AH1924" t="str">
        <f t="shared" si="199"/>
        <v/>
      </c>
      <c r="AI1924">
        <f t="shared" si="200"/>
        <v>0</v>
      </c>
      <c r="AJ1924">
        <f t="shared" si="201"/>
        <v>0</v>
      </c>
      <c r="AK1924">
        <v>0</v>
      </c>
      <c r="AL1924" t="str">
        <f>IF(AA1924="","",IFERROR(IF(ISNUMBER('Procyclean 210'!F426),'Procyclean 210'!F426,IF(ISNUMBER(SEARCH("12",'Procyclean 210'!F426)),EDATE(AB1924,12),IF(ISNUMBER(SEARCH("6",'Procyclean 210'!F426)),EDATE(AB1924,6),IF(ISNUMBER(SEARCH("3",'Procyclean 210'!F426)),EDATE(AB1924,3),DATEVALUE('Procyclean 210'!F426))))),""))</f>
        <v/>
      </c>
      <c r="AM1924" t="str">
        <f t="shared" ca="1" si="202"/>
        <v/>
      </c>
    </row>
    <row r="1925" spans="27:39" x14ac:dyDescent="0.3">
      <c r="AA1925" t="str">
        <f>IF(COUNTA('Procyclean 210'!C427,'Procyclean 210'!D427,'Procyclean 210'!E427)&gt;0,"210","")</f>
        <v/>
      </c>
      <c r="AB1925" t="str">
        <f>IFERROR(IF(ISNUMBER('Procyclean 210'!C427),'Procyclean 210'!C427,DATEVALUE('Procyclean 210'!C427)),"")</f>
        <v/>
      </c>
      <c r="AC1925" t="str">
        <f>IF(AA1925="","",'Procyclean 210'!D427)</f>
        <v/>
      </c>
      <c r="AD1925" t="str">
        <f>IF(AA1925="","",IFERROR(1*'Procyclean 210'!E427,IFERROR(_xludf.NUMBERVALUE('Procyclean 210'!E427,".",","),IFERROR(_xludf.NUMBERVALUE('Procyclean 210'!E427,",","."),0))))</f>
        <v/>
      </c>
      <c r="AE1925" t="str">
        <f>IF(AA1925="","",'Procyclean 210'!B427)</f>
        <v/>
      </c>
      <c r="AF1925">
        <f t="shared" si="197"/>
        <v>0</v>
      </c>
      <c r="AG1925" t="str">
        <f t="shared" si="198"/>
        <v/>
      </c>
      <c r="AH1925" t="str">
        <f t="shared" si="199"/>
        <v/>
      </c>
      <c r="AI1925">
        <f t="shared" si="200"/>
        <v>0</v>
      </c>
      <c r="AJ1925">
        <f t="shared" si="201"/>
        <v>0</v>
      </c>
      <c r="AK1925">
        <v>0</v>
      </c>
      <c r="AL1925" t="str">
        <f>IF(AA1925="","",IFERROR(IF(ISNUMBER('Procyclean 210'!F427),'Procyclean 210'!F427,IF(ISNUMBER(SEARCH("12",'Procyclean 210'!F427)),EDATE(AB1925,12),IF(ISNUMBER(SEARCH("6",'Procyclean 210'!F427)),EDATE(AB1925,6),IF(ISNUMBER(SEARCH("3",'Procyclean 210'!F427)),EDATE(AB1925,3),DATEVALUE('Procyclean 210'!F427))))),""))</f>
        <v/>
      </c>
      <c r="AM1925" t="str">
        <f t="shared" ca="1" si="202"/>
        <v/>
      </c>
    </row>
    <row r="1926" spans="27:39" x14ac:dyDescent="0.3">
      <c r="AA1926" t="str">
        <f>IF(COUNTA('Procyclean 210'!C428,'Procyclean 210'!D428,'Procyclean 210'!E428)&gt;0,"210","")</f>
        <v/>
      </c>
      <c r="AB1926" t="str">
        <f>IFERROR(IF(ISNUMBER('Procyclean 210'!C428),'Procyclean 210'!C428,DATEVALUE('Procyclean 210'!C428)),"")</f>
        <v/>
      </c>
      <c r="AC1926" t="str">
        <f>IF(AA1926="","",'Procyclean 210'!D428)</f>
        <v/>
      </c>
      <c r="AD1926" t="str">
        <f>IF(AA1926="","",IFERROR(1*'Procyclean 210'!E428,IFERROR(_xludf.NUMBERVALUE('Procyclean 210'!E428,".",","),IFERROR(_xludf.NUMBERVALUE('Procyclean 210'!E428,",","."),0))))</f>
        <v/>
      </c>
      <c r="AE1926" t="str">
        <f>IF(AA1926="","",'Procyclean 210'!B428)</f>
        <v/>
      </c>
      <c r="AF1926">
        <f t="shared" si="197"/>
        <v>0</v>
      </c>
      <c r="AG1926" t="str">
        <f t="shared" si="198"/>
        <v/>
      </c>
      <c r="AH1926" t="str">
        <f t="shared" si="199"/>
        <v/>
      </c>
      <c r="AI1926">
        <f t="shared" si="200"/>
        <v>0</v>
      </c>
      <c r="AJ1926">
        <f t="shared" si="201"/>
        <v>0</v>
      </c>
      <c r="AK1926">
        <v>0</v>
      </c>
      <c r="AL1926" t="str">
        <f>IF(AA1926="","",IFERROR(IF(ISNUMBER('Procyclean 210'!F428),'Procyclean 210'!F428,IF(ISNUMBER(SEARCH("12",'Procyclean 210'!F428)),EDATE(AB1926,12),IF(ISNUMBER(SEARCH("6",'Procyclean 210'!F428)),EDATE(AB1926,6),IF(ISNUMBER(SEARCH("3",'Procyclean 210'!F428)),EDATE(AB1926,3),DATEVALUE('Procyclean 210'!F428))))),""))</f>
        <v/>
      </c>
      <c r="AM1926" t="str">
        <f t="shared" ca="1" si="202"/>
        <v/>
      </c>
    </row>
    <row r="1927" spans="27:39" x14ac:dyDescent="0.3">
      <c r="AA1927" t="str">
        <f>IF(COUNTA('Procyclean 210'!C429,'Procyclean 210'!D429,'Procyclean 210'!E429)&gt;0,"210","")</f>
        <v/>
      </c>
      <c r="AB1927" t="str">
        <f>IFERROR(IF(ISNUMBER('Procyclean 210'!C429),'Procyclean 210'!C429,DATEVALUE('Procyclean 210'!C429)),"")</f>
        <v/>
      </c>
      <c r="AC1927" t="str">
        <f>IF(AA1927="","",'Procyclean 210'!D429)</f>
        <v/>
      </c>
      <c r="AD1927" t="str">
        <f>IF(AA1927="","",IFERROR(1*'Procyclean 210'!E429,IFERROR(_xludf.NUMBERVALUE('Procyclean 210'!E429,".",","),IFERROR(_xludf.NUMBERVALUE('Procyclean 210'!E429,",","."),0))))</f>
        <v/>
      </c>
      <c r="AE1927" t="str">
        <f>IF(AA1927="","",'Procyclean 210'!B429)</f>
        <v/>
      </c>
      <c r="AF1927">
        <f t="shared" si="197"/>
        <v>0</v>
      </c>
      <c r="AG1927" t="str">
        <f t="shared" si="198"/>
        <v/>
      </c>
      <c r="AH1927" t="str">
        <f t="shared" si="199"/>
        <v/>
      </c>
      <c r="AI1927">
        <f t="shared" si="200"/>
        <v>0</v>
      </c>
      <c r="AJ1927">
        <f t="shared" si="201"/>
        <v>0</v>
      </c>
      <c r="AK1927">
        <v>0</v>
      </c>
      <c r="AL1927" t="str">
        <f>IF(AA1927="","",IFERROR(IF(ISNUMBER('Procyclean 210'!F429),'Procyclean 210'!F429,IF(ISNUMBER(SEARCH("12",'Procyclean 210'!F429)),EDATE(AB1927,12),IF(ISNUMBER(SEARCH("6",'Procyclean 210'!F429)),EDATE(AB1927,6),IF(ISNUMBER(SEARCH("3",'Procyclean 210'!F429)),EDATE(AB1927,3),DATEVALUE('Procyclean 210'!F429))))),""))</f>
        <v/>
      </c>
      <c r="AM1927" t="str">
        <f t="shared" ca="1" si="202"/>
        <v/>
      </c>
    </row>
    <row r="1928" spans="27:39" x14ac:dyDescent="0.3">
      <c r="AA1928" t="str">
        <f>IF(COUNTA('Procyclean 210'!C430,'Procyclean 210'!D430,'Procyclean 210'!E430)&gt;0,"210","")</f>
        <v/>
      </c>
      <c r="AB1928" t="str">
        <f>IFERROR(IF(ISNUMBER('Procyclean 210'!C430),'Procyclean 210'!C430,DATEVALUE('Procyclean 210'!C430)),"")</f>
        <v/>
      </c>
      <c r="AC1928" t="str">
        <f>IF(AA1928="","",'Procyclean 210'!D430)</f>
        <v/>
      </c>
      <c r="AD1928" t="str">
        <f>IF(AA1928="","",IFERROR(1*'Procyclean 210'!E430,IFERROR(_xludf.NUMBERVALUE('Procyclean 210'!E430,".",","),IFERROR(_xludf.NUMBERVALUE('Procyclean 210'!E430,",","."),0))))</f>
        <v/>
      </c>
      <c r="AE1928" t="str">
        <f>IF(AA1928="","",'Procyclean 210'!B430)</f>
        <v/>
      </c>
      <c r="AF1928">
        <f t="shared" si="197"/>
        <v>0</v>
      </c>
      <c r="AG1928" t="str">
        <f t="shared" si="198"/>
        <v/>
      </c>
      <c r="AH1928" t="str">
        <f t="shared" si="199"/>
        <v/>
      </c>
      <c r="AI1928">
        <f t="shared" si="200"/>
        <v>0</v>
      </c>
      <c r="AJ1928">
        <f t="shared" si="201"/>
        <v>0</v>
      </c>
      <c r="AK1928">
        <v>0</v>
      </c>
      <c r="AL1928" t="str">
        <f>IF(AA1928="","",IFERROR(IF(ISNUMBER('Procyclean 210'!F430),'Procyclean 210'!F430,IF(ISNUMBER(SEARCH("12",'Procyclean 210'!F430)),EDATE(AB1928,12),IF(ISNUMBER(SEARCH("6",'Procyclean 210'!F430)),EDATE(AB1928,6),IF(ISNUMBER(SEARCH("3",'Procyclean 210'!F430)),EDATE(AB1928,3),DATEVALUE('Procyclean 210'!F430))))),""))</f>
        <v/>
      </c>
      <c r="AM1928" t="str">
        <f t="shared" ca="1" si="202"/>
        <v/>
      </c>
    </row>
    <row r="1929" spans="27:39" x14ac:dyDescent="0.3">
      <c r="AA1929" t="str">
        <f>IF(COUNTA('Procyclean 210'!C431,'Procyclean 210'!D431,'Procyclean 210'!E431)&gt;0,"210","")</f>
        <v/>
      </c>
      <c r="AB1929" t="str">
        <f>IFERROR(IF(ISNUMBER('Procyclean 210'!C431),'Procyclean 210'!C431,DATEVALUE('Procyclean 210'!C431)),"")</f>
        <v/>
      </c>
      <c r="AC1929" t="str">
        <f>IF(AA1929="","",'Procyclean 210'!D431)</f>
        <v/>
      </c>
      <c r="AD1929" t="str">
        <f>IF(AA1929="","",IFERROR(1*'Procyclean 210'!E431,IFERROR(_xludf.NUMBERVALUE('Procyclean 210'!E431,".",","),IFERROR(_xludf.NUMBERVALUE('Procyclean 210'!E431,",","."),0))))</f>
        <v/>
      </c>
      <c r="AE1929" t="str">
        <f>IF(AA1929="","",'Procyclean 210'!B431)</f>
        <v/>
      </c>
      <c r="AF1929">
        <f t="shared" si="197"/>
        <v>0</v>
      </c>
      <c r="AG1929" t="str">
        <f t="shared" si="198"/>
        <v/>
      </c>
      <c r="AH1929" t="str">
        <f t="shared" si="199"/>
        <v/>
      </c>
      <c r="AI1929">
        <f t="shared" si="200"/>
        <v>0</v>
      </c>
      <c r="AJ1929">
        <f t="shared" si="201"/>
        <v>0</v>
      </c>
      <c r="AK1929">
        <v>0</v>
      </c>
      <c r="AL1929" t="str">
        <f>IF(AA1929="","",IFERROR(IF(ISNUMBER('Procyclean 210'!F431),'Procyclean 210'!F431,IF(ISNUMBER(SEARCH("12",'Procyclean 210'!F431)),EDATE(AB1929,12),IF(ISNUMBER(SEARCH("6",'Procyclean 210'!F431)),EDATE(AB1929,6),IF(ISNUMBER(SEARCH("3",'Procyclean 210'!F431)),EDATE(AB1929,3),DATEVALUE('Procyclean 210'!F431))))),""))</f>
        <v/>
      </c>
      <c r="AM1929" t="str">
        <f t="shared" ca="1" si="202"/>
        <v/>
      </c>
    </row>
    <row r="1930" spans="27:39" x14ac:dyDescent="0.3">
      <c r="AA1930" t="str">
        <f>IF(COUNTA('Procyclean 210'!C432,'Procyclean 210'!D432,'Procyclean 210'!E432)&gt;0,"210","")</f>
        <v/>
      </c>
      <c r="AB1930" t="str">
        <f>IFERROR(IF(ISNUMBER('Procyclean 210'!C432),'Procyclean 210'!C432,DATEVALUE('Procyclean 210'!C432)),"")</f>
        <v/>
      </c>
      <c r="AC1930" t="str">
        <f>IF(AA1930="","",'Procyclean 210'!D432)</f>
        <v/>
      </c>
      <c r="AD1930" t="str">
        <f>IF(AA1930="","",IFERROR(1*'Procyclean 210'!E432,IFERROR(_xludf.NUMBERVALUE('Procyclean 210'!E432,".",","),IFERROR(_xludf.NUMBERVALUE('Procyclean 210'!E432,",","."),0))))</f>
        <v/>
      </c>
      <c r="AE1930" t="str">
        <f>IF(AA1930="","",'Procyclean 210'!B432)</f>
        <v/>
      </c>
      <c r="AF1930">
        <f t="shared" si="197"/>
        <v>0</v>
      </c>
      <c r="AG1930" t="str">
        <f t="shared" si="198"/>
        <v/>
      </c>
      <c r="AH1930" t="str">
        <f t="shared" si="199"/>
        <v/>
      </c>
      <c r="AI1930">
        <f t="shared" si="200"/>
        <v>0</v>
      </c>
      <c r="AJ1930">
        <f t="shared" si="201"/>
        <v>0</v>
      </c>
      <c r="AK1930">
        <v>0</v>
      </c>
      <c r="AL1930" t="str">
        <f>IF(AA1930="","",IFERROR(IF(ISNUMBER('Procyclean 210'!F432),'Procyclean 210'!F432,IF(ISNUMBER(SEARCH("12",'Procyclean 210'!F432)),EDATE(AB1930,12),IF(ISNUMBER(SEARCH("6",'Procyclean 210'!F432)),EDATE(AB1930,6),IF(ISNUMBER(SEARCH("3",'Procyclean 210'!F432)),EDATE(AB1930,3),DATEVALUE('Procyclean 210'!F432))))),""))</f>
        <v/>
      </c>
      <c r="AM1930" t="str">
        <f t="shared" ca="1" si="202"/>
        <v/>
      </c>
    </row>
    <row r="1931" spans="27:39" x14ac:dyDescent="0.3">
      <c r="AA1931" t="str">
        <f>IF(COUNTA('Procyclean 210'!C433,'Procyclean 210'!D433,'Procyclean 210'!E433)&gt;0,"210","")</f>
        <v/>
      </c>
      <c r="AB1931" t="str">
        <f>IFERROR(IF(ISNUMBER('Procyclean 210'!C433),'Procyclean 210'!C433,DATEVALUE('Procyclean 210'!C433)),"")</f>
        <v/>
      </c>
      <c r="AC1931" t="str">
        <f>IF(AA1931="","",'Procyclean 210'!D433)</f>
        <v/>
      </c>
      <c r="AD1931" t="str">
        <f>IF(AA1931="","",IFERROR(1*'Procyclean 210'!E433,IFERROR(_xludf.NUMBERVALUE('Procyclean 210'!E433,".",","),IFERROR(_xludf.NUMBERVALUE('Procyclean 210'!E433,",","."),0))))</f>
        <v/>
      </c>
      <c r="AE1931" t="str">
        <f>IF(AA1931="","",'Procyclean 210'!B433)</f>
        <v/>
      </c>
      <c r="AF1931">
        <f t="shared" si="197"/>
        <v>0</v>
      </c>
      <c r="AG1931" t="str">
        <f t="shared" si="198"/>
        <v/>
      </c>
      <c r="AH1931" t="str">
        <f t="shared" si="199"/>
        <v/>
      </c>
      <c r="AI1931">
        <f t="shared" si="200"/>
        <v>0</v>
      </c>
      <c r="AJ1931">
        <f t="shared" si="201"/>
        <v>0</v>
      </c>
      <c r="AK1931">
        <v>0</v>
      </c>
      <c r="AL1931" t="str">
        <f>IF(AA1931="","",IFERROR(IF(ISNUMBER('Procyclean 210'!F433),'Procyclean 210'!F433,IF(ISNUMBER(SEARCH("12",'Procyclean 210'!F433)),EDATE(AB1931,12),IF(ISNUMBER(SEARCH("6",'Procyclean 210'!F433)),EDATE(AB1931,6),IF(ISNUMBER(SEARCH("3",'Procyclean 210'!F433)),EDATE(AB1931,3),DATEVALUE('Procyclean 210'!F433))))),""))</f>
        <v/>
      </c>
      <c r="AM1931" t="str">
        <f t="shared" ca="1" si="202"/>
        <v/>
      </c>
    </row>
    <row r="1932" spans="27:39" x14ac:dyDescent="0.3">
      <c r="AA1932" t="str">
        <f>IF(COUNTA('Procyclean 210'!C434,'Procyclean 210'!D434,'Procyclean 210'!E434)&gt;0,"210","")</f>
        <v/>
      </c>
      <c r="AB1932" t="str">
        <f>IFERROR(IF(ISNUMBER('Procyclean 210'!C434),'Procyclean 210'!C434,DATEVALUE('Procyclean 210'!C434)),"")</f>
        <v/>
      </c>
      <c r="AC1932" t="str">
        <f>IF(AA1932="","",'Procyclean 210'!D434)</f>
        <v/>
      </c>
      <c r="AD1932" t="str">
        <f>IF(AA1932="","",IFERROR(1*'Procyclean 210'!E434,IFERROR(_xludf.NUMBERVALUE('Procyclean 210'!E434,".",","),IFERROR(_xludf.NUMBERVALUE('Procyclean 210'!E434,",","."),0))))</f>
        <v/>
      </c>
      <c r="AE1932" t="str">
        <f>IF(AA1932="","",'Procyclean 210'!B434)</f>
        <v/>
      </c>
      <c r="AF1932">
        <f t="shared" si="197"/>
        <v>0</v>
      </c>
      <c r="AG1932" t="str">
        <f t="shared" si="198"/>
        <v/>
      </c>
      <c r="AH1932" t="str">
        <f t="shared" si="199"/>
        <v/>
      </c>
      <c r="AI1932">
        <f t="shared" si="200"/>
        <v>0</v>
      </c>
      <c r="AJ1932">
        <f t="shared" si="201"/>
        <v>0</v>
      </c>
      <c r="AK1932">
        <v>0</v>
      </c>
      <c r="AL1932" t="str">
        <f>IF(AA1932="","",IFERROR(IF(ISNUMBER('Procyclean 210'!F434),'Procyclean 210'!F434,IF(ISNUMBER(SEARCH("12",'Procyclean 210'!F434)),EDATE(AB1932,12),IF(ISNUMBER(SEARCH("6",'Procyclean 210'!F434)),EDATE(AB1932,6),IF(ISNUMBER(SEARCH("3",'Procyclean 210'!F434)),EDATE(AB1932,3),DATEVALUE('Procyclean 210'!F434))))),""))</f>
        <v/>
      </c>
      <c r="AM1932" t="str">
        <f t="shared" ca="1" si="202"/>
        <v/>
      </c>
    </row>
    <row r="1933" spans="27:39" x14ac:dyDescent="0.3">
      <c r="AA1933" t="str">
        <f>IF(COUNTA('Procyclean 210'!C435,'Procyclean 210'!D435,'Procyclean 210'!E435)&gt;0,"210","")</f>
        <v/>
      </c>
      <c r="AB1933" t="str">
        <f>IFERROR(IF(ISNUMBER('Procyclean 210'!C435),'Procyclean 210'!C435,DATEVALUE('Procyclean 210'!C435)),"")</f>
        <v/>
      </c>
      <c r="AC1933" t="str">
        <f>IF(AA1933="","",'Procyclean 210'!D435)</f>
        <v/>
      </c>
      <c r="AD1933" t="str">
        <f>IF(AA1933="","",IFERROR(1*'Procyclean 210'!E435,IFERROR(_xludf.NUMBERVALUE('Procyclean 210'!E435,".",","),IFERROR(_xludf.NUMBERVALUE('Procyclean 210'!E435,",","."),0))))</f>
        <v/>
      </c>
      <c r="AE1933" t="str">
        <f>IF(AA1933="","",'Procyclean 210'!B435)</f>
        <v/>
      </c>
      <c r="AF1933">
        <f t="shared" si="197"/>
        <v>0</v>
      </c>
      <c r="AG1933" t="str">
        <f t="shared" si="198"/>
        <v/>
      </c>
      <c r="AH1933" t="str">
        <f t="shared" si="199"/>
        <v/>
      </c>
      <c r="AI1933">
        <f t="shared" si="200"/>
        <v>0</v>
      </c>
      <c r="AJ1933">
        <f t="shared" si="201"/>
        <v>0</v>
      </c>
      <c r="AK1933">
        <v>0</v>
      </c>
      <c r="AL1933" t="str">
        <f>IF(AA1933="","",IFERROR(IF(ISNUMBER('Procyclean 210'!F435),'Procyclean 210'!F435,IF(ISNUMBER(SEARCH("12",'Procyclean 210'!F435)),EDATE(AB1933,12),IF(ISNUMBER(SEARCH("6",'Procyclean 210'!F435)),EDATE(AB1933,6),IF(ISNUMBER(SEARCH("3",'Procyclean 210'!F435)),EDATE(AB1933,3),DATEVALUE('Procyclean 210'!F435))))),""))</f>
        <v/>
      </c>
      <c r="AM1933" t="str">
        <f t="shared" ca="1" si="202"/>
        <v/>
      </c>
    </row>
    <row r="1934" spans="27:39" x14ac:dyDescent="0.3">
      <c r="AA1934" t="str">
        <f>IF(COUNTA('Procyclean 210'!C436,'Procyclean 210'!D436,'Procyclean 210'!E436)&gt;0,"210","")</f>
        <v/>
      </c>
      <c r="AB1934" t="str">
        <f>IFERROR(IF(ISNUMBER('Procyclean 210'!C436),'Procyclean 210'!C436,DATEVALUE('Procyclean 210'!C436)),"")</f>
        <v/>
      </c>
      <c r="AC1934" t="str">
        <f>IF(AA1934="","",'Procyclean 210'!D436)</f>
        <v/>
      </c>
      <c r="AD1934" t="str">
        <f>IF(AA1934="","",IFERROR(1*'Procyclean 210'!E436,IFERROR(_xludf.NUMBERVALUE('Procyclean 210'!E436,".",","),IFERROR(_xludf.NUMBERVALUE('Procyclean 210'!E436,",","."),0))))</f>
        <v/>
      </c>
      <c r="AE1934" t="str">
        <f>IF(AA1934="","",'Procyclean 210'!B436)</f>
        <v/>
      </c>
      <c r="AF1934">
        <f t="shared" si="197"/>
        <v>0</v>
      </c>
      <c r="AG1934" t="str">
        <f t="shared" si="198"/>
        <v/>
      </c>
      <c r="AH1934" t="str">
        <f t="shared" si="199"/>
        <v/>
      </c>
      <c r="AI1934">
        <f t="shared" si="200"/>
        <v>0</v>
      </c>
      <c r="AJ1934">
        <f t="shared" si="201"/>
        <v>0</v>
      </c>
      <c r="AK1934">
        <v>0</v>
      </c>
      <c r="AL1934" t="str">
        <f>IF(AA1934="","",IFERROR(IF(ISNUMBER('Procyclean 210'!F436),'Procyclean 210'!F436,IF(ISNUMBER(SEARCH("12",'Procyclean 210'!F436)),EDATE(AB1934,12),IF(ISNUMBER(SEARCH("6",'Procyclean 210'!F436)),EDATE(AB1934,6),IF(ISNUMBER(SEARCH("3",'Procyclean 210'!F436)),EDATE(AB1934,3),DATEVALUE('Procyclean 210'!F436))))),""))</f>
        <v/>
      </c>
      <c r="AM1934" t="str">
        <f t="shared" ca="1" si="202"/>
        <v/>
      </c>
    </row>
    <row r="1935" spans="27:39" x14ac:dyDescent="0.3">
      <c r="AA1935" t="str">
        <f>IF(COUNTA('Procyclean 210'!C437,'Procyclean 210'!D437,'Procyclean 210'!E437)&gt;0,"210","")</f>
        <v/>
      </c>
      <c r="AB1935" t="str">
        <f>IFERROR(IF(ISNUMBER('Procyclean 210'!C437),'Procyclean 210'!C437,DATEVALUE('Procyclean 210'!C437)),"")</f>
        <v/>
      </c>
      <c r="AC1935" t="str">
        <f>IF(AA1935="","",'Procyclean 210'!D437)</f>
        <v/>
      </c>
      <c r="AD1935" t="str">
        <f>IF(AA1935="","",IFERROR(1*'Procyclean 210'!E437,IFERROR(_xludf.NUMBERVALUE('Procyclean 210'!E437,".",","),IFERROR(_xludf.NUMBERVALUE('Procyclean 210'!E437,",","."),0))))</f>
        <v/>
      </c>
      <c r="AE1935" t="str">
        <f>IF(AA1935="","",'Procyclean 210'!B437)</f>
        <v/>
      </c>
      <c r="AF1935">
        <f t="shared" si="197"/>
        <v>0</v>
      </c>
      <c r="AG1935" t="str">
        <f t="shared" si="198"/>
        <v/>
      </c>
      <c r="AH1935" t="str">
        <f t="shared" si="199"/>
        <v/>
      </c>
      <c r="AI1935">
        <f t="shared" si="200"/>
        <v>0</v>
      </c>
      <c r="AJ1935">
        <f t="shared" si="201"/>
        <v>0</v>
      </c>
      <c r="AK1935">
        <v>0</v>
      </c>
      <c r="AL1935" t="str">
        <f>IF(AA1935="","",IFERROR(IF(ISNUMBER('Procyclean 210'!F437),'Procyclean 210'!F437,IF(ISNUMBER(SEARCH("12",'Procyclean 210'!F437)),EDATE(AB1935,12),IF(ISNUMBER(SEARCH("6",'Procyclean 210'!F437)),EDATE(AB1935,6),IF(ISNUMBER(SEARCH("3",'Procyclean 210'!F437)),EDATE(AB1935,3),DATEVALUE('Procyclean 210'!F437))))),""))</f>
        <v/>
      </c>
      <c r="AM1935" t="str">
        <f t="shared" ca="1" si="202"/>
        <v/>
      </c>
    </row>
    <row r="1936" spans="27:39" x14ac:dyDescent="0.3">
      <c r="AA1936" t="str">
        <f>IF(COUNTA('Procyclean 210'!C438,'Procyclean 210'!D438,'Procyclean 210'!E438)&gt;0,"210","")</f>
        <v/>
      </c>
      <c r="AB1936" t="str">
        <f>IFERROR(IF(ISNUMBER('Procyclean 210'!C438),'Procyclean 210'!C438,DATEVALUE('Procyclean 210'!C438)),"")</f>
        <v/>
      </c>
      <c r="AC1936" t="str">
        <f>IF(AA1936="","",'Procyclean 210'!D438)</f>
        <v/>
      </c>
      <c r="AD1936" t="str">
        <f>IF(AA1936="","",IFERROR(1*'Procyclean 210'!E438,IFERROR(_xludf.NUMBERVALUE('Procyclean 210'!E438,".",","),IFERROR(_xludf.NUMBERVALUE('Procyclean 210'!E438,",","."),0))))</f>
        <v/>
      </c>
      <c r="AE1936" t="str">
        <f>IF(AA1936="","",'Procyclean 210'!B438)</f>
        <v/>
      </c>
      <c r="AF1936">
        <f t="shared" si="197"/>
        <v>0</v>
      </c>
      <c r="AG1936" t="str">
        <f t="shared" si="198"/>
        <v/>
      </c>
      <c r="AH1936" t="str">
        <f t="shared" si="199"/>
        <v/>
      </c>
      <c r="AI1936">
        <f t="shared" si="200"/>
        <v>0</v>
      </c>
      <c r="AJ1936">
        <f t="shared" si="201"/>
        <v>0</v>
      </c>
      <c r="AK1936">
        <v>0</v>
      </c>
      <c r="AL1936" t="str">
        <f>IF(AA1936="","",IFERROR(IF(ISNUMBER('Procyclean 210'!F438),'Procyclean 210'!F438,IF(ISNUMBER(SEARCH("12",'Procyclean 210'!F438)),EDATE(AB1936,12),IF(ISNUMBER(SEARCH("6",'Procyclean 210'!F438)),EDATE(AB1936,6),IF(ISNUMBER(SEARCH("3",'Procyclean 210'!F438)),EDATE(AB1936,3),DATEVALUE('Procyclean 210'!F438))))),""))</f>
        <v/>
      </c>
      <c r="AM1936" t="str">
        <f t="shared" ca="1" si="202"/>
        <v/>
      </c>
    </row>
    <row r="1937" spans="27:39" x14ac:dyDescent="0.3">
      <c r="AA1937" t="str">
        <f>IF(COUNTA('Procyclean 210'!C439,'Procyclean 210'!D439,'Procyclean 210'!E439)&gt;0,"210","")</f>
        <v/>
      </c>
      <c r="AB1937" t="str">
        <f>IFERROR(IF(ISNUMBER('Procyclean 210'!C439),'Procyclean 210'!C439,DATEVALUE('Procyclean 210'!C439)),"")</f>
        <v/>
      </c>
      <c r="AC1937" t="str">
        <f>IF(AA1937="","",'Procyclean 210'!D439)</f>
        <v/>
      </c>
      <c r="AD1937" t="str">
        <f>IF(AA1937="","",IFERROR(1*'Procyclean 210'!E439,IFERROR(_xludf.NUMBERVALUE('Procyclean 210'!E439,".",","),IFERROR(_xludf.NUMBERVALUE('Procyclean 210'!E439,",","."),0))))</f>
        <v/>
      </c>
      <c r="AE1937" t="str">
        <f>IF(AA1937="","",'Procyclean 210'!B439)</f>
        <v/>
      </c>
      <c r="AF1937">
        <f t="shared" si="197"/>
        <v>0</v>
      </c>
      <c r="AG1937" t="str">
        <f t="shared" si="198"/>
        <v/>
      </c>
      <c r="AH1937" t="str">
        <f t="shared" si="199"/>
        <v/>
      </c>
      <c r="AI1937">
        <f t="shared" si="200"/>
        <v>0</v>
      </c>
      <c r="AJ1937">
        <f t="shared" si="201"/>
        <v>0</v>
      </c>
      <c r="AK1937">
        <v>0</v>
      </c>
      <c r="AL1937" t="str">
        <f>IF(AA1937="","",IFERROR(IF(ISNUMBER('Procyclean 210'!F439),'Procyclean 210'!F439,IF(ISNUMBER(SEARCH("12",'Procyclean 210'!F439)),EDATE(AB1937,12),IF(ISNUMBER(SEARCH("6",'Procyclean 210'!F439)),EDATE(AB1937,6),IF(ISNUMBER(SEARCH("3",'Procyclean 210'!F439)),EDATE(AB1937,3),DATEVALUE('Procyclean 210'!F439))))),""))</f>
        <v/>
      </c>
      <c r="AM1937" t="str">
        <f t="shared" ca="1" si="202"/>
        <v/>
      </c>
    </row>
    <row r="1938" spans="27:39" x14ac:dyDescent="0.3">
      <c r="AA1938" t="str">
        <f>IF(COUNTA('Procyclean 210'!C440,'Procyclean 210'!D440,'Procyclean 210'!E440)&gt;0,"210","")</f>
        <v/>
      </c>
      <c r="AB1938" t="str">
        <f>IFERROR(IF(ISNUMBER('Procyclean 210'!C440),'Procyclean 210'!C440,DATEVALUE('Procyclean 210'!C440)),"")</f>
        <v/>
      </c>
      <c r="AC1938" t="str">
        <f>IF(AA1938="","",'Procyclean 210'!D440)</f>
        <v/>
      </c>
      <c r="AD1938" t="str">
        <f>IF(AA1938="","",IFERROR(1*'Procyclean 210'!E440,IFERROR(_xludf.NUMBERVALUE('Procyclean 210'!E440,".",","),IFERROR(_xludf.NUMBERVALUE('Procyclean 210'!E440,",","."),0))))</f>
        <v/>
      </c>
      <c r="AE1938" t="str">
        <f>IF(AA1938="","",'Procyclean 210'!B440)</f>
        <v/>
      </c>
      <c r="AF1938">
        <f t="shared" si="197"/>
        <v>0</v>
      </c>
      <c r="AG1938" t="str">
        <f t="shared" si="198"/>
        <v/>
      </c>
      <c r="AH1938" t="str">
        <f t="shared" si="199"/>
        <v/>
      </c>
      <c r="AI1938">
        <f t="shared" si="200"/>
        <v>0</v>
      </c>
      <c r="AJ1938">
        <f t="shared" si="201"/>
        <v>0</v>
      </c>
      <c r="AK1938">
        <v>0</v>
      </c>
      <c r="AL1938" t="str">
        <f>IF(AA1938="","",IFERROR(IF(ISNUMBER('Procyclean 210'!F440),'Procyclean 210'!F440,IF(ISNUMBER(SEARCH("12",'Procyclean 210'!F440)),EDATE(AB1938,12),IF(ISNUMBER(SEARCH("6",'Procyclean 210'!F440)),EDATE(AB1938,6),IF(ISNUMBER(SEARCH("3",'Procyclean 210'!F440)),EDATE(AB1938,3),DATEVALUE('Procyclean 210'!F440))))),""))</f>
        <v/>
      </c>
      <c r="AM1938" t="str">
        <f t="shared" ca="1" si="202"/>
        <v/>
      </c>
    </row>
    <row r="1939" spans="27:39" x14ac:dyDescent="0.3">
      <c r="AA1939" t="str">
        <f>IF(COUNTA('Procyclean 210'!C441,'Procyclean 210'!D441,'Procyclean 210'!E441)&gt;0,"210","")</f>
        <v/>
      </c>
      <c r="AB1939" t="str">
        <f>IFERROR(IF(ISNUMBER('Procyclean 210'!C441),'Procyclean 210'!C441,DATEVALUE('Procyclean 210'!C441)),"")</f>
        <v/>
      </c>
      <c r="AC1939" t="str">
        <f>IF(AA1939="","",'Procyclean 210'!D441)</f>
        <v/>
      </c>
      <c r="AD1939" t="str">
        <f>IF(AA1939="","",IFERROR(1*'Procyclean 210'!E441,IFERROR(_xludf.NUMBERVALUE('Procyclean 210'!E441,".",","),IFERROR(_xludf.NUMBERVALUE('Procyclean 210'!E441,",","."),0))))</f>
        <v/>
      </c>
      <c r="AE1939" t="str">
        <f>IF(AA1939="","",'Procyclean 210'!B441)</f>
        <v/>
      </c>
      <c r="AF1939">
        <f t="shared" si="197"/>
        <v>0</v>
      </c>
      <c r="AG1939" t="str">
        <f t="shared" si="198"/>
        <v/>
      </c>
      <c r="AH1939" t="str">
        <f t="shared" si="199"/>
        <v/>
      </c>
      <c r="AI1939">
        <f t="shared" si="200"/>
        <v>0</v>
      </c>
      <c r="AJ1939">
        <f t="shared" si="201"/>
        <v>0</v>
      </c>
      <c r="AK1939">
        <v>0</v>
      </c>
      <c r="AL1939" t="str">
        <f>IF(AA1939="","",IFERROR(IF(ISNUMBER('Procyclean 210'!F441),'Procyclean 210'!F441,IF(ISNUMBER(SEARCH("12",'Procyclean 210'!F441)),EDATE(AB1939,12),IF(ISNUMBER(SEARCH("6",'Procyclean 210'!F441)),EDATE(AB1939,6),IF(ISNUMBER(SEARCH("3",'Procyclean 210'!F441)),EDATE(AB1939,3),DATEVALUE('Procyclean 210'!F441))))),""))</f>
        <v/>
      </c>
      <c r="AM1939" t="str">
        <f t="shared" ca="1" si="202"/>
        <v/>
      </c>
    </row>
    <row r="1940" spans="27:39" x14ac:dyDescent="0.3">
      <c r="AA1940" t="str">
        <f>IF(COUNTA('Procyclean 210'!C442,'Procyclean 210'!D442,'Procyclean 210'!E442)&gt;0,"210","")</f>
        <v/>
      </c>
      <c r="AB1940" t="str">
        <f>IFERROR(IF(ISNUMBER('Procyclean 210'!C442),'Procyclean 210'!C442,DATEVALUE('Procyclean 210'!C442)),"")</f>
        <v/>
      </c>
      <c r="AC1940" t="str">
        <f>IF(AA1940="","",'Procyclean 210'!D442)</f>
        <v/>
      </c>
      <c r="AD1940" t="str">
        <f>IF(AA1940="","",IFERROR(1*'Procyclean 210'!E442,IFERROR(_xludf.NUMBERVALUE('Procyclean 210'!E442,".",","),IFERROR(_xludf.NUMBERVALUE('Procyclean 210'!E442,",","."),0))))</f>
        <v/>
      </c>
      <c r="AE1940" t="str">
        <f>IF(AA1940="","",'Procyclean 210'!B442)</f>
        <v/>
      </c>
      <c r="AF1940">
        <f t="shared" si="197"/>
        <v>0</v>
      </c>
      <c r="AG1940" t="str">
        <f t="shared" si="198"/>
        <v/>
      </c>
      <c r="AH1940" t="str">
        <f t="shared" si="199"/>
        <v/>
      </c>
      <c r="AI1940">
        <f t="shared" si="200"/>
        <v>0</v>
      </c>
      <c r="AJ1940">
        <f t="shared" si="201"/>
        <v>0</v>
      </c>
      <c r="AK1940">
        <v>0</v>
      </c>
      <c r="AL1940" t="str">
        <f>IF(AA1940="","",IFERROR(IF(ISNUMBER('Procyclean 210'!F442),'Procyclean 210'!F442,IF(ISNUMBER(SEARCH("12",'Procyclean 210'!F442)),EDATE(AB1940,12),IF(ISNUMBER(SEARCH("6",'Procyclean 210'!F442)),EDATE(AB1940,6),IF(ISNUMBER(SEARCH("3",'Procyclean 210'!F442)),EDATE(AB1940,3),DATEVALUE('Procyclean 210'!F442))))),""))</f>
        <v/>
      </c>
      <c r="AM1940" t="str">
        <f t="shared" ca="1" si="202"/>
        <v/>
      </c>
    </row>
    <row r="1941" spans="27:39" x14ac:dyDescent="0.3">
      <c r="AA1941" t="str">
        <f>IF(COUNTA('Procyclean 210'!C443,'Procyclean 210'!D443,'Procyclean 210'!E443)&gt;0,"210","")</f>
        <v/>
      </c>
      <c r="AB1941" t="str">
        <f>IFERROR(IF(ISNUMBER('Procyclean 210'!C443),'Procyclean 210'!C443,DATEVALUE('Procyclean 210'!C443)),"")</f>
        <v/>
      </c>
      <c r="AC1941" t="str">
        <f>IF(AA1941="","",'Procyclean 210'!D443)</f>
        <v/>
      </c>
      <c r="AD1941" t="str">
        <f>IF(AA1941="","",IFERROR(1*'Procyclean 210'!E443,IFERROR(_xludf.NUMBERVALUE('Procyclean 210'!E443,".",","),IFERROR(_xludf.NUMBERVALUE('Procyclean 210'!E443,",","."),0))))</f>
        <v/>
      </c>
      <c r="AE1941" t="str">
        <f>IF(AA1941="","",'Procyclean 210'!B443)</f>
        <v/>
      </c>
      <c r="AF1941">
        <f t="shared" si="197"/>
        <v>0</v>
      </c>
      <c r="AG1941" t="str">
        <f t="shared" si="198"/>
        <v/>
      </c>
      <c r="AH1941" t="str">
        <f t="shared" si="199"/>
        <v/>
      </c>
      <c r="AI1941">
        <f t="shared" si="200"/>
        <v>0</v>
      </c>
      <c r="AJ1941">
        <f t="shared" si="201"/>
        <v>0</v>
      </c>
      <c r="AK1941">
        <v>0</v>
      </c>
      <c r="AL1941" t="str">
        <f>IF(AA1941="","",IFERROR(IF(ISNUMBER('Procyclean 210'!F443),'Procyclean 210'!F443,IF(ISNUMBER(SEARCH("12",'Procyclean 210'!F443)),EDATE(AB1941,12),IF(ISNUMBER(SEARCH("6",'Procyclean 210'!F443)),EDATE(AB1941,6),IF(ISNUMBER(SEARCH("3",'Procyclean 210'!F443)),EDATE(AB1941,3),DATEVALUE('Procyclean 210'!F443))))),""))</f>
        <v/>
      </c>
      <c r="AM1941" t="str">
        <f t="shared" ca="1" si="202"/>
        <v/>
      </c>
    </row>
    <row r="1942" spans="27:39" x14ac:dyDescent="0.3">
      <c r="AA1942" t="str">
        <f>IF(COUNTA('Procyclean 210'!C444,'Procyclean 210'!D444,'Procyclean 210'!E444)&gt;0,"210","")</f>
        <v/>
      </c>
      <c r="AB1942" t="str">
        <f>IFERROR(IF(ISNUMBER('Procyclean 210'!C444),'Procyclean 210'!C444,DATEVALUE('Procyclean 210'!C444)),"")</f>
        <v/>
      </c>
      <c r="AC1942" t="str">
        <f>IF(AA1942="","",'Procyclean 210'!D444)</f>
        <v/>
      </c>
      <c r="AD1942" t="str">
        <f>IF(AA1942="","",IFERROR(1*'Procyclean 210'!E444,IFERROR(_xludf.NUMBERVALUE('Procyclean 210'!E444,".",","),IFERROR(_xludf.NUMBERVALUE('Procyclean 210'!E444,",","."),0))))</f>
        <v/>
      </c>
      <c r="AE1942" t="str">
        <f>IF(AA1942="","",'Procyclean 210'!B444)</f>
        <v/>
      </c>
      <c r="AF1942">
        <f t="shared" si="197"/>
        <v>0</v>
      </c>
      <c r="AG1942" t="str">
        <f t="shared" si="198"/>
        <v/>
      </c>
      <c r="AH1942" t="str">
        <f t="shared" si="199"/>
        <v/>
      </c>
      <c r="AI1942">
        <f t="shared" si="200"/>
        <v>0</v>
      </c>
      <c r="AJ1942">
        <f t="shared" si="201"/>
        <v>0</v>
      </c>
      <c r="AK1942">
        <v>0</v>
      </c>
      <c r="AL1942" t="str">
        <f>IF(AA1942="","",IFERROR(IF(ISNUMBER('Procyclean 210'!F444),'Procyclean 210'!F444,IF(ISNUMBER(SEARCH("12",'Procyclean 210'!F444)),EDATE(AB1942,12),IF(ISNUMBER(SEARCH("6",'Procyclean 210'!F444)),EDATE(AB1942,6),IF(ISNUMBER(SEARCH("3",'Procyclean 210'!F444)),EDATE(AB1942,3),DATEVALUE('Procyclean 210'!F444))))),""))</f>
        <v/>
      </c>
      <c r="AM1942" t="str">
        <f t="shared" ca="1" si="202"/>
        <v/>
      </c>
    </row>
    <row r="1943" spans="27:39" x14ac:dyDescent="0.3">
      <c r="AA1943" t="str">
        <f>IF(COUNTA('Procyclean 210'!C445,'Procyclean 210'!D445,'Procyclean 210'!E445)&gt;0,"210","")</f>
        <v/>
      </c>
      <c r="AB1943" t="str">
        <f>IFERROR(IF(ISNUMBER('Procyclean 210'!C445),'Procyclean 210'!C445,DATEVALUE('Procyclean 210'!C445)),"")</f>
        <v/>
      </c>
      <c r="AC1943" t="str">
        <f>IF(AA1943="","",'Procyclean 210'!D445)</f>
        <v/>
      </c>
      <c r="AD1943" t="str">
        <f>IF(AA1943="","",IFERROR(1*'Procyclean 210'!E445,IFERROR(_xludf.NUMBERVALUE('Procyclean 210'!E445,".",","),IFERROR(_xludf.NUMBERVALUE('Procyclean 210'!E445,",","."),0))))</f>
        <v/>
      </c>
      <c r="AE1943" t="str">
        <f>IF(AA1943="","",'Procyclean 210'!B445)</f>
        <v/>
      </c>
      <c r="AF1943">
        <f t="shared" si="197"/>
        <v>0</v>
      </c>
      <c r="AG1943" t="str">
        <f t="shared" si="198"/>
        <v/>
      </c>
      <c r="AH1943" t="str">
        <f t="shared" si="199"/>
        <v/>
      </c>
      <c r="AI1943">
        <f t="shared" si="200"/>
        <v>0</v>
      </c>
      <c r="AJ1943">
        <f t="shared" si="201"/>
        <v>0</v>
      </c>
      <c r="AK1943">
        <v>0</v>
      </c>
      <c r="AL1943" t="str">
        <f>IF(AA1943="","",IFERROR(IF(ISNUMBER('Procyclean 210'!F445),'Procyclean 210'!F445,IF(ISNUMBER(SEARCH("12",'Procyclean 210'!F445)),EDATE(AB1943,12),IF(ISNUMBER(SEARCH("6",'Procyclean 210'!F445)),EDATE(AB1943,6),IF(ISNUMBER(SEARCH("3",'Procyclean 210'!F445)),EDATE(AB1943,3),DATEVALUE('Procyclean 210'!F445))))),""))</f>
        <v/>
      </c>
      <c r="AM1943" t="str">
        <f t="shared" ca="1" si="202"/>
        <v/>
      </c>
    </row>
    <row r="1944" spans="27:39" x14ac:dyDescent="0.3">
      <c r="AA1944" t="str">
        <f>IF(COUNTA('Procyclean 210'!C446,'Procyclean 210'!D446,'Procyclean 210'!E446)&gt;0,"210","")</f>
        <v/>
      </c>
      <c r="AB1944" t="str">
        <f>IFERROR(IF(ISNUMBER('Procyclean 210'!C446),'Procyclean 210'!C446,DATEVALUE('Procyclean 210'!C446)),"")</f>
        <v/>
      </c>
      <c r="AC1944" t="str">
        <f>IF(AA1944="","",'Procyclean 210'!D446)</f>
        <v/>
      </c>
      <c r="AD1944" t="str">
        <f>IF(AA1944="","",IFERROR(1*'Procyclean 210'!E446,IFERROR(_xludf.NUMBERVALUE('Procyclean 210'!E446,".",","),IFERROR(_xludf.NUMBERVALUE('Procyclean 210'!E446,",","."),0))))</f>
        <v/>
      </c>
      <c r="AE1944" t="str">
        <f>IF(AA1944="","",'Procyclean 210'!B446)</f>
        <v/>
      </c>
      <c r="AF1944">
        <f t="shared" si="197"/>
        <v>0</v>
      </c>
      <c r="AG1944" t="str">
        <f t="shared" si="198"/>
        <v/>
      </c>
      <c r="AH1944" t="str">
        <f t="shared" si="199"/>
        <v/>
      </c>
      <c r="AI1944">
        <f t="shared" si="200"/>
        <v>0</v>
      </c>
      <c r="AJ1944">
        <f t="shared" si="201"/>
        <v>0</v>
      </c>
      <c r="AK1944">
        <v>0</v>
      </c>
      <c r="AL1944" t="str">
        <f>IF(AA1944="","",IFERROR(IF(ISNUMBER('Procyclean 210'!F446),'Procyclean 210'!F446,IF(ISNUMBER(SEARCH("12",'Procyclean 210'!F446)),EDATE(AB1944,12),IF(ISNUMBER(SEARCH("6",'Procyclean 210'!F446)),EDATE(AB1944,6),IF(ISNUMBER(SEARCH("3",'Procyclean 210'!F446)),EDATE(AB1944,3),DATEVALUE('Procyclean 210'!F446))))),""))</f>
        <v/>
      </c>
      <c r="AM1944" t="str">
        <f t="shared" ca="1" si="202"/>
        <v/>
      </c>
    </row>
    <row r="1945" spans="27:39" x14ac:dyDescent="0.3">
      <c r="AA1945" t="str">
        <f>IF(COUNTA('Procyclean 210'!C447,'Procyclean 210'!D447,'Procyclean 210'!E447)&gt;0,"210","")</f>
        <v/>
      </c>
      <c r="AB1945" t="str">
        <f>IFERROR(IF(ISNUMBER('Procyclean 210'!C447),'Procyclean 210'!C447,DATEVALUE('Procyclean 210'!C447)),"")</f>
        <v/>
      </c>
      <c r="AC1945" t="str">
        <f>IF(AA1945="","",'Procyclean 210'!D447)</f>
        <v/>
      </c>
      <c r="AD1945" t="str">
        <f>IF(AA1945="","",IFERROR(1*'Procyclean 210'!E447,IFERROR(_xludf.NUMBERVALUE('Procyclean 210'!E447,".",","),IFERROR(_xludf.NUMBERVALUE('Procyclean 210'!E447,",","."),0))))</f>
        <v/>
      </c>
      <c r="AE1945" t="str">
        <f>IF(AA1945="","",'Procyclean 210'!B447)</f>
        <v/>
      </c>
      <c r="AF1945">
        <f t="shared" si="197"/>
        <v>0</v>
      </c>
      <c r="AG1945" t="str">
        <f t="shared" si="198"/>
        <v/>
      </c>
      <c r="AH1945" t="str">
        <f t="shared" si="199"/>
        <v/>
      </c>
      <c r="AI1945">
        <f t="shared" si="200"/>
        <v>0</v>
      </c>
      <c r="AJ1945">
        <f t="shared" si="201"/>
        <v>0</v>
      </c>
      <c r="AK1945">
        <v>0</v>
      </c>
      <c r="AL1945" t="str">
        <f>IF(AA1945="","",IFERROR(IF(ISNUMBER('Procyclean 210'!F447),'Procyclean 210'!F447,IF(ISNUMBER(SEARCH("12",'Procyclean 210'!F447)),EDATE(AB1945,12),IF(ISNUMBER(SEARCH("6",'Procyclean 210'!F447)),EDATE(AB1945,6),IF(ISNUMBER(SEARCH("3",'Procyclean 210'!F447)),EDATE(AB1945,3),DATEVALUE('Procyclean 210'!F447))))),""))</f>
        <v/>
      </c>
      <c r="AM1945" t="str">
        <f t="shared" ca="1" si="202"/>
        <v/>
      </c>
    </row>
    <row r="1946" spans="27:39" x14ac:dyDescent="0.3">
      <c r="AA1946" t="str">
        <f>IF(COUNTA('Procyclean 210'!C448,'Procyclean 210'!D448,'Procyclean 210'!E448)&gt;0,"210","")</f>
        <v/>
      </c>
      <c r="AB1946" t="str">
        <f>IFERROR(IF(ISNUMBER('Procyclean 210'!C448),'Procyclean 210'!C448,DATEVALUE('Procyclean 210'!C448)),"")</f>
        <v/>
      </c>
      <c r="AC1946" t="str">
        <f>IF(AA1946="","",'Procyclean 210'!D448)</f>
        <v/>
      </c>
      <c r="AD1946" t="str">
        <f>IF(AA1946="","",IFERROR(1*'Procyclean 210'!E448,IFERROR(_xludf.NUMBERVALUE('Procyclean 210'!E448,".",","),IFERROR(_xludf.NUMBERVALUE('Procyclean 210'!E448,",","."),0))))</f>
        <v/>
      </c>
      <c r="AE1946" t="str">
        <f>IF(AA1946="","",'Procyclean 210'!B448)</f>
        <v/>
      </c>
      <c r="AF1946">
        <f t="shared" si="197"/>
        <v>0</v>
      </c>
      <c r="AG1946" t="str">
        <f t="shared" si="198"/>
        <v/>
      </c>
      <c r="AH1946" t="str">
        <f t="shared" si="199"/>
        <v/>
      </c>
      <c r="AI1946">
        <f t="shared" si="200"/>
        <v>0</v>
      </c>
      <c r="AJ1946">
        <f t="shared" si="201"/>
        <v>0</v>
      </c>
      <c r="AK1946">
        <v>0</v>
      </c>
      <c r="AL1946" t="str">
        <f>IF(AA1946="","",IFERROR(IF(ISNUMBER('Procyclean 210'!F448),'Procyclean 210'!F448,IF(ISNUMBER(SEARCH("12",'Procyclean 210'!F448)),EDATE(AB1946,12),IF(ISNUMBER(SEARCH("6",'Procyclean 210'!F448)),EDATE(AB1946,6),IF(ISNUMBER(SEARCH("3",'Procyclean 210'!F448)),EDATE(AB1946,3),DATEVALUE('Procyclean 210'!F448))))),""))</f>
        <v/>
      </c>
      <c r="AM1946" t="str">
        <f t="shared" ca="1" si="202"/>
        <v/>
      </c>
    </row>
    <row r="1947" spans="27:39" x14ac:dyDescent="0.3">
      <c r="AA1947" t="str">
        <f>IF(COUNTA('Procyclean 210'!C449,'Procyclean 210'!D449,'Procyclean 210'!E449)&gt;0,"210","")</f>
        <v/>
      </c>
      <c r="AB1947" t="str">
        <f>IFERROR(IF(ISNUMBER('Procyclean 210'!C449),'Procyclean 210'!C449,DATEVALUE('Procyclean 210'!C449)),"")</f>
        <v/>
      </c>
      <c r="AC1947" t="str">
        <f>IF(AA1947="","",'Procyclean 210'!D449)</f>
        <v/>
      </c>
      <c r="AD1947" t="str">
        <f>IF(AA1947="","",IFERROR(1*'Procyclean 210'!E449,IFERROR(_xludf.NUMBERVALUE('Procyclean 210'!E449,".",","),IFERROR(_xludf.NUMBERVALUE('Procyclean 210'!E449,",","."),0))))</f>
        <v/>
      </c>
      <c r="AE1947" t="str">
        <f>IF(AA1947="","",'Procyclean 210'!B449)</f>
        <v/>
      </c>
      <c r="AF1947">
        <f t="shared" si="197"/>
        <v>0</v>
      </c>
      <c r="AG1947" t="str">
        <f t="shared" si="198"/>
        <v/>
      </c>
      <c r="AH1947" t="str">
        <f t="shared" si="199"/>
        <v/>
      </c>
      <c r="AI1947">
        <f t="shared" si="200"/>
        <v>0</v>
      </c>
      <c r="AJ1947">
        <f t="shared" si="201"/>
        <v>0</v>
      </c>
      <c r="AK1947">
        <v>0</v>
      </c>
      <c r="AL1947" t="str">
        <f>IF(AA1947="","",IFERROR(IF(ISNUMBER('Procyclean 210'!F449),'Procyclean 210'!F449,IF(ISNUMBER(SEARCH("12",'Procyclean 210'!F449)),EDATE(AB1947,12),IF(ISNUMBER(SEARCH("6",'Procyclean 210'!F449)),EDATE(AB1947,6),IF(ISNUMBER(SEARCH("3",'Procyclean 210'!F449)),EDATE(AB1947,3),DATEVALUE('Procyclean 210'!F449))))),""))</f>
        <v/>
      </c>
      <c r="AM1947" t="str">
        <f t="shared" ca="1" si="202"/>
        <v/>
      </c>
    </row>
    <row r="1948" spans="27:39" x14ac:dyDescent="0.3">
      <c r="AA1948" t="str">
        <f>IF(COUNTA('Procyclean 210'!C450,'Procyclean 210'!D450,'Procyclean 210'!E450)&gt;0,"210","")</f>
        <v/>
      </c>
      <c r="AB1948" t="str">
        <f>IFERROR(IF(ISNUMBER('Procyclean 210'!C450),'Procyclean 210'!C450,DATEVALUE('Procyclean 210'!C450)),"")</f>
        <v/>
      </c>
      <c r="AC1948" t="str">
        <f>IF(AA1948="","",'Procyclean 210'!D450)</f>
        <v/>
      </c>
      <c r="AD1948" t="str">
        <f>IF(AA1948="","",IFERROR(1*'Procyclean 210'!E450,IFERROR(_xludf.NUMBERVALUE('Procyclean 210'!E450,".",","),IFERROR(_xludf.NUMBERVALUE('Procyclean 210'!E450,",","."),0))))</f>
        <v/>
      </c>
      <c r="AE1948" t="str">
        <f>IF(AA1948="","",'Procyclean 210'!B450)</f>
        <v/>
      </c>
      <c r="AF1948">
        <f t="shared" si="197"/>
        <v>0</v>
      </c>
      <c r="AG1948" t="str">
        <f t="shared" si="198"/>
        <v/>
      </c>
      <c r="AH1948" t="str">
        <f t="shared" si="199"/>
        <v/>
      </c>
      <c r="AI1948">
        <f t="shared" si="200"/>
        <v>0</v>
      </c>
      <c r="AJ1948">
        <f t="shared" si="201"/>
        <v>0</v>
      </c>
      <c r="AK1948">
        <v>0</v>
      </c>
      <c r="AL1948" t="str">
        <f>IF(AA1948="","",IFERROR(IF(ISNUMBER('Procyclean 210'!F450),'Procyclean 210'!F450,IF(ISNUMBER(SEARCH("12",'Procyclean 210'!F450)),EDATE(AB1948,12),IF(ISNUMBER(SEARCH("6",'Procyclean 210'!F450)),EDATE(AB1948,6),IF(ISNUMBER(SEARCH("3",'Procyclean 210'!F450)),EDATE(AB1948,3),DATEVALUE('Procyclean 210'!F450))))),""))</f>
        <v/>
      </c>
      <c r="AM1948" t="str">
        <f t="shared" ca="1" si="202"/>
        <v/>
      </c>
    </row>
    <row r="1949" spans="27:39" x14ac:dyDescent="0.3">
      <c r="AA1949" t="str">
        <f>IF(COUNTA('Procyclean 210'!C451,'Procyclean 210'!D451,'Procyclean 210'!E451)&gt;0,"210","")</f>
        <v/>
      </c>
      <c r="AB1949" t="str">
        <f>IFERROR(IF(ISNUMBER('Procyclean 210'!C451),'Procyclean 210'!C451,DATEVALUE('Procyclean 210'!C451)),"")</f>
        <v/>
      </c>
      <c r="AC1949" t="str">
        <f>IF(AA1949="","",'Procyclean 210'!D451)</f>
        <v/>
      </c>
      <c r="AD1949" t="str">
        <f>IF(AA1949="","",IFERROR(1*'Procyclean 210'!E451,IFERROR(_xludf.NUMBERVALUE('Procyclean 210'!E451,".",","),IFERROR(_xludf.NUMBERVALUE('Procyclean 210'!E451,",","."),0))))</f>
        <v/>
      </c>
      <c r="AE1949" t="str">
        <f>IF(AA1949="","",'Procyclean 210'!B451)</f>
        <v/>
      </c>
      <c r="AF1949">
        <f t="shared" si="197"/>
        <v>0</v>
      </c>
      <c r="AG1949" t="str">
        <f t="shared" si="198"/>
        <v/>
      </c>
      <c r="AH1949" t="str">
        <f t="shared" si="199"/>
        <v/>
      </c>
      <c r="AI1949">
        <f t="shared" si="200"/>
        <v>0</v>
      </c>
      <c r="AJ1949">
        <f t="shared" si="201"/>
        <v>0</v>
      </c>
      <c r="AK1949">
        <v>0</v>
      </c>
      <c r="AL1949" t="str">
        <f>IF(AA1949="","",IFERROR(IF(ISNUMBER('Procyclean 210'!F451),'Procyclean 210'!F451,IF(ISNUMBER(SEARCH("12",'Procyclean 210'!F451)),EDATE(AB1949,12),IF(ISNUMBER(SEARCH("6",'Procyclean 210'!F451)),EDATE(AB1949,6),IF(ISNUMBER(SEARCH("3",'Procyclean 210'!F451)),EDATE(AB1949,3),DATEVALUE('Procyclean 210'!F451))))),""))</f>
        <v/>
      </c>
      <c r="AM1949" t="str">
        <f t="shared" ca="1" si="202"/>
        <v/>
      </c>
    </row>
    <row r="1950" spans="27:39" x14ac:dyDescent="0.3">
      <c r="AA1950" t="str">
        <f>IF(COUNTA('Procyclean 210'!C452,'Procyclean 210'!D452,'Procyclean 210'!E452)&gt;0,"210","")</f>
        <v/>
      </c>
      <c r="AB1950" t="str">
        <f>IFERROR(IF(ISNUMBER('Procyclean 210'!C452),'Procyclean 210'!C452,DATEVALUE('Procyclean 210'!C452)),"")</f>
        <v/>
      </c>
      <c r="AC1950" t="str">
        <f>IF(AA1950="","",'Procyclean 210'!D452)</f>
        <v/>
      </c>
      <c r="AD1950" t="str">
        <f>IF(AA1950="","",IFERROR(1*'Procyclean 210'!E452,IFERROR(_xludf.NUMBERVALUE('Procyclean 210'!E452,".",","),IFERROR(_xludf.NUMBERVALUE('Procyclean 210'!E452,",","."),0))))</f>
        <v/>
      </c>
      <c r="AE1950" t="str">
        <f>IF(AA1950="","",'Procyclean 210'!B452)</f>
        <v/>
      </c>
      <c r="AF1950">
        <f t="shared" si="197"/>
        <v>0</v>
      </c>
      <c r="AG1950" t="str">
        <f t="shared" si="198"/>
        <v/>
      </c>
      <c r="AH1950" t="str">
        <f t="shared" si="199"/>
        <v/>
      </c>
      <c r="AI1950">
        <f t="shared" si="200"/>
        <v>0</v>
      </c>
      <c r="AJ1950">
        <f t="shared" si="201"/>
        <v>0</v>
      </c>
      <c r="AK1950">
        <v>0</v>
      </c>
      <c r="AL1950" t="str">
        <f>IF(AA1950="","",IFERROR(IF(ISNUMBER('Procyclean 210'!F452),'Procyclean 210'!F452,IF(ISNUMBER(SEARCH("12",'Procyclean 210'!F452)),EDATE(AB1950,12),IF(ISNUMBER(SEARCH("6",'Procyclean 210'!F452)),EDATE(AB1950,6),IF(ISNUMBER(SEARCH("3",'Procyclean 210'!F452)),EDATE(AB1950,3),DATEVALUE('Procyclean 210'!F452))))),""))</f>
        <v/>
      </c>
      <c r="AM1950" t="str">
        <f t="shared" ca="1" si="202"/>
        <v/>
      </c>
    </row>
    <row r="1951" spans="27:39" x14ac:dyDescent="0.3">
      <c r="AA1951" t="str">
        <f>IF(COUNTA('Procyclean 210'!C453,'Procyclean 210'!D453,'Procyclean 210'!E453)&gt;0,"210","")</f>
        <v/>
      </c>
      <c r="AB1951" t="str">
        <f>IFERROR(IF(ISNUMBER('Procyclean 210'!C453),'Procyclean 210'!C453,DATEVALUE('Procyclean 210'!C453)),"")</f>
        <v/>
      </c>
      <c r="AC1951" t="str">
        <f>IF(AA1951="","",'Procyclean 210'!D453)</f>
        <v/>
      </c>
      <c r="AD1951" t="str">
        <f>IF(AA1951="","",IFERROR(1*'Procyclean 210'!E453,IFERROR(_xludf.NUMBERVALUE('Procyclean 210'!E453,".",","),IFERROR(_xludf.NUMBERVALUE('Procyclean 210'!E453,",","."),0))))</f>
        <v/>
      </c>
      <c r="AE1951" t="str">
        <f>IF(AA1951="","",'Procyclean 210'!B453)</f>
        <v/>
      </c>
      <c r="AF1951">
        <f t="shared" si="197"/>
        <v>0</v>
      </c>
      <c r="AG1951" t="str">
        <f t="shared" si="198"/>
        <v/>
      </c>
      <c r="AH1951" t="str">
        <f t="shared" si="199"/>
        <v/>
      </c>
      <c r="AI1951">
        <f t="shared" si="200"/>
        <v>0</v>
      </c>
      <c r="AJ1951">
        <f t="shared" si="201"/>
        <v>0</v>
      </c>
      <c r="AK1951">
        <v>0</v>
      </c>
      <c r="AL1951" t="str">
        <f>IF(AA1951="","",IFERROR(IF(ISNUMBER('Procyclean 210'!F453),'Procyclean 210'!F453,IF(ISNUMBER(SEARCH("12",'Procyclean 210'!F453)),EDATE(AB1951,12),IF(ISNUMBER(SEARCH("6",'Procyclean 210'!F453)),EDATE(AB1951,6),IF(ISNUMBER(SEARCH("3",'Procyclean 210'!F453)),EDATE(AB1951,3),DATEVALUE('Procyclean 210'!F453))))),""))</f>
        <v/>
      </c>
      <c r="AM1951" t="str">
        <f t="shared" ca="1" si="202"/>
        <v/>
      </c>
    </row>
    <row r="1952" spans="27:39" x14ac:dyDescent="0.3">
      <c r="AA1952" t="str">
        <f>IF(COUNTA('Procyclean 210'!C454,'Procyclean 210'!D454,'Procyclean 210'!E454)&gt;0,"210","")</f>
        <v/>
      </c>
      <c r="AB1952" t="str">
        <f>IFERROR(IF(ISNUMBER('Procyclean 210'!C454),'Procyclean 210'!C454,DATEVALUE('Procyclean 210'!C454)),"")</f>
        <v/>
      </c>
      <c r="AC1952" t="str">
        <f>IF(AA1952="","",'Procyclean 210'!D454)</f>
        <v/>
      </c>
      <c r="AD1952" t="str">
        <f>IF(AA1952="","",IFERROR(1*'Procyclean 210'!E454,IFERROR(_xludf.NUMBERVALUE('Procyclean 210'!E454,".",","),IFERROR(_xludf.NUMBERVALUE('Procyclean 210'!E454,",","."),0))))</f>
        <v/>
      </c>
      <c r="AE1952" t="str">
        <f>IF(AA1952="","",'Procyclean 210'!B454)</f>
        <v/>
      </c>
      <c r="AF1952">
        <f t="shared" si="197"/>
        <v>0</v>
      </c>
      <c r="AG1952" t="str">
        <f t="shared" si="198"/>
        <v/>
      </c>
      <c r="AH1952" t="str">
        <f t="shared" si="199"/>
        <v/>
      </c>
      <c r="AI1952">
        <f t="shared" si="200"/>
        <v>0</v>
      </c>
      <c r="AJ1952">
        <f t="shared" si="201"/>
        <v>0</v>
      </c>
      <c r="AK1952">
        <v>0</v>
      </c>
      <c r="AL1952" t="str">
        <f>IF(AA1952="","",IFERROR(IF(ISNUMBER('Procyclean 210'!F454),'Procyclean 210'!F454,IF(ISNUMBER(SEARCH("12",'Procyclean 210'!F454)),EDATE(AB1952,12),IF(ISNUMBER(SEARCH("6",'Procyclean 210'!F454)),EDATE(AB1952,6),IF(ISNUMBER(SEARCH("3",'Procyclean 210'!F454)),EDATE(AB1952,3),DATEVALUE('Procyclean 210'!F454))))),""))</f>
        <v/>
      </c>
      <c r="AM1952" t="str">
        <f t="shared" ca="1" si="202"/>
        <v/>
      </c>
    </row>
    <row r="1953" spans="27:39" x14ac:dyDescent="0.3">
      <c r="AA1953" t="str">
        <f>IF(COUNTA('Procyclean 210'!C455,'Procyclean 210'!D455,'Procyclean 210'!E455)&gt;0,"210","")</f>
        <v/>
      </c>
      <c r="AB1953" t="str">
        <f>IFERROR(IF(ISNUMBER('Procyclean 210'!C455),'Procyclean 210'!C455,DATEVALUE('Procyclean 210'!C455)),"")</f>
        <v/>
      </c>
      <c r="AC1953" t="str">
        <f>IF(AA1953="","",'Procyclean 210'!D455)</f>
        <v/>
      </c>
      <c r="AD1953" t="str">
        <f>IF(AA1953="","",IFERROR(1*'Procyclean 210'!E455,IFERROR(_xludf.NUMBERVALUE('Procyclean 210'!E455,".",","),IFERROR(_xludf.NUMBERVALUE('Procyclean 210'!E455,",","."),0))))</f>
        <v/>
      </c>
      <c r="AE1953" t="str">
        <f>IF(AA1953="","",'Procyclean 210'!B455)</f>
        <v/>
      </c>
      <c r="AF1953">
        <f t="shared" si="197"/>
        <v>0</v>
      </c>
      <c r="AG1953" t="str">
        <f t="shared" si="198"/>
        <v/>
      </c>
      <c r="AH1953" t="str">
        <f t="shared" si="199"/>
        <v/>
      </c>
      <c r="AI1953">
        <f t="shared" si="200"/>
        <v>0</v>
      </c>
      <c r="AJ1953">
        <f t="shared" si="201"/>
        <v>0</v>
      </c>
      <c r="AK1953">
        <v>0</v>
      </c>
      <c r="AL1953" t="str">
        <f>IF(AA1953="","",IFERROR(IF(ISNUMBER('Procyclean 210'!F455),'Procyclean 210'!F455,IF(ISNUMBER(SEARCH("12",'Procyclean 210'!F455)),EDATE(AB1953,12),IF(ISNUMBER(SEARCH("6",'Procyclean 210'!F455)),EDATE(AB1953,6),IF(ISNUMBER(SEARCH("3",'Procyclean 210'!F455)),EDATE(AB1953,3),DATEVALUE('Procyclean 210'!F455))))),""))</f>
        <v/>
      </c>
      <c r="AM1953" t="str">
        <f t="shared" ca="1" si="202"/>
        <v/>
      </c>
    </row>
    <row r="1954" spans="27:39" x14ac:dyDescent="0.3">
      <c r="AA1954" t="str">
        <f>IF(COUNTA('Procyclean 210'!C456,'Procyclean 210'!D456,'Procyclean 210'!E456)&gt;0,"210","")</f>
        <v/>
      </c>
      <c r="AB1954" t="str">
        <f>IFERROR(IF(ISNUMBER('Procyclean 210'!C456),'Procyclean 210'!C456,DATEVALUE('Procyclean 210'!C456)),"")</f>
        <v/>
      </c>
      <c r="AC1954" t="str">
        <f>IF(AA1954="","",'Procyclean 210'!D456)</f>
        <v/>
      </c>
      <c r="AD1954" t="str">
        <f>IF(AA1954="","",IFERROR(1*'Procyclean 210'!E456,IFERROR(_xludf.NUMBERVALUE('Procyclean 210'!E456,".",","),IFERROR(_xludf.NUMBERVALUE('Procyclean 210'!E456,",","."),0))))</f>
        <v/>
      </c>
      <c r="AE1954" t="str">
        <f>IF(AA1954="","",'Procyclean 210'!B456)</f>
        <v/>
      </c>
      <c r="AF1954">
        <f t="shared" si="197"/>
        <v>0</v>
      </c>
      <c r="AG1954" t="str">
        <f t="shared" si="198"/>
        <v/>
      </c>
      <c r="AH1954" t="str">
        <f t="shared" si="199"/>
        <v/>
      </c>
      <c r="AI1954">
        <f t="shared" si="200"/>
        <v>0</v>
      </c>
      <c r="AJ1954">
        <f t="shared" si="201"/>
        <v>0</v>
      </c>
      <c r="AK1954">
        <v>0</v>
      </c>
      <c r="AL1954" t="str">
        <f>IF(AA1954="","",IFERROR(IF(ISNUMBER('Procyclean 210'!F456),'Procyclean 210'!F456,IF(ISNUMBER(SEARCH("12",'Procyclean 210'!F456)),EDATE(AB1954,12),IF(ISNUMBER(SEARCH("6",'Procyclean 210'!F456)),EDATE(AB1954,6),IF(ISNUMBER(SEARCH("3",'Procyclean 210'!F456)),EDATE(AB1954,3),DATEVALUE('Procyclean 210'!F456))))),""))</f>
        <v/>
      </c>
      <c r="AM1954" t="str">
        <f t="shared" ca="1" si="202"/>
        <v/>
      </c>
    </row>
    <row r="1955" spans="27:39" x14ac:dyDescent="0.3">
      <c r="AA1955" t="str">
        <f>IF(COUNTA('Procyclean 210'!C457,'Procyclean 210'!D457,'Procyclean 210'!E457)&gt;0,"210","")</f>
        <v/>
      </c>
      <c r="AB1955" t="str">
        <f>IFERROR(IF(ISNUMBER('Procyclean 210'!C457),'Procyclean 210'!C457,DATEVALUE('Procyclean 210'!C457)),"")</f>
        <v/>
      </c>
      <c r="AC1955" t="str">
        <f>IF(AA1955="","",'Procyclean 210'!D457)</f>
        <v/>
      </c>
      <c r="AD1955" t="str">
        <f>IF(AA1955="","",IFERROR(1*'Procyclean 210'!E457,IFERROR(_xludf.NUMBERVALUE('Procyclean 210'!E457,".",","),IFERROR(_xludf.NUMBERVALUE('Procyclean 210'!E457,",","."),0))))</f>
        <v/>
      </c>
      <c r="AE1955" t="str">
        <f>IF(AA1955="","",'Procyclean 210'!B457)</f>
        <v/>
      </c>
      <c r="AF1955">
        <f t="shared" si="197"/>
        <v>0</v>
      </c>
      <c r="AG1955" t="str">
        <f t="shared" si="198"/>
        <v/>
      </c>
      <c r="AH1955" t="str">
        <f t="shared" si="199"/>
        <v/>
      </c>
      <c r="AI1955">
        <f t="shared" si="200"/>
        <v>0</v>
      </c>
      <c r="AJ1955">
        <f t="shared" si="201"/>
        <v>0</v>
      </c>
      <c r="AK1955">
        <v>0</v>
      </c>
      <c r="AL1955" t="str">
        <f>IF(AA1955="","",IFERROR(IF(ISNUMBER('Procyclean 210'!F457),'Procyclean 210'!F457,IF(ISNUMBER(SEARCH("12",'Procyclean 210'!F457)),EDATE(AB1955,12),IF(ISNUMBER(SEARCH("6",'Procyclean 210'!F457)),EDATE(AB1955,6),IF(ISNUMBER(SEARCH("3",'Procyclean 210'!F457)),EDATE(AB1955,3),DATEVALUE('Procyclean 210'!F457))))),""))</f>
        <v/>
      </c>
      <c r="AM1955" t="str">
        <f t="shared" ca="1" si="202"/>
        <v/>
      </c>
    </row>
    <row r="1956" spans="27:39" x14ac:dyDescent="0.3">
      <c r="AA1956" t="str">
        <f>IF(COUNTA('Procyclean 210'!C458,'Procyclean 210'!D458,'Procyclean 210'!E458)&gt;0,"210","")</f>
        <v/>
      </c>
      <c r="AB1956" t="str">
        <f>IFERROR(IF(ISNUMBER('Procyclean 210'!C458),'Procyclean 210'!C458,DATEVALUE('Procyclean 210'!C458)),"")</f>
        <v/>
      </c>
      <c r="AC1956" t="str">
        <f>IF(AA1956="","",'Procyclean 210'!D458)</f>
        <v/>
      </c>
      <c r="AD1956" t="str">
        <f>IF(AA1956="","",IFERROR(1*'Procyclean 210'!E458,IFERROR(_xludf.NUMBERVALUE('Procyclean 210'!E458,".",","),IFERROR(_xludf.NUMBERVALUE('Procyclean 210'!E458,",","."),0))))</f>
        <v/>
      </c>
      <c r="AE1956" t="str">
        <f>IF(AA1956="","",'Procyclean 210'!B458)</f>
        <v/>
      </c>
      <c r="AF1956">
        <f t="shared" si="197"/>
        <v>0</v>
      </c>
      <c r="AG1956" t="str">
        <f t="shared" si="198"/>
        <v/>
      </c>
      <c r="AH1956" t="str">
        <f t="shared" si="199"/>
        <v/>
      </c>
      <c r="AI1956">
        <f t="shared" si="200"/>
        <v>0</v>
      </c>
      <c r="AJ1956">
        <f t="shared" si="201"/>
        <v>0</v>
      </c>
      <c r="AK1956">
        <v>0</v>
      </c>
      <c r="AL1956" t="str">
        <f>IF(AA1956="","",IFERROR(IF(ISNUMBER('Procyclean 210'!F458),'Procyclean 210'!F458,IF(ISNUMBER(SEARCH("12",'Procyclean 210'!F458)),EDATE(AB1956,12),IF(ISNUMBER(SEARCH("6",'Procyclean 210'!F458)),EDATE(AB1956,6),IF(ISNUMBER(SEARCH("3",'Procyclean 210'!F458)),EDATE(AB1956,3),DATEVALUE('Procyclean 210'!F458))))),""))</f>
        <v/>
      </c>
      <c r="AM1956" t="str">
        <f t="shared" ca="1" si="202"/>
        <v/>
      </c>
    </row>
    <row r="1957" spans="27:39" x14ac:dyDescent="0.3">
      <c r="AA1957" t="str">
        <f>IF(COUNTA('Procyclean 210'!C459,'Procyclean 210'!D459,'Procyclean 210'!E459)&gt;0,"210","")</f>
        <v/>
      </c>
      <c r="AB1957" t="str">
        <f>IFERROR(IF(ISNUMBER('Procyclean 210'!C459),'Procyclean 210'!C459,DATEVALUE('Procyclean 210'!C459)),"")</f>
        <v/>
      </c>
      <c r="AC1957" t="str">
        <f>IF(AA1957="","",'Procyclean 210'!D459)</f>
        <v/>
      </c>
      <c r="AD1957" t="str">
        <f>IF(AA1957="","",IFERROR(1*'Procyclean 210'!E459,IFERROR(_xludf.NUMBERVALUE('Procyclean 210'!E459,".",","),IFERROR(_xludf.NUMBERVALUE('Procyclean 210'!E459,",","."),0))))</f>
        <v/>
      </c>
      <c r="AE1957" t="str">
        <f>IF(AA1957="","",'Procyclean 210'!B459)</f>
        <v/>
      </c>
      <c r="AF1957">
        <f t="shared" si="197"/>
        <v>0</v>
      </c>
      <c r="AG1957" t="str">
        <f t="shared" si="198"/>
        <v/>
      </c>
      <c r="AH1957" t="str">
        <f t="shared" si="199"/>
        <v/>
      </c>
      <c r="AI1957">
        <f t="shared" si="200"/>
        <v>0</v>
      </c>
      <c r="AJ1957">
        <f t="shared" si="201"/>
        <v>0</v>
      </c>
      <c r="AK1957">
        <v>0</v>
      </c>
      <c r="AL1957" t="str">
        <f>IF(AA1957="","",IFERROR(IF(ISNUMBER('Procyclean 210'!F459),'Procyclean 210'!F459,IF(ISNUMBER(SEARCH("12",'Procyclean 210'!F459)),EDATE(AB1957,12),IF(ISNUMBER(SEARCH("6",'Procyclean 210'!F459)),EDATE(AB1957,6),IF(ISNUMBER(SEARCH("3",'Procyclean 210'!F459)),EDATE(AB1957,3),DATEVALUE('Procyclean 210'!F459))))),""))</f>
        <v/>
      </c>
      <c r="AM1957" t="str">
        <f t="shared" ca="1" si="202"/>
        <v/>
      </c>
    </row>
    <row r="1958" spans="27:39" x14ac:dyDescent="0.3">
      <c r="AA1958" t="str">
        <f>IF(COUNTA('Procyclean 210'!C460,'Procyclean 210'!D460,'Procyclean 210'!E460)&gt;0,"210","")</f>
        <v/>
      </c>
      <c r="AB1958" t="str">
        <f>IFERROR(IF(ISNUMBER('Procyclean 210'!C460),'Procyclean 210'!C460,DATEVALUE('Procyclean 210'!C460)),"")</f>
        <v/>
      </c>
      <c r="AC1958" t="str">
        <f>IF(AA1958="","",'Procyclean 210'!D460)</f>
        <v/>
      </c>
      <c r="AD1958" t="str">
        <f>IF(AA1958="","",IFERROR(1*'Procyclean 210'!E460,IFERROR(_xludf.NUMBERVALUE('Procyclean 210'!E460,".",","),IFERROR(_xludf.NUMBERVALUE('Procyclean 210'!E460,",","."),0))))</f>
        <v/>
      </c>
      <c r="AE1958" t="str">
        <f>IF(AA1958="","",'Procyclean 210'!B460)</f>
        <v/>
      </c>
      <c r="AF1958">
        <f t="shared" si="197"/>
        <v>0</v>
      </c>
      <c r="AG1958" t="str">
        <f t="shared" si="198"/>
        <v/>
      </c>
      <c r="AH1958" t="str">
        <f t="shared" si="199"/>
        <v/>
      </c>
      <c r="AI1958">
        <f t="shared" si="200"/>
        <v>0</v>
      </c>
      <c r="AJ1958">
        <f t="shared" si="201"/>
        <v>0</v>
      </c>
      <c r="AK1958">
        <v>0</v>
      </c>
      <c r="AL1958" t="str">
        <f>IF(AA1958="","",IFERROR(IF(ISNUMBER('Procyclean 210'!F460),'Procyclean 210'!F460,IF(ISNUMBER(SEARCH("12",'Procyclean 210'!F460)),EDATE(AB1958,12),IF(ISNUMBER(SEARCH("6",'Procyclean 210'!F460)),EDATE(AB1958,6),IF(ISNUMBER(SEARCH("3",'Procyclean 210'!F460)),EDATE(AB1958,3),DATEVALUE('Procyclean 210'!F460))))),""))</f>
        <v/>
      </c>
      <c r="AM1958" t="str">
        <f t="shared" ca="1" si="202"/>
        <v/>
      </c>
    </row>
    <row r="1959" spans="27:39" x14ac:dyDescent="0.3">
      <c r="AA1959" t="str">
        <f>IF(COUNTA('Procyclean 210'!C461,'Procyclean 210'!D461,'Procyclean 210'!E461)&gt;0,"210","")</f>
        <v/>
      </c>
      <c r="AB1959" t="str">
        <f>IFERROR(IF(ISNUMBER('Procyclean 210'!C461),'Procyclean 210'!C461,DATEVALUE('Procyclean 210'!C461)),"")</f>
        <v/>
      </c>
      <c r="AC1959" t="str">
        <f>IF(AA1959="","",'Procyclean 210'!D461)</f>
        <v/>
      </c>
      <c r="AD1959" t="str">
        <f>IF(AA1959="","",IFERROR(1*'Procyclean 210'!E461,IFERROR(_xludf.NUMBERVALUE('Procyclean 210'!E461,".",","),IFERROR(_xludf.NUMBERVALUE('Procyclean 210'!E461,",","."),0))))</f>
        <v/>
      </c>
      <c r="AE1959" t="str">
        <f>IF(AA1959="","",'Procyclean 210'!B461)</f>
        <v/>
      </c>
      <c r="AF1959">
        <f t="shared" si="197"/>
        <v>0</v>
      </c>
      <c r="AG1959" t="str">
        <f t="shared" si="198"/>
        <v/>
      </c>
      <c r="AH1959" t="str">
        <f t="shared" si="199"/>
        <v/>
      </c>
      <c r="AI1959">
        <f t="shared" si="200"/>
        <v>0</v>
      </c>
      <c r="AJ1959">
        <f t="shared" si="201"/>
        <v>0</v>
      </c>
      <c r="AK1959">
        <v>0</v>
      </c>
      <c r="AL1959" t="str">
        <f>IF(AA1959="","",IFERROR(IF(ISNUMBER('Procyclean 210'!F461),'Procyclean 210'!F461,IF(ISNUMBER(SEARCH("12",'Procyclean 210'!F461)),EDATE(AB1959,12),IF(ISNUMBER(SEARCH("6",'Procyclean 210'!F461)),EDATE(AB1959,6),IF(ISNUMBER(SEARCH("3",'Procyclean 210'!F461)),EDATE(AB1959,3),DATEVALUE('Procyclean 210'!F461))))),""))</f>
        <v/>
      </c>
      <c r="AM1959" t="str">
        <f t="shared" ca="1" si="202"/>
        <v/>
      </c>
    </row>
    <row r="1960" spans="27:39" x14ac:dyDescent="0.3">
      <c r="AA1960" t="str">
        <f>IF(COUNTA('Procyclean 210'!C462,'Procyclean 210'!D462,'Procyclean 210'!E462)&gt;0,"210","")</f>
        <v/>
      </c>
      <c r="AB1960" t="str">
        <f>IFERROR(IF(ISNUMBER('Procyclean 210'!C462),'Procyclean 210'!C462,DATEVALUE('Procyclean 210'!C462)),"")</f>
        <v/>
      </c>
      <c r="AC1960" t="str">
        <f>IF(AA1960="","",'Procyclean 210'!D462)</f>
        <v/>
      </c>
      <c r="AD1960" t="str">
        <f>IF(AA1960="","",IFERROR(1*'Procyclean 210'!E462,IFERROR(_xludf.NUMBERVALUE('Procyclean 210'!E462,".",","),IFERROR(_xludf.NUMBERVALUE('Procyclean 210'!E462,",","."),0))))</f>
        <v/>
      </c>
      <c r="AE1960" t="str">
        <f>IF(AA1960="","",'Procyclean 210'!B462)</f>
        <v/>
      </c>
      <c r="AF1960">
        <f t="shared" si="197"/>
        <v>0</v>
      </c>
      <c r="AG1960" t="str">
        <f t="shared" si="198"/>
        <v/>
      </c>
      <c r="AH1960" t="str">
        <f t="shared" si="199"/>
        <v/>
      </c>
      <c r="AI1960">
        <f t="shared" si="200"/>
        <v>0</v>
      </c>
      <c r="AJ1960">
        <f t="shared" si="201"/>
        <v>0</v>
      </c>
      <c r="AK1960">
        <v>0</v>
      </c>
      <c r="AL1960" t="str">
        <f>IF(AA1960="","",IFERROR(IF(ISNUMBER('Procyclean 210'!F462),'Procyclean 210'!F462,IF(ISNUMBER(SEARCH("12",'Procyclean 210'!F462)),EDATE(AB1960,12),IF(ISNUMBER(SEARCH("6",'Procyclean 210'!F462)),EDATE(AB1960,6),IF(ISNUMBER(SEARCH("3",'Procyclean 210'!F462)),EDATE(AB1960,3),DATEVALUE('Procyclean 210'!F462))))),""))</f>
        <v/>
      </c>
      <c r="AM1960" t="str">
        <f t="shared" ca="1" si="202"/>
        <v/>
      </c>
    </row>
    <row r="1961" spans="27:39" x14ac:dyDescent="0.3">
      <c r="AA1961" t="str">
        <f>IF(COUNTA('Procyclean 210'!C463,'Procyclean 210'!D463,'Procyclean 210'!E463)&gt;0,"210","")</f>
        <v/>
      </c>
      <c r="AB1961" t="str">
        <f>IFERROR(IF(ISNUMBER('Procyclean 210'!C463),'Procyclean 210'!C463,DATEVALUE('Procyclean 210'!C463)),"")</f>
        <v/>
      </c>
      <c r="AC1961" t="str">
        <f>IF(AA1961="","",'Procyclean 210'!D463)</f>
        <v/>
      </c>
      <c r="AD1961" t="str">
        <f>IF(AA1961="","",IFERROR(1*'Procyclean 210'!E463,IFERROR(_xludf.NUMBERVALUE('Procyclean 210'!E463,".",","),IFERROR(_xludf.NUMBERVALUE('Procyclean 210'!E463,",","."),0))))</f>
        <v/>
      </c>
      <c r="AE1961" t="str">
        <f>IF(AA1961="","",'Procyclean 210'!B463)</f>
        <v/>
      </c>
      <c r="AF1961">
        <f t="shared" si="197"/>
        <v>0</v>
      </c>
      <c r="AG1961" t="str">
        <f t="shared" si="198"/>
        <v/>
      </c>
      <c r="AH1961" t="str">
        <f t="shared" si="199"/>
        <v/>
      </c>
      <c r="AI1961">
        <f t="shared" si="200"/>
        <v>0</v>
      </c>
      <c r="AJ1961">
        <f t="shared" si="201"/>
        <v>0</v>
      </c>
      <c r="AK1961">
        <v>0</v>
      </c>
      <c r="AL1961" t="str">
        <f>IF(AA1961="","",IFERROR(IF(ISNUMBER('Procyclean 210'!F463),'Procyclean 210'!F463,IF(ISNUMBER(SEARCH("12",'Procyclean 210'!F463)),EDATE(AB1961,12),IF(ISNUMBER(SEARCH("6",'Procyclean 210'!F463)),EDATE(AB1961,6),IF(ISNUMBER(SEARCH("3",'Procyclean 210'!F463)),EDATE(AB1961,3),DATEVALUE('Procyclean 210'!F463))))),""))</f>
        <v/>
      </c>
      <c r="AM1961" t="str">
        <f t="shared" ca="1" si="202"/>
        <v/>
      </c>
    </row>
    <row r="1962" spans="27:39" x14ac:dyDescent="0.3">
      <c r="AA1962" t="str">
        <f>IF(COUNTA('Procyclean 210'!C464,'Procyclean 210'!D464,'Procyclean 210'!E464)&gt;0,"210","")</f>
        <v/>
      </c>
      <c r="AB1962" t="str">
        <f>IFERROR(IF(ISNUMBER('Procyclean 210'!C464),'Procyclean 210'!C464,DATEVALUE('Procyclean 210'!C464)),"")</f>
        <v/>
      </c>
      <c r="AC1962" t="str">
        <f>IF(AA1962="","",'Procyclean 210'!D464)</f>
        <v/>
      </c>
      <c r="AD1962" t="str">
        <f>IF(AA1962="","",IFERROR(1*'Procyclean 210'!E464,IFERROR(_xludf.NUMBERVALUE('Procyclean 210'!E464,".",","),IFERROR(_xludf.NUMBERVALUE('Procyclean 210'!E464,",","."),0))))</f>
        <v/>
      </c>
      <c r="AE1962" t="str">
        <f>IF(AA1962="","",'Procyclean 210'!B464)</f>
        <v/>
      </c>
      <c r="AF1962">
        <f t="shared" si="197"/>
        <v>0</v>
      </c>
      <c r="AG1962" t="str">
        <f t="shared" si="198"/>
        <v/>
      </c>
      <c r="AH1962" t="str">
        <f t="shared" si="199"/>
        <v/>
      </c>
      <c r="AI1962">
        <f t="shared" si="200"/>
        <v>0</v>
      </c>
      <c r="AJ1962">
        <f t="shared" si="201"/>
        <v>0</v>
      </c>
      <c r="AK1962">
        <v>0</v>
      </c>
      <c r="AL1962" t="str">
        <f>IF(AA1962="","",IFERROR(IF(ISNUMBER('Procyclean 210'!F464),'Procyclean 210'!F464,IF(ISNUMBER(SEARCH("12",'Procyclean 210'!F464)),EDATE(AB1962,12),IF(ISNUMBER(SEARCH("6",'Procyclean 210'!F464)),EDATE(AB1962,6),IF(ISNUMBER(SEARCH("3",'Procyclean 210'!F464)),EDATE(AB1962,3),DATEVALUE('Procyclean 210'!F464))))),""))</f>
        <v/>
      </c>
      <c r="AM1962" t="str">
        <f t="shared" ca="1" si="202"/>
        <v/>
      </c>
    </row>
    <row r="1963" spans="27:39" x14ac:dyDescent="0.3">
      <c r="AA1963" t="str">
        <f>IF(COUNTA('Procyclean 210'!C465,'Procyclean 210'!D465,'Procyclean 210'!E465)&gt;0,"210","")</f>
        <v/>
      </c>
      <c r="AB1963" t="str">
        <f>IFERROR(IF(ISNUMBER('Procyclean 210'!C465),'Procyclean 210'!C465,DATEVALUE('Procyclean 210'!C465)),"")</f>
        <v/>
      </c>
      <c r="AC1963" t="str">
        <f>IF(AA1963="","",'Procyclean 210'!D465)</f>
        <v/>
      </c>
      <c r="AD1963" t="str">
        <f>IF(AA1963="","",IFERROR(1*'Procyclean 210'!E465,IFERROR(_xludf.NUMBERVALUE('Procyclean 210'!E465,".",","),IFERROR(_xludf.NUMBERVALUE('Procyclean 210'!E465,",","."),0))))</f>
        <v/>
      </c>
      <c r="AE1963" t="str">
        <f>IF(AA1963="","",'Procyclean 210'!B465)</f>
        <v/>
      </c>
      <c r="AF1963">
        <f t="shared" si="197"/>
        <v>0</v>
      </c>
      <c r="AG1963" t="str">
        <f t="shared" si="198"/>
        <v/>
      </c>
      <c r="AH1963" t="str">
        <f t="shared" si="199"/>
        <v/>
      </c>
      <c r="AI1963">
        <f t="shared" si="200"/>
        <v>0</v>
      </c>
      <c r="AJ1963">
        <f t="shared" si="201"/>
        <v>0</v>
      </c>
      <c r="AK1963">
        <v>0</v>
      </c>
      <c r="AL1963" t="str">
        <f>IF(AA1963="","",IFERROR(IF(ISNUMBER('Procyclean 210'!F465),'Procyclean 210'!F465,IF(ISNUMBER(SEARCH("12",'Procyclean 210'!F465)),EDATE(AB1963,12),IF(ISNUMBER(SEARCH("6",'Procyclean 210'!F465)),EDATE(AB1963,6),IF(ISNUMBER(SEARCH("3",'Procyclean 210'!F465)),EDATE(AB1963,3),DATEVALUE('Procyclean 210'!F465))))),""))</f>
        <v/>
      </c>
      <c r="AM1963" t="str">
        <f t="shared" ca="1" si="202"/>
        <v/>
      </c>
    </row>
    <row r="1964" spans="27:39" x14ac:dyDescent="0.3">
      <c r="AA1964" t="str">
        <f>IF(COUNTA('Procyclean 210'!C466,'Procyclean 210'!D466,'Procyclean 210'!E466)&gt;0,"210","")</f>
        <v/>
      </c>
      <c r="AB1964" t="str">
        <f>IFERROR(IF(ISNUMBER('Procyclean 210'!C466),'Procyclean 210'!C466,DATEVALUE('Procyclean 210'!C466)),"")</f>
        <v/>
      </c>
      <c r="AC1964" t="str">
        <f>IF(AA1964="","",'Procyclean 210'!D466)</f>
        <v/>
      </c>
      <c r="AD1964" t="str">
        <f>IF(AA1964="","",IFERROR(1*'Procyclean 210'!E466,IFERROR(_xludf.NUMBERVALUE('Procyclean 210'!E466,".",","),IFERROR(_xludf.NUMBERVALUE('Procyclean 210'!E466,",","."),0))))</f>
        <v/>
      </c>
      <c r="AE1964" t="str">
        <f>IF(AA1964="","",'Procyclean 210'!B466)</f>
        <v/>
      </c>
      <c r="AF1964">
        <f t="shared" si="197"/>
        <v>0</v>
      </c>
      <c r="AG1964" t="str">
        <f t="shared" si="198"/>
        <v/>
      </c>
      <c r="AH1964" t="str">
        <f t="shared" si="199"/>
        <v/>
      </c>
      <c r="AI1964">
        <f t="shared" si="200"/>
        <v>0</v>
      </c>
      <c r="AJ1964">
        <f t="shared" si="201"/>
        <v>0</v>
      </c>
      <c r="AK1964">
        <v>0</v>
      </c>
      <c r="AL1964" t="str">
        <f>IF(AA1964="","",IFERROR(IF(ISNUMBER('Procyclean 210'!F466),'Procyclean 210'!F466,IF(ISNUMBER(SEARCH("12",'Procyclean 210'!F466)),EDATE(AB1964,12),IF(ISNUMBER(SEARCH("6",'Procyclean 210'!F466)),EDATE(AB1964,6),IF(ISNUMBER(SEARCH("3",'Procyclean 210'!F466)),EDATE(AB1964,3),DATEVALUE('Procyclean 210'!F466))))),""))</f>
        <v/>
      </c>
      <c r="AM1964" t="str">
        <f t="shared" ca="1" si="202"/>
        <v/>
      </c>
    </row>
    <row r="1965" spans="27:39" x14ac:dyDescent="0.3">
      <c r="AA1965" t="str">
        <f>IF(COUNTA('Procyclean 210'!C467,'Procyclean 210'!D467,'Procyclean 210'!E467)&gt;0,"210","")</f>
        <v/>
      </c>
      <c r="AB1965" t="str">
        <f>IFERROR(IF(ISNUMBER('Procyclean 210'!C467),'Procyclean 210'!C467,DATEVALUE('Procyclean 210'!C467)),"")</f>
        <v/>
      </c>
      <c r="AC1965" t="str">
        <f>IF(AA1965="","",'Procyclean 210'!D467)</f>
        <v/>
      </c>
      <c r="AD1965" t="str">
        <f>IF(AA1965="","",IFERROR(1*'Procyclean 210'!E467,IFERROR(_xludf.NUMBERVALUE('Procyclean 210'!E467,".",","),IFERROR(_xludf.NUMBERVALUE('Procyclean 210'!E467,",","."),0))))</f>
        <v/>
      </c>
      <c r="AE1965" t="str">
        <f>IF(AA1965="","",'Procyclean 210'!B467)</f>
        <v/>
      </c>
      <c r="AF1965">
        <f t="shared" si="197"/>
        <v>0</v>
      </c>
      <c r="AG1965" t="str">
        <f t="shared" si="198"/>
        <v/>
      </c>
      <c r="AH1965" t="str">
        <f t="shared" si="199"/>
        <v/>
      </c>
      <c r="AI1965">
        <f t="shared" si="200"/>
        <v>0</v>
      </c>
      <c r="AJ1965">
        <f t="shared" si="201"/>
        <v>0</v>
      </c>
      <c r="AK1965">
        <v>0</v>
      </c>
      <c r="AL1965" t="str">
        <f>IF(AA1965="","",IFERROR(IF(ISNUMBER('Procyclean 210'!F467),'Procyclean 210'!F467,IF(ISNUMBER(SEARCH("12",'Procyclean 210'!F467)),EDATE(AB1965,12),IF(ISNUMBER(SEARCH("6",'Procyclean 210'!F467)),EDATE(AB1965,6),IF(ISNUMBER(SEARCH("3",'Procyclean 210'!F467)),EDATE(AB1965,3),DATEVALUE('Procyclean 210'!F467))))),""))</f>
        <v/>
      </c>
      <c r="AM1965" t="str">
        <f t="shared" ca="1" si="202"/>
        <v/>
      </c>
    </row>
    <row r="1966" spans="27:39" x14ac:dyDescent="0.3">
      <c r="AA1966" t="str">
        <f>IF(COUNTA('Procyclean 210'!C468,'Procyclean 210'!D468,'Procyclean 210'!E468)&gt;0,"210","")</f>
        <v/>
      </c>
      <c r="AB1966" t="str">
        <f>IFERROR(IF(ISNUMBER('Procyclean 210'!C468),'Procyclean 210'!C468,DATEVALUE('Procyclean 210'!C468)),"")</f>
        <v/>
      </c>
      <c r="AC1966" t="str">
        <f>IF(AA1966="","",'Procyclean 210'!D468)</f>
        <v/>
      </c>
      <c r="AD1966" t="str">
        <f>IF(AA1966="","",IFERROR(1*'Procyclean 210'!E468,IFERROR(_xludf.NUMBERVALUE('Procyclean 210'!E468,".",","),IFERROR(_xludf.NUMBERVALUE('Procyclean 210'!E468,",","."),0))))</f>
        <v/>
      </c>
      <c r="AE1966" t="str">
        <f>IF(AA1966="","",'Procyclean 210'!B468)</f>
        <v/>
      </c>
      <c r="AF1966">
        <f t="shared" si="197"/>
        <v>0</v>
      </c>
      <c r="AG1966" t="str">
        <f t="shared" si="198"/>
        <v/>
      </c>
      <c r="AH1966" t="str">
        <f t="shared" si="199"/>
        <v/>
      </c>
      <c r="AI1966">
        <f t="shared" si="200"/>
        <v>0</v>
      </c>
      <c r="AJ1966">
        <f t="shared" si="201"/>
        <v>0</v>
      </c>
      <c r="AK1966">
        <v>0</v>
      </c>
      <c r="AL1966" t="str">
        <f>IF(AA1966="","",IFERROR(IF(ISNUMBER('Procyclean 210'!F468),'Procyclean 210'!F468,IF(ISNUMBER(SEARCH("12",'Procyclean 210'!F468)),EDATE(AB1966,12),IF(ISNUMBER(SEARCH("6",'Procyclean 210'!F468)),EDATE(AB1966,6),IF(ISNUMBER(SEARCH("3",'Procyclean 210'!F468)),EDATE(AB1966,3),DATEVALUE('Procyclean 210'!F468))))),""))</f>
        <v/>
      </c>
      <c r="AM1966" t="str">
        <f t="shared" ca="1" si="202"/>
        <v/>
      </c>
    </row>
    <row r="1967" spans="27:39" x14ac:dyDescent="0.3">
      <c r="AA1967" t="str">
        <f>IF(COUNTA('Procyclean 210'!C469,'Procyclean 210'!D469,'Procyclean 210'!E469)&gt;0,"210","")</f>
        <v/>
      </c>
      <c r="AB1967" t="str">
        <f>IFERROR(IF(ISNUMBER('Procyclean 210'!C469),'Procyclean 210'!C469,DATEVALUE('Procyclean 210'!C469)),"")</f>
        <v/>
      </c>
      <c r="AC1967" t="str">
        <f>IF(AA1967="","",'Procyclean 210'!D469)</f>
        <v/>
      </c>
      <c r="AD1967" t="str">
        <f>IF(AA1967="","",IFERROR(1*'Procyclean 210'!E469,IFERROR(_xludf.NUMBERVALUE('Procyclean 210'!E469,".",","),IFERROR(_xludf.NUMBERVALUE('Procyclean 210'!E469,",","."),0))))</f>
        <v/>
      </c>
      <c r="AE1967" t="str">
        <f>IF(AA1967="","",'Procyclean 210'!B469)</f>
        <v/>
      </c>
      <c r="AF1967">
        <f t="shared" si="197"/>
        <v>0</v>
      </c>
      <c r="AG1967" t="str">
        <f t="shared" si="198"/>
        <v/>
      </c>
      <c r="AH1967" t="str">
        <f t="shared" si="199"/>
        <v/>
      </c>
      <c r="AI1967">
        <f t="shared" si="200"/>
        <v>0</v>
      </c>
      <c r="AJ1967">
        <f t="shared" si="201"/>
        <v>0</v>
      </c>
      <c r="AK1967">
        <v>0</v>
      </c>
      <c r="AL1967" t="str">
        <f>IF(AA1967="","",IFERROR(IF(ISNUMBER('Procyclean 210'!F469),'Procyclean 210'!F469,IF(ISNUMBER(SEARCH("12",'Procyclean 210'!F469)),EDATE(AB1967,12),IF(ISNUMBER(SEARCH("6",'Procyclean 210'!F469)),EDATE(AB1967,6),IF(ISNUMBER(SEARCH("3",'Procyclean 210'!F469)),EDATE(AB1967,3),DATEVALUE('Procyclean 210'!F469))))),""))</f>
        <v/>
      </c>
      <c r="AM1967" t="str">
        <f t="shared" ca="1" si="202"/>
        <v/>
      </c>
    </row>
    <row r="1968" spans="27:39" x14ac:dyDescent="0.3">
      <c r="AA1968" t="str">
        <f>IF(COUNTA('Procyclean 210'!C470,'Procyclean 210'!D470,'Procyclean 210'!E470)&gt;0,"210","")</f>
        <v/>
      </c>
      <c r="AB1968" t="str">
        <f>IFERROR(IF(ISNUMBER('Procyclean 210'!C470),'Procyclean 210'!C470,DATEVALUE('Procyclean 210'!C470)),"")</f>
        <v/>
      </c>
      <c r="AC1968" t="str">
        <f>IF(AA1968="","",'Procyclean 210'!D470)</f>
        <v/>
      </c>
      <c r="AD1968" t="str">
        <f>IF(AA1968="","",IFERROR(1*'Procyclean 210'!E470,IFERROR(_xludf.NUMBERVALUE('Procyclean 210'!E470,".",","),IFERROR(_xludf.NUMBERVALUE('Procyclean 210'!E470,",","."),0))))</f>
        <v/>
      </c>
      <c r="AE1968" t="str">
        <f>IF(AA1968="","",'Procyclean 210'!B470)</f>
        <v/>
      </c>
      <c r="AF1968">
        <f t="shared" si="197"/>
        <v>0</v>
      </c>
      <c r="AG1968" t="str">
        <f t="shared" si="198"/>
        <v/>
      </c>
      <c r="AH1968" t="str">
        <f t="shared" si="199"/>
        <v/>
      </c>
      <c r="AI1968">
        <f t="shared" si="200"/>
        <v>0</v>
      </c>
      <c r="AJ1968">
        <f t="shared" si="201"/>
        <v>0</v>
      </c>
      <c r="AK1968">
        <v>0</v>
      </c>
      <c r="AL1968" t="str">
        <f>IF(AA1968="","",IFERROR(IF(ISNUMBER('Procyclean 210'!F470),'Procyclean 210'!F470,IF(ISNUMBER(SEARCH("12",'Procyclean 210'!F470)),EDATE(AB1968,12),IF(ISNUMBER(SEARCH("6",'Procyclean 210'!F470)),EDATE(AB1968,6),IF(ISNUMBER(SEARCH("3",'Procyclean 210'!F470)),EDATE(AB1968,3),DATEVALUE('Procyclean 210'!F470))))),""))</f>
        <v/>
      </c>
      <c r="AM1968" t="str">
        <f t="shared" ca="1" si="202"/>
        <v/>
      </c>
    </row>
    <row r="1969" spans="27:39" x14ac:dyDescent="0.3">
      <c r="AA1969" t="str">
        <f>IF(COUNTA('Procyclean 210'!C471,'Procyclean 210'!D471,'Procyclean 210'!E471)&gt;0,"210","")</f>
        <v/>
      </c>
      <c r="AB1969" t="str">
        <f>IFERROR(IF(ISNUMBER('Procyclean 210'!C471),'Procyclean 210'!C471,DATEVALUE('Procyclean 210'!C471)),"")</f>
        <v/>
      </c>
      <c r="AC1969" t="str">
        <f>IF(AA1969="","",'Procyclean 210'!D471)</f>
        <v/>
      </c>
      <c r="AD1969" t="str">
        <f>IF(AA1969="","",IFERROR(1*'Procyclean 210'!E471,IFERROR(_xludf.NUMBERVALUE('Procyclean 210'!E471,".",","),IFERROR(_xludf.NUMBERVALUE('Procyclean 210'!E471,",","."),0))))</f>
        <v/>
      </c>
      <c r="AE1969" t="str">
        <f>IF(AA1969="","",'Procyclean 210'!B471)</f>
        <v/>
      </c>
      <c r="AF1969">
        <f t="shared" si="197"/>
        <v>0</v>
      </c>
      <c r="AG1969" t="str">
        <f t="shared" si="198"/>
        <v/>
      </c>
      <c r="AH1969" t="str">
        <f t="shared" si="199"/>
        <v/>
      </c>
      <c r="AI1969">
        <f t="shared" si="200"/>
        <v>0</v>
      </c>
      <c r="AJ1969">
        <f t="shared" si="201"/>
        <v>0</v>
      </c>
      <c r="AK1969">
        <v>0</v>
      </c>
      <c r="AL1969" t="str">
        <f>IF(AA1969="","",IFERROR(IF(ISNUMBER('Procyclean 210'!F471),'Procyclean 210'!F471,IF(ISNUMBER(SEARCH("12",'Procyclean 210'!F471)),EDATE(AB1969,12),IF(ISNUMBER(SEARCH("6",'Procyclean 210'!F471)),EDATE(AB1969,6),IF(ISNUMBER(SEARCH("3",'Procyclean 210'!F471)),EDATE(AB1969,3),DATEVALUE('Procyclean 210'!F471))))),""))</f>
        <v/>
      </c>
      <c r="AM1969" t="str">
        <f t="shared" ca="1" si="202"/>
        <v/>
      </c>
    </row>
    <row r="1970" spans="27:39" x14ac:dyDescent="0.3">
      <c r="AA1970" t="str">
        <f>IF(COUNTA('Procyclean 210'!C472,'Procyclean 210'!D472,'Procyclean 210'!E472)&gt;0,"210","")</f>
        <v/>
      </c>
      <c r="AB1970" t="str">
        <f>IFERROR(IF(ISNUMBER('Procyclean 210'!C472),'Procyclean 210'!C472,DATEVALUE('Procyclean 210'!C472)),"")</f>
        <v/>
      </c>
      <c r="AC1970" t="str">
        <f>IF(AA1970="","",'Procyclean 210'!D472)</f>
        <v/>
      </c>
      <c r="AD1970" t="str">
        <f>IF(AA1970="","",IFERROR(1*'Procyclean 210'!E472,IFERROR(_xludf.NUMBERVALUE('Procyclean 210'!E472,".",","),IFERROR(_xludf.NUMBERVALUE('Procyclean 210'!E472,",","."),0))))</f>
        <v/>
      </c>
      <c r="AE1970" t="str">
        <f>IF(AA1970="","",'Procyclean 210'!B472)</f>
        <v/>
      </c>
      <c r="AF1970">
        <f t="shared" si="197"/>
        <v>0</v>
      </c>
      <c r="AG1970" t="str">
        <f t="shared" si="198"/>
        <v/>
      </c>
      <c r="AH1970" t="str">
        <f t="shared" si="199"/>
        <v/>
      </c>
      <c r="AI1970">
        <f t="shared" si="200"/>
        <v>0</v>
      </c>
      <c r="AJ1970">
        <f t="shared" si="201"/>
        <v>0</v>
      </c>
      <c r="AK1970">
        <v>0</v>
      </c>
      <c r="AL1970" t="str">
        <f>IF(AA1970="","",IFERROR(IF(ISNUMBER('Procyclean 210'!F472),'Procyclean 210'!F472,IF(ISNUMBER(SEARCH("12",'Procyclean 210'!F472)),EDATE(AB1970,12),IF(ISNUMBER(SEARCH("6",'Procyclean 210'!F472)),EDATE(AB1970,6),IF(ISNUMBER(SEARCH("3",'Procyclean 210'!F472)),EDATE(AB1970,3),DATEVALUE('Procyclean 210'!F472))))),""))</f>
        <v/>
      </c>
      <c r="AM1970" t="str">
        <f t="shared" ca="1" si="202"/>
        <v/>
      </c>
    </row>
    <row r="1971" spans="27:39" x14ac:dyDescent="0.3">
      <c r="AA1971" t="str">
        <f>IF(COUNTA('Procyclean 210'!C473,'Procyclean 210'!D473,'Procyclean 210'!E473)&gt;0,"210","")</f>
        <v/>
      </c>
      <c r="AB1971" t="str">
        <f>IFERROR(IF(ISNUMBER('Procyclean 210'!C473),'Procyclean 210'!C473,DATEVALUE('Procyclean 210'!C473)),"")</f>
        <v/>
      </c>
      <c r="AC1971" t="str">
        <f>IF(AA1971="","",'Procyclean 210'!D473)</f>
        <v/>
      </c>
      <c r="AD1971" t="str">
        <f>IF(AA1971="","",IFERROR(1*'Procyclean 210'!E473,IFERROR(_xludf.NUMBERVALUE('Procyclean 210'!E473,".",","),IFERROR(_xludf.NUMBERVALUE('Procyclean 210'!E473,",","."),0))))</f>
        <v/>
      </c>
      <c r="AE1971" t="str">
        <f>IF(AA1971="","",'Procyclean 210'!B473)</f>
        <v/>
      </c>
      <c r="AF1971">
        <f t="shared" si="197"/>
        <v>0</v>
      </c>
      <c r="AG1971" t="str">
        <f t="shared" si="198"/>
        <v/>
      </c>
      <c r="AH1971" t="str">
        <f t="shared" si="199"/>
        <v/>
      </c>
      <c r="AI1971">
        <f t="shared" si="200"/>
        <v>0</v>
      </c>
      <c r="AJ1971">
        <f t="shared" si="201"/>
        <v>0</v>
      </c>
      <c r="AK1971">
        <v>0</v>
      </c>
      <c r="AL1971" t="str">
        <f>IF(AA1971="","",IFERROR(IF(ISNUMBER('Procyclean 210'!F473),'Procyclean 210'!F473,IF(ISNUMBER(SEARCH("12",'Procyclean 210'!F473)),EDATE(AB1971,12),IF(ISNUMBER(SEARCH("6",'Procyclean 210'!F473)),EDATE(AB1971,6),IF(ISNUMBER(SEARCH("3",'Procyclean 210'!F473)),EDATE(AB1971,3),DATEVALUE('Procyclean 210'!F473))))),""))</f>
        <v/>
      </c>
      <c r="AM1971" t="str">
        <f t="shared" ca="1" si="202"/>
        <v/>
      </c>
    </row>
    <row r="1972" spans="27:39" x14ac:dyDescent="0.3">
      <c r="AA1972" t="str">
        <f>IF(COUNTA('Procyclean 210'!C474,'Procyclean 210'!D474,'Procyclean 210'!E474)&gt;0,"210","")</f>
        <v/>
      </c>
      <c r="AB1972" t="str">
        <f>IFERROR(IF(ISNUMBER('Procyclean 210'!C474),'Procyclean 210'!C474,DATEVALUE('Procyclean 210'!C474)),"")</f>
        <v/>
      </c>
      <c r="AC1972" t="str">
        <f>IF(AA1972="","",'Procyclean 210'!D474)</f>
        <v/>
      </c>
      <c r="AD1972" t="str">
        <f>IF(AA1972="","",IFERROR(1*'Procyclean 210'!E474,IFERROR(_xludf.NUMBERVALUE('Procyclean 210'!E474,".",","),IFERROR(_xludf.NUMBERVALUE('Procyclean 210'!E474,",","."),0))))</f>
        <v/>
      </c>
      <c r="AE1972" t="str">
        <f>IF(AA1972="","",'Procyclean 210'!B474)</f>
        <v/>
      </c>
      <c r="AF1972">
        <f t="shared" si="197"/>
        <v>0</v>
      </c>
      <c r="AG1972" t="str">
        <f t="shared" si="198"/>
        <v/>
      </c>
      <c r="AH1972" t="str">
        <f t="shared" si="199"/>
        <v/>
      </c>
      <c r="AI1972">
        <f t="shared" si="200"/>
        <v>0</v>
      </c>
      <c r="AJ1972">
        <f t="shared" si="201"/>
        <v>0</v>
      </c>
      <c r="AK1972">
        <v>0</v>
      </c>
      <c r="AL1972" t="str">
        <f>IF(AA1972="","",IFERROR(IF(ISNUMBER('Procyclean 210'!F474),'Procyclean 210'!F474,IF(ISNUMBER(SEARCH("12",'Procyclean 210'!F474)),EDATE(AB1972,12),IF(ISNUMBER(SEARCH("6",'Procyclean 210'!F474)),EDATE(AB1972,6),IF(ISNUMBER(SEARCH("3",'Procyclean 210'!F474)),EDATE(AB1972,3),DATEVALUE('Procyclean 210'!F474))))),""))</f>
        <v/>
      </c>
      <c r="AM1972" t="str">
        <f t="shared" ca="1" si="202"/>
        <v/>
      </c>
    </row>
    <row r="1973" spans="27:39" x14ac:dyDescent="0.3">
      <c r="AA1973" t="str">
        <f>IF(COUNTA('Procyclean 210'!C475,'Procyclean 210'!D475,'Procyclean 210'!E475)&gt;0,"210","")</f>
        <v/>
      </c>
      <c r="AB1973" t="str">
        <f>IFERROR(IF(ISNUMBER('Procyclean 210'!C475),'Procyclean 210'!C475,DATEVALUE('Procyclean 210'!C475)),"")</f>
        <v/>
      </c>
      <c r="AC1973" t="str">
        <f>IF(AA1973="","",'Procyclean 210'!D475)</f>
        <v/>
      </c>
      <c r="AD1973" t="str">
        <f>IF(AA1973="","",IFERROR(1*'Procyclean 210'!E475,IFERROR(_xludf.NUMBERVALUE('Procyclean 210'!E475,".",","),IFERROR(_xludf.NUMBERVALUE('Procyclean 210'!E475,",","."),0))))</f>
        <v/>
      </c>
      <c r="AE1973" t="str">
        <f>IF(AA1973="","",'Procyclean 210'!B475)</f>
        <v/>
      </c>
      <c r="AF1973">
        <f t="shared" si="197"/>
        <v>0</v>
      </c>
      <c r="AG1973" t="str">
        <f t="shared" si="198"/>
        <v/>
      </c>
      <c r="AH1973" t="str">
        <f t="shared" si="199"/>
        <v/>
      </c>
      <c r="AI1973">
        <f t="shared" si="200"/>
        <v>0</v>
      </c>
      <c r="AJ1973">
        <f t="shared" si="201"/>
        <v>0</v>
      </c>
      <c r="AK1973">
        <v>0</v>
      </c>
      <c r="AL1973" t="str">
        <f>IF(AA1973="","",IFERROR(IF(ISNUMBER('Procyclean 210'!F475),'Procyclean 210'!F475,IF(ISNUMBER(SEARCH("12",'Procyclean 210'!F475)),EDATE(AB1973,12),IF(ISNUMBER(SEARCH("6",'Procyclean 210'!F475)),EDATE(AB1973,6),IF(ISNUMBER(SEARCH("3",'Procyclean 210'!F475)),EDATE(AB1973,3),DATEVALUE('Procyclean 210'!F475))))),""))</f>
        <v/>
      </c>
      <c r="AM1973" t="str">
        <f t="shared" ca="1" si="202"/>
        <v/>
      </c>
    </row>
    <row r="1974" spans="27:39" x14ac:dyDescent="0.3">
      <c r="AA1974" t="str">
        <f>IF(COUNTA('Procyclean 210'!C476,'Procyclean 210'!D476,'Procyclean 210'!E476)&gt;0,"210","")</f>
        <v/>
      </c>
      <c r="AB1974" t="str">
        <f>IFERROR(IF(ISNUMBER('Procyclean 210'!C476),'Procyclean 210'!C476,DATEVALUE('Procyclean 210'!C476)),"")</f>
        <v/>
      </c>
      <c r="AC1974" t="str">
        <f>IF(AA1974="","",'Procyclean 210'!D476)</f>
        <v/>
      </c>
      <c r="AD1974" t="str">
        <f>IF(AA1974="","",IFERROR(1*'Procyclean 210'!E476,IFERROR(_xludf.NUMBERVALUE('Procyclean 210'!E476,".",","),IFERROR(_xludf.NUMBERVALUE('Procyclean 210'!E476,",","."),0))))</f>
        <v/>
      </c>
      <c r="AE1974" t="str">
        <f>IF(AA1974="","",'Procyclean 210'!B476)</f>
        <v/>
      </c>
      <c r="AF1974">
        <f t="shared" si="197"/>
        <v>0</v>
      </c>
      <c r="AG1974" t="str">
        <f t="shared" si="198"/>
        <v/>
      </c>
      <c r="AH1974" t="str">
        <f t="shared" si="199"/>
        <v/>
      </c>
      <c r="AI1974">
        <f t="shared" si="200"/>
        <v>0</v>
      </c>
      <c r="AJ1974">
        <f t="shared" si="201"/>
        <v>0</v>
      </c>
      <c r="AK1974">
        <v>0</v>
      </c>
      <c r="AL1974" t="str">
        <f>IF(AA1974="","",IFERROR(IF(ISNUMBER('Procyclean 210'!F476),'Procyclean 210'!F476,IF(ISNUMBER(SEARCH("12",'Procyclean 210'!F476)),EDATE(AB1974,12),IF(ISNUMBER(SEARCH("6",'Procyclean 210'!F476)),EDATE(AB1974,6),IF(ISNUMBER(SEARCH("3",'Procyclean 210'!F476)),EDATE(AB1974,3),DATEVALUE('Procyclean 210'!F476))))),""))</f>
        <v/>
      </c>
      <c r="AM1974" t="str">
        <f t="shared" ca="1" si="202"/>
        <v/>
      </c>
    </row>
    <row r="1975" spans="27:39" x14ac:dyDescent="0.3">
      <c r="AA1975" t="str">
        <f>IF(COUNTA('Procyclean 210'!C477,'Procyclean 210'!D477,'Procyclean 210'!E477)&gt;0,"210","")</f>
        <v/>
      </c>
      <c r="AB1975" t="str">
        <f>IFERROR(IF(ISNUMBER('Procyclean 210'!C477),'Procyclean 210'!C477,DATEVALUE('Procyclean 210'!C477)),"")</f>
        <v/>
      </c>
      <c r="AC1975" t="str">
        <f>IF(AA1975="","",'Procyclean 210'!D477)</f>
        <v/>
      </c>
      <c r="AD1975" t="str">
        <f>IF(AA1975="","",IFERROR(1*'Procyclean 210'!E477,IFERROR(_xludf.NUMBERVALUE('Procyclean 210'!E477,".",","),IFERROR(_xludf.NUMBERVALUE('Procyclean 210'!E477,",","."),0))))</f>
        <v/>
      </c>
      <c r="AE1975" t="str">
        <f>IF(AA1975="","",'Procyclean 210'!B477)</f>
        <v/>
      </c>
      <c r="AF1975">
        <f t="shared" si="197"/>
        <v>0</v>
      </c>
      <c r="AG1975" t="str">
        <f t="shared" si="198"/>
        <v/>
      </c>
      <c r="AH1975" t="str">
        <f t="shared" si="199"/>
        <v/>
      </c>
      <c r="AI1975">
        <f t="shared" si="200"/>
        <v>0</v>
      </c>
      <c r="AJ1975">
        <f t="shared" si="201"/>
        <v>0</v>
      </c>
      <c r="AK1975">
        <v>0</v>
      </c>
      <c r="AL1975" t="str">
        <f>IF(AA1975="","",IFERROR(IF(ISNUMBER('Procyclean 210'!F477),'Procyclean 210'!F477,IF(ISNUMBER(SEARCH("12",'Procyclean 210'!F477)),EDATE(AB1975,12),IF(ISNUMBER(SEARCH("6",'Procyclean 210'!F477)),EDATE(AB1975,6),IF(ISNUMBER(SEARCH("3",'Procyclean 210'!F477)),EDATE(AB1975,3),DATEVALUE('Procyclean 210'!F477))))),""))</f>
        <v/>
      </c>
      <c r="AM1975" t="str">
        <f t="shared" ca="1" si="202"/>
        <v/>
      </c>
    </row>
    <row r="1976" spans="27:39" x14ac:dyDescent="0.3">
      <c r="AA1976" t="str">
        <f>IF(COUNTA('Procyclean 210'!C478,'Procyclean 210'!D478,'Procyclean 210'!E478)&gt;0,"210","")</f>
        <v/>
      </c>
      <c r="AB1976" t="str">
        <f>IFERROR(IF(ISNUMBER('Procyclean 210'!C478),'Procyclean 210'!C478,DATEVALUE('Procyclean 210'!C478)),"")</f>
        <v/>
      </c>
      <c r="AC1976" t="str">
        <f>IF(AA1976="","",'Procyclean 210'!D478)</f>
        <v/>
      </c>
      <c r="AD1976" t="str">
        <f>IF(AA1976="","",IFERROR(1*'Procyclean 210'!E478,IFERROR(_xludf.NUMBERVALUE('Procyclean 210'!E478,".",","),IFERROR(_xludf.NUMBERVALUE('Procyclean 210'!E478,",","."),0))))</f>
        <v/>
      </c>
      <c r="AE1976" t="str">
        <f>IF(AA1976="","",'Procyclean 210'!B478)</f>
        <v/>
      </c>
      <c r="AF1976">
        <f t="shared" si="197"/>
        <v>0</v>
      </c>
      <c r="AG1976" t="str">
        <f t="shared" si="198"/>
        <v/>
      </c>
      <c r="AH1976" t="str">
        <f t="shared" si="199"/>
        <v/>
      </c>
      <c r="AI1976">
        <f t="shared" si="200"/>
        <v>0</v>
      </c>
      <c r="AJ1976">
        <f t="shared" si="201"/>
        <v>0</v>
      </c>
      <c r="AK1976">
        <v>0</v>
      </c>
      <c r="AL1976" t="str">
        <f>IF(AA1976="","",IFERROR(IF(ISNUMBER('Procyclean 210'!F478),'Procyclean 210'!F478,IF(ISNUMBER(SEARCH("12",'Procyclean 210'!F478)),EDATE(AB1976,12),IF(ISNUMBER(SEARCH("6",'Procyclean 210'!F478)),EDATE(AB1976,6),IF(ISNUMBER(SEARCH("3",'Procyclean 210'!F478)),EDATE(AB1976,3),DATEVALUE('Procyclean 210'!F478))))),""))</f>
        <v/>
      </c>
      <c r="AM1976" t="str">
        <f t="shared" ca="1" si="202"/>
        <v/>
      </c>
    </row>
    <row r="1977" spans="27:39" x14ac:dyDescent="0.3">
      <c r="AA1977" t="str">
        <f>IF(COUNTA('Procyclean 210'!C479,'Procyclean 210'!D479,'Procyclean 210'!E479)&gt;0,"210","")</f>
        <v/>
      </c>
      <c r="AB1977" t="str">
        <f>IFERROR(IF(ISNUMBER('Procyclean 210'!C479),'Procyclean 210'!C479,DATEVALUE('Procyclean 210'!C479)),"")</f>
        <v/>
      </c>
      <c r="AC1977" t="str">
        <f>IF(AA1977="","",'Procyclean 210'!D479)</f>
        <v/>
      </c>
      <c r="AD1977" t="str">
        <f>IF(AA1977="","",IFERROR(1*'Procyclean 210'!E479,IFERROR(_xludf.NUMBERVALUE('Procyclean 210'!E479,".",","),IFERROR(_xludf.NUMBERVALUE('Procyclean 210'!E479,",","."),0))))</f>
        <v/>
      </c>
      <c r="AE1977" t="str">
        <f>IF(AA1977="","",'Procyclean 210'!B479)</f>
        <v/>
      </c>
      <c r="AF1977">
        <f t="shared" si="197"/>
        <v>0</v>
      </c>
      <c r="AG1977" t="str">
        <f t="shared" si="198"/>
        <v/>
      </c>
      <c r="AH1977" t="str">
        <f t="shared" si="199"/>
        <v/>
      </c>
      <c r="AI1977">
        <f t="shared" si="200"/>
        <v>0</v>
      </c>
      <c r="AJ1977">
        <f t="shared" si="201"/>
        <v>0</v>
      </c>
      <c r="AK1977">
        <v>0</v>
      </c>
      <c r="AL1977" t="str">
        <f>IF(AA1977="","",IFERROR(IF(ISNUMBER('Procyclean 210'!F479),'Procyclean 210'!F479,IF(ISNUMBER(SEARCH("12",'Procyclean 210'!F479)),EDATE(AB1977,12),IF(ISNUMBER(SEARCH("6",'Procyclean 210'!F479)),EDATE(AB1977,6),IF(ISNUMBER(SEARCH("3",'Procyclean 210'!F479)),EDATE(AB1977,3),DATEVALUE('Procyclean 210'!F479))))),""))</f>
        <v/>
      </c>
      <c r="AM1977" t="str">
        <f t="shared" ca="1" si="202"/>
        <v/>
      </c>
    </row>
    <row r="1978" spans="27:39" x14ac:dyDescent="0.3">
      <c r="AA1978" t="str">
        <f>IF(COUNTA('Procyclean 210'!C480,'Procyclean 210'!D480,'Procyclean 210'!E480)&gt;0,"210","")</f>
        <v/>
      </c>
      <c r="AB1978" t="str">
        <f>IFERROR(IF(ISNUMBER('Procyclean 210'!C480),'Procyclean 210'!C480,DATEVALUE('Procyclean 210'!C480)),"")</f>
        <v/>
      </c>
      <c r="AC1978" t="str">
        <f>IF(AA1978="","",'Procyclean 210'!D480)</f>
        <v/>
      </c>
      <c r="AD1978" t="str">
        <f>IF(AA1978="","",IFERROR(1*'Procyclean 210'!E480,IFERROR(_xludf.NUMBERVALUE('Procyclean 210'!E480,".",","),IFERROR(_xludf.NUMBERVALUE('Procyclean 210'!E480,",","."),0))))</f>
        <v/>
      </c>
      <c r="AE1978" t="str">
        <f>IF(AA1978="","",'Procyclean 210'!B480)</f>
        <v/>
      </c>
      <c r="AF1978">
        <f t="shared" si="197"/>
        <v>0</v>
      </c>
      <c r="AG1978" t="str">
        <f t="shared" si="198"/>
        <v/>
      </c>
      <c r="AH1978" t="str">
        <f t="shared" si="199"/>
        <v/>
      </c>
      <c r="AI1978">
        <f t="shared" si="200"/>
        <v>0</v>
      </c>
      <c r="AJ1978">
        <f t="shared" si="201"/>
        <v>0</v>
      </c>
      <c r="AK1978">
        <v>0</v>
      </c>
      <c r="AL1978" t="str">
        <f>IF(AA1978="","",IFERROR(IF(ISNUMBER('Procyclean 210'!F480),'Procyclean 210'!F480,IF(ISNUMBER(SEARCH("12",'Procyclean 210'!F480)),EDATE(AB1978,12),IF(ISNUMBER(SEARCH("6",'Procyclean 210'!F480)),EDATE(AB1978,6),IF(ISNUMBER(SEARCH("3",'Procyclean 210'!F480)),EDATE(AB1978,3),DATEVALUE('Procyclean 210'!F480))))),""))</f>
        <v/>
      </c>
      <c r="AM1978" t="str">
        <f t="shared" ca="1" si="202"/>
        <v/>
      </c>
    </row>
    <row r="1979" spans="27:39" x14ac:dyDescent="0.3">
      <c r="AA1979" t="str">
        <f>IF(COUNTA('Procyclean 210'!C481,'Procyclean 210'!D481,'Procyclean 210'!E481)&gt;0,"210","")</f>
        <v/>
      </c>
      <c r="AB1979" t="str">
        <f>IFERROR(IF(ISNUMBER('Procyclean 210'!C481),'Procyclean 210'!C481,DATEVALUE('Procyclean 210'!C481)),"")</f>
        <v/>
      </c>
      <c r="AC1979" t="str">
        <f>IF(AA1979="","",'Procyclean 210'!D481)</f>
        <v/>
      </c>
      <c r="AD1979" t="str">
        <f>IF(AA1979="","",IFERROR(1*'Procyclean 210'!E481,IFERROR(_xludf.NUMBERVALUE('Procyclean 210'!E481,".",","),IFERROR(_xludf.NUMBERVALUE('Procyclean 210'!E481,",","."),0))))</f>
        <v/>
      </c>
      <c r="AE1979" t="str">
        <f>IF(AA1979="","",'Procyclean 210'!B481)</f>
        <v/>
      </c>
      <c r="AF1979">
        <f t="shared" si="197"/>
        <v>0</v>
      </c>
      <c r="AG1979" t="str">
        <f t="shared" si="198"/>
        <v/>
      </c>
      <c r="AH1979" t="str">
        <f t="shared" si="199"/>
        <v/>
      </c>
      <c r="AI1979">
        <f t="shared" si="200"/>
        <v>0</v>
      </c>
      <c r="AJ1979">
        <f t="shared" si="201"/>
        <v>0</v>
      </c>
      <c r="AK1979">
        <v>0</v>
      </c>
      <c r="AL1979" t="str">
        <f>IF(AA1979="","",IFERROR(IF(ISNUMBER('Procyclean 210'!F481),'Procyclean 210'!F481,IF(ISNUMBER(SEARCH("12",'Procyclean 210'!F481)),EDATE(AB1979,12),IF(ISNUMBER(SEARCH("6",'Procyclean 210'!F481)),EDATE(AB1979,6),IF(ISNUMBER(SEARCH("3",'Procyclean 210'!F481)),EDATE(AB1979,3),DATEVALUE('Procyclean 210'!F481))))),""))</f>
        <v/>
      </c>
      <c r="AM1979" t="str">
        <f t="shared" ca="1" si="202"/>
        <v/>
      </c>
    </row>
    <row r="1980" spans="27:39" x14ac:dyDescent="0.3">
      <c r="AA1980" t="str">
        <f>IF(COUNTA('Procyclean 210'!C482,'Procyclean 210'!D482,'Procyclean 210'!E482)&gt;0,"210","")</f>
        <v/>
      </c>
      <c r="AB1980" t="str">
        <f>IFERROR(IF(ISNUMBER('Procyclean 210'!C482),'Procyclean 210'!C482,DATEVALUE('Procyclean 210'!C482)),"")</f>
        <v/>
      </c>
      <c r="AC1980" t="str">
        <f>IF(AA1980="","",'Procyclean 210'!D482)</f>
        <v/>
      </c>
      <c r="AD1980" t="str">
        <f>IF(AA1980="","",IFERROR(1*'Procyclean 210'!E482,IFERROR(_xludf.NUMBERVALUE('Procyclean 210'!E482,".",","),IFERROR(_xludf.NUMBERVALUE('Procyclean 210'!E482,",","."),0))))</f>
        <v/>
      </c>
      <c r="AE1980" t="str">
        <f>IF(AA1980="","",'Procyclean 210'!B482)</f>
        <v/>
      </c>
      <c r="AF1980">
        <f t="shared" si="197"/>
        <v>0</v>
      </c>
      <c r="AG1980" t="str">
        <f t="shared" si="198"/>
        <v/>
      </c>
      <c r="AH1980" t="str">
        <f t="shared" si="199"/>
        <v/>
      </c>
      <c r="AI1980">
        <f t="shared" si="200"/>
        <v>0</v>
      </c>
      <c r="AJ1980">
        <f t="shared" si="201"/>
        <v>0</v>
      </c>
      <c r="AK1980">
        <v>0</v>
      </c>
      <c r="AL1980" t="str">
        <f>IF(AA1980="","",IFERROR(IF(ISNUMBER('Procyclean 210'!F482),'Procyclean 210'!F482,IF(ISNUMBER(SEARCH("12",'Procyclean 210'!F482)),EDATE(AB1980,12),IF(ISNUMBER(SEARCH("6",'Procyclean 210'!F482)),EDATE(AB1980,6),IF(ISNUMBER(SEARCH("3",'Procyclean 210'!F482)),EDATE(AB1980,3),DATEVALUE('Procyclean 210'!F482))))),""))</f>
        <v/>
      </c>
      <c r="AM1980" t="str">
        <f t="shared" ca="1" si="202"/>
        <v/>
      </c>
    </row>
    <row r="1981" spans="27:39" x14ac:dyDescent="0.3">
      <c r="AA1981" t="str">
        <f>IF(COUNTA('Procyclean 210'!C483,'Procyclean 210'!D483,'Procyclean 210'!E483)&gt;0,"210","")</f>
        <v/>
      </c>
      <c r="AB1981" t="str">
        <f>IFERROR(IF(ISNUMBER('Procyclean 210'!C483),'Procyclean 210'!C483,DATEVALUE('Procyclean 210'!C483)),"")</f>
        <v/>
      </c>
      <c r="AC1981" t="str">
        <f>IF(AA1981="","",'Procyclean 210'!D483)</f>
        <v/>
      </c>
      <c r="AD1981" t="str">
        <f>IF(AA1981="","",IFERROR(1*'Procyclean 210'!E483,IFERROR(_xludf.NUMBERVALUE('Procyclean 210'!E483,".",","),IFERROR(_xludf.NUMBERVALUE('Procyclean 210'!E483,",","."),0))))</f>
        <v/>
      </c>
      <c r="AE1981" t="str">
        <f>IF(AA1981="","",'Procyclean 210'!B483)</f>
        <v/>
      </c>
      <c r="AF1981">
        <f t="shared" si="197"/>
        <v>0</v>
      </c>
      <c r="AG1981" t="str">
        <f t="shared" si="198"/>
        <v/>
      </c>
      <c r="AH1981" t="str">
        <f t="shared" si="199"/>
        <v/>
      </c>
      <c r="AI1981">
        <f t="shared" si="200"/>
        <v>0</v>
      </c>
      <c r="AJ1981">
        <f t="shared" si="201"/>
        <v>0</v>
      </c>
      <c r="AK1981">
        <v>0</v>
      </c>
      <c r="AL1981" t="str">
        <f>IF(AA1981="","",IFERROR(IF(ISNUMBER('Procyclean 210'!F483),'Procyclean 210'!F483,IF(ISNUMBER(SEARCH("12",'Procyclean 210'!F483)),EDATE(AB1981,12),IF(ISNUMBER(SEARCH("6",'Procyclean 210'!F483)),EDATE(AB1981,6),IF(ISNUMBER(SEARCH("3",'Procyclean 210'!F483)),EDATE(AB1981,3),DATEVALUE('Procyclean 210'!F483))))),""))</f>
        <v/>
      </c>
      <c r="AM1981" t="str">
        <f t="shared" ca="1" si="202"/>
        <v/>
      </c>
    </row>
    <row r="1982" spans="27:39" x14ac:dyDescent="0.3">
      <c r="AA1982" t="str">
        <f>IF(COUNTA('Procyclean 210'!C484,'Procyclean 210'!D484,'Procyclean 210'!E484)&gt;0,"210","")</f>
        <v/>
      </c>
      <c r="AB1982" t="str">
        <f>IFERROR(IF(ISNUMBER('Procyclean 210'!C484),'Procyclean 210'!C484,DATEVALUE('Procyclean 210'!C484)),"")</f>
        <v/>
      </c>
      <c r="AC1982" t="str">
        <f>IF(AA1982="","",'Procyclean 210'!D484)</f>
        <v/>
      </c>
      <c r="AD1982" t="str">
        <f>IF(AA1982="","",IFERROR(1*'Procyclean 210'!E484,IFERROR(_xludf.NUMBERVALUE('Procyclean 210'!E484,".",","),IFERROR(_xludf.NUMBERVALUE('Procyclean 210'!E484,",","."),0))))</f>
        <v/>
      </c>
      <c r="AE1982" t="str">
        <f>IF(AA1982="","",'Procyclean 210'!B484)</f>
        <v/>
      </c>
      <c r="AF1982">
        <f t="shared" si="197"/>
        <v>0</v>
      </c>
      <c r="AG1982" t="str">
        <f t="shared" si="198"/>
        <v/>
      </c>
      <c r="AH1982" t="str">
        <f t="shared" si="199"/>
        <v/>
      </c>
      <c r="AI1982">
        <f t="shared" si="200"/>
        <v>0</v>
      </c>
      <c r="AJ1982">
        <f t="shared" si="201"/>
        <v>0</v>
      </c>
      <c r="AK1982">
        <v>0</v>
      </c>
      <c r="AL1982" t="str">
        <f>IF(AA1982="","",IFERROR(IF(ISNUMBER('Procyclean 210'!F484),'Procyclean 210'!F484,IF(ISNUMBER(SEARCH("12",'Procyclean 210'!F484)),EDATE(AB1982,12),IF(ISNUMBER(SEARCH("6",'Procyclean 210'!F484)),EDATE(AB1982,6),IF(ISNUMBER(SEARCH("3",'Procyclean 210'!F484)),EDATE(AB1982,3),DATEVALUE('Procyclean 210'!F484))))),""))</f>
        <v/>
      </c>
      <c r="AM1982" t="str">
        <f t="shared" ca="1" si="202"/>
        <v/>
      </c>
    </row>
    <row r="1983" spans="27:39" x14ac:dyDescent="0.3">
      <c r="AA1983" t="str">
        <f>IF(COUNTA('Procyclean 210'!C485,'Procyclean 210'!D485,'Procyclean 210'!E485)&gt;0,"210","")</f>
        <v/>
      </c>
      <c r="AB1983" t="str">
        <f>IFERROR(IF(ISNUMBER('Procyclean 210'!C485),'Procyclean 210'!C485,DATEVALUE('Procyclean 210'!C485)),"")</f>
        <v/>
      </c>
      <c r="AC1983" t="str">
        <f>IF(AA1983="","",'Procyclean 210'!D485)</f>
        <v/>
      </c>
      <c r="AD1983" t="str">
        <f>IF(AA1983="","",IFERROR(1*'Procyclean 210'!E485,IFERROR(_xludf.NUMBERVALUE('Procyclean 210'!E485,".",","),IFERROR(_xludf.NUMBERVALUE('Procyclean 210'!E485,",","."),0))))</f>
        <v/>
      </c>
      <c r="AE1983" t="str">
        <f>IF(AA1983="","",'Procyclean 210'!B485)</f>
        <v/>
      </c>
      <c r="AF1983">
        <f t="shared" si="197"/>
        <v>0</v>
      </c>
      <c r="AG1983" t="str">
        <f t="shared" si="198"/>
        <v/>
      </c>
      <c r="AH1983" t="str">
        <f t="shared" si="199"/>
        <v/>
      </c>
      <c r="AI1983">
        <f t="shared" si="200"/>
        <v>0</v>
      </c>
      <c r="AJ1983">
        <f t="shared" si="201"/>
        <v>0</v>
      </c>
      <c r="AK1983">
        <v>0</v>
      </c>
      <c r="AL1983" t="str">
        <f>IF(AA1983="","",IFERROR(IF(ISNUMBER('Procyclean 210'!F485),'Procyclean 210'!F485,IF(ISNUMBER(SEARCH("12",'Procyclean 210'!F485)),EDATE(AB1983,12),IF(ISNUMBER(SEARCH("6",'Procyclean 210'!F485)),EDATE(AB1983,6),IF(ISNUMBER(SEARCH("3",'Procyclean 210'!F485)),EDATE(AB1983,3),DATEVALUE('Procyclean 210'!F485))))),""))</f>
        <v/>
      </c>
      <c r="AM1983" t="str">
        <f t="shared" ca="1" si="202"/>
        <v/>
      </c>
    </row>
    <row r="1984" spans="27:39" x14ac:dyDescent="0.3">
      <c r="AA1984" t="str">
        <f>IF(COUNTA('Procyclean 210'!C486,'Procyclean 210'!D486,'Procyclean 210'!E486)&gt;0,"210","")</f>
        <v/>
      </c>
      <c r="AB1984" t="str">
        <f>IFERROR(IF(ISNUMBER('Procyclean 210'!C486),'Procyclean 210'!C486,DATEVALUE('Procyclean 210'!C486)),"")</f>
        <v/>
      </c>
      <c r="AC1984" t="str">
        <f>IF(AA1984="","",'Procyclean 210'!D486)</f>
        <v/>
      </c>
      <c r="AD1984" t="str">
        <f>IF(AA1984="","",IFERROR(1*'Procyclean 210'!E486,IFERROR(_xludf.NUMBERVALUE('Procyclean 210'!E486,".",","),IFERROR(_xludf.NUMBERVALUE('Procyclean 210'!E486,",","."),0))))</f>
        <v/>
      </c>
      <c r="AE1984" t="str">
        <f>IF(AA1984="","",'Procyclean 210'!B486)</f>
        <v/>
      </c>
      <c r="AF1984">
        <f t="shared" si="197"/>
        <v>0</v>
      </c>
      <c r="AG1984" t="str">
        <f t="shared" si="198"/>
        <v/>
      </c>
      <c r="AH1984" t="str">
        <f t="shared" si="199"/>
        <v/>
      </c>
      <c r="AI1984">
        <f t="shared" si="200"/>
        <v>0</v>
      </c>
      <c r="AJ1984">
        <f t="shared" si="201"/>
        <v>0</v>
      </c>
      <c r="AK1984">
        <v>0</v>
      </c>
      <c r="AL1984" t="str">
        <f>IF(AA1984="","",IFERROR(IF(ISNUMBER('Procyclean 210'!F486),'Procyclean 210'!F486,IF(ISNUMBER(SEARCH("12",'Procyclean 210'!F486)),EDATE(AB1984,12),IF(ISNUMBER(SEARCH("6",'Procyclean 210'!F486)),EDATE(AB1984,6),IF(ISNUMBER(SEARCH("3",'Procyclean 210'!F486)),EDATE(AB1984,3),DATEVALUE('Procyclean 210'!F486))))),""))</f>
        <v/>
      </c>
      <c r="AM1984" t="str">
        <f t="shared" ca="1" si="202"/>
        <v/>
      </c>
    </row>
    <row r="1985" spans="27:39" x14ac:dyDescent="0.3">
      <c r="AA1985" t="str">
        <f>IF(COUNTA('Procyclean 210'!C487,'Procyclean 210'!D487,'Procyclean 210'!E487)&gt;0,"210","")</f>
        <v/>
      </c>
      <c r="AB1985" t="str">
        <f>IFERROR(IF(ISNUMBER('Procyclean 210'!C487),'Procyclean 210'!C487,DATEVALUE('Procyclean 210'!C487)),"")</f>
        <v/>
      </c>
      <c r="AC1985" t="str">
        <f>IF(AA1985="","",'Procyclean 210'!D487)</f>
        <v/>
      </c>
      <c r="AD1985" t="str">
        <f>IF(AA1985="","",IFERROR(1*'Procyclean 210'!E487,IFERROR(_xludf.NUMBERVALUE('Procyclean 210'!E487,".",","),IFERROR(_xludf.NUMBERVALUE('Procyclean 210'!E487,",","."),0))))</f>
        <v/>
      </c>
      <c r="AE1985" t="str">
        <f>IF(AA1985="","",'Procyclean 210'!B487)</f>
        <v/>
      </c>
      <c r="AF1985">
        <f t="shared" si="197"/>
        <v>0</v>
      </c>
      <c r="AG1985" t="str">
        <f t="shared" si="198"/>
        <v/>
      </c>
      <c r="AH1985" t="str">
        <f t="shared" si="199"/>
        <v/>
      </c>
      <c r="AI1985">
        <f t="shared" si="200"/>
        <v>0</v>
      </c>
      <c r="AJ1985">
        <f t="shared" si="201"/>
        <v>0</v>
      </c>
      <c r="AK1985">
        <v>0</v>
      </c>
      <c r="AL1985" t="str">
        <f>IF(AA1985="","",IFERROR(IF(ISNUMBER('Procyclean 210'!F487),'Procyclean 210'!F487,IF(ISNUMBER(SEARCH("12",'Procyclean 210'!F487)),EDATE(AB1985,12),IF(ISNUMBER(SEARCH("6",'Procyclean 210'!F487)),EDATE(AB1985,6),IF(ISNUMBER(SEARCH("3",'Procyclean 210'!F487)),EDATE(AB1985,3),DATEVALUE('Procyclean 210'!F487))))),""))</f>
        <v/>
      </c>
      <c r="AM1985" t="str">
        <f t="shared" ca="1" si="202"/>
        <v/>
      </c>
    </row>
    <row r="1986" spans="27:39" x14ac:dyDescent="0.3">
      <c r="AA1986" t="str">
        <f>IF(COUNTA('Procyclean 210'!C488,'Procyclean 210'!D488,'Procyclean 210'!E488)&gt;0,"210","")</f>
        <v/>
      </c>
      <c r="AB1986" t="str">
        <f>IFERROR(IF(ISNUMBER('Procyclean 210'!C488),'Procyclean 210'!C488,DATEVALUE('Procyclean 210'!C488)),"")</f>
        <v/>
      </c>
      <c r="AC1986" t="str">
        <f>IF(AA1986="","",'Procyclean 210'!D488)</f>
        <v/>
      </c>
      <c r="AD1986" t="str">
        <f>IF(AA1986="","",IFERROR(1*'Procyclean 210'!E488,IFERROR(_xludf.NUMBERVALUE('Procyclean 210'!E488,".",","),IFERROR(_xludf.NUMBERVALUE('Procyclean 210'!E488,",","."),0))))</f>
        <v/>
      </c>
      <c r="AE1986" t="str">
        <f>IF(AA1986="","",'Procyclean 210'!B488)</f>
        <v/>
      </c>
      <c r="AF1986">
        <f t="shared" ref="AF1986:AF2049" si="203">IF(AA1986="",0,--AND(ISNUMBER(SEARCH("aprov",AE1986)),NOT(ISNUMBER(SEARCH("reprov",AE1986)))))</f>
        <v>0</v>
      </c>
      <c r="AG1986" t="str">
        <f t="shared" ref="AG1986:AG2049" si="204">IF(AB1986="","",YEAR(AB1986))</f>
        <v/>
      </c>
      <c r="AH1986" t="str">
        <f t="shared" ref="AH1986:AH2049" si="205">IF(AB1986="","",MONTH(AB1986))</f>
        <v/>
      </c>
      <c r="AI1986">
        <f t="shared" ref="AI1986:AI2049" si="206">IF(AB1986="",0,AB1986+ROW()/1000000)</f>
        <v>0</v>
      </c>
      <c r="AJ1986">
        <f t="shared" ref="AJ1986:AJ2049" si="207">--(AA1986&lt;&gt;"")</f>
        <v>0</v>
      </c>
      <c r="AK1986">
        <v>0</v>
      </c>
      <c r="AL1986" t="str">
        <f>IF(AA1986="","",IFERROR(IF(ISNUMBER('Procyclean 210'!F488),'Procyclean 210'!F488,IF(ISNUMBER(SEARCH("12",'Procyclean 210'!F488)),EDATE(AB1986,12),IF(ISNUMBER(SEARCH("6",'Procyclean 210'!F488)),EDATE(AB1986,6),IF(ISNUMBER(SEARCH("3",'Procyclean 210'!F488)),EDATE(AB1986,3),DATEVALUE('Procyclean 210'!F488))))),""))</f>
        <v/>
      </c>
      <c r="AM1986" t="str">
        <f t="shared" ref="AM1986:AM2049" ca="1" si="208">IF(AND(AJ1986=1,AL1986&lt;&gt;"",AL1986&gt;=TODAY(),AG1986=$W$3),AL1986+ROW()/1000000,"")</f>
        <v/>
      </c>
    </row>
    <row r="1987" spans="27:39" x14ac:dyDescent="0.3">
      <c r="AA1987" t="str">
        <f>IF(COUNTA('Procyclean 210'!C489,'Procyclean 210'!D489,'Procyclean 210'!E489)&gt;0,"210","")</f>
        <v/>
      </c>
      <c r="AB1987" t="str">
        <f>IFERROR(IF(ISNUMBER('Procyclean 210'!C489),'Procyclean 210'!C489,DATEVALUE('Procyclean 210'!C489)),"")</f>
        <v/>
      </c>
      <c r="AC1987" t="str">
        <f>IF(AA1987="","",'Procyclean 210'!D489)</f>
        <v/>
      </c>
      <c r="AD1987" t="str">
        <f>IF(AA1987="","",IFERROR(1*'Procyclean 210'!E489,IFERROR(_xludf.NUMBERVALUE('Procyclean 210'!E489,".",","),IFERROR(_xludf.NUMBERVALUE('Procyclean 210'!E489,",","."),0))))</f>
        <v/>
      </c>
      <c r="AE1987" t="str">
        <f>IF(AA1987="","",'Procyclean 210'!B489)</f>
        <v/>
      </c>
      <c r="AF1987">
        <f t="shared" si="203"/>
        <v>0</v>
      </c>
      <c r="AG1987" t="str">
        <f t="shared" si="204"/>
        <v/>
      </c>
      <c r="AH1987" t="str">
        <f t="shared" si="205"/>
        <v/>
      </c>
      <c r="AI1987">
        <f t="shared" si="206"/>
        <v>0</v>
      </c>
      <c r="AJ1987">
        <f t="shared" si="207"/>
        <v>0</v>
      </c>
      <c r="AK1987">
        <v>0</v>
      </c>
      <c r="AL1987" t="str">
        <f>IF(AA1987="","",IFERROR(IF(ISNUMBER('Procyclean 210'!F489),'Procyclean 210'!F489,IF(ISNUMBER(SEARCH("12",'Procyclean 210'!F489)),EDATE(AB1987,12),IF(ISNUMBER(SEARCH("6",'Procyclean 210'!F489)),EDATE(AB1987,6),IF(ISNUMBER(SEARCH("3",'Procyclean 210'!F489)),EDATE(AB1987,3),DATEVALUE('Procyclean 210'!F489))))),""))</f>
        <v/>
      </c>
      <c r="AM1987" t="str">
        <f t="shared" ca="1" si="208"/>
        <v/>
      </c>
    </row>
    <row r="1988" spans="27:39" x14ac:dyDescent="0.3">
      <c r="AA1988" t="str">
        <f>IF(COUNTA('Procyclean 210'!C490,'Procyclean 210'!D490,'Procyclean 210'!E490)&gt;0,"210","")</f>
        <v/>
      </c>
      <c r="AB1988" t="str">
        <f>IFERROR(IF(ISNUMBER('Procyclean 210'!C490),'Procyclean 210'!C490,DATEVALUE('Procyclean 210'!C490)),"")</f>
        <v/>
      </c>
      <c r="AC1988" t="str">
        <f>IF(AA1988="","",'Procyclean 210'!D490)</f>
        <v/>
      </c>
      <c r="AD1988" t="str">
        <f>IF(AA1988="","",IFERROR(1*'Procyclean 210'!E490,IFERROR(_xludf.NUMBERVALUE('Procyclean 210'!E490,".",","),IFERROR(_xludf.NUMBERVALUE('Procyclean 210'!E490,",","."),0))))</f>
        <v/>
      </c>
      <c r="AE1988" t="str">
        <f>IF(AA1988="","",'Procyclean 210'!B490)</f>
        <v/>
      </c>
      <c r="AF1988">
        <f t="shared" si="203"/>
        <v>0</v>
      </c>
      <c r="AG1988" t="str">
        <f t="shared" si="204"/>
        <v/>
      </c>
      <c r="AH1988" t="str">
        <f t="shared" si="205"/>
        <v/>
      </c>
      <c r="AI1988">
        <f t="shared" si="206"/>
        <v>0</v>
      </c>
      <c r="AJ1988">
        <f t="shared" si="207"/>
        <v>0</v>
      </c>
      <c r="AK1988">
        <v>0</v>
      </c>
      <c r="AL1988" t="str">
        <f>IF(AA1988="","",IFERROR(IF(ISNUMBER('Procyclean 210'!F490),'Procyclean 210'!F490,IF(ISNUMBER(SEARCH("12",'Procyclean 210'!F490)),EDATE(AB1988,12),IF(ISNUMBER(SEARCH("6",'Procyclean 210'!F490)),EDATE(AB1988,6),IF(ISNUMBER(SEARCH("3",'Procyclean 210'!F490)),EDATE(AB1988,3),DATEVALUE('Procyclean 210'!F490))))),""))</f>
        <v/>
      </c>
      <c r="AM1988" t="str">
        <f t="shared" ca="1" si="208"/>
        <v/>
      </c>
    </row>
    <row r="1989" spans="27:39" x14ac:dyDescent="0.3">
      <c r="AA1989" t="str">
        <f>IF(COUNTA('Procyclean 210'!C491,'Procyclean 210'!D491,'Procyclean 210'!E491)&gt;0,"210","")</f>
        <v/>
      </c>
      <c r="AB1989" t="str">
        <f>IFERROR(IF(ISNUMBER('Procyclean 210'!C491),'Procyclean 210'!C491,DATEVALUE('Procyclean 210'!C491)),"")</f>
        <v/>
      </c>
      <c r="AC1989" t="str">
        <f>IF(AA1989="","",'Procyclean 210'!D491)</f>
        <v/>
      </c>
      <c r="AD1989" t="str">
        <f>IF(AA1989="","",IFERROR(1*'Procyclean 210'!E491,IFERROR(_xludf.NUMBERVALUE('Procyclean 210'!E491,".",","),IFERROR(_xludf.NUMBERVALUE('Procyclean 210'!E491,",","."),0))))</f>
        <v/>
      </c>
      <c r="AE1989" t="str">
        <f>IF(AA1989="","",'Procyclean 210'!B491)</f>
        <v/>
      </c>
      <c r="AF1989">
        <f t="shared" si="203"/>
        <v>0</v>
      </c>
      <c r="AG1989" t="str">
        <f t="shared" si="204"/>
        <v/>
      </c>
      <c r="AH1989" t="str">
        <f t="shared" si="205"/>
        <v/>
      </c>
      <c r="AI1989">
        <f t="shared" si="206"/>
        <v>0</v>
      </c>
      <c r="AJ1989">
        <f t="shared" si="207"/>
        <v>0</v>
      </c>
      <c r="AK1989">
        <v>0</v>
      </c>
      <c r="AL1989" t="str">
        <f>IF(AA1989="","",IFERROR(IF(ISNUMBER('Procyclean 210'!F491),'Procyclean 210'!F491,IF(ISNUMBER(SEARCH("12",'Procyclean 210'!F491)),EDATE(AB1989,12),IF(ISNUMBER(SEARCH("6",'Procyclean 210'!F491)),EDATE(AB1989,6),IF(ISNUMBER(SEARCH("3",'Procyclean 210'!F491)),EDATE(AB1989,3),DATEVALUE('Procyclean 210'!F491))))),""))</f>
        <v/>
      </c>
      <c r="AM1989" t="str">
        <f t="shared" ca="1" si="208"/>
        <v/>
      </c>
    </row>
    <row r="1990" spans="27:39" x14ac:dyDescent="0.3">
      <c r="AA1990" t="str">
        <f>IF(COUNTA('Procyclean 210'!C492,'Procyclean 210'!D492,'Procyclean 210'!E492)&gt;0,"210","")</f>
        <v/>
      </c>
      <c r="AB1990" t="str">
        <f>IFERROR(IF(ISNUMBER('Procyclean 210'!C492),'Procyclean 210'!C492,DATEVALUE('Procyclean 210'!C492)),"")</f>
        <v/>
      </c>
      <c r="AC1990" t="str">
        <f>IF(AA1990="","",'Procyclean 210'!D492)</f>
        <v/>
      </c>
      <c r="AD1990" t="str">
        <f>IF(AA1990="","",IFERROR(1*'Procyclean 210'!E492,IFERROR(_xludf.NUMBERVALUE('Procyclean 210'!E492,".",","),IFERROR(_xludf.NUMBERVALUE('Procyclean 210'!E492,",","."),0))))</f>
        <v/>
      </c>
      <c r="AE1990" t="str">
        <f>IF(AA1990="","",'Procyclean 210'!B492)</f>
        <v/>
      </c>
      <c r="AF1990">
        <f t="shared" si="203"/>
        <v>0</v>
      </c>
      <c r="AG1990" t="str">
        <f t="shared" si="204"/>
        <v/>
      </c>
      <c r="AH1990" t="str">
        <f t="shared" si="205"/>
        <v/>
      </c>
      <c r="AI1990">
        <f t="shared" si="206"/>
        <v>0</v>
      </c>
      <c r="AJ1990">
        <f t="shared" si="207"/>
        <v>0</v>
      </c>
      <c r="AK1990">
        <v>0</v>
      </c>
      <c r="AL1990" t="str">
        <f>IF(AA1990="","",IFERROR(IF(ISNUMBER('Procyclean 210'!F492),'Procyclean 210'!F492,IF(ISNUMBER(SEARCH("12",'Procyclean 210'!F492)),EDATE(AB1990,12),IF(ISNUMBER(SEARCH("6",'Procyclean 210'!F492)),EDATE(AB1990,6),IF(ISNUMBER(SEARCH("3",'Procyclean 210'!F492)),EDATE(AB1990,3),DATEVALUE('Procyclean 210'!F492))))),""))</f>
        <v/>
      </c>
      <c r="AM1990" t="str">
        <f t="shared" ca="1" si="208"/>
        <v/>
      </c>
    </row>
    <row r="1991" spans="27:39" x14ac:dyDescent="0.3">
      <c r="AA1991" t="str">
        <f>IF(COUNTA('Procyclean 210'!C493,'Procyclean 210'!D493,'Procyclean 210'!E493)&gt;0,"210","")</f>
        <v/>
      </c>
      <c r="AB1991" t="str">
        <f>IFERROR(IF(ISNUMBER('Procyclean 210'!C493),'Procyclean 210'!C493,DATEVALUE('Procyclean 210'!C493)),"")</f>
        <v/>
      </c>
      <c r="AC1991" t="str">
        <f>IF(AA1991="","",'Procyclean 210'!D493)</f>
        <v/>
      </c>
      <c r="AD1991" t="str">
        <f>IF(AA1991="","",IFERROR(1*'Procyclean 210'!E493,IFERROR(_xludf.NUMBERVALUE('Procyclean 210'!E493,".",","),IFERROR(_xludf.NUMBERVALUE('Procyclean 210'!E493,",","."),0))))</f>
        <v/>
      </c>
      <c r="AE1991" t="str">
        <f>IF(AA1991="","",'Procyclean 210'!B493)</f>
        <v/>
      </c>
      <c r="AF1991">
        <f t="shared" si="203"/>
        <v>0</v>
      </c>
      <c r="AG1991" t="str">
        <f t="shared" si="204"/>
        <v/>
      </c>
      <c r="AH1991" t="str">
        <f t="shared" si="205"/>
        <v/>
      </c>
      <c r="AI1991">
        <f t="shared" si="206"/>
        <v>0</v>
      </c>
      <c r="AJ1991">
        <f t="shared" si="207"/>
        <v>0</v>
      </c>
      <c r="AK1991">
        <v>0</v>
      </c>
      <c r="AL1991" t="str">
        <f>IF(AA1991="","",IFERROR(IF(ISNUMBER('Procyclean 210'!F493),'Procyclean 210'!F493,IF(ISNUMBER(SEARCH("12",'Procyclean 210'!F493)),EDATE(AB1991,12),IF(ISNUMBER(SEARCH("6",'Procyclean 210'!F493)),EDATE(AB1991,6),IF(ISNUMBER(SEARCH("3",'Procyclean 210'!F493)),EDATE(AB1991,3),DATEVALUE('Procyclean 210'!F493))))),""))</f>
        <v/>
      </c>
      <c r="AM1991" t="str">
        <f t="shared" ca="1" si="208"/>
        <v/>
      </c>
    </row>
    <row r="1992" spans="27:39" x14ac:dyDescent="0.3">
      <c r="AA1992" t="str">
        <f>IF(COUNTA('Procyclean 210'!C494,'Procyclean 210'!D494,'Procyclean 210'!E494)&gt;0,"210","")</f>
        <v/>
      </c>
      <c r="AB1992" t="str">
        <f>IFERROR(IF(ISNUMBER('Procyclean 210'!C494),'Procyclean 210'!C494,DATEVALUE('Procyclean 210'!C494)),"")</f>
        <v/>
      </c>
      <c r="AC1992" t="str">
        <f>IF(AA1992="","",'Procyclean 210'!D494)</f>
        <v/>
      </c>
      <c r="AD1992" t="str">
        <f>IF(AA1992="","",IFERROR(1*'Procyclean 210'!E494,IFERROR(_xludf.NUMBERVALUE('Procyclean 210'!E494,".",","),IFERROR(_xludf.NUMBERVALUE('Procyclean 210'!E494,",","."),0))))</f>
        <v/>
      </c>
      <c r="AE1992" t="str">
        <f>IF(AA1992="","",'Procyclean 210'!B494)</f>
        <v/>
      </c>
      <c r="AF1992">
        <f t="shared" si="203"/>
        <v>0</v>
      </c>
      <c r="AG1992" t="str">
        <f t="shared" si="204"/>
        <v/>
      </c>
      <c r="AH1992" t="str">
        <f t="shared" si="205"/>
        <v/>
      </c>
      <c r="AI1992">
        <f t="shared" si="206"/>
        <v>0</v>
      </c>
      <c r="AJ1992">
        <f t="shared" si="207"/>
        <v>0</v>
      </c>
      <c r="AK1992">
        <v>0</v>
      </c>
      <c r="AL1992" t="str">
        <f>IF(AA1992="","",IFERROR(IF(ISNUMBER('Procyclean 210'!F494),'Procyclean 210'!F494,IF(ISNUMBER(SEARCH("12",'Procyclean 210'!F494)),EDATE(AB1992,12),IF(ISNUMBER(SEARCH("6",'Procyclean 210'!F494)),EDATE(AB1992,6),IF(ISNUMBER(SEARCH("3",'Procyclean 210'!F494)),EDATE(AB1992,3),DATEVALUE('Procyclean 210'!F494))))),""))</f>
        <v/>
      </c>
      <c r="AM1992" t="str">
        <f t="shared" ca="1" si="208"/>
        <v/>
      </c>
    </row>
    <row r="1993" spans="27:39" x14ac:dyDescent="0.3">
      <c r="AA1993" t="str">
        <f>IF(COUNTA('Procyclean 210'!C495,'Procyclean 210'!D495,'Procyclean 210'!E495)&gt;0,"210","")</f>
        <v/>
      </c>
      <c r="AB1993" t="str">
        <f>IFERROR(IF(ISNUMBER('Procyclean 210'!C495),'Procyclean 210'!C495,DATEVALUE('Procyclean 210'!C495)),"")</f>
        <v/>
      </c>
      <c r="AC1993" t="str">
        <f>IF(AA1993="","",'Procyclean 210'!D495)</f>
        <v/>
      </c>
      <c r="AD1993" t="str">
        <f>IF(AA1993="","",IFERROR(1*'Procyclean 210'!E495,IFERROR(_xludf.NUMBERVALUE('Procyclean 210'!E495,".",","),IFERROR(_xludf.NUMBERVALUE('Procyclean 210'!E495,",","."),0))))</f>
        <v/>
      </c>
      <c r="AE1993" t="str">
        <f>IF(AA1993="","",'Procyclean 210'!B495)</f>
        <v/>
      </c>
      <c r="AF1993">
        <f t="shared" si="203"/>
        <v>0</v>
      </c>
      <c r="AG1993" t="str">
        <f t="shared" si="204"/>
        <v/>
      </c>
      <c r="AH1993" t="str">
        <f t="shared" si="205"/>
        <v/>
      </c>
      <c r="AI1993">
        <f t="shared" si="206"/>
        <v>0</v>
      </c>
      <c r="AJ1993">
        <f t="shared" si="207"/>
        <v>0</v>
      </c>
      <c r="AK1993">
        <v>0</v>
      </c>
      <c r="AL1993" t="str">
        <f>IF(AA1993="","",IFERROR(IF(ISNUMBER('Procyclean 210'!F495),'Procyclean 210'!F495,IF(ISNUMBER(SEARCH("12",'Procyclean 210'!F495)),EDATE(AB1993,12),IF(ISNUMBER(SEARCH("6",'Procyclean 210'!F495)),EDATE(AB1993,6),IF(ISNUMBER(SEARCH("3",'Procyclean 210'!F495)),EDATE(AB1993,3),DATEVALUE('Procyclean 210'!F495))))),""))</f>
        <v/>
      </c>
      <c r="AM1993" t="str">
        <f t="shared" ca="1" si="208"/>
        <v/>
      </c>
    </row>
    <row r="1994" spans="27:39" x14ac:dyDescent="0.3">
      <c r="AA1994" t="str">
        <f>IF(COUNTA('Procyclean 210'!C496,'Procyclean 210'!D496,'Procyclean 210'!E496)&gt;0,"210","")</f>
        <v/>
      </c>
      <c r="AB1994" t="str">
        <f>IFERROR(IF(ISNUMBER('Procyclean 210'!C496),'Procyclean 210'!C496,DATEVALUE('Procyclean 210'!C496)),"")</f>
        <v/>
      </c>
      <c r="AC1994" t="str">
        <f>IF(AA1994="","",'Procyclean 210'!D496)</f>
        <v/>
      </c>
      <c r="AD1994" t="str">
        <f>IF(AA1994="","",IFERROR(1*'Procyclean 210'!E496,IFERROR(_xludf.NUMBERVALUE('Procyclean 210'!E496,".",","),IFERROR(_xludf.NUMBERVALUE('Procyclean 210'!E496,",","."),0))))</f>
        <v/>
      </c>
      <c r="AE1994" t="str">
        <f>IF(AA1994="","",'Procyclean 210'!B496)</f>
        <v/>
      </c>
      <c r="AF1994">
        <f t="shared" si="203"/>
        <v>0</v>
      </c>
      <c r="AG1994" t="str">
        <f t="shared" si="204"/>
        <v/>
      </c>
      <c r="AH1994" t="str">
        <f t="shared" si="205"/>
        <v/>
      </c>
      <c r="AI1994">
        <f t="shared" si="206"/>
        <v>0</v>
      </c>
      <c r="AJ1994">
        <f t="shared" si="207"/>
        <v>0</v>
      </c>
      <c r="AK1994">
        <v>0</v>
      </c>
      <c r="AL1994" t="str">
        <f>IF(AA1994="","",IFERROR(IF(ISNUMBER('Procyclean 210'!F496),'Procyclean 210'!F496,IF(ISNUMBER(SEARCH("12",'Procyclean 210'!F496)),EDATE(AB1994,12),IF(ISNUMBER(SEARCH("6",'Procyclean 210'!F496)),EDATE(AB1994,6),IF(ISNUMBER(SEARCH("3",'Procyclean 210'!F496)),EDATE(AB1994,3),DATEVALUE('Procyclean 210'!F496))))),""))</f>
        <v/>
      </c>
      <c r="AM1994" t="str">
        <f t="shared" ca="1" si="208"/>
        <v/>
      </c>
    </row>
    <row r="1995" spans="27:39" x14ac:dyDescent="0.3">
      <c r="AA1995" t="str">
        <f>IF(COUNTA('Procyclean 210'!C497,'Procyclean 210'!D497,'Procyclean 210'!E497)&gt;0,"210","")</f>
        <v/>
      </c>
      <c r="AB1995" t="str">
        <f>IFERROR(IF(ISNUMBER('Procyclean 210'!C497),'Procyclean 210'!C497,DATEVALUE('Procyclean 210'!C497)),"")</f>
        <v/>
      </c>
      <c r="AC1995" t="str">
        <f>IF(AA1995="","",'Procyclean 210'!D497)</f>
        <v/>
      </c>
      <c r="AD1995" t="str">
        <f>IF(AA1995="","",IFERROR(1*'Procyclean 210'!E497,IFERROR(_xludf.NUMBERVALUE('Procyclean 210'!E497,".",","),IFERROR(_xludf.NUMBERVALUE('Procyclean 210'!E497,",","."),0))))</f>
        <v/>
      </c>
      <c r="AE1995" t="str">
        <f>IF(AA1995="","",'Procyclean 210'!B497)</f>
        <v/>
      </c>
      <c r="AF1995">
        <f t="shared" si="203"/>
        <v>0</v>
      </c>
      <c r="AG1995" t="str">
        <f t="shared" si="204"/>
        <v/>
      </c>
      <c r="AH1995" t="str">
        <f t="shared" si="205"/>
        <v/>
      </c>
      <c r="AI1995">
        <f t="shared" si="206"/>
        <v>0</v>
      </c>
      <c r="AJ1995">
        <f t="shared" si="207"/>
        <v>0</v>
      </c>
      <c r="AK1995">
        <v>0</v>
      </c>
      <c r="AL1995" t="str">
        <f>IF(AA1995="","",IFERROR(IF(ISNUMBER('Procyclean 210'!F497),'Procyclean 210'!F497,IF(ISNUMBER(SEARCH("12",'Procyclean 210'!F497)),EDATE(AB1995,12),IF(ISNUMBER(SEARCH("6",'Procyclean 210'!F497)),EDATE(AB1995,6),IF(ISNUMBER(SEARCH("3",'Procyclean 210'!F497)),EDATE(AB1995,3),DATEVALUE('Procyclean 210'!F497))))),""))</f>
        <v/>
      </c>
      <c r="AM1995" t="str">
        <f t="shared" ca="1" si="208"/>
        <v/>
      </c>
    </row>
    <row r="1996" spans="27:39" x14ac:dyDescent="0.3">
      <c r="AA1996" t="str">
        <f>IF(COUNTA('Procyclean 210'!C498,'Procyclean 210'!D498,'Procyclean 210'!E498)&gt;0,"210","")</f>
        <v/>
      </c>
      <c r="AB1996" t="str">
        <f>IFERROR(IF(ISNUMBER('Procyclean 210'!C498),'Procyclean 210'!C498,DATEVALUE('Procyclean 210'!C498)),"")</f>
        <v/>
      </c>
      <c r="AC1996" t="str">
        <f>IF(AA1996="","",'Procyclean 210'!D498)</f>
        <v/>
      </c>
      <c r="AD1996" t="str">
        <f>IF(AA1996="","",IFERROR(1*'Procyclean 210'!E498,IFERROR(_xludf.NUMBERVALUE('Procyclean 210'!E498,".",","),IFERROR(_xludf.NUMBERVALUE('Procyclean 210'!E498,",","."),0))))</f>
        <v/>
      </c>
      <c r="AE1996" t="str">
        <f>IF(AA1996="","",'Procyclean 210'!B498)</f>
        <v/>
      </c>
      <c r="AF1996">
        <f t="shared" si="203"/>
        <v>0</v>
      </c>
      <c r="AG1996" t="str">
        <f t="shared" si="204"/>
        <v/>
      </c>
      <c r="AH1996" t="str">
        <f t="shared" si="205"/>
        <v/>
      </c>
      <c r="AI1996">
        <f t="shared" si="206"/>
        <v>0</v>
      </c>
      <c r="AJ1996">
        <f t="shared" si="207"/>
        <v>0</v>
      </c>
      <c r="AK1996">
        <v>0</v>
      </c>
      <c r="AL1996" t="str">
        <f>IF(AA1996="","",IFERROR(IF(ISNUMBER('Procyclean 210'!F498),'Procyclean 210'!F498,IF(ISNUMBER(SEARCH("12",'Procyclean 210'!F498)),EDATE(AB1996,12),IF(ISNUMBER(SEARCH("6",'Procyclean 210'!F498)),EDATE(AB1996,6),IF(ISNUMBER(SEARCH("3",'Procyclean 210'!F498)),EDATE(AB1996,3),DATEVALUE('Procyclean 210'!F498))))),""))</f>
        <v/>
      </c>
      <c r="AM1996" t="str">
        <f t="shared" ca="1" si="208"/>
        <v/>
      </c>
    </row>
    <row r="1997" spans="27:39" x14ac:dyDescent="0.3">
      <c r="AA1997" t="str">
        <f>IF(COUNTA('Procyclean 210'!C499,'Procyclean 210'!D499,'Procyclean 210'!E499)&gt;0,"210","")</f>
        <v/>
      </c>
      <c r="AB1997" t="str">
        <f>IFERROR(IF(ISNUMBER('Procyclean 210'!C499),'Procyclean 210'!C499,DATEVALUE('Procyclean 210'!C499)),"")</f>
        <v/>
      </c>
      <c r="AC1997" t="str">
        <f>IF(AA1997="","",'Procyclean 210'!D499)</f>
        <v/>
      </c>
      <c r="AD1997" t="str">
        <f>IF(AA1997="","",IFERROR(1*'Procyclean 210'!E499,IFERROR(_xludf.NUMBERVALUE('Procyclean 210'!E499,".",","),IFERROR(_xludf.NUMBERVALUE('Procyclean 210'!E499,",","."),0))))</f>
        <v/>
      </c>
      <c r="AE1997" t="str">
        <f>IF(AA1997="","",'Procyclean 210'!B499)</f>
        <v/>
      </c>
      <c r="AF1997">
        <f t="shared" si="203"/>
        <v>0</v>
      </c>
      <c r="AG1997" t="str">
        <f t="shared" si="204"/>
        <v/>
      </c>
      <c r="AH1997" t="str">
        <f t="shared" si="205"/>
        <v/>
      </c>
      <c r="AI1997">
        <f t="shared" si="206"/>
        <v>0</v>
      </c>
      <c r="AJ1997">
        <f t="shared" si="207"/>
        <v>0</v>
      </c>
      <c r="AK1997">
        <v>0</v>
      </c>
      <c r="AL1997" t="str">
        <f>IF(AA1997="","",IFERROR(IF(ISNUMBER('Procyclean 210'!F499),'Procyclean 210'!F499,IF(ISNUMBER(SEARCH("12",'Procyclean 210'!F499)),EDATE(AB1997,12),IF(ISNUMBER(SEARCH("6",'Procyclean 210'!F499)),EDATE(AB1997,6),IF(ISNUMBER(SEARCH("3",'Procyclean 210'!F499)),EDATE(AB1997,3),DATEVALUE('Procyclean 210'!F499))))),""))</f>
        <v/>
      </c>
      <c r="AM1997" t="str">
        <f t="shared" ca="1" si="208"/>
        <v/>
      </c>
    </row>
    <row r="1998" spans="27:39" x14ac:dyDescent="0.3">
      <c r="AA1998" t="str">
        <f>IF(COUNTA('Procyclean 210'!C500,'Procyclean 210'!D500,'Procyclean 210'!E500)&gt;0,"210","")</f>
        <v/>
      </c>
      <c r="AB1998" t="str">
        <f>IFERROR(IF(ISNUMBER('Procyclean 210'!C500),'Procyclean 210'!C500,DATEVALUE('Procyclean 210'!C500)),"")</f>
        <v/>
      </c>
      <c r="AC1998" t="str">
        <f>IF(AA1998="","",'Procyclean 210'!D500)</f>
        <v/>
      </c>
      <c r="AD1998" t="str">
        <f>IF(AA1998="","",IFERROR(1*'Procyclean 210'!E500,IFERROR(_xludf.NUMBERVALUE('Procyclean 210'!E500,".",","),IFERROR(_xludf.NUMBERVALUE('Procyclean 210'!E500,",","."),0))))</f>
        <v/>
      </c>
      <c r="AE1998" t="str">
        <f>IF(AA1998="","",'Procyclean 210'!B500)</f>
        <v/>
      </c>
      <c r="AF1998">
        <f t="shared" si="203"/>
        <v>0</v>
      </c>
      <c r="AG1998" t="str">
        <f t="shared" si="204"/>
        <v/>
      </c>
      <c r="AH1998" t="str">
        <f t="shared" si="205"/>
        <v/>
      </c>
      <c r="AI1998">
        <f t="shared" si="206"/>
        <v>0</v>
      </c>
      <c r="AJ1998">
        <f t="shared" si="207"/>
        <v>0</v>
      </c>
      <c r="AK1998">
        <v>0</v>
      </c>
      <c r="AL1998" t="str">
        <f>IF(AA1998="","",IFERROR(IF(ISNUMBER('Procyclean 210'!F500),'Procyclean 210'!F500,IF(ISNUMBER(SEARCH("12",'Procyclean 210'!F500)),EDATE(AB1998,12),IF(ISNUMBER(SEARCH("6",'Procyclean 210'!F500)),EDATE(AB1998,6),IF(ISNUMBER(SEARCH("3",'Procyclean 210'!F500)),EDATE(AB1998,3),DATEVALUE('Procyclean 210'!F500))))),""))</f>
        <v/>
      </c>
      <c r="AM1998" t="str">
        <f t="shared" ca="1" si="208"/>
        <v/>
      </c>
    </row>
    <row r="1999" spans="27:39" x14ac:dyDescent="0.3">
      <c r="AA1999" t="str">
        <f>IF(COUNTA('Procyclean 210'!C501,'Procyclean 210'!D501,'Procyclean 210'!E501)&gt;0,"210","")</f>
        <v/>
      </c>
      <c r="AB1999" t="str">
        <f>IFERROR(IF(ISNUMBER('Procyclean 210'!C501),'Procyclean 210'!C501,DATEVALUE('Procyclean 210'!C501)),"")</f>
        <v/>
      </c>
      <c r="AC1999" t="str">
        <f>IF(AA1999="","",'Procyclean 210'!D501)</f>
        <v/>
      </c>
      <c r="AD1999" t="str">
        <f>IF(AA1999="","",IFERROR(1*'Procyclean 210'!E501,IFERROR(_xludf.NUMBERVALUE('Procyclean 210'!E501,".",","),IFERROR(_xludf.NUMBERVALUE('Procyclean 210'!E501,",","."),0))))</f>
        <v/>
      </c>
      <c r="AE1999" t="str">
        <f>IF(AA1999="","",'Procyclean 210'!B501)</f>
        <v/>
      </c>
      <c r="AF1999">
        <f t="shared" si="203"/>
        <v>0</v>
      </c>
      <c r="AG1999" t="str">
        <f t="shared" si="204"/>
        <v/>
      </c>
      <c r="AH1999" t="str">
        <f t="shared" si="205"/>
        <v/>
      </c>
      <c r="AI1999">
        <f t="shared" si="206"/>
        <v>0</v>
      </c>
      <c r="AJ1999">
        <f t="shared" si="207"/>
        <v>0</v>
      </c>
      <c r="AK1999">
        <v>0</v>
      </c>
      <c r="AL1999" t="str">
        <f>IF(AA1999="","",IFERROR(IF(ISNUMBER('Procyclean 210'!F501),'Procyclean 210'!F501,IF(ISNUMBER(SEARCH("12",'Procyclean 210'!F501)),EDATE(AB1999,12),IF(ISNUMBER(SEARCH("6",'Procyclean 210'!F501)),EDATE(AB1999,6),IF(ISNUMBER(SEARCH("3",'Procyclean 210'!F501)),EDATE(AB1999,3),DATEVALUE('Procyclean 210'!F501))))),""))</f>
        <v/>
      </c>
      <c r="AM1999" t="str">
        <f t="shared" ca="1" si="208"/>
        <v/>
      </c>
    </row>
    <row r="2000" spans="27:39" x14ac:dyDescent="0.3">
      <c r="AA2000" t="str">
        <f>IF(COUNTA('Procyclean 210'!C502,'Procyclean 210'!D502,'Procyclean 210'!E502)&gt;0,"210","")</f>
        <v/>
      </c>
      <c r="AB2000" t="str">
        <f>IFERROR(IF(ISNUMBER('Procyclean 210'!C502),'Procyclean 210'!C502,DATEVALUE('Procyclean 210'!C502)),"")</f>
        <v/>
      </c>
      <c r="AC2000" t="str">
        <f>IF(AA2000="","",'Procyclean 210'!D502)</f>
        <v/>
      </c>
      <c r="AD2000" t="str">
        <f>IF(AA2000="","",IFERROR(1*'Procyclean 210'!E502,IFERROR(_xludf.NUMBERVALUE('Procyclean 210'!E502,".",","),IFERROR(_xludf.NUMBERVALUE('Procyclean 210'!E502,",","."),0))))</f>
        <v/>
      </c>
      <c r="AE2000" t="str">
        <f>IF(AA2000="","",'Procyclean 210'!B502)</f>
        <v/>
      </c>
      <c r="AF2000">
        <f t="shared" si="203"/>
        <v>0</v>
      </c>
      <c r="AG2000" t="str">
        <f t="shared" si="204"/>
        <v/>
      </c>
      <c r="AH2000" t="str">
        <f t="shared" si="205"/>
        <v/>
      </c>
      <c r="AI2000">
        <f t="shared" si="206"/>
        <v>0</v>
      </c>
      <c r="AJ2000">
        <f t="shared" si="207"/>
        <v>0</v>
      </c>
      <c r="AK2000">
        <v>0</v>
      </c>
      <c r="AL2000" t="str">
        <f>IF(AA2000="","",IFERROR(IF(ISNUMBER('Procyclean 210'!F502),'Procyclean 210'!F502,IF(ISNUMBER(SEARCH("12",'Procyclean 210'!F502)),EDATE(AB2000,12),IF(ISNUMBER(SEARCH("6",'Procyclean 210'!F502)),EDATE(AB2000,6),IF(ISNUMBER(SEARCH("3",'Procyclean 210'!F502)),EDATE(AB2000,3),DATEVALUE('Procyclean 210'!F502))))),""))</f>
        <v/>
      </c>
      <c r="AM2000" t="str">
        <f t="shared" ca="1" si="208"/>
        <v/>
      </c>
    </row>
    <row r="2001" spans="27:39" x14ac:dyDescent="0.3">
      <c r="AA2001" t="str">
        <f>IF(COUNTA('Procyclean 210'!C503,'Procyclean 210'!D503,'Procyclean 210'!E503)&gt;0,"210","")</f>
        <v/>
      </c>
      <c r="AB2001" t="str">
        <f>IFERROR(IF(ISNUMBER('Procyclean 210'!C503),'Procyclean 210'!C503,DATEVALUE('Procyclean 210'!C503)),"")</f>
        <v/>
      </c>
      <c r="AC2001" t="str">
        <f>IF(AA2001="","",'Procyclean 210'!D503)</f>
        <v/>
      </c>
      <c r="AD2001" t="str">
        <f>IF(AA2001="","",IFERROR(1*'Procyclean 210'!E503,IFERROR(_xludf.NUMBERVALUE('Procyclean 210'!E503,".",","),IFERROR(_xludf.NUMBERVALUE('Procyclean 210'!E503,",","."),0))))</f>
        <v/>
      </c>
      <c r="AE2001" t="str">
        <f>IF(AA2001="","",'Procyclean 210'!B503)</f>
        <v/>
      </c>
      <c r="AF2001">
        <f t="shared" si="203"/>
        <v>0</v>
      </c>
      <c r="AG2001" t="str">
        <f t="shared" si="204"/>
        <v/>
      </c>
      <c r="AH2001" t="str">
        <f t="shared" si="205"/>
        <v/>
      </c>
      <c r="AI2001">
        <f t="shared" si="206"/>
        <v>0</v>
      </c>
      <c r="AJ2001">
        <f t="shared" si="207"/>
        <v>0</v>
      </c>
      <c r="AK2001">
        <v>0</v>
      </c>
      <c r="AL2001" t="str">
        <f>IF(AA2001="","",IFERROR(IF(ISNUMBER('Procyclean 210'!F503),'Procyclean 210'!F503,IF(ISNUMBER(SEARCH("12",'Procyclean 210'!F503)),EDATE(AB2001,12),IF(ISNUMBER(SEARCH("6",'Procyclean 210'!F503)),EDATE(AB2001,6),IF(ISNUMBER(SEARCH("3",'Procyclean 210'!F503)),EDATE(AB2001,3),DATEVALUE('Procyclean 210'!F503))))),""))</f>
        <v/>
      </c>
      <c r="AM2001" t="str">
        <f t="shared" ca="1" si="208"/>
        <v/>
      </c>
    </row>
    <row r="2002" spans="27:39" x14ac:dyDescent="0.3">
      <c r="AA2002" t="str">
        <f>IF(COUNTA('Procyclean 220'!C4,'Procyclean 220'!D4,'Procyclean 220'!E4)&gt;0,"220","")</f>
        <v>220</v>
      </c>
      <c r="AB2002">
        <f>IFERROR(IF(ISNUMBER('Procyclean 220'!C4),'Procyclean 220'!C4,DATEVALUE('Procyclean 220'!C4)),"")</f>
        <v>45462</v>
      </c>
      <c r="AC2002" t="str">
        <f>IF(AA2002="","",'Procyclean 220'!D4)</f>
        <v>8480/24</v>
      </c>
      <c r="AD2002">
        <f>IF(AA2002="","",IFERROR(1*'Procyclean 220'!E4,IFERROR(_xludf.NUMBERVALUE('Procyclean 220'!E4,".",","),IFERROR(_xludf.NUMBERVALUE('Procyclean 220'!E4,",","."),0))))</f>
        <v>200</v>
      </c>
      <c r="AE2002" t="str">
        <f>IF(AA2002="","",'Procyclean 220'!B4)</f>
        <v>aprovado</v>
      </c>
      <c r="AF2002">
        <f t="shared" si="203"/>
        <v>1</v>
      </c>
      <c r="AG2002">
        <f t="shared" si="204"/>
        <v>2024</v>
      </c>
      <c r="AH2002">
        <f t="shared" si="205"/>
        <v>6</v>
      </c>
      <c r="AI2002">
        <f t="shared" si="206"/>
        <v>45462.002002000001</v>
      </c>
      <c r="AJ2002">
        <f t="shared" si="207"/>
        <v>1</v>
      </c>
      <c r="AK2002">
        <v>0</v>
      </c>
      <c r="AL2002">
        <f>IF(AA2002="","",IFERROR(IF(ISNUMBER('Procyclean 220'!F4),'Procyclean 220'!F4,IF(ISNUMBER(SEARCH("12",'Procyclean 220'!F4)),EDATE(AB2002,12),IF(ISNUMBER(SEARCH("6",'Procyclean 220'!F4)),EDATE(AB2002,6),IF(ISNUMBER(SEARCH("3",'Procyclean 220'!F4)),EDATE(AB2002,3),DATEVALUE('Procyclean 220'!F4))))),""))</f>
        <v>45827</v>
      </c>
      <c r="AM2002" t="str">
        <f t="shared" ca="1" si="208"/>
        <v/>
      </c>
    </row>
    <row r="2003" spans="27:39" x14ac:dyDescent="0.3">
      <c r="AA2003" t="str">
        <f>IF(COUNTA('Procyclean 220'!C5,'Procyclean 220'!D5,'Procyclean 220'!E5)&gt;0,"220","")</f>
        <v>220</v>
      </c>
      <c r="AB2003">
        <f>IFERROR(IF(ISNUMBER('Procyclean 220'!C5),'Procyclean 220'!C5,DATEVALUE('Procyclean 220'!C5)),"")</f>
        <v>45600</v>
      </c>
      <c r="AC2003" t="str">
        <f>IF(AA2003="","",'Procyclean 220'!D5)</f>
        <v>8786/24</v>
      </c>
      <c r="AD2003">
        <f>IF(AA2003="","",IFERROR(1*'Procyclean 220'!E5,IFERROR(_xludf.NUMBERVALUE('Procyclean 220'!E5,".",","),IFERROR(_xludf.NUMBERVALUE('Procyclean 220'!E5,",","."),0))))</f>
        <v>125</v>
      </c>
      <c r="AE2003" t="str">
        <f>IF(AA2003="","",'Procyclean 220'!B5)</f>
        <v>aprovado</v>
      </c>
      <c r="AF2003">
        <f t="shared" si="203"/>
        <v>1</v>
      </c>
      <c r="AG2003">
        <f t="shared" si="204"/>
        <v>2024</v>
      </c>
      <c r="AH2003">
        <f t="shared" si="205"/>
        <v>11</v>
      </c>
      <c r="AI2003">
        <f t="shared" si="206"/>
        <v>45600.002003000001</v>
      </c>
      <c r="AJ2003">
        <f t="shared" si="207"/>
        <v>1</v>
      </c>
      <c r="AK2003">
        <v>0</v>
      </c>
      <c r="AL2003">
        <f>IF(AA2003="","",IFERROR(IF(ISNUMBER('Procyclean 220'!F5),'Procyclean 220'!F5,IF(ISNUMBER(SEARCH("12",'Procyclean 220'!F5)),EDATE(AB2003,12),IF(ISNUMBER(SEARCH("6",'Procyclean 220'!F5)),EDATE(AB2003,6),IF(ISNUMBER(SEARCH("3",'Procyclean 220'!F5)),EDATE(AB2003,3),DATEVALUE('Procyclean 220'!F5))))),""))</f>
        <v>45965</v>
      </c>
      <c r="AM2003" t="str">
        <f t="shared" ca="1" si="208"/>
        <v/>
      </c>
    </row>
    <row r="2004" spans="27:39" x14ac:dyDescent="0.3">
      <c r="AA2004" t="str">
        <f>IF(COUNTA('Procyclean 220'!C6,'Procyclean 220'!D6,'Procyclean 220'!E6)&gt;0,"220","")</f>
        <v>220</v>
      </c>
      <c r="AB2004">
        <f>IFERROR(IF(ISNUMBER('Procyclean 220'!C6),'Procyclean 220'!C6,DATEVALUE('Procyclean 220'!C6)),"")</f>
        <v>45624</v>
      </c>
      <c r="AC2004" t="str">
        <f>IF(AA2004="","",'Procyclean 220'!D6)</f>
        <v>8848/24</v>
      </c>
      <c r="AD2004">
        <f>IF(AA2004="","",IFERROR(1*'Procyclean 220'!E6,IFERROR(_xludf.NUMBERVALUE('Procyclean 220'!E6,".",","),IFERROR(_xludf.NUMBERVALUE('Procyclean 220'!E6,",","."),0))))</f>
        <v>300</v>
      </c>
      <c r="AE2004" t="str">
        <f>IF(AA2004="","",'Procyclean 220'!B6)</f>
        <v>aprovado</v>
      </c>
      <c r="AF2004">
        <f t="shared" si="203"/>
        <v>1</v>
      </c>
      <c r="AG2004">
        <f t="shared" si="204"/>
        <v>2024</v>
      </c>
      <c r="AH2004">
        <f t="shared" si="205"/>
        <v>11</v>
      </c>
      <c r="AI2004">
        <f t="shared" si="206"/>
        <v>45624.002004000002</v>
      </c>
      <c r="AJ2004">
        <f t="shared" si="207"/>
        <v>1</v>
      </c>
      <c r="AK2004">
        <v>0</v>
      </c>
      <c r="AL2004">
        <f>IF(AA2004="","",IFERROR(IF(ISNUMBER('Procyclean 220'!F6),'Procyclean 220'!F6,IF(ISNUMBER(SEARCH("12",'Procyclean 220'!F6)),EDATE(AB2004,12),IF(ISNUMBER(SEARCH("6",'Procyclean 220'!F6)),EDATE(AB2004,6),IF(ISNUMBER(SEARCH("3",'Procyclean 220'!F6)),EDATE(AB2004,3),DATEVALUE('Procyclean 220'!F6))))),""))</f>
        <v>45989</v>
      </c>
      <c r="AM2004" t="str">
        <f t="shared" ca="1" si="208"/>
        <v/>
      </c>
    </row>
    <row r="2005" spans="27:39" x14ac:dyDescent="0.3">
      <c r="AA2005" t="str">
        <f>IF(COUNTA('Procyclean 220'!C7,'Procyclean 220'!D7,'Procyclean 220'!E7)&gt;0,"220","")</f>
        <v>220</v>
      </c>
      <c r="AB2005">
        <f>IFERROR(IF(ISNUMBER('Procyclean 220'!C7),'Procyclean 220'!C7,DATEVALUE('Procyclean 220'!C7)),"")</f>
        <v>45636</v>
      </c>
      <c r="AC2005" t="str">
        <f>IF(AA2005="","",'Procyclean 220'!D7)</f>
        <v>8869/24</v>
      </c>
      <c r="AD2005">
        <f>IF(AA2005="","",IFERROR(1*'Procyclean 220'!E7,IFERROR(_xludf.NUMBERVALUE('Procyclean 220'!E7,".",","),IFERROR(_xludf.NUMBERVALUE('Procyclean 220'!E7,",","."),0))))</f>
        <v>125</v>
      </c>
      <c r="AE2005" t="str">
        <f>IF(AA2005="","",'Procyclean 220'!B7)</f>
        <v>aprovado</v>
      </c>
      <c r="AF2005">
        <f t="shared" si="203"/>
        <v>1</v>
      </c>
      <c r="AG2005">
        <f t="shared" si="204"/>
        <v>2024</v>
      </c>
      <c r="AH2005">
        <f t="shared" si="205"/>
        <v>12</v>
      </c>
      <c r="AI2005">
        <f t="shared" si="206"/>
        <v>45636.002005000002</v>
      </c>
      <c r="AJ2005">
        <f t="shared" si="207"/>
        <v>1</v>
      </c>
      <c r="AK2005">
        <v>0</v>
      </c>
      <c r="AL2005">
        <f>IF(AA2005="","",IFERROR(IF(ISNUMBER('Procyclean 220'!F7),'Procyclean 220'!F7,IF(ISNUMBER(SEARCH("12",'Procyclean 220'!F7)),EDATE(AB2005,12),IF(ISNUMBER(SEARCH("6",'Procyclean 220'!F7)),EDATE(AB2005,6),IF(ISNUMBER(SEARCH("3",'Procyclean 220'!F7)),EDATE(AB2005,3),DATEVALUE('Procyclean 220'!F7))))),""))</f>
        <v>46001</v>
      </c>
      <c r="AM2005" t="str">
        <f t="shared" ca="1" si="208"/>
        <v/>
      </c>
    </row>
    <row r="2006" spans="27:39" x14ac:dyDescent="0.3">
      <c r="AA2006" t="str">
        <f>IF(COUNTA('Procyclean 220'!C8,'Procyclean 220'!D8,'Procyclean 220'!E8)&gt;0,"220","")</f>
        <v>220</v>
      </c>
      <c r="AB2006">
        <f>IFERROR(IF(ISNUMBER('Procyclean 220'!C8),'Procyclean 220'!C8,DATEVALUE('Procyclean 220'!C8)),"")</f>
        <v>45791</v>
      </c>
      <c r="AC2006" t="str">
        <f>IF(AA2006="","",'Procyclean 220'!D8)</f>
        <v>9164/25</v>
      </c>
      <c r="AD2006">
        <f>IF(AA2006="","",IFERROR(1*'Procyclean 220'!E8,IFERROR(_xludf.NUMBERVALUE('Procyclean 220'!E8,".",","),IFERROR(_xludf.NUMBERVALUE('Procyclean 220'!E8,",","."),0))))</f>
        <v>100</v>
      </c>
      <c r="AE2006" t="str">
        <f>IF(AA2006="","",'Procyclean 220'!B8)</f>
        <v>aprovado</v>
      </c>
      <c r="AF2006">
        <f t="shared" si="203"/>
        <v>1</v>
      </c>
      <c r="AG2006">
        <f t="shared" si="204"/>
        <v>2025</v>
      </c>
      <c r="AH2006">
        <f t="shared" si="205"/>
        <v>5</v>
      </c>
      <c r="AI2006">
        <f t="shared" si="206"/>
        <v>45791.002006000002</v>
      </c>
      <c r="AJ2006">
        <f t="shared" si="207"/>
        <v>1</v>
      </c>
      <c r="AK2006">
        <v>0</v>
      </c>
      <c r="AL2006">
        <f>IF(AA2006="","",IFERROR(IF(ISNUMBER('Procyclean 220'!F8),'Procyclean 220'!F8,IF(ISNUMBER(SEARCH("12",'Procyclean 220'!F8)),EDATE(AB2006,12),IF(ISNUMBER(SEARCH("6",'Procyclean 220'!F8)),EDATE(AB2006,6),IF(ISNUMBER(SEARCH("3",'Procyclean 220'!F8)),EDATE(AB2006,3),DATEVALUE('Procyclean 220'!F8))))),""))</f>
        <v>46156</v>
      </c>
      <c r="AM2006" t="str">
        <f t="shared" ca="1" si="208"/>
        <v/>
      </c>
    </row>
    <row r="2007" spans="27:39" x14ac:dyDescent="0.3">
      <c r="AA2007" t="str">
        <f>IF(COUNTA('Procyclean 220'!C9,'Procyclean 220'!D9,'Procyclean 220'!E9)&gt;0,"220","")</f>
        <v>220</v>
      </c>
      <c r="AB2007">
        <f>IFERROR(IF(ISNUMBER('Procyclean 220'!C9),'Procyclean 220'!C9,DATEVALUE('Procyclean 220'!C9)),"")</f>
        <v>45894</v>
      </c>
      <c r="AC2007" t="str">
        <f>IF(AA2007="","",'Procyclean 220'!D9)</f>
        <v>9366/25</v>
      </c>
      <c r="AD2007">
        <f>IF(AA2007="","",IFERROR(1*'Procyclean 220'!E9,IFERROR(_xludf.NUMBERVALUE('Procyclean 220'!E9,".",","),IFERROR(_xludf.NUMBERVALUE('Procyclean 220'!E9,",","."),0))))</f>
        <v>25</v>
      </c>
      <c r="AE2007" t="str">
        <f>IF(AA2007="","",'Procyclean 220'!B9)</f>
        <v>aprovado</v>
      </c>
      <c r="AF2007">
        <f t="shared" si="203"/>
        <v>1</v>
      </c>
      <c r="AG2007">
        <f t="shared" si="204"/>
        <v>2025</v>
      </c>
      <c r="AH2007">
        <f t="shared" si="205"/>
        <v>8</v>
      </c>
      <c r="AI2007">
        <f t="shared" si="206"/>
        <v>45894.002007000003</v>
      </c>
      <c r="AJ2007">
        <f t="shared" si="207"/>
        <v>1</v>
      </c>
      <c r="AK2007">
        <v>0</v>
      </c>
      <c r="AL2007">
        <f>IF(AA2007="","",IFERROR(IF(ISNUMBER('Procyclean 220'!F9),'Procyclean 220'!F9,IF(ISNUMBER(SEARCH("12",'Procyclean 220'!F9)),EDATE(AB2007,12),IF(ISNUMBER(SEARCH("6",'Procyclean 220'!F9)),EDATE(AB2007,6),IF(ISNUMBER(SEARCH("3",'Procyclean 220'!F9)),EDATE(AB2007,3),DATEVALUE('Procyclean 220'!F9))))),""))</f>
        <v>46259</v>
      </c>
      <c r="AM2007">
        <f t="shared" ca="1" si="208"/>
        <v>46259.002007000003</v>
      </c>
    </row>
    <row r="2008" spans="27:39" x14ac:dyDescent="0.3">
      <c r="AA2008" t="str">
        <f>IF(COUNTA('Procyclean 220'!C10,'Procyclean 220'!D10,'Procyclean 220'!E10)&gt;0,"220","")</f>
        <v>220</v>
      </c>
      <c r="AB2008">
        <f>IFERROR(IF(ISNUMBER('Procyclean 220'!C10),'Procyclean 220'!C10,DATEVALUE('Procyclean 220'!C10)),"")</f>
        <v>45908</v>
      </c>
      <c r="AC2008" t="str">
        <f>IF(AA2008="","",'Procyclean 220'!D10)</f>
        <v>9389/25</v>
      </c>
      <c r="AD2008">
        <f>IF(AA2008="","",IFERROR(1*'Procyclean 220'!E10,IFERROR(_xludf.NUMBERVALUE('Procyclean 220'!E10,".",","),IFERROR(_xludf.NUMBERVALUE('Procyclean 220'!E10,",","."),0))))</f>
        <v>100</v>
      </c>
      <c r="AE2008" t="str">
        <f>IF(AA2008="","",'Procyclean 220'!B10)</f>
        <v>aprovado</v>
      </c>
      <c r="AF2008">
        <f t="shared" si="203"/>
        <v>1</v>
      </c>
      <c r="AG2008">
        <f t="shared" si="204"/>
        <v>2025</v>
      </c>
      <c r="AH2008">
        <f t="shared" si="205"/>
        <v>9</v>
      </c>
      <c r="AI2008">
        <f t="shared" si="206"/>
        <v>45908.002008000003</v>
      </c>
      <c r="AJ2008">
        <f t="shared" si="207"/>
        <v>1</v>
      </c>
      <c r="AK2008">
        <v>0</v>
      </c>
      <c r="AL2008">
        <f>IF(AA2008="","",IFERROR(IF(ISNUMBER('Procyclean 220'!F10),'Procyclean 220'!F10,IF(ISNUMBER(SEARCH("12",'Procyclean 220'!F10)),EDATE(AB2008,12),IF(ISNUMBER(SEARCH("6",'Procyclean 220'!F10)),EDATE(AB2008,6),IF(ISNUMBER(SEARCH("3",'Procyclean 220'!F10)),EDATE(AB2008,3),DATEVALUE('Procyclean 220'!F10))))),""))</f>
        <v>46273</v>
      </c>
      <c r="AM2008">
        <f t="shared" ca="1" si="208"/>
        <v>46273.002008000003</v>
      </c>
    </row>
    <row r="2009" spans="27:39" x14ac:dyDescent="0.3">
      <c r="AA2009" t="str">
        <f>IF(COUNTA('Procyclean 220'!C11,'Procyclean 220'!D11,'Procyclean 220'!E11)&gt;0,"220","")</f>
        <v>220</v>
      </c>
      <c r="AB2009">
        <f>IFERROR(IF(ISNUMBER('Procyclean 220'!C11),'Procyclean 220'!C11,DATEVALUE('Procyclean 220'!C11)),"")</f>
        <v>45923</v>
      </c>
      <c r="AC2009" t="str">
        <f>IF(AA2009="","",'Procyclean 220'!D11)</f>
        <v>9432/25</v>
      </c>
      <c r="AD2009">
        <f>IF(AA2009="","",IFERROR(1*'Procyclean 220'!E11,IFERROR(_xludf.NUMBERVALUE('Procyclean 220'!E11,".",","),IFERROR(_xludf.NUMBERVALUE('Procyclean 220'!E11,",","."),0))))</f>
        <v>200</v>
      </c>
      <c r="AE2009" t="str">
        <f>IF(AA2009="","",'Procyclean 220'!B11)</f>
        <v>aprovado</v>
      </c>
      <c r="AF2009">
        <f t="shared" si="203"/>
        <v>1</v>
      </c>
      <c r="AG2009">
        <f t="shared" si="204"/>
        <v>2025</v>
      </c>
      <c r="AH2009">
        <f t="shared" si="205"/>
        <v>9</v>
      </c>
      <c r="AI2009">
        <f t="shared" si="206"/>
        <v>45923.002009000003</v>
      </c>
      <c r="AJ2009">
        <f t="shared" si="207"/>
        <v>1</v>
      </c>
      <c r="AK2009">
        <v>0</v>
      </c>
      <c r="AL2009">
        <f>IF(AA2009="","",IFERROR(IF(ISNUMBER('Procyclean 220'!F11),'Procyclean 220'!F11,IF(ISNUMBER(SEARCH("12",'Procyclean 220'!F11)),EDATE(AB2009,12),IF(ISNUMBER(SEARCH("6",'Procyclean 220'!F11)),EDATE(AB2009,6),IF(ISNUMBER(SEARCH("3",'Procyclean 220'!F11)),EDATE(AB2009,3),DATEVALUE('Procyclean 220'!F11))))),""))</f>
        <v>46288</v>
      </c>
      <c r="AM2009">
        <f t="shared" ca="1" si="208"/>
        <v>46288.002009000003</v>
      </c>
    </row>
    <row r="2010" spans="27:39" x14ac:dyDescent="0.3">
      <c r="AA2010" t="str">
        <f>IF(COUNTA('Procyclean 220'!C12,'Procyclean 220'!D12,'Procyclean 220'!E12)&gt;0,"220","")</f>
        <v>220</v>
      </c>
      <c r="AB2010">
        <f>IFERROR(IF(ISNUMBER('Procyclean 220'!C12),'Procyclean 220'!C12,DATEVALUE('Procyclean 220'!C12)),"")</f>
        <v>45943</v>
      </c>
      <c r="AC2010" t="str">
        <f>IF(AA2010="","",'Procyclean 220'!D12)</f>
        <v>9463/25</v>
      </c>
      <c r="AD2010">
        <f>IF(AA2010="","",IFERROR(1*'Procyclean 220'!E12,IFERROR(_xludf.NUMBERVALUE('Procyclean 220'!E12,".",","),IFERROR(_xludf.NUMBERVALUE('Procyclean 220'!E12,",","."),0))))</f>
        <v>200</v>
      </c>
      <c r="AE2010" t="str">
        <f>IF(AA2010="","",'Procyclean 220'!B12)</f>
        <v>aprovado</v>
      </c>
      <c r="AF2010">
        <f t="shared" si="203"/>
        <v>1</v>
      </c>
      <c r="AG2010">
        <f t="shared" si="204"/>
        <v>2025</v>
      </c>
      <c r="AH2010">
        <f t="shared" si="205"/>
        <v>10</v>
      </c>
      <c r="AI2010">
        <f t="shared" si="206"/>
        <v>45943.002009999997</v>
      </c>
      <c r="AJ2010">
        <f t="shared" si="207"/>
        <v>1</v>
      </c>
      <c r="AK2010">
        <v>0</v>
      </c>
      <c r="AL2010">
        <f>IF(AA2010="","",IFERROR(IF(ISNUMBER('Procyclean 220'!F12),'Procyclean 220'!F12,IF(ISNUMBER(SEARCH("12",'Procyclean 220'!F12)),EDATE(AB2010,12),IF(ISNUMBER(SEARCH("6",'Procyclean 220'!F12)),EDATE(AB2010,6),IF(ISNUMBER(SEARCH("3",'Procyclean 220'!F12)),EDATE(AB2010,3),DATEVALUE('Procyclean 220'!F12))))),""))</f>
        <v>46308</v>
      </c>
      <c r="AM2010">
        <f t="shared" ca="1" si="208"/>
        <v>46308.002009999997</v>
      </c>
    </row>
    <row r="2011" spans="27:39" x14ac:dyDescent="0.3">
      <c r="AA2011" t="str">
        <f>IF(COUNTA('Procyclean 220'!C13,'Procyclean 220'!D13,'Procyclean 220'!E13)&gt;0,"220","")</f>
        <v>220</v>
      </c>
      <c r="AB2011">
        <f>IFERROR(IF(ISNUMBER('Procyclean 220'!C13),'Procyclean 220'!C13,DATEVALUE('Procyclean 220'!C13)),"")</f>
        <v>46149</v>
      </c>
      <c r="AC2011" t="str">
        <f>IF(AA2011="","",'Procyclean 220'!D13)</f>
        <v>9900/26</v>
      </c>
      <c r="AD2011">
        <f>IF(AA2011="","",IFERROR(1*'Procyclean 220'!E13,IFERROR(_xludf.NUMBERVALUE('Procyclean 220'!E13,".",","),IFERROR(_xludf.NUMBERVALUE('Procyclean 220'!E13,",","."),0))))</f>
        <v>250</v>
      </c>
      <c r="AE2011" t="str">
        <f>IF(AA2011="","",'Procyclean 220'!B13)</f>
        <v>aprovado</v>
      </c>
      <c r="AF2011">
        <f t="shared" si="203"/>
        <v>1</v>
      </c>
      <c r="AG2011">
        <f t="shared" si="204"/>
        <v>2026</v>
      </c>
      <c r="AH2011">
        <f t="shared" si="205"/>
        <v>5</v>
      </c>
      <c r="AI2011">
        <f t="shared" si="206"/>
        <v>46149.002010999997</v>
      </c>
      <c r="AJ2011">
        <f t="shared" si="207"/>
        <v>1</v>
      </c>
      <c r="AK2011">
        <v>0</v>
      </c>
      <c r="AL2011">
        <f>IF(AA2011="","",IFERROR(IF(ISNUMBER('Procyclean 220'!F13),'Procyclean 220'!F13,IF(ISNUMBER(SEARCH("12",'Procyclean 220'!F13)),EDATE(AB2011,12),IF(ISNUMBER(SEARCH("6",'Procyclean 220'!F13)),EDATE(AB2011,6),IF(ISNUMBER(SEARCH("3",'Procyclean 220'!F13)),EDATE(AB2011,3),DATEVALUE('Procyclean 220'!F13))))),""))</f>
        <v>46514</v>
      </c>
      <c r="AM2011" t="str">
        <f t="shared" ca="1" si="208"/>
        <v/>
      </c>
    </row>
    <row r="2012" spans="27:39" x14ac:dyDescent="0.3">
      <c r="AA2012" t="str">
        <f>IF(COUNTA('Procyclean 220'!C14,'Procyclean 220'!D14,'Procyclean 220'!E14)&gt;0,"220","")</f>
        <v/>
      </c>
      <c r="AB2012" t="str">
        <f>IFERROR(IF(ISNUMBER('Procyclean 220'!C14),'Procyclean 220'!C14,DATEVALUE('Procyclean 220'!C14)),"")</f>
        <v/>
      </c>
      <c r="AC2012" t="str">
        <f>IF(AA2012="","",'Procyclean 220'!D14)</f>
        <v/>
      </c>
      <c r="AD2012" t="str">
        <f>IF(AA2012="","",IFERROR(1*'Procyclean 220'!E14,IFERROR(_xludf.NUMBERVALUE('Procyclean 220'!E14,".",","),IFERROR(_xludf.NUMBERVALUE('Procyclean 220'!E14,",","."),0))))</f>
        <v/>
      </c>
      <c r="AE2012" t="str">
        <f>IF(AA2012="","",'Procyclean 220'!B14)</f>
        <v/>
      </c>
      <c r="AF2012">
        <f t="shared" si="203"/>
        <v>0</v>
      </c>
      <c r="AG2012" t="str">
        <f t="shared" si="204"/>
        <v/>
      </c>
      <c r="AH2012" t="str">
        <f t="shared" si="205"/>
        <v/>
      </c>
      <c r="AI2012">
        <f t="shared" si="206"/>
        <v>0</v>
      </c>
      <c r="AJ2012">
        <f t="shared" si="207"/>
        <v>0</v>
      </c>
      <c r="AK2012">
        <v>0</v>
      </c>
      <c r="AL2012" t="str">
        <f>IF(AA2012="","",IFERROR(IF(ISNUMBER('Procyclean 220'!F14),'Procyclean 220'!F14,IF(ISNUMBER(SEARCH("12",'Procyclean 220'!F14)),EDATE(AB2012,12),IF(ISNUMBER(SEARCH("6",'Procyclean 220'!F14)),EDATE(AB2012,6),IF(ISNUMBER(SEARCH("3",'Procyclean 220'!F14)),EDATE(AB2012,3),DATEVALUE('Procyclean 220'!F14))))),""))</f>
        <v/>
      </c>
      <c r="AM2012" t="str">
        <f t="shared" ca="1" si="208"/>
        <v/>
      </c>
    </row>
    <row r="2013" spans="27:39" x14ac:dyDescent="0.3">
      <c r="AA2013" t="str">
        <f>IF(COUNTA('Procyclean 220'!C15,'Procyclean 220'!D15,'Procyclean 220'!E15)&gt;0,"220","")</f>
        <v/>
      </c>
      <c r="AB2013" t="str">
        <f>IFERROR(IF(ISNUMBER('Procyclean 220'!C15),'Procyclean 220'!C15,DATEVALUE('Procyclean 220'!C15)),"")</f>
        <v/>
      </c>
      <c r="AC2013" t="str">
        <f>IF(AA2013="","",'Procyclean 220'!D15)</f>
        <v/>
      </c>
      <c r="AD2013" t="str">
        <f>IF(AA2013="","",IFERROR(1*'Procyclean 220'!E15,IFERROR(_xludf.NUMBERVALUE('Procyclean 220'!E15,".",","),IFERROR(_xludf.NUMBERVALUE('Procyclean 220'!E15,",","."),0))))</f>
        <v/>
      </c>
      <c r="AE2013" t="str">
        <f>IF(AA2013="","",'Procyclean 220'!B15)</f>
        <v/>
      </c>
      <c r="AF2013">
        <f t="shared" si="203"/>
        <v>0</v>
      </c>
      <c r="AG2013" t="str">
        <f t="shared" si="204"/>
        <v/>
      </c>
      <c r="AH2013" t="str">
        <f t="shared" si="205"/>
        <v/>
      </c>
      <c r="AI2013">
        <f t="shared" si="206"/>
        <v>0</v>
      </c>
      <c r="AJ2013">
        <f t="shared" si="207"/>
        <v>0</v>
      </c>
      <c r="AK2013">
        <v>0</v>
      </c>
      <c r="AL2013" t="str">
        <f>IF(AA2013="","",IFERROR(IF(ISNUMBER('Procyclean 220'!F15),'Procyclean 220'!F15,IF(ISNUMBER(SEARCH("12",'Procyclean 220'!F15)),EDATE(AB2013,12),IF(ISNUMBER(SEARCH("6",'Procyclean 220'!F15)),EDATE(AB2013,6),IF(ISNUMBER(SEARCH("3",'Procyclean 220'!F15)),EDATE(AB2013,3),DATEVALUE('Procyclean 220'!F15))))),""))</f>
        <v/>
      </c>
      <c r="AM2013" t="str">
        <f t="shared" ca="1" si="208"/>
        <v/>
      </c>
    </row>
    <row r="2014" spans="27:39" x14ac:dyDescent="0.3">
      <c r="AA2014" t="str">
        <f>IF(COUNTA('Procyclean 220'!C16,'Procyclean 220'!D16,'Procyclean 220'!E16)&gt;0,"220","")</f>
        <v/>
      </c>
      <c r="AB2014" t="str">
        <f>IFERROR(IF(ISNUMBER('Procyclean 220'!C16),'Procyclean 220'!C16,DATEVALUE('Procyclean 220'!C16)),"")</f>
        <v/>
      </c>
      <c r="AC2014" t="str">
        <f>IF(AA2014="","",'Procyclean 220'!D16)</f>
        <v/>
      </c>
      <c r="AD2014" t="str">
        <f>IF(AA2014="","",IFERROR(1*'Procyclean 220'!E16,IFERROR(_xludf.NUMBERVALUE('Procyclean 220'!E16,".",","),IFERROR(_xludf.NUMBERVALUE('Procyclean 220'!E16,",","."),0))))</f>
        <v/>
      </c>
      <c r="AE2014" t="str">
        <f>IF(AA2014="","",'Procyclean 220'!B16)</f>
        <v/>
      </c>
      <c r="AF2014">
        <f t="shared" si="203"/>
        <v>0</v>
      </c>
      <c r="AG2014" t="str">
        <f t="shared" si="204"/>
        <v/>
      </c>
      <c r="AH2014" t="str">
        <f t="shared" si="205"/>
        <v/>
      </c>
      <c r="AI2014">
        <f t="shared" si="206"/>
        <v>0</v>
      </c>
      <c r="AJ2014">
        <f t="shared" si="207"/>
        <v>0</v>
      </c>
      <c r="AK2014">
        <v>0</v>
      </c>
      <c r="AL2014" t="str">
        <f>IF(AA2014="","",IFERROR(IF(ISNUMBER('Procyclean 220'!F16),'Procyclean 220'!F16,IF(ISNUMBER(SEARCH("12",'Procyclean 220'!F16)),EDATE(AB2014,12),IF(ISNUMBER(SEARCH("6",'Procyclean 220'!F16)),EDATE(AB2014,6),IF(ISNUMBER(SEARCH("3",'Procyclean 220'!F16)),EDATE(AB2014,3),DATEVALUE('Procyclean 220'!F16))))),""))</f>
        <v/>
      </c>
      <c r="AM2014" t="str">
        <f t="shared" ca="1" si="208"/>
        <v/>
      </c>
    </row>
    <row r="2015" spans="27:39" x14ac:dyDescent="0.3">
      <c r="AA2015" t="str">
        <f>IF(COUNTA('Procyclean 220'!C17,'Procyclean 220'!D17,'Procyclean 220'!E17)&gt;0,"220","")</f>
        <v/>
      </c>
      <c r="AB2015" t="str">
        <f>IFERROR(IF(ISNUMBER('Procyclean 220'!C17),'Procyclean 220'!C17,DATEVALUE('Procyclean 220'!C17)),"")</f>
        <v/>
      </c>
      <c r="AC2015" t="str">
        <f>IF(AA2015="","",'Procyclean 220'!D17)</f>
        <v/>
      </c>
      <c r="AD2015" t="str">
        <f>IF(AA2015="","",IFERROR(1*'Procyclean 220'!E17,IFERROR(_xludf.NUMBERVALUE('Procyclean 220'!E17,".",","),IFERROR(_xludf.NUMBERVALUE('Procyclean 220'!E17,",","."),0))))</f>
        <v/>
      </c>
      <c r="AE2015" t="str">
        <f>IF(AA2015="","",'Procyclean 220'!B17)</f>
        <v/>
      </c>
      <c r="AF2015">
        <f t="shared" si="203"/>
        <v>0</v>
      </c>
      <c r="AG2015" t="str">
        <f t="shared" si="204"/>
        <v/>
      </c>
      <c r="AH2015" t="str">
        <f t="shared" si="205"/>
        <v/>
      </c>
      <c r="AI2015">
        <f t="shared" si="206"/>
        <v>0</v>
      </c>
      <c r="AJ2015">
        <f t="shared" si="207"/>
        <v>0</v>
      </c>
      <c r="AK2015">
        <v>0</v>
      </c>
      <c r="AL2015" t="str">
        <f>IF(AA2015="","",IFERROR(IF(ISNUMBER('Procyclean 220'!F17),'Procyclean 220'!F17,IF(ISNUMBER(SEARCH("12",'Procyclean 220'!F17)),EDATE(AB2015,12),IF(ISNUMBER(SEARCH("6",'Procyclean 220'!F17)),EDATE(AB2015,6),IF(ISNUMBER(SEARCH("3",'Procyclean 220'!F17)),EDATE(AB2015,3),DATEVALUE('Procyclean 220'!F17))))),""))</f>
        <v/>
      </c>
      <c r="AM2015" t="str">
        <f t="shared" ca="1" si="208"/>
        <v/>
      </c>
    </row>
    <row r="2016" spans="27:39" x14ac:dyDescent="0.3">
      <c r="AA2016" t="str">
        <f>IF(COUNTA('Procyclean 220'!C18,'Procyclean 220'!D18,'Procyclean 220'!E18)&gt;0,"220","")</f>
        <v/>
      </c>
      <c r="AB2016" t="str">
        <f>IFERROR(IF(ISNUMBER('Procyclean 220'!C18),'Procyclean 220'!C18,DATEVALUE('Procyclean 220'!C18)),"")</f>
        <v/>
      </c>
      <c r="AC2016" t="str">
        <f>IF(AA2016="","",'Procyclean 220'!D18)</f>
        <v/>
      </c>
      <c r="AD2016" t="str">
        <f>IF(AA2016="","",IFERROR(1*'Procyclean 220'!E18,IFERROR(_xludf.NUMBERVALUE('Procyclean 220'!E18,".",","),IFERROR(_xludf.NUMBERVALUE('Procyclean 220'!E18,",","."),0))))</f>
        <v/>
      </c>
      <c r="AE2016" t="str">
        <f>IF(AA2016="","",'Procyclean 220'!B18)</f>
        <v/>
      </c>
      <c r="AF2016">
        <f t="shared" si="203"/>
        <v>0</v>
      </c>
      <c r="AG2016" t="str">
        <f t="shared" si="204"/>
        <v/>
      </c>
      <c r="AH2016" t="str">
        <f t="shared" si="205"/>
        <v/>
      </c>
      <c r="AI2016">
        <f t="shared" si="206"/>
        <v>0</v>
      </c>
      <c r="AJ2016">
        <f t="shared" si="207"/>
        <v>0</v>
      </c>
      <c r="AK2016">
        <v>0</v>
      </c>
      <c r="AL2016" t="str">
        <f>IF(AA2016="","",IFERROR(IF(ISNUMBER('Procyclean 220'!F18),'Procyclean 220'!F18,IF(ISNUMBER(SEARCH("12",'Procyclean 220'!F18)),EDATE(AB2016,12),IF(ISNUMBER(SEARCH("6",'Procyclean 220'!F18)),EDATE(AB2016,6),IF(ISNUMBER(SEARCH("3",'Procyclean 220'!F18)),EDATE(AB2016,3),DATEVALUE('Procyclean 220'!F18))))),""))</f>
        <v/>
      </c>
      <c r="AM2016" t="str">
        <f t="shared" ca="1" si="208"/>
        <v/>
      </c>
    </row>
    <row r="2017" spans="27:39" x14ac:dyDescent="0.3">
      <c r="AA2017" t="str">
        <f>IF(COUNTA('Procyclean 220'!C19,'Procyclean 220'!D19,'Procyclean 220'!E19)&gt;0,"220","")</f>
        <v/>
      </c>
      <c r="AB2017" t="str">
        <f>IFERROR(IF(ISNUMBER('Procyclean 220'!C19),'Procyclean 220'!C19,DATEVALUE('Procyclean 220'!C19)),"")</f>
        <v/>
      </c>
      <c r="AC2017" t="str">
        <f>IF(AA2017="","",'Procyclean 220'!D19)</f>
        <v/>
      </c>
      <c r="AD2017" t="str">
        <f>IF(AA2017="","",IFERROR(1*'Procyclean 220'!E19,IFERROR(_xludf.NUMBERVALUE('Procyclean 220'!E19,".",","),IFERROR(_xludf.NUMBERVALUE('Procyclean 220'!E19,",","."),0))))</f>
        <v/>
      </c>
      <c r="AE2017" t="str">
        <f>IF(AA2017="","",'Procyclean 220'!B19)</f>
        <v/>
      </c>
      <c r="AF2017">
        <f t="shared" si="203"/>
        <v>0</v>
      </c>
      <c r="AG2017" t="str">
        <f t="shared" si="204"/>
        <v/>
      </c>
      <c r="AH2017" t="str">
        <f t="shared" si="205"/>
        <v/>
      </c>
      <c r="AI2017">
        <f t="shared" si="206"/>
        <v>0</v>
      </c>
      <c r="AJ2017">
        <f t="shared" si="207"/>
        <v>0</v>
      </c>
      <c r="AK2017">
        <v>0</v>
      </c>
      <c r="AL2017" t="str">
        <f>IF(AA2017="","",IFERROR(IF(ISNUMBER('Procyclean 220'!F19),'Procyclean 220'!F19,IF(ISNUMBER(SEARCH("12",'Procyclean 220'!F19)),EDATE(AB2017,12),IF(ISNUMBER(SEARCH("6",'Procyclean 220'!F19)),EDATE(AB2017,6),IF(ISNUMBER(SEARCH("3",'Procyclean 220'!F19)),EDATE(AB2017,3),DATEVALUE('Procyclean 220'!F19))))),""))</f>
        <v/>
      </c>
      <c r="AM2017" t="str">
        <f t="shared" ca="1" si="208"/>
        <v/>
      </c>
    </row>
    <row r="2018" spans="27:39" x14ac:dyDescent="0.3">
      <c r="AA2018" t="str">
        <f>IF(COUNTA('Procyclean 220'!C20,'Procyclean 220'!D20,'Procyclean 220'!E20)&gt;0,"220","")</f>
        <v/>
      </c>
      <c r="AB2018" t="str">
        <f>IFERROR(IF(ISNUMBER('Procyclean 220'!C20),'Procyclean 220'!C20,DATEVALUE('Procyclean 220'!C20)),"")</f>
        <v/>
      </c>
      <c r="AC2018" t="str">
        <f>IF(AA2018="","",'Procyclean 220'!D20)</f>
        <v/>
      </c>
      <c r="AD2018" t="str">
        <f>IF(AA2018="","",IFERROR(1*'Procyclean 220'!E20,IFERROR(_xludf.NUMBERVALUE('Procyclean 220'!E20,".",","),IFERROR(_xludf.NUMBERVALUE('Procyclean 220'!E20,",","."),0))))</f>
        <v/>
      </c>
      <c r="AE2018" t="str">
        <f>IF(AA2018="","",'Procyclean 220'!B20)</f>
        <v/>
      </c>
      <c r="AF2018">
        <f t="shared" si="203"/>
        <v>0</v>
      </c>
      <c r="AG2018" t="str">
        <f t="shared" si="204"/>
        <v/>
      </c>
      <c r="AH2018" t="str">
        <f t="shared" si="205"/>
        <v/>
      </c>
      <c r="AI2018">
        <f t="shared" si="206"/>
        <v>0</v>
      </c>
      <c r="AJ2018">
        <f t="shared" si="207"/>
        <v>0</v>
      </c>
      <c r="AK2018">
        <v>0</v>
      </c>
      <c r="AL2018" t="str">
        <f>IF(AA2018="","",IFERROR(IF(ISNUMBER('Procyclean 220'!F20),'Procyclean 220'!F20,IF(ISNUMBER(SEARCH("12",'Procyclean 220'!F20)),EDATE(AB2018,12),IF(ISNUMBER(SEARCH("6",'Procyclean 220'!F20)),EDATE(AB2018,6),IF(ISNUMBER(SEARCH("3",'Procyclean 220'!F20)),EDATE(AB2018,3),DATEVALUE('Procyclean 220'!F20))))),""))</f>
        <v/>
      </c>
      <c r="AM2018" t="str">
        <f t="shared" ca="1" si="208"/>
        <v/>
      </c>
    </row>
    <row r="2019" spans="27:39" x14ac:dyDescent="0.3">
      <c r="AA2019" t="str">
        <f>IF(COUNTA('Procyclean 220'!C21,'Procyclean 220'!D21,'Procyclean 220'!E21)&gt;0,"220","")</f>
        <v/>
      </c>
      <c r="AB2019" t="str">
        <f>IFERROR(IF(ISNUMBER('Procyclean 220'!C21),'Procyclean 220'!C21,DATEVALUE('Procyclean 220'!C21)),"")</f>
        <v/>
      </c>
      <c r="AC2019" t="str">
        <f>IF(AA2019="","",'Procyclean 220'!D21)</f>
        <v/>
      </c>
      <c r="AD2019" t="str">
        <f>IF(AA2019="","",IFERROR(1*'Procyclean 220'!E21,IFERROR(_xludf.NUMBERVALUE('Procyclean 220'!E21,".",","),IFERROR(_xludf.NUMBERVALUE('Procyclean 220'!E21,",","."),0))))</f>
        <v/>
      </c>
      <c r="AE2019" t="str">
        <f>IF(AA2019="","",'Procyclean 220'!B21)</f>
        <v/>
      </c>
      <c r="AF2019">
        <f t="shared" si="203"/>
        <v>0</v>
      </c>
      <c r="AG2019" t="str">
        <f t="shared" si="204"/>
        <v/>
      </c>
      <c r="AH2019" t="str">
        <f t="shared" si="205"/>
        <v/>
      </c>
      <c r="AI2019">
        <f t="shared" si="206"/>
        <v>0</v>
      </c>
      <c r="AJ2019">
        <f t="shared" si="207"/>
        <v>0</v>
      </c>
      <c r="AK2019">
        <v>0</v>
      </c>
      <c r="AL2019" t="str">
        <f>IF(AA2019="","",IFERROR(IF(ISNUMBER('Procyclean 220'!F21),'Procyclean 220'!F21,IF(ISNUMBER(SEARCH("12",'Procyclean 220'!F21)),EDATE(AB2019,12),IF(ISNUMBER(SEARCH("6",'Procyclean 220'!F21)),EDATE(AB2019,6),IF(ISNUMBER(SEARCH("3",'Procyclean 220'!F21)),EDATE(AB2019,3),DATEVALUE('Procyclean 220'!F21))))),""))</f>
        <v/>
      </c>
      <c r="AM2019" t="str">
        <f t="shared" ca="1" si="208"/>
        <v/>
      </c>
    </row>
    <row r="2020" spans="27:39" x14ac:dyDescent="0.3">
      <c r="AA2020" t="str">
        <f>IF(COUNTA('Procyclean 220'!C22,'Procyclean 220'!D22,'Procyclean 220'!E22)&gt;0,"220","")</f>
        <v/>
      </c>
      <c r="AB2020" t="str">
        <f>IFERROR(IF(ISNUMBER('Procyclean 220'!C22),'Procyclean 220'!C22,DATEVALUE('Procyclean 220'!C22)),"")</f>
        <v/>
      </c>
      <c r="AC2020" t="str">
        <f>IF(AA2020="","",'Procyclean 220'!D22)</f>
        <v/>
      </c>
      <c r="AD2020" t="str">
        <f>IF(AA2020="","",IFERROR(1*'Procyclean 220'!E22,IFERROR(_xludf.NUMBERVALUE('Procyclean 220'!E22,".",","),IFERROR(_xludf.NUMBERVALUE('Procyclean 220'!E22,",","."),0))))</f>
        <v/>
      </c>
      <c r="AE2020" t="str">
        <f>IF(AA2020="","",'Procyclean 220'!B22)</f>
        <v/>
      </c>
      <c r="AF2020">
        <f t="shared" si="203"/>
        <v>0</v>
      </c>
      <c r="AG2020" t="str">
        <f t="shared" si="204"/>
        <v/>
      </c>
      <c r="AH2020" t="str">
        <f t="shared" si="205"/>
        <v/>
      </c>
      <c r="AI2020">
        <f t="shared" si="206"/>
        <v>0</v>
      </c>
      <c r="AJ2020">
        <f t="shared" si="207"/>
        <v>0</v>
      </c>
      <c r="AK2020">
        <v>0</v>
      </c>
      <c r="AL2020" t="str">
        <f>IF(AA2020="","",IFERROR(IF(ISNUMBER('Procyclean 220'!F22),'Procyclean 220'!F22,IF(ISNUMBER(SEARCH("12",'Procyclean 220'!F22)),EDATE(AB2020,12),IF(ISNUMBER(SEARCH("6",'Procyclean 220'!F22)),EDATE(AB2020,6),IF(ISNUMBER(SEARCH("3",'Procyclean 220'!F22)),EDATE(AB2020,3),DATEVALUE('Procyclean 220'!F22))))),""))</f>
        <v/>
      </c>
      <c r="AM2020" t="str">
        <f t="shared" ca="1" si="208"/>
        <v/>
      </c>
    </row>
    <row r="2021" spans="27:39" x14ac:dyDescent="0.3">
      <c r="AA2021" t="str">
        <f>IF(COUNTA('Procyclean 220'!C23,'Procyclean 220'!D23,'Procyclean 220'!E23)&gt;0,"220","")</f>
        <v/>
      </c>
      <c r="AB2021" t="str">
        <f>IFERROR(IF(ISNUMBER('Procyclean 220'!C23),'Procyclean 220'!C23,DATEVALUE('Procyclean 220'!C23)),"")</f>
        <v/>
      </c>
      <c r="AC2021" t="str">
        <f>IF(AA2021="","",'Procyclean 220'!D23)</f>
        <v/>
      </c>
      <c r="AD2021" t="str">
        <f>IF(AA2021="","",IFERROR(1*'Procyclean 220'!E23,IFERROR(_xludf.NUMBERVALUE('Procyclean 220'!E23,".",","),IFERROR(_xludf.NUMBERVALUE('Procyclean 220'!E23,",","."),0))))</f>
        <v/>
      </c>
      <c r="AE2021" t="str">
        <f>IF(AA2021="","",'Procyclean 220'!B23)</f>
        <v/>
      </c>
      <c r="AF2021">
        <f t="shared" si="203"/>
        <v>0</v>
      </c>
      <c r="AG2021" t="str">
        <f t="shared" si="204"/>
        <v/>
      </c>
      <c r="AH2021" t="str">
        <f t="shared" si="205"/>
        <v/>
      </c>
      <c r="AI2021">
        <f t="shared" si="206"/>
        <v>0</v>
      </c>
      <c r="AJ2021">
        <f t="shared" si="207"/>
        <v>0</v>
      </c>
      <c r="AK2021">
        <v>0</v>
      </c>
      <c r="AL2021" t="str">
        <f>IF(AA2021="","",IFERROR(IF(ISNUMBER('Procyclean 220'!F23),'Procyclean 220'!F23,IF(ISNUMBER(SEARCH("12",'Procyclean 220'!F23)),EDATE(AB2021,12),IF(ISNUMBER(SEARCH("6",'Procyclean 220'!F23)),EDATE(AB2021,6),IF(ISNUMBER(SEARCH("3",'Procyclean 220'!F23)),EDATE(AB2021,3),DATEVALUE('Procyclean 220'!F23))))),""))</f>
        <v/>
      </c>
      <c r="AM2021" t="str">
        <f t="shared" ca="1" si="208"/>
        <v/>
      </c>
    </row>
    <row r="2022" spans="27:39" x14ac:dyDescent="0.3">
      <c r="AA2022" t="str">
        <f>IF(COUNTA('Procyclean 220'!C24,'Procyclean 220'!D24,'Procyclean 220'!E24)&gt;0,"220","")</f>
        <v/>
      </c>
      <c r="AB2022" t="str">
        <f>IFERROR(IF(ISNUMBER('Procyclean 220'!C24),'Procyclean 220'!C24,DATEVALUE('Procyclean 220'!C24)),"")</f>
        <v/>
      </c>
      <c r="AC2022" t="str">
        <f>IF(AA2022="","",'Procyclean 220'!D24)</f>
        <v/>
      </c>
      <c r="AD2022" t="str">
        <f>IF(AA2022="","",IFERROR(1*'Procyclean 220'!E24,IFERROR(_xludf.NUMBERVALUE('Procyclean 220'!E24,".",","),IFERROR(_xludf.NUMBERVALUE('Procyclean 220'!E24,",","."),0))))</f>
        <v/>
      </c>
      <c r="AE2022" t="str">
        <f>IF(AA2022="","",'Procyclean 220'!B24)</f>
        <v/>
      </c>
      <c r="AF2022">
        <f t="shared" si="203"/>
        <v>0</v>
      </c>
      <c r="AG2022" t="str">
        <f t="shared" si="204"/>
        <v/>
      </c>
      <c r="AH2022" t="str">
        <f t="shared" si="205"/>
        <v/>
      </c>
      <c r="AI2022">
        <f t="shared" si="206"/>
        <v>0</v>
      </c>
      <c r="AJ2022">
        <f t="shared" si="207"/>
        <v>0</v>
      </c>
      <c r="AK2022">
        <v>0</v>
      </c>
      <c r="AL2022" t="str">
        <f>IF(AA2022="","",IFERROR(IF(ISNUMBER('Procyclean 220'!F24),'Procyclean 220'!F24,IF(ISNUMBER(SEARCH("12",'Procyclean 220'!F24)),EDATE(AB2022,12),IF(ISNUMBER(SEARCH("6",'Procyclean 220'!F24)),EDATE(AB2022,6),IF(ISNUMBER(SEARCH("3",'Procyclean 220'!F24)),EDATE(AB2022,3),DATEVALUE('Procyclean 220'!F24))))),""))</f>
        <v/>
      </c>
      <c r="AM2022" t="str">
        <f t="shared" ca="1" si="208"/>
        <v/>
      </c>
    </row>
    <row r="2023" spans="27:39" x14ac:dyDescent="0.3">
      <c r="AA2023" t="str">
        <f>IF(COUNTA('Procyclean 220'!C25,'Procyclean 220'!D25,'Procyclean 220'!E25)&gt;0,"220","")</f>
        <v/>
      </c>
      <c r="AB2023" t="str">
        <f>IFERROR(IF(ISNUMBER('Procyclean 220'!C25),'Procyclean 220'!C25,DATEVALUE('Procyclean 220'!C25)),"")</f>
        <v/>
      </c>
      <c r="AC2023" t="str">
        <f>IF(AA2023="","",'Procyclean 220'!D25)</f>
        <v/>
      </c>
      <c r="AD2023" t="str">
        <f>IF(AA2023="","",IFERROR(1*'Procyclean 220'!E25,IFERROR(_xludf.NUMBERVALUE('Procyclean 220'!E25,".",","),IFERROR(_xludf.NUMBERVALUE('Procyclean 220'!E25,",","."),0))))</f>
        <v/>
      </c>
      <c r="AE2023" t="str">
        <f>IF(AA2023="","",'Procyclean 220'!B25)</f>
        <v/>
      </c>
      <c r="AF2023">
        <f t="shared" si="203"/>
        <v>0</v>
      </c>
      <c r="AG2023" t="str">
        <f t="shared" si="204"/>
        <v/>
      </c>
      <c r="AH2023" t="str">
        <f t="shared" si="205"/>
        <v/>
      </c>
      <c r="AI2023">
        <f t="shared" si="206"/>
        <v>0</v>
      </c>
      <c r="AJ2023">
        <f t="shared" si="207"/>
        <v>0</v>
      </c>
      <c r="AK2023">
        <v>0</v>
      </c>
      <c r="AL2023" t="str">
        <f>IF(AA2023="","",IFERROR(IF(ISNUMBER('Procyclean 220'!F25),'Procyclean 220'!F25,IF(ISNUMBER(SEARCH("12",'Procyclean 220'!F25)),EDATE(AB2023,12),IF(ISNUMBER(SEARCH("6",'Procyclean 220'!F25)),EDATE(AB2023,6),IF(ISNUMBER(SEARCH("3",'Procyclean 220'!F25)),EDATE(AB2023,3),DATEVALUE('Procyclean 220'!F25))))),""))</f>
        <v/>
      </c>
      <c r="AM2023" t="str">
        <f t="shared" ca="1" si="208"/>
        <v/>
      </c>
    </row>
    <row r="2024" spans="27:39" x14ac:dyDescent="0.3">
      <c r="AA2024" t="str">
        <f>IF(COUNTA('Procyclean 220'!C26,'Procyclean 220'!D26,'Procyclean 220'!E26)&gt;0,"220","")</f>
        <v/>
      </c>
      <c r="AB2024" t="str">
        <f>IFERROR(IF(ISNUMBER('Procyclean 220'!C26),'Procyclean 220'!C26,DATEVALUE('Procyclean 220'!C26)),"")</f>
        <v/>
      </c>
      <c r="AC2024" t="str">
        <f>IF(AA2024="","",'Procyclean 220'!D26)</f>
        <v/>
      </c>
      <c r="AD2024" t="str">
        <f>IF(AA2024="","",IFERROR(1*'Procyclean 220'!E26,IFERROR(_xludf.NUMBERVALUE('Procyclean 220'!E26,".",","),IFERROR(_xludf.NUMBERVALUE('Procyclean 220'!E26,",","."),0))))</f>
        <v/>
      </c>
      <c r="AE2024" t="str">
        <f>IF(AA2024="","",'Procyclean 220'!B26)</f>
        <v/>
      </c>
      <c r="AF2024">
        <f t="shared" si="203"/>
        <v>0</v>
      </c>
      <c r="AG2024" t="str">
        <f t="shared" si="204"/>
        <v/>
      </c>
      <c r="AH2024" t="str">
        <f t="shared" si="205"/>
        <v/>
      </c>
      <c r="AI2024">
        <f t="shared" si="206"/>
        <v>0</v>
      </c>
      <c r="AJ2024">
        <f t="shared" si="207"/>
        <v>0</v>
      </c>
      <c r="AK2024">
        <v>0</v>
      </c>
      <c r="AL2024" t="str">
        <f>IF(AA2024="","",IFERROR(IF(ISNUMBER('Procyclean 220'!F26),'Procyclean 220'!F26,IF(ISNUMBER(SEARCH("12",'Procyclean 220'!F26)),EDATE(AB2024,12),IF(ISNUMBER(SEARCH("6",'Procyclean 220'!F26)),EDATE(AB2024,6),IF(ISNUMBER(SEARCH("3",'Procyclean 220'!F26)),EDATE(AB2024,3),DATEVALUE('Procyclean 220'!F26))))),""))</f>
        <v/>
      </c>
      <c r="AM2024" t="str">
        <f t="shared" ca="1" si="208"/>
        <v/>
      </c>
    </row>
    <row r="2025" spans="27:39" x14ac:dyDescent="0.3">
      <c r="AA2025" t="str">
        <f>IF(COUNTA('Procyclean 220'!C27,'Procyclean 220'!D27,'Procyclean 220'!E27)&gt;0,"220","")</f>
        <v/>
      </c>
      <c r="AB2025" t="str">
        <f>IFERROR(IF(ISNUMBER('Procyclean 220'!C27),'Procyclean 220'!C27,DATEVALUE('Procyclean 220'!C27)),"")</f>
        <v/>
      </c>
      <c r="AC2025" t="str">
        <f>IF(AA2025="","",'Procyclean 220'!D27)</f>
        <v/>
      </c>
      <c r="AD2025" t="str">
        <f>IF(AA2025="","",IFERROR(1*'Procyclean 220'!E27,IFERROR(_xludf.NUMBERVALUE('Procyclean 220'!E27,".",","),IFERROR(_xludf.NUMBERVALUE('Procyclean 220'!E27,",","."),0))))</f>
        <v/>
      </c>
      <c r="AE2025" t="str">
        <f>IF(AA2025="","",'Procyclean 220'!B27)</f>
        <v/>
      </c>
      <c r="AF2025">
        <f t="shared" si="203"/>
        <v>0</v>
      </c>
      <c r="AG2025" t="str">
        <f t="shared" si="204"/>
        <v/>
      </c>
      <c r="AH2025" t="str">
        <f t="shared" si="205"/>
        <v/>
      </c>
      <c r="AI2025">
        <f t="shared" si="206"/>
        <v>0</v>
      </c>
      <c r="AJ2025">
        <f t="shared" si="207"/>
        <v>0</v>
      </c>
      <c r="AK2025">
        <v>0</v>
      </c>
      <c r="AL2025" t="str">
        <f>IF(AA2025="","",IFERROR(IF(ISNUMBER('Procyclean 220'!F27),'Procyclean 220'!F27,IF(ISNUMBER(SEARCH("12",'Procyclean 220'!F27)),EDATE(AB2025,12),IF(ISNUMBER(SEARCH("6",'Procyclean 220'!F27)),EDATE(AB2025,6),IF(ISNUMBER(SEARCH("3",'Procyclean 220'!F27)),EDATE(AB2025,3),DATEVALUE('Procyclean 220'!F27))))),""))</f>
        <v/>
      </c>
      <c r="AM2025" t="str">
        <f t="shared" ca="1" si="208"/>
        <v/>
      </c>
    </row>
    <row r="2026" spans="27:39" x14ac:dyDescent="0.3">
      <c r="AA2026" t="str">
        <f>IF(COUNTA('Procyclean 220'!C28,'Procyclean 220'!D28,'Procyclean 220'!E28)&gt;0,"220","")</f>
        <v/>
      </c>
      <c r="AB2026" t="str">
        <f>IFERROR(IF(ISNUMBER('Procyclean 220'!C28),'Procyclean 220'!C28,DATEVALUE('Procyclean 220'!C28)),"")</f>
        <v/>
      </c>
      <c r="AC2026" t="str">
        <f>IF(AA2026="","",'Procyclean 220'!D28)</f>
        <v/>
      </c>
      <c r="AD2026" t="str">
        <f>IF(AA2026="","",IFERROR(1*'Procyclean 220'!E28,IFERROR(_xludf.NUMBERVALUE('Procyclean 220'!E28,".",","),IFERROR(_xludf.NUMBERVALUE('Procyclean 220'!E28,",","."),0))))</f>
        <v/>
      </c>
      <c r="AE2026" t="str">
        <f>IF(AA2026="","",'Procyclean 220'!B28)</f>
        <v/>
      </c>
      <c r="AF2026">
        <f t="shared" si="203"/>
        <v>0</v>
      </c>
      <c r="AG2026" t="str">
        <f t="shared" si="204"/>
        <v/>
      </c>
      <c r="AH2026" t="str">
        <f t="shared" si="205"/>
        <v/>
      </c>
      <c r="AI2026">
        <f t="shared" si="206"/>
        <v>0</v>
      </c>
      <c r="AJ2026">
        <f t="shared" si="207"/>
        <v>0</v>
      </c>
      <c r="AK2026">
        <v>0</v>
      </c>
      <c r="AL2026" t="str">
        <f>IF(AA2026="","",IFERROR(IF(ISNUMBER('Procyclean 220'!F28),'Procyclean 220'!F28,IF(ISNUMBER(SEARCH("12",'Procyclean 220'!F28)),EDATE(AB2026,12),IF(ISNUMBER(SEARCH("6",'Procyclean 220'!F28)),EDATE(AB2026,6),IF(ISNUMBER(SEARCH("3",'Procyclean 220'!F28)),EDATE(AB2026,3),DATEVALUE('Procyclean 220'!F28))))),""))</f>
        <v/>
      </c>
      <c r="AM2026" t="str">
        <f t="shared" ca="1" si="208"/>
        <v/>
      </c>
    </row>
    <row r="2027" spans="27:39" x14ac:dyDescent="0.3">
      <c r="AA2027" t="str">
        <f>IF(COUNTA('Procyclean 220'!C29,'Procyclean 220'!D29,'Procyclean 220'!E29)&gt;0,"220","")</f>
        <v/>
      </c>
      <c r="AB2027" t="str">
        <f>IFERROR(IF(ISNUMBER('Procyclean 220'!C29),'Procyclean 220'!C29,DATEVALUE('Procyclean 220'!C29)),"")</f>
        <v/>
      </c>
      <c r="AC2027" t="str">
        <f>IF(AA2027="","",'Procyclean 220'!D29)</f>
        <v/>
      </c>
      <c r="AD2027" t="str">
        <f>IF(AA2027="","",IFERROR(1*'Procyclean 220'!E29,IFERROR(_xludf.NUMBERVALUE('Procyclean 220'!E29,".",","),IFERROR(_xludf.NUMBERVALUE('Procyclean 220'!E29,",","."),0))))</f>
        <v/>
      </c>
      <c r="AE2027" t="str">
        <f>IF(AA2027="","",'Procyclean 220'!B29)</f>
        <v/>
      </c>
      <c r="AF2027">
        <f t="shared" si="203"/>
        <v>0</v>
      </c>
      <c r="AG2027" t="str">
        <f t="shared" si="204"/>
        <v/>
      </c>
      <c r="AH2027" t="str">
        <f t="shared" si="205"/>
        <v/>
      </c>
      <c r="AI2027">
        <f t="shared" si="206"/>
        <v>0</v>
      </c>
      <c r="AJ2027">
        <f t="shared" si="207"/>
        <v>0</v>
      </c>
      <c r="AK2027">
        <v>0</v>
      </c>
      <c r="AL2027" t="str">
        <f>IF(AA2027="","",IFERROR(IF(ISNUMBER('Procyclean 220'!F29),'Procyclean 220'!F29,IF(ISNUMBER(SEARCH("12",'Procyclean 220'!F29)),EDATE(AB2027,12),IF(ISNUMBER(SEARCH("6",'Procyclean 220'!F29)),EDATE(AB2027,6),IF(ISNUMBER(SEARCH("3",'Procyclean 220'!F29)),EDATE(AB2027,3),DATEVALUE('Procyclean 220'!F29))))),""))</f>
        <v/>
      </c>
      <c r="AM2027" t="str">
        <f t="shared" ca="1" si="208"/>
        <v/>
      </c>
    </row>
    <row r="2028" spans="27:39" x14ac:dyDescent="0.3">
      <c r="AA2028" t="str">
        <f>IF(COUNTA('Procyclean 220'!C30,'Procyclean 220'!D30,'Procyclean 220'!E30)&gt;0,"220","")</f>
        <v/>
      </c>
      <c r="AB2028" t="str">
        <f>IFERROR(IF(ISNUMBER('Procyclean 220'!C30),'Procyclean 220'!C30,DATEVALUE('Procyclean 220'!C30)),"")</f>
        <v/>
      </c>
      <c r="AC2028" t="str">
        <f>IF(AA2028="","",'Procyclean 220'!D30)</f>
        <v/>
      </c>
      <c r="AD2028" t="str">
        <f>IF(AA2028="","",IFERROR(1*'Procyclean 220'!E30,IFERROR(_xludf.NUMBERVALUE('Procyclean 220'!E30,".",","),IFERROR(_xludf.NUMBERVALUE('Procyclean 220'!E30,",","."),0))))</f>
        <v/>
      </c>
      <c r="AE2028" t="str">
        <f>IF(AA2028="","",'Procyclean 220'!B30)</f>
        <v/>
      </c>
      <c r="AF2028">
        <f t="shared" si="203"/>
        <v>0</v>
      </c>
      <c r="AG2028" t="str">
        <f t="shared" si="204"/>
        <v/>
      </c>
      <c r="AH2028" t="str">
        <f t="shared" si="205"/>
        <v/>
      </c>
      <c r="AI2028">
        <f t="shared" si="206"/>
        <v>0</v>
      </c>
      <c r="AJ2028">
        <f t="shared" si="207"/>
        <v>0</v>
      </c>
      <c r="AK2028">
        <v>0</v>
      </c>
      <c r="AL2028" t="str">
        <f>IF(AA2028="","",IFERROR(IF(ISNUMBER('Procyclean 220'!F30),'Procyclean 220'!F30,IF(ISNUMBER(SEARCH("12",'Procyclean 220'!F30)),EDATE(AB2028,12),IF(ISNUMBER(SEARCH("6",'Procyclean 220'!F30)),EDATE(AB2028,6),IF(ISNUMBER(SEARCH("3",'Procyclean 220'!F30)),EDATE(AB2028,3),DATEVALUE('Procyclean 220'!F30))))),""))</f>
        <v/>
      </c>
      <c r="AM2028" t="str">
        <f t="shared" ca="1" si="208"/>
        <v/>
      </c>
    </row>
    <row r="2029" spans="27:39" x14ac:dyDescent="0.3">
      <c r="AA2029" t="str">
        <f>IF(COUNTA('Procyclean 220'!C31,'Procyclean 220'!D31,'Procyclean 220'!E31)&gt;0,"220","")</f>
        <v/>
      </c>
      <c r="AB2029" t="str">
        <f>IFERROR(IF(ISNUMBER('Procyclean 220'!C31),'Procyclean 220'!C31,DATEVALUE('Procyclean 220'!C31)),"")</f>
        <v/>
      </c>
      <c r="AC2029" t="str">
        <f>IF(AA2029="","",'Procyclean 220'!D31)</f>
        <v/>
      </c>
      <c r="AD2029" t="str">
        <f>IF(AA2029="","",IFERROR(1*'Procyclean 220'!E31,IFERROR(_xludf.NUMBERVALUE('Procyclean 220'!E31,".",","),IFERROR(_xludf.NUMBERVALUE('Procyclean 220'!E31,",","."),0))))</f>
        <v/>
      </c>
      <c r="AE2029" t="str">
        <f>IF(AA2029="","",'Procyclean 220'!B31)</f>
        <v/>
      </c>
      <c r="AF2029">
        <f t="shared" si="203"/>
        <v>0</v>
      </c>
      <c r="AG2029" t="str">
        <f t="shared" si="204"/>
        <v/>
      </c>
      <c r="AH2029" t="str">
        <f t="shared" si="205"/>
        <v/>
      </c>
      <c r="AI2029">
        <f t="shared" si="206"/>
        <v>0</v>
      </c>
      <c r="AJ2029">
        <f t="shared" si="207"/>
        <v>0</v>
      </c>
      <c r="AK2029">
        <v>0</v>
      </c>
      <c r="AL2029" t="str">
        <f>IF(AA2029="","",IFERROR(IF(ISNUMBER('Procyclean 220'!F31),'Procyclean 220'!F31,IF(ISNUMBER(SEARCH("12",'Procyclean 220'!F31)),EDATE(AB2029,12),IF(ISNUMBER(SEARCH("6",'Procyclean 220'!F31)),EDATE(AB2029,6),IF(ISNUMBER(SEARCH("3",'Procyclean 220'!F31)),EDATE(AB2029,3),DATEVALUE('Procyclean 220'!F31))))),""))</f>
        <v/>
      </c>
      <c r="AM2029" t="str">
        <f t="shared" ca="1" si="208"/>
        <v/>
      </c>
    </row>
    <row r="2030" spans="27:39" x14ac:dyDescent="0.3">
      <c r="AA2030" t="str">
        <f>IF(COUNTA('Procyclean 220'!C32,'Procyclean 220'!D32,'Procyclean 220'!E32)&gt;0,"220","")</f>
        <v/>
      </c>
      <c r="AB2030" t="str">
        <f>IFERROR(IF(ISNUMBER('Procyclean 220'!C32),'Procyclean 220'!C32,DATEVALUE('Procyclean 220'!C32)),"")</f>
        <v/>
      </c>
      <c r="AC2030" t="str">
        <f>IF(AA2030="","",'Procyclean 220'!D32)</f>
        <v/>
      </c>
      <c r="AD2030" t="str">
        <f>IF(AA2030="","",IFERROR(1*'Procyclean 220'!E32,IFERROR(_xludf.NUMBERVALUE('Procyclean 220'!E32,".",","),IFERROR(_xludf.NUMBERVALUE('Procyclean 220'!E32,",","."),0))))</f>
        <v/>
      </c>
      <c r="AE2030" t="str">
        <f>IF(AA2030="","",'Procyclean 220'!B32)</f>
        <v/>
      </c>
      <c r="AF2030">
        <f t="shared" si="203"/>
        <v>0</v>
      </c>
      <c r="AG2030" t="str">
        <f t="shared" si="204"/>
        <v/>
      </c>
      <c r="AH2030" t="str">
        <f t="shared" si="205"/>
        <v/>
      </c>
      <c r="AI2030">
        <f t="shared" si="206"/>
        <v>0</v>
      </c>
      <c r="AJ2030">
        <f t="shared" si="207"/>
        <v>0</v>
      </c>
      <c r="AK2030">
        <v>0</v>
      </c>
      <c r="AL2030" t="str">
        <f>IF(AA2030="","",IFERROR(IF(ISNUMBER('Procyclean 220'!F32),'Procyclean 220'!F32,IF(ISNUMBER(SEARCH("12",'Procyclean 220'!F32)),EDATE(AB2030,12),IF(ISNUMBER(SEARCH("6",'Procyclean 220'!F32)),EDATE(AB2030,6),IF(ISNUMBER(SEARCH("3",'Procyclean 220'!F32)),EDATE(AB2030,3),DATEVALUE('Procyclean 220'!F32))))),""))</f>
        <v/>
      </c>
      <c r="AM2030" t="str">
        <f t="shared" ca="1" si="208"/>
        <v/>
      </c>
    </row>
    <row r="2031" spans="27:39" x14ac:dyDescent="0.3">
      <c r="AA2031" t="str">
        <f>IF(COUNTA('Procyclean 220'!C33,'Procyclean 220'!D33,'Procyclean 220'!E33)&gt;0,"220","")</f>
        <v/>
      </c>
      <c r="AB2031" t="str">
        <f>IFERROR(IF(ISNUMBER('Procyclean 220'!C33),'Procyclean 220'!C33,DATEVALUE('Procyclean 220'!C33)),"")</f>
        <v/>
      </c>
      <c r="AC2031" t="str">
        <f>IF(AA2031="","",'Procyclean 220'!D33)</f>
        <v/>
      </c>
      <c r="AD2031" t="str">
        <f>IF(AA2031="","",IFERROR(1*'Procyclean 220'!E33,IFERROR(_xludf.NUMBERVALUE('Procyclean 220'!E33,".",","),IFERROR(_xludf.NUMBERVALUE('Procyclean 220'!E33,",","."),0))))</f>
        <v/>
      </c>
      <c r="AE2031" t="str">
        <f>IF(AA2031="","",'Procyclean 220'!B33)</f>
        <v/>
      </c>
      <c r="AF2031">
        <f t="shared" si="203"/>
        <v>0</v>
      </c>
      <c r="AG2031" t="str">
        <f t="shared" si="204"/>
        <v/>
      </c>
      <c r="AH2031" t="str">
        <f t="shared" si="205"/>
        <v/>
      </c>
      <c r="AI2031">
        <f t="shared" si="206"/>
        <v>0</v>
      </c>
      <c r="AJ2031">
        <f t="shared" si="207"/>
        <v>0</v>
      </c>
      <c r="AK2031">
        <v>0</v>
      </c>
      <c r="AL2031" t="str">
        <f>IF(AA2031="","",IFERROR(IF(ISNUMBER('Procyclean 220'!F33),'Procyclean 220'!F33,IF(ISNUMBER(SEARCH("12",'Procyclean 220'!F33)),EDATE(AB2031,12),IF(ISNUMBER(SEARCH("6",'Procyclean 220'!F33)),EDATE(AB2031,6),IF(ISNUMBER(SEARCH("3",'Procyclean 220'!F33)),EDATE(AB2031,3),DATEVALUE('Procyclean 220'!F33))))),""))</f>
        <v/>
      </c>
      <c r="AM2031" t="str">
        <f t="shared" ca="1" si="208"/>
        <v/>
      </c>
    </row>
    <row r="2032" spans="27:39" x14ac:dyDescent="0.3">
      <c r="AA2032" t="str">
        <f>IF(COUNTA('Procyclean 220'!C34,'Procyclean 220'!D34,'Procyclean 220'!E34)&gt;0,"220","")</f>
        <v/>
      </c>
      <c r="AB2032" t="str">
        <f>IFERROR(IF(ISNUMBER('Procyclean 220'!C34),'Procyclean 220'!C34,DATEVALUE('Procyclean 220'!C34)),"")</f>
        <v/>
      </c>
      <c r="AC2032" t="str">
        <f>IF(AA2032="","",'Procyclean 220'!D34)</f>
        <v/>
      </c>
      <c r="AD2032" t="str">
        <f>IF(AA2032="","",IFERROR(1*'Procyclean 220'!E34,IFERROR(_xludf.NUMBERVALUE('Procyclean 220'!E34,".",","),IFERROR(_xludf.NUMBERVALUE('Procyclean 220'!E34,",","."),0))))</f>
        <v/>
      </c>
      <c r="AE2032" t="str">
        <f>IF(AA2032="","",'Procyclean 220'!B34)</f>
        <v/>
      </c>
      <c r="AF2032">
        <f t="shared" si="203"/>
        <v>0</v>
      </c>
      <c r="AG2032" t="str">
        <f t="shared" si="204"/>
        <v/>
      </c>
      <c r="AH2032" t="str">
        <f t="shared" si="205"/>
        <v/>
      </c>
      <c r="AI2032">
        <f t="shared" si="206"/>
        <v>0</v>
      </c>
      <c r="AJ2032">
        <f t="shared" si="207"/>
        <v>0</v>
      </c>
      <c r="AK2032">
        <v>0</v>
      </c>
      <c r="AL2032" t="str">
        <f>IF(AA2032="","",IFERROR(IF(ISNUMBER('Procyclean 220'!F34),'Procyclean 220'!F34,IF(ISNUMBER(SEARCH("12",'Procyclean 220'!F34)),EDATE(AB2032,12),IF(ISNUMBER(SEARCH("6",'Procyclean 220'!F34)),EDATE(AB2032,6),IF(ISNUMBER(SEARCH("3",'Procyclean 220'!F34)),EDATE(AB2032,3),DATEVALUE('Procyclean 220'!F34))))),""))</f>
        <v/>
      </c>
      <c r="AM2032" t="str">
        <f t="shared" ca="1" si="208"/>
        <v/>
      </c>
    </row>
    <row r="2033" spans="27:39" x14ac:dyDescent="0.3">
      <c r="AA2033" t="str">
        <f>IF(COUNTA('Procyclean 220'!C35,'Procyclean 220'!D35,'Procyclean 220'!E35)&gt;0,"220","")</f>
        <v/>
      </c>
      <c r="AB2033" t="str">
        <f>IFERROR(IF(ISNUMBER('Procyclean 220'!C35),'Procyclean 220'!C35,DATEVALUE('Procyclean 220'!C35)),"")</f>
        <v/>
      </c>
      <c r="AC2033" t="str">
        <f>IF(AA2033="","",'Procyclean 220'!D35)</f>
        <v/>
      </c>
      <c r="AD2033" t="str">
        <f>IF(AA2033="","",IFERROR(1*'Procyclean 220'!E35,IFERROR(_xludf.NUMBERVALUE('Procyclean 220'!E35,".",","),IFERROR(_xludf.NUMBERVALUE('Procyclean 220'!E35,",","."),0))))</f>
        <v/>
      </c>
      <c r="AE2033" t="str">
        <f>IF(AA2033="","",'Procyclean 220'!B35)</f>
        <v/>
      </c>
      <c r="AF2033">
        <f t="shared" si="203"/>
        <v>0</v>
      </c>
      <c r="AG2033" t="str">
        <f t="shared" si="204"/>
        <v/>
      </c>
      <c r="AH2033" t="str">
        <f t="shared" si="205"/>
        <v/>
      </c>
      <c r="AI2033">
        <f t="shared" si="206"/>
        <v>0</v>
      </c>
      <c r="AJ2033">
        <f t="shared" si="207"/>
        <v>0</v>
      </c>
      <c r="AK2033">
        <v>0</v>
      </c>
      <c r="AL2033" t="str">
        <f>IF(AA2033="","",IFERROR(IF(ISNUMBER('Procyclean 220'!F35),'Procyclean 220'!F35,IF(ISNUMBER(SEARCH("12",'Procyclean 220'!F35)),EDATE(AB2033,12),IF(ISNUMBER(SEARCH("6",'Procyclean 220'!F35)),EDATE(AB2033,6),IF(ISNUMBER(SEARCH("3",'Procyclean 220'!F35)),EDATE(AB2033,3),DATEVALUE('Procyclean 220'!F35))))),""))</f>
        <v/>
      </c>
      <c r="AM2033" t="str">
        <f t="shared" ca="1" si="208"/>
        <v/>
      </c>
    </row>
    <row r="2034" spans="27:39" x14ac:dyDescent="0.3">
      <c r="AA2034" t="str">
        <f>IF(COUNTA('Procyclean 220'!C36,'Procyclean 220'!D36,'Procyclean 220'!E36)&gt;0,"220","")</f>
        <v/>
      </c>
      <c r="AB2034" t="str">
        <f>IFERROR(IF(ISNUMBER('Procyclean 220'!C36),'Procyclean 220'!C36,DATEVALUE('Procyclean 220'!C36)),"")</f>
        <v/>
      </c>
      <c r="AC2034" t="str">
        <f>IF(AA2034="","",'Procyclean 220'!D36)</f>
        <v/>
      </c>
      <c r="AD2034" t="str">
        <f>IF(AA2034="","",IFERROR(1*'Procyclean 220'!E36,IFERROR(_xludf.NUMBERVALUE('Procyclean 220'!E36,".",","),IFERROR(_xludf.NUMBERVALUE('Procyclean 220'!E36,",","."),0))))</f>
        <v/>
      </c>
      <c r="AE2034" t="str">
        <f>IF(AA2034="","",'Procyclean 220'!B36)</f>
        <v/>
      </c>
      <c r="AF2034">
        <f t="shared" si="203"/>
        <v>0</v>
      </c>
      <c r="AG2034" t="str">
        <f t="shared" si="204"/>
        <v/>
      </c>
      <c r="AH2034" t="str">
        <f t="shared" si="205"/>
        <v/>
      </c>
      <c r="AI2034">
        <f t="shared" si="206"/>
        <v>0</v>
      </c>
      <c r="AJ2034">
        <f t="shared" si="207"/>
        <v>0</v>
      </c>
      <c r="AK2034">
        <v>0</v>
      </c>
      <c r="AL2034" t="str">
        <f>IF(AA2034="","",IFERROR(IF(ISNUMBER('Procyclean 220'!F36),'Procyclean 220'!F36,IF(ISNUMBER(SEARCH("12",'Procyclean 220'!F36)),EDATE(AB2034,12),IF(ISNUMBER(SEARCH("6",'Procyclean 220'!F36)),EDATE(AB2034,6),IF(ISNUMBER(SEARCH("3",'Procyclean 220'!F36)),EDATE(AB2034,3),DATEVALUE('Procyclean 220'!F36))))),""))</f>
        <v/>
      </c>
      <c r="AM2034" t="str">
        <f t="shared" ca="1" si="208"/>
        <v/>
      </c>
    </row>
    <row r="2035" spans="27:39" x14ac:dyDescent="0.3">
      <c r="AA2035" t="str">
        <f>IF(COUNTA('Procyclean 220'!C37,'Procyclean 220'!D37,'Procyclean 220'!E37)&gt;0,"220","")</f>
        <v/>
      </c>
      <c r="AB2035" t="str">
        <f>IFERROR(IF(ISNUMBER('Procyclean 220'!C37),'Procyclean 220'!C37,DATEVALUE('Procyclean 220'!C37)),"")</f>
        <v/>
      </c>
      <c r="AC2035" t="str">
        <f>IF(AA2035="","",'Procyclean 220'!D37)</f>
        <v/>
      </c>
      <c r="AD2035" t="str">
        <f>IF(AA2035="","",IFERROR(1*'Procyclean 220'!E37,IFERROR(_xludf.NUMBERVALUE('Procyclean 220'!E37,".",","),IFERROR(_xludf.NUMBERVALUE('Procyclean 220'!E37,",","."),0))))</f>
        <v/>
      </c>
      <c r="AE2035" t="str">
        <f>IF(AA2035="","",'Procyclean 220'!B37)</f>
        <v/>
      </c>
      <c r="AF2035">
        <f t="shared" si="203"/>
        <v>0</v>
      </c>
      <c r="AG2035" t="str">
        <f t="shared" si="204"/>
        <v/>
      </c>
      <c r="AH2035" t="str">
        <f t="shared" si="205"/>
        <v/>
      </c>
      <c r="AI2035">
        <f t="shared" si="206"/>
        <v>0</v>
      </c>
      <c r="AJ2035">
        <f t="shared" si="207"/>
        <v>0</v>
      </c>
      <c r="AK2035">
        <v>0</v>
      </c>
      <c r="AL2035" t="str">
        <f>IF(AA2035="","",IFERROR(IF(ISNUMBER('Procyclean 220'!F37),'Procyclean 220'!F37,IF(ISNUMBER(SEARCH("12",'Procyclean 220'!F37)),EDATE(AB2035,12),IF(ISNUMBER(SEARCH("6",'Procyclean 220'!F37)),EDATE(AB2035,6),IF(ISNUMBER(SEARCH("3",'Procyclean 220'!F37)),EDATE(AB2035,3),DATEVALUE('Procyclean 220'!F37))))),""))</f>
        <v/>
      </c>
      <c r="AM2035" t="str">
        <f t="shared" ca="1" si="208"/>
        <v/>
      </c>
    </row>
    <row r="2036" spans="27:39" x14ac:dyDescent="0.3">
      <c r="AA2036" t="str">
        <f>IF(COUNTA('Procyclean 220'!C38,'Procyclean 220'!D38,'Procyclean 220'!E38)&gt;0,"220","")</f>
        <v/>
      </c>
      <c r="AB2036" t="str">
        <f>IFERROR(IF(ISNUMBER('Procyclean 220'!C38),'Procyclean 220'!C38,DATEVALUE('Procyclean 220'!C38)),"")</f>
        <v/>
      </c>
      <c r="AC2036" t="str">
        <f>IF(AA2036="","",'Procyclean 220'!D38)</f>
        <v/>
      </c>
      <c r="AD2036" t="str">
        <f>IF(AA2036="","",IFERROR(1*'Procyclean 220'!E38,IFERROR(_xludf.NUMBERVALUE('Procyclean 220'!E38,".",","),IFERROR(_xludf.NUMBERVALUE('Procyclean 220'!E38,",","."),0))))</f>
        <v/>
      </c>
      <c r="AE2036" t="str">
        <f>IF(AA2036="","",'Procyclean 220'!B38)</f>
        <v/>
      </c>
      <c r="AF2036">
        <f t="shared" si="203"/>
        <v>0</v>
      </c>
      <c r="AG2036" t="str">
        <f t="shared" si="204"/>
        <v/>
      </c>
      <c r="AH2036" t="str">
        <f t="shared" si="205"/>
        <v/>
      </c>
      <c r="AI2036">
        <f t="shared" si="206"/>
        <v>0</v>
      </c>
      <c r="AJ2036">
        <f t="shared" si="207"/>
        <v>0</v>
      </c>
      <c r="AK2036">
        <v>0</v>
      </c>
      <c r="AL2036" t="str">
        <f>IF(AA2036="","",IFERROR(IF(ISNUMBER('Procyclean 220'!F38),'Procyclean 220'!F38,IF(ISNUMBER(SEARCH("12",'Procyclean 220'!F38)),EDATE(AB2036,12),IF(ISNUMBER(SEARCH("6",'Procyclean 220'!F38)),EDATE(AB2036,6),IF(ISNUMBER(SEARCH("3",'Procyclean 220'!F38)),EDATE(AB2036,3),DATEVALUE('Procyclean 220'!F38))))),""))</f>
        <v/>
      </c>
      <c r="AM2036" t="str">
        <f t="shared" ca="1" si="208"/>
        <v/>
      </c>
    </row>
    <row r="2037" spans="27:39" x14ac:dyDescent="0.3">
      <c r="AA2037" t="str">
        <f>IF(COUNTA('Procyclean 220'!C39,'Procyclean 220'!D39,'Procyclean 220'!E39)&gt;0,"220","")</f>
        <v/>
      </c>
      <c r="AB2037" t="str">
        <f>IFERROR(IF(ISNUMBER('Procyclean 220'!C39),'Procyclean 220'!C39,DATEVALUE('Procyclean 220'!C39)),"")</f>
        <v/>
      </c>
      <c r="AC2037" t="str">
        <f>IF(AA2037="","",'Procyclean 220'!D39)</f>
        <v/>
      </c>
      <c r="AD2037" t="str">
        <f>IF(AA2037="","",IFERROR(1*'Procyclean 220'!E39,IFERROR(_xludf.NUMBERVALUE('Procyclean 220'!E39,".",","),IFERROR(_xludf.NUMBERVALUE('Procyclean 220'!E39,",","."),0))))</f>
        <v/>
      </c>
      <c r="AE2037" t="str">
        <f>IF(AA2037="","",'Procyclean 220'!B39)</f>
        <v/>
      </c>
      <c r="AF2037">
        <f t="shared" si="203"/>
        <v>0</v>
      </c>
      <c r="AG2037" t="str">
        <f t="shared" si="204"/>
        <v/>
      </c>
      <c r="AH2037" t="str">
        <f t="shared" si="205"/>
        <v/>
      </c>
      <c r="AI2037">
        <f t="shared" si="206"/>
        <v>0</v>
      </c>
      <c r="AJ2037">
        <f t="shared" si="207"/>
        <v>0</v>
      </c>
      <c r="AK2037">
        <v>0</v>
      </c>
      <c r="AL2037" t="str">
        <f>IF(AA2037="","",IFERROR(IF(ISNUMBER('Procyclean 220'!F39),'Procyclean 220'!F39,IF(ISNUMBER(SEARCH("12",'Procyclean 220'!F39)),EDATE(AB2037,12),IF(ISNUMBER(SEARCH("6",'Procyclean 220'!F39)),EDATE(AB2037,6),IF(ISNUMBER(SEARCH("3",'Procyclean 220'!F39)),EDATE(AB2037,3),DATEVALUE('Procyclean 220'!F39))))),""))</f>
        <v/>
      </c>
      <c r="AM2037" t="str">
        <f t="shared" ca="1" si="208"/>
        <v/>
      </c>
    </row>
    <row r="2038" spans="27:39" x14ac:dyDescent="0.3">
      <c r="AA2038" t="str">
        <f>IF(COUNTA('Procyclean 220'!C40,'Procyclean 220'!D40,'Procyclean 220'!E40)&gt;0,"220","")</f>
        <v/>
      </c>
      <c r="AB2038" t="str">
        <f>IFERROR(IF(ISNUMBER('Procyclean 220'!C40),'Procyclean 220'!C40,DATEVALUE('Procyclean 220'!C40)),"")</f>
        <v/>
      </c>
      <c r="AC2038" t="str">
        <f>IF(AA2038="","",'Procyclean 220'!D40)</f>
        <v/>
      </c>
      <c r="AD2038" t="str">
        <f>IF(AA2038="","",IFERROR(1*'Procyclean 220'!E40,IFERROR(_xludf.NUMBERVALUE('Procyclean 220'!E40,".",","),IFERROR(_xludf.NUMBERVALUE('Procyclean 220'!E40,",","."),0))))</f>
        <v/>
      </c>
      <c r="AE2038" t="str">
        <f>IF(AA2038="","",'Procyclean 220'!B40)</f>
        <v/>
      </c>
      <c r="AF2038">
        <f t="shared" si="203"/>
        <v>0</v>
      </c>
      <c r="AG2038" t="str">
        <f t="shared" si="204"/>
        <v/>
      </c>
      <c r="AH2038" t="str">
        <f t="shared" si="205"/>
        <v/>
      </c>
      <c r="AI2038">
        <f t="shared" si="206"/>
        <v>0</v>
      </c>
      <c r="AJ2038">
        <f t="shared" si="207"/>
        <v>0</v>
      </c>
      <c r="AK2038">
        <v>0</v>
      </c>
      <c r="AL2038" t="str">
        <f>IF(AA2038="","",IFERROR(IF(ISNUMBER('Procyclean 220'!F40),'Procyclean 220'!F40,IF(ISNUMBER(SEARCH("12",'Procyclean 220'!F40)),EDATE(AB2038,12),IF(ISNUMBER(SEARCH("6",'Procyclean 220'!F40)),EDATE(AB2038,6),IF(ISNUMBER(SEARCH("3",'Procyclean 220'!F40)),EDATE(AB2038,3),DATEVALUE('Procyclean 220'!F40))))),""))</f>
        <v/>
      </c>
      <c r="AM2038" t="str">
        <f t="shared" ca="1" si="208"/>
        <v/>
      </c>
    </row>
    <row r="2039" spans="27:39" x14ac:dyDescent="0.3">
      <c r="AA2039" t="str">
        <f>IF(COUNTA('Procyclean 220'!C41,'Procyclean 220'!D41,'Procyclean 220'!E41)&gt;0,"220","")</f>
        <v/>
      </c>
      <c r="AB2039" t="str">
        <f>IFERROR(IF(ISNUMBER('Procyclean 220'!C41),'Procyclean 220'!C41,DATEVALUE('Procyclean 220'!C41)),"")</f>
        <v/>
      </c>
      <c r="AC2039" t="str">
        <f>IF(AA2039="","",'Procyclean 220'!D41)</f>
        <v/>
      </c>
      <c r="AD2039" t="str">
        <f>IF(AA2039="","",IFERROR(1*'Procyclean 220'!E41,IFERROR(_xludf.NUMBERVALUE('Procyclean 220'!E41,".",","),IFERROR(_xludf.NUMBERVALUE('Procyclean 220'!E41,",","."),0))))</f>
        <v/>
      </c>
      <c r="AE2039" t="str">
        <f>IF(AA2039="","",'Procyclean 220'!B41)</f>
        <v/>
      </c>
      <c r="AF2039">
        <f t="shared" si="203"/>
        <v>0</v>
      </c>
      <c r="AG2039" t="str">
        <f t="shared" si="204"/>
        <v/>
      </c>
      <c r="AH2039" t="str">
        <f t="shared" si="205"/>
        <v/>
      </c>
      <c r="AI2039">
        <f t="shared" si="206"/>
        <v>0</v>
      </c>
      <c r="AJ2039">
        <f t="shared" si="207"/>
        <v>0</v>
      </c>
      <c r="AK2039">
        <v>0</v>
      </c>
      <c r="AL2039" t="str">
        <f>IF(AA2039="","",IFERROR(IF(ISNUMBER('Procyclean 220'!F41),'Procyclean 220'!F41,IF(ISNUMBER(SEARCH("12",'Procyclean 220'!F41)),EDATE(AB2039,12),IF(ISNUMBER(SEARCH("6",'Procyclean 220'!F41)),EDATE(AB2039,6),IF(ISNUMBER(SEARCH("3",'Procyclean 220'!F41)),EDATE(AB2039,3),DATEVALUE('Procyclean 220'!F41))))),""))</f>
        <v/>
      </c>
      <c r="AM2039" t="str">
        <f t="shared" ca="1" si="208"/>
        <v/>
      </c>
    </row>
    <row r="2040" spans="27:39" x14ac:dyDescent="0.3">
      <c r="AA2040" t="str">
        <f>IF(COUNTA('Procyclean 220'!C42,'Procyclean 220'!D42,'Procyclean 220'!E42)&gt;0,"220","")</f>
        <v/>
      </c>
      <c r="AB2040" t="str">
        <f>IFERROR(IF(ISNUMBER('Procyclean 220'!C42),'Procyclean 220'!C42,DATEVALUE('Procyclean 220'!C42)),"")</f>
        <v/>
      </c>
      <c r="AC2040" t="str">
        <f>IF(AA2040="","",'Procyclean 220'!D42)</f>
        <v/>
      </c>
      <c r="AD2040" t="str">
        <f>IF(AA2040="","",IFERROR(1*'Procyclean 220'!E42,IFERROR(_xludf.NUMBERVALUE('Procyclean 220'!E42,".",","),IFERROR(_xludf.NUMBERVALUE('Procyclean 220'!E42,",","."),0))))</f>
        <v/>
      </c>
      <c r="AE2040" t="str">
        <f>IF(AA2040="","",'Procyclean 220'!B42)</f>
        <v/>
      </c>
      <c r="AF2040">
        <f t="shared" si="203"/>
        <v>0</v>
      </c>
      <c r="AG2040" t="str">
        <f t="shared" si="204"/>
        <v/>
      </c>
      <c r="AH2040" t="str">
        <f t="shared" si="205"/>
        <v/>
      </c>
      <c r="AI2040">
        <f t="shared" si="206"/>
        <v>0</v>
      </c>
      <c r="AJ2040">
        <f t="shared" si="207"/>
        <v>0</v>
      </c>
      <c r="AK2040">
        <v>0</v>
      </c>
      <c r="AL2040" t="str">
        <f>IF(AA2040="","",IFERROR(IF(ISNUMBER('Procyclean 220'!F42),'Procyclean 220'!F42,IF(ISNUMBER(SEARCH("12",'Procyclean 220'!F42)),EDATE(AB2040,12),IF(ISNUMBER(SEARCH("6",'Procyclean 220'!F42)),EDATE(AB2040,6),IF(ISNUMBER(SEARCH("3",'Procyclean 220'!F42)),EDATE(AB2040,3),DATEVALUE('Procyclean 220'!F42))))),""))</f>
        <v/>
      </c>
      <c r="AM2040" t="str">
        <f t="shared" ca="1" si="208"/>
        <v/>
      </c>
    </row>
    <row r="2041" spans="27:39" x14ac:dyDescent="0.3">
      <c r="AA2041" t="str">
        <f>IF(COUNTA('Procyclean 220'!C43,'Procyclean 220'!D43,'Procyclean 220'!E43)&gt;0,"220","")</f>
        <v/>
      </c>
      <c r="AB2041" t="str">
        <f>IFERROR(IF(ISNUMBER('Procyclean 220'!C43),'Procyclean 220'!C43,DATEVALUE('Procyclean 220'!C43)),"")</f>
        <v/>
      </c>
      <c r="AC2041" t="str">
        <f>IF(AA2041="","",'Procyclean 220'!D43)</f>
        <v/>
      </c>
      <c r="AD2041" t="str">
        <f>IF(AA2041="","",IFERROR(1*'Procyclean 220'!E43,IFERROR(_xludf.NUMBERVALUE('Procyclean 220'!E43,".",","),IFERROR(_xludf.NUMBERVALUE('Procyclean 220'!E43,",","."),0))))</f>
        <v/>
      </c>
      <c r="AE2041" t="str">
        <f>IF(AA2041="","",'Procyclean 220'!B43)</f>
        <v/>
      </c>
      <c r="AF2041">
        <f t="shared" si="203"/>
        <v>0</v>
      </c>
      <c r="AG2041" t="str">
        <f t="shared" si="204"/>
        <v/>
      </c>
      <c r="AH2041" t="str">
        <f t="shared" si="205"/>
        <v/>
      </c>
      <c r="AI2041">
        <f t="shared" si="206"/>
        <v>0</v>
      </c>
      <c r="AJ2041">
        <f t="shared" si="207"/>
        <v>0</v>
      </c>
      <c r="AK2041">
        <v>0</v>
      </c>
      <c r="AL2041" t="str">
        <f>IF(AA2041="","",IFERROR(IF(ISNUMBER('Procyclean 220'!F43),'Procyclean 220'!F43,IF(ISNUMBER(SEARCH("12",'Procyclean 220'!F43)),EDATE(AB2041,12),IF(ISNUMBER(SEARCH("6",'Procyclean 220'!F43)),EDATE(AB2041,6),IF(ISNUMBER(SEARCH("3",'Procyclean 220'!F43)),EDATE(AB2041,3),DATEVALUE('Procyclean 220'!F43))))),""))</f>
        <v/>
      </c>
      <c r="AM2041" t="str">
        <f t="shared" ca="1" si="208"/>
        <v/>
      </c>
    </row>
    <row r="2042" spans="27:39" x14ac:dyDescent="0.3">
      <c r="AA2042" t="str">
        <f>IF(COUNTA('Procyclean 220'!C44,'Procyclean 220'!D44,'Procyclean 220'!E44)&gt;0,"220","")</f>
        <v/>
      </c>
      <c r="AB2042" t="str">
        <f>IFERROR(IF(ISNUMBER('Procyclean 220'!C44),'Procyclean 220'!C44,DATEVALUE('Procyclean 220'!C44)),"")</f>
        <v/>
      </c>
      <c r="AC2042" t="str">
        <f>IF(AA2042="","",'Procyclean 220'!D44)</f>
        <v/>
      </c>
      <c r="AD2042" t="str">
        <f>IF(AA2042="","",IFERROR(1*'Procyclean 220'!E44,IFERROR(_xludf.NUMBERVALUE('Procyclean 220'!E44,".",","),IFERROR(_xludf.NUMBERVALUE('Procyclean 220'!E44,",","."),0))))</f>
        <v/>
      </c>
      <c r="AE2042" t="str">
        <f>IF(AA2042="","",'Procyclean 220'!B44)</f>
        <v/>
      </c>
      <c r="AF2042">
        <f t="shared" si="203"/>
        <v>0</v>
      </c>
      <c r="AG2042" t="str">
        <f t="shared" si="204"/>
        <v/>
      </c>
      <c r="AH2042" t="str">
        <f t="shared" si="205"/>
        <v/>
      </c>
      <c r="AI2042">
        <f t="shared" si="206"/>
        <v>0</v>
      </c>
      <c r="AJ2042">
        <f t="shared" si="207"/>
        <v>0</v>
      </c>
      <c r="AK2042">
        <v>0</v>
      </c>
      <c r="AL2042" t="str">
        <f>IF(AA2042="","",IFERROR(IF(ISNUMBER('Procyclean 220'!F44),'Procyclean 220'!F44,IF(ISNUMBER(SEARCH("12",'Procyclean 220'!F44)),EDATE(AB2042,12),IF(ISNUMBER(SEARCH("6",'Procyclean 220'!F44)),EDATE(AB2042,6),IF(ISNUMBER(SEARCH("3",'Procyclean 220'!F44)),EDATE(AB2042,3),DATEVALUE('Procyclean 220'!F44))))),""))</f>
        <v/>
      </c>
      <c r="AM2042" t="str">
        <f t="shared" ca="1" si="208"/>
        <v/>
      </c>
    </row>
    <row r="2043" spans="27:39" x14ac:dyDescent="0.3">
      <c r="AA2043" t="str">
        <f>IF(COUNTA('Procyclean 220'!C45,'Procyclean 220'!D45,'Procyclean 220'!E45)&gt;0,"220","")</f>
        <v/>
      </c>
      <c r="AB2043" t="str">
        <f>IFERROR(IF(ISNUMBER('Procyclean 220'!C45),'Procyclean 220'!C45,DATEVALUE('Procyclean 220'!C45)),"")</f>
        <v/>
      </c>
      <c r="AC2043" t="str">
        <f>IF(AA2043="","",'Procyclean 220'!D45)</f>
        <v/>
      </c>
      <c r="AD2043" t="str">
        <f>IF(AA2043="","",IFERROR(1*'Procyclean 220'!E45,IFERROR(_xludf.NUMBERVALUE('Procyclean 220'!E45,".",","),IFERROR(_xludf.NUMBERVALUE('Procyclean 220'!E45,",","."),0))))</f>
        <v/>
      </c>
      <c r="AE2043" t="str">
        <f>IF(AA2043="","",'Procyclean 220'!B45)</f>
        <v/>
      </c>
      <c r="AF2043">
        <f t="shared" si="203"/>
        <v>0</v>
      </c>
      <c r="AG2043" t="str">
        <f t="shared" si="204"/>
        <v/>
      </c>
      <c r="AH2043" t="str">
        <f t="shared" si="205"/>
        <v/>
      </c>
      <c r="AI2043">
        <f t="shared" si="206"/>
        <v>0</v>
      </c>
      <c r="AJ2043">
        <f t="shared" si="207"/>
        <v>0</v>
      </c>
      <c r="AK2043">
        <v>0</v>
      </c>
      <c r="AL2043" t="str">
        <f>IF(AA2043="","",IFERROR(IF(ISNUMBER('Procyclean 220'!F45),'Procyclean 220'!F45,IF(ISNUMBER(SEARCH("12",'Procyclean 220'!F45)),EDATE(AB2043,12),IF(ISNUMBER(SEARCH("6",'Procyclean 220'!F45)),EDATE(AB2043,6),IF(ISNUMBER(SEARCH("3",'Procyclean 220'!F45)),EDATE(AB2043,3),DATEVALUE('Procyclean 220'!F45))))),""))</f>
        <v/>
      </c>
      <c r="AM2043" t="str">
        <f t="shared" ca="1" si="208"/>
        <v/>
      </c>
    </row>
    <row r="2044" spans="27:39" x14ac:dyDescent="0.3">
      <c r="AA2044" t="str">
        <f>IF(COUNTA('Procyclean 220'!C46,'Procyclean 220'!D46,'Procyclean 220'!E46)&gt;0,"220","")</f>
        <v/>
      </c>
      <c r="AB2044" t="str">
        <f>IFERROR(IF(ISNUMBER('Procyclean 220'!C46),'Procyclean 220'!C46,DATEVALUE('Procyclean 220'!C46)),"")</f>
        <v/>
      </c>
      <c r="AC2044" t="str">
        <f>IF(AA2044="","",'Procyclean 220'!D46)</f>
        <v/>
      </c>
      <c r="AD2044" t="str">
        <f>IF(AA2044="","",IFERROR(1*'Procyclean 220'!E46,IFERROR(_xludf.NUMBERVALUE('Procyclean 220'!E46,".",","),IFERROR(_xludf.NUMBERVALUE('Procyclean 220'!E46,",","."),0))))</f>
        <v/>
      </c>
      <c r="AE2044" t="str">
        <f>IF(AA2044="","",'Procyclean 220'!B46)</f>
        <v/>
      </c>
      <c r="AF2044">
        <f t="shared" si="203"/>
        <v>0</v>
      </c>
      <c r="AG2044" t="str">
        <f t="shared" si="204"/>
        <v/>
      </c>
      <c r="AH2044" t="str">
        <f t="shared" si="205"/>
        <v/>
      </c>
      <c r="AI2044">
        <f t="shared" si="206"/>
        <v>0</v>
      </c>
      <c r="AJ2044">
        <f t="shared" si="207"/>
        <v>0</v>
      </c>
      <c r="AK2044">
        <v>0</v>
      </c>
      <c r="AL2044" t="str">
        <f>IF(AA2044="","",IFERROR(IF(ISNUMBER('Procyclean 220'!F46),'Procyclean 220'!F46,IF(ISNUMBER(SEARCH("12",'Procyclean 220'!F46)),EDATE(AB2044,12),IF(ISNUMBER(SEARCH("6",'Procyclean 220'!F46)),EDATE(AB2044,6),IF(ISNUMBER(SEARCH("3",'Procyclean 220'!F46)),EDATE(AB2044,3),DATEVALUE('Procyclean 220'!F46))))),""))</f>
        <v/>
      </c>
      <c r="AM2044" t="str">
        <f t="shared" ca="1" si="208"/>
        <v/>
      </c>
    </row>
    <row r="2045" spans="27:39" x14ac:dyDescent="0.3">
      <c r="AA2045" t="str">
        <f>IF(COUNTA('Procyclean 220'!C47,'Procyclean 220'!D47,'Procyclean 220'!E47)&gt;0,"220","")</f>
        <v/>
      </c>
      <c r="AB2045" t="str">
        <f>IFERROR(IF(ISNUMBER('Procyclean 220'!C47),'Procyclean 220'!C47,DATEVALUE('Procyclean 220'!C47)),"")</f>
        <v/>
      </c>
      <c r="AC2045" t="str">
        <f>IF(AA2045="","",'Procyclean 220'!D47)</f>
        <v/>
      </c>
      <c r="AD2045" t="str">
        <f>IF(AA2045="","",IFERROR(1*'Procyclean 220'!E47,IFERROR(_xludf.NUMBERVALUE('Procyclean 220'!E47,".",","),IFERROR(_xludf.NUMBERVALUE('Procyclean 220'!E47,",","."),0))))</f>
        <v/>
      </c>
      <c r="AE2045" t="str">
        <f>IF(AA2045="","",'Procyclean 220'!B47)</f>
        <v/>
      </c>
      <c r="AF2045">
        <f t="shared" si="203"/>
        <v>0</v>
      </c>
      <c r="AG2045" t="str">
        <f t="shared" si="204"/>
        <v/>
      </c>
      <c r="AH2045" t="str">
        <f t="shared" si="205"/>
        <v/>
      </c>
      <c r="AI2045">
        <f t="shared" si="206"/>
        <v>0</v>
      </c>
      <c r="AJ2045">
        <f t="shared" si="207"/>
        <v>0</v>
      </c>
      <c r="AK2045">
        <v>0</v>
      </c>
      <c r="AL2045" t="str">
        <f>IF(AA2045="","",IFERROR(IF(ISNUMBER('Procyclean 220'!F47),'Procyclean 220'!F47,IF(ISNUMBER(SEARCH("12",'Procyclean 220'!F47)),EDATE(AB2045,12),IF(ISNUMBER(SEARCH("6",'Procyclean 220'!F47)),EDATE(AB2045,6),IF(ISNUMBER(SEARCH("3",'Procyclean 220'!F47)),EDATE(AB2045,3),DATEVALUE('Procyclean 220'!F47))))),""))</f>
        <v/>
      </c>
      <c r="AM2045" t="str">
        <f t="shared" ca="1" si="208"/>
        <v/>
      </c>
    </row>
    <row r="2046" spans="27:39" x14ac:dyDescent="0.3">
      <c r="AA2046" t="str">
        <f>IF(COUNTA('Procyclean 220'!C48,'Procyclean 220'!D48,'Procyclean 220'!E48)&gt;0,"220","")</f>
        <v/>
      </c>
      <c r="AB2046" t="str">
        <f>IFERROR(IF(ISNUMBER('Procyclean 220'!C48),'Procyclean 220'!C48,DATEVALUE('Procyclean 220'!C48)),"")</f>
        <v/>
      </c>
      <c r="AC2046" t="str">
        <f>IF(AA2046="","",'Procyclean 220'!D48)</f>
        <v/>
      </c>
      <c r="AD2046" t="str">
        <f>IF(AA2046="","",IFERROR(1*'Procyclean 220'!E48,IFERROR(_xludf.NUMBERVALUE('Procyclean 220'!E48,".",","),IFERROR(_xludf.NUMBERVALUE('Procyclean 220'!E48,",","."),0))))</f>
        <v/>
      </c>
      <c r="AE2046" t="str">
        <f>IF(AA2046="","",'Procyclean 220'!B48)</f>
        <v/>
      </c>
      <c r="AF2046">
        <f t="shared" si="203"/>
        <v>0</v>
      </c>
      <c r="AG2046" t="str">
        <f t="shared" si="204"/>
        <v/>
      </c>
      <c r="AH2046" t="str">
        <f t="shared" si="205"/>
        <v/>
      </c>
      <c r="AI2046">
        <f t="shared" si="206"/>
        <v>0</v>
      </c>
      <c r="AJ2046">
        <f t="shared" si="207"/>
        <v>0</v>
      </c>
      <c r="AK2046">
        <v>0</v>
      </c>
      <c r="AL2046" t="str">
        <f>IF(AA2046="","",IFERROR(IF(ISNUMBER('Procyclean 220'!F48),'Procyclean 220'!F48,IF(ISNUMBER(SEARCH("12",'Procyclean 220'!F48)),EDATE(AB2046,12),IF(ISNUMBER(SEARCH("6",'Procyclean 220'!F48)),EDATE(AB2046,6),IF(ISNUMBER(SEARCH("3",'Procyclean 220'!F48)),EDATE(AB2046,3),DATEVALUE('Procyclean 220'!F48))))),""))</f>
        <v/>
      </c>
      <c r="AM2046" t="str">
        <f t="shared" ca="1" si="208"/>
        <v/>
      </c>
    </row>
    <row r="2047" spans="27:39" x14ac:dyDescent="0.3">
      <c r="AA2047" t="str">
        <f>IF(COUNTA('Procyclean 220'!C49,'Procyclean 220'!D49,'Procyclean 220'!E49)&gt;0,"220","")</f>
        <v/>
      </c>
      <c r="AB2047" t="str">
        <f>IFERROR(IF(ISNUMBER('Procyclean 220'!C49),'Procyclean 220'!C49,DATEVALUE('Procyclean 220'!C49)),"")</f>
        <v/>
      </c>
      <c r="AC2047" t="str">
        <f>IF(AA2047="","",'Procyclean 220'!D49)</f>
        <v/>
      </c>
      <c r="AD2047" t="str">
        <f>IF(AA2047="","",IFERROR(1*'Procyclean 220'!E49,IFERROR(_xludf.NUMBERVALUE('Procyclean 220'!E49,".",","),IFERROR(_xludf.NUMBERVALUE('Procyclean 220'!E49,",","."),0))))</f>
        <v/>
      </c>
      <c r="AE2047" t="str">
        <f>IF(AA2047="","",'Procyclean 220'!B49)</f>
        <v/>
      </c>
      <c r="AF2047">
        <f t="shared" si="203"/>
        <v>0</v>
      </c>
      <c r="AG2047" t="str">
        <f t="shared" si="204"/>
        <v/>
      </c>
      <c r="AH2047" t="str">
        <f t="shared" si="205"/>
        <v/>
      </c>
      <c r="AI2047">
        <f t="shared" si="206"/>
        <v>0</v>
      </c>
      <c r="AJ2047">
        <f t="shared" si="207"/>
        <v>0</v>
      </c>
      <c r="AK2047">
        <v>0</v>
      </c>
      <c r="AL2047" t="str">
        <f>IF(AA2047="","",IFERROR(IF(ISNUMBER('Procyclean 220'!F49),'Procyclean 220'!F49,IF(ISNUMBER(SEARCH("12",'Procyclean 220'!F49)),EDATE(AB2047,12),IF(ISNUMBER(SEARCH("6",'Procyclean 220'!F49)),EDATE(AB2047,6),IF(ISNUMBER(SEARCH("3",'Procyclean 220'!F49)),EDATE(AB2047,3),DATEVALUE('Procyclean 220'!F49))))),""))</f>
        <v/>
      </c>
      <c r="AM2047" t="str">
        <f t="shared" ca="1" si="208"/>
        <v/>
      </c>
    </row>
    <row r="2048" spans="27:39" x14ac:dyDescent="0.3">
      <c r="AA2048" t="str">
        <f>IF(COUNTA('Procyclean 220'!C50,'Procyclean 220'!D50,'Procyclean 220'!E50)&gt;0,"220","")</f>
        <v/>
      </c>
      <c r="AB2048" t="str">
        <f>IFERROR(IF(ISNUMBER('Procyclean 220'!C50),'Procyclean 220'!C50,DATEVALUE('Procyclean 220'!C50)),"")</f>
        <v/>
      </c>
      <c r="AC2048" t="str">
        <f>IF(AA2048="","",'Procyclean 220'!D50)</f>
        <v/>
      </c>
      <c r="AD2048" t="str">
        <f>IF(AA2048="","",IFERROR(1*'Procyclean 220'!E50,IFERROR(_xludf.NUMBERVALUE('Procyclean 220'!E50,".",","),IFERROR(_xludf.NUMBERVALUE('Procyclean 220'!E50,",","."),0))))</f>
        <v/>
      </c>
      <c r="AE2048" t="str">
        <f>IF(AA2048="","",'Procyclean 220'!B50)</f>
        <v/>
      </c>
      <c r="AF2048">
        <f t="shared" si="203"/>
        <v>0</v>
      </c>
      <c r="AG2048" t="str">
        <f t="shared" si="204"/>
        <v/>
      </c>
      <c r="AH2048" t="str">
        <f t="shared" si="205"/>
        <v/>
      </c>
      <c r="AI2048">
        <f t="shared" si="206"/>
        <v>0</v>
      </c>
      <c r="AJ2048">
        <f t="shared" si="207"/>
        <v>0</v>
      </c>
      <c r="AK2048">
        <v>0</v>
      </c>
      <c r="AL2048" t="str">
        <f>IF(AA2048="","",IFERROR(IF(ISNUMBER('Procyclean 220'!F50),'Procyclean 220'!F50,IF(ISNUMBER(SEARCH("12",'Procyclean 220'!F50)),EDATE(AB2048,12),IF(ISNUMBER(SEARCH("6",'Procyclean 220'!F50)),EDATE(AB2048,6),IF(ISNUMBER(SEARCH("3",'Procyclean 220'!F50)),EDATE(AB2048,3),DATEVALUE('Procyclean 220'!F50))))),""))</f>
        <v/>
      </c>
      <c r="AM2048" t="str">
        <f t="shared" ca="1" si="208"/>
        <v/>
      </c>
    </row>
    <row r="2049" spans="27:39" x14ac:dyDescent="0.3">
      <c r="AA2049" t="str">
        <f>IF(COUNTA('Procyclean 220'!C51,'Procyclean 220'!D51,'Procyclean 220'!E51)&gt;0,"220","")</f>
        <v/>
      </c>
      <c r="AB2049" t="str">
        <f>IFERROR(IF(ISNUMBER('Procyclean 220'!C51),'Procyclean 220'!C51,DATEVALUE('Procyclean 220'!C51)),"")</f>
        <v/>
      </c>
      <c r="AC2049" t="str">
        <f>IF(AA2049="","",'Procyclean 220'!D51)</f>
        <v/>
      </c>
      <c r="AD2049" t="str">
        <f>IF(AA2049="","",IFERROR(1*'Procyclean 220'!E51,IFERROR(_xludf.NUMBERVALUE('Procyclean 220'!E51,".",","),IFERROR(_xludf.NUMBERVALUE('Procyclean 220'!E51,",","."),0))))</f>
        <v/>
      </c>
      <c r="AE2049" t="str">
        <f>IF(AA2049="","",'Procyclean 220'!B51)</f>
        <v/>
      </c>
      <c r="AF2049">
        <f t="shared" si="203"/>
        <v>0</v>
      </c>
      <c r="AG2049" t="str">
        <f t="shared" si="204"/>
        <v/>
      </c>
      <c r="AH2049" t="str">
        <f t="shared" si="205"/>
        <v/>
      </c>
      <c r="AI2049">
        <f t="shared" si="206"/>
        <v>0</v>
      </c>
      <c r="AJ2049">
        <f t="shared" si="207"/>
        <v>0</v>
      </c>
      <c r="AK2049">
        <v>0</v>
      </c>
      <c r="AL2049" t="str">
        <f>IF(AA2049="","",IFERROR(IF(ISNUMBER('Procyclean 220'!F51),'Procyclean 220'!F51,IF(ISNUMBER(SEARCH("12",'Procyclean 220'!F51)),EDATE(AB2049,12),IF(ISNUMBER(SEARCH("6",'Procyclean 220'!F51)),EDATE(AB2049,6),IF(ISNUMBER(SEARCH("3",'Procyclean 220'!F51)),EDATE(AB2049,3),DATEVALUE('Procyclean 220'!F51))))),""))</f>
        <v/>
      </c>
      <c r="AM2049" t="str">
        <f t="shared" ca="1" si="208"/>
        <v/>
      </c>
    </row>
    <row r="2050" spans="27:39" x14ac:dyDescent="0.3">
      <c r="AA2050" t="str">
        <f>IF(COUNTA('Procyclean 220'!C52,'Procyclean 220'!D52,'Procyclean 220'!E52)&gt;0,"220","")</f>
        <v/>
      </c>
      <c r="AB2050" t="str">
        <f>IFERROR(IF(ISNUMBER('Procyclean 220'!C52),'Procyclean 220'!C52,DATEVALUE('Procyclean 220'!C52)),"")</f>
        <v/>
      </c>
      <c r="AC2050" t="str">
        <f>IF(AA2050="","",'Procyclean 220'!D52)</f>
        <v/>
      </c>
      <c r="AD2050" t="str">
        <f>IF(AA2050="","",IFERROR(1*'Procyclean 220'!E52,IFERROR(_xludf.NUMBERVALUE('Procyclean 220'!E52,".",","),IFERROR(_xludf.NUMBERVALUE('Procyclean 220'!E52,",","."),0))))</f>
        <v/>
      </c>
      <c r="AE2050" t="str">
        <f>IF(AA2050="","",'Procyclean 220'!B52)</f>
        <v/>
      </c>
      <c r="AF2050">
        <f t="shared" ref="AF2050:AF2113" si="209">IF(AA2050="",0,--AND(ISNUMBER(SEARCH("aprov",AE2050)),NOT(ISNUMBER(SEARCH("reprov",AE2050)))))</f>
        <v>0</v>
      </c>
      <c r="AG2050" t="str">
        <f t="shared" ref="AG2050:AG2113" si="210">IF(AB2050="","",YEAR(AB2050))</f>
        <v/>
      </c>
      <c r="AH2050" t="str">
        <f t="shared" ref="AH2050:AH2113" si="211">IF(AB2050="","",MONTH(AB2050))</f>
        <v/>
      </c>
      <c r="AI2050">
        <f t="shared" ref="AI2050:AI2113" si="212">IF(AB2050="",0,AB2050+ROW()/1000000)</f>
        <v>0</v>
      </c>
      <c r="AJ2050">
        <f t="shared" ref="AJ2050:AJ2113" si="213">--(AA2050&lt;&gt;"")</f>
        <v>0</v>
      </c>
      <c r="AK2050">
        <v>0</v>
      </c>
      <c r="AL2050" t="str">
        <f>IF(AA2050="","",IFERROR(IF(ISNUMBER('Procyclean 220'!F52),'Procyclean 220'!F52,IF(ISNUMBER(SEARCH("12",'Procyclean 220'!F52)),EDATE(AB2050,12),IF(ISNUMBER(SEARCH("6",'Procyclean 220'!F52)),EDATE(AB2050,6),IF(ISNUMBER(SEARCH("3",'Procyclean 220'!F52)),EDATE(AB2050,3),DATEVALUE('Procyclean 220'!F52))))),""))</f>
        <v/>
      </c>
      <c r="AM2050" t="str">
        <f t="shared" ref="AM2050:AM2113" ca="1" si="214">IF(AND(AJ2050=1,AL2050&lt;&gt;"",AL2050&gt;=TODAY(),AG2050=$W$3),AL2050+ROW()/1000000,"")</f>
        <v/>
      </c>
    </row>
    <row r="2051" spans="27:39" x14ac:dyDescent="0.3">
      <c r="AA2051" t="str">
        <f>IF(COUNTA('Procyclean 220'!C53,'Procyclean 220'!D53,'Procyclean 220'!E53)&gt;0,"220","")</f>
        <v/>
      </c>
      <c r="AB2051" t="str">
        <f>IFERROR(IF(ISNUMBER('Procyclean 220'!C53),'Procyclean 220'!C53,DATEVALUE('Procyclean 220'!C53)),"")</f>
        <v/>
      </c>
      <c r="AC2051" t="str">
        <f>IF(AA2051="","",'Procyclean 220'!D53)</f>
        <v/>
      </c>
      <c r="AD2051" t="str">
        <f>IF(AA2051="","",IFERROR(1*'Procyclean 220'!E53,IFERROR(_xludf.NUMBERVALUE('Procyclean 220'!E53,".",","),IFERROR(_xludf.NUMBERVALUE('Procyclean 220'!E53,",","."),0))))</f>
        <v/>
      </c>
      <c r="AE2051" t="str">
        <f>IF(AA2051="","",'Procyclean 220'!B53)</f>
        <v/>
      </c>
      <c r="AF2051">
        <f t="shared" si="209"/>
        <v>0</v>
      </c>
      <c r="AG2051" t="str">
        <f t="shared" si="210"/>
        <v/>
      </c>
      <c r="AH2051" t="str">
        <f t="shared" si="211"/>
        <v/>
      </c>
      <c r="AI2051">
        <f t="shared" si="212"/>
        <v>0</v>
      </c>
      <c r="AJ2051">
        <f t="shared" si="213"/>
        <v>0</v>
      </c>
      <c r="AK2051">
        <v>0</v>
      </c>
      <c r="AL2051" t="str">
        <f>IF(AA2051="","",IFERROR(IF(ISNUMBER('Procyclean 220'!F53),'Procyclean 220'!F53,IF(ISNUMBER(SEARCH("12",'Procyclean 220'!F53)),EDATE(AB2051,12),IF(ISNUMBER(SEARCH("6",'Procyclean 220'!F53)),EDATE(AB2051,6),IF(ISNUMBER(SEARCH("3",'Procyclean 220'!F53)),EDATE(AB2051,3),DATEVALUE('Procyclean 220'!F53))))),""))</f>
        <v/>
      </c>
      <c r="AM2051" t="str">
        <f t="shared" ca="1" si="214"/>
        <v/>
      </c>
    </row>
    <row r="2052" spans="27:39" x14ac:dyDescent="0.3">
      <c r="AA2052" t="str">
        <f>IF(COUNTA('Procyclean 220'!C54,'Procyclean 220'!D54,'Procyclean 220'!E54)&gt;0,"220","")</f>
        <v/>
      </c>
      <c r="AB2052" t="str">
        <f>IFERROR(IF(ISNUMBER('Procyclean 220'!C54),'Procyclean 220'!C54,DATEVALUE('Procyclean 220'!C54)),"")</f>
        <v/>
      </c>
      <c r="AC2052" t="str">
        <f>IF(AA2052="","",'Procyclean 220'!D54)</f>
        <v/>
      </c>
      <c r="AD2052" t="str">
        <f>IF(AA2052="","",IFERROR(1*'Procyclean 220'!E54,IFERROR(_xludf.NUMBERVALUE('Procyclean 220'!E54,".",","),IFERROR(_xludf.NUMBERVALUE('Procyclean 220'!E54,",","."),0))))</f>
        <v/>
      </c>
      <c r="AE2052" t="str">
        <f>IF(AA2052="","",'Procyclean 220'!B54)</f>
        <v/>
      </c>
      <c r="AF2052">
        <f t="shared" si="209"/>
        <v>0</v>
      </c>
      <c r="AG2052" t="str">
        <f t="shared" si="210"/>
        <v/>
      </c>
      <c r="AH2052" t="str">
        <f t="shared" si="211"/>
        <v/>
      </c>
      <c r="AI2052">
        <f t="shared" si="212"/>
        <v>0</v>
      </c>
      <c r="AJ2052">
        <f t="shared" si="213"/>
        <v>0</v>
      </c>
      <c r="AK2052">
        <v>0</v>
      </c>
      <c r="AL2052" t="str">
        <f>IF(AA2052="","",IFERROR(IF(ISNUMBER('Procyclean 220'!F54),'Procyclean 220'!F54,IF(ISNUMBER(SEARCH("12",'Procyclean 220'!F54)),EDATE(AB2052,12),IF(ISNUMBER(SEARCH("6",'Procyclean 220'!F54)),EDATE(AB2052,6),IF(ISNUMBER(SEARCH("3",'Procyclean 220'!F54)),EDATE(AB2052,3),DATEVALUE('Procyclean 220'!F54))))),""))</f>
        <v/>
      </c>
      <c r="AM2052" t="str">
        <f t="shared" ca="1" si="214"/>
        <v/>
      </c>
    </row>
    <row r="2053" spans="27:39" x14ac:dyDescent="0.3">
      <c r="AA2053" t="str">
        <f>IF(COUNTA('Procyclean 220'!C55,'Procyclean 220'!D55,'Procyclean 220'!E55)&gt;0,"220","")</f>
        <v/>
      </c>
      <c r="AB2053" t="str">
        <f>IFERROR(IF(ISNUMBER('Procyclean 220'!C55),'Procyclean 220'!C55,DATEVALUE('Procyclean 220'!C55)),"")</f>
        <v/>
      </c>
      <c r="AC2053" t="str">
        <f>IF(AA2053="","",'Procyclean 220'!D55)</f>
        <v/>
      </c>
      <c r="AD2053" t="str">
        <f>IF(AA2053="","",IFERROR(1*'Procyclean 220'!E55,IFERROR(_xludf.NUMBERVALUE('Procyclean 220'!E55,".",","),IFERROR(_xludf.NUMBERVALUE('Procyclean 220'!E55,",","."),0))))</f>
        <v/>
      </c>
      <c r="AE2053" t="str">
        <f>IF(AA2053="","",'Procyclean 220'!B55)</f>
        <v/>
      </c>
      <c r="AF2053">
        <f t="shared" si="209"/>
        <v>0</v>
      </c>
      <c r="AG2053" t="str">
        <f t="shared" si="210"/>
        <v/>
      </c>
      <c r="AH2053" t="str">
        <f t="shared" si="211"/>
        <v/>
      </c>
      <c r="AI2053">
        <f t="shared" si="212"/>
        <v>0</v>
      </c>
      <c r="AJ2053">
        <f t="shared" si="213"/>
        <v>0</v>
      </c>
      <c r="AK2053">
        <v>0</v>
      </c>
      <c r="AL2053" t="str">
        <f>IF(AA2053="","",IFERROR(IF(ISNUMBER('Procyclean 220'!F55),'Procyclean 220'!F55,IF(ISNUMBER(SEARCH("12",'Procyclean 220'!F55)),EDATE(AB2053,12),IF(ISNUMBER(SEARCH("6",'Procyclean 220'!F55)),EDATE(AB2053,6),IF(ISNUMBER(SEARCH("3",'Procyclean 220'!F55)),EDATE(AB2053,3),DATEVALUE('Procyclean 220'!F55))))),""))</f>
        <v/>
      </c>
      <c r="AM2053" t="str">
        <f t="shared" ca="1" si="214"/>
        <v/>
      </c>
    </row>
    <row r="2054" spans="27:39" x14ac:dyDescent="0.3">
      <c r="AA2054" t="str">
        <f>IF(COUNTA('Procyclean 220'!C56,'Procyclean 220'!D56,'Procyclean 220'!E56)&gt;0,"220","")</f>
        <v/>
      </c>
      <c r="AB2054" t="str">
        <f>IFERROR(IF(ISNUMBER('Procyclean 220'!C56),'Procyclean 220'!C56,DATEVALUE('Procyclean 220'!C56)),"")</f>
        <v/>
      </c>
      <c r="AC2054" t="str">
        <f>IF(AA2054="","",'Procyclean 220'!D56)</f>
        <v/>
      </c>
      <c r="AD2054" t="str">
        <f>IF(AA2054="","",IFERROR(1*'Procyclean 220'!E56,IFERROR(_xludf.NUMBERVALUE('Procyclean 220'!E56,".",","),IFERROR(_xludf.NUMBERVALUE('Procyclean 220'!E56,",","."),0))))</f>
        <v/>
      </c>
      <c r="AE2054" t="str">
        <f>IF(AA2054="","",'Procyclean 220'!B56)</f>
        <v/>
      </c>
      <c r="AF2054">
        <f t="shared" si="209"/>
        <v>0</v>
      </c>
      <c r="AG2054" t="str">
        <f t="shared" si="210"/>
        <v/>
      </c>
      <c r="AH2054" t="str">
        <f t="shared" si="211"/>
        <v/>
      </c>
      <c r="AI2054">
        <f t="shared" si="212"/>
        <v>0</v>
      </c>
      <c r="AJ2054">
        <f t="shared" si="213"/>
        <v>0</v>
      </c>
      <c r="AK2054">
        <v>0</v>
      </c>
      <c r="AL2054" t="str">
        <f>IF(AA2054="","",IFERROR(IF(ISNUMBER('Procyclean 220'!F56),'Procyclean 220'!F56,IF(ISNUMBER(SEARCH("12",'Procyclean 220'!F56)),EDATE(AB2054,12),IF(ISNUMBER(SEARCH("6",'Procyclean 220'!F56)),EDATE(AB2054,6),IF(ISNUMBER(SEARCH("3",'Procyclean 220'!F56)),EDATE(AB2054,3),DATEVALUE('Procyclean 220'!F56))))),""))</f>
        <v/>
      </c>
      <c r="AM2054" t="str">
        <f t="shared" ca="1" si="214"/>
        <v/>
      </c>
    </row>
    <row r="2055" spans="27:39" x14ac:dyDescent="0.3">
      <c r="AA2055" t="str">
        <f>IF(COUNTA('Procyclean 220'!C57,'Procyclean 220'!D57,'Procyclean 220'!E57)&gt;0,"220","")</f>
        <v/>
      </c>
      <c r="AB2055" t="str">
        <f>IFERROR(IF(ISNUMBER('Procyclean 220'!C57),'Procyclean 220'!C57,DATEVALUE('Procyclean 220'!C57)),"")</f>
        <v/>
      </c>
      <c r="AC2055" t="str">
        <f>IF(AA2055="","",'Procyclean 220'!D57)</f>
        <v/>
      </c>
      <c r="AD2055" t="str">
        <f>IF(AA2055="","",IFERROR(1*'Procyclean 220'!E57,IFERROR(_xludf.NUMBERVALUE('Procyclean 220'!E57,".",","),IFERROR(_xludf.NUMBERVALUE('Procyclean 220'!E57,",","."),0))))</f>
        <v/>
      </c>
      <c r="AE2055" t="str">
        <f>IF(AA2055="","",'Procyclean 220'!B57)</f>
        <v/>
      </c>
      <c r="AF2055">
        <f t="shared" si="209"/>
        <v>0</v>
      </c>
      <c r="AG2055" t="str">
        <f t="shared" si="210"/>
        <v/>
      </c>
      <c r="AH2055" t="str">
        <f t="shared" si="211"/>
        <v/>
      </c>
      <c r="AI2055">
        <f t="shared" si="212"/>
        <v>0</v>
      </c>
      <c r="AJ2055">
        <f t="shared" si="213"/>
        <v>0</v>
      </c>
      <c r="AK2055">
        <v>0</v>
      </c>
      <c r="AL2055" t="str">
        <f>IF(AA2055="","",IFERROR(IF(ISNUMBER('Procyclean 220'!F57),'Procyclean 220'!F57,IF(ISNUMBER(SEARCH("12",'Procyclean 220'!F57)),EDATE(AB2055,12),IF(ISNUMBER(SEARCH("6",'Procyclean 220'!F57)),EDATE(AB2055,6),IF(ISNUMBER(SEARCH("3",'Procyclean 220'!F57)),EDATE(AB2055,3),DATEVALUE('Procyclean 220'!F57))))),""))</f>
        <v/>
      </c>
      <c r="AM2055" t="str">
        <f t="shared" ca="1" si="214"/>
        <v/>
      </c>
    </row>
    <row r="2056" spans="27:39" x14ac:dyDescent="0.3">
      <c r="AA2056" t="str">
        <f>IF(COUNTA('Procyclean 220'!C58,'Procyclean 220'!D58,'Procyclean 220'!E58)&gt;0,"220","")</f>
        <v/>
      </c>
      <c r="AB2056" t="str">
        <f>IFERROR(IF(ISNUMBER('Procyclean 220'!C58),'Procyclean 220'!C58,DATEVALUE('Procyclean 220'!C58)),"")</f>
        <v/>
      </c>
      <c r="AC2056" t="str">
        <f>IF(AA2056="","",'Procyclean 220'!D58)</f>
        <v/>
      </c>
      <c r="AD2056" t="str">
        <f>IF(AA2056="","",IFERROR(1*'Procyclean 220'!E58,IFERROR(_xludf.NUMBERVALUE('Procyclean 220'!E58,".",","),IFERROR(_xludf.NUMBERVALUE('Procyclean 220'!E58,",","."),0))))</f>
        <v/>
      </c>
      <c r="AE2056" t="str">
        <f>IF(AA2056="","",'Procyclean 220'!B58)</f>
        <v/>
      </c>
      <c r="AF2056">
        <f t="shared" si="209"/>
        <v>0</v>
      </c>
      <c r="AG2056" t="str">
        <f t="shared" si="210"/>
        <v/>
      </c>
      <c r="AH2056" t="str">
        <f t="shared" si="211"/>
        <v/>
      </c>
      <c r="AI2056">
        <f t="shared" si="212"/>
        <v>0</v>
      </c>
      <c r="AJ2056">
        <f t="shared" si="213"/>
        <v>0</v>
      </c>
      <c r="AK2056">
        <v>0</v>
      </c>
      <c r="AL2056" t="str">
        <f>IF(AA2056="","",IFERROR(IF(ISNUMBER('Procyclean 220'!F58),'Procyclean 220'!F58,IF(ISNUMBER(SEARCH("12",'Procyclean 220'!F58)),EDATE(AB2056,12),IF(ISNUMBER(SEARCH("6",'Procyclean 220'!F58)),EDATE(AB2056,6),IF(ISNUMBER(SEARCH("3",'Procyclean 220'!F58)),EDATE(AB2056,3),DATEVALUE('Procyclean 220'!F58))))),""))</f>
        <v/>
      </c>
      <c r="AM2056" t="str">
        <f t="shared" ca="1" si="214"/>
        <v/>
      </c>
    </row>
    <row r="2057" spans="27:39" x14ac:dyDescent="0.3">
      <c r="AA2057" t="str">
        <f>IF(COUNTA('Procyclean 220'!C59,'Procyclean 220'!D59,'Procyclean 220'!E59)&gt;0,"220","")</f>
        <v/>
      </c>
      <c r="AB2057" t="str">
        <f>IFERROR(IF(ISNUMBER('Procyclean 220'!C59),'Procyclean 220'!C59,DATEVALUE('Procyclean 220'!C59)),"")</f>
        <v/>
      </c>
      <c r="AC2057" t="str">
        <f>IF(AA2057="","",'Procyclean 220'!D59)</f>
        <v/>
      </c>
      <c r="AD2057" t="str">
        <f>IF(AA2057="","",IFERROR(1*'Procyclean 220'!E59,IFERROR(_xludf.NUMBERVALUE('Procyclean 220'!E59,".",","),IFERROR(_xludf.NUMBERVALUE('Procyclean 220'!E59,",","."),0))))</f>
        <v/>
      </c>
      <c r="AE2057" t="str">
        <f>IF(AA2057="","",'Procyclean 220'!B59)</f>
        <v/>
      </c>
      <c r="AF2057">
        <f t="shared" si="209"/>
        <v>0</v>
      </c>
      <c r="AG2057" t="str">
        <f t="shared" si="210"/>
        <v/>
      </c>
      <c r="AH2057" t="str">
        <f t="shared" si="211"/>
        <v/>
      </c>
      <c r="AI2057">
        <f t="shared" si="212"/>
        <v>0</v>
      </c>
      <c r="AJ2057">
        <f t="shared" si="213"/>
        <v>0</v>
      </c>
      <c r="AK2057">
        <v>0</v>
      </c>
      <c r="AL2057" t="str">
        <f>IF(AA2057="","",IFERROR(IF(ISNUMBER('Procyclean 220'!F59),'Procyclean 220'!F59,IF(ISNUMBER(SEARCH("12",'Procyclean 220'!F59)),EDATE(AB2057,12),IF(ISNUMBER(SEARCH("6",'Procyclean 220'!F59)),EDATE(AB2057,6),IF(ISNUMBER(SEARCH("3",'Procyclean 220'!F59)),EDATE(AB2057,3),DATEVALUE('Procyclean 220'!F59))))),""))</f>
        <v/>
      </c>
      <c r="AM2057" t="str">
        <f t="shared" ca="1" si="214"/>
        <v/>
      </c>
    </row>
    <row r="2058" spans="27:39" x14ac:dyDescent="0.3">
      <c r="AA2058" t="str">
        <f>IF(COUNTA('Procyclean 220'!C60,'Procyclean 220'!D60,'Procyclean 220'!E60)&gt;0,"220","")</f>
        <v/>
      </c>
      <c r="AB2058" t="str">
        <f>IFERROR(IF(ISNUMBER('Procyclean 220'!C60),'Procyclean 220'!C60,DATEVALUE('Procyclean 220'!C60)),"")</f>
        <v/>
      </c>
      <c r="AC2058" t="str">
        <f>IF(AA2058="","",'Procyclean 220'!D60)</f>
        <v/>
      </c>
      <c r="AD2058" t="str">
        <f>IF(AA2058="","",IFERROR(1*'Procyclean 220'!E60,IFERROR(_xludf.NUMBERVALUE('Procyclean 220'!E60,".",","),IFERROR(_xludf.NUMBERVALUE('Procyclean 220'!E60,",","."),0))))</f>
        <v/>
      </c>
      <c r="AE2058" t="str">
        <f>IF(AA2058="","",'Procyclean 220'!B60)</f>
        <v/>
      </c>
      <c r="AF2058">
        <f t="shared" si="209"/>
        <v>0</v>
      </c>
      <c r="AG2058" t="str">
        <f t="shared" si="210"/>
        <v/>
      </c>
      <c r="AH2058" t="str">
        <f t="shared" si="211"/>
        <v/>
      </c>
      <c r="AI2058">
        <f t="shared" si="212"/>
        <v>0</v>
      </c>
      <c r="AJ2058">
        <f t="shared" si="213"/>
        <v>0</v>
      </c>
      <c r="AK2058">
        <v>0</v>
      </c>
      <c r="AL2058" t="str">
        <f>IF(AA2058="","",IFERROR(IF(ISNUMBER('Procyclean 220'!F60),'Procyclean 220'!F60,IF(ISNUMBER(SEARCH("12",'Procyclean 220'!F60)),EDATE(AB2058,12),IF(ISNUMBER(SEARCH("6",'Procyclean 220'!F60)),EDATE(AB2058,6),IF(ISNUMBER(SEARCH("3",'Procyclean 220'!F60)),EDATE(AB2058,3),DATEVALUE('Procyclean 220'!F60))))),""))</f>
        <v/>
      </c>
      <c r="AM2058" t="str">
        <f t="shared" ca="1" si="214"/>
        <v/>
      </c>
    </row>
    <row r="2059" spans="27:39" x14ac:dyDescent="0.3">
      <c r="AA2059" t="str">
        <f>IF(COUNTA('Procyclean 220'!C61,'Procyclean 220'!D61,'Procyclean 220'!E61)&gt;0,"220","")</f>
        <v/>
      </c>
      <c r="AB2059" t="str">
        <f>IFERROR(IF(ISNUMBER('Procyclean 220'!C61),'Procyclean 220'!C61,DATEVALUE('Procyclean 220'!C61)),"")</f>
        <v/>
      </c>
      <c r="AC2059" t="str">
        <f>IF(AA2059="","",'Procyclean 220'!D61)</f>
        <v/>
      </c>
      <c r="AD2059" t="str">
        <f>IF(AA2059="","",IFERROR(1*'Procyclean 220'!E61,IFERROR(_xludf.NUMBERVALUE('Procyclean 220'!E61,".",","),IFERROR(_xludf.NUMBERVALUE('Procyclean 220'!E61,",","."),0))))</f>
        <v/>
      </c>
      <c r="AE2059" t="str">
        <f>IF(AA2059="","",'Procyclean 220'!B61)</f>
        <v/>
      </c>
      <c r="AF2059">
        <f t="shared" si="209"/>
        <v>0</v>
      </c>
      <c r="AG2059" t="str">
        <f t="shared" si="210"/>
        <v/>
      </c>
      <c r="AH2059" t="str">
        <f t="shared" si="211"/>
        <v/>
      </c>
      <c r="AI2059">
        <f t="shared" si="212"/>
        <v>0</v>
      </c>
      <c r="AJ2059">
        <f t="shared" si="213"/>
        <v>0</v>
      </c>
      <c r="AK2059">
        <v>0</v>
      </c>
      <c r="AL2059" t="str">
        <f>IF(AA2059="","",IFERROR(IF(ISNUMBER('Procyclean 220'!F61),'Procyclean 220'!F61,IF(ISNUMBER(SEARCH("12",'Procyclean 220'!F61)),EDATE(AB2059,12),IF(ISNUMBER(SEARCH("6",'Procyclean 220'!F61)),EDATE(AB2059,6),IF(ISNUMBER(SEARCH("3",'Procyclean 220'!F61)),EDATE(AB2059,3),DATEVALUE('Procyclean 220'!F61))))),""))</f>
        <v/>
      </c>
      <c r="AM2059" t="str">
        <f t="shared" ca="1" si="214"/>
        <v/>
      </c>
    </row>
    <row r="2060" spans="27:39" x14ac:dyDescent="0.3">
      <c r="AA2060" t="str">
        <f>IF(COUNTA('Procyclean 220'!C62,'Procyclean 220'!D62,'Procyclean 220'!E62)&gt;0,"220","")</f>
        <v/>
      </c>
      <c r="AB2060" t="str">
        <f>IFERROR(IF(ISNUMBER('Procyclean 220'!C62),'Procyclean 220'!C62,DATEVALUE('Procyclean 220'!C62)),"")</f>
        <v/>
      </c>
      <c r="AC2060" t="str">
        <f>IF(AA2060="","",'Procyclean 220'!D62)</f>
        <v/>
      </c>
      <c r="AD2060" t="str">
        <f>IF(AA2060="","",IFERROR(1*'Procyclean 220'!E62,IFERROR(_xludf.NUMBERVALUE('Procyclean 220'!E62,".",","),IFERROR(_xludf.NUMBERVALUE('Procyclean 220'!E62,",","."),0))))</f>
        <v/>
      </c>
      <c r="AE2060" t="str">
        <f>IF(AA2060="","",'Procyclean 220'!B62)</f>
        <v/>
      </c>
      <c r="AF2060">
        <f t="shared" si="209"/>
        <v>0</v>
      </c>
      <c r="AG2060" t="str">
        <f t="shared" si="210"/>
        <v/>
      </c>
      <c r="AH2060" t="str">
        <f t="shared" si="211"/>
        <v/>
      </c>
      <c r="AI2060">
        <f t="shared" si="212"/>
        <v>0</v>
      </c>
      <c r="AJ2060">
        <f t="shared" si="213"/>
        <v>0</v>
      </c>
      <c r="AK2060">
        <v>0</v>
      </c>
      <c r="AL2060" t="str">
        <f>IF(AA2060="","",IFERROR(IF(ISNUMBER('Procyclean 220'!F62),'Procyclean 220'!F62,IF(ISNUMBER(SEARCH("12",'Procyclean 220'!F62)),EDATE(AB2060,12),IF(ISNUMBER(SEARCH("6",'Procyclean 220'!F62)),EDATE(AB2060,6),IF(ISNUMBER(SEARCH("3",'Procyclean 220'!F62)),EDATE(AB2060,3),DATEVALUE('Procyclean 220'!F62))))),""))</f>
        <v/>
      </c>
      <c r="AM2060" t="str">
        <f t="shared" ca="1" si="214"/>
        <v/>
      </c>
    </row>
    <row r="2061" spans="27:39" x14ac:dyDescent="0.3">
      <c r="AA2061" t="str">
        <f>IF(COUNTA('Procyclean 220'!C63,'Procyclean 220'!D63,'Procyclean 220'!E63)&gt;0,"220","")</f>
        <v/>
      </c>
      <c r="AB2061" t="str">
        <f>IFERROR(IF(ISNUMBER('Procyclean 220'!C63),'Procyclean 220'!C63,DATEVALUE('Procyclean 220'!C63)),"")</f>
        <v/>
      </c>
      <c r="AC2061" t="str">
        <f>IF(AA2061="","",'Procyclean 220'!D63)</f>
        <v/>
      </c>
      <c r="AD2061" t="str">
        <f>IF(AA2061="","",IFERROR(1*'Procyclean 220'!E63,IFERROR(_xludf.NUMBERVALUE('Procyclean 220'!E63,".",","),IFERROR(_xludf.NUMBERVALUE('Procyclean 220'!E63,",","."),0))))</f>
        <v/>
      </c>
      <c r="AE2061" t="str">
        <f>IF(AA2061="","",'Procyclean 220'!B63)</f>
        <v/>
      </c>
      <c r="AF2061">
        <f t="shared" si="209"/>
        <v>0</v>
      </c>
      <c r="AG2061" t="str">
        <f t="shared" si="210"/>
        <v/>
      </c>
      <c r="AH2061" t="str">
        <f t="shared" si="211"/>
        <v/>
      </c>
      <c r="AI2061">
        <f t="shared" si="212"/>
        <v>0</v>
      </c>
      <c r="AJ2061">
        <f t="shared" si="213"/>
        <v>0</v>
      </c>
      <c r="AK2061">
        <v>0</v>
      </c>
      <c r="AL2061" t="str">
        <f>IF(AA2061="","",IFERROR(IF(ISNUMBER('Procyclean 220'!F63),'Procyclean 220'!F63,IF(ISNUMBER(SEARCH("12",'Procyclean 220'!F63)),EDATE(AB2061,12),IF(ISNUMBER(SEARCH("6",'Procyclean 220'!F63)),EDATE(AB2061,6),IF(ISNUMBER(SEARCH("3",'Procyclean 220'!F63)),EDATE(AB2061,3),DATEVALUE('Procyclean 220'!F63))))),""))</f>
        <v/>
      </c>
      <c r="AM2061" t="str">
        <f t="shared" ca="1" si="214"/>
        <v/>
      </c>
    </row>
    <row r="2062" spans="27:39" x14ac:dyDescent="0.3">
      <c r="AA2062" t="str">
        <f>IF(COUNTA('Procyclean 220'!C64,'Procyclean 220'!D64,'Procyclean 220'!E64)&gt;0,"220","")</f>
        <v/>
      </c>
      <c r="AB2062" t="str">
        <f>IFERROR(IF(ISNUMBER('Procyclean 220'!C64),'Procyclean 220'!C64,DATEVALUE('Procyclean 220'!C64)),"")</f>
        <v/>
      </c>
      <c r="AC2062" t="str">
        <f>IF(AA2062="","",'Procyclean 220'!D64)</f>
        <v/>
      </c>
      <c r="AD2062" t="str">
        <f>IF(AA2062="","",IFERROR(1*'Procyclean 220'!E64,IFERROR(_xludf.NUMBERVALUE('Procyclean 220'!E64,".",","),IFERROR(_xludf.NUMBERVALUE('Procyclean 220'!E64,",","."),0))))</f>
        <v/>
      </c>
      <c r="AE2062" t="str">
        <f>IF(AA2062="","",'Procyclean 220'!B64)</f>
        <v/>
      </c>
      <c r="AF2062">
        <f t="shared" si="209"/>
        <v>0</v>
      </c>
      <c r="AG2062" t="str">
        <f t="shared" si="210"/>
        <v/>
      </c>
      <c r="AH2062" t="str">
        <f t="shared" si="211"/>
        <v/>
      </c>
      <c r="AI2062">
        <f t="shared" si="212"/>
        <v>0</v>
      </c>
      <c r="AJ2062">
        <f t="shared" si="213"/>
        <v>0</v>
      </c>
      <c r="AK2062">
        <v>0</v>
      </c>
      <c r="AL2062" t="str">
        <f>IF(AA2062="","",IFERROR(IF(ISNUMBER('Procyclean 220'!F64),'Procyclean 220'!F64,IF(ISNUMBER(SEARCH("12",'Procyclean 220'!F64)),EDATE(AB2062,12),IF(ISNUMBER(SEARCH("6",'Procyclean 220'!F64)),EDATE(AB2062,6),IF(ISNUMBER(SEARCH("3",'Procyclean 220'!F64)),EDATE(AB2062,3),DATEVALUE('Procyclean 220'!F64))))),""))</f>
        <v/>
      </c>
      <c r="AM2062" t="str">
        <f t="shared" ca="1" si="214"/>
        <v/>
      </c>
    </row>
    <row r="2063" spans="27:39" x14ac:dyDescent="0.3">
      <c r="AA2063" t="str">
        <f>IF(COUNTA('Procyclean 220'!C65,'Procyclean 220'!D65,'Procyclean 220'!E65)&gt;0,"220","")</f>
        <v/>
      </c>
      <c r="AB2063" t="str">
        <f>IFERROR(IF(ISNUMBER('Procyclean 220'!C65),'Procyclean 220'!C65,DATEVALUE('Procyclean 220'!C65)),"")</f>
        <v/>
      </c>
      <c r="AC2063" t="str">
        <f>IF(AA2063="","",'Procyclean 220'!D65)</f>
        <v/>
      </c>
      <c r="AD2063" t="str">
        <f>IF(AA2063="","",IFERROR(1*'Procyclean 220'!E65,IFERROR(_xludf.NUMBERVALUE('Procyclean 220'!E65,".",","),IFERROR(_xludf.NUMBERVALUE('Procyclean 220'!E65,",","."),0))))</f>
        <v/>
      </c>
      <c r="AE2063" t="str">
        <f>IF(AA2063="","",'Procyclean 220'!B65)</f>
        <v/>
      </c>
      <c r="AF2063">
        <f t="shared" si="209"/>
        <v>0</v>
      </c>
      <c r="AG2063" t="str">
        <f t="shared" si="210"/>
        <v/>
      </c>
      <c r="AH2063" t="str">
        <f t="shared" si="211"/>
        <v/>
      </c>
      <c r="AI2063">
        <f t="shared" si="212"/>
        <v>0</v>
      </c>
      <c r="AJ2063">
        <f t="shared" si="213"/>
        <v>0</v>
      </c>
      <c r="AK2063">
        <v>0</v>
      </c>
      <c r="AL2063" t="str">
        <f>IF(AA2063="","",IFERROR(IF(ISNUMBER('Procyclean 220'!F65),'Procyclean 220'!F65,IF(ISNUMBER(SEARCH("12",'Procyclean 220'!F65)),EDATE(AB2063,12),IF(ISNUMBER(SEARCH("6",'Procyclean 220'!F65)),EDATE(AB2063,6),IF(ISNUMBER(SEARCH("3",'Procyclean 220'!F65)),EDATE(AB2063,3),DATEVALUE('Procyclean 220'!F65))))),""))</f>
        <v/>
      </c>
      <c r="AM2063" t="str">
        <f t="shared" ca="1" si="214"/>
        <v/>
      </c>
    </row>
    <row r="2064" spans="27:39" x14ac:dyDescent="0.3">
      <c r="AA2064" t="str">
        <f>IF(COUNTA('Procyclean 220'!C66,'Procyclean 220'!D66,'Procyclean 220'!E66)&gt;0,"220","")</f>
        <v/>
      </c>
      <c r="AB2064" t="str">
        <f>IFERROR(IF(ISNUMBER('Procyclean 220'!C66),'Procyclean 220'!C66,DATEVALUE('Procyclean 220'!C66)),"")</f>
        <v/>
      </c>
      <c r="AC2064" t="str">
        <f>IF(AA2064="","",'Procyclean 220'!D66)</f>
        <v/>
      </c>
      <c r="AD2064" t="str">
        <f>IF(AA2064="","",IFERROR(1*'Procyclean 220'!E66,IFERROR(_xludf.NUMBERVALUE('Procyclean 220'!E66,".",","),IFERROR(_xludf.NUMBERVALUE('Procyclean 220'!E66,",","."),0))))</f>
        <v/>
      </c>
      <c r="AE2064" t="str">
        <f>IF(AA2064="","",'Procyclean 220'!B66)</f>
        <v/>
      </c>
      <c r="AF2064">
        <f t="shared" si="209"/>
        <v>0</v>
      </c>
      <c r="AG2064" t="str">
        <f t="shared" si="210"/>
        <v/>
      </c>
      <c r="AH2064" t="str">
        <f t="shared" si="211"/>
        <v/>
      </c>
      <c r="AI2064">
        <f t="shared" si="212"/>
        <v>0</v>
      </c>
      <c r="AJ2064">
        <f t="shared" si="213"/>
        <v>0</v>
      </c>
      <c r="AK2064">
        <v>0</v>
      </c>
      <c r="AL2064" t="str">
        <f>IF(AA2064="","",IFERROR(IF(ISNUMBER('Procyclean 220'!F66),'Procyclean 220'!F66,IF(ISNUMBER(SEARCH("12",'Procyclean 220'!F66)),EDATE(AB2064,12),IF(ISNUMBER(SEARCH("6",'Procyclean 220'!F66)),EDATE(AB2064,6),IF(ISNUMBER(SEARCH("3",'Procyclean 220'!F66)),EDATE(AB2064,3),DATEVALUE('Procyclean 220'!F66))))),""))</f>
        <v/>
      </c>
      <c r="AM2064" t="str">
        <f t="shared" ca="1" si="214"/>
        <v/>
      </c>
    </row>
    <row r="2065" spans="27:39" x14ac:dyDescent="0.3">
      <c r="AA2065" t="str">
        <f>IF(COUNTA('Procyclean 220'!C67,'Procyclean 220'!D67,'Procyclean 220'!E67)&gt;0,"220","")</f>
        <v/>
      </c>
      <c r="AB2065" t="str">
        <f>IFERROR(IF(ISNUMBER('Procyclean 220'!C67),'Procyclean 220'!C67,DATEVALUE('Procyclean 220'!C67)),"")</f>
        <v/>
      </c>
      <c r="AC2065" t="str">
        <f>IF(AA2065="","",'Procyclean 220'!D67)</f>
        <v/>
      </c>
      <c r="AD2065" t="str">
        <f>IF(AA2065="","",IFERROR(1*'Procyclean 220'!E67,IFERROR(_xludf.NUMBERVALUE('Procyclean 220'!E67,".",","),IFERROR(_xludf.NUMBERVALUE('Procyclean 220'!E67,",","."),0))))</f>
        <v/>
      </c>
      <c r="AE2065" t="str">
        <f>IF(AA2065="","",'Procyclean 220'!B67)</f>
        <v/>
      </c>
      <c r="AF2065">
        <f t="shared" si="209"/>
        <v>0</v>
      </c>
      <c r="AG2065" t="str">
        <f t="shared" si="210"/>
        <v/>
      </c>
      <c r="AH2065" t="str">
        <f t="shared" si="211"/>
        <v/>
      </c>
      <c r="AI2065">
        <f t="shared" si="212"/>
        <v>0</v>
      </c>
      <c r="AJ2065">
        <f t="shared" si="213"/>
        <v>0</v>
      </c>
      <c r="AK2065">
        <v>0</v>
      </c>
      <c r="AL2065" t="str">
        <f>IF(AA2065="","",IFERROR(IF(ISNUMBER('Procyclean 220'!F67),'Procyclean 220'!F67,IF(ISNUMBER(SEARCH("12",'Procyclean 220'!F67)),EDATE(AB2065,12),IF(ISNUMBER(SEARCH("6",'Procyclean 220'!F67)),EDATE(AB2065,6),IF(ISNUMBER(SEARCH("3",'Procyclean 220'!F67)),EDATE(AB2065,3),DATEVALUE('Procyclean 220'!F67))))),""))</f>
        <v/>
      </c>
      <c r="AM2065" t="str">
        <f t="shared" ca="1" si="214"/>
        <v/>
      </c>
    </row>
    <row r="2066" spans="27:39" x14ac:dyDescent="0.3">
      <c r="AA2066" t="str">
        <f>IF(COUNTA('Procyclean 220'!C68,'Procyclean 220'!D68,'Procyclean 220'!E68)&gt;0,"220","")</f>
        <v/>
      </c>
      <c r="AB2066" t="str">
        <f>IFERROR(IF(ISNUMBER('Procyclean 220'!C68),'Procyclean 220'!C68,DATEVALUE('Procyclean 220'!C68)),"")</f>
        <v/>
      </c>
      <c r="AC2066" t="str">
        <f>IF(AA2066="","",'Procyclean 220'!D68)</f>
        <v/>
      </c>
      <c r="AD2066" t="str">
        <f>IF(AA2066="","",IFERROR(1*'Procyclean 220'!E68,IFERROR(_xludf.NUMBERVALUE('Procyclean 220'!E68,".",","),IFERROR(_xludf.NUMBERVALUE('Procyclean 220'!E68,",","."),0))))</f>
        <v/>
      </c>
      <c r="AE2066" t="str">
        <f>IF(AA2066="","",'Procyclean 220'!B68)</f>
        <v/>
      </c>
      <c r="AF2066">
        <f t="shared" si="209"/>
        <v>0</v>
      </c>
      <c r="AG2066" t="str">
        <f t="shared" si="210"/>
        <v/>
      </c>
      <c r="AH2066" t="str">
        <f t="shared" si="211"/>
        <v/>
      </c>
      <c r="AI2066">
        <f t="shared" si="212"/>
        <v>0</v>
      </c>
      <c r="AJ2066">
        <f t="shared" si="213"/>
        <v>0</v>
      </c>
      <c r="AK2066">
        <v>0</v>
      </c>
      <c r="AL2066" t="str">
        <f>IF(AA2066="","",IFERROR(IF(ISNUMBER('Procyclean 220'!F68),'Procyclean 220'!F68,IF(ISNUMBER(SEARCH("12",'Procyclean 220'!F68)),EDATE(AB2066,12),IF(ISNUMBER(SEARCH("6",'Procyclean 220'!F68)),EDATE(AB2066,6),IF(ISNUMBER(SEARCH("3",'Procyclean 220'!F68)),EDATE(AB2066,3),DATEVALUE('Procyclean 220'!F68))))),""))</f>
        <v/>
      </c>
      <c r="AM2066" t="str">
        <f t="shared" ca="1" si="214"/>
        <v/>
      </c>
    </row>
    <row r="2067" spans="27:39" x14ac:dyDescent="0.3">
      <c r="AA2067" t="str">
        <f>IF(COUNTA('Procyclean 220'!C69,'Procyclean 220'!D69,'Procyclean 220'!E69)&gt;0,"220","")</f>
        <v/>
      </c>
      <c r="AB2067" t="str">
        <f>IFERROR(IF(ISNUMBER('Procyclean 220'!C69),'Procyclean 220'!C69,DATEVALUE('Procyclean 220'!C69)),"")</f>
        <v/>
      </c>
      <c r="AC2067" t="str">
        <f>IF(AA2067="","",'Procyclean 220'!D69)</f>
        <v/>
      </c>
      <c r="AD2067" t="str">
        <f>IF(AA2067="","",IFERROR(1*'Procyclean 220'!E69,IFERROR(_xludf.NUMBERVALUE('Procyclean 220'!E69,".",","),IFERROR(_xludf.NUMBERVALUE('Procyclean 220'!E69,",","."),0))))</f>
        <v/>
      </c>
      <c r="AE2067" t="str">
        <f>IF(AA2067="","",'Procyclean 220'!B69)</f>
        <v/>
      </c>
      <c r="AF2067">
        <f t="shared" si="209"/>
        <v>0</v>
      </c>
      <c r="AG2067" t="str">
        <f t="shared" si="210"/>
        <v/>
      </c>
      <c r="AH2067" t="str">
        <f t="shared" si="211"/>
        <v/>
      </c>
      <c r="AI2067">
        <f t="shared" si="212"/>
        <v>0</v>
      </c>
      <c r="AJ2067">
        <f t="shared" si="213"/>
        <v>0</v>
      </c>
      <c r="AK2067">
        <v>0</v>
      </c>
      <c r="AL2067" t="str">
        <f>IF(AA2067="","",IFERROR(IF(ISNUMBER('Procyclean 220'!F69),'Procyclean 220'!F69,IF(ISNUMBER(SEARCH("12",'Procyclean 220'!F69)),EDATE(AB2067,12),IF(ISNUMBER(SEARCH("6",'Procyclean 220'!F69)),EDATE(AB2067,6),IF(ISNUMBER(SEARCH("3",'Procyclean 220'!F69)),EDATE(AB2067,3),DATEVALUE('Procyclean 220'!F69))))),""))</f>
        <v/>
      </c>
      <c r="AM2067" t="str">
        <f t="shared" ca="1" si="214"/>
        <v/>
      </c>
    </row>
    <row r="2068" spans="27:39" x14ac:dyDescent="0.3">
      <c r="AA2068" t="str">
        <f>IF(COUNTA('Procyclean 220'!C70,'Procyclean 220'!D70,'Procyclean 220'!E70)&gt;0,"220","")</f>
        <v/>
      </c>
      <c r="AB2068" t="str">
        <f>IFERROR(IF(ISNUMBER('Procyclean 220'!C70),'Procyclean 220'!C70,DATEVALUE('Procyclean 220'!C70)),"")</f>
        <v/>
      </c>
      <c r="AC2068" t="str">
        <f>IF(AA2068="","",'Procyclean 220'!D70)</f>
        <v/>
      </c>
      <c r="AD2068" t="str">
        <f>IF(AA2068="","",IFERROR(1*'Procyclean 220'!E70,IFERROR(_xludf.NUMBERVALUE('Procyclean 220'!E70,".",","),IFERROR(_xludf.NUMBERVALUE('Procyclean 220'!E70,",","."),0))))</f>
        <v/>
      </c>
      <c r="AE2068" t="str">
        <f>IF(AA2068="","",'Procyclean 220'!B70)</f>
        <v/>
      </c>
      <c r="AF2068">
        <f t="shared" si="209"/>
        <v>0</v>
      </c>
      <c r="AG2068" t="str">
        <f t="shared" si="210"/>
        <v/>
      </c>
      <c r="AH2068" t="str">
        <f t="shared" si="211"/>
        <v/>
      </c>
      <c r="AI2068">
        <f t="shared" si="212"/>
        <v>0</v>
      </c>
      <c r="AJ2068">
        <f t="shared" si="213"/>
        <v>0</v>
      </c>
      <c r="AK2068">
        <v>0</v>
      </c>
      <c r="AL2068" t="str">
        <f>IF(AA2068="","",IFERROR(IF(ISNUMBER('Procyclean 220'!F70),'Procyclean 220'!F70,IF(ISNUMBER(SEARCH("12",'Procyclean 220'!F70)),EDATE(AB2068,12),IF(ISNUMBER(SEARCH("6",'Procyclean 220'!F70)),EDATE(AB2068,6),IF(ISNUMBER(SEARCH("3",'Procyclean 220'!F70)),EDATE(AB2068,3),DATEVALUE('Procyclean 220'!F70))))),""))</f>
        <v/>
      </c>
      <c r="AM2068" t="str">
        <f t="shared" ca="1" si="214"/>
        <v/>
      </c>
    </row>
    <row r="2069" spans="27:39" x14ac:dyDescent="0.3">
      <c r="AA2069" t="str">
        <f>IF(COUNTA('Procyclean 220'!C71,'Procyclean 220'!D71,'Procyclean 220'!E71)&gt;0,"220","")</f>
        <v/>
      </c>
      <c r="AB2069" t="str">
        <f>IFERROR(IF(ISNUMBER('Procyclean 220'!C71),'Procyclean 220'!C71,DATEVALUE('Procyclean 220'!C71)),"")</f>
        <v/>
      </c>
      <c r="AC2069" t="str">
        <f>IF(AA2069="","",'Procyclean 220'!D71)</f>
        <v/>
      </c>
      <c r="AD2069" t="str">
        <f>IF(AA2069="","",IFERROR(1*'Procyclean 220'!E71,IFERROR(_xludf.NUMBERVALUE('Procyclean 220'!E71,".",","),IFERROR(_xludf.NUMBERVALUE('Procyclean 220'!E71,",","."),0))))</f>
        <v/>
      </c>
      <c r="AE2069" t="str">
        <f>IF(AA2069="","",'Procyclean 220'!B71)</f>
        <v/>
      </c>
      <c r="AF2069">
        <f t="shared" si="209"/>
        <v>0</v>
      </c>
      <c r="AG2069" t="str">
        <f t="shared" si="210"/>
        <v/>
      </c>
      <c r="AH2069" t="str">
        <f t="shared" si="211"/>
        <v/>
      </c>
      <c r="AI2069">
        <f t="shared" si="212"/>
        <v>0</v>
      </c>
      <c r="AJ2069">
        <f t="shared" si="213"/>
        <v>0</v>
      </c>
      <c r="AK2069">
        <v>0</v>
      </c>
      <c r="AL2069" t="str">
        <f>IF(AA2069="","",IFERROR(IF(ISNUMBER('Procyclean 220'!F71),'Procyclean 220'!F71,IF(ISNUMBER(SEARCH("12",'Procyclean 220'!F71)),EDATE(AB2069,12),IF(ISNUMBER(SEARCH("6",'Procyclean 220'!F71)),EDATE(AB2069,6),IF(ISNUMBER(SEARCH("3",'Procyclean 220'!F71)),EDATE(AB2069,3),DATEVALUE('Procyclean 220'!F71))))),""))</f>
        <v/>
      </c>
      <c r="AM2069" t="str">
        <f t="shared" ca="1" si="214"/>
        <v/>
      </c>
    </row>
    <row r="2070" spans="27:39" x14ac:dyDescent="0.3">
      <c r="AA2070" t="str">
        <f>IF(COUNTA('Procyclean 220'!C72,'Procyclean 220'!D72,'Procyclean 220'!E72)&gt;0,"220","")</f>
        <v/>
      </c>
      <c r="AB2070" t="str">
        <f>IFERROR(IF(ISNUMBER('Procyclean 220'!C72),'Procyclean 220'!C72,DATEVALUE('Procyclean 220'!C72)),"")</f>
        <v/>
      </c>
      <c r="AC2070" t="str">
        <f>IF(AA2070="","",'Procyclean 220'!D72)</f>
        <v/>
      </c>
      <c r="AD2070" t="str">
        <f>IF(AA2070="","",IFERROR(1*'Procyclean 220'!E72,IFERROR(_xludf.NUMBERVALUE('Procyclean 220'!E72,".",","),IFERROR(_xludf.NUMBERVALUE('Procyclean 220'!E72,",","."),0))))</f>
        <v/>
      </c>
      <c r="AE2070" t="str">
        <f>IF(AA2070="","",'Procyclean 220'!B72)</f>
        <v/>
      </c>
      <c r="AF2070">
        <f t="shared" si="209"/>
        <v>0</v>
      </c>
      <c r="AG2070" t="str">
        <f t="shared" si="210"/>
        <v/>
      </c>
      <c r="AH2070" t="str">
        <f t="shared" si="211"/>
        <v/>
      </c>
      <c r="AI2070">
        <f t="shared" si="212"/>
        <v>0</v>
      </c>
      <c r="AJ2070">
        <f t="shared" si="213"/>
        <v>0</v>
      </c>
      <c r="AK2070">
        <v>0</v>
      </c>
      <c r="AL2070" t="str">
        <f>IF(AA2070="","",IFERROR(IF(ISNUMBER('Procyclean 220'!F72),'Procyclean 220'!F72,IF(ISNUMBER(SEARCH("12",'Procyclean 220'!F72)),EDATE(AB2070,12),IF(ISNUMBER(SEARCH("6",'Procyclean 220'!F72)),EDATE(AB2070,6),IF(ISNUMBER(SEARCH("3",'Procyclean 220'!F72)),EDATE(AB2070,3),DATEVALUE('Procyclean 220'!F72))))),""))</f>
        <v/>
      </c>
      <c r="AM2070" t="str">
        <f t="shared" ca="1" si="214"/>
        <v/>
      </c>
    </row>
    <row r="2071" spans="27:39" x14ac:dyDescent="0.3">
      <c r="AA2071" t="str">
        <f>IF(COUNTA('Procyclean 220'!C73,'Procyclean 220'!D73,'Procyclean 220'!E73)&gt;0,"220","")</f>
        <v/>
      </c>
      <c r="AB2071" t="str">
        <f>IFERROR(IF(ISNUMBER('Procyclean 220'!C73),'Procyclean 220'!C73,DATEVALUE('Procyclean 220'!C73)),"")</f>
        <v/>
      </c>
      <c r="AC2071" t="str">
        <f>IF(AA2071="","",'Procyclean 220'!D73)</f>
        <v/>
      </c>
      <c r="AD2071" t="str">
        <f>IF(AA2071="","",IFERROR(1*'Procyclean 220'!E73,IFERROR(_xludf.NUMBERVALUE('Procyclean 220'!E73,".",","),IFERROR(_xludf.NUMBERVALUE('Procyclean 220'!E73,",","."),0))))</f>
        <v/>
      </c>
      <c r="AE2071" t="str">
        <f>IF(AA2071="","",'Procyclean 220'!B73)</f>
        <v/>
      </c>
      <c r="AF2071">
        <f t="shared" si="209"/>
        <v>0</v>
      </c>
      <c r="AG2071" t="str">
        <f t="shared" si="210"/>
        <v/>
      </c>
      <c r="AH2071" t="str">
        <f t="shared" si="211"/>
        <v/>
      </c>
      <c r="AI2071">
        <f t="shared" si="212"/>
        <v>0</v>
      </c>
      <c r="AJ2071">
        <f t="shared" si="213"/>
        <v>0</v>
      </c>
      <c r="AK2071">
        <v>0</v>
      </c>
      <c r="AL2071" t="str">
        <f>IF(AA2071="","",IFERROR(IF(ISNUMBER('Procyclean 220'!F73),'Procyclean 220'!F73,IF(ISNUMBER(SEARCH("12",'Procyclean 220'!F73)),EDATE(AB2071,12),IF(ISNUMBER(SEARCH("6",'Procyclean 220'!F73)),EDATE(AB2071,6),IF(ISNUMBER(SEARCH("3",'Procyclean 220'!F73)),EDATE(AB2071,3),DATEVALUE('Procyclean 220'!F73))))),""))</f>
        <v/>
      </c>
      <c r="AM2071" t="str">
        <f t="shared" ca="1" si="214"/>
        <v/>
      </c>
    </row>
    <row r="2072" spans="27:39" x14ac:dyDescent="0.3">
      <c r="AA2072" t="str">
        <f>IF(COUNTA('Procyclean 220'!C74,'Procyclean 220'!D74,'Procyclean 220'!E74)&gt;0,"220","")</f>
        <v/>
      </c>
      <c r="AB2072" t="str">
        <f>IFERROR(IF(ISNUMBER('Procyclean 220'!C74),'Procyclean 220'!C74,DATEVALUE('Procyclean 220'!C74)),"")</f>
        <v/>
      </c>
      <c r="AC2072" t="str">
        <f>IF(AA2072="","",'Procyclean 220'!D74)</f>
        <v/>
      </c>
      <c r="AD2072" t="str">
        <f>IF(AA2072="","",IFERROR(1*'Procyclean 220'!E74,IFERROR(_xludf.NUMBERVALUE('Procyclean 220'!E74,".",","),IFERROR(_xludf.NUMBERVALUE('Procyclean 220'!E74,",","."),0))))</f>
        <v/>
      </c>
      <c r="AE2072" t="str">
        <f>IF(AA2072="","",'Procyclean 220'!B74)</f>
        <v/>
      </c>
      <c r="AF2072">
        <f t="shared" si="209"/>
        <v>0</v>
      </c>
      <c r="AG2072" t="str">
        <f t="shared" si="210"/>
        <v/>
      </c>
      <c r="AH2072" t="str">
        <f t="shared" si="211"/>
        <v/>
      </c>
      <c r="AI2072">
        <f t="shared" si="212"/>
        <v>0</v>
      </c>
      <c r="AJ2072">
        <f t="shared" si="213"/>
        <v>0</v>
      </c>
      <c r="AK2072">
        <v>0</v>
      </c>
      <c r="AL2072" t="str">
        <f>IF(AA2072="","",IFERROR(IF(ISNUMBER('Procyclean 220'!F74),'Procyclean 220'!F74,IF(ISNUMBER(SEARCH("12",'Procyclean 220'!F74)),EDATE(AB2072,12),IF(ISNUMBER(SEARCH("6",'Procyclean 220'!F74)),EDATE(AB2072,6),IF(ISNUMBER(SEARCH("3",'Procyclean 220'!F74)),EDATE(AB2072,3),DATEVALUE('Procyclean 220'!F74))))),""))</f>
        <v/>
      </c>
      <c r="AM2072" t="str">
        <f t="shared" ca="1" si="214"/>
        <v/>
      </c>
    </row>
    <row r="2073" spans="27:39" x14ac:dyDescent="0.3">
      <c r="AA2073" t="str">
        <f>IF(COUNTA('Procyclean 220'!C75,'Procyclean 220'!D75,'Procyclean 220'!E75)&gt;0,"220","")</f>
        <v/>
      </c>
      <c r="AB2073" t="str">
        <f>IFERROR(IF(ISNUMBER('Procyclean 220'!C75),'Procyclean 220'!C75,DATEVALUE('Procyclean 220'!C75)),"")</f>
        <v/>
      </c>
      <c r="AC2073" t="str">
        <f>IF(AA2073="","",'Procyclean 220'!D75)</f>
        <v/>
      </c>
      <c r="AD2073" t="str">
        <f>IF(AA2073="","",IFERROR(1*'Procyclean 220'!E75,IFERROR(_xludf.NUMBERVALUE('Procyclean 220'!E75,".",","),IFERROR(_xludf.NUMBERVALUE('Procyclean 220'!E75,",","."),0))))</f>
        <v/>
      </c>
      <c r="AE2073" t="str">
        <f>IF(AA2073="","",'Procyclean 220'!B75)</f>
        <v/>
      </c>
      <c r="AF2073">
        <f t="shared" si="209"/>
        <v>0</v>
      </c>
      <c r="AG2073" t="str">
        <f t="shared" si="210"/>
        <v/>
      </c>
      <c r="AH2073" t="str">
        <f t="shared" si="211"/>
        <v/>
      </c>
      <c r="AI2073">
        <f t="shared" si="212"/>
        <v>0</v>
      </c>
      <c r="AJ2073">
        <f t="shared" si="213"/>
        <v>0</v>
      </c>
      <c r="AK2073">
        <v>0</v>
      </c>
      <c r="AL2073" t="str">
        <f>IF(AA2073="","",IFERROR(IF(ISNUMBER('Procyclean 220'!F75),'Procyclean 220'!F75,IF(ISNUMBER(SEARCH("12",'Procyclean 220'!F75)),EDATE(AB2073,12),IF(ISNUMBER(SEARCH("6",'Procyclean 220'!F75)),EDATE(AB2073,6),IF(ISNUMBER(SEARCH("3",'Procyclean 220'!F75)),EDATE(AB2073,3),DATEVALUE('Procyclean 220'!F75))))),""))</f>
        <v/>
      </c>
      <c r="AM2073" t="str">
        <f t="shared" ca="1" si="214"/>
        <v/>
      </c>
    </row>
    <row r="2074" spans="27:39" x14ac:dyDescent="0.3">
      <c r="AA2074" t="str">
        <f>IF(COUNTA('Procyclean 220'!C76,'Procyclean 220'!D76,'Procyclean 220'!E76)&gt;0,"220","")</f>
        <v/>
      </c>
      <c r="AB2074" t="str">
        <f>IFERROR(IF(ISNUMBER('Procyclean 220'!C76),'Procyclean 220'!C76,DATEVALUE('Procyclean 220'!C76)),"")</f>
        <v/>
      </c>
      <c r="AC2074" t="str">
        <f>IF(AA2074="","",'Procyclean 220'!D76)</f>
        <v/>
      </c>
      <c r="AD2074" t="str">
        <f>IF(AA2074="","",IFERROR(1*'Procyclean 220'!E76,IFERROR(_xludf.NUMBERVALUE('Procyclean 220'!E76,".",","),IFERROR(_xludf.NUMBERVALUE('Procyclean 220'!E76,",","."),0))))</f>
        <v/>
      </c>
      <c r="AE2074" t="str">
        <f>IF(AA2074="","",'Procyclean 220'!B76)</f>
        <v/>
      </c>
      <c r="AF2074">
        <f t="shared" si="209"/>
        <v>0</v>
      </c>
      <c r="AG2074" t="str">
        <f t="shared" si="210"/>
        <v/>
      </c>
      <c r="AH2074" t="str">
        <f t="shared" si="211"/>
        <v/>
      </c>
      <c r="AI2074">
        <f t="shared" si="212"/>
        <v>0</v>
      </c>
      <c r="AJ2074">
        <f t="shared" si="213"/>
        <v>0</v>
      </c>
      <c r="AK2074">
        <v>0</v>
      </c>
      <c r="AL2074" t="str">
        <f>IF(AA2074="","",IFERROR(IF(ISNUMBER('Procyclean 220'!F76),'Procyclean 220'!F76,IF(ISNUMBER(SEARCH("12",'Procyclean 220'!F76)),EDATE(AB2074,12),IF(ISNUMBER(SEARCH("6",'Procyclean 220'!F76)),EDATE(AB2074,6),IF(ISNUMBER(SEARCH("3",'Procyclean 220'!F76)),EDATE(AB2074,3),DATEVALUE('Procyclean 220'!F76))))),""))</f>
        <v/>
      </c>
      <c r="AM2074" t="str">
        <f t="shared" ca="1" si="214"/>
        <v/>
      </c>
    </row>
    <row r="2075" spans="27:39" x14ac:dyDescent="0.3">
      <c r="AA2075" t="str">
        <f>IF(COUNTA('Procyclean 220'!C77,'Procyclean 220'!D77,'Procyclean 220'!E77)&gt;0,"220","")</f>
        <v/>
      </c>
      <c r="AB2075" t="str">
        <f>IFERROR(IF(ISNUMBER('Procyclean 220'!C77),'Procyclean 220'!C77,DATEVALUE('Procyclean 220'!C77)),"")</f>
        <v/>
      </c>
      <c r="AC2075" t="str">
        <f>IF(AA2075="","",'Procyclean 220'!D77)</f>
        <v/>
      </c>
      <c r="AD2075" t="str">
        <f>IF(AA2075="","",IFERROR(1*'Procyclean 220'!E77,IFERROR(_xludf.NUMBERVALUE('Procyclean 220'!E77,".",","),IFERROR(_xludf.NUMBERVALUE('Procyclean 220'!E77,",","."),0))))</f>
        <v/>
      </c>
      <c r="AE2075" t="str">
        <f>IF(AA2075="","",'Procyclean 220'!B77)</f>
        <v/>
      </c>
      <c r="AF2075">
        <f t="shared" si="209"/>
        <v>0</v>
      </c>
      <c r="AG2075" t="str">
        <f t="shared" si="210"/>
        <v/>
      </c>
      <c r="AH2075" t="str">
        <f t="shared" si="211"/>
        <v/>
      </c>
      <c r="AI2075">
        <f t="shared" si="212"/>
        <v>0</v>
      </c>
      <c r="AJ2075">
        <f t="shared" si="213"/>
        <v>0</v>
      </c>
      <c r="AK2075">
        <v>0</v>
      </c>
      <c r="AL2075" t="str">
        <f>IF(AA2075="","",IFERROR(IF(ISNUMBER('Procyclean 220'!F77),'Procyclean 220'!F77,IF(ISNUMBER(SEARCH("12",'Procyclean 220'!F77)),EDATE(AB2075,12),IF(ISNUMBER(SEARCH("6",'Procyclean 220'!F77)),EDATE(AB2075,6),IF(ISNUMBER(SEARCH("3",'Procyclean 220'!F77)),EDATE(AB2075,3),DATEVALUE('Procyclean 220'!F77))))),""))</f>
        <v/>
      </c>
      <c r="AM2075" t="str">
        <f t="shared" ca="1" si="214"/>
        <v/>
      </c>
    </row>
    <row r="2076" spans="27:39" x14ac:dyDescent="0.3">
      <c r="AA2076" t="str">
        <f>IF(COUNTA('Procyclean 220'!C78,'Procyclean 220'!D78,'Procyclean 220'!E78)&gt;0,"220","")</f>
        <v/>
      </c>
      <c r="AB2076" t="str">
        <f>IFERROR(IF(ISNUMBER('Procyclean 220'!C78),'Procyclean 220'!C78,DATEVALUE('Procyclean 220'!C78)),"")</f>
        <v/>
      </c>
      <c r="AC2076" t="str">
        <f>IF(AA2076="","",'Procyclean 220'!D78)</f>
        <v/>
      </c>
      <c r="AD2076" t="str">
        <f>IF(AA2076="","",IFERROR(1*'Procyclean 220'!E78,IFERROR(_xludf.NUMBERVALUE('Procyclean 220'!E78,".",","),IFERROR(_xludf.NUMBERVALUE('Procyclean 220'!E78,",","."),0))))</f>
        <v/>
      </c>
      <c r="AE2076" t="str">
        <f>IF(AA2076="","",'Procyclean 220'!B78)</f>
        <v/>
      </c>
      <c r="AF2076">
        <f t="shared" si="209"/>
        <v>0</v>
      </c>
      <c r="AG2076" t="str">
        <f t="shared" si="210"/>
        <v/>
      </c>
      <c r="AH2076" t="str">
        <f t="shared" si="211"/>
        <v/>
      </c>
      <c r="AI2076">
        <f t="shared" si="212"/>
        <v>0</v>
      </c>
      <c r="AJ2076">
        <f t="shared" si="213"/>
        <v>0</v>
      </c>
      <c r="AK2076">
        <v>0</v>
      </c>
      <c r="AL2076" t="str">
        <f>IF(AA2076="","",IFERROR(IF(ISNUMBER('Procyclean 220'!F78),'Procyclean 220'!F78,IF(ISNUMBER(SEARCH("12",'Procyclean 220'!F78)),EDATE(AB2076,12),IF(ISNUMBER(SEARCH("6",'Procyclean 220'!F78)),EDATE(AB2076,6),IF(ISNUMBER(SEARCH("3",'Procyclean 220'!F78)),EDATE(AB2076,3),DATEVALUE('Procyclean 220'!F78))))),""))</f>
        <v/>
      </c>
      <c r="AM2076" t="str">
        <f t="shared" ca="1" si="214"/>
        <v/>
      </c>
    </row>
    <row r="2077" spans="27:39" x14ac:dyDescent="0.3">
      <c r="AA2077" t="str">
        <f>IF(COUNTA('Procyclean 220'!C79,'Procyclean 220'!D79,'Procyclean 220'!E79)&gt;0,"220","")</f>
        <v/>
      </c>
      <c r="AB2077" t="str">
        <f>IFERROR(IF(ISNUMBER('Procyclean 220'!C79),'Procyclean 220'!C79,DATEVALUE('Procyclean 220'!C79)),"")</f>
        <v/>
      </c>
      <c r="AC2077" t="str">
        <f>IF(AA2077="","",'Procyclean 220'!D79)</f>
        <v/>
      </c>
      <c r="AD2077" t="str">
        <f>IF(AA2077="","",IFERROR(1*'Procyclean 220'!E79,IFERROR(_xludf.NUMBERVALUE('Procyclean 220'!E79,".",","),IFERROR(_xludf.NUMBERVALUE('Procyclean 220'!E79,",","."),0))))</f>
        <v/>
      </c>
      <c r="AE2077" t="str">
        <f>IF(AA2077="","",'Procyclean 220'!B79)</f>
        <v/>
      </c>
      <c r="AF2077">
        <f t="shared" si="209"/>
        <v>0</v>
      </c>
      <c r="AG2077" t="str">
        <f t="shared" si="210"/>
        <v/>
      </c>
      <c r="AH2077" t="str">
        <f t="shared" si="211"/>
        <v/>
      </c>
      <c r="AI2077">
        <f t="shared" si="212"/>
        <v>0</v>
      </c>
      <c r="AJ2077">
        <f t="shared" si="213"/>
        <v>0</v>
      </c>
      <c r="AK2077">
        <v>0</v>
      </c>
      <c r="AL2077" t="str">
        <f>IF(AA2077="","",IFERROR(IF(ISNUMBER('Procyclean 220'!F79),'Procyclean 220'!F79,IF(ISNUMBER(SEARCH("12",'Procyclean 220'!F79)),EDATE(AB2077,12),IF(ISNUMBER(SEARCH("6",'Procyclean 220'!F79)),EDATE(AB2077,6),IF(ISNUMBER(SEARCH("3",'Procyclean 220'!F79)),EDATE(AB2077,3),DATEVALUE('Procyclean 220'!F79))))),""))</f>
        <v/>
      </c>
      <c r="AM2077" t="str">
        <f t="shared" ca="1" si="214"/>
        <v/>
      </c>
    </row>
    <row r="2078" spans="27:39" x14ac:dyDescent="0.3">
      <c r="AA2078" t="str">
        <f>IF(COUNTA('Procyclean 220'!C80,'Procyclean 220'!D80,'Procyclean 220'!E80)&gt;0,"220","")</f>
        <v/>
      </c>
      <c r="AB2078" t="str">
        <f>IFERROR(IF(ISNUMBER('Procyclean 220'!C80),'Procyclean 220'!C80,DATEVALUE('Procyclean 220'!C80)),"")</f>
        <v/>
      </c>
      <c r="AC2078" t="str">
        <f>IF(AA2078="","",'Procyclean 220'!D80)</f>
        <v/>
      </c>
      <c r="AD2078" t="str">
        <f>IF(AA2078="","",IFERROR(1*'Procyclean 220'!E80,IFERROR(_xludf.NUMBERVALUE('Procyclean 220'!E80,".",","),IFERROR(_xludf.NUMBERVALUE('Procyclean 220'!E80,",","."),0))))</f>
        <v/>
      </c>
      <c r="AE2078" t="str">
        <f>IF(AA2078="","",'Procyclean 220'!B80)</f>
        <v/>
      </c>
      <c r="AF2078">
        <f t="shared" si="209"/>
        <v>0</v>
      </c>
      <c r="AG2078" t="str">
        <f t="shared" si="210"/>
        <v/>
      </c>
      <c r="AH2078" t="str">
        <f t="shared" si="211"/>
        <v/>
      </c>
      <c r="AI2078">
        <f t="shared" si="212"/>
        <v>0</v>
      </c>
      <c r="AJ2078">
        <f t="shared" si="213"/>
        <v>0</v>
      </c>
      <c r="AK2078">
        <v>0</v>
      </c>
      <c r="AL2078" t="str">
        <f>IF(AA2078="","",IFERROR(IF(ISNUMBER('Procyclean 220'!F80),'Procyclean 220'!F80,IF(ISNUMBER(SEARCH("12",'Procyclean 220'!F80)),EDATE(AB2078,12),IF(ISNUMBER(SEARCH("6",'Procyclean 220'!F80)),EDATE(AB2078,6),IF(ISNUMBER(SEARCH("3",'Procyclean 220'!F80)),EDATE(AB2078,3),DATEVALUE('Procyclean 220'!F80))))),""))</f>
        <v/>
      </c>
      <c r="AM2078" t="str">
        <f t="shared" ca="1" si="214"/>
        <v/>
      </c>
    </row>
    <row r="2079" spans="27:39" x14ac:dyDescent="0.3">
      <c r="AA2079" t="str">
        <f>IF(COUNTA('Procyclean 220'!C81,'Procyclean 220'!D81,'Procyclean 220'!E81)&gt;0,"220","")</f>
        <v/>
      </c>
      <c r="AB2079" t="str">
        <f>IFERROR(IF(ISNUMBER('Procyclean 220'!C81),'Procyclean 220'!C81,DATEVALUE('Procyclean 220'!C81)),"")</f>
        <v/>
      </c>
      <c r="AC2079" t="str">
        <f>IF(AA2079="","",'Procyclean 220'!D81)</f>
        <v/>
      </c>
      <c r="AD2079" t="str">
        <f>IF(AA2079="","",IFERROR(1*'Procyclean 220'!E81,IFERROR(_xludf.NUMBERVALUE('Procyclean 220'!E81,".",","),IFERROR(_xludf.NUMBERVALUE('Procyclean 220'!E81,",","."),0))))</f>
        <v/>
      </c>
      <c r="AE2079" t="str">
        <f>IF(AA2079="","",'Procyclean 220'!B81)</f>
        <v/>
      </c>
      <c r="AF2079">
        <f t="shared" si="209"/>
        <v>0</v>
      </c>
      <c r="AG2079" t="str">
        <f t="shared" si="210"/>
        <v/>
      </c>
      <c r="AH2079" t="str">
        <f t="shared" si="211"/>
        <v/>
      </c>
      <c r="AI2079">
        <f t="shared" si="212"/>
        <v>0</v>
      </c>
      <c r="AJ2079">
        <f t="shared" si="213"/>
        <v>0</v>
      </c>
      <c r="AK2079">
        <v>0</v>
      </c>
      <c r="AL2079" t="str">
        <f>IF(AA2079="","",IFERROR(IF(ISNUMBER('Procyclean 220'!F81),'Procyclean 220'!F81,IF(ISNUMBER(SEARCH("12",'Procyclean 220'!F81)),EDATE(AB2079,12),IF(ISNUMBER(SEARCH("6",'Procyclean 220'!F81)),EDATE(AB2079,6),IF(ISNUMBER(SEARCH("3",'Procyclean 220'!F81)),EDATE(AB2079,3),DATEVALUE('Procyclean 220'!F81))))),""))</f>
        <v/>
      </c>
      <c r="AM2079" t="str">
        <f t="shared" ca="1" si="214"/>
        <v/>
      </c>
    </row>
    <row r="2080" spans="27:39" x14ac:dyDescent="0.3">
      <c r="AA2080" t="str">
        <f>IF(COUNTA('Procyclean 220'!C82,'Procyclean 220'!D82,'Procyclean 220'!E82)&gt;0,"220","")</f>
        <v/>
      </c>
      <c r="AB2080" t="str">
        <f>IFERROR(IF(ISNUMBER('Procyclean 220'!C82),'Procyclean 220'!C82,DATEVALUE('Procyclean 220'!C82)),"")</f>
        <v/>
      </c>
      <c r="AC2080" t="str">
        <f>IF(AA2080="","",'Procyclean 220'!D82)</f>
        <v/>
      </c>
      <c r="AD2080" t="str">
        <f>IF(AA2080="","",IFERROR(1*'Procyclean 220'!E82,IFERROR(_xludf.NUMBERVALUE('Procyclean 220'!E82,".",","),IFERROR(_xludf.NUMBERVALUE('Procyclean 220'!E82,",","."),0))))</f>
        <v/>
      </c>
      <c r="AE2080" t="str">
        <f>IF(AA2080="","",'Procyclean 220'!B82)</f>
        <v/>
      </c>
      <c r="AF2080">
        <f t="shared" si="209"/>
        <v>0</v>
      </c>
      <c r="AG2080" t="str">
        <f t="shared" si="210"/>
        <v/>
      </c>
      <c r="AH2080" t="str">
        <f t="shared" si="211"/>
        <v/>
      </c>
      <c r="AI2080">
        <f t="shared" si="212"/>
        <v>0</v>
      </c>
      <c r="AJ2080">
        <f t="shared" si="213"/>
        <v>0</v>
      </c>
      <c r="AK2080">
        <v>0</v>
      </c>
      <c r="AL2080" t="str">
        <f>IF(AA2080="","",IFERROR(IF(ISNUMBER('Procyclean 220'!F82),'Procyclean 220'!F82,IF(ISNUMBER(SEARCH("12",'Procyclean 220'!F82)),EDATE(AB2080,12),IF(ISNUMBER(SEARCH("6",'Procyclean 220'!F82)),EDATE(AB2080,6),IF(ISNUMBER(SEARCH("3",'Procyclean 220'!F82)),EDATE(AB2080,3),DATEVALUE('Procyclean 220'!F82))))),""))</f>
        <v/>
      </c>
      <c r="AM2080" t="str">
        <f t="shared" ca="1" si="214"/>
        <v/>
      </c>
    </row>
    <row r="2081" spans="27:39" x14ac:dyDescent="0.3">
      <c r="AA2081" t="str">
        <f>IF(COUNTA('Procyclean 220'!C83,'Procyclean 220'!D83,'Procyclean 220'!E83)&gt;0,"220","")</f>
        <v/>
      </c>
      <c r="AB2081" t="str">
        <f>IFERROR(IF(ISNUMBER('Procyclean 220'!C83),'Procyclean 220'!C83,DATEVALUE('Procyclean 220'!C83)),"")</f>
        <v/>
      </c>
      <c r="AC2081" t="str">
        <f>IF(AA2081="","",'Procyclean 220'!D83)</f>
        <v/>
      </c>
      <c r="AD2081" t="str">
        <f>IF(AA2081="","",IFERROR(1*'Procyclean 220'!E83,IFERROR(_xludf.NUMBERVALUE('Procyclean 220'!E83,".",","),IFERROR(_xludf.NUMBERVALUE('Procyclean 220'!E83,",","."),0))))</f>
        <v/>
      </c>
      <c r="AE2081" t="str">
        <f>IF(AA2081="","",'Procyclean 220'!B83)</f>
        <v/>
      </c>
      <c r="AF2081">
        <f t="shared" si="209"/>
        <v>0</v>
      </c>
      <c r="AG2081" t="str">
        <f t="shared" si="210"/>
        <v/>
      </c>
      <c r="AH2081" t="str">
        <f t="shared" si="211"/>
        <v/>
      </c>
      <c r="AI2081">
        <f t="shared" si="212"/>
        <v>0</v>
      </c>
      <c r="AJ2081">
        <f t="shared" si="213"/>
        <v>0</v>
      </c>
      <c r="AK2081">
        <v>0</v>
      </c>
      <c r="AL2081" t="str">
        <f>IF(AA2081="","",IFERROR(IF(ISNUMBER('Procyclean 220'!F83),'Procyclean 220'!F83,IF(ISNUMBER(SEARCH("12",'Procyclean 220'!F83)),EDATE(AB2081,12),IF(ISNUMBER(SEARCH("6",'Procyclean 220'!F83)),EDATE(AB2081,6),IF(ISNUMBER(SEARCH("3",'Procyclean 220'!F83)),EDATE(AB2081,3),DATEVALUE('Procyclean 220'!F83))))),""))</f>
        <v/>
      </c>
      <c r="AM2081" t="str">
        <f t="shared" ca="1" si="214"/>
        <v/>
      </c>
    </row>
    <row r="2082" spans="27:39" x14ac:dyDescent="0.3">
      <c r="AA2082" t="str">
        <f>IF(COUNTA('Procyclean 220'!C84,'Procyclean 220'!D84,'Procyclean 220'!E84)&gt;0,"220","")</f>
        <v/>
      </c>
      <c r="AB2082" t="str">
        <f>IFERROR(IF(ISNUMBER('Procyclean 220'!C84),'Procyclean 220'!C84,DATEVALUE('Procyclean 220'!C84)),"")</f>
        <v/>
      </c>
      <c r="AC2082" t="str">
        <f>IF(AA2082="","",'Procyclean 220'!D84)</f>
        <v/>
      </c>
      <c r="AD2082" t="str">
        <f>IF(AA2082="","",IFERROR(1*'Procyclean 220'!E84,IFERROR(_xludf.NUMBERVALUE('Procyclean 220'!E84,".",","),IFERROR(_xludf.NUMBERVALUE('Procyclean 220'!E84,",","."),0))))</f>
        <v/>
      </c>
      <c r="AE2082" t="str">
        <f>IF(AA2082="","",'Procyclean 220'!B84)</f>
        <v/>
      </c>
      <c r="AF2082">
        <f t="shared" si="209"/>
        <v>0</v>
      </c>
      <c r="AG2082" t="str">
        <f t="shared" si="210"/>
        <v/>
      </c>
      <c r="AH2082" t="str">
        <f t="shared" si="211"/>
        <v/>
      </c>
      <c r="AI2082">
        <f t="shared" si="212"/>
        <v>0</v>
      </c>
      <c r="AJ2082">
        <f t="shared" si="213"/>
        <v>0</v>
      </c>
      <c r="AK2082">
        <v>0</v>
      </c>
      <c r="AL2082" t="str">
        <f>IF(AA2082="","",IFERROR(IF(ISNUMBER('Procyclean 220'!F84),'Procyclean 220'!F84,IF(ISNUMBER(SEARCH("12",'Procyclean 220'!F84)),EDATE(AB2082,12),IF(ISNUMBER(SEARCH("6",'Procyclean 220'!F84)),EDATE(AB2082,6),IF(ISNUMBER(SEARCH("3",'Procyclean 220'!F84)),EDATE(AB2082,3),DATEVALUE('Procyclean 220'!F84))))),""))</f>
        <v/>
      </c>
      <c r="AM2082" t="str">
        <f t="shared" ca="1" si="214"/>
        <v/>
      </c>
    </row>
    <row r="2083" spans="27:39" x14ac:dyDescent="0.3">
      <c r="AA2083" t="str">
        <f>IF(COUNTA('Procyclean 220'!C85,'Procyclean 220'!D85,'Procyclean 220'!E85)&gt;0,"220","")</f>
        <v/>
      </c>
      <c r="AB2083" t="str">
        <f>IFERROR(IF(ISNUMBER('Procyclean 220'!C85),'Procyclean 220'!C85,DATEVALUE('Procyclean 220'!C85)),"")</f>
        <v/>
      </c>
      <c r="AC2083" t="str">
        <f>IF(AA2083="","",'Procyclean 220'!D85)</f>
        <v/>
      </c>
      <c r="AD2083" t="str">
        <f>IF(AA2083="","",IFERROR(1*'Procyclean 220'!E85,IFERROR(_xludf.NUMBERVALUE('Procyclean 220'!E85,".",","),IFERROR(_xludf.NUMBERVALUE('Procyclean 220'!E85,",","."),0))))</f>
        <v/>
      </c>
      <c r="AE2083" t="str">
        <f>IF(AA2083="","",'Procyclean 220'!B85)</f>
        <v/>
      </c>
      <c r="AF2083">
        <f t="shared" si="209"/>
        <v>0</v>
      </c>
      <c r="AG2083" t="str">
        <f t="shared" si="210"/>
        <v/>
      </c>
      <c r="AH2083" t="str">
        <f t="shared" si="211"/>
        <v/>
      </c>
      <c r="AI2083">
        <f t="shared" si="212"/>
        <v>0</v>
      </c>
      <c r="AJ2083">
        <f t="shared" si="213"/>
        <v>0</v>
      </c>
      <c r="AK2083">
        <v>0</v>
      </c>
      <c r="AL2083" t="str">
        <f>IF(AA2083="","",IFERROR(IF(ISNUMBER('Procyclean 220'!F85),'Procyclean 220'!F85,IF(ISNUMBER(SEARCH("12",'Procyclean 220'!F85)),EDATE(AB2083,12),IF(ISNUMBER(SEARCH("6",'Procyclean 220'!F85)),EDATE(AB2083,6),IF(ISNUMBER(SEARCH("3",'Procyclean 220'!F85)),EDATE(AB2083,3),DATEVALUE('Procyclean 220'!F85))))),""))</f>
        <v/>
      </c>
      <c r="AM2083" t="str">
        <f t="shared" ca="1" si="214"/>
        <v/>
      </c>
    </row>
    <row r="2084" spans="27:39" x14ac:dyDescent="0.3">
      <c r="AA2084" t="str">
        <f>IF(COUNTA('Procyclean 220'!C86,'Procyclean 220'!D86,'Procyclean 220'!E86)&gt;0,"220","")</f>
        <v/>
      </c>
      <c r="AB2084" t="str">
        <f>IFERROR(IF(ISNUMBER('Procyclean 220'!C86),'Procyclean 220'!C86,DATEVALUE('Procyclean 220'!C86)),"")</f>
        <v/>
      </c>
      <c r="AC2084" t="str">
        <f>IF(AA2084="","",'Procyclean 220'!D86)</f>
        <v/>
      </c>
      <c r="AD2084" t="str">
        <f>IF(AA2084="","",IFERROR(1*'Procyclean 220'!E86,IFERROR(_xludf.NUMBERVALUE('Procyclean 220'!E86,".",","),IFERROR(_xludf.NUMBERVALUE('Procyclean 220'!E86,",","."),0))))</f>
        <v/>
      </c>
      <c r="AE2084" t="str">
        <f>IF(AA2084="","",'Procyclean 220'!B86)</f>
        <v/>
      </c>
      <c r="AF2084">
        <f t="shared" si="209"/>
        <v>0</v>
      </c>
      <c r="AG2084" t="str">
        <f t="shared" si="210"/>
        <v/>
      </c>
      <c r="AH2084" t="str">
        <f t="shared" si="211"/>
        <v/>
      </c>
      <c r="AI2084">
        <f t="shared" si="212"/>
        <v>0</v>
      </c>
      <c r="AJ2084">
        <f t="shared" si="213"/>
        <v>0</v>
      </c>
      <c r="AK2084">
        <v>0</v>
      </c>
      <c r="AL2084" t="str">
        <f>IF(AA2084="","",IFERROR(IF(ISNUMBER('Procyclean 220'!F86),'Procyclean 220'!F86,IF(ISNUMBER(SEARCH("12",'Procyclean 220'!F86)),EDATE(AB2084,12),IF(ISNUMBER(SEARCH("6",'Procyclean 220'!F86)),EDATE(AB2084,6),IF(ISNUMBER(SEARCH("3",'Procyclean 220'!F86)),EDATE(AB2084,3),DATEVALUE('Procyclean 220'!F86))))),""))</f>
        <v/>
      </c>
      <c r="AM2084" t="str">
        <f t="shared" ca="1" si="214"/>
        <v/>
      </c>
    </row>
    <row r="2085" spans="27:39" x14ac:dyDescent="0.3">
      <c r="AA2085" t="str">
        <f>IF(COUNTA('Procyclean 220'!C87,'Procyclean 220'!D87,'Procyclean 220'!E87)&gt;0,"220","")</f>
        <v/>
      </c>
      <c r="AB2085" t="str">
        <f>IFERROR(IF(ISNUMBER('Procyclean 220'!C87),'Procyclean 220'!C87,DATEVALUE('Procyclean 220'!C87)),"")</f>
        <v/>
      </c>
      <c r="AC2085" t="str">
        <f>IF(AA2085="","",'Procyclean 220'!D87)</f>
        <v/>
      </c>
      <c r="AD2085" t="str">
        <f>IF(AA2085="","",IFERROR(1*'Procyclean 220'!E87,IFERROR(_xludf.NUMBERVALUE('Procyclean 220'!E87,".",","),IFERROR(_xludf.NUMBERVALUE('Procyclean 220'!E87,",","."),0))))</f>
        <v/>
      </c>
      <c r="AE2085" t="str">
        <f>IF(AA2085="","",'Procyclean 220'!B87)</f>
        <v/>
      </c>
      <c r="AF2085">
        <f t="shared" si="209"/>
        <v>0</v>
      </c>
      <c r="AG2085" t="str">
        <f t="shared" si="210"/>
        <v/>
      </c>
      <c r="AH2085" t="str">
        <f t="shared" si="211"/>
        <v/>
      </c>
      <c r="AI2085">
        <f t="shared" si="212"/>
        <v>0</v>
      </c>
      <c r="AJ2085">
        <f t="shared" si="213"/>
        <v>0</v>
      </c>
      <c r="AK2085">
        <v>0</v>
      </c>
      <c r="AL2085" t="str">
        <f>IF(AA2085="","",IFERROR(IF(ISNUMBER('Procyclean 220'!F87),'Procyclean 220'!F87,IF(ISNUMBER(SEARCH("12",'Procyclean 220'!F87)),EDATE(AB2085,12),IF(ISNUMBER(SEARCH("6",'Procyclean 220'!F87)),EDATE(AB2085,6),IF(ISNUMBER(SEARCH("3",'Procyclean 220'!F87)),EDATE(AB2085,3),DATEVALUE('Procyclean 220'!F87))))),""))</f>
        <v/>
      </c>
      <c r="AM2085" t="str">
        <f t="shared" ca="1" si="214"/>
        <v/>
      </c>
    </row>
    <row r="2086" spans="27:39" x14ac:dyDescent="0.3">
      <c r="AA2086" t="str">
        <f>IF(COUNTA('Procyclean 220'!C88,'Procyclean 220'!D88,'Procyclean 220'!E88)&gt;0,"220","")</f>
        <v/>
      </c>
      <c r="AB2086" t="str">
        <f>IFERROR(IF(ISNUMBER('Procyclean 220'!C88),'Procyclean 220'!C88,DATEVALUE('Procyclean 220'!C88)),"")</f>
        <v/>
      </c>
      <c r="AC2086" t="str">
        <f>IF(AA2086="","",'Procyclean 220'!D88)</f>
        <v/>
      </c>
      <c r="AD2086" t="str">
        <f>IF(AA2086="","",IFERROR(1*'Procyclean 220'!E88,IFERROR(_xludf.NUMBERVALUE('Procyclean 220'!E88,".",","),IFERROR(_xludf.NUMBERVALUE('Procyclean 220'!E88,",","."),0))))</f>
        <v/>
      </c>
      <c r="AE2086" t="str">
        <f>IF(AA2086="","",'Procyclean 220'!B88)</f>
        <v/>
      </c>
      <c r="AF2086">
        <f t="shared" si="209"/>
        <v>0</v>
      </c>
      <c r="AG2086" t="str">
        <f t="shared" si="210"/>
        <v/>
      </c>
      <c r="AH2086" t="str">
        <f t="shared" si="211"/>
        <v/>
      </c>
      <c r="AI2086">
        <f t="shared" si="212"/>
        <v>0</v>
      </c>
      <c r="AJ2086">
        <f t="shared" si="213"/>
        <v>0</v>
      </c>
      <c r="AK2086">
        <v>0</v>
      </c>
      <c r="AL2086" t="str">
        <f>IF(AA2086="","",IFERROR(IF(ISNUMBER('Procyclean 220'!F88),'Procyclean 220'!F88,IF(ISNUMBER(SEARCH("12",'Procyclean 220'!F88)),EDATE(AB2086,12),IF(ISNUMBER(SEARCH("6",'Procyclean 220'!F88)),EDATE(AB2086,6),IF(ISNUMBER(SEARCH("3",'Procyclean 220'!F88)),EDATE(AB2086,3),DATEVALUE('Procyclean 220'!F88))))),""))</f>
        <v/>
      </c>
      <c r="AM2086" t="str">
        <f t="shared" ca="1" si="214"/>
        <v/>
      </c>
    </row>
    <row r="2087" spans="27:39" x14ac:dyDescent="0.3">
      <c r="AA2087" t="str">
        <f>IF(COUNTA('Procyclean 220'!C89,'Procyclean 220'!D89,'Procyclean 220'!E89)&gt;0,"220","")</f>
        <v/>
      </c>
      <c r="AB2087" t="str">
        <f>IFERROR(IF(ISNUMBER('Procyclean 220'!C89),'Procyclean 220'!C89,DATEVALUE('Procyclean 220'!C89)),"")</f>
        <v/>
      </c>
      <c r="AC2087" t="str">
        <f>IF(AA2087="","",'Procyclean 220'!D89)</f>
        <v/>
      </c>
      <c r="AD2087" t="str">
        <f>IF(AA2087="","",IFERROR(1*'Procyclean 220'!E89,IFERROR(_xludf.NUMBERVALUE('Procyclean 220'!E89,".",","),IFERROR(_xludf.NUMBERVALUE('Procyclean 220'!E89,",","."),0))))</f>
        <v/>
      </c>
      <c r="AE2087" t="str">
        <f>IF(AA2087="","",'Procyclean 220'!B89)</f>
        <v/>
      </c>
      <c r="AF2087">
        <f t="shared" si="209"/>
        <v>0</v>
      </c>
      <c r="AG2087" t="str">
        <f t="shared" si="210"/>
        <v/>
      </c>
      <c r="AH2087" t="str">
        <f t="shared" si="211"/>
        <v/>
      </c>
      <c r="AI2087">
        <f t="shared" si="212"/>
        <v>0</v>
      </c>
      <c r="AJ2087">
        <f t="shared" si="213"/>
        <v>0</v>
      </c>
      <c r="AK2087">
        <v>0</v>
      </c>
      <c r="AL2087" t="str">
        <f>IF(AA2087="","",IFERROR(IF(ISNUMBER('Procyclean 220'!F89),'Procyclean 220'!F89,IF(ISNUMBER(SEARCH("12",'Procyclean 220'!F89)),EDATE(AB2087,12),IF(ISNUMBER(SEARCH("6",'Procyclean 220'!F89)),EDATE(AB2087,6),IF(ISNUMBER(SEARCH("3",'Procyclean 220'!F89)),EDATE(AB2087,3),DATEVALUE('Procyclean 220'!F89))))),""))</f>
        <v/>
      </c>
      <c r="AM2087" t="str">
        <f t="shared" ca="1" si="214"/>
        <v/>
      </c>
    </row>
    <row r="2088" spans="27:39" x14ac:dyDescent="0.3">
      <c r="AA2088" t="str">
        <f>IF(COUNTA('Procyclean 220'!C90,'Procyclean 220'!D90,'Procyclean 220'!E90)&gt;0,"220","")</f>
        <v/>
      </c>
      <c r="AB2088" t="str">
        <f>IFERROR(IF(ISNUMBER('Procyclean 220'!C90),'Procyclean 220'!C90,DATEVALUE('Procyclean 220'!C90)),"")</f>
        <v/>
      </c>
      <c r="AC2088" t="str">
        <f>IF(AA2088="","",'Procyclean 220'!D90)</f>
        <v/>
      </c>
      <c r="AD2088" t="str">
        <f>IF(AA2088="","",IFERROR(1*'Procyclean 220'!E90,IFERROR(_xludf.NUMBERVALUE('Procyclean 220'!E90,".",","),IFERROR(_xludf.NUMBERVALUE('Procyclean 220'!E90,",","."),0))))</f>
        <v/>
      </c>
      <c r="AE2088" t="str">
        <f>IF(AA2088="","",'Procyclean 220'!B90)</f>
        <v/>
      </c>
      <c r="AF2088">
        <f t="shared" si="209"/>
        <v>0</v>
      </c>
      <c r="AG2088" t="str">
        <f t="shared" si="210"/>
        <v/>
      </c>
      <c r="AH2088" t="str">
        <f t="shared" si="211"/>
        <v/>
      </c>
      <c r="AI2088">
        <f t="shared" si="212"/>
        <v>0</v>
      </c>
      <c r="AJ2088">
        <f t="shared" si="213"/>
        <v>0</v>
      </c>
      <c r="AK2088">
        <v>0</v>
      </c>
      <c r="AL2088" t="str">
        <f>IF(AA2088="","",IFERROR(IF(ISNUMBER('Procyclean 220'!F90),'Procyclean 220'!F90,IF(ISNUMBER(SEARCH("12",'Procyclean 220'!F90)),EDATE(AB2088,12),IF(ISNUMBER(SEARCH("6",'Procyclean 220'!F90)),EDATE(AB2088,6),IF(ISNUMBER(SEARCH("3",'Procyclean 220'!F90)),EDATE(AB2088,3),DATEVALUE('Procyclean 220'!F90))))),""))</f>
        <v/>
      </c>
      <c r="AM2088" t="str">
        <f t="shared" ca="1" si="214"/>
        <v/>
      </c>
    </row>
    <row r="2089" spans="27:39" x14ac:dyDescent="0.3">
      <c r="AA2089" t="str">
        <f>IF(COUNTA('Procyclean 220'!C91,'Procyclean 220'!D91,'Procyclean 220'!E91)&gt;0,"220","")</f>
        <v/>
      </c>
      <c r="AB2089" t="str">
        <f>IFERROR(IF(ISNUMBER('Procyclean 220'!C91),'Procyclean 220'!C91,DATEVALUE('Procyclean 220'!C91)),"")</f>
        <v/>
      </c>
      <c r="AC2089" t="str">
        <f>IF(AA2089="","",'Procyclean 220'!D91)</f>
        <v/>
      </c>
      <c r="AD2089" t="str">
        <f>IF(AA2089="","",IFERROR(1*'Procyclean 220'!E91,IFERROR(_xludf.NUMBERVALUE('Procyclean 220'!E91,".",","),IFERROR(_xludf.NUMBERVALUE('Procyclean 220'!E91,",","."),0))))</f>
        <v/>
      </c>
      <c r="AE2089" t="str">
        <f>IF(AA2089="","",'Procyclean 220'!B91)</f>
        <v/>
      </c>
      <c r="AF2089">
        <f t="shared" si="209"/>
        <v>0</v>
      </c>
      <c r="AG2089" t="str">
        <f t="shared" si="210"/>
        <v/>
      </c>
      <c r="AH2089" t="str">
        <f t="shared" si="211"/>
        <v/>
      </c>
      <c r="AI2089">
        <f t="shared" si="212"/>
        <v>0</v>
      </c>
      <c r="AJ2089">
        <f t="shared" si="213"/>
        <v>0</v>
      </c>
      <c r="AK2089">
        <v>0</v>
      </c>
      <c r="AL2089" t="str">
        <f>IF(AA2089="","",IFERROR(IF(ISNUMBER('Procyclean 220'!F91),'Procyclean 220'!F91,IF(ISNUMBER(SEARCH("12",'Procyclean 220'!F91)),EDATE(AB2089,12),IF(ISNUMBER(SEARCH("6",'Procyclean 220'!F91)),EDATE(AB2089,6),IF(ISNUMBER(SEARCH("3",'Procyclean 220'!F91)),EDATE(AB2089,3),DATEVALUE('Procyclean 220'!F91))))),""))</f>
        <v/>
      </c>
      <c r="AM2089" t="str">
        <f t="shared" ca="1" si="214"/>
        <v/>
      </c>
    </row>
    <row r="2090" spans="27:39" x14ac:dyDescent="0.3">
      <c r="AA2090" t="str">
        <f>IF(COUNTA('Procyclean 220'!C92,'Procyclean 220'!D92,'Procyclean 220'!E92)&gt;0,"220","")</f>
        <v/>
      </c>
      <c r="AB2090" t="str">
        <f>IFERROR(IF(ISNUMBER('Procyclean 220'!C92),'Procyclean 220'!C92,DATEVALUE('Procyclean 220'!C92)),"")</f>
        <v/>
      </c>
      <c r="AC2090" t="str">
        <f>IF(AA2090="","",'Procyclean 220'!D92)</f>
        <v/>
      </c>
      <c r="AD2090" t="str">
        <f>IF(AA2090="","",IFERROR(1*'Procyclean 220'!E92,IFERROR(_xludf.NUMBERVALUE('Procyclean 220'!E92,".",","),IFERROR(_xludf.NUMBERVALUE('Procyclean 220'!E92,",","."),0))))</f>
        <v/>
      </c>
      <c r="AE2090" t="str">
        <f>IF(AA2090="","",'Procyclean 220'!B92)</f>
        <v/>
      </c>
      <c r="AF2090">
        <f t="shared" si="209"/>
        <v>0</v>
      </c>
      <c r="AG2090" t="str">
        <f t="shared" si="210"/>
        <v/>
      </c>
      <c r="AH2090" t="str">
        <f t="shared" si="211"/>
        <v/>
      </c>
      <c r="AI2090">
        <f t="shared" si="212"/>
        <v>0</v>
      </c>
      <c r="AJ2090">
        <f t="shared" si="213"/>
        <v>0</v>
      </c>
      <c r="AK2090">
        <v>0</v>
      </c>
      <c r="AL2090" t="str">
        <f>IF(AA2090="","",IFERROR(IF(ISNUMBER('Procyclean 220'!F92),'Procyclean 220'!F92,IF(ISNUMBER(SEARCH("12",'Procyclean 220'!F92)),EDATE(AB2090,12),IF(ISNUMBER(SEARCH("6",'Procyclean 220'!F92)),EDATE(AB2090,6),IF(ISNUMBER(SEARCH("3",'Procyclean 220'!F92)),EDATE(AB2090,3),DATEVALUE('Procyclean 220'!F92))))),""))</f>
        <v/>
      </c>
      <c r="AM2090" t="str">
        <f t="shared" ca="1" si="214"/>
        <v/>
      </c>
    </row>
    <row r="2091" spans="27:39" x14ac:dyDescent="0.3">
      <c r="AA2091" t="str">
        <f>IF(COUNTA('Procyclean 220'!C93,'Procyclean 220'!D93,'Procyclean 220'!E93)&gt;0,"220","")</f>
        <v/>
      </c>
      <c r="AB2091" t="str">
        <f>IFERROR(IF(ISNUMBER('Procyclean 220'!C93),'Procyclean 220'!C93,DATEVALUE('Procyclean 220'!C93)),"")</f>
        <v/>
      </c>
      <c r="AC2091" t="str">
        <f>IF(AA2091="","",'Procyclean 220'!D93)</f>
        <v/>
      </c>
      <c r="AD2091" t="str">
        <f>IF(AA2091="","",IFERROR(1*'Procyclean 220'!E93,IFERROR(_xludf.NUMBERVALUE('Procyclean 220'!E93,".",","),IFERROR(_xludf.NUMBERVALUE('Procyclean 220'!E93,",","."),0))))</f>
        <v/>
      </c>
      <c r="AE2091" t="str">
        <f>IF(AA2091="","",'Procyclean 220'!B93)</f>
        <v/>
      </c>
      <c r="AF2091">
        <f t="shared" si="209"/>
        <v>0</v>
      </c>
      <c r="AG2091" t="str">
        <f t="shared" si="210"/>
        <v/>
      </c>
      <c r="AH2091" t="str">
        <f t="shared" si="211"/>
        <v/>
      </c>
      <c r="AI2091">
        <f t="shared" si="212"/>
        <v>0</v>
      </c>
      <c r="AJ2091">
        <f t="shared" si="213"/>
        <v>0</v>
      </c>
      <c r="AK2091">
        <v>0</v>
      </c>
      <c r="AL2091" t="str">
        <f>IF(AA2091="","",IFERROR(IF(ISNUMBER('Procyclean 220'!F93),'Procyclean 220'!F93,IF(ISNUMBER(SEARCH("12",'Procyclean 220'!F93)),EDATE(AB2091,12),IF(ISNUMBER(SEARCH("6",'Procyclean 220'!F93)),EDATE(AB2091,6),IF(ISNUMBER(SEARCH("3",'Procyclean 220'!F93)),EDATE(AB2091,3),DATEVALUE('Procyclean 220'!F93))))),""))</f>
        <v/>
      </c>
      <c r="AM2091" t="str">
        <f t="shared" ca="1" si="214"/>
        <v/>
      </c>
    </row>
    <row r="2092" spans="27:39" x14ac:dyDescent="0.3">
      <c r="AA2092" t="str">
        <f>IF(COUNTA('Procyclean 220'!C94,'Procyclean 220'!D94,'Procyclean 220'!E94)&gt;0,"220","")</f>
        <v/>
      </c>
      <c r="AB2092" t="str">
        <f>IFERROR(IF(ISNUMBER('Procyclean 220'!C94),'Procyclean 220'!C94,DATEVALUE('Procyclean 220'!C94)),"")</f>
        <v/>
      </c>
      <c r="AC2092" t="str">
        <f>IF(AA2092="","",'Procyclean 220'!D94)</f>
        <v/>
      </c>
      <c r="AD2092" t="str">
        <f>IF(AA2092="","",IFERROR(1*'Procyclean 220'!E94,IFERROR(_xludf.NUMBERVALUE('Procyclean 220'!E94,".",","),IFERROR(_xludf.NUMBERVALUE('Procyclean 220'!E94,",","."),0))))</f>
        <v/>
      </c>
      <c r="AE2092" t="str">
        <f>IF(AA2092="","",'Procyclean 220'!B94)</f>
        <v/>
      </c>
      <c r="AF2092">
        <f t="shared" si="209"/>
        <v>0</v>
      </c>
      <c r="AG2092" t="str">
        <f t="shared" si="210"/>
        <v/>
      </c>
      <c r="AH2092" t="str">
        <f t="shared" si="211"/>
        <v/>
      </c>
      <c r="AI2092">
        <f t="shared" si="212"/>
        <v>0</v>
      </c>
      <c r="AJ2092">
        <f t="shared" si="213"/>
        <v>0</v>
      </c>
      <c r="AK2092">
        <v>0</v>
      </c>
      <c r="AL2092" t="str">
        <f>IF(AA2092="","",IFERROR(IF(ISNUMBER('Procyclean 220'!F94),'Procyclean 220'!F94,IF(ISNUMBER(SEARCH("12",'Procyclean 220'!F94)),EDATE(AB2092,12),IF(ISNUMBER(SEARCH("6",'Procyclean 220'!F94)),EDATE(AB2092,6),IF(ISNUMBER(SEARCH("3",'Procyclean 220'!F94)),EDATE(AB2092,3),DATEVALUE('Procyclean 220'!F94))))),""))</f>
        <v/>
      </c>
      <c r="AM2092" t="str">
        <f t="shared" ca="1" si="214"/>
        <v/>
      </c>
    </row>
    <row r="2093" spans="27:39" x14ac:dyDescent="0.3">
      <c r="AA2093" t="str">
        <f>IF(COUNTA('Procyclean 220'!C95,'Procyclean 220'!D95,'Procyclean 220'!E95)&gt;0,"220","")</f>
        <v/>
      </c>
      <c r="AB2093" t="str">
        <f>IFERROR(IF(ISNUMBER('Procyclean 220'!C95),'Procyclean 220'!C95,DATEVALUE('Procyclean 220'!C95)),"")</f>
        <v/>
      </c>
      <c r="AC2093" t="str">
        <f>IF(AA2093="","",'Procyclean 220'!D95)</f>
        <v/>
      </c>
      <c r="AD2093" t="str">
        <f>IF(AA2093="","",IFERROR(1*'Procyclean 220'!E95,IFERROR(_xludf.NUMBERVALUE('Procyclean 220'!E95,".",","),IFERROR(_xludf.NUMBERVALUE('Procyclean 220'!E95,",","."),0))))</f>
        <v/>
      </c>
      <c r="AE2093" t="str">
        <f>IF(AA2093="","",'Procyclean 220'!B95)</f>
        <v/>
      </c>
      <c r="AF2093">
        <f t="shared" si="209"/>
        <v>0</v>
      </c>
      <c r="AG2093" t="str">
        <f t="shared" si="210"/>
        <v/>
      </c>
      <c r="AH2093" t="str">
        <f t="shared" si="211"/>
        <v/>
      </c>
      <c r="AI2093">
        <f t="shared" si="212"/>
        <v>0</v>
      </c>
      <c r="AJ2093">
        <f t="shared" si="213"/>
        <v>0</v>
      </c>
      <c r="AK2093">
        <v>0</v>
      </c>
      <c r="AL2093" t="str">
        <f>IF(AA2093="","",IFERROR(IF(ISNUMBER('Procyclean 220'!F95),'Procyclean 220'!F95,IF(ISNUMBER(SEARCH("12",'Procyclean 220'!F95)),EDATE(AB2093,12),IF(ISNUMBER(SEARCH("6",'Procyclean 220'!F95)),EDATE(AB2093,6),IF(ISNUMBER(SEARCH("3",'Procyclean 220'!F95)),EDATE(AB2093,3),DATEVALUE('Procyclean 220'!F95))))),""))</f>
        <v/>
      </c>
      <c r="AM2093" t="str">
        <f t="shared" ca="1" si="214"/>
        <v/>
      </c>
    </row>
    <row r="2094" spans="27:39" x14ac:dyDescent="0.3">
      <c r="AA2094" t="str">
        <f>IF(COUNTA('Procyclean 220'!C96,'Procyclean 220'!D96,'Procyclean 220'!E96)&gt;0,"220","")</f>
        <v/>
      </c>
      <c r="AB2094" t="str">
        <f>IFERROR(IF(ISNUMBER('Procyclean 220'!C96),'Procyclean 220'!C96,DATEVALUE('Procyclean 220'!C96)),"")</f>
        <v/>
      </c>
      <c r="AC2094" t="str">
        <f>IF(AA2094="","",'Procyclean 220'!D96)</f>
        <v/>
      </c>
      <c r="AD2094" t="str">
        <f>IF(AA2094="","",IFERROR(1*'Procyclean 220'!E96,IFERROR(_xludf.NUMBERVALUE('Procyclean 220'!E96,".",","),IFERROR(_xludf.NUMBERVALUE('Procyclean 220'!E96,",","."),0))))</f>
        <v/>
      </c>
      <c r="AE2094" t="str">
        <f>IF(AA2094="","",'Procyclean 220'!B96)</f>
        <v/>
      </c>
      <c r="AF2094">
        <f t="shared" si="209"/>
        <v>0</v>
      </c>
      <c r="AG2094" t="str">
        <f t="shared" si="210"/>
        <v/>
      </c>
      <c r="AH2094" t="str">
        <f t="shared" si="211"/>
        <v/>
      </c>
      <c r="AI2094">
        <f t="shared" si="212"/>
        <v>0</v>
      </c>
      <c r="AJ2094">
        <f t="shared" si="213"/>
        <v>0</v>
      </c>
      <c r="AK2094">
        <v>0</v>
      </c>
      <c r="AL2094" t="str">
        <f>IF(AA2094="","",IFERROR(IF(ISNUMBER('Procyclean 220'!F96),'Procyclean 220'!F96,IF(ISNUMBER(SEARCH("12",'Procyclean 220'!F96)),EDATE(AB2094,12),IF(ISNUMBER(SEARCH("6",'Procyclean 220'!F96)),EDATE(AB2094,6),IF(ISNUMBER(SEARCH("3",'Procyclean 220'!F96)),EDATE(AB2094,3),DATEVALUE('Procyclean 220'!F96))))),""))</f>
        <v/>
      </c>
      <c r="AM2094" t="str">
        <f t="shared" ca="1" si="214"/>
        <v/>
      </c>
    </row>
    <row r="2095" spans="27:39" x14ac:dyDescent="0.3">
      <c r="AA2095" t="str">
        <f>IF(COUNTA('Procyclean 220'!C97,'Procyclean 220'!D97,'Procyclean 220'!E97)&gt;0,"220","")</f>
        <v/>
      </c>
      <c r="AB2095" t="str">
        <f>IFERROR(IF(ISNUMBER('Procyclean 220'!C97),'Procyclean 220'!C97,DATEVALUE('Procyclean 220'!C97)),"")</f>
        <v/>
      </c>
      <c r="AC2095" t="str">
        <f>IF(AA2095="","",'Procyclean 220'!D97)</f>
        <v/>
      </c>
      <c r="AD2095" t="str">
        <f>IF(AA2095="","",IFERROR(1*'Procyclean 220'!E97,IFERROR(_xludf.NUMBERVALUE('Procyclean 220'!E97,".",","),IFERROR(_xludf.NUMBERVALUE('Procyclean 220'!E97,",","."),0))))</f>
        <v/>
      </c>
      <c r="AE2095" t="str">
        <f>IF(AA2095="","",'Procyclean 220'!B97)</f>
        <v/>
      </c>
      <c r="AF2095">
        <f t="shared" si="209"/>
        <v>0</v>
      </c>
      <c r="AG2095" t="str">
        <f t="shared" si="210"/>
        <v/>
      </c>
      <c r="AH2095" t="str">
        <f t="shared" si="211"/>
        <v/>
      </c>
      <c r="AI2095">
        <f t="shared" si="212"/>
        <v>0</v>
      </c>
      <c r="AJ2095">
        <f t="shared" si="213"/>
        <v>0</v>
      </c>
      <c r="AK2095">
        <v>0</v>
      </c>
      <c r="AL2095" t="str">
        <f>IF(AA2095="","",IFERROR(IF(ISNUMBER('Procyclean 220'!F97),'Procyclean 220'!F97,IF(ISNUMBER(SEARCH("12",'Procyclean 220'!F97)),EDATE(AB2095,12),IF(ISNUMBER(SEARCH("6",'Procyclean 220'!F97)),EDATE(AB2095,6),IF(ISNUMBER(SEARCH("3",'Procyclean 220'!F97)),EDATE(AB2095,3),DATEVALUE('Procyclean 220'!F97))))),""))</f>
        <v/>
      </c>
      <c r="AM2095" t="str">
        <f t="shared" ca="1" si="214"/>
        <v/>
      </c>
    </row>
    <row r="2096" spans="27:39" x14ac:dyDescent="0.3">
      <c r="AA2096" t="str">
        <f>IF(COUNTA('Procyclean 220'!C98,'Procyclean 220'!D98,'Procyclean 220'!E98)&gt;0,"220","")</f>
        <v/>
      </c>
      <c r="AB2096" t="str">
        <f>IFERROR(IF(ISNUMBER('Procyclean 220'!C98),'Procyclean 220'!C98,DATEVALUE('Procyclean 220'!C98)),"")</f>
        <v/>
      </c>
      <c r="AC2096" t="str">
        <f>IF(AA2096="","",'Procyclean 220'!D98)</f>
        <v/>
      </c>
      <c r="AD2096" t="str">
        <f>IF(AA2096="","",IFERROR(1*'Procyclean 220'!E98,IFERROR(_xludf.NUMBERVALUE('Procyclean 220'!E98,".",","),IFERROR(_xludf.NUMBERVALUE('Procyclean 220'!E98,",","."),0))))</f>
        <v/>
      </c>
      <c r="AE2096" t="str">
        <f>IF(AA2096="","",'Procyclean 220'!B98)</f>
        <v/>
      </c>
      <c r="AF2096">
        <f t="shared" si="209"/>
        <v>0</v>
      </c>
      <c r="AG2096" t="str">
        <f t="shared" si="210"/>
        <v/>
      </c>
      <c r="AH2096" t="str">
        <f t="shared" si="211"/>
        <v/>
      </c>
      <c r="AI2096">
        <f t="shared" si="212"/>
        <v>0</v>
      </c>
      <c r="AJ2096">
        <f t="shared" si="213"/>
        <v>0</v>
      </c>
      <c r="AK2096">
        <v>0</v>
      </c>
      <c r="AL2096" t="str">
        <f>IF(AA2096="","",IFERROR(IF(ISNUMBER('Procyclean 220'!F98),'Procyclean 220'!F98,IF(ISNUMBER(SEARCH("12",'Procyclean 220'!F98)),EDATE(AB2096,12),IF(ISNUMBER(SEARCH("6",'Procyclean 220'!F98)),EDATE(AB2096,6),IF(ISNUMBER(SEARCH("3",'Procyclean 220'!F98)),EDATE(AB2096,3),DATEVALUE('Procyclean 220'!F98))))),""))</f>
        <v/>
      </c>
      <c r="AM2096" t="str">
        <f t="shared" ca="1" si="214"/>
        <v/>
      </c>
    </row>
    <row r="2097" spans="27:39" x14ac:dyDescent="0.3">
      <c r="AA2097" t="str">
        <f>IF(COUNTA('Procyclean 220'!C99,'Procyclean 220'!D99,'Procyclean 220'!E99)&gt;0,"220","")</f>
        <v/>
      </c>
      <c r="AB2097" t="str">
        <f>IFERROR(IF(ISNUMBER('Procyclean 220'!C99),'Procyclean 220'!C99,DATEVALUE('Procyclean 220'!C99)),"")</f>
        <v/>
      </c>
      <c r="AC2097" t="str">
        <f>IF(AA2097="","",'Procyclean 220'!D99)</f>
        <v/>
      </c>
      <c r="AD2097" t="str">
        <f>IF(AA2097="","",IFERROR(1*'Procyclean 220'!E99,IFERROR(_xludf.NUMBERVALUE('Procyclean 220'!E99,".",","),IFERROR(_xludf.NUMBERVALUE('Procyclean 220'!E99,",","."),0))))</f>
        <v/>
      </c>
      <c r="AE2097" t="str">
        <f>IF(AA2097="","",'Procyclean 220'!B99)</f>
        <v/>
      </c>
      <c r="AF2097">
        <f t="shared" si="209"/>
        <v>0</v>
      </c>
      <c r="AG2097" t="str">
        <f t="shared" si="210"/>
        <v/>
      </c>
      <c r="AH2097" t="str">
        <f t="shared" si="211"/>
        <v/>
      </c>
      <c r="AI2097">
        <f t="shared" si="212"/>
        <v>0</v>
      </c>
      <c r="AJ2097">
        <f t="shared" si="213"/>
        <v>0</v>
      </c>
      <c r="AK2097">
        <v>0</v>
      </c>
      <c r="AL2097" t="str">
        <f>IF(AA2097="","",IFERROR(IF(ISNUMBER('Procyclean 220'!F99),'Procyclean 220'!F99,IF(ISNUMBER(SEARCH("12",'Procyclean 220'!F99)),EDATE(AB2097,12),IF(ISNUMBER(SEARCH("6",'Procyclean 220'!F99)),EDATE(AB2097,6),IF(ISNUMBER(SEARCH("3",'Procyclean 220'!F99)),EDATE(AB2097,3),DATEVALUE('Procyclean 220'!F99))))),""))</f>
        <v/>
      </c>
      <c r="AM2097" t="str">
        <f t="shared" ca="1" si="214"/>
        <v/>
      </c>
    </row>
    <row r="2098" spans="27:39" x14ac:dyDescent="0.3">
      <c r="AA2098" t="str">
        <f>IF(COUNTA('Procyclean 220'!C100,'Procyclean 220'!D100,'Procyclean 220'!E100)&gt;0,"220","")</f>
        <v/>
      </c>
      <c r="AB2098" t="str">
        <f>IFERROR(IF(ISNUMBER('Procyclean 220'!C100),'Procyclean 220'!C100,DATEVALUE('Procyclean 220'!C100)),"")</f>
        <v/>
      </c>
      <c r="AC2098" t="str">
        <f>IF(AA2098="","",'Procyclean 220'!D100)</f>
        <v/>
      </c>
      <c r="AD2098" t="str">
        <f>IF(AA2098="","",IFERROR(1*'Procyclean 220'!E100,IFERROR(_xludf.NUMBERVALUE('Procyclean 220'!E100,".",","),IFERROR(_xludf.NUMBERVALUE('Procyclean 220'!E100,",","."),0))))</f>
        <v/>
      </c>
      <c r="AE2098" t="str">
        <f>IF(AA2098="","",'Procyclean 220'!B100)</f>
        <v/>
      </c>
      <c r="AF2098">
        <f t="shared" si="209"/>
        <v>0</v>
      </c>
      <c r="AG2098" t="str">
        <f t="shared" si="210"/>
        <v/>
      </c>
      <c r="AH2098" t="str">
        <f t="shared" si="211"/>
        <v/>
      </c>
      <c r="AI2098">
        <f t="shared" si="212"/>
        <v>0</v>
      </c>
      <c r="AJ2098">
        <f t="shared" si="213"/>
        <v>0</v>
      </c>
      <c r="AK2098">
        <v>0</v>
      </c>
      <c r="AL2098" t="str">
        <f>IF(AA2098="","",IFERROR(IF(ISNUMBER('Procyclean 220'!F100),'Procyclean 220'!F100,IF(ISNUMBER(SEARCH("12",'Procyclean 220'!F100)),EDATE(AB2098,12),IF(ISNUMBER(SEARCH("6",'Procyclean 220'!F100)),EDATE(AB2098,6),IF(ISNUMBER(SEARCH("3",'Procyclean 220'!F100)),EDATE(AB2098,3),DATEVALUE('Procyclean 220'!F100))))),""))</f>
        <v/>
      </c>
      <c r="AM2098" t="str">
        <f t="shared" ca="1" si="214"/>
        <v/>
      </c>
    </row>
    <row r="2099" spans="27:39" x14ac:dyDescent="0.3">
      <c r="AA2099" t="str">
        <f>IF(COUNTA('Procyclean 220'!C101,'Procyclean 220'!D101,'Procyclean 220'!E101)&gt;0,"220","")</f>
        <v/>
      </c>
      <c r="AB2099" t="str">
        <f>IFERROR(IF(ISNUMBER('Procyclean 220'!C101),'Procyclean 220'!C101,DATEVALUE('Procyclean 220'!C101)),"")</f>
        <v/>
      </c>
      <c r="AC2099" t="str">
        <f>IF(AA2099="","",'Procyclean 220'!D101)</f>
        <v/>
      </c>
      <c r="AD2099" t="str">
        <f>IF(AA2099="","",IFERROR(1*'Procyclean 220'!E101,IFERROR(_xludf.NUMBERVALUE('Procyclean 220'!E101,".",","),IFERROR(_xludf.NUMBERVALUE('Procyclean 220'!E101,",","."),0))))</f>
        <v/>
      </c>
      <c r="AE2099" t="str">
        <f>IF(AA2099="","",'Procyclean 220'!B101)</f>
        <v/>
      </c>
      <c r="AF2099">
        <f t="shared" si="209"/>
        <v>0</v>
      </c>
      <c r="AG2099" t="str">
        <f t="shared" si="210"/>
        <v/>
      </c>
      <c r="AH2099" t="str">
        <f t="shared" si="211"/>
        <v/>
      </c>
      <c r="AI2099">
        <f t="shared" si="212"/>
        <v>0</v>
      </c>
      <c r="AJ2099">
        <f t="shared" si="213"/>
        <v>0</v>
      </c>
      <c r="AK2099">
        <v>0</v>
      </c>
      <c r="AL2099" t="str">
        <f>IF(AA2099="","",IFERROR(IF(ISNUMBER('Procyclean 220'!F101),'Procyclean 220'!F101,IF(ISNUMBER(SEARCH("12",'Procyclean 220'!F101)),EDATE(AB2099,12),IF(ISNUMBER(SEARCH("6",'Procyclean 220'!F101)),EDATE(AB2099,6),IF(ISNUMBER(SEARCH("3",'Procyclean 220'!F101)),EDATE(AB2099,3),DATEVALUE('Procyclean 220'!F101))))),""))</f>
        <v/>
      </c>
      <c r="AM2099" t="str">
        <f t="shared" ca="1" si="214"/>
        <v/>
      </c>
    </row>
    <row r="2100" spans="27:39" x14ac:dyDescent="0.3">
      <c r="AA2100" t="str">
        <f>IF(COUNTA('Procyclean 220'!C102,'Procyclean 220'!D102,'Procyclean 220'!E102)&gt;0,"220","")</f>
        <v/>
      </c>
      <c r="AB2100" t="str">
        <f>IFERROR(IF(ISNUMBER('Procyclean 220'!C102),'Procyclean 220'!C102,DATEVALUE('Procyclean 220'!C102)),"")</f>
        <v/>
      </c>
      <c r="AC2100" t="str">
        <f>IF(AA2100="","",'Procyclean 220'!D102)</f>
        <v/>
      </c>
      <c r="AD2100" t="str">
        <f>IF(AA2100="","",IFERROR(1*'Procyclean 220'!E102,IFERROR(_xludf.NUMBERVALUE('Procyclean 220'!E102,".",","),IFERROR(_xludf.NUMBERVALUE('Procyclean 220'!E102,",","."),0))))</f>
        <v/>
      </c>
      <c r="AE2100" t="str">
        <f>IF(AA2100="","",'Procyclean 220'!B102)</f>
        <v/>
      </c>
      <c r="AF2100">
        <f t="shared" si="209"/>
        <v>0</v>
      </c>
      <c r="AG2100" t="str">
        <f t="shared" si="210"/>
        <v/>
      </c>
      <c r="AH2100" t="str">
        <f t="shared" si="211"/>
        <v/>
      </c>
      <c r="AI2100">
        <f t="shared" si="212"/>
        <v>0</v>
      </c>
      <c r="AJ2100">
        <f t="shared" si="213"/>
        <v>0</v>
      </c>
      <c r="AK2100">
        <v>0</v>
      </c>
      <c r="AL2100" t="str">
        <f>IF(AA2100="","",IFERROR(IF(ISNUMBER('Procyclean 220'!F102),'Procyclean 220'!F102,IF(ISNUMBER(SEARCH("12",'Procyclean 220'!F102)),EDATE(AB2100,12),IF(ISNUMBER(SEARCH("6",'Procyclean 220'!F102)),EDATE(AB2100,6),IF(ISNUMBER(SEARCH("3",'Procyclean 220'!F102)),EDATE(AB2100,3),DATEVALUE('Procyclean 220'!F102))))),""))</f>
        <v/>
      </c>
      <c r="AM2100" t="str">
        <f t="shared" ca="1" si="214"/>
        <v/>
      </c>
    </row>
    <row r="2101" spans="27:39" x14ac:dyDescent="0.3">
      <c r="AA2101" t="str">
        <f>IF(COUNTA('Procyclean 220'!C103,'Procyclean 220'!D103,'Procyclean 220'!E103)&gt;0,"220","")</f>
        <v/>
      </c>
      <c r="AB2101" t="str">
        <f>IFERROR(IF(ISNUMBER('Procyclean 220'!C103),'Procyclean 220'!C103,DATEVALUE('Procyclean 220'!C103)),"")</f>
        <v/>
      </c>
      <c r="AC2101" t="str">
        <f>IF(AA2101="","",'Procyclean 220'!D103)</f>
        <v/>
      </c>
      <c r="AD2101" t="str">
        <f>IF(AA2101="","",IFERROR(1*'Procyclean 220'!E103,IFERROR(_xludf.NUMBERVALUE('Procyclean 220'!E103,".",","),IFERROR(_xludf.NUMBERVALUE('Procyclean 220'!E103,",","."),0))))</f>
        <v/>
      </c>
      <c r="AE2101" t="str">
        <f>IF(AA2101="","",'Procyclean 220'!B103)</f>
        <v/>
      </c>
      <c r="AF2101">
        <f t="shared" si="209"/>
        <v>0</v>
      </c>
      <c r="AG2101" t="str">
        <f t="shared" si="210"/>
        <v/>
      </c>
      <c r="AH2101" t="str">
        <f t="shared" si="211"/>
        <v/>
      </c>
      <c r="AI2101">
        <f t="shared" si="212"/>
        <v>0</v>
      </c>
      <c r="AJ2101">
        <f t="shared" si="213"/>
        <v>0</v>
      </c>
      <c r="AK2101">
        <v>0</v>
      </c>
      <c r="AL2101" t="str">
        <f>IF(AA2101="","",IFERROR(IF(ISNUMBER('Procyclean 220'!F103),'Procyclean 220'!F103,IF(ISNUMBER(SEARCH("12",'Procyclean 220'!F103)),EDATE(AB2101,12),IF(ISNUMBER(SEARCH("6",'Procyclean 220'!F103)),EDATE(AB2101,6),IF(ISNUMBER(SEARCH("3",'Procyclean 220'!F103)),EDATE(AB2101,3),DATEVALUE('Procyclean 220'!F103))))),""))</f>
        <v/>
      </c>
      <c r="AM2101" t="str">
        <f t="shared" ca="1" si="214"/>
        <v/>
      </c>
    </row>
    <row r="2102" spans="27:39" x14ac:dyDescent="0.3">
      <c r="AA2102" t="str">
        <f>IF(COUNTA('Procyclean 220'!C104,'Procyclean 220'!D104,'Procyclean 220'!E104)&gt;0,"220","")</f>
        <v/>
      </c>
      <c r="AB2102" t="str">
        <f>IFERROR(IF(ISNUMBER('Procyclean 220'!C104),'Procyclean 220'!C104,DATEVALUE('Procyclean 220'!C104)),"")</f>
        <v/>
      </c>
      <c r="AC2102" t="str">
        <f>IF(AA2102="","",'Procyclean 220'!D104)</f>
        <v/>
      </c>
      <c r="AD2102" t="str">
        <f>IF(AA2102="","",IFERROR(1*'Procyclean 220'!E104,IFERROR(_xludf.NUMBERVALUE('Procyclean 220'!E104,".",","),IFERROR(_xludf.NUMBERVALUE('Procyclean 220'!E104,",","."),0))))</f>
        <v/>
      </c>
      <c r="AE2102" t="str">
        <f>IF(AA2102="","",'Procyclean 220'!B104)</f>
        <v/>
      </c>
      <c r="AF2102">
        <f t="shared" si="209"/>
        <v>0</v>
      </c>
      <c r="AG2102" t="str">
        <f t="shared" si="210"/>
        <v/>
      </c>
      <c r="AH2102" t="str">
        <f t="shared" si="211"/>
        <v/>
      </c>
      <c r="AI2102">
        <f t="shared" si="212"/>
        <v>0</v>
      </c>
      <c r="AJ2102">
        <f t="shared" si="213"/>
        <v>0</v>
      </c>
      <c r="AK2102">
        <v>0</v>
      </c>
      <c r="AL2102" t="str">
        <f>IF(AA2102="","",IFERROR(IF(ISNUMBER('Procyclean 220'!F104),'Procyclean 220'!F104,IF(ISNUMBER(SEARCH("12",'Procyclean 220'!F104)),EDATE(AB2102,12),IF(ISNUMBER(SEARCH("6",'Procyclean 220'!F104)),EDATE(AB2102,6),IF(ISNUMBER(SEARCH("3",'Procyclean 220'!F104)),EDATE(AB2102,3),DATEVALUE('Procyclean 220'!F104))))),""))</f>
        <v/>
      </c>
      <c r="AM2102" t="str">
        <f t="shared" ca="1" si="214"/>
        <v/>
      </c>
    </row>
    <row r="2103" spans="27:39" x14ac:dyDescent="0.3">
      <c r="AA2103" t="str">
        <f>IF(COUNTA('Procyclean 220'!C105,'Procyclean 220'!D105,'Procyclean 220'!E105)&gt;0,"220","")</f>
        <v/>
      </c>
      <c r="AB2103" t="str">
        <f>IFERROR(IF(ISNUMBER('Procyclean 220'!C105),'Procyclean 220'!C105,DATEVALUE('Procyclean 220'!C105)),"")</f>
        <v/>
      </c>
      <c r="AC2103" t="str">
        <f>IF(AA2103="","",'Procyclean 220'!D105)</f>
        <v/>
      </c>
      <c r="AD2103" t="str">
        <f>IF(AA2103="","",IFERROR(1*'Procyclean 220'!E105,IFERROR(_xludf.NUMBERVALUE('Procyclean 220'!E105,".",","),IFERROR(_xludf.NUMBERVALUE('Procyclean 220'!E105,",","."),0))))</f>
        <v/>
      </c>
      <c r="AE2103" t="str">
        <f>IF(AA2103="","",'Procyclean 220'!B105)</f>
        <v/>
      </c>
      <c r="AF2103">
        <f t="shared" si="209"/>
        <v>0</v>
      </c>
      <c r="AG2103" t="str">
        <f t="shared" si="210"/>
        <v/>
      </c>
      <c r="AH2103" t="str">
        <f t="shared" si="211"/>
        <v/>
      </c>
      <c r="AI2103">
        <f t="shared" si="212"/>
        <v>0</v>
      </c>
      <c r="AJ2103">
        <f t="shared" si="213"/>
        <v>0</v>
      </c>
      <c r="AK2103">
        <v>0</v>
      </c>
      <c r="AL2103" t="str">
        <f>IF(AA2103="","",IFERROR(IF(ISNUMBER('Procyclean 220'!F105),'Procyclean 220'!F105,IF(ISNUMBER(SEARCH("12",'Procyclean 220'!F105)),EDATE(AB2103,12),IF(ISNUMBER(SEARCH("6",'Procyclean 220'!F105)),EDATE(AB2103,6),IF(ISNUMBER(SEARCH("3",'Procyclean 220'!F105)),EDATE(AB2103,3),DATEVALUE('Procyclean 220'!F105))))),""))</f>
        <v/>
      </c>
      <c r="AM2103" t="str">
        <f t="shared" ca="1" si="214"/>
        <v/>
      </c>
    </row>
    <row r="2104" spans="27:39" x14ac:dyDescent="0.3">
      <c r="AA2104" t="str">
        <f>IF(COUNTA('Procyclean 220'!C106,'Procyclean 220'!D106,'Procyclean 220'!E106)&gt;0,"220","")</f>
        <v/>
      </c>
      <c r="AB2104" t="str">
        <f>IFERROR(IF(ISNUMBER('Procyclean 220'!C106),'Procyclean 220'!C106,DATEVALUE('Procyclean 220'!C106)),"")</f>
        <v/>
      </c>
      <c r="AC2104" t="str">
        <f>IF(AA2104="","",'Procyclean 220'!D106)</f>
        <v/>
      </c>
      <c r="AD2104" t="str">
        <f>IF(AA2104="","",IFERROR(1*'Procyclean 220'!E106,IFERROR(_xludf.NUMBERVALUE('Procyclean 220'!E106,".",","),IFERROR(_xludf.NUMBERVALUE('Procyclean 220'!E106,",","."),0))))</f>
        <v/>
      </c>
      <c r="AE2104" t="str">
        <f>IF(AA2104="","",'Procyclean 220'!B106)</f>
        <v/>
      </c>
      <c r="AF2104">
        <f t="shared" si="209"/>
        <v>0</v>
      </c>
      <c r="AG2104" t="str">
        <f t="shared" si="210"/>
        <v/>
      </c>
      <c r="AH2104" t="str">
        <f t="shared" si="211"/>
        <v/>
      </c>
      <c r="AI2104">
        <f t="shared" si="212"/>
        <v>0</v>
      </c>
      <c r="AJ2104">
        <f t="shared" si="213"/>
        <v>0</v>
      </c>
      <c r="AK2104">
        <v>0</v>
      </c>
      <c r="AL2104" t="str">
        <f>IF(AA2104="","",IFERROR(IF(ISNUMBER('Procyclean 220'!F106),'Procyclean 220'!F106,IF(ISNUMBER(SEARCH("12",'Procyclean 220'!F106)),EDATE(AB2104,12),IF(ISNUMBER(SEARCH("6",'Procyclean 220'!F106)),EDATE(AB2104,6),IF(ISNUMBER(SEARCH("3",'Procyclean 220'!F106)),EDATE(AB2104,3),DATEVALUE('Procyclean 220'!F106))))),""))</f>
        <v/>
      </c>
      <c r="AM2104" t="str">
        <f t="shared" ca="1" si="214"/>
        <v/>
      </c>
    </row>
    <row r="2105" spans="27:39" x14ac:dyDescent="0.3">
      <c r="AA2105" t="str">
        <f>IF(COUNTA('Procyclean 220'!C107,'Procyclean 220'!D107,'Procyclean 220'!E107)&gt;0,"220","")</f>
        <v/>
      </c>
      <c r="AB2105" t="str">
        <f>IFERROR(IF(ISNUMBER('Procyclean 220'!C107),'Procyclean 220'!C107,DATEVALUE('Procyclean 220'!C107)),"")</f>
        <v/>
      </c>
      <c r="AC2105" t="str">
        <f>IF(AA2105="","",'Procyclean 220'!D107)</f>
        <v/>
      </c>
      <c r="AD2105" t="str">
        <f>IF(AA2105="","",IFERROR(1*'Procyclean 220'!E107,IFERROR(_xludf.NUMBERVALUE('Procyclean 220'!E107,".",","),IFERROR(_xludf.NUMBERVALUE('Procyclean 220'!E107,",","."),0))))</f>
        <v/>
      </c>
      <c r="AE2105" t="str">
        <f>IF(AA2105="","",'Procyclean 220'!B107)</f>
        <v/>
      </c>
      <c r="AF2105">
        <f t="shared" si="209"/>
        <v>0</v>
      </c>
      <c r="AG2105" t="str">
        <f t="shared" si="210"/>
        <v/>
      </c>
      <c r="AH2105" t="str">
        <f t="shared" si="211"/>
        <v/>
      </c>
      <c r="AI2105">
        <f t="shared" si="212"/>
        <v>0</v>
      </c>
      <c r="AJ2105">
        <f t="shared" si="213"/>
        <v>0</v>
      </c>
      <c r="AK2105">
        <v>0</v>
      </c>
      <c r="AL2105" t="str">
        <f>IF(AA2105="","",IFERROR(IF(ISNUMBER('Procyclean 220'!F107),'Procyclean 220'!F107,IF(ISNUMBER(SEARCH("12",'Procyclean 220'!F107)),EDATE(AB2105,12),IF(ISNUMBER(SEARCH("6",'Procyclean 220'!F107)),EDATE(AB2105,6),IF(ISNUMBER(SEARCH("3",'Procyclean 220'!F107)),EDATE(AB2105,3),DATEVALUE('Procyclean 220'!F107))))),""))</f>
        <v/>
      </c>
      <c r="AM2105" t="str">
        <f t="shared" ca="1" si="214"/>
        <v/>
      </c>
    </row>
    <row r="2106" spans="27:39" x14ac:dyDescent="0.3">
      <c r="AA2106" t="str">
        <f>IF(COUNTA('Procyclean 220'!C108,'Procyclean 220'!D108,'Procyclean 220'!E108)&gt;0,"220","")</f>
        <v/>
      </c>
      <c r="AB2106" t="str">
        <f>IFERROR(IF(ISNUMBER('Procyclean 220'!C108),'Procyclean 220'!C108,DATEVALUE('Procyclean 220'!C108)),"")</f>
        <v/>
      </c>
      <c r="AC2106" t="str">
        <f>IF(AA2106="","",'Procyclean 220'!D108)</f>
        <v/>
      </c>
      <c r="AD2106" t="str">
        <f>IF(AA2106="","",IFERROR(1*'Procyclean 220'!E108,IFERROR(_xludf.NUMBERVALUE('Procyclean 220'!E108,".",","),IFERROR(_xludf.NUMBERVALUE('Procyclean 220'!E108,",","."),0))))</f>
        <v/>
      </c>
      <c r="AE2106" t="str">
        <f>IF(AA2106="","",'Procyclean 220'!B108)</f>
        <v/>
      </c>
      <c r="AF2106">
        <f t="shared" si="209"/>
        <v>0</v>
      </c>
      <c r="AG2106" t="str">
        <f t="shared" si="210"/>
        <v/>
      </c>
      <c r="AH2106" t="str">
        <f t="shared" si="211"/>
        <v/>
      </c>
      <c r="AI2106">
        <f t="shared" si="212"/>
        <v>0</v>
      </c>
      <c r="AJ2106">
        <f t="shared" si="213"/>
        <v>0</v>
      </c>
      <c r="AK2106">
        <v>0</v>
      </c>
      <c r="AL2106" t="str">
        <f>IF(AA2106="","",IFERROR(IF(ISNUMBER('Procyclean 220'!F108),'Procyclean 220'!F108,IF(ISNUMBER(SEARCH("12",'Procyclean 220'!F108)),EDATE(AB2106,12),IF(ISNUMBER(SEARCH("6",'Procyclean 220'!F108)),EDATE(AB2106,6),IF(ISNUMBER(SEARCH("3",'Procyclean 220'!F108)),EDATE(AB2106,3),DATEVALUE('Procyclean 220'!F108))))),""))</f>
        <v/>
      </c>
      <c r="AM2106" t="str">
        <f t="shared" ca="1" si="214"/>
        <v/>
      </c>
    </row>
    <row r="2107" spans="27:39" x14ac:dyDescent="0.3">
      <c r="AA2107" t="str">
        <f>IF(COUNTA('Procyclean 220'!C109,'Procyclean 220'!D109,'Procyclean 220'!E109)&gt;0,"220","")</f>
        <v/>
      </c>
      <c r="AB2107" t="str">
        <f>IFERROR(IF(ISNUMBER('Procyclean 220'!C109),'Procyclean 220'!C109,DATEVALUE('Procyclean 220'!C109)),"")</f>
        <v/>
      </c>
      <c r="AC2107" t="str">
        <f>IF(AA2107="","",'Procyclean 220'!D109)</f>
        <v/>
      </c>
      <c r="AD2107" t="str">
        <f>IF(AA2107="","",IFERROR(1*'Procyclean 220'!E109,IFERROR(_xludf.NUMBERVALUE('Procyclean 220'!E109,".",","),IFERROR(_xludf.NUMBERVALUE('Procyclean 220'!E109,",","."),0))))</f>
        <v/>
      </c>
      <c r="AE2107" t="str">
        <f>IF(AA2107="","",'Procyclean 220'!B109)</f>
        <v/>
      </c>
      <c r="AF2107">
        <f t="shared" si="209"/>
        <v>0</v>
      </c>
      <c r="AG2107" t="str">
        <f t="shared" si="210"/>
        <v/>
      </c>
      <c r="AH2107" t="str">
        <f t="shared" si="211"/>
        <v/>
      </c>
      <c r="AI2107">
        <f t="shared" si="212"/>
        <v>0</v>
      </c>
      <c r="AJ2107">
        <f t="shared" si="213"/>
        <v>0</v>
      </c>
      <c r="AK2107">
        <v>0</v>
      </c>
      <c r="AL2107" t="str">
        <f>IF(AA2107="","",IFERROR(IF(ISNUMBER('Procyclean 220'!F109),'Procyclean 220'!F109,IF(ISNUMBER(SEARCH("12",'Procyclean 220'!F109)),EDATE(AB2107,12),IF(ISNUMBER(SEARCH("6",'Procyclean 220'!F109)),EDATE(AB2107,6),IF(ISNUMBER(SEARCH("3",'Procyclean 220'!F109)),EDATE(AB2107,3),DATEVALUE('Procyclean 220'!F109))))),""))</f>
        <v/>
      </c>
      <c r="AM2107" t="str">
        <f t="shared" ca="1" si="214"/>
        <v/>
      </c>
    </row>
    <row r="2108" spans="27:39" x14ac:dyDescent="0.3">
      <c r="AA2108" t="str">
        <f>IF(COUNTA('Procyclean 220'!C110,'Procyclean 220'!D110,'Procyclean 220'!E110)&gt;0,"220","")</f>
        <v/>
      </c>
      <c r="AB2108" t="str">
        <f>IFERROR(IF(ISNUMBER('Procyclean 220'!C110),'Procyclean 220'!C110,DATEVALUE('Procyclean 220'!C110)),"")</f>
        <v/>
      </c>
      <c r="AC2108" t="str">
        <f>IF(AA2108="","",'Procyclean 220'!D110)</f>
        <v/>
      </c>
      <c r="AD2108" t="str">
        <f>IF(AA2108="","",IFERROR(1*'Procyclean 220'!E110,IFERROR(_xludf.NUMBERVALUE('Procyclean 220'!E110,".",","),IFERROR(_xludf.NUMBERVALUE('Procyclean 220'!E110,",","."),0))))</f>
        <v/>
      </c>
      <c r="AE2108" t="str">
        <f>IF(AA2108="","",'Procyclean 220'!B110)</f>
        <v/>
      </c>
      <c r="AF2108">
        <f t="shared" si="209"/>
        <v>0</v>
      </c>
      <c r="AG2108" t="str">
        <f t="shared" si="210"/>
        <v/>
      </c>
      <c r="AH2108" t="str">
        <f t="shared" si="211"/>
        <v/>
      </c>
      <c r="AI2108">
        <f t="shared" si="212"/>
        <v>0</v>
      </c>
      <c r="AJ2108">
        <f t="shared" si="213"/>
        <v>0</v>
      </c>
      <c r="AK2108">
        <v>0</v>
      </c>
      <c r="AL2108" t="str">
        <f>IF(AA2108="","",IFERROR(IF(ISNUMBER('Procyclean 220'!F110),'Procyclean 220'!F110,IF(ISNUMBER(SEARCH("12",'Procyclean 220'!F110)),EDATE(AB2108,12),IF(ISNUMBER(SEARCH("6",'Procyclean 220'!F110)),EDATE(AB2108,6),IF(ISNUMBER(SEARCH("3",'Procyclean 220'!F110)),EDATE(AB2108,3),DATEVALUE('Procyclean 220'!F110))))),""))</f>
        <v/>
      </c>
      <c r="AM2108" t="str">
        <f t="shared" ca="1" si="214"/>
        <v/>
      </c>
    </row>
    <row r="2109" spans="27:39" x14ac:dyDescent="0.3">
      <c r="AA2109" t="str">
        <f>IF(COUNTA('Procyclean 220'!C111,'Procyclean 220'!D111,'Procyclean 220'!E111)&gt;0,"220","")</f>
        <v/>
      </c>
      <c r="AB2109" t="str">
        <f>IFERROR(IF(ISNUMBER('Procyclean 220'!C111),'Procyclean 220'!C111,DATEVALUE('Procyclean 220'!C111)),"")</f>
        <v/>
      </c>
      <c r="AC2109" t="str">
        <f>IF(AA2109="","",'Procyclean 220'!D111)</f>
        <v/>
      </c>
      <c r="AD2109" t="str">
        <f>IF(AA2109="","",IFERROR(1*'Procyclean 220'!E111,IFERROR(_xludf.NUMBERVALUE('Procyclean 220'!E111,".",","),IFERROR(_xludf.NUMBERVALUE('Procyclean 220'!E111,",","."),0))))</f>
        <v/>
      </c>
      <c r="AE2109" t="str">
        <f>IF(AA2109="","",'Procyclean 220'!B111)</f>
        <v/>
      </c>
      <c r="AF2109">
        <f t="shared" si="209"/>
        <v>0</v>
      </c>
      <c r="AG2109" t="str">
        <f t="shared" si="210"/>
        <v/>
      </c>
      <c r="AH2109" t="str">
        <f t="shared" si="211"/>
        <v/>
      </c>
      <c r="AI2109">
        <f t="shared" si="212"/>
        <v>0</v>
      </c>
      <c r="AJ2109">
        <f t="shared" si="213"/>
        <v>0</v>
      </c>
      <c r="AK2109">
        <v>0</v>
      </c>
      <c r="AL2109" t="str">
        <f>IF(AA2109="","",IFERROR(IF(ISNUMBER('Procyclean 220'!F111),'Procyclean 220'!F111,IF(ISNUMBER(SEARCH("12",'Procyclean 220'!F111)),EDATE(AB2109,12),IF(ISNUMBER(SEARCH("6",'Procyclean 220'!F111)),EDATE(AB2109,6),IF(ISNUMBER(SEARCH("3",'Procyclean 220'!F111)),EDATE(AB2109,3),DATEVALUE('Procyclean 220'!F111))))),""))</f>
        <v/>
      </c>
      <c r="AM2109" t="str">
        <f t="shared" ca="1" si="214"/>
        <v/>
      </c>
    </row>
    <row r="2110" spans="27:39" x14ac:dyDescent="0.3">
      <c r="AA2110" t="str">
        <f>IF(COUNTA('Procyclean 220'!C112,'Procyclean 220'!D112,'Procyclean 220'!E112)&gt;0,"220","")</f>
        <v/>
      </c>
      <c r="AB2110" t="str">
        <f>IFERROR(IF(ISNUMBER('Procyclean 220'!C112),'Procyclean 220'!C112,DATEVALUE('Procyclean 220'!C112)),"")</f>
        <v/>
      </c>
      <c r="AC2110" t="str">
        <f>IF(AA2110="","",'Procyclean 220'!D112)</f>
        <v/>
      </c>
      <c r="AD2110" t="str">
        <f>IF(AA2110="","",IFERROR(1*'Procyclean 220'!E112,IFERROR(_xludf.NUMBERVALUE('Procyclean 220'!E112,".",","),IFERROR(_xludf.NUMBERVALUE('Procyclean 220'!E112,",","."),0))))</f>
        <v/>
      </c>
      <c r="AE2110" t="str">
        <f>IF(AA2110="","",'Procyclean 220'!B112)</f>
        <v/>
      </c>
      <c r="AF2110">
        <f t="shared" si="209"/>
        <v>0</v>
      </c>
      <c r="AG2110" t="str">
        <f t="shared" si="210"/>
        <v/>
      </c>
      <c r="AH2110" t="str">
        <f t="shared" si="211"/>
        <v/>
      </c>
      <c r="AI2110">
        <f t="shared" si="212"/>
        <v>0</v>
      </c>
      <c r="AJ2110">
        <f t="shared" si="213"/>
        <v>0</v>
      </c>
      <c r="AK2110">
        <v>0</v>
      </c>
      <c r="AL2110" t="str">
        <f>IF(AA2110="","",IFERROR(IF(ISNUMBER('Procyclean 220'!F112),'Procyclean 220'!F112,IF(ISNUMBER(SEARCH("12",'Procyclean 220'!F112)),EDATE(AB2110,12),IF(ISNUMBER(SEARCH("6",'Procyclean 220'!F112)),EDATE(AB2110,6),IF(ISNUMBER(SEARCH("3",'Procyclean 220'!F112)),EDATE(AB2110,3),DATEVALUE('Procyclean 220'!F112))))),""))</f>
        <v/>
      </c>
      <c r="AM2110" t="str">
        <f t="shared" ca="1" si="214"/>
        <v/>
      </c>
    </row>
    <row r="2111" spans="27:39" x14ac:dyDescent="0.3">
      <c r="AA2111" t="str">
        <f>IF(COUNTA('Procyclean 220'!C113,'Procyclean 220'!D113,'Procyclean 220'!E113)&gt;0,"220","")</f>
        <v/>
      </c>
      <c r="AB2111" t="str">
        <f>IFERROR(IF(ISNUMBER('Procyclean 220'!C113),'Procyclean 220'!C113,DATEVALUE('Procyclean 220'!C113)),"")</f>
        <v/>
      </c>
      <c r="AC2111" t="str">
        <f>IF(AA2111="","",'Procyclean 220'!D113)</f>
        <v/>
      </c>
      <c r="AD2111" t="str">
        <f>IF(AA2111="","",IFERROR(1*'Procyclean 220'!E113,IFERROR(_xludf.NUMBERVALUE('Procyclean 220'!E113,".",","),IFERROR(_xludf.NUMBERVALUE('Procyclean 220'!E113,",","."),0))))</f>
        <v/>
      </c>
      <c r="AE2111" t="str">
        <f>IF(AA2111="","",'Procyclean 220'!B113)</f>
        <v/>
      </c>
      <c r="AF2111">
        <f t="shared" si="209"/>
        <v>0</v>
      </c>
      <c r="AG2111" t="str">
        <f t="shared" si="210"/>
        <v/>
      </c>
      <c r="AH2111" t="str">
        <f t="shared" si="211"/>
        <v/>
      </c>
      <c r="AI2111">
        <f t="shared" si="212"/>
        <v>0</v>
      </c>
      <c r="AJ2111">
        <f t="shared" si="213"/>
        <v>0</v>
      </c>
      <c r="AK2111">
        <v>0</v>
      </c>
      <c r="AL2111" t="str">
        <f>IF(AA2111="","",IFERROR(IF(ISNUMBER('Procyclean 220'!F113),'Procyclean 220'!F113,IF(ISNUMBER(SEARCH("12",'Procyclean 220'!F113)),EDATE(AB2111,12),IF(ISNUMBER(SEARCH("6",'Procyclean 220'!F113)),EDATE(AB2111,6),IF(ISNUMBER(SEARCH("3",'Procyclean 220'!F113)),EDATE(AB2111,3),DATEVALUE('Procyclean 220'!F113))))),""))</f>
        <v/>
      </c>
      <c r="AM2111" t="str">
        <f t="shared" ca="1" si="214"/>
        <v/>
      </c>
    </row>
    <row r="2112" spans="27:39" x14ac:dyDescent="0.3">
      <c r="AA2112" t="str">
        <f>IF(COUNTA('Procyclean 220'!C114,'Procyclean 220'!D114,'Procyclean 220'!E114)&gt;0,"220","")</f>
        <v/>
      </c>
      <c r="AB2112" t="str">
        <f>IFERROR(IF(ISNUMBER('Procyclean 220'!C114),'Procyclean 220'!C114,DATEVALUE('Procyclean 220'!C114)),"")</f>
        <v/>
      </c>
      <c r="AC2112" t="str">
        <f>IF(AA2112="","",'Procyclean 220'!D114)</f>
        <v/>
      </c>
      <c r="AD2112" t="str">
        <f>IF(AA2112="","",IFERROR(1*'Procyclean 220'!E114,IFERROR(_xludf.NUMBERVALUE('Procyclean 220'!E114,".",","),IFERROR(_xludf.NUMBERVALUE('Procyclean 220'!E114,",","."),0))))</f>
        <v/>
      </c>
      <c r="AE2112" t="str">
        <f>IF(AA2112="","",'Procyclean 220'!B114)</f>
        <v/>
      </c>
      <c r="AF2112">
        <f t="shared" si="209"/>
        <v>0</v>
      </c>
      <c r="AG2112" t="str">
        <f t="shared" si="210"/>
        <v/>
      </c>
      <c r="AH2112" t="str">
        <f t="shared" si="211"/>
        <v/>
      </c>
      <c r="AI2112">
        <f t="shared" si="212"/>
        <v>0</v>
      </c>
      <c r="AJ2112">
        <f t="shared" si="213"/>
        <v>0</v>
      </c>
      <c r="AK2112">
        <v>0</v>
      </c>
      <c r="AL2112" t="str">
        <f>IF(AA2112="","",IFERROR(IF(ISNUMBER('Procyclean 220'!F114),'Procyclean 220'!F114,IF(ISNUMBER(SEARCH("12",'Procyclean 220'!F114)),EDATE(AB2112,12),IF(ISNUMBER(SEARCH("6",'Procyclean 220'!F114)),EDATE(AB2112,6),IF(ISNUMBER(SEARCH("3",'Procyclean 220'!F114)),EDATE(AB2112,3),DATEVALUE('Procyclean 220'!F114))))),""))</f>
        <v/>
      </c>
      <c r="AM2112" t="str">
        <f t="shared" ca="1" si="214"/>
        <v/>
      </c>
    </row>
    <row r="2113" spans="27:39" x14ac:dyDescent="0.3">
      <c r="AA2113" t="str">
        <f>IF(COUNTA('Procyclean 220'!C115,'Procyclean 220'!D115,'Procyclean 220'!E115)&gt;0,"220","")</f>
        <v/>
      </c>
      <c r="AB2113" t="str">
        <f>IFERROR(IF(ISNUMBER('Procyclean 220'!C115),'Procyclean 220'!C115,DATEVALUE('Procyclean 220'!C115)),"")</f>
        <v/>
      </c>
      <c r="AC2113" t="str">
        <f>IF(AA2113="","",'Procyclean 220'!D115)</f>
        <v/>
      </c>
      <c r="AD2113" t="str">
        <f>IF(AA2113="","",IFERROR(1*'Procyclean 220'!E115,IFERROR(_xludf.NUMBERVALUE('Procyclean 220'!E115,".",","),IFERROR(_xludf.NUMBERVALUE('Procyclean 220'!E115,",","."),0))))</f>
        <v/>
      </c>
      <c r="AE2113" t="str">
        <f>IF(AA2113="","",'Procyclean 220'!B115)</f>
        <v/>
      </c>
      <c r="AF2113">
        <f t="shared" si="209"/>
        <v>0</v>
      </c>
      <c r="AG2113" t="str">
        <f t="shared" si="210"/>
        <v/>
      </c>
      <c r="AH2113" t="str">
        <f t="shared" si="211"/>
        <v/>
      </c>
      <c r="AI2113">
        <f t="shared" si="212"/>
        <v>0</v>
      </c>
      <c r="AJ2113">
        <f t="shared" si="213"/>
        <v>0</v>
      </c>
      <c r="AK2113">
        <v>0</v>
      </c>
      <c r="AL2113" t="str">
        <f>IF(AA2113="","",IFERROR(IF(ISNUMBER('Procyclean 220'!F115),'Procyclean 220'!F115,IF(ISNUMBER(SEARCH("12",'Procyclean 220'!F115)),EDATE(AB2113,12),IF(ISNUMBER(SEARCH("6",'Procyclean 220'!F115)),EDATE(AB2113,6),IF(ISNUMBER(SEARCH("3",'Procyclean 220'!F115)),EDATE(AB2113,3),DATEVALUE('Procyclean 220'!F115))))),""))</f>
        <v/>
      </c>
      <c r="AM2113" t="str">
        <f t="shared" ca="1" si="214"/>
        <v/>
      </c>
    </row>
    <row r="2114" spans="27:39" x14ac:dyDescent="0.3">
      <c r="AA2114" t="str">
        <f>IF(COUNTA('Procyclean 220'!C116,'Procyclean 220'!D116,'Procyclean 220'!E116)&gt;0,"220","")</f>
        <v/>
      </c>
      <c r="AB2114" t="str">
        <f>IFERROR(IF(ISNUMBER('Procyclean 220'!C116),'Procyclean 220'!C116,DATEVALUE('Procyclean 220'!C116)),"")</f>
        <v/>
      </c>
      <c r="AC2114" t="str">
        <f>IF(AA2114="","",'Procyclean 220'!D116)</f>
        <v/>
      </c>
      <c r="AD2114" t="str">
        <f>IF(AA2114="","",IFERROR(1*'Procyclean 220'!E116,IFERROR(_xludf.NUMBERVALUE('Procyclean 220'!E116,".",","),IFERROR(_xludf.NUMBERVALUE('Procyclean 220'!E116,",","."),0))))</f>
        <v/>
      </c>
      <c r="AE2114" t="str">
        <f>IF(AA2114="","",'Procyclean 220'!B116)</f>
        <v/>
      </c>
      <c r="AF2114">
        <f t="shared" ref="AF2114:AF2177" si="215">IF(AA2114="",0,--AND(ISNUMBER(SEARCH("aprov",AE2114)),NOT(ISNUMBER(SEARCH("reprov",AE2114)))))</f>
        <v>0</v>
      </c>
      <c r="AG2114" t="str">
        <f t="shared" ref="AG2114:AG2177" si="216">IF(AB2114="","",YEAR(AB2114))</f>
        <v/>
      </c>
      <c r="AH2114" t="str">
        <f t="shared" ref="AH2114:AH2177" si="217">IF(AB2114="","",MONTH(AB2114))</f>
        <v/>
      </c>
      <c r="AI2114">
        <f t="shared" ref="AI2114:AI2177" si="218">IF(AB2114="",0,AB2114+ROW()/1000000)</f>
        <v>0</v>
      </c>
      <c r="AJ2114">
        <f t="shared" ref="AJ2114:AJ2177" si="219">--(AA2114&lt;&gt;"")</f>
        <v>0</v>
      </c>
      <c r="AK2114">
        <v>0</v>
      </c>
      <c r="AL2114" t="str">
        <f>IF(AA2114="","",IFERROR(IF(ISNUMBER('Procyclean 220'!F116),'Procyclean 220'!F116,IF(ISNUMBER(SEARCH("12",'Procyclean 220'!F116)),EDATE(AB2114,12),IF(ISNUMBER(SEARCH("6",'Procyclean 220'!F116)),EDATE(AB2114,6),IF(ISNUMBER(SEARCH("3",'Procyclean 220'!F116)),EDATE(AB2114,3),DATEVALUE('Procyclean 220'!F116))))),""))</f>
        <v/>
      </c>
      <c r="AM2114" t="str">
        <f t="shared" ref="AM2114:AM2177" ca="1" si="220">IF(AND(AJ2114=1,AL2114&lt;&gt;"",AL2114&gt;=TODAY(),AG2114=$W$3),AL2114+ROW()/1000000,"")</f>
        <v/>
      </c>
    </row>
    <row r="2115" spans="27:39" x14ac:dyDescent="0.3">
      <c r="AA2115" t="str">
        <f>IF(COUNTA('Procyclean 220'!C117,'Procyclean 220'!D117,'Procyclean 220'!E117)&gt;0,"220","")</f>
        <v/>
      </c>
      <c r="AB2115" t="str">
        <f>IFERROR(IF(ISNUMBER('Procyclean 220'!C117),'Procyclean 220'!C117,DATEVALUE('Procyclean 220'!C117)),"")</f>
        <v/>
      </c>
      <c r="AC2115" t="str">
        <f>IF(AA2115="","",'Procyclean 220'!D117)</f>
        <v/>
      </c>
      <c r="AD2115" t="str">
        <f>IF(AA2115="","",IFERROR(1*'Procyclean 220'!E117,IFERROR(_xludf.NUMBERVALUE('Procyclean 220'!E117,".",","),IFERROR(_xludf.NUMBERVALUE('Procyclean 220'!E117,",","."),0))))</f>
        <v/>
      </c>
      <c r="AE2115" t="str">
        <f>IF(AA2115="","",'Procyclean 220'!B117)</f>
        <v/>
      </c>
      <c r="AF2115">
        <f t="shared" si="215"/>
        <v>0</v>
      </c>
      <c r="AG2115" t="str">
        <f t="shared" si="216"/>
        <v/>
      </c>
      <c r="AH2115" t="str">
        <f t="shared" si="217"/>
        <v/>
      </c>
      <c r="AI2115">
        <f t="shared" si="218"/>
        <v>0</v>
      </c>
      <c r="AJ2115">
        <f t="shared" si="219"/>
        <v>0</v>
      </c>
      <c r="AK2115">
        <v>0</v>
      </c>
      <c r="AL2115" t="str">
        <f>IF(AA2115="","",IFERROR(IF(ISNUMBER('Procyclean 220'!F117),'Procyclean 220'!F117,IF(ISNUMBER(SEARCH("12",'Procyclean 220'!F117)),EDATE(AB2115,12),IF(ISNUMBER(SEARCH("6",'Procyclean 220'!F117)),EDATE(AB2115,6),IF(ISNUMBER(SEARCH("3",'Procyclean 220'!F117)),EDATE(AB2115,3),DATEVALUE('Procyclean 220'!F117))))),""))</f>
        <v/>
      </c>
      <c r="AM2115" t="str">
        <f t="shared" ca="1" si="220"/>
        <v/>
      </c>
    </row>
    <row r="2116" spans="27:39" x14ac:dyDescent="0.3">
      <c r="AA2116" t="str">
        <f>IF(COUNTA('Procyclean 220'!C118,'Procyclean 220'!D118,'Procyclean 220'!E118)&gt;0,"220","")</f>
        <v/>
      </c>
      <c r="AB2116" t="str">
        <f>IFERROR(IF(ISNUMBER('Procyclean 220'!C118),'Procyclean 220'!C118,DATEVALUE('Procyclean 220'!C118)),"")</f>
        <v/>
      </c>
      <c r="AC2116" t="str">
        <f>IF(AA2116="","",'Procyclean 220'!D118)</f>
        <v/>
      </c>
      <c r="AD2116" t="str">
        <f>IF(AA2116="","",IFERROR(1*'Procyclean 220'!E118,IFERROR(_xludf.NUMBERVALUE('Procyclean 220'!E118,".",","),IFERROR(_xludf.NUMBERVALUE('Procyclean 220'!E118,",","."),0))))</f>
        <v/>
      </c>
      <c r="AE2116" t="str">
        <f>IF(AA2116="","",'Procyclean 220'!B118)</f>
        <v/>
      </c>
      <c r="AF2116">
        <f t="shared" si="215"/>
        <v>0</v>
      </c>
      <c r="AG2116" t="str">
        <f t="shared" si="216"/>
        <v/>
      </c>
      <c r="AH2116" t="str">
        <f t="shared" si="217"/>
        <v/>
      </c>
      <c r="AI2116">
        <f t="shared" si="218"/>
        <v>0</v>
      </c>
      <c r="AJ2116">
        <f t="shared" si="219"/>
        <v>0</v>
      </c>
      <c r="AK2116">
        <v>0</v>
      </c>
      <c r="AL2116" t="str">
        <f>IF(AA2116="","",IFERROR(IF(ISNUMBER('Procyclean 220'!F118),'Procyclean 220'!F118,IF(ISNUMBER(SEARCH("12",'Procyclean 220'!F118)),EDATE(AB2116,12),IF(ISNUMBER(SEARCH("6",'Procyclean 220'!F118)),EDATE(AB2116,6),IF(ISNUMBER(SEARCH("3",'Procyclean 220'!F118)),EDATE(AB2116,3),DATEVALUE('Procyclean 220'!F118))))),""))</f>
        <v/>
      </c>
      <c r="AM2116" t="str">
        <f t="shared" ca="1" si="220"/>
        <v/>
      </c>
    </row>
    <row r="2117" spans="27:39" x14ac:dyDescent="0.3">
      <c r="AA2117" t="str">
        <f>IF(COUNTA('Procyclean 220'!C119,'Procyclean 220'!D119,'Procyclean 220'!E119)&gt;0,"220","")</f>
        <v/>
      </c>
      <c r="AB2117" t="str">
        <f>IFERROR(IF(ISNUMBER('Procyclean 220'!C119),'Procyclean 220'!C119,DATEVALUE('Procyclean 220'!C119)),"")</f>
        <v/>
      </c>
      <c r="AC2117" t="str">
        <f>IF(AA2117="","",'Procyclean 220'!D119)</f>
        <v/>
      </c>
      <c r="AD2117" t="str">
        <f>IF(AA2117="","",IFERROR(1*'Procyclean 220'!E119,IFERROR(_xludf.NUMBERVALUE('Procyclean 220'!E119,".",","),IFERROR(_xludf.NUMBERVALUE('Procyclean 220'!E119,",","."),0))))</f>
        <v/>
      </c>
      <c r="AE2117" t="str">
        <f>IF(AA2117="","",'Procyclean 220'!B119)</f>
        <v/>
      </c>
      <c r="AF2117">
        <f t="shared" si="215"/>
        <v>0</v>
      </c>
      <c r="AG2117" t="str">
        <f t="shared" si="216"/>
        <v/>
      </c>
      <c r="AH2117" t="str">
        <f t="shared" si="217"/>
        <v/>
      </c>
      <c r="AI2117">
        <f t="shared" si="218"/>
        <v>0</v>
      </c>
      <c r="AJ2117">
        <f t="shared" si="219"/>
        <v>0</v>
      </c>
      <c r="AK2117">
        <v>0</v>
      </c>
      <c r="AL2117" t="str">
        <f>IF(AA2117="","",IFERROR(IF(ISNUMBER('Procyclean 220'!F119),'Procyclean 220'!F119,IF(ISNUMBER(SEARCH("12",'Procyclean 220'!F119)),EDATE(AB2117,12),IF(ISNUMBER(SEARCH("6",'Procyclean 220'!F119)),EDATE(AB2117,6),IF(ISNUMBER(SEARCH("3",'Procyclean 220'!F119)),EDATE(AB2117,3),DATEVALUE('Procyclean 220'!F119))))),""))</f>
        <v/>
      </c>
      <c r="AM2117" t="str">
        <f t="shared" ca="1" si="220"/>
        <v/>
      </c>
    </row>
    <row r="2118" spans="27:39" x14ac:dyDescent="0.3">
      <c r="AA2118" t="str">
        <f>IF(COUNTA('Procyclean 220'!C120,'Procyclean 220'!D120,'Procyclean 220'!E120)&gt;0,"220","")</f>
        <v/>
      </c>
      <c r="AB2118" t="str">
        <f>IFERROR(IF(ISNUMBER('Procyclean 220'!C120),'Procyclean 220'!C120,DATEVALUE('Procyclean 220'!C120)),"")</f>
        <v/>
      </c>
      <c r="AC2118" t="str">
        <f>IF(AA2118="","",'Procyclean 220'!D120)</f>
        <v/>
      </c>
      <c r="AD2118" t="str">
        <f>IF(AA2118="","",IFERROR(1*'Procyclean 220'!E120,IFERROR(_xludf.NUMBERVALUE('Procyclean 220'!E120,".",","),IFERROR(_xludf.NUMBERVALUE('Procyclean 220'!E120,",","."),0))))</f>
        <v/>
      </c>
      <c r="AE2118" t="str">
        <f>IF(AA2118="","",'Procyclean 220'!B120)</f>
        <v/>
      </c>
      <c r="AF2118">
        <f t="shared" si="215"/>
        <v>0</v>
      </c>
      <c r="AG2118" t="str">
        <f t="shared" si="216"/>
        <v/>
      </c>
      <c r="AH2118" t="str">
        <f t="shared" si="217"/>
        <v/>
      </c>
      <c r="AI2118">
        <f t="shared" si="218"/>
        <v>0</v>
      </c>
      <c r="AJ2118">
        <f t="shared" si="219"/>
        <v>0</v>
      </c>
      <c r="AK2118">
        <v>0</v>
      </c>
      <c r="AL2118" t="str">
        <f>IF(AA2118="","",IFERROR(IF(ISNUMBER('Procyclean 220'!F120),'Procyclean 220'!F120,IF(ISNUMBER(SEARCH("12",'Procyclean 220'!F120)),EDATE(AB2118,12),IF(ISNUMBER(SEARCH("6",'Procyclean 220'!F120)),EDATE(AB2118,6),IF(ISNUMBER(SEARCH("3",'Procyclean 220'!F120)),EDATE(AB2118,3),DATEVALUE('Procyclean 220'!F120))))),""))</f>
        <v/>
      </c>
      <c r="AM2118" t="str">
        <f t="shared" ca="1" si="220"/>
        <v/>
      </c>
    </row>
    <row r="2119" spans="27:39" x14ac:dyDescent="0.3">
      <c r="AA2119" t="str">
        <f>IF(COUNTA('Procyclean 220'!C121,'Procyclean 220'!D121,'Procyclean 220'!E121)&gt;0,"220","")</f>
        <v/>
      </c>
      <c r="AB2119" t="str">
        <f>IFERROR(IF(ISNUMBER('Procyclean 220'!C121),'Procyclean 220'!C121,DATEVALUE('Procyclean 220'!C121)),"")</f>
        <v/>
      </c>
      <c r="AC2119" t="str">
        <f>IF(AA2119="","",'Procyclean 220'!D121)</f>
        <v/>
      </c>
      <c r="AD2119" t="str">
        <f>IF(AA2119="","",IFERROR(1*'Procyclean 220'!E121,IFERROR(_xludf.NUMBERVALUE('Procyclean 220'!E121,".",","),IFERROR(_xludf.NUMBERVALUE('Procyclean 220'!E121,",","."),0))))</f>
        <v/>
      </c>
      <c r="AE2119" t="str">
        <f>IF(AA2119="","",'Procyclean 220'!B121)</f>
        <v/>
      </c>
      <c r="AF2119">
        <f t="shared" si="215"/>
        <v>0</v>
      </c>
      <c r="AG2119" t="str">
        <f t="shared" si="216"/>
        <v/>
      </c>
      <c r="AH2119" t="str">
        <f t="shared" si="217"/>
        <v/>
      </c>
      <c r="AI2119">
        <f t="shared" si="218"/>
        <v>0</v>
      </c>
      <c r="AJ2119">
        <f t="shared" si="219"/>
        <v>0</v>
      </c>
      <c r="AK2119">
        <v>0</v>
      </c>
      <c r="AL2119" t="str">
        <f>IF(AA2119="","",IFERROR(IF(ISNUMBER('Procyclean 220'!F121),'Procyclean 220'!F121,IF(ISNUMBER(SEARCH("12",'Procyclean 220'!F121)),EDATE(AB2119,12),IF(ISNUMBER(SEARCH("6",'Procyclean 220'!F121)),EDATE(AB2119,6),IF(ISNUMBER(SEARCH("3",'Procyclean 220'!F121)),EDATE(AB2119,3),DATEVALUE('Procyclean 220'!F121))))),""))</f>
        <v/>
      </c>
      <c r="AM2119" t="str">
        <f t="shared" ca="1" si="220"/>
        <v/>
      </c>
    </row>
    <row r="2120" spans="27:39" x14ac:dyDescent="0.3">
      <c r="AA2120" t="str">
        <f>IF(COUNTA('Procyclean 220'!C122,'Procyclean 220'!D122,'Procyclean 220'!E122)&gt;0,"220","")</f>
        <v/>
      </c>
      <c r="AB2120" t="str">
        <f>IFERROR(IF(ISNUMBER('Procyclean 220'!C122),'Procyclean 220'!C122,DATEVALUE('Procyclean 220'!C122)),"")</f>
        <v/>
      </c>
      <c r="AC2120" t="str">
        <f>IF(AA2120="","",'Procyclean 220'!D122)</f>
        <v/>
      </c>
      <c r="AD2120" t="str">
        <f>IF(AA2120="","",IFERROR(1*'Procyclean 220'!E122,IFERROR(_xludf.NUMBERVALUE('Procyclean 220'!E122,".",","),IFERROR(_xludf.NUMBERVALUE('Procyclean 220'!E122,",","."),0))))</f>
        <v/>
      </c>
      <c r="AE2120" t="str">
        <f>IF(AA2120="","",'Procyclean 220'!B122)</f>
        <v/>
      </c>
      <c r="AF2120">
        <f t="shared" si="215"/>
        <v>0</v>
      </c>
      <c r="AG2120" t="str">
        <f t="shared" si="216"/>
        <v/>
      </c>
      <c r="AH2120" t="str">
        <f t="shared" si="217"/>
        <v/>
      </c>
      <c r="AI2120">
        <f t="shared" si="218"/>
        <v>0</v>
      </c>
      <c r="AJ2120">
        <f t="shared" si="219"/>
        <v>0</v>
      </c>
      <c r="AK2120">
        <v>0</v>
      </c>
      <c r="AL2120" t="str">
        <f>IF(AA2120="","",IFERROR(IF(ISNUMBER('Procyclean 220'!F122),'Procyclean 220'!F122,IF(ISNUMBER(SEARCH("12",'Procyclean 220'!F122)),EDATE(AB2120,12),IF(ISNUMBER(SEARCH("6",'Procyclean 220'!F122)),EDATE(AB2120,6),IF(ISNUMBER(SEARCH("3",'Procyclean 220'!F122)),EDATE(AB2120,3),DATEVALUE('Procyclean 220'!F122))))),""))</f>
        <v/>
      </c>
      <c r="AM2120" t="str">
        <f t="shared" ca="1" si="220"/>
        <v/>
      </c>
    </row>
    <row r="2121" spans="27:39" x14ac:dyDescent="0.3">
      <c r="AA2121" t="str">
        <f>IF(COUNTA('Procyclean 220'!C123,'Procyclean 220'!D123,'Procyclean 220'!E123)&gt;0,"220","")</f>
        <v/>
      </c>
      <c r="AB2121" t="str">
        <f>IFERROR(IF(ISNUMBER('Procyclean 220'!C123),'Procyclean 220'!C123,DATEVALUE('Procyclean 220'!C123)),"")</f>
        <v/>
      </c>
      <c r="AC2121" t="str">
        <f>IF(AA2121="","",'Procyclean 220'!D123)</f>
        <v/>
      </c>
      <c r="AD2121" t="str">
        <f>IF(AA2121="","",IFERROR(1*'Procyclean 220'!E123,IFERROR(_xludf.NUMBERVALUE('Procyclean 220'!E123,".",","),IFERROR(_xludf.NUMBERVALUE('Procyclean 220'!E123,",","."),0))))</f>
        <v/>
      </c>
      <c r="AE2121" t="str">
        <f>IF(AA2121="","",'Procyclean 220'!B123)</f>
        <v/>
      </c>
      <c r="AF2121">
        <f t="shared" si="215"/>
        <v>0</v>
      </c>
      <c r="AG2121" t="str">
        <f t="shared" si="216"/>
        <v/>
      </c>
      <c r="AH2121" t="str">
        <f t="shared" si="217"/>
        <v/>
      </c>
      <c r="AI2121">
        <f t="shared" si="218"/>
        <v>0</v>
      </c>
      <c r="AJ2121">
        <f t="shared" si="219"/>
        <v>0</v>
      </c>
      <c r="AK2121">
        <v>0</v>
      </c>
      <c r="AL2121" t="str">
        <f>IF(AA2121="","",IFERROR(IF(ISNUMBER('Procyclean 220'!F123),'Procyclean 220'!F123,IF(ISNUMBER(SEARCH("12",'Procyclean 220'!F123)),EDATE(AB2121,12),IF(ISNUMBER(SEARCH("6",'Procyclean 220'!F123)),EDATE(AB2121,6),IF(ISNUMBER(SEARCH("3",'Procyclean 220'!F123)),EDATE(AB2121,3),DATEVALUE('Procyclean 220'!F123))))),""))</f>
        <v/>
      </c>
      <c r="AM2121" t="str">
        <f t="shared" ca="1" si="220"/>
        <v/>
      </c>
    </row>
    <row r="2122" spans="27:39" x14ac:dyDescent="0.3">
      <c r="AA2122" t="str">
        <f>IF(COUNTA('Procyclean 220'!C124,'Procyclean 220'!D124,'Procyclean 220'!E124)&gt;0,"220","")</f>
        <v/>
      </c>
      <c r="AB2122" t="str">
        <f>IFERROR(IF(ISNUMBER('Procyclean 220'!C124),'Procyclean 220'!C124,DATEVALUE('Procyclean 220'!C124)),"")</f>
        <v/>
      </c>
      <c r="AC2122" t="str">
        <f>IF(AA2122="","",'Procyclean 220'!D124)</f>
        <v/>
      </c>
      <c r="AD2122" t="str">
        <f>IF(AA2122="","",IFERROR(1*'Procyclean 220'!E124,IFERROR(_xludf.NUMBERVALUE('Procyclean 220'!E124,".",","),IFERROR(_xludf.NUMBERVALUE('Procyclean 220'!E124,",","."),0))))</f>
        <v/>
      </c>
      <c r="AE2122" t="str">
        <f>IF(AA2122="","",'Procyclean 220'!B124)</f>
        <v/>
      </c>
      <c r="AF2122">
        <f t="shared" si="215"/>
        <v>0</v>
      </c>
      <c r="AG2122" t="str">
        <f t="shared" si="216"/>
        <v/>
      </c>
      <c r="AH2122" t="str">
        <f t="shared" si="217"/>
        <v/>
      </c>
      <c r="AI2122">
        <f t="shared" si="218"/>
        <v>0</v>
      </c>
      <c r="AJ2122">
        <f t="shared" si="219"/>
        <v>0</v>
      </c>
      <c r="AK2122">
        <v>0</v>
      </c>
      <c r="AL2122" t="str">
        <f>IF(AA2122="","",IFERROR(IF(ISNUMBER('Procyclean 220'!F124),'Procyclean 220'!F124,IF(ISNUMBER(SEARCH("12",'Procyclean 220'!F124)),EDATE(AB2122,12),IF(ISNUMBER(SEARCH("6",'Procyclean 220'!F124)),EDATE(AB2122,6),IF(ISNUMBER(SEARCH("3",'Procyclean 220'!F124)),EDATE(AB2122,3),DATEVALUE('Procyclean 220'!F124))))),""))</f>
        <v/>
      </c>
      <c r="AM2122" t="str">
        <f t="shared" ca="1" si="220"/>
        <v/>
      </c>
    </row>
    <row r="2123" spans="27:39" x14ac:dyDescent="0.3">
      <c r="AA2123" t="str">
        <f>IF(COUNTA('Procyclean 220'!C125,'Procyclean 220'!D125,'Procyclean 220'!E125)&gt;0,"220","")</f>
        <v/>
      </c>
      <c r="AB2123" t="str">
        <f>IFERROR(IF(ISNUMBER('Procyclean 220'!C125),'Procyclean 220'!C125,DATEVALUE('Procyclean 220'!C125)),"")</f>
        <v/>
      </c>
      <c r="AC2123" t="str">
        <f>IF(AA2123="","",'Procyclean 220'!D125)</f>
        <v/>
      </c>
      <c r="AD2123" t="str">
        <f>IF(AA2123="","",IFERROR(1*'Procyclean 220'!E125,IFERROR(_xludf.NUMBERVALUE('Procyclean 220'!E125,".",","),IFERROR(_xludf.NUMBERVALUE('Procyclean 220'!E125,",","."),0))))</f>
        <v/>
      </c>
      <c r="AE2123" t="str">
        <f>IF(AA2123="","",'Procyclean 220'!B125)</f>
        <v/>
      </c>
      <c r="AF2123">
        <f t="shared" si="215"/>
        <v>0</v>
      </c>
      <c r="AG2123" t="str">
        <f t="shared" si="216"/>
        <v/>
      </c>
      <c r="AH2123" t="str">
        <f t="shared" si="217"/>
        <v/>
      </c>
      <c r="AI2123">
        <f t="shared" si="218"/>
        <v>0</v>
      </c>
      <c r="AJ2123">
        <f t="shared" si="219"/>
        <v>0</v>
      </c>
      <c r="AK2123">
        <v>0</v>
      </c>
      <c r="AL2123" t="str">
        <f>IF(AA2123="","",IFERROR(IF(ISNUMBER('Procyclean 220'!F125),'Procyclean 220'!F125,IF(ISNUMBER(SEARCH("12",'Procyclean 220'!F125)),EDATE(AB2123,12),IF(ISNUMBER(SEARCH("6",'Procyclean 220'!F125)),EDATE(AB2123,6),IF(ISNUMBER(SEARCH("3",'Procyclean 220'!F125)),EDATE(AB2123,3),DATEVALUE('Procyclean 220'!F125))))),""))</f>
        <v/>
      </c>
      <c r="AM2123" t="str">
        <f t="shared" ca="1" si="220"/>
        <v/>
      </c>
    </row>
    <row r="2124" spans="27:39" x14ac:dyDescent="0.3">
      <c r="AA2124" t="str">
        <f>IF(COUNTA('Procyclean 220'!C126,'Procyclean 220'!D126,'Procyclean 220'!E126)&gt;0,"220","")</f>
        <v/>
      </c>
      <c r="AB2124" t="str">
        <f>IFERROR(IF(ISNUMBER('Procyclean 220'!C126),'Procyclean 220'!C126,DATEVALUE('Procyclean 220'!C126)),"")</f>
        <v/>
      </c>
      <c r="AC2124" t="str">
        <f>IF(AA2124="","",'Procyclean 220'!D126)</f>
        <v/>
      </c>
      <c r="AD2124" t="str">
        <f>IF(AA2124="","",IFERROR(1*'Procyclean 220'!E126,IFERROR(_xludf.NUMBERVALUE('Procyclean 220'!E126,".",","),IFERROR(_xludf.NUMBERVALUE('Procyclean 220'!E126,",","."),0))))</f>
        <v/>
      </c>
      <c r="AE2124" t="str">
        <f>IF(AA2124="","",'Procyclean 220'!B126)</f>
        <v/>
      </c>
      <c r="AF2124">
        <f t="shared" si="215"/>
        <v>0</v>
      </c>
      <c r="AG2124" t="str">
        <f t="shared" si="216"/>
        <v/>
      </c>
      <c r="AH2124" t="str">
        <f t="shared" si="217"/>
        <v/>
      </c>
      <c r="AI2124">
        <f t="shared" si="218"/>
        <v>0</v>
      </c>
      <c r="AJ2124">
        <f t="shared" si="219"/>
        <v>0</v>
      </c>
      <c r="AK2124">
        <v>0</v>
      </c>
      <c r="AL2124" t="str">
        <f>IF(AA2124="","",IFERROR(IF(ISNUMBER('Procyclean 220'!F126),'Procyclean 220'!F126,IF(ISNUMBER(SEARCH("12",'Procyclean 220'!F126)),EDATE(AB2124,12),IF(ISNUMBER(SEARCH("6",'Procyclean 220'!F126)),EDATE(AB2124,6),IF(ISNUMBER(SEARCH("3",'Procyclean 220'!F126)),EDATE(AB2124,3),DATEVALUE('Procyclean 220'!F126))))),""))</f>
        <v/>
      </c>
      <c r="AM2124" t="str">
        <f t="shared" ca="1" si="220"/>
        <v/>
      </c>
    </row>
    <row r="2125" spans="27:39" x14ac:dyDescent="0.3">
      <c r="AA2125" t="str">
        <f>IF(COUNTA('Procyclean 220'!C127,'Procyclean 220'!D127,'Procyclean 220'!E127)&gt;0,"220","")</f>
        <v/>
      </c>
      <c r="AB2125" t="str">
        <f>IFERROR(IF(ISNUMBER('Procyclean 220'!C127),'Procyclean 220'!C127,DATEVALUE('Procyclean 220'!C127)),"")</f>
        <v/>
      </c>
      <c r="AC2125" t="str">
        <f>IF(AA2125="","",'Procyclean 220'!D127)</f>
        <v/>
      </c>
      <c r="AD2125" t="str">
        <f>IF(AA2125="","",IFERROR(1*'Procyclean 220'!E127,IFERROR(_xludf.NUMBERVALUE('Procyclean 220'!E127,".",","),IFERROR(_xludf.NUMBERVALUE('Procyclean 220'!E127,",","."),0))))</f>
        <v/>
      </c>
      <c r="AE2125" t="str">
        <f>IF(AA2125="","",'Procyclean 220'!B127)</f>
        <v/>
      </c>
      <c r="AF2125">
        <f t="shared" si="215"/>
        <v>0</v>
      </c>
      <c r="AG2125" t="str">
        <f t="shared" si="216"/>
        <v/>
      </c>
      <c r="AH2125" t="str">
        <f t="shared" si="217"/>
        <v/>
      </c>
      <c r="AI2125">
        <f t="shared" si="218"/>
        <v>0</v>
      </c>
      <c r="AJ2125">
        <f t="shared" si="219"/>
        <v>0</v>
      </c>
      <c r="AK2125">
        <v>0</v>
      </c>
      <c r="AL2125" t="str">
        <f>IF(AA2125="","",IFERROR(IF(ISNUMBER('Procyclean 220'!F127),'Procyclean 220'!F127,IF(ISNUMBER(SEARCH("12",'Procyclean 220'!F127)),EDATE(AB2125,12),IF(ISNUMBER(SEARCH("6",'Procyclean 220'!F127)),EDATE(AB2125,6),IF(ISNUMBER(SEARCH("3",'Procyclean 220'!F127)),EDATE(AB2125,3),DATEVALUE('Procyclean 220'!F127))))),""))</f>
        <v/>
      </c>
      <c r="AM2125" t="str">
        <f t="shared" ca="1" si="220"/>
        <v/>
      </c>
    </row>
    <row r="2126" spans="27:39" x14ac:dyDescent="0.3">
      <c r="AA2126" t="str">
        <f>IF(COUNTA('Procyclean 220'!C128,'Procyclean 220'!D128,'Procyclean 220'!E128)&gt;0,"220","")</f>
        <v/>
      </c>
      <c r="AB2126" t="str">
        <f>IFERROR(IF(ISNUMBER('Procyclean 220'!C128),'Procyclean 220'!C128,DATEVALUE('Procyclean 220'!C128)),"")</f>
        <v/>
      </c>
      <c r="AC2126" t="str">
        <f>IF(AA2126="","",'Procyclean 220'!D128)</f>
        <v/>
      </c>
      <c r="AD2126" t="str">
        <f>IF(AA2126="","",IFERROR(1*'Procyclean 220'!E128,IFERROR(_xludf.NUMBERVALUE('Procyclean 220'!E128,".",","),IFERROR(_xludf.NUMBERVALUE('Procyclean 220'!E128,",","."),0))))</f>
        <v/>
      </c>
      <c r="AE2126" t="str">
        <f>IF(AA2126="","",'Procyclean 220'!B128)</f>
        <v/>
      </c>
      <c r="AF2126">
        <f t="shared" si="215"/>
        <v>0</v>
      </c>
      <c r="AG2126" t="str">
        <f t="shared" si="216"/>
        <v/>
      </c>
      <c r="AH2126" t="str">
        <f t="shared" si="217"/>
        <v/>
      </c>
      <c r="AI2126">
        <f t="shared" si="218"/>
        <v>0</v>
      </c>
      <c r="AJ2126">
        <f t="shared" si="219"/>
        <v>0</v>
      </c>
      <c r="AK2126">
        <v>0</v>
      </c>
      <c r="AL2126" t="str">
        <f>IF(AA2126="","",IFERROR(IF(ISNUMBER('Procyclean 220'!F128),'Procyclean 220'!F128,IF(ISNUMBER(SEARCH("12",'Procyclean 220'!F128)),EDATE(AB2126,12),IF(ISNUMBER(SEARCH("6",'Procyclean 220'!F128)),EDATE(AB2126,6),IF(ISNUMBER(SEARCH("3",'Procyclean 220'!F128)),EDATE(AB2126,3),DATEVALUE('Procyclean 220'!F128))))),""))</f>
        <v/>
      </c>
      <c r="AM2126" t="str">
        <f t="shared" ca="1" si="220"/>
        <v/>
      </c>
    </row>
    <row r="2127" spans="27:39" x14ac:dyDescent="0.3">
      <c r="AA2127" t="str">
        <f>IF(COUNTA('Procyclean 220'!C129,'Procyclean 220'!D129,'Procyclean 220'!E129)&gt;0,"220","")</f>
        <v/>
      </c>
      <c r="AB2127" t="str">
        <f>IFERROR(IF(ISNUMBER('Procyclean 220'!C129),'Procyclean 220'!C129,DATEVALUE('Procyclean 220'!C129)),"")</f>
        <v/>
      </c>
      <c r="AC2127" t="str">
        <f>IF(AA2127="","",'Procyclean 220'!D129)</f>
        <v/>
      </c>
      <c r="AD2127" t="str">
        <f>IF(AA2127="","",IFERROR(1*'Procyclean 220'!E129,IFERROR(_xludf.NUMBERVALUE('Procyclean 220'!E129,".",","),IFERROR(_xludf.NUMBERVALUE('Procyclean 220'!E129,",","."),0))))</f>
        <v/>
      </c>
      <c r="AE2127" t="str">
        <f>IF(AA2127="","",'Procyclean 220'!B129)</f>
        <v/>
      </c>
      <c r="AF2127">
        <f t="shared" si="215"/>
        <v>0</v>
      </c>
      <c r="AG2127" t="str">
        <f t="shared" si="216"/>
        <v/>
      </c>
      <c r="AH2127" t="str">
        <f t="shared" si="217"/>
        <v/>
      </c>
      <c r="AI2127">
        <f t="shared" si="218"/>
        <v>0</v>
      </c>
      <c r="AJ2127">
        <f t="shared" si="219"/>
        <v>0</v>
      </c>
      <c r="AK2127">
        <v>0</v>
      </c>
      <c r="AL2127" t="str">
        <f>IF(AA2127="","",IFERROR(IF(ISNUMBER('Procyclean 220'!F129),'Procyclean 220'!F129,IF(ISNUMBER(SEARCH("12",'Procyclean 220'!F129)),EDATE(AB2127,12),IF(ISNUMBER(SEARCH("6",'Procyclean 220'!F129)),EDATE(AB2127,6),IF(ISNUMBER(SEARCH("3",'Procyclean 220'!F129)),EDATE(AB2127,3),DATEVALUE('Procyclean 220'!F129))))),""))</f>
        <v/>
      </c>
      <c r="AM2127" t="str">
        <f t="shared" ca="1" si="220"/>
        <v/>
      </c>
    </row>
    <row r="2128" spans="27:39" x14ac:dyDescent="0.3">
      <c r="AA2128" t="str">
        <f>IF(COUNTA('Procyclean 220'!C130,'Procyclean 220'!D130,'Procyclean 220'!E130)&gt;0,"220","")</f>
        <v/>
      </c>
      <c r="AB2128" t="str">
        <f>IFERROR(IF(ISNUMBER('Procyclean 220'!C130),'Procyclean 220'!C130,DATEVALUE('Procyclean 220'!C130)),"")</f>
        <v/>
      </c>
      <c r="AC2128" t="str">
        <f>IF(AA2128="","",'Procyclean 220'!D130)</f>
        <v/>
      </c>
      <c r="AD2128" t="str">
        <f>IF(AA2128="","",IFERROR(1*'Procyclean 220'!E130,IFERROR(_xludf.NUMBERVALUE('Procyclean 220'!E130,".",","),IFERROR(_xludf.NUMBERVALUE('Procyclean 220'!E130,",","."),0))))</f>
        <v/>
      </c>
      <c r="AE2128" t="str">
        <f>IF(AA2128="","",'Procyclean 220'!B130)</f>
        <v/>
      </c>
      <c r="AF2128">
        <f t="shared" si="215"/>
        <v>0</v>
      </c>
      <c r="AG2128" t="str">
        <f t="shared" si="216"/>
        <v/>
      </c>
      <c r="AH2128" t="str">
        <f t="shared" si="217"/>
        <v/>
      </c>
      <c r="AI2128">
        <f t="shared" si="218"/>
        <v>0</v>
      </c>
      <c r="AJ2128">
        <f t="shared" si="219"/>
        <v>0</v>
      </c>
      <c r="AK2128">
        <v>0</v>
      </c>
      <c r="AL2128" t="str">
        <f>IF(AA2128="","",IFERROR(IF(ISNUMBER('Procyclean 220'!F130),'Procyclean 220'!F130,IF(ISNUMBER(SEARCH("12",'Procyclean 220'!F130)),EDATE(AB2128,12),IF(ISNUMBER(SEARCH("6",'Procyclean 220'!F130)),EDATE(AB2128,6),IF(ISNUMBER(SEARCH("3",'Procyclean 220'!F130)),EDATE(AB2128,3),DATEVALUE('Procyclean 220'!F130))))),""))</f>
        <v/>
      </c>
      <c r="AM2128" t="str">
        <f t="shared" ca="1" si="220"/>
        <v/>
      </c>
    </row>
    <row r="2129" spans="27:39" x14ac:dyDescent="0.3">
      <c r="AA2129" t="str">
        <f>IF(COUNTA('Procyclean 220'!C131,'Procyclean 220'!D131,'Procyclean 220'!E131)&gt;0,"220","")</f>
        <v/>
      </c>
      <c r="AB2129" t="str">
        <f>IFERROR(IF(ISNUMBER('Procyclean 220'!C131),'Procyclean 220'!C131,DATEVALUE('Procyclean 220'!C131)),"")</f>
        <v/>
      </c>
      <c r="AC2129" t="str">
        <f>IF(AA2129="","",'Procyclean 220'!D131)</f>
        <v/>
      </c>
      <c r="AD2129" t="str">
        <f>IF(AA2129="","",IFERROR(1*'Procyclean 220'!E131,IFERROR(_xludf.NUMBERVALUE('Procyclean 220'!E131,".",","),IFERROR(_xludf.NUMBERVALUE('Procyclean 220'!E131,",","."),0))))</f>
        <v/>
      </c>
      <c r="AE2129" t="str">
        <f>IF(AA2129="","",'Procyclean 220'!B131)</f>
        <v/>
      </c>
      <c r="AF2129">
        <f t="shared" si="215"/>
        <v>0</v>
      </c>
      <c r="AG2129" t="str">
        <f t="shared" si="216"/>
        <v/>
      </c>
      <c r="AH2129" t="str">
        <f t="shared" si="217"/>
        <v/>
      </c>
      <c r="AI2129">
        <f t="shared" si="218"/>
        <v>0</v>
      </c>
      <c r="AJ2129">
        <f t="shared" si="219"/>
        <v>0</v>
      </c>
      <c r="AK2129">
        <v>0</v>
      </c>
      <c r="AL2129" t="str">
        <f>IF(AA2129="","",IFERROR(IF(ISNUMBER('Procyclean 220'!F131),'Procyclean 220'!F131,IF(ISNUMBER(SEARCH("12",'Procyclean 220'!F131)),EDATE(AB2129,12),IF(ISNUMBER(SEARCH("6",'Procyclean 220'!F131)),EDATE(AB2129,6),IF(ISNUMBER(SEARCH("3",'Procyclean 220'!F131)),EDATE(AB2129,3),DATEVALUE('Procyclean 220'!F131))))),""))</f>
        <v/>
      </c>
      <c r="AM2129" t="str">
        <f t="shared" ca="1" si="220"/>
        <v/>
      </c>
    </row>
    <row r="2130" spans="27:39" x14ac:dyDescent="0.3">
      <c r="AA2130" t="str">
        <f>IF(COUNTA('Procyclean 220'!C132,'Procyclean 220'!D132,'Procyclean 220'!E132)&gt;0,"220","")</f>
        <v/>
      </c>
      <c r="AB2130" t="str">
        <f>IFERROR(IF(ISNUMBER('Procyclean 220'!C132),'Procyclean 220'!C132,DATEVALUE('Procyclean 220'!C132)),"")</f>
        <v/>
      </c>
      <c r="AC2130" t="str">
        <f>IF(AA2130="","",'Procyclean 220'!D132)</f>
        <v/>
      </c>
      <c r="AD2130" t="str">
        <f>IF(AA2130="","",IFERROR(1*'Procyclean 220'!E132,IFERROR(_xludf.NUMBERVALUE('Procyclean 220'!E132,".",","),IFERROR(_xludf.NUMBERVALUE('Procyclean 220'!E132,",","."),0))))</f>
        <v/>
      </c>
      <c r="AE2130" t="str">
        <f>IF(AA2130="","",'Procyclean 220'!B132)</f>
        <v/>
      </c>
      <c r="AF2130">
        <f t="shared" si="215"/>
        <v>0</v>
      </c>
      <c r="AG2130" t="str">
        <f t="shared" si="216"/>
        <v/>
      </c>
      <c r="AH2130" t="str">
        <f t="shared" si="217"/>
        <v/>
      </c>
      <c r="AI2130">
        <f t="shared" si="218"/>
        <v>0</v>
      </c>
      <c r="AJ2130">
        <f t="shared" si="219"/>
        <v>0</v>
      </c>
      <c r="AK2130">
        <v>0</v>
      </c>
      <c r="AL2130" t="str">
        <f>IF(AA2130="","",IFERROR(IF(ISNUMBER('Procyclean 220'!F132),'Procyclean 220'!F132,IF(ISNUMBER(SEARCH("12",'Procyclean 220'!F132)),EDATE(AB2130,12),IF(ISNUMBER(SEARCH("6",'Procyclean 220'!F132)),EDATE(AB2130,6),IF(ISNUMBER(SEARCH("3",'Procyclean 220'!F132)),EDATE(AB2130,3),DATEVALUE('Procyclean 220'!F132))))),""))</f>
        <v/>
      </c>
      <c r="AM2130" t="str">
        <f t="shared" ca="1" si="220"/>
        <v/>
      </c>
    </row>
    <row r="2131" spans="27:39" x14ac:dyDescent="0.3">
      <c r="AA2131" t="str">
        <f>IF(COUNTA('Procyclean 220'!C133,'Procyclean 220'!D133,'Procyclean 220'!E133)&gt;0,"220","")</f>
        <v/>
      </c>
      <c r="AB2131" t="str">
        <f>IFERROR(IF(ISNUMBER('Procyclean 220'!C133),'Procyclean 220'!C133,DATEVALUE('Procyclean 220'!C133)),"")</f>
        <v/>
      </c>
      <c r="AC2131" t="str">
        <f>IF(AA2131="","",'Procyclean 220'!D133)</f>
        <v/>
      </c>
      <c r="AD2131" t="str">
        <f>IF(AA2131="","",IFERROR(1*'Procyclean 220'!E133,IFERROR(_xludf.NUMBERVALUE('Procyclean 220'!E133,".",","),IFERROR(_xludf.NUMBERVALUE('Procyclean 220'!E133,",","."),0))))</f>
        <v/>
      </c>
      <c r="AE2131" t="str">
        <f>IF(AA2131="","",'Procyclean 220'!B133)</f>
        <v/>
      </c>
      <c r="AF2131">
        <f t="shared" si="215"/>
        <v>0</v>
      </c>
      <c r="AG2131" t="str">
        <f t="shared" si="216"/>
        <v/>
      </c>
      <c r="AH2131" t="str">
        <f t="shared" si="217"/>
        <v/>
      </c>
      <c r="AI2131">
        <f t="shared" si="218"/>
        <v>0</v>
      </c>
      <c r="AJ2131">
        <f t="shared" si="219"/>
        <v>0</v>
      </c>
      <c r="AK2131">
        <v>0</v>
      </c>
      <c r="AL2131" t="str">
        <f>IF(AA2131="","",IFERROR(IF(ISNUMBER('Procyclean 220'!F133),'Procyclean 220'!F133,IF(ISNUMBER(SEARCH("12",'Procyclean 220'!F133)),EDATE(AB2131,12),IF(ISNUMBER(SEARCH("6",'Procyclean 220'!F133)),EDATE(AB2131,6),IF(ISNUMBER(SEARCH("3",'Procyclean 220'!F133)),EDATE(AB2131,3),DATEVALUE('Procyclean 220'!F133))))),""))</f>
        <v/>
      </c>
      <c r="AM2131" t="str">
        <f t="shared" ca="1" si="220"/>
        <v/>
      </c>
    </row>
    <row r="2132" spans="27:39" x14ac:dyDescent="0.3">
      <c r="AA2132" t="str">
        <f>IF(COUNTA('Procyclean 220'!C134,'Procyclean 220'!D134,'Procyclean 220'!E134)&gt;0,"220","")</f>
        <v/>
      </c>
      <c r="AB2132" t="str">
        <f>IFERROR(IF(ISNUMBER('Procyclean 220'!C134),'Procyclean 220'!C134,DATEVALUE('Procyclean 220'!C134)),"")</f>
        <v/>
      </c>
      <c r="AC2132" t="str">
        <f>IF(AA2132="","",'Procyclean 220'!D134)</f>
        <v/>
      </c>
      <c r="AD2132" t="str">
        <f>IF(AA2132="","",IFERROR(1*'Procyclean 220'!E134,IFERROR(_xludf.NUMBERVALUE('Procyclean 220'!E134,".",","),IFERROR(_xludf.NUMBERVALUE('Procyclean 220'!E134,",","."),0))))</f>
        <v/>
      </c>
      <c r="AE2132" t="str">
        <f>IF(AA2132="","",'Procyclean 220'!B134)</f>
        <v/>
      </c>
      <c r="AF2132">
        <f t="shared" si="215"/>
        <v>0</v>
      </c>
      <c r="AG2132" t="str">
        <f t="shared" si="216"/>
        <v/>
      </c>
      <c r="AH2132" t="str">
        <f t="shared" si="217"/>
        <v/>
      </c>
      <c r="AI2132">
        <f t="shared" si="218"/>
        <v>0</v>
      </c>
      <c r="AJ2132">
        <f t="shared" si="219"/>
        <v>0</v>
      </c>
      <c r="AK2132">
        <v>0</v>
      </c>
      <c r="AL2132" t="str">
        <f>IF(AA2132="","",IFERROR(IF(ISNUMBER('Procyclean 220'!F134),'Procyclean 220'!F134,IF(ISNUMBER(SEARCH("12",'Procyclean 220'!F134)),EDATE(AB2132,12),IF(ISNUMBER(SEARCH("6",'Procyclean 220'!F134)),EDATE(AB2132,6),IF(ISNUMBER(SEARCH("3",'Procyclean 220'!F134)),EDATE(AB2132,3),DATEVALUE('Procyclean 220'!F134))))),""))</f>
        <v/>
      </c>
      <c r="AM2132" t="str">
        <f t="shared" ca="1" si="220"/>
        <v/>
      </c>
    </row>
    <row r="2133" spans="27:39" x14ac:dyDescent="0.3">
      <c r="AA2133" t="str">
        <f>IF(COUNTA('Procyclean 220'!C135,'Procyclean 220'!D135,'Procyclean 220'!E135)&gt;0,"220","")</f>
        <v/>
      </c>
      <c r="AB2133" t="str">
        <f>IFERROR(IF(ISNUMBER('Procyclean 220'!C135),'Procyclean 220'!C135,DATEVALUE('Procyclean 220'!C135)),"")</f>
        <v/>
      </c>
      <c r="AC2133" t="str">
        <f>IF(AA2133="","",'Procyclean 220'!D135)</f>
        <v/>
      </c>
      <c r="AD2133" t="str">
        <f>IF(AA2133="","",IFERROR(1*'Procyclean 220'!E135,IFERROR(_xludf.NUMBERVALUE('Procyclean 220'!E135,".",","),IFERROR(_xludf.NUMBERVALUE('Procyclean 220'!E135,",","."),0))))</f>
        <v/>
      </c>
      <c r="AE2133" t="str">
        <f>IF(AA2133="","",'Procyclean 220'!B135)</f>
        <v/>
      </c>
      <c r="AF2133">
        <f t="shared" si="215"/>
        <v>0</v>
      </c>
      <c r="AG2133" t="str">
        <f t="shared" si="216"/>
        <v/>
      </c>
      <c r="AH2133" t="str">
        <f t="shared" si="217"/>
        <v/>
      </c>
      <c r="AI2133">
        <f t="shared" si="218"/>
        <v>0</v>
      </c>
      <c r="AJ2133">
        <f t="shared" si="219"/>
        <v>0</v>
      </c>
      <c r="AK2133">
        <v>0</v>
      </c>
      <c r="AL2133" t="str">
        <f>IF(AA2133="","",IFERROR(IF(ISNUMBER('Procyclean 220'!F135),'Procyclean 220'!F135,IF(ISNUMBER(SEARCH("12",'Procyclean 220'!F135)),EDATE(AB2133,12),IF(ISNUMBER(SEARCH("6",'Procyclean 220'!F135)),EDATE(AB2133,6),IF(ISNUMBER(SEARCH("3",'Procyclean 220'!F135)),EDATE(AB2133,3),DATEVALUE('Procyclean 220'!F135))))),""))</f>
        <v/>
      </c>
      <c r="AM2133" t="str">
        <f t="shared" ca="1" si="220"/>
        <v/>
      </c>
    </row>
    <row r="2134" spans="27:39" x14ac:dyDescent="0.3">
      <c r="AA2134" t="str">
        <f>IF(COUNTA('Procyclean 220'!C136,'Procyclean 220'!D136,'Procyclean 220'!E136)&gt;0,"220","")</f>
        <v/>
      </c>
      <c r="AB2134" t="str">
        <f>IFERROR(IF(ISNUMBER('Procyclean 220'!C136),'Procyclean 220'!C136,DATEVALUE('Procyclean 220'!C136)),"")</f>
        <v/>
      </c>
      <c r="AC2134" t="str">
        <f>IF(AA2134="","",'Procyclean 220'!D136)</f>
        <v/>
      </c>
      <c r="AD2134" t="str">
        <f>IF(AA2134="","",IFERROR(1*'Procyclean 220'!E136,IFERROR(_xludf.NUMBERVALUE('Procyclean 220'!E136,".",","),IFERROR(_xludf.NUMBERVALUE('Procyclean 220'!E136,",","."),0))))</f>
        <v/>
      </c>
      <c r="AE2134" t="str">
        <f>IF(AA2134="","",'Procyclean 220'!B136)</f>
        <v/>
      </c>
      <c r="AF2134">
        <f t="shared" si="215"/>
        <v>0</v>
      </c>
      <c r="AG2134" t="str">
        <f t="shared" si="216"/>
        <v/>
      </c>
      <c r="AH2134" t="str">
        <f t="shared" si="217"/>
        <v/>
      </c>
      <c r="AI2134">
        <f t="shared" si="218"/>
        <v>0</v>
      </c>
      <c r="AJ2134">
        <f t="shared" si="219"/>
        <v>0</v>
      </c>
      <c r="AK2134">
        <v>0</v>
      </c>
      <c r="AL2134" t="str">
        <f>IF(AA2134="","",IFERROR(IF(ISNUMBER('Procyclean 220'!F136),'Procyclean 220'!F136,IF(ISNUMBER(SEARCH("12",'Procyclean 220'!F136)),EDATE(AB2134,12),IF(ISNUMBER(SEARCH("6",'Procyclean 220'!F136)),EDATE(AB2134,6),IF(ISNUMBER(SEARCH("3",'Procyclean 220'!F136)),EDATE(AB2134,3),DATEVALUE('Procyclean 220'!F136))))),""))</f>
        <v/>
      </c>
      <c r="AM2134" t="str">
        <f t="shared" ca="1" si="220"/>
        <v/>
      </c>
    </row>
    <row r="2135" spans="27:39" x14ac:dyDescent="0.3">
      <c r="AA2135" t="str">
        <f>IF(COUNTA('Procyclean 220'!C137,'Procyclean 220'!D137,'Procyclean 220'!E137)&gt;0,"220","")</f>
        <v/>
      </c>
      <c r="AB2135" t="str">
        <f>IFERROR(IF(ISNUMBER('Procyclean 220'!C137),'Procyclean 220'!C137,DATEVALUE('Procyclean 220'!C137)),"")</f>
        <v/>
      </c>
      <c r="AC2135" t="str">
        <f>IF(AA2135="","",'Procyclean 220'!D137)</f>
        <v/>
      </c>
      <c r="AD2135" t="str">
        <f>IF(AA2135="","",IFERROR(1*'Procyclean 220'!E137,IFERROR(_xludf.NUMBERVALUE('Procyclean 220'!E137,".",","),IFERROR(_xludf.NUMBERVALUE('Procyclean 220'!E137,",","."),0))))</f>
        <v/>
      </c>
      <c r="AE2135" t="str">
        <f>IF(AA2135="","",'Procyclean 220'!B137)</f>
        <v/>
      </c>
      <c r="AF2135">
        <f t="shared" si="215"/>
        <v>0</v>
      </c>
      <c r="AG2135" t="str">
        <f t="shared" si="216"/>
        <v/>
      </c>
      <c r="AH2135" t="str">
        <f t="shared" si="217"/>
        <v/>
      </c>
      <c r="AI2135">
        <f t="shared" si="218"/>
        <v>0</v>
      </c>
      <c r="AJ2135">
        <f t="shared" si="219"/>
        <v>0</v>
      </c>
      <c r="AK2135">
        <v>0</v>
      </c>
      <c r="AL2135" t="str">
        <f>IF(AA2135="","",IFERROR(IF(ISNUMBER('Procyclean 220'!F137),'Procyclean 220'!F137,IF(ISNUMBER(SEARCH("12",'Procyclean 220'!F137)),EDATE(AB2135,12),IF(ISNUMBER(SEARCH("6",'Procyclean 220'!F137)),EDATE(AB2135,6),IF(ISNUMBER(SEARCH("3",'Procyclean 220'!F137)),EDATE(AB2135,3),DATEVALUE('Procyclean 220'!F137))))),""))</f>
        <v/>
      </c>
      <c r="AM2135" t="str">
        <f t="shared" ca="1" si="220"/>
        <v/>
      </c>
    </row>
    <row r="2136" spans="27:39" x14ac:dyDescent="0.3">
      <c r="AA2136" t="str">
        <f>IF(COUNTA('Procyclean 220'!C138,'Procyclean 220'!D138,'Procyclean 220'!E138)&gt;0,"220","")</f>
        <v/>
      </c>
      <c r="AB2136" t="str">
        <f>IFERROR(IF(ISNUMBER('Procyclean 220'!C138),'Procyclean 220'!C138,DATEVALUE('Procyclean 220'!C138)),"")</f>
        <v/>
      </c>
      <c r="AC2136" t="str">
        <f>IF(AA2136="","",'Procyclean 220'!D138)</f>
        <v/>
      </c>
      <c r="AD2136" t="str">
        <f>IF(AA2136="","",IFERROR(1*'Procyclean 220'!E138,IFERROR(_xludf.NUMBERVALUE('Procyclean 220'!E138,".",","),IFERROR(_xludf.NUMBERVALUE('Procyclean 220'!E138,",","."),0))))</f>
        <v/>
      </c>
      <c r="AE2136" t="str">
        <f>IF(AA2136="","",'Procyclean 220'!B138)</f>
        <v/>
      </c>
      <c r="AF2136">
        <f t="shared" si="215"/>
        <v>0</v>
      </c>
      <c r="AG2136" t="str">
        <f t="shared" si="216"/>
        <v/>
      </c>
      <c r="AH2136" t="str">
        <f t="shared" si="217"/>
        <v/>
      </c>
      <c r="AI2136">
        <f t="shared" si="218"/>
        <v>0</v>
      </c>
      <c r="AJ2136">
        <f t="shared" si="219"/>
        <v>0</v>
      </c>
      <c r="AK2136">
        <v>0</v>
      </c>
      <c r="AL2136" t="str">
        <f>IF(AA2136="","",IFERROR(IF(ISNUMBER('Procyclean 220'!F138),'Procyclean 220'!F138,IF(ISNUMBER(SEARCH("12",'Procyclean 220'!F138)),EDATE(AB2136,12),IF(ISNUMBER(SEARCH("6",'Procyclean 220'!F138)),EDATE(AB2136,6),IF(ISNUMBER(SEARCH("3",'Procyclean 220'!F138)),EDATE(AB2136,3),DATEVALUE('Procyclean 220'!F138))))),""))</f>
        <v/>
      </c>
      <c r="AM2136" t="str">
        <f t="shared" ca="1" si="220"/>
        <v/>
      </c>
    </row>
    <row r="2137" spans="27:39" x14ac:dyDescent="0.3">
      <c r="AA2137" t="str">
        <f>IF(COUNTA('Procyclean 220'!C139,'Procyclean 220'!D139,'Procyclean 220'!E139)&gt;0,"220","")</f>
        <v/>
      </c>
      <c r="AB2137" t="str">
        <f>IFERROR(IF(ISNUMBER('Procyclean 220'!C139),'Procyclean 220'!C139,DATEVALUE('Procyclean 220'!C139)),"")</f>
        <v/>
      </c>
      <c r="AC2137" t="str">
        <f>IF(AA2137="","",'Procyclean 220'!D139)</f>
        <v/>
      </c>
      <c r="AD2137" t="str">
        <f>IF(AA2137="","",IFERROR(1*'Procyclean 220'!E139,IFERROR(_xludf.NUMBERVALUE('Procyclean 220'!E139,".",","),IFERROR(_xludf.NUMBERVALUE('Procyclean 220'!E139,",","."),0))))</f>
        <v/>
      </c>
      <c r="AE2137" t="str">
        <f>IF(AA2137="","",'Procyclean 220'!B139)</f>
        <v/>
      </c>
      <c r="AF2137">
        <f t="shared" si="215"/>
        <v>0</v>
      </c>
      <c r="AG2137" t="str">
        <f t="shared" si="216"/>
        <v/>
      </c>
      <c r="AH2137" t="str">
        <f t="shared" si="217"/>
        <v/>
      </c>
      <c r="AI2137">
        <f t="shared" si="218"/>
        <v>0</v>
      </c>
      <c r="AJ2137">
        <f t="shared" si="219"/>
        <v>0</v>
      </c>
      <c r="AK2137">
        <v>0</v>
      </c>
      <c r="AL2137" t="str">
        <f>IF(AA2137="","",IFERROR(IF(ISNUMBER('Procyclean 220'!F139),'Procyclean 220'!F139,IF(ISNUMBER(SEARCH("12",'Procyclean 220'!F139)),EDATE(AB2137,12),IF(ISNUMBER(SEARCH("6",'Procyclean 220'!F139)),EDATE(AB2137,6),IF(ISNUMBER(SEARCH("3",'Procyclean 220'!F139)),EDATE(AB2137,3),DATEVALUE('Procyclean 220'!F139))))),""))</f>
        <v/>
      </c>
      <c r="AM2137" t="str">
        <f t="shared" ca="1" si="220"/>
        <v/>
      </c>
    </row>
    <row r="2138" spans="27:39" x14ac:dyDescent="0.3">
      <c r="AA2138" t="str">
        <f>IF(COUNTA('Procyclean 220'!C140,'Procyclean 220'!D140,'Procyclean 220'!E140)&gt;0,"220","")</f>
        <v/>
      </c>
      <c r="AB2138" t="str">
        <f>IFERROR(IF(ISNUMBER('Procyclean 220'!C140),'Procyclean 220'!C140,DATEVALUE('Procyclean 220'!C140)),"")</f>
        <v/>
      </c>
      <c r="AC2138" t="str">
        <f>IF(AA2138="","",'Procyclean 220'!D140)</f>
        <v/>
      </c>
      <c r="AD2138" t="str">
        <f>IF(AA2138="","",IFERROR(1*'Procyclean 220'!E140,IFERROR(_xludf.NUMBERVALUE('Procyclean 220'!E140,".",","),IFERROR(_xludf.NUMBERVALUE('Procyclean 220'!E140,",","."),0))))</f>
        <v/>
      </c>
      <c r="AE2138" t="str">
        <f>IF(AA2138="","",'Procyclean 220'!B140)</f>
        <v/>
      </c>
      <c r="AF2138">
        <f t="shared" si="215"/>
        <v>0</v>
      </c>
      <c r="AG2138" t="str">
        <f t="shared" si="216"/>
        <v/>
      </c>
      <c r="AH2138" t="str">
        <f t="shared" si="217"/>
        <v/>
      </c>
      <c r="AI2138">
        <f t="shared" si="218"/>
        <v>0</v>
      </c>
      <c r="AJ2138">
        <f t="shared" si="219"/>
        <v>0</v>
      </c>
      <c r="AK2138">
        <v>0</v>
      </c>
      <c r="AL2138" t="str">
        <f>IF(AA2138="","",IFERROR(IF(ISNUMBER('Procyclean 220'!F140),'Procyclean 220'!F140,IF(ISNUMBER(SEARCH("12",'Procyclean 220'!F140)),EDATE(AB2138,12),IF(ISNUMBER(SEARCH("6",'Procyclean 220'!F140)),EDATE(AB2138,6),IF(ISNUMBER(SEARCH("3",'Procyclean 220'!F140)),EDATE(AB2138,3),DATEVALUE('Procyclean 220'!F140))))),""))</f>
        <v/>
      </c>
      <c r="AM2138" t="str">
        <f t="shared" ca="1" si="220"/>
        <v/>
      </c>
    </row>
    <row r="2139" spans="27:39" x14ac:dyDescent="0.3">
      <c r="AA2139" t="str">
        <f>IF(COUNTA('Procyclean 220'!C141,'Procyclean 220'!D141,'Procyclean 220'!E141)&gt;0,"220","")</f>
        <v/>
      </c>
      <c r="AB2139" t="str">
        <f>IFERROR(IF(ISNUMBER('Procyclean 220'!C141),'Procyclean 220'!C141,DATEVALUE('Procyclean 220'!C141)),"")</f>
        <v/>
      </c>
      <c r="AC2139" t="str">
        <f>IF(AA2139="","",'Procyclean 220'!D141)</f>
        <v/>
      </c>
      <c r="AD2139" t="str">
        <f>IF(AA2139="","",IFERROR(1*'Procyclean 220'!E141,IFERROR(_xludf.NUMBERVALUE('Procyclean 220'!E141,".",","),IFERROR(_xludf.NUMBERVALUE('Procyclean 220'!E141,",","."),0))))</f>
        <v/>
      </c>
      <c r="AE2139" t="str">
        <f>IF(AA2139="","",'Procyclean 220'!B141)</f>
        <v/>
      </c>
      <c r="AF2139">
        <f t="shared" si="215"/>
        <v>0</v>
      </c>
      <c r="AG2139" t="str">
        <f t="shared" si="216"/>
        <v/>
      </c>
      <c r="AH2139" t="str">
        <f t="shared" si="217"/>
        <v/>
      </c>
      <c r="AI2139">
        <f t="shared" si="218"/>
        <v>0</v>
      </c>
      <c r="AJ2139">
        <f t="shared" si="219"/>
        <v>0</v>
      </c>
      <c r="AK2139">
        <v>0</v>
      </c>
      <c r="AL2139" t="str">
        <f>IF(AA2139="","",IFERROR(IF(ISNUMBER('Procyclean 220'!F141),'Procyclean 220'!F141,IF(ISNUMBER(SEARCH("12",'Procyclean 220'!F141)),EDATE(AB2139,12),IF(ISNUMBER(SEARCH("6",'Procyclean 220'!F141)),EDATE(AB2139,6),IF(ISNUMBER(SEARCH("3",'Procyclean 220'!F141)),EDATE(AB2139,3),DATEVALUE('Procyclean 220'!F141))))),""))</f>
        <v/>
      </c>
      <c r="AM2139" t="str">
        <f t="shared" ca="1" si="220"/>
        <v/>
      </c>
    </row>
    <row r="2140" spans="27:39" x14ac:dyDescent="0.3">
      <c r="AA2140" t="str">
        <f>IF(COUNTA('Procyclean 220'!C142,'Procyclean 220'!D142,'Procyclean 220'!E142)&gt;0,"220","")</f>
        <v/>
      </c>
      <c r="AB2140" t="str">
        <f>IFERROR(IF(ISNUMBER('Procyclean 220'!C142),'Procyclean 220'!C142,DATEVALUE('Procyclean 220'!C142)),"")</f>
        <v/>
      </c>
      <c r="AC2140" t="str">
        <f>IF(AA2140="","",'Procyclean 220'!D142)</f>
        <v/>
      </c>
      <c r="AD2140" t="str">
        <f>IF(AA2140="","",IFERROR(1*'Procyclean 220'!E142,IFERROR(_xludf.NUMBERVALUE('Procyclean 220'!E142,".",","),IFERROR(_xludf.NUMBERVALUE('Procyclean 220'!E142,",","."),0))))</f>
        <v/>
      </c>
      <c r="AE2140" t="str">
        <f>IF(AA2140="","",'Procyclean 220'!B142)</f>
        <v/>
      </c>
      <c r="AF2140">
        <f t="shared" si="215"/>
        <v>0</v>
      </c>
      <c r="AG2140" t="str">
        <f t="shared" si="216"/>
        <v/>
      </c>
      <c r="AH2140" t="str">
        <f t="shared" si="217"/>
        <v/>
      </c>
      <c r="AI2140">
        <f t="shared" si="218"/>
        <v>0</v>
      </c>
      <c r="AJ2140">
        <f t="shared" si="219"/>
        <v>0</v>
      </c>
      <c r="AK2140">
        <v>0</v>
      </c>
      <c r="AL2140" t="str">
        <f>IF(AA2140="","",IFERROR(IF(ISNUMBER('Procyclean 220'!F142),'Procyclean 220'!F142,IF(ISNUMBER(SEARCH("12",'Procyclean 220'!F142)),EDATE(AB2140,12),IF(ISNUMBER(SEARCH("6",'Procyclean 220'!F142)),EDATE(AB2140,6),IF(ISNUMBER(SEARCH("3",'Procyclean 220'!F142)),EDATE(AB2140,3),DATEVALUE('Procyclean 220'!F142))))),""))</f>
        <v/>
      </c>
      <c r="AM2140" t="str">
        <f t="shared" ca="1" si="220"/>
        <v/>
      </c>
    </row>
    <row r="2141" spans="27:39" x14ac:dyDescent="0.3">
      <c r="AA2141" t="str">
        <f>IF(COUNTA('Procyclean 220'!C143,'Procyclean 220'!D143,'Procyclean 220'!E143)&gt;0,"220","")</f>
        <v/>
      </c>
      <c r="AB2141" t="str">
        <f>IFERROR(IF(ISNUMBER('Procyclean 220'!C143),'Procyclean 220'!C143,DATEVALUE('Procyclean 220'!C143)),"")</f>
        <v/>
      </c>
      <c r="AC2141" t="str">
        <f>IF(AA2141="","",'Procyclean 220'!D143)</f>
        <v/>
      </c>
      <c r="AD2141" t="str">
        <f>IF(AA2141="","",IFERROR(1*'Procyclean 220'!E143,IFERROR(_xludf.NUMBERVALUE('Procyclean 220'!E143,".",","),IFERROR(_xludf.NUMBERVALUE('Procyclean 220'!E143,",","."),0))))</f>
        <v/>
      </c>
      <c r="AE2141" t="str">
        <f>IF(AA2141="","",'Procyclean 220'!B143)</f>
        <v/>
      </c>
      <c r="AF2141">
        <f t="shared" si="215"/>
        <v>0</v>
      </c>
      <c r="AG2141" t="str">
        <f t="shared" si="216"/>
        <v/>
      </c>
      <c r="AH2141" t="str">
        <f t="shared" si="217"/>
        <v/>
      </c>
      <c r="AI2141">
        <f t="shared" si="218"/>
        <v>0</v>
      </c>
      <c r="AJ2141">
        <f t="shared" si="219"/>
        <v>0</v>
      </c>
      <c r="AK2141">
        <v>0</v>
      </c>
      <c r="AL2141" t="str">
        <f>IF(AA2141="","",IFERROR(IF(ISNUMBER('Procyclean 220'!F143),'Procyclean 220'!F143,IF(ISNUMBER(SEARCH("12",'Procyclean 220'!F143)),EDATE(AB2141,12),IF(ISNUMBER(SEARCH("6",'Procyclean 220'!F143)),EDATE(AB2141,6),IF(ISNUMBER(SEARCH("3",'Procyclean 220'!F143)),EDATE(AB2141,3),DATEVALUE('Procyclean 220'!F143))))),""))</f>
        <v/>
      </c>
      <c r="AM2141" t="str">
        <f t="shared" ca="1" si="220"/>
        <v/>
      </c>
    </row>
    <row r="2142" spans="27:39" x14ac:dyDescent="0.3">
      <c r="AA2142" t="str">
        <f>IF(COUNTA('Procyclean 220'!C144,'Procyclean 220'!D144,'Procyclean 220'!E144)&gt;0,"220","")</f>
        <v/>
      </c>
      <c r="AB2142" t="str">
        <f>IFERROR(IF(ISNUMBER('Procyclean 220'!C144),'Procyclean 220'!C144,DATEVALUE('Procyclean 220'!C144)),"")</f>
        <v/>
      </c>
      <c r="AC2142" t="str">
        <f>IF(AA2142="","",'Procyclean 220'!D144)</f>
        <v/>
      </c>
      <c r="AD2142" t="str">
        <f>IF(AA2142="","",IFERROR(1*'Procyclean 220'!E144,IFERROR(_xludf.NUMBERVALUE('Procyclean 220'!E144,".",","),IFERROR(_xludf.NUMBERVALUE('Procyclean 220'!E144,",","."),0))))</f>
        <v/>
      </c>
      <c r="AE2142" t="str">
        <f>IF(AA2142="","",'Procyclean 220'!B144)</f>
        <v/>
      </c>
      <c r="AF2142">
        <f t="shared" si="215"/>
        <v>0</v>
      </c>
      <c r="AG2142" t="str">
        <f t="shared" si="216"/>
        <v/>
      </c>
      <c r="AH2142" t="str">
        <f t="shared" si="217"/>
        <v/>
      </c>
      <c r="AI2142">
        <f t="shared" si="218"/>
        <v>0</v>
      </c>
      <c r="AJ2142">
        <f t="shared" si="219"/>
        <v>0</v>
      </c>
      <c r="AK2142">
        <v>0</v>
      </c>
      <c r="AL2142" t="str">
        <f>IF(AA2142="","",IFERROR(IF(ISNUMBER('Procyclean 220'!F144),'Procyclean 220'!F144,IF(ISNUMBER(SEARCH("12",'Procyclean 220'!F144)),EDATE(AB2142,12),IF(ISNUMBER(SEARCH("6",'Procyclean 220'!F144)),EDATE(AB2142,6),IF(ISNUMBER(SEARCH("3",'Procyclean 220'!F144)),EDATE(AB2142,3),DATEVALUE('Procyclean 220'!F144))))),""))</f>
        <v/>
      </c>
      <c r="AM2142" t="str">
        <f t="shared" ca="1" si="220"/>
        <v/>
      </c>
    </row>
    <row r="2143" spans="27:39" x14ac:dyDescent="0.3">
      <c r="AA2143" t="str">
        <f>IF(COUNTA('Procyclean 220'!C145,'Procyclean 220'!D145,'Procyclean 220'!E145)&gt;0,"220","")</f>
        <v/>
      </c>
      <c r="AB2143" t="str">
        <f>IFERROR(IF(ISNUMBER('Procyclean 220'!C145),'Procyclean 220'!C145,DATEVALUE('Procyclean 220'!C145)),"")</f>
        <v/>
      </c>
      <c r="AC2143" t="str">
        <f>IF(AA2143="","",'Procyclean 220'!D145)</f>
        <v/>
      </c>
      <c r="AD2143" t="str">
        <f>IF(AA2143="","",IFERROR(1*'Procyclean 220'!E145,IFERROR(_xludf.NUMBERVALUE('Procyclean 220'!E145,".",","),IFERROR(_xludf.NUMBERVALUE('Procyclean 220'!E145,",","."),0))))</f>
        <v/>
      </c>
      <c r="AE2143" t="str">
        <f>IF(AA2143="","",'Procyclean 220'!B145)</f>
        <v/>
      </c>
      <c r="AF2143">
        <f t="shared" si="215"/>
        <v>0</v>
      </c>
      <c r="AG2143" t="str">
        <f t="shared" si="216"/>
        <v/>
      </c>
      <c r="AH2143" t="str">
        <f t="shared" si="217"/>
        <v/>
      </c>
      <c r="AI2143">
        <f t="shared" si="218"/>
        <v>0</v>
      </c>
      <c r="AJ2143">
        <f t="shared" si="219"/>
        <v>0</v>
      </c>
      <c r="AK2143">
        <v>0</v>
      </c>
      <c r="AL2143" t="str">
        <f>IF(AA2143="","",IFERROR(IF(ISNUMBER('Procyclean 220'!F145),'Procyclean 220'!F145,IF(ISNUMBER(SEARCH("12",'Procyclean 220'!F145)),EDATE(AB2143,12),IF(ISNUMBER(SEARCH("6",'Procyclean 220'!F145)),EDATE(AB2143,6),IF(ISNUMBER(SEARCH("3",'Procyclean 220'!F145)),EDATE(AB2143,3),DATEVALUE('Procyclean 220'!F145))))),""))</f>
        <v/>
      </c>
      <c r="AM2143" t="str">
        <f t="shared" ca="1" si="220"/>
        <v/>
      </c>
    </row>
    <row r="2144" spans="27:39" x14ac:dyDescent="0.3">
      <c r="AA2144" t="str">
        <f>IF(COUNTA('Procyclean 220'!C146,'Procyclean 220'!D146,'Procyclean 220'!E146)&gt;0,"220","")</f>
        <v/>
      </c>
      <c r="AB2144" t="str">
        <f>IFERROR(IF(ISNUMBER('Procyclean 220'!C146),'Procyclean 220'!C146,DATEVALUE('Procyclean 220'!C146)),"")</f>
        <v/>
      </c>
      <c r="AC2144" t="str">
        <f>IF(AA2144="","",'Procyclean 220'!D146)</f>
        <v/>
      </c>
      <c r="AD2144" t="str">
        <f>IF(AA2144="","",IFERROR(1*'Procyclean 220'!E146,IFERROR(_xludf.NUMBERVALUE('Procyclean 220'!E146,".",","),IFERROR(_xludf.NUMBERVALUE('Procyclean 220'!E146,",","."),0))))</f>
        <v/>
      </c>
      <c r="AE2144" t="str">
        <f>IF(AA2144="","",'Procyclean 220'!B146)</f>
        <v/>
      </c>
      <c r="AF2144">
        <f t="shared" si="215"/>
        <v>0</v>
      </c>
      <c r="AG2144" t="str">
        <f t="shared" si="216"/>
        <v/>
      </c>
      <c r="AH2144" t="str">
        <f t="shared" si="217"/>
        <v/>
      </c>
      <c r="AI2144">
        <f t="shared" si="218"/>
        <v>0</v>
      </c>
      <c r="AJ2144">
        <f t="shared" si="219"/>
        <v>0</v>
      </c>
      <c r="AK2144">
        <v>0</v>
      </c>
      <c r="AL2144" t="str">
        <f>IF(AA2144="","",IFERROR(IF(ISNUMBER('Procyclean 220'!F146),'Procyclean 220'!F146,IF(ISNUMBER(SEARCH("12",'Procyclean 220'!F146)),EDATE(AB2144,12),IF(ISNUMBER(SEARCH("6",'Procyclean 220'!F146)),EDATE(AB2144,6),IF(ISNUMBER(SEARCH("3",'Procyclean 220'!F146)),EDATE(AB2144,3),DATEVALUE('Procyclean 220'!F146))))),""))</f>
        <v/>
      </c>
      <c r="AM2144" t="str">
        <f t="shared" ca="1" si="220"/>
        <v/>
      </c>
    </row>
    <row r="2145" spans="27:39" x14ac:dyDescent="0.3">
      <c r="AA2145" t="str">
        <f>IF(COUNTA('Procyclean 220'!C147,'Procyclean 220'!D147,'Procyclean 220'!E147)&gt;0,"220","")</f>
        <v/>
      </c>
      <c r="AB2145" t="str">
        <f>IFERROR(IF(ISNUMBER('Procyclean 220'!C147),'Procyclean 220'!C147,DATEVALUE('Procyclean 220'!C147)),"")</f>
        <v/>
      </c>
      <c r="AC2145" t="str">
        <f>IF(AA2145="","",'Procyclean 220'!D147)</f>
        <v/>
      </c>
      <c r="AD2145" t="str">
        <f>IF(AA2145="","",IFERROR(1*'Procyclean 220'!E147,IFERROR(_xludf.NUMBERVALUE('Procyclean 220'!E147,".",","),IFERROR(_xludf.NUMBERVALUE('Procyclean 220'!E147,",","."),0))))</f>
        <v/>
      </c>
      <c r="AE2145" t="str">
        <f>IF(AA2145="","",'Procyclean 220'!B147)</f>
        <v/>
      </c>
      <c r="AF2145">
        <f t="shared" si="215"/>
        <v>0</v>
      </c>
      <c r="AG2145" t="str">
        <f t="shared" si="216"/>
        <v/>
      </c>
      <c r="AH2145" t="str">
        <f t="shared" si="217"/>
        <v/>
      </c>
      <c r="AI2145">
        <f t="shared" si="218"/>
        <v>0</v>
      </c>
      <c r="AJ2145">
        <f t="shared" si="219"/>
        <v>0</v>
      </c>
      <c r="AK2145">
        <v>0</v>
      </c>
      <c r="AL2145" t="str">
        <f>IF(AA2145="","",IFERROR(IF(ISNUMBER('Procyclean 220'!F147),'Procyclean 220'!F147,IF(ISNUMBER(SEARCH("12",'Procyclean 220'!F147)),EDATE(AB2145,12),IF(ISNUMBER(SEARCH("6",'Procyclean 220'!F147)),EDATE(AB2145,6),IF(ISNUMBER(SEARCH("3",'Procyclean 220'!F147)),EDATE(AB2145,3),DATEVALUE('Procyclean 220'!F147))))),""))</f>
        <v/>
      </c>
      <c r="AM2145" t="str">
        <f t="shared" ca="1" si="220"/>
        <v/>
      </c>
    </row>
    <row r="2146" spans="27:39" x14ac:dyDescent="0.3">
      <c r="AA2146" t="str">
        <f>IF(COUNTA('Procyclean 220'!C148,'Procyclean 220'!D148,'Procyclean 220'!E148)&gt;0,"220","")</f>
        <v/>
      </c>
      <c r="AB2146" t="str">
        <f>IFERROR(IF(ISNUMBER('Procyclean 220'!C148),'Procyclean 220'!C148,DATEVALUE('Procyclean 220'!C148)),"")</f>
        <v/>
      </c>
      <c r="AC2146" t="str">
        <f>IF(AA2146="","",'Procyclean 220'!D148)</f>
        <v/>
      </c>
      <c r="AD2146" t="str">
        <f>IF(AA2146="","",IFERROR(1*'Procyclean 220'!E148,IFERROR(_xludf.NUMBERVALUE('Procyclean 220'!E148,".",","),IFERROR(_xludf.NUMBERVALUE('Procyclean 220'!E148,",","."),0))))</f>
        <v/>
      </c>
      <c r="AE2146" t="str">
        <f>IF(AA2146="","",'Procyclean 220'!B148)</f>
        <v/>
      </c>
      <c r="AF2146">
        <f t="shared" si="215"/>
        <v>0</v>
      </c>
      <c r="AG2146" t="str">
        <f t="shared" si="216"/>
        <v/>
      </c>
      <c r="AH2146" t="str">
        <f t="shared" si="217"/>
        <v/>
      </c>
      <c r="AI2146">
        <f t="shared" si="218"/>
        <v>0</v>
      </c>
      <c r="AJ2146">
        <f t="shared" si="219"/>
        <v>0</v>
      </c>
      <c r="AK2146">
        <v>0</v>
      </c>
      <c r="AL2146" t="str">
        <f>IF(AA2146="","",IFERROR(IF(ISNUMBER('Procyclean 220'!F148),'Procyclean 220'!F148,IF(ISNUMBER(SEARCH("12",'Procyclean 220'!F148)),EDATE(AB2146,12),IF(ISNUMBER(SEARCH("6",'Procyclean 220'!F148)),EDATE(AB2146,6),IF(ISNUMBER(SEARCH("3",'Procyclean 220'!F148)),EDATE(AB2146,3),DATEVALUE('Procyclean 220'!F148))))),""))</f>
        <v/>
      </c>
      <c r="AM2146" t="str">
        <f t="shared" ca="1" si="220"/>
        <v/>
      </c>
    </row>
    <row r="2147" spans="27:39" x14ac:dyDescent="0.3">
      <c r="AA2147" t="str">
        <f>IF(COUNTA('Procyclean 220'!C149,'Procyclean 220'!D149,'Procyclean 220'!E149)&gt;0,"220","")</f>
        <v/>
      </c>
      <c r="AB2147" t="str">
        <f>IFERROR(IF(ISNUMBER('Procyclean 220'!C149),'Procyclean 220'!C149,DATEVALUE('Procyclean 220'!C149)),"")</f>
        <v/>
      </c>
      <c r="AC2147" t="str">
        <f>IF(AA2147="","",'Procyclean 220'!D149)</f>
        <v/>
      </c>
      <c r="AD2147" t="str">
        <f>IF(AA2147="","",IFERROR(1*'Procyclean 220'!E149,IFERROR(_xludf.NUMBERVALUE('Procyclean 220'!E149,".",","),IFERROR(_xludf.NUMBERVALUE('Procyclean 220'!E149,",","."),0))))</f>
        <v/>
      </c>
      <c r="AE2147" t="str">
        <f>IF(AA2147="","",'Procyclean 220'!B149)</f>
        <v/>
      </c>
      <c r="AF2147">
        <f t="shared" si="215"/>
        <v>0</v>
      </c>
      <c r="AG2147" t="str">
        <f t="shared" si="216"/>
        <v/>
      </c>
      <c r="AH2147" t="str">
        <f t="shared" si="217"/>
        <v/>
      </c>
      <c r="AI2147">
        <f t="shared" si="218"/>
        <v>0</v>
      </c>
      <c r="AJ2147">
        <f t="shared" si="219"/>
        <v>0</v>
      </c>
      <c r="AK2147">
        <v>0</v>
      </c>
      <c r="AL2147" t="str">
        <f>IF(AA2147="","",IFERROR(IF(ISNUMBER('Procyclean 220'!F149),'Procyclean 220'!F149,IF(ISNUMBER(SEARCH("12",'Procyclean 220'!F149)),EDATE(AB2147,12),IF(ISNUMBER(SEARCH("6",'Procyclean 220'!F149)),EDATE(AB2147,6),IF(ISNUMBER(SEARCH("3",'Procyclean 220'!F149)),EDATE(AB2147,3),DATEVALUE('Procyclean 220'!F149))))),""))</f>
        <v/>
      </c>
      <c r="AM2147" t="str">
        <f t="shared" ca="1" si="220"/>
        <v/>
      </c>
    </row>
    <row r="2148" spans="27:39" x14ac:dyDescent="0.3">
      <c r="AA2148" t="str">
        <f>IF(COUNTA('Procyclean 220'!C150,'Procyclean 220'!D150,'Procyclean 220'!E150)&gt;0,"220","")</f>
        <v/>
      </c>
      <c r="AB2148" t="str">
        <f>IFERROR(IF(ISNUMBER('Procyclean 220'!C150),'Procyclean 220'!C150,DATEVALUE('Procyclean 220'!C150)),"")</f>
        <v/>
      </c>
      <c r="AC2148" t="str">
        <f>IF(AA2148="","",'Procyclean 220'!D150)</f>
        <v/>
      </c>
      <c r="AD2148" t="str">
        <f>IF(AA2148="","",IFERROR(1*'Procyclean 220'!E150,IFERROR(_xludf.NUMBERVALUE('Procyclean 220'!E150,".",","),IFERROR(_xludf.NUMBERVALUE('Procyclean 220'!E150,",","."),0))))</f>
        <v/>
      </c>
      <c r="AE2148" t="str">
        <f>IF(AA2148="","",'Procyclean 220'!B150)</f>
        <v/>
      </c>
      <c r="AF2148">
        <f t="shared" si="215"/>
        <v>0</v>
      </c>
      <c r="AG2148" t="str">
        <f t="shared" si="216"/>
        <v/>
      </c>
      <c r="AH2148" t="str">
        <f t="shared" si="217"/>
        <v/>
      </c>
      <c r="AI2148">
        <f t="shared" si="218"/>
        <v>0</v>
      </c>
      <c r="AJ2148">
        <f t="shared" si="219"/>
        <v>0</v>
      </c>
      <c r="AK2148">
        <v>0</v>
      </c>
      <c r="AL2148" t="str">
        <f>IF(AA2148="","",IFERROR(IF(ISNUMBER('Procyclean 220'!F150),'Procyclean 220'!F150,IF(ISNUMBER(SEARCH("12",'Procyclean 220'!F150)),EDATE(AB2148,12),IF(ISNUMBER(SEARCH("6",'Procyclean 220'!F150)),EDATE(AB2148,6),IF(ISNUMBER(SEARCH("3",'Procyclean 220'!F150)),EDATE(AB2148,3),DATEVALUE('Procyclean 220'!F150))))),""))</f>
        <v/>
      </c>
      <c r="AM2148" t="str">
        <f t="shared" ca="1" si="220"/>
        <v/>
      </c>
    </row>
    <row r="2149" spans="27:39" x14ac:dyDescent="0.3">
      <c r="AA2149" t="str">
        <f>IF(COUNTA('Procyclean 220'!C151,'Procyclean 220'!D151,'Procyclean 220'!E151)&gt;0,"220","")</f>
        <v/>
      </c>
      <c r="AB2149" t="str">
        <f>IFERROR(IF(ISNUMBER('Procyclean 220'!C151),'Procyclean 220'!C151,DATEVALUE('Procyclean 220'!C151)),"")</f>
        <v/>
      </c>
      <c r="AC2149" t="str">
        <f>IF(AA2149="","",'Procyclean 220'!D151)</f>
        <v/>
      </c>
      <c r="AD2149" t="str">
        <f>IF(AA2149="","",IFERROR(1*'Procyclean 220'!E151,IFERROR(_xludf.NUMBERVALUE('Procyclean 220'!E151,".",","),IFERROR(_xludf.NUMBERVALUE('Procyclean 220'!E151,",","."),0))))</f>
        <v/>
      </c>
      <c r="AE2149" t="str">
        <f>IF(AA2149="","",'Procyclean 220'!B151)</f>
        <v/>
      </c>
      <c r="AF2149">
        <f t="shared" si="215"/>
        <v>0</v>
      </c>
      <c r="AG2149" t="str">
        <f t="shared" si="216"/>
        <v/>
      </c>
      <c r="AH2149" t="str">
        <f t="shared" si="217"/>
        <v/>
      </c>
      <c r="AI2149">
        <f t="shared" si="218"/>
        <v>0</v>
      </c>
      <c r="AJ2149">
        <f t="shared" si="219"/>
        <v>0</v>
      </c>
      <c r="AK2149">
        <v>0</v>
      </c>
      <c r="AL2149" t="str">
        <f>IF(AA2149="","",IFERROR(IF(ISNUMBER('Procyclean 220'!F151),'Procyclean 220'!F151,IF(ISNUMBER(SEARCH("12",'Procyclean 220'!F151)),EDATE(AB2149,12),IF(ISNUMBER(SEARCH("6",'Procyclean 220'!F151)),EDATE(AB2149,6),IF(ISNUMBER(SEARCH("3",'Procyclean 220'!F151)),EDATE(AB2149,3),DATEVALUE('Procyclean 220'!F151))))),""))</f>
        <v/>
      </c>
      <c r="AM2149" t="str">
        <f t="shared" ca="1" si="220"/>
        <v/>
      </c>
    </row>
    <row r="2150" spans="27:39" x14ac:dyDescent="0.3">
      <c r="AA2150" t="str">
        <f>IF(COUNTA('Procyclean 220'!C152,'Procyclean 220'!D152,'Procyclean 220'!E152)&gt;0,"220","")</f>
        <v/>
      </c>
      <c r="AB2150" t="str">
        <f>IFERROR(IF(ISNUMBER('Procyclean 220'!C152),'Procyclean 220'!C152,DATEVALUE('Procyclean 220'!C152)),"")</f>
        <v/>
      </c>
      <c r="AC2150" t="str">
        <f>IF(AA2150="","",'Procyclean 220'!D152)</f>
        <v/>
      </c>
      <c r="AD2150" t="str">
        <f>IF(AA2150="","",IFERROR(1*'Procyclean 220'!E152,IFERROR(_xludf.NUMBERVALUE('Procyclean 220'!E152,".",","),IFERROR(_xludf.NUMBERVALUE('Procyclean 220'!E152,",","."),0))))</f>
        <v/>
      </c>
      <c r="AE2150" t="str">
        <f>IF(AA2150="","",'Procyclean 220'!B152)</f>
        <v/>
      </c>
      <c r="AF2150">
        <f t="shared" si="215"/>
        <v>0</v>
      </c>
      <c r="AG2150" t="str">
        <f t="shared" si="216"/>
        <v/>
      </c>
      <c r="AH2150" t="str">
        <f t="shared" si="217"/>
        <v/>
      </c>
      <c r="AI2150">
        <f t="shared" si="218"/>
        <v>0</v>
      </c>
      <c r="AJ2150">
        <f t="shared" si="219"/>
        <v>0</v>
      </c>
      <c r="AK2150">
        <v>0</v>
      </c>
      <c r="AL2150" t="str">
        <f>IF(AA2150="","",IFERROR(IF(ISNUMBER('Procyclean 220'!F152),'Procyclean 220'!F152,IF(ISNUMBER(SEARCH("12",'Procyclean 220'!F152)),EDATE(AB2150,12),IF(ISNUMBER(SEARCH("6",'Procyclean 220'!F152)),EDATE(AB2150,6),IF(ISNUMBER(SEARCH("3",'Procyclean 220'!F152)),EDATE(AB2150,3),DATEVALUE('Procyclean 220'!F152))))),""))</f>
        <v/>
      </c>
      <c r="AM2150" t="str">
        <f t="shared" ca="1" si="220"/>
        <v/>
      </c>
    </row>
    <row r="2151" spans="27:39" x14ac:dyDescent="0.3">
      <c r="AA2151" t="str">
        <f>IF(COUNTA('Procyclean 220'!C153,'Procyclean 220'!D153,'Procyclean 220'!E153)&gt;0,"220","")</f>
        <v/>
      </c>
      <c r="AB2151" t="str">
        <f>IFERROR(IF(ISNUMBER('Procyclean 220'!C153),'Procyclean 220'!C153,DATEVALUE('Procyclean 220'!C153)),"")</f>
        <v/>
      </c>
      <c r="AC2151" t="str">
        <f>IF(AA2151="","",'Procyclean 220'!D153)</f>
        <v/>
      </c>
      <c r="AD2151" t="str">
        <f>IF(AA2151="","",IFERROR(1*'Procyclean 220'!E153,IFERROR(_xludf.NUMBERVALUE('Procyclean 220'!E153,".",","),IFERROR(_xludf.NUMBERVALUE('Procyclean 220'!E153,",","."),0))))</f>
        <v/>
      </c>
      <c r="AE2151" t="str">
        <f>IF(AA2151="","",'Procyclean 220'!B153)</f>
        <v/>
      </c>
      <c r="AF2151">
        <f t="shared" si="215"/>
        <v>0</v>
      </c>
      <c r="AG2151" t="str">
        <f t="shared" si="216"/>
        <v/>
      </c>
      <c r="AH2151" t="str">
        <f t="shared" si="217"/>
        <v/>
      </c>
      <c r="AI2151">
        <f t="shared" si="218"/>
        <v>0</v>
      </c>
      <c r="AJ2151">
        <f t="shared" si="219"/>
        <v>0</v>
      </c>
      <c r="AK2151">
        <v>0</v>
      </c>
      <c r="AL2151" t="str">
        <f>IF(AA2151="","",IFERROR(IF(ISNUMBER('Procyclean 220'!F153),'Procyclean 220'!F153,IF(ISNUMBER(SEARCH("12",'Procyclean 220'!F153)),EDATE(AB2151,12),IF(ISNUMBER(SEARCH("6",'Procyclean 220'!F153)),EDATE(AB2151,6),IF(ISNUMBER(SEARCH("3",'Procyclean 220'!F153)),EDATE(AB2151,3),DATEVALUE('Procyclean 220'!F153))))),""))</f>
        <v/>
      </c>
      <c r="AM2151" t="str">
        <f t="shared" ca="1" si="220"/>
        <v/>
      </c>
    </row>
    <row r="2152" spans="27:39" x14ac:dyDescent="0.3">
      <c r="AA2152" t="str">
        <f>IF(COUNTA('Procyclean 220'!C154,'Procyclean 220'!D154,'Procyclean 220'!E154)&gt;0,"220","")</f>
        <v/>
      </c>
      <c r="AB2152" t="str">
        <f>IFERROR(IF(ISNUMBER('Procyclean 220'!C154),'Procyclean 220'!C154,DATEVALUE('Procyclean 220'!C154)),"")</f>
        <v/>
      </c>
      <c r="AC2152" t="str">
        <f>IF(AA2152="","",'Procyclean 220'!D154)</f>
        <v/>
      </c>
      <c r="AD2152" t="str">
        <f>IF(AA2152="","",IFERROR(1*'Procyclean 220'!E154,IFERROR(_xludf.NUMBERVALUE('Procyclean 220'!E154,".",","),IFERROR(_xludf.NUMBERVALUE('Procyclean 220'!E154,",","."),0))))</f>
        <v/>
      </c>
      <c r="AE2152" t="str">
        <f>IF(AA2152="","",'Procyclean 220'!B154)</f>
        <v/>
      </c>
      <c r="AF2152">
        <f t="shared" si="215"/>
        <v>0</v>
      </c>
      <c r="AG2152" t="str">
        <f t="shared" si="216"/>
        <v/>
      </c>
      <c r="AH2152" t="str">
        <f t="shared" si="217"/>
        <v/>
      </c>
      <c r="AI2152">
        <f t="shared" si="218"/>
        <v>0</v>
      </c>
      <c r="AJ2152">
        <f t="shared" si="219"/>
        <v>0</v>
      </c>
      <c r="AK2152">
        <v>0</v>
      </c>
      <c r="AL2152" t="str">
        <f>IF(AA2152="","",IFERROR(IF(ISNUMBER('Procyclean 220'!F154),'Procyclean 220'!F154,IF(ISNUMBER(SEARCH("12",'Procyclean 220'!F154)),EDATE(AB2152,12),IF(ISNUMBER(SEARCH("6",'Procyclean 220'!F154)),EDATE(AB2152,6),IF(ISNUMBER(SEARCH("3",'Procyclean 220'!F154)),EDATE(AB2152,3),DATEVALUE('Procyclean 220'!F154))))),""))</f>
        <v/>
      </c>
      <c r="AM2152" t="str">
        <f t="shared" ca="1" si="220"/>
        <v/>
      </c>
    </row>
    <row r="2153" spans="27:39" x14ac:dyDescent="0.3">
      <c r="AA2153" t="str">
        <f>IF(COUNTA('Procyclean 220'!C155,'Procyclean 220'!D155,'Procyclean 220'!E155)&gt;0,"220","")</f>
        <v/>
      </c>
      <c r="AB2153" t="str">
        <f>IFERROR(IF(ISNUMBER('Procyclean 220'!C155),'Procyclean 220'!C155,DATEVALUE('Procyclean 220'!C155)),"")</f>
        <v/>
      </c>
      <c r="AC2153" t="str">
        <f>IF(AA2153="","",'Procyclean 220'!D155)</f>
        <v/>
      </c>
      <c r="AD2153" t="str">
        <f>IF(AA2153="","",IFERROR(1*'Procyclean 220'!E155,IFERROR(_xludf.NUMBERVALUE('Procyclean 220'!E155,".",","),IFERROR(_xludf.NUMBERVALUE('Procyclean 220'!E155,",","."),0))))</f>
        <v/>
      </c>
      <c r="AE2153" t="str">
        <f>IF(AA2153="","",'Procyclean 220'!B155)</f>
        <v/>
      </c>
      <c r="AF2153">
        <f t="shared" si="215"/>
        <v>0</v>
      </c>
      <c r="AG2153" t="str">
        <f t="shared" si="216"/>
        <v/>
      </c>
      <c r="AH2153" t="str">
        <f t="shared" si="217"/>
        <v/>
      </c>
      <c r="AI2153">
        <f t="shared" si="218"/>
        <v>0</v>
      </c>
      <c r="AJ2153">
        <f t="shared" si="219"/>
        <v>0</v>
      </c>
      <c r="AK2153">
        <v>0</v>
      </c>
      <c r="AL2153" t="str">
        <f>IF(AA2153="","",IFERROR(IF(ISNUMBER('Procyclean 220'!F155),'Procyclean 220'!F155,IF(ISNUMBER(SEARCH("12",'Procyclean 220'!F155)),EDATE(AB2153,12),IF(ISNUMBER(SEARCH("6",'Procyclean 220'!F155)),EDATE(AB2153,6),IF(ISNUMBER(SEARCH("3",'Procyclean 220'!F155)),EDATE(AB2153,3),DATEVALUE('Procyclean 220'!F155))))),""))</f>
        <v/>
      </c>
      <c r="AM2153" t="str">
        <f t="shared" ca="1" si="220"/>
        <v/>
      </c>
    </row>
    <row r="2154" spans="27:39" x14ac:dyDescent="0.3">
      <c r="AA2154" t="str">
        <f>IF(COUNTA('Procyclean 220'!C156,'Procyclean 220'!D156,'Procyclean 220'!E156)&gt;0,"220","")</f>
        <v/>
      </c>
      <c r="AB2154" t="str">
        <f>IFERROR(IF(ISNUMBER('Procyclean 220'!C156),'Procyclean 220'!C156,DATEVALUE('Procyclean 220'!C156)),"")</f>
        <v/>
      </c>
      <c r="AC2154" t="str">
        <f>IF(AA2154="","",'Procyclean 220'!D156)</f>
        <v/>
      </c>
      <c r="AD2154" t="str">
        <f>IF(AA2154="","",IFERROR(1*'Procyclean 220'!E156,IFERROR(_xludf.NUMBERVALUE('Procyclean 220'!E156,".",","),IFERROR(_xludf.NUMBERVALUE('Procyclean 220'!E156,",","."),0))))</f>
        <v/>
      </c>
      <c r="AE2154" t="str">
        <f>IF(AA2154="","",'Procyclean 220'!B156)</f>
        <v/>
      </c>
      <c r="AF2154">
        <f t="shared" si="215"/>
        <v>0</v>
      </c>
      <c r="AG2154" t="str">
        <f t="shared" si="216"/>
        <v/>
      </c>
      <c r="AH2154" t="str">
        <f t="shared" si="217"/>
        <v/>
      </c>
      <c r="AI2154">
        <f t="shared" si="218"/>
        <v>0</v>
      </c>
      <c r="AJ2154">
        <f t="shared" si="219"/>
        <v>0</v>
      </c>
      <c r="AK2154">
        <v>0</v>
      </c>
      <c r="AL2154" t="str">
        <f>IF(AA2154="","",IFERROR(IF(ISNUMBER('Procyclean 220'!F156),'Procyclean 220'!F156,IF(ISNUMBER(SEARCH("12",'Procyclean 220'!F156)),EDATE(AB2154,12),IF(ISNUMBER(SEARCH("6",'Procyclean 220'!F156)),EDATE(AB2154,6),IF(ISNUMBER(SEARCH("3",'Procyclean 220'!F156)),EDATE(AB2154,3),DATEVALUE('Procyclean 220'!F156))))),""))</f>
        <v/>
      </c>
      <c r="AM2154" t="str">
        <f t="shared" ca="1" si="220"/>
        <v/>
      </c>
    </row>
    <row r="2155" spans="27:39" x14ac:dyDescent="0.3">
      <c r="AA2155" t="str">
        <f>IF(COUNTA('Procyclean 220'!C157,'Procyclean 220'!D157,'Procyclean 220'!E157)&gt;0,"220","")</f>
        <v/>
      </c>
      <c r="AB2155" t="str">
        <f>IFERROR(IF(ISNUMBER('Procyclean 220'!C157),'Procyclean 220'!C157,DATEVALUE('Procyclean 220'!C157)),"")</f>
        <v/>
      </c>
      <c r="AC2155" t="str">
        <f>IF(AA2155="","",'Procyclean 220'!D157)</f>
        <v/>
      </c>
      <c r="AD2155" t="str">
        <f>IF(AA2155="","",IFERROR(1*'Procyclean 220'!E157,IFERROR(_xludf.NUMBERVALUE('Procyclean 220'!E157,".",","),IFERROR(_xludf.NUMBERVALUE('Procyclean 220'!E157,",","."),0))))</f>
        <v/>
      </c>
      <c r="AE2155" t="str">
        <f>IF(AA2155="","",'Procyclean 220'!B157)</f>
        <v/>
      </c>
      <c r="AF2155">
        <f t="shared" si="215"/>
        <v>0</v>
      </c>
      <c r="AG2155" t="str">
        <f t="shared" si="216"/>
        <v/>
      </c>
      <c r="AH2155" t="str">
        <f t="shared" si="217"/>
        <v/>
      </c>
      <c r="AI2155">
        <f t="shared" si="218"/>
        <v>0</v>
      </c>
      <c r="AJ2155">
        <f t="shared" si="219"/>
        <v>0</v>
      </c>
      <c r="AK2155">
        <v>0</v>
      </c>
      <c r="AL2155" t="str">
        <f>IF(AA2155="","",IFERROR(IF(ISNUMBER('Procyclean 220'!F157),'Procyclean 220'!F157,IF(ISNUMBER(SEARCH("12",'Procyclean 220'!F157)),EDATE(AB2155,12),IF(ISNUMBER(SEARCH("6",'Procyclean 220'!F157)),EDATE(AB2155,6),IF(ISNUMBER(SEARCH("3",'Procyclean 220'!F157)),EDATE(AB2155,3),DATEVALUE('Procyclean 220'!F157))))),""))</f>
        <v/>
      </c>
      <c r="AM2155" t="str">
        <f t="shared" ca="1" si="220"/>
        <v/>
      </c>
    </row>
    <row r="2156" spans="27:39" x14ac:dyDescent="0.3">
      <c r="AA2156" t="str">
        <f>IF(COUNTA('Procyclean 220'!C158,'Procyclean 220'!D158,'Procyclean 220'!E158)&gt;0,"220","")</f>
        <v/>
      </c>
      <c r="AB2156" t="str">
        <f>IFERROR(IF(ISNUMBER('Procyclean 220'!C158),'Procyclean 220'!C158,DATEVALUE('Procyclean 220'!C158)),"")</f>
        <v/>
      </c>
      <c r="AC2156" t="str">
        <f>IF(AA2156="","",'Procyclean 220'!D158)</f>
        <v/>
      </c>
      <c r="AD2156" t="str">
        <f>IF(AA2156="","",IFERROR(1*'Procyclean 220'!E158,IFERROR(_xludf.NUMBERVALUE('Procyclean 220'!E158,".",","),IFERROR(_xludf.NUMBERVALUE('Procyclean 220'!E158,",","."),0))))</f>
        <v/>
      </c>
      <c r="AE2156" t="str">
        <f>IF(AA2156="","",'Procyclean 220'!B158)</f>
        <v/>
      </c>
      <c r="AF2156">
        <f t="shared" si="215"/>
        <v>0</v>
      </c>
      <c r="AG2156" t="str">
        <f t="shared" si="216"/>
        <v/>
      </c>
      <c r="AH2156" t="str">
        <f t="shared" si="217"/>
        <v/>
      </c>
      <c r="AI2156">
        <f t="shared" si="218"/>
        <v>0</v>
      </c>
      <c r="AJ2156">
        <f t="shared" si="219"/>
        <v>0</v>
      </c>
      <c r="AK2156">
        <v>0</v>
      </c>
      <c r="AL2156" t="str">
        <f>IF(AA2156="","",IFERROR(IF(ISNUMBER('Procyclean 220'!F158),'Procyclean 220'!F158,IF(ISNUMBER(SEARCH("12",'Procyclean 220'!F158)),EDATE(AB2156,12),IF(ISNUMBER(SEARCH("6",'Procyclean 220'!F158)),EDATE(AB2156,6),IF(ISNUMBER(SEARCH("3",'Procyclean 220'!F158)),EDATE(AB2156,3),DATEVALUE('Procyclean 220'!F158))))),""))</f>
        <v/>
      </c>
      <c r="AM2156" t="str">
        <f t="shared" ca="1" si="220"/>
        <v/>
      </c>
    </row>
    <row r="2157" spans="27:39" x14ac:dyDescent="0.3">
      <c r="AA2157" t="str">
        <f>IF(COUNTA('Procyclean 220'!C159,'Procyclean 220'!D159,'Procyclean 220'!E159)&gt;0,"220","")</f>
        <v/>
      </c>
      <c r="AB2157" t="str">
        <f>IFERROR(IF(ISNUMBER('Procyclean 220'!C159),'Procyclean 220'!C159,DATEVALUE('Procyclean 220'!C159)),"")</f>
        <v/>
      </c>
      <c r="AC2157" t="str">
        <f>IF(AA2157="","",'Procyclean 220'!D159)</f>
        <v/>
      </c>
      <c r="AD2157" t="str">
        <f>IF(AA2157="","",IFERROR(1*'Procyclean 220'!E159,IFERROR(_xludf.NUMBERVALUE('Procyclean 220'!E159,".",","),IFERROR(_xludf.NUMBERVALUE('Procyclean 220'!E159,",","."),0))))</f>
        <v/>
      </c>
      <c r="AE2157" t="str">
        <f>IF(AA2157="","",'Procyclean 220'!B159)</f>
        <v/>
      </c>
      <c r="AF2157">
        <f t="shared" si="215"/>
        <v>0</v>
      </c>
      <c r="AG2157" t="str">
        <f t="shared" si="216"/>
        <v/>
      </c>
      <c r="AH2157" t="str">
        <f t="shared" si="217"/>
        <v/>
      </c>
      <c r="AI2157">
        <f t="shared" si="218"/>
        <v>0</v>
      </c>
      <c r="AJ2157">
        <f t="shared" si="219"/>
        <v>0</v>
      </c>
      <c r="AK2157">
        <v>0</v>
      </c>
      <c r="AL2157" t="str">
        <f>IF(AA2157="","",IFERROR(IF(ISNUMBER('Procyclean 220'!F159),'Procyclean 220'!F159,IF(ISNUMBER(SEARCH("12",'Procyclean 220'!F159)),EDATE(AB2157,12),IF(ISNUMBER(SEARCH("6",'Procyclean 220'!F159)),EDATE(AB2157,6),IF(ISNUMBER(SEARCH("3",'Procyclean 220'!F159)),EDATE(AB2157,3),DATEVALUE('Procyclean 220'!F159))))),""))</f>
        <v/>
      </c>
      <c r="AM2157" t="str">
        <f t="shared" ca="1" si="220"/>
        <v/>
      </c>
    </row>
    <row r="2158" spans="27:39" x14ac:dyDescent="0.3">
      <c r="AA2158" t="str">
        <f>IF(COUNTA('Procyclean 220'!C160,'Procyclean 220'!D160,'Procyclean 220'!E160)&gt;0,"220","")</f>
        <v/>
      </c>
      <c r="AB2158" t="str">
        <f>IFERROR(IF(ISNUMBER('Procyclean 220'!C160),'Procyclean 220'!C160,DATEVALUE('Procyclean 220'!C160)),"")</f>
        <v/>
      </c>
      <c r="AC2158" t="str">
        <f>IF(AA2158="","",'Procyclean 220'!D160)</f>
        <v/>
      </c>
      <c r="AD2158" t="str">
        <f>IF(AA2158="","",IFERROR(1*'Procyclean 220'!E160,IFERROR(_xludf.NUMBERVALUE('Procyclean 220'!E160,".",","),IFERROR(_xludf.NUMBERVALUE('Procyclean 220'!E160,",","."),0))))</f>
        <v/>
      </c>
      <c r="AE2158" t="str">
        <f>IF(AA2158="","",'Procyclean 220'!B160)</f>
        <v/>
      </c>
      <c r="AF2158">
        <f t="shared" si="215"/>
        <v>0</v>
      </c>
      <c r="AG2158" t="str">
        <f t="shared" si="216"/>
        <v/>
      </c>
      <c r="AH2158" t="str">
        <f t="shared" si="217"/>
        <v/>
      </c>
      <c r="AI2158">
        <f t="shared" si="218"/>
        <v>0</v>
      </c>
      <c r="AJ2158">
        <f t="shared" si="219"/>
        <v>0</v>
      </c>
      <c r="AK2158">
        <v>0</v>
      </c>
      <c r="AL2158" t="str">
        <f>IF(AA2158="","",IFERROR(IF(ISNUMBER('Procyclean 220'!F160),'Procyclean 220'!F160,IF(ISNUMBER(SEARCH("12",'Procyclean 220'!F160)),EDATE(AB2158,12),IF(ISNUMBER(SEARCH("6",'Procyclean 220'!F160)),EDATE(AB2158,6),IF(ISNUMBER(SEARCH("3",'Procyclean 220'!F160)),EDATE(AB2158,3),DATEVALUE('Procyclean 220'!F160))))),""))</f>
        <v/>
      </c>
      <c r="AM2158" t="str">
        <f t="shared" ca="1" si="220"/>
        <v/>
      </c>
    </row>
    <row r="2159" spans="27:39" x14ac:dyDescent="0.3">
      <c r="AA2159" t="str">
        <f>IF(COUNTA('Procyclean 220'!C161,'Procyclean 220'!D161,'Procyclean 220'!E161)&gt;0,"220","")</f>
        <v/>
      </c>
      <c r="AB2159" t="str">
        <f>IFERROR(IF(ISNUMBER('Procyclean 220'!C161),'Procyclean 220'!C161,DATEVALUE('Procyclean 220'!C161)),"")</f>
        <v/>
      </c>
      <c r="AC2159" t="str">
        <f>IF(AA2159="","",'Procyclean 220'!D161)</f>
        <v/>
      </c>
      <c r="AD2159" t="str">
        <f>IF(AA2159="","",IFERROR(1*'Procyclean 220'!E161,IFERROR(_xludf.NUMBERVALUE('Procyclean 220'!E161,".",","),IFERROR(_xludf.NUMBERVALUE('Procyclean 220'!E161,",","."),0))))</f>
        <v/>
      </c>
      <c r="AE2159" t="str">
        <f>IF(AA2159="","",'Procyclean 220'!B161)</f>
        <v/>
      </c>
      <c r="AF2159">
        <f t="shared" si="215"/>
        <v>0</v>
      </c>
      <c r="AG2159" t="str">
        <f t="shared" si="216"/>
        <v/>
      </c>
      <c r="AH2159" t="str">
        <f t="shared" si="217"/>
        <v/>
      </c>
      <c r="AI2159">
        <f t="shared" si="218"/>
        <v>0</v>
      </c>
      <c r="AJ2159">
        <f t="shared" si="219"/>
        <v>0</v>
      </c>
      <c r="AK2159">
        <v>0</v>
      </c>
      <c r="AL2159" t="str">
        <f>IF(AA2159="","",IFERROR(IF(ISNUMBER('Procyclean 220'!F161),'Procyclean 220'!F161,IF(ISNUMBER(SEARCH("12",'Procyclean 220'!F161)),EDATE(AB2159,12),IF(ISNUMBER(SEARCH("6",'Procyclean 220'!F161)),EDATE(AB2159,6),IF(ISNUMBER(SEARCH("3",'Procyclean 220'!F161)),EDATE(AB2159,3),DATEVALUE('Procyclean 220'!F161))))),""))</f>
        <v/>
      </c>
      <c r="AM2159" t="str">
        <f t="shared" ca="1" si="220"/>
        <v/>
      </c>
    </row>
    <row r="2160" spans="27:39" x14ac:dyDescent="0.3">
      <c r="AA2160" t="str">
        <f>IF(COUNTA('Procyclean 220'!C162,'Procyclean 220'!D162,'Procyclean 220'!E162)&gt;0,"220","")</f>
        <v/>
      </c>
      <c r="AB2160" t="str">
        <f>IFERROR(IF(ISNUMBER('Procyclean 220'!C162),'Procyclean 220'!C162,DATEVALUE('Procyclean 220'!C162)),"")</f>
        <v/>
      </c>
      <c r="AC2160" t="str">
        <f>IF(AA2160="","",'Procyclean 220'!D162)</f>
        <v/>
      </c>
      <c r="AD2160" t="str">
        <f>IF(AA2160="","",IFERROR(1*'Procyclean 220'!E162,IFERROR(_xludf.NUMBERVALUE('Procyclean 220'!E162,".",","),IFERROR(_xludf.NUMBERVALUE('Procyclean 220'!E162,",","."),0))))</f>
        <v/>
      </c>
      <c r="AE2160" t="str">
        <f>IF(AA2160="","",'Procyclean 220'!B162)</f>
        <v/>
      </c>
      <c r="AF2160">
        <f t="shared" si="215"/>
        <v>0</v>
      </c>
      <c r="AG2160" t="str">
        <f t="shared" si="216"/>
        <v/>
      </c>
      <c r="AH2160" t="str">
        <f t="shared" si="217"/>
        <v/>
      </c>
      <c r="AI2160">
        <f t="shared" si="218"/>
        <v>0</v>
      </c>
      <c r="AJ2160">
        <f t="shared" si="219"/>
        <v>0</v>
      </c>
      <c r="AK2160">
        <v>0</v>
      </c>
      <c r="AL2160" t="str">
        <f>IF(AA2160="","",IFERROR(IF(ISNUMBER('Procyclean 220'!F162),'Procyclean 220'!F162,IF(ISNUMBER(SEARCH("12",'Procyclean 220'!F162)),EDATE(AB2160,12),IF(ISNUMBER(SEARCH("6",'Procyclean 220'!F162)),EDATE(AB2160,6),IF(ISNUMBER(SEARCH("3",'Procyclean 220'!F162)),EDATE(AB2160,3),DATEVALUE('Procyclean 220'!F162))))),""))</f>
        <v/>
      </c>
      <c r="AM2160" t="str">
        <f t="shared" ca="1" si="220"/>
        <v/>
      </c>
    </row>
    <row r="2161" spans="27:39" x14ac:dyDescent="0.3">
      <c r="AA2161" t="str">
        <f>IF(COUNTA('Procyclean 220'!C163,'Procyclean 220'!D163,'Procyclean 220'!E163)&gt;0,"220","")</f>
        <v/>
      </c>
      <c r="AB2161" t="str">
        <f>IFERROR(IF(ISNUMBER('Procyclean 220'!C163),'Procyclean 220'!C163,DATEVALUE('Procyclean 220'!C163)),"")</f>
        <v/>
      </c>
      <c r="AC2161" t="str">
        <f>IF(AA2161="","",'Procyclean 220'!D163)</f>
        <v/>
      </c>
      <c r="AD2161" t="str">
        <f>IF(AA2161="","",IFERROR(1*'Procyclean 220'!E163,IFERROR(_xludf.NUMBERVALUE('Procyclean 220'!E163,".",","),IFERROR(_xludf.NUMBERVALUE('Procyclean 220'!E163,",","."),0))))</f>
        <v/>
      </c>
      <c r="AE2161" t="str">
        <f>IF(AA2161="","",'Procyclean 220'!B163)</f>
        <v/>
      </c>
      <c r="AF2161">
        <f t="shared" si="215"/>
        <v>0</v>
      </c>
      <c r="AG2161" t="str">
        <f t="shared" si="216"/>
        <v/>
      </c>
      <c r="AH2161" t="str">
        <f t="shared" si="217"/>
        <v/>
      </c>
      <c r="AI2161">
        <f t="shared" si="218"/>
        <v>0</v>
      </c>
      <c r="AJ2161">
        <f t="shared" si="219"/>
        <v>0</v>
      </c>
      <c r="AK2161">
        <v>0</v>
      </c>
      <c r="AL2161" t="str">
        <f>IF(AA2161="","",IFERROR(IF(ISNUMBER('Procyclean 220'!F163),'Procyclean 220'!F163,IF(ISNUMBER(SEARCH("12",'Procyclean 220'!F163)),EDATE(AB2161,12),IF(ISNUMBER(SEARCH("6",'Procyclean 220'!F163)),EDATE(AB2161,6),IF(ISNUMBER(SEARCH("3",'Procyclean 220'!F163)),EDATE(AB2161,3),DATEVALUE('Procyclean 220'!F163))))),""))</f>
        <v/>
      </c>
      <c r="AM2161" t="str">
        <f t="shared" ca="1" si="220"/>
        <v/>
      </c>
    </row>
    <row r="2162" spans="27:39" x14ac:dyDescent="0.3">
      <c r="AA2162" t="str">
        <f>IF(COUNTA('Procyclean 220'!C164,'Procyclean 220'!D164,'Procyclean 220'!E164)&gt;0,"220","")</f>
        <v/>
      </c>
      <c r="AB2162" t="str">
        <f>IFERROR(IF(ISNUMBER('Procyclean 220'!C164),'Procyclean 220'!C164,DATEVALUE('Procyclean 220'!C164)),"")</f>
        <v/>
      </c>
      <c r="AC2162" t="str">
        <f>IF(AA2162="","",'Procyclean 220'!D164)</f>
        <v/>
      </c>
      <c r="AD2162" t="str">
        <f>IF(AA2162="","",IFERROR(1*'Procyclean 220'!E164,IFERROR(_xludf.NUMBERVALUE('Procyclean 220'!E164,".",","),IFERROR(_xludf.NUMBERVALUE('Procyclean 220'!E164,",","."),0))))</f>
        <v/>
      </c>
      <c r="AE2162" t="str">
        <f>IF(AA2162="","",'Procyclean 220'!B164)</f>
        <v/>
      </c>
      <c r="AF2162">
        <f t="shared" si="215"/>
        <v>0</v>
      </c>
      <c r="AG2162" t="str">
        <f t="shared" si="216"/>
        <v/>
      </c>
      <c r="AH2162" t="str">
        <f t="shared" si="217"/>
        <v/>
      </c>
      <c r="AI2162">
        <f t="shared" si="218"/>
        <v>0</v>
      </c>
      <c r="AJ2162">
        <f t="shared" si="219"/>
        <v>0</v>
      </c>
      <c r="AK2162">
        <v>0</v>
      </c>
      <c r="AL2162" t="str">
        <f>IF(AA2162="","",IFERROR(IF(ISNUMBER('Procyclean 220'!F164),'Procyclean 220'!F164,IF(ISNUMBER(SEARCH("12",'Procyclean 220'!F164)),EDATE(AB2162,12),IF(ISNUMBER(SEARCH("6",'Procyclean 220'!F164)),EDATE(AB2162,6),IF(ISNUMBER(SEARCH("3",'Procyclean 220'!F164)),EDATE(AB2162,3),DATEVALUE('Procyclean 220'!F164))))),""))</f>
        <v/>
      </c>
      <c r="AM2162" t="str">
        <f t="shared" ca="1" si="220"/>
        <v/>
      </c>
    </row>
    <row r="2163" spans="27:39" x14ac:dyDescent="0.3">
      <c r="AA2163" t="str">
        <f>IF(COUNTA('Procyclean 220'!C165,'Procyclean 220'!D165,'Procyclean 220'!E165)&gt;0,"220","")</f>
        <v/>
      </c>
      <c r="AB2163" t="str">
        <f>IFERROR(IF(ISNUMBER('Procyclean 220'!C165),'Procyclean 220'!C165,DATEVALUE('Procyclean 220'!C165)),"")</f>
        <v/>
      </c>
      <c r="AC2163" t="str">
        <f>IF(AA2163="","",'Procyclean 220'!D165)</f>
        <v/>
      </c>
      <c r="AD2163" t="str">
        <f>IF(AA2163="","",IFERROR(1*'Procyclean 220'!E165,IFERROR(_xludf.NUMBERVALUE('Procyclean 220'!E165,".",","),IFERROR(_xludf.NUMBERVALUE('Procyclean 220'!E165,",","."),0))))</f>
        <v/>
      </c>
      <c r="AE2163" t="str">
        <f>IF(AA2163="","",'Procyclean 220'!B165)</f>
        <v/>
      </c>
      <c r="AF2163">
        <f t="shared" si="215"/>
        <v>0</v>
      </c>
      <c r="AG2163" t="str">
        <f t="shared" si="216"/>
        <v/>
      </c>
      <c r="AH2163" t="str">
        <f t="shared" si="217"/>
        <v/>
      </c>
      <c r="AI2163">
        <f t="shared" si="218"/>
        <v>0</v>
      </c>
      <c r="AJ2163">
        <f t="shared" si="219"/>
        <v>0</v>
      </c>
      <c r="AK2163">
        <v>0</v>
      </c>
      <c r="AL2163" t="str">
        <f>IF(AA2163="","",IFERROR(IF(ISNUMBER('Procyclean 220'!F165),'Procyclean 220'!F165,IF(ISNUMBER(SEARCH("12",'Procyclean 220'!F165)),EDATE(AB2163,12),IF(ISNUMBER(SEARCH("6",'Procyclean 220'!F165)),EDATE(AB2163,6),IF(ISNUMBER(SEARCH("3",'Procyclean 220'!F165)),EDATE(AB2163,3),DATEVALUE('Procyclean 220'!F165))))),""))</f>
        <v/>
      </c>
      <c r="AM2163" t="str">
        <f t="shared" ca="1" si="220"/>
        <v/>
      </c>
    </row>
    <row r="2164" spans="27:39" x14ac:dyDescent="0.3">
      <c r="AA2164" t="str">
        <f>IF(COUNTA('Procyclean 220'!C166,'Procyclean 220'!D166,'Procyclean 220'!E166)&gt;0,"220","")</f>
        <v/>
      </c>
      <c r="AB2164" t="str">
        <f>IFERROR(IF(ISNUMBER('Procyclean 220'!C166),'Procyclean 220'!C166,DATEVALUE('Procyclean 220'!C166)),"")</f>
        <v/>
      </c>
      <c r="AC2164" t="str">
        <f>IF(AA2164="","",'Procyclean 220'!D166)</f>
        <v/>
      </c>
      <c r="AD2164" t="str">
        <f>IF(AA2164="","",IFERROR(1*'Procyclean 220'!E166,IFERROR(_xludf.NUMBERVALUE('Procyclean 220'!E166,".",","),IFERROR(_xludf.NUMBERVALUE('Procyclean 220'!E166,",","."),0))))</f>
        <v/>
      </c>
      <c r="AE2164" t="str">
        <f>IF(AA2164="","",'Procyclean 220'!B166)</f>
        <v/>
      </c>
      <c r="AF2164">
        <f t="shared" si="215"/>
        <v>0</v>
      </c>
      <c r="AG2164" t="str">
        <f t="shared" si="216"/>
        <v/>
      </c>
      <c r="AH2164" t="str">
        <f t="shared" si="217"/>
        <v/>
      </c>
      <c r="AI2164">
        <f t="shared" si="218"/>
        <v>0</v>
      </c>
      <c r="AJ2164">
        <f t="shared" si="219"/>
        <v>0</v>
      </c>
      <c r="AK2164">
        <v>0</v>
      </c>
      <c r="AL2164" t="str">
        <f>IF(AA2164="","",IFERROR(IF(ISNUMBER('Procyclean 220'!F166),'Procyclean 220'!F166,IF(ISNUMBER(SEARCH("12",'Procyclean 220'!F166)),EDATE(AB2164,12),IF(ISNUMBER(SEARCH("6",'Procyclean 220'!F166)),EDATE(AB2164,6),IF(ISNUMBER(SEARCH("3",'Procyclean 220'!F166)),EDATE(AB2164,3),DATEVALUE('Procyclean 220'!F166))))),""))</f>
        <v/>
      </c>
      <c r="AM2164" t="str">
        <f t="shared" ca="1" si="220"/>
        <v/>
      </c>
    </row>
    <row r="2165" spans="27:39" x14ac:dyDescent="0.3">
      <c r="AA2165" t="str">
        <f>IF(COUNTA('Procyclean 220'!C167,'Procyclean 220'!D167,'Procyclean 220'!E167)&gt;0,"220","")</f>
        <v/>
      </c>
      <c r="AB2165" t="str">
        <f>IFERROR(IF(ISNUMBER('Procyclean 220'!C167),'Procyclean 220'!C167,DATEVALUE('Procyclean 220'!C167)),"")</f>
        <v/>
      </c>
      <c r="AC2165" t="str">
        <f>IF(AA2165="","",'Procyclean 220'!D167)</f>
        <v/>
      </c>
      <c r="AD2165" t="str">
        <f>IF(AA2165="","",IFERROR(1*'Procyclean 220'!E167,IFERROR(_xludf.NUMBERVALUE('Procyclean 220'!E167,".",","),IFERROR(_xludf.NUMBERVALUE('Procyclean 220'!E167,",","."),0))))</f>
        <v/>
      </c>
      <c r="AE2165" t="str">
        <f>IF(AA2165="","",'Procyclean 220'!B167)</f>
        <v/>
      </c>
      <c r="AF2165">
        <f t="shared" si="215"/>
        <v>0</v>
      </c>
      <c r="AG2165" t="str">
        <f t="shared" si="216"/>
        <v/>
      </c>
      <c r="AH2165" t="str">
        <f t="shared" si="217"/>
        <v/>
      </c>
      <c r="AI2165">
        <f t="shared" si="218"/>
        <v>0</v>
      </c>
      <c r="AJ2165">
        <f t="shared" si="219"/>
        <v>0</v>
      </c>
      <c r="AK2165">
        <v>0</v>
      </c>
      <c r="AL2165" t="str">
        <f>IF(AA2165="","",IFERROR(IF(ISNUMBER('Procyclean 220'!F167),'Procyclean 220'!F167,IF(ISNUMBER(SEARCH("12",'Procyclean 220'!F167)),EDATE(AB2165,12),IF(ISNUMBER(SEARCH("6",'Procyclean 220'!F167)),EDATE(AB2165,6),IF(ISNUMBER(SEARCH("3",'Procyclean 220'!F167)),EDATE(AB2165,3),DATEVALUE('Procyclean 220'!F167))))),""))</f>
        <v/>
      </c>
      <c r="AM2165" t="str">
        <f t="shared" ca="1" si="220"/>
        <v/>
      </c>
    </row>
    <row r="2166" spans="27:39" x14ac:dyDescent="0.3">
      <c r="AA2166" t="str">
        <f>IF(COUNTA('Procyclean 220'!C168,'Procyclean 220'!D168,'Procyclean 220'!E168)&gt;0,"220","")</f>
        <v/>
      </c>
      <c r="AB2166" t="str">
        <f>IFERROR(IF(ISNUMBER('Procyclean 220'!C168),'Procyclean 220'!C168,DATEVALUE('Procyclean 220'!C168)),"")</f>
        <v/>
      </c>
      <c r="AC2166" t="str">
        <f>IF(AA2166="","",'Procyclean 220'!D168)</f>
        <v/>
      </c>
      <c r="AD2166" t="str">
        <f>IF(AA2166="","",IFERROR(1*'Procyclean 220'!E168,IFERROR(_xludf.NUMBERVALUE('Procyclean 220'!E168,".",","),IFERROR(_xludf.NUMBERVALUE('Procyclean 220'!E168,",","."),0))))</f>
        <v/>
      </c>
      <c r="AE2166" t="str">
        <f>IF(AA2166="","",'Procyclean 220'!B168)</f>
        <v/>
      </c>
      <c r="AF2166">
        <f t="shared" si="215"/>
        <v>0</v>
      </c>
      <c r="AG2166" t="str">
        <f t="shared" si="216"/>
        <v/>
      </c>
      <c r="AH2166" t="str">
        <f t="shared" si="217"/>
        <v/>
      </c>
      <c r="AI2166">
        <f t="shared" si="218"/>
        <v>0</v>
      </c>
      <c r="AJ2166">
        <f t="shared" si="219"/>
        <v>0</v>
      </c>
      <c r="AK2166">
        <v>0</v>
      </c>
      <c r="AL2166" t="str">
        <f>IF(AA2166="","",IFERROR(IF(ISNUMBER('Procyclean 220'!F168),'Procyclean 220'!F168,IF(ISNUMBER(SEARCH("12",'Procyclean 220'!F168)),EDATE(AB2166,12),IF(ISNUMBER(SEARCH("6",'Procyclean 220'!F168)),EDATE(AB2166,6),IF(ISNUMBER(SEARCH("3",'Procyclean 220'!F168)),EDATE(AB2166,3),DATEVALUE('Procyclean 220'!F168))))),""))</f>
        <v/>
      </c>
      <c r="AM2166" t="str">
        <f t="shared" ca="1" si="220"/>
        <v/>
      </c>
    </row>
    <row r="2167" spans="27:39" x14ac:dyDescent="0.3">
      <c r="AA2167" t="str">
        <f>IF(COUNTA('Procyclean 220'!C169,'Procyclean 220'!D169,'Procyclean 220'!E169)&gt;0,"220","")</f>
        <v/>
      </c>
      <c r="AB2167" t="str">
        <f>IFERROR(IF(ISNUMBER('Procyclean 220'!C169),'Procyclean 220'!C169,DATEVALUE('Procyclean 220'!C169)),"")</f>
        <v/>
      </c>
      <c r="AC2167" t="str">
        <f>IF(AA2167="","",'Procyclean 220'!D169)</f>
        <v/>
      </c>
      <c r="AD2167" t="str">
        <f>IF(AA2167="","",IFERROR(1*'Procyclean 220'!E169,IFERROR(_xludf.NUMBERVALUE('Procyclean 220'!E169,".",","),IFERROR(_xludf.NUMBERVALUE('Procyclean 220'!E169,",","."),0))))</f>
        <v/>
      </c>
      <c r="AE2167" t="str">
        <f>IF(AA2167="","",'Procyclean 220'!B169)</f>
        <v/>
      </c>
      <c r="AF2167">
        <f t="shared" si="215"/>
        <v>0</v>
      </c>
      <c r="AG2167" t="str">
        <f t="shared" si="216"/>
        <v/>
      </c>
      <c r="AH2167" t="str">
        <f t="shared" si="217"/>
        <v/>
      </c>
      <c r="AI2167">
        <f t="shared" si="218"/>
        <v>0</v>
      </c>
      <c r="AJ2167">
        <f t="shared" si="219"/>
        <v>0</v>
      </c>
      <c r="AK2167">
        <v>0</v>
      </c>
      <c r="AL2167" t="str">
        <f>IF(AA2167="","",IFERROR(IF(ISNUMBER('Procyclean 220'!F169),'Procyclean 220'!F169,IF(ISNUMBER(SEARCH("12",'Procyclean 220'!F169)),EDATE(AB2167,12),IF(ISNUMBER(SEARCH("6",'Procyclean 220'!F169)),EDATE(AB2167,6),IF(ISNUMBER(SEARCH("3",'Procyclean 220'!F169)),EDATE(AB2167,3),DATEVALUE('Procyclean 220'!F169))))),""))</f>
        <v/>
      </c>
      <c r="AM2167" t="str">
        <f t="shared" ca="1" si="220"/>
        <v/>
      </c>
    </row>
    <row r="2168" spans="27:39" x14ac:dyDescent="0.3">
      <c r="AA2168" t="str">
        <f>IF(COUNTA('Procyclean 220'!C170,'Procyclean 220'!D170,'Procyclean 220'!E170)&gt;0,"220","")</f>
        <v/>
      </c>
      <c r="AB2168" t="str">
        <f>IFERROR(IF(ISNUMBER('Procyclean 220'!C170),'Procyclean 220'!C170,DATEVALUE('Procyclean 220'!C170)),"")</f>
        <v/>
      </c>
      <c r="AC2168" t="str">
        <f>IF(AA2168="","",'Procyclean 220'!D170)</f>
        <v/>
      </c>
      <c r="AD2168" t="str">
        <f>IF(AA2168="","",IFERROR(1*'Procyclean 220'!E170,IFERROR(_xludf.NUMBERVALUE('Procyclean 220'!E170,".",","),IFERROR(_xludf.NUMBERVALUE('Procyclean 220'!E170,",","."),0))))</f>
        <v/>
      </c>
      <c r="AE2168" t="str">
        <f>IF(AA2168="","",'Procyclean 220'!B170)</f>
        <v/>
      </c>
      <c r="AF2168">
        <f t="shared" si="215"/>
        <v>0</v>
      </c>
      <c r="AG2168" t="str">
        <f t="shared" si="216"/>
        <v/>
      </c>
      <c r="AH2168" t="str">
        <f t="shared" si="217"/>
        <v/>
      </c>
      <c r="AI2168">
        <f t="shared" si="218"/>
        <v>0</v>
      </c>
      <c r="AJ2168">
        <f t="shared" si="219"/>
        <v>0</v>
      </c>
      <c r="AK2168">
        <v>0</v>
      </c>
      <c r="AL2168" t="str">
        <f>IF(AA2168="","",IFERROR(IF(ISNUMBER('Procyclean 220'!F170),'Procyclean 220'!F170,IF(ISNUMBER(SEARCH("12",'Procyclean 220'!F170)),EDATE(AB2168,12),IF(ISNUMBER(SEARCH("6",'Procyclean 220'!F170)),EDATE(AB2168,6),IF(ISNUMBER(SEARCH("3",'Procyclean 220'!F170)),EDATE(AB2168,3),DATEVALUE('Procyclean 220'!F170))))),""))</f>
        <v/>
      </c>
      <c r="AM2168" t="str">
        <f t="shared" ca="1" si="220"/>
        <v/>
      </c>
    </row>
    <row r="2169" spans="27:39" x14ac:dyDescent="0.3">
      <c r="AA2169" t="str">
        <f>IF(COUNTA('Procyclean 220'!C171,'Procyclean 220'!D171,'Procyclean 220'!E171)&gt;0,"220","")</f>
        <v/>
      </c>
      <c r="AB2169" t="str">
        <f>IFERROR(IF(ISNUMBER('Procyclean 220'!C171),'Procyclean 220'!C171,DATEVALUE('Procyclean 220'!C171)),"")</f>
        <v/>
      </c>
      <c r="AC2169" t="str">
        <f>IF(AA2169="","",'Procyclean 220'!D171)</f>
        <v/>
      </c>
      <c r="AD2169" t="str">
        <f>IF(AA2169="","",IFERROR(1*'Procyclean 220'!E171,IFERROR(_xludf.NUMBERVALUE('Procyclean 220'!E171,".",","),IFERROR(_xludf.NUMBERVALUE('Procyclean 220'!E171,",","."),0))))</f>
        <v/>
      </c>
      <c r="AE2169" t="str">
        <f>IF(AA2169="","",'Procyclean 220'!B171)</f>
        <v/>
      </c>
      <c r="AF2169">
        <f t="shared" si="215"/>
        <v>0</v>
      </c>
      <c r="AG2169" t="str">
        <f t="shared" si="216"/>
        <v/>
      </c>
      <c r="AH2169" t="str">
        <f t="shared" si="217"/>
        <v/>
      </c>
      <c r="AI2169">
        <f t="shared" si="218"/>
        <v>0</v>
      </c>
      <c r="AJ2169">
        <f t="shared" si="219"/>
        <v>0</v>
      </c>
      <c r="AK2169">
        <v>0</v>
      </c>
      <c r="AL2169" t="str">
        <f>IF(AA2169="","",IFERROR(IF(ISNUMBER('Procyclean 220'!F171),'Procyclean 220'!F171,IF(ISNUMBER(SEARCH("12",'Procyclean 220'!F171)),EDATE(AB2169,12),IF(ISNUMBER(SEARCH("6",'Procyclean 220'!F171)),EDATE(AB2169,6),IF(ISNUMBER(SEARCH("3",'Procyclean 220'!F171)),EDATE(AB2169,3),DATEVALUE('Procyclean 220'!F171))))),""))</f>
        <v/>
      </c>
      <c r="AM2169" t="str">
        <f t="shared" ca="1" si="220"/>
        <v/>
      </c>
    </row>
    <row r="2170" spans="27:39" x14ac:dyDescent="0.3">
      <c r="AA2170" t="str">
        <f>IF(COUNTA('Procyclean 220'!C172,'Procyclean 220'!D172,'Procyclean 220'!E172)&gt;0,"220","")</f>
        <v/>
      </c>
      <c r="AB2170" t="str">
        <f>IFERROR(IF(ISNUMBER('Procyclean 220'!C172),'Procyclean 220'!C172,DATEVALUE('Procyclean 220'!C172)),"")</f>
        <v/>
      </c>
      <c r="AC2170" t="str">
        <f>IF(AA2170="","",'Procyclean 220'!D172)</f>
        <v/>
      </c>
      <c r="AD2170" t="str">
        <f>IF(AA2170="","",IFERROR(1*'Procyclean 220'!E172,IFERROR(_xludf.NUMBERVALUE('Procyclean 220'!E172,".",","),IFERROR(_xludf.NUMBERVALUE('Procyclean 220'!E172,",","."),0))))</f>
        <v/>
      </c>
      <c r="AE2170" t="str">
        <f>IF(AA2170="","",'Procyclean 220'!B172)</f>
        <v/>
      </c>
      <c r="AF2170">
        <f t="shared" si="215"/>
        <v>0</v>
      </c>
      <c r="AG2170" t="str">
        <f t="shared" si="216"/>
        <v/>
      </c>
      <c r="AH2170" t="str">
        <f t="shared" si="217"/>
        <v/>
      </c>
      <c r="AI2170">
        <f t="shared" si="218"/>
        <v>0</v>
      </c>
      <c r="AJ2170">
        <f t="shared" si="219"/>
        <v>0</v>
      </c>
      <c r="AK2170">
        <v>0</v>
      </c>
      <c r="AL2170" t="str">
        <f>IF(AA2170="","",IFERROR(IF(ISNUMBER('Procyclean 220'!F172),'Procyclean 220'!F172,IF(ISNUMBER(SEARCH("12",'Procyclean 220'!F172)),EDATE(AB2170,12),IF(ISNUMBER(SEARCH("6",'Procyclean 220'!F172)),EDATE(AB2170,6),IF(ISNUMBER(SEARCH("3",'Procyclean 220'!F172)),EDATE(AB2170,3),DATEVALUE('Procyclean 220'!F172))))),""))</f>
        <v/>
      </c>
      <c r="AM2170" t="str">
        <f t="shared" ca="1" si="220"/>
        <v/>
      </c>
    </row>
    <row r="2171" spans="27:39" x14ac:dyDescent="0.3">
      <c r="AA2171" t="str">
        <f>IF(COUNTA('Procyclean 220'!C173,'Procyclean 220'!D173,'Procyclean 220'!E173)&gt;0,"220","")</f>
        <v/>
      </c>
      <c r="AB2171" t="str">
        <f>IFERROR(IF(ISNUMBER('Procyclean 220'!C173),'Procyclean 220'!C173,DATEVALUE('Procyclean 220'!C173)),"")</f>
        <v/>
      </c>
      <c r="AC2171" t="str">
        <f>IF(AA2171="","",'Procyclean 220'!D173)</f>
        <v/>
      </c>
      <c r="AD2171" t="str">
        <f>IF(AA2171="","",IFERROR(1*'Procyclean 220'!E173,IFERROR(_xludf.NUMBERVALUE('Procyclean 220'!E173,".",","),IFERROR(_xludf.NUMBERVALUE('Procyclean 220'!E173,",","."),0))))</f>
        <v/>
      </c>
      <c r="AE2171" t="str">
        <f>IF(AA2171="","",'Procyclean 220'!B173)</f>
        <v/>
      </c>
      <c r="AF2171">
        <f t="shared" si="215"/>
        <v>0</v>
      </c>
      <c r="AG2171" t="str">
        <f t="shared" si="216"/>
        <v/>
      </c>
      <c r="AH2171" t="str">
        <f t="shared" si="217"/>
        <v/>
      </c>
      <c r="AI2171">
        <f t="shared" si="218"/>
        <v>0</v>
      </c>
      <c r="AJ2171">
        <f t="shared" si="219"/>
        <v>0</v>
      </c>
      <c r="AK2171">
        <v>0</v>
      </c>
      <c r="AL2171" t="str">
        <f>IF(AA2171="","",IFERROR(IF(ISNUMBER('Procyclean 220'!F173),'Procyclean 220'!F173,IF(ISNUMBER(SEARCH("12",'Procyclean 220'!F173)),EDATE(AB2171,12),IF(ISNUMBER(SEARCH("6",'Procyclean 220'!F173)),EDATE(AB2171,6),IF(ISNUMBER(SEARCH("3",'Procyclean 220'!F173)),EDATE(AB2171,3),DATEVALUE('Procyclean 220'!F173))))),""))</f>
        <v/>
      </c>
      <c r="AM2171" t="str">
        <f t="shared" ca="1" si="220"/>
        <v/>
      </c>
    </row>
    <row r="2172" spans="27:39" x14ac:dyDescent="0.3">
      <c r="AA2172" t="str">
        <f>IF(COUNTA('Procyclean 220'!C174,'Procyclean 220'!D174,'Procyclean 220'!E174)&gt;0,"220","")</f>
        <v/>
      </c>
      <c r="AB2172" t="str">
        <f>IFERROR(IF(ISNUMBER('Procyclean 220'!C174),'Procyclean 220'!C174,DATEVALUE('Procyclean 220'!C174)),"")</f>
        <v/>
      </c>
      <c r="AC2172" t="str">
        <f>IF(AA2172="","",'Procyclean 220'!D174)</f>
        <v/>
      </c>
      <c r="AD2172" t="str">
        <f>IF(AA2172="","",IFERROR(1*'Procyclean 220'!E174,IFERROR(_xludf.NUMBERVALUE('Procyclean 220'!E174,".",","),IFERROR(_xludf.NUMBERVALUE('Procyclean 220'!E174,",","."),0))))</f>
        <v/>
      </c>
      <c r="AE2172" t="str">
        <f>IF(AA2172="","",'Procyclean 220'!B174)</f>
        <v/>
      </c>
      <c r="AF2172">
        <f t="shared" si="215"/>
        <v>0</v>
      </c>
      <c r="AG2172" t="str">
        <f t="shared" si="216"/>
        <v/>
      </c>
      <c r="AH2172" t="str">
        <f t="shared" si="217"/>
        <v/>
      </c>
      <c r="AI2172">
        <f t="shared" si="218"/>
        <v>0</v>
      </c>
      <c r="AJ2172">
        <f t="shared" si="219"/>
        <v>0</v>
      </c>
      <c r="AK2172">
        <v>0</v>
      </c>
      <c r="AL2172" t="str">
        <f>IF(AA2172="","",IFERROR(IF(ISNUMBER('Procyclean 220'!F174),'Procyclean 220'!F174,IF(ISNUMBER(SEARCH("12",'Procyclean 220'!F174)),EDATE(AB2172,12),IF(ISNUMBER(SEARCH("6",'Procyclean 220'!F174)),EDATE(AB2172,6),IF(ISNUMBER(SEARCH("3",'Procyclean 220'!F174)),EDATE(AB2172,3),DATEVALUE('Procyclean 220'!F174))))),""))</f>
        <v/>
      </c>
      <c r="AM2172" t="str">
        <f t="shared" ca="1" si="220"/>
        <v/>
      </c>
    </row>
    <row r="2173" spans="27:39" x14ac:dyDescent="0.3">
      <c r="AA2173" t="str">
        <f>IF(COUNTA('Procyclean 220'!C175,'Procyclean 220'!D175,'Procyclean 220'!E175)&gt;0,"220","")</f>
        <v/>
      </c>
      <c r="AB2173" t="str">
        <f>IFERROR(IF(ISNUMBER('Procyclean 220'!C175),'Procyclean 220'!C175,DATEVALUE('Procyclean 220'!C175)),"")</f>
        <v/>
      </c>
      <c r="AC2173" t="str">
        <f>IF(AA2173="","",'Procyclean 220'!D175)</f>
        <v/>
      </c>
      <c r="AD2173" t="str">
        <f>IF(AA2173="","",IFERROR(1*'Procyclean 220'!E175,IFERROR(_xludf.NUMBERVALUE('Procyclean 220'!E175,".",","),IFERROR(_xludf.NUMBERVALUE('Procyclean 220'!E175,",","."),0))))</f>
        <v/>
      </c>
      <c r="AE2173" t="str">
        <f>IF(AA2173="","",'Procyclean 220'!B175)</f>
        <v/>
      </c>
      <c r="AF2173">
        <f t="shared" si="215"/>
        <v>0</v>
      </c>
      <c r="AG2173" t="str">
        <f t="shared" si="216"/>
        <v/>
      </c>
      <c r="AH2173" t="str">
        <f t="shared" si="217"/>
        <v/>
      </c>
      <c r="AI2173">
        <f t="shared" si="218"/>
        <v>0</v>
      </c>
      <c r="AJ2173">
        <f t="shared" si="219"/>
        <v>0</v>
      </c>
      <c r="AK2173">
        <v>0</v>
      </c>
      <c r="AL2173" t="str">
        <f>IF(AA2173="","",IFERROR(IF(ISNUMBER('Procyclean 220'!F175),'Procyclean 220'!F175,IF(ISNUMBER(SEARCH("12",'Procyclean 220'!F175)),EDATE(AB2173,12),IF(ISNUMBER(SEARCH("6",'Procyclean 220'!F175)),EDATE(AB2173,6),IF(ISNUMBER(SEARCH("3",'Procyclean 220'!F175)),EDATE(AB2173,3),DATEVALUE('Procyclean 220'!F175))))),""))</f>
        <v/>
      </c>
      <c r="AM2173" t="str">
        <f t="shared" ca="1" si="220"/>
        <v/>
      </c>
    </row>
    <row r="2174" spans="27:39" x14ac:dyDescent="0.3">
      <c r="AA2174" t="str">
        <f>IF(COUNTA('Procyclean 220'!C176,'Procyclean 220'!D176,'Procyclean 220'!E176)&gt;0,"220","")</f>
        <v/>
      </c>
      <c r="AB2174" t="str">
        <f>IFERROR(IF(ISNUMBER('Procyclean 220'!C176),'Procyclean 220'!C176,DATEVALUE('Procyclean 220'!C176)),"")</f>
        <v/>
      </c>
      <c r="AC2174" t="str">
        <f>IF(AA2174="","",'Procyclean 220'!D176)</f>
        <v/>
      </c>
      <c r="AD2174" t="str">
        <f>IF(AA2174="","",IFERROR(1*'Procyclean 220'!E176,IFERROR(_xludf.NUMBERVALUE('Procyclean 220'!E176,".",","),IFERROR(_xludf.NUMBERVALUE('Procyclean 220'!E176,",","."),0))))</f>
        <v/>
      </c>
      <c r="AE2174" t="str">
        <f>IF(AA2174="","",'Procyclean 220'!B176)</f>
        <v/>
      </c>
      <c r="AF2174">
        <f t="shared" si="215"/>
        <v>0</v>
      </c>
      <c r="AG2174" t="str">
        <f t="shared" si="216"/>
        <v/>
      </c>
      <c r="AH2174" t="str">
        <f t="shared" si="217"/>
        <v/>
      </c>
      <c r="AI2174">
        <f t="shared" si="218"/>
        <v>0</v>
      </c>
      <c r="AJ2174">
        <f t="shared" si="219"/>
        <v>0</v>
      </c>
      <c r="AK2174">
        <v>0</v>
      </c>
      <c r="AL2174" t="str">
        <f>IF(AA2174="","",IFERROR(IF(ISNUMBER('Procyclean 220'!F176),'Procyclean 220'!F176,IF(ISNUMBER(SEARCH("12",'Procyclean 220'!F176)),EDATE(AB2174,12),IF(ISNUMBER(SEARCH("6",'Procyclean 220'!F176)),EDATE(AB2174,6),IF(ISNUMBER(SEARCH("3",'Procyclean 220'!F176)),EDATE(AB2174,3),DATEVALUE('Procyclean 220'!F176))))),""))</f>
        <v/>
      </c>
      <c r="AM2174" t="str">
        <f t="shared" ca="1" si="220"/>
        <v/>
      </c>
    </row>
    <row r="2175" spans="27:39" x14ac:dyDescent="0.3">
      <c r="AA2175" t="str">
        <f>IF(COUNTA('Procyclean 220'!C177,'Procyclean 220'!D177,'Procyclean 220'!E177)&gt;0,"220","")</f>
        <v/>
      </c>
      <c r="AB2175" t="str">
        <f>IFERROR(IF(ISNUMBER('Procyclean 220'!C177),'Procyclean 220'!C177,DATEVALUE('Procyclean 220'!C177)),"")</f>
        <v/>
      </c>
      <c r="AC2175" t="str">
        <f>IF(AA2175="","",'Procyclean 220'!D177)</f>
        <v/>
      </c>
      <c r="AD2175" t="str">
        <f>IF(AA2175="","",IFERROR(1*'Procyclean 220'!E177,IFERROR(_xludf.NUMBERVALUE('Procyclean 220'!E177,".",","),IFERROR(_xludf.NUMBERVALUE('Procyclean 220'!E177,",","."),0))))</f>
        <v/>
      </c>
      <c r="AE2175" t="str">
        <f>IF(AA2175="","",'Procyclean 220'!B177)</f>
        <v/>
      </c>
      <c r="AF2175">
        <f t="shared" si="215"/>
        <v>0</v>
      </c>
      <c r="AG2175" t="str">
        <f t="shared" si="216"/>
        <v/>
      </c>
      <c r="AH2175" t="str">
        <f t="shared" si="217"/>
        <v/>
      </c>
      <c r="AI2175">
        <f t="shared" si="218"/>
        <v>0</v>
      </c>
      <c r="AJ2175">
        <f t="shared" si="219"/>
        <v>0</v>
      </c>
      <c r="AK2175">
        <v>0</v>
      </c>
      <c r="AL2175" t="str">
        <f>IF(AA2175="","",IFERROR(IF(ISNUMBER('Procyclean 220'!F177),'Procyclean 220'!F177,IF(ISNUMBER(SEARCH("12",'Procyclean 220'!F177)),EDATE(AB2175,12),IF(ISNUMBER(SEARCH("6",'Procyclean 220'!F177)),EDATE(AB2175,6),IF(ISNUMBER(SEARCH("3",'Procyclean 220'!F177)),EDATE(AB2175,3),DATEVALUE('Procyclean 220'!F177))))),""))</f>
        <v/>
      </c>
      <c r="AM2175" t="str">
        <f t="shared" ca="1" si="220"/>
        <v/>
      </c>
    </row>
    <row r="2176" spans="27:39" x14ac:dyDescent="0.3">
      <c r="AA2176" t="str">
        <f>IF(COUNTA('Procyclean 220'!C178,'Procyclean 220'!D178,'Procyclean 220'!E178)&gt;0,"220","")</f>
        <v/>
      </c>
      <c r="AB2176" t="str">
        <f>IFERROR(IF(ISNUMBER('Procyclean 220'!C178),'Procyclean 220'!C178,DATEVALUE('Procyclean 220'!C178)),"")</f>
        <v/>
      </c>
      <c r="AC2176" t="str">
        <f>IF(AA2176="","",'Procyclean 220'!D178)</f>
        <v/>
      </c>
      <c r="AD2176" t="str">
        <f>IF(AA2176="","",IFERROR(1*'Procyclean 220'!E178,IFERROR(_xludf.NUMBERVALUE('Procyclean 220'!E178,".",","),IFERROR(_xludf.NUMBERVALUE('Procyclean 220'!E178,",","."),0))))</f>
        <v/>
      </c>
      <c r="AE2176" t="str">
        <f>IF(AA2176="","",'Procyclean 220'!B178)</f>
        <v/>
      </c>
      <c r="AF2176">
        <f t="shared" si="215"/>
        <v>0</v>
      </c>
      <c r="AG2176" t="str">
        <f t="shared" si="216"/>
        <v/>
      </c>
      <c r="AH2176" t="str">
        <f t="shared" si="217"/>
        <v/>
      </c>
      <c r="AI2176">
        <f t="shared" si="218"/>
        <v>0</v>
      </c>
      <c r="AJ2176">
        <f t="shared" si="219"/>
        <v>0</v>
      </c>
      <c r="AK2176">
        <v>0</v>
      </c>
      <c r="AL2176" t="str">
        <f>IF(AA2176="","",IFERROR(IF(ISNUMBER('Procyclean 220'!F178),'Procyclean 220'!F178,IF(ISNUMBER(SEARCH("12",'Procyclean 220'!F178)),EDATE(AB2176,12),IF(ISNUMBER(SEARCH("6",'Procyclean 220'!F178)),EDATE(AB2176,6),IF(ISNUMBER(SEARCH("3",'Procyclean 220'!F178)),EDATE(AB2176,3),DATEVALUE('Procyclean 220'!F178))))),""))</f>
        <v/>
      </c>
      <c r="AM2176" t="str">
        <f t="shared" ca="1" si="220"/>
        <v/>
      </c>
    </row>
    <row r="2177" spans="27:39" x14ac:dyDescent="0.3">
      <c r="AA2177" t="str">
        <f>IF(COUNTA('Procyclean 220'!C179,'Procyclean 220'!D179,'Procyclean 220'!E179)&gt;0,"220","")</f>
        <v/>
      </c>
      <c r="AB2177" t="str">
        <f>IFERROR(IF(ISNUMBER('Procyclean 220'!C179),'Procyclean 220'!C179,DATEVALUE('Procyclean 220'!C179)),"")</f>
        <v/>
      </c>
      <c r="AC2177" t="str">
        <f>IF(AA2177="","",'Procyclean 220'!D179)</f>
        <v/>
      </c>
      <c r="AD2177" t="str">
        <f>IF(AA2177="","",IFERROR(1*'Procyclean 220'!E179,IFERROR(_xludf.NUMBERVALUE('Procyclean 220'!E179,".",","),IFERROR(_xludf.NUMBERVALUE('Procyclean 220'!E179,",","."),0))))</f>
        <v/>
      </c>
      <c r="AE2177" t="str">
        <f>IF(AA2177="","",'Procyclean 220'!B179)</f>
        <v/>
      </c>
      <c r="AF2177">
        <f t="shared" si="215"/>
        <v>0</v>
      </c>
      <c r="AG2177" t="str">
        <f t="shared" si="216"/>
        <v/>
      </c>
      <c r="AH2177" t="str">
        <f t="shared" si="217"/>
        <v/>
      </c>
      <c r="AI2177">
        <f t="shared" si="218"/>
        <v>0</v>
      </c>
      <c r="AJ2177">
        <f t="shared" si="219"/>
        <v>0</v>
      </c>
      <c r="AK2177">
        <v>0</v>
      </c>
      <c r="AL2177" t="str">
        <f>IF(AA2177="","",IFERROR(IF(ISNUMBER('Procyclean 220'!F179),'Procyclean 220'!F179,IF(ISNUMBER(SEARCH("12",'Procyclean 220'!F179)),EDATE(AB2177,12),IF(ISNUMBER(SEARCH("6",'Procyclean 220'!F179)),EDATE(AB2177,6),IF(ISNUMBER(SEARCH("3",'Procyclean 220'!F179)),EDATE(AB2177,3),DATEVALUE('Procyclean 220'!F179))))),""))</f>
        <v/>
      </c>
      <c r="AM2177" t="str">
        <f t="shared" ca="1" si="220"/>
        <v/>
      </c>
    </row>
    <row r="2178" spans="27:39" x14ac:dyDescent="0.3">
      <c r="AA2178" t="str">
        <f>IF(COUNTA('Procyclean 220'!C180,'Procyclean 220'!D180,'Procyclean 220'!E180)&gt;0,"220","")</f>
        <v/>
      </c>
      <c r="AB2178" t="str">
        <f>IFERROR(IF(ISNUMBER('Procyclean 220'!C180),'Procyclean 220'!C180,DATEVALUE('Procyclean 220'!C180)),"")</f>
        <v/>
      </c>
      <c r="AC2178" t="str">
        <f>IF(AA2178="","",'Procyclean 220'!D180)</f>
        <v/>
      </c>
      <c r="AD2178" t="str">
        <f>IF(AA2178="","",IFERROR(1*'Procyclean 220'!E180,IFERROR(_xludf.NUMBERVALUE('Procyclean 220'!E180,".",","),IFERROR(_xludf.NUMBERVALUE('Procyclean 220'!E180,",","."),0))))</f>
        <v/>
      </c>
      <c r="AE2178" t="str">
        <f>IF(AA2178="","",'Procyclean 220'!B180)</f>
        <v/>
      </c>
      <c r="AF2178">
        <f t="shared" ref="AF2178:AF2241" si="221">IF(AA2178="",0,--AND(ISNUMBER(SEARCH("aprov",AE2178)),NOT(ISNUMBER(SEARCH("reprov",AE2178)))))</f>
        <v>0</v>
      </c>
      <c r="AG2178" t="str">
        <f t="shared" ref="AG2178:AG2241" si="222">IF(AB2178="","",YEAR(AB2178))</f>
        <v/>
      </c>
      <c r="AH2178" t="str">
        <f t="shared" ref="AH2178:AH2241" si="223">IF(AB2178="","",MONTH(AB2178))</f>
        <v/>
      </c>
      <c r="AI2178">
        <f t="shared" ref="AI2178:AI2241" si="224">IF(AB2178="",0,AB2178+ROW()/1000000)</f>
        <v>0</v>
      </c>
      <c r="AJ2178">
        <f t="shared" ref="AJ2178:AJ2241" si="225">--(AA2178&lt;&gt;"")</f>
        <v>0</v>
      </c>
      <c r="AK2178">
        <v>0</v>
      </c>
      <c r="AL2178" t="str">
        <f>IF(AA2178="","",IFERROR(IF(ISNUMBER('Procyclean 220'!F180),'Procyclean 220'!F180,IF(ISNUMBER(SEARCH("12",'Procyclean 220'!F180)),EDATE(AB2178,12),IF(ISNUMBER(SEARCH("6",'Procyclean 220'!F180)),EDATE(AB2178,6),IF(ISNUMBER(SEARCH("3",'Procyclean 220'!F180)),EDATE(AB2178,3),DATEVALUE('Procyclean 220'!F180))))),""))</f>
        <v/>
      </c>
      <c r="AM2178" t="str">
        <f t="shared" ref="AM2178:AM2241" ca="1" si="226">IF(AND(AJ2178=1,AL2178&lt;&gt;"",AL2178&gt;=TODAY(),AG2178=$W$3),AL2178+ROW()/1000000,"")</f>
        <v/>
      </c>
    </row>
    <row r="2179" spans="27:39" x14ac:dyDescent="0.3">
      <c r="AA2179" t="str">
        <f>IF(COUNTA('Procyclean 220'!C181,'Procyclean 220'!D181,'Procyclean 220'!E181)&gt;0,"220","")</f>
        <v/>
      </c>
      <c r="AB2179" t="str">
        <f>IFERROR(IF(ISNUMBER('Procyclean 220'!C181),'Procyclean 220'!C181,DATEVALUE('Procyclean 220'!C181)),"")</f>
        <v/>
      </c>
      <c r="AC2179" t="str">
        <f>IF(AA2179="","",'Procyclean 220'!D181)</f>
        <v/>
      </c>
      <c r="AD2179" t="str">
        <f>IF(AA2179="","",IFERROR(1*'Procyclean 220'!E181,IFERROR(_xludf.NUMBERVALUE('Procyclean 220'!E181,".",","),IFERROR(_xludf.NUMBERVALUE('Procyclean 220'!E181,",","."),0))))</f>
        <v/>
      </c>
      <c r="AE2179" t="str">
        <f>IF(AA2179="","",'Procyclean 220'!B181)</f>
        <v/>
      </c>
      <c r="AF2179">
        <f t="shared" si="221"/>
        <v>0</v>
      </c>
      <c r="AG2179" t="str">
        <f t="shared" si="222"/>
        <v/>
      </c>
      <c r="AH2179" t="str">
        <f t="shared" si="223"/>
        <v/>
      </c>
      <c r="AI2179">
        <f t="shared" si="224"/>
        <v>0</v>
      </c>
      <c r="AJ2179">
        <f t="shared" si="225"/>
        <v>0</v>
      </c>
      <c r="AK2179">
        <v>0</v>
      </c>
      <c r="AL2179" t="str">
        <f>IF(AA2179="","",IFERROR(IF(ISNUMBER('Procyclean 220'!F181),'Procyclean 220'!F181,IF(ISNUMBER(SEARCH("12",'Procyclean 220'!F181)),EDATE(AB2179,12),IF(ISNUMBER(SEARCH("6",'Procyclean 220'!F181)),EDATE(AB2179,6),IF(ISNUMBER(SEARCH("3",'Procyclean 220'!F181)),EDATE(AB2179,3),DATEVALUE('Procyclean 220'!F181))))),""))</f>
        <v/>
      </c>
      <c r="AM2179" t="str">
        <f t="shared" ca="1" si="226"/>
        <v/>
      </c>
    </row>
    <row r="2180" spans="27:39" x14ac:dyDescent="0.3">
      <c r="AA2180" t="str">
        <f>IF(COUNTA('Procyclean 220'!C182,'Procyclean 220'!D182,'Procyclean 220'!E182)&gt;0,"220","")</f>
        <v/>
      </c>
      <c r="AB2180" t="str">
        <f>IFERROR(IF(ISNUMBER('Procyclean 220'!C182),'Procyclean 220'!C182,DATEVALUE('Procyclean 220'!C182)),"")</f>
        <v/>
      </c>
      <c r="AC2180" t="str">
        <f>IF(AA2180="","",'Procyclean 220'!D182)</f>
        <v/>
      </c>
      <c r="AD2180" t="str">
        <f>IF(AA2180="","",IFERROR(1*'Procyclean 220'!E182,IFERROR(_xludf.NUMBERVALUE('Procyclean 220'!E182,".",","),IFERROR(_xludf.NUMBERVALUE('Procyclean 220'!E182,",","."),0))))</f>
        <v/>
      </c>
      <c r="AE2180" t="str">
        <f>IF(AA2180="","",'Procyclean 220'!B182)</f>
        <v/>
      </c>
      <c r="AF2180">
        <f t="shared" si="221"/>
        <v>0</v>
      </c>
      <c r="AG2180" t="str">
        <f t="shared" si="222"/>
        <v/>
      </c>
      <c r="AH2180" t="str">
        <f t="shared" si="223"/>
        <v/>
      </c>
      <c r="AI2180">
        <f t="shared" si="224"/>
        <v>0</v>
      </c>
      <c r="AJ2180">
        <f t="shared" si="225"/>
        <v>0</v>
      </c>
      <c r="AK2180">
        <v>0</v>
      </c>
      <c r="AL2180" t="str">
        <f>IF(AA2180="","",IFERROR(IF(ISNUMBER('Procyclean 220'!F182),'Procyclean 220'!F182,IF(ISNUMBER(SEARCH("12",'Procyclean 220'!F182)),EDATE(AB2180,12),IF(ISNUMBER(SEARCH("6",'Procyclean 220'!F182)),EDATE(AB2180,6),IF(ISNUMBER(SEARCH("3",'Procyclean 220'!F182)),EDATE(AB2180,3),DATEVALUE('Procyclean 220'!F182))))),""))</f>
        <v/>
      </c>
      <c r="AM2180" t="str">
        <f t="shared" ca="1" si="226"/>
        <v/>
      </c>
    </row>
    <row r="2181" spans="27:39" x14ac:dyDescent="0.3">
      <c r="AA2181" t="str">
        <f>IF(COUNTA('Procyclean 220'!C183,'Procyclean 220'!D183,'Procyclean 220'!E183)&gt;0,"220","")</f>
        <v/>
      </c>
      <c r="AB2181" t="str">
        <f>IFERROR(IF(ISNUMBER('Procyclean 220'!C183),'Procyclean 220'!C183,DATEVALUE('Procyclean 220'!C183)),"")</f>
        <v/>
      </c>
      <c r="AC2181" t="str">
        <f>IF(AA2181="","",'Procyclean 220'!D183)</f>
        <v/>
      </c>
      <c r="AD2181" t="str">
        <f>IF(AA2181="","",IFERROR(1*'Procyclean 220'!E183,IFERROR(_xludf.NUMBERVALUE('Procyclean 220'!E183,".",","),IFERROR(_xludf.NUMBERVALUE('Procyclean 220'!E183,",","."),0))))</f>
        <v/>
      </c>
      <c r="AE2181" t="str">
        <f>IF(AA2181="","",'Procyclean 220'!B183)</f>
        <v/>
      </c>
      <c r="AF2181">
        <f t="shared" si="221"/>
        <v>0</v>
      </c>
      <c r="AG2181" t="str">
        <f t="shared" si="222"/>
        <v/>
      </c>
      <c r="AH2181" t="str">
        <f t="shared" si="223"/>
        <v/>
      </c>
      <c r="AI2181">
        <f t="shared" si="224"/>
        <v>0</v>
      </c>
      <c r="AJ2181">
        <f t="shared" si="225"/>
        <v>0</v>
      </c>
      <c r="AK2181">
        <v>0</v>
      </c>
      <c r="AL2181" t="str">
        <f>IF(AA2181="","",IFERROR(IF(ISNUMBER('Procyclean 220'!F183),'Procyclean 220'!F183,IF(ISNUMBER(SEARCH("12",'Procyclean 220'!F183)),EDATE(AB2181,12),IF(ISNUMBER(SEARCH("6",'Procyclean 220'!F183)),EDATE(AB2181,6),IF(ISNUMBER(SEARCH("3",'Procyclean 220'!F183)),EDATE(AB2181,3),DATEVALUE('Procyclean 220'!F183))))),""))</f>
        <v/>
      </c>
      <c r="AM2181" t="str">
        <f t="shared" ca="1" si="226"/>
        <v/>
      </c>
    </row>
    <row r="2182" spans="27:39" x14ac:dyDescent="0.3">
      <c r="AA2182" t="str">
        <f>IF(COUNTA('Procyclean 220'!C184,'Procyclean 220'!D184,'Procyclean 220'!E184)&gt;0,"220","")</f>
        <v/>
      </c>
      <c r="AB2182" t="str">
        <f>IFERROR(IF(ISNUMBER('Procyclean 220'!C184),'Procyclean 220'!C184,DATEVALUE('Procyclean 220'!C184)),"")</f>
        <v/>
      </c>
      <c r="AC2182" t="str">
        <f>IF(AA2182="","",'Procyclean 220'!D184)</f>
        <v/>
      </c>
      <c r="AD2182" t="str">
        <f>IF(AA2182="","",IFERROR(1*'Procyclean 220'!E184,IFERROR(_xludf.NUMBERVALUE('Procyclean 220'!E184,".",","),IFERROR(_xludf.NUMBERVALUE('Procyclean 220'!E184,",","."),0))))</f>
        <v/>
      </c>
      <c r="AE2182" t="str">
        <f>IF(AA2182="","",'Procyclean 220'!B184)</f>
        <v/>
      </c>
      <c r="AF2182">
        <f t="shared" si="221"/>
        <v>0</v>
      </c>
      <c r="AG2182" t="str">
        <f t="shared" si="222"/>
        <v/>
      </c>
      <c r="AH2182" t="str">
        <f t="shared" si="223"/>
        <v/>
      </c>
      <c r="AI2182">
        <f t="shared" si="224"/>
        <v>0</v>
      </c>
      <c r="AJ2182">
        <f t="shared" si="225"/>
        <v>0</v>
      </c>
      <c r="AK2182">
        <v>0</v>
      </c>
      <c r="AL2182" t="str">
        <f>IF(AA2182="","",IFERROR(IF(ISNUMBER('Procyclean 220'!F184),'Procyclean 220'!F184,IF(ISNUMBER(SEARCH("12",'Procyclean 220'!F184)),EDATE(AB2182,12),IF(ISNUMBER(SEARCH("6",'Procyclean 220'!F184)),EDATE(AB2182,6),IF(ISNUMBER(SEARCH("3",'Procyclean 220'!F184)),EDATE(AB2182,3),DATEVALUE('Procyclean 220'!F184))))),""))</f>
        <v/>
      </c>
      <c r="AM2182" t="str">
        <f t="shared" ca="1" si="226"/>
        <v/>
      </c>
    </row>
    <row r="2183" spans="27:39" x14ac:dyDescent="0.3">
      <c r="AA2183" t="str">
        <f>IF(COUNTA('Procyclean 220'!C185,'Procyclean 220'!D185,'Procyclean 220'!E185)&gt;0,"220","")</f>
        <v/>
      </c>
      <c r="AB2183" t="str">
        <f>IFERROR(IF(ISNUMBER('Procyclean 220'!C185),'Procyclean 220'!C185,DATEVALUE('Procyclean 220'!C185)),"")</f>
        <v/>
      </c>
      <c r="AC2183" t="str">
        <f>IF(AA2183="","",'Procyclean 220'!D185)</f>
        <v/>
      </c>
      <c r="AD2183" t="str">
        <f>IF(AA2183="","",IFERROR(1*'Procyclean 220'!E185,IFERROR(_xludf.NUMBERVALUE('Procyclean 220'!E185,".",","),IFERROR(_xludf.NUMBERVALUE('Procyclean 220'!E185,",","."),0))))</f>
        <v/>
      </c>
      <c r="AE2183" t="str">
        <f>IF(AA2183="","",'Procyclean 220'!B185)</f>
        <v/>
      </c>
      <c r="AF2183">
        <f t="shared" si="221"/>
        <v>0</v>
      </c>
      <c r="AG2183" t="str">
        <f t="shared" si="222"/>
        <v/>
      </c>
      <c r="AH2183" t="str">
        <f t="shared" si="223"/>
        <v/>
      </c>
      <c r="AI2183">
        <f t="shared" si="224"/>
        <v>0</v>
      </c>
      <c r="AJ2183">
        <f t="shared" si="225"/>
        <v>0</v>
      </c>
      <c r="AK2183">
        <v>0</v>
      </c>
      <c r="AL2183" t="str">
        <f>IF(AA2183="","",IFERROR(IF(ISNUMBER('Procyclean 220'!F185),'Procyclean 220'!F185,IF(ISNUMBER(SEARCH("12",'Procyclean 220'!F185)),EDATE(AB2183,12),IF(ISNUMBER(SEARCH("6",'Procyclean 220'!F185)),EDATE(AB2183,6),IF(ISNUMBER(SEARCH("3",'Procyclean 220'!F185)),EDATE(AB2183,3),DATEVALUE('Procyclean 220'!F185))))),""))</f>
        <v/>
      </c>
      <c r="AM2183" t="str">
        <f t="shared" ca="1" si="226"/>
        <v/>
      </c>
    </row>
    <row r="2184" spans="27:39" x14ac:dyDescent="0.3">
      <c r="AA2184" t="str">
        <f>IF(COUNTA('Procyclean 220'!C186,'Procyclean 220'!D186,'Procyclean 220'!E186)&gt;0,"220","")</f>
        <v/>
      </c>
      <c r="AB2184" t="str">
        <f>IFERROR(IF(ISNUMBER('Procyclean 220'!C186),'Procyclean 220'!C186,DATEVALUE('Procyclean 220'!C186)),"")</f>
        <v/>
      </c>
      <c r="AC2184" t="str">
        <f>IF(AA2184="","",'Procyclean 220'!D186)</f>
        <v/>
      </c>
      <c r="AD2184" t="str">
        <f>IF(AA2184="","",IFERROR(1*'Procyclean 220'!E186,IFERROR(_xludf.NUMBERVALUE('Procyclean 220'!E186,".",","),IFERROR(_xludf.NUMBERVALUE('Procyclean 220'!E186,",","."),0))))</f>
        <v/>
      </c>
      <c r="AE2184" t="str">
        <f>IF(AA2184="","",'Procyclean 220'!B186)</f>
        <v/>
      </c>
      <c r="AF2184">
        <f t="shared" si="221"/>
        <v>0</v>
      </c>
      <c r="AG2184" t="str">
        <f t="shared" si="222"/>
        <v/>
      </c>
      <c r="AH2184" t="str">
        <f t="shared" si="223"/>
        <v/>
      </c>
      <c r="AI2184">
        <f t="shared" si="224"/>
        <v>0</v>
      </c>
      <c r="AJ2184">
        <f t="shared" si="225"/>
        <v>0</v>
      </c>
      <c r="AK2184">
        <v>0</v>
      </c>
      <c r="AL2184" t="str">
        <f>IF(AA2184="","",IFERROR(IF(ISNUMBER('Procyclean 220'!F186),'Procyclean 220'!F186,IF(ISNUMBER(SEARCH("12",'Procyclean 220'!F186)),EDATE(AB2184,12),IF(ISNUMBER(SEARCH("6",'Procyclean 220'!F186)),EDATE(AB2184,6),IF(ISNUMBER(SEARCH("3",'Procyclean 220'!F186)),EDATE(AB2184,3),DATEVALUE('Procyclean 220'!F186))))),""))</f>
        <v/>
      </c>
      <c r="AM2184" t="str">
        <f t="shared" ca="1" si="226"/>
        <v/>
      </c>
    </row>
    <row r="2185" spans="27:39" x14ac:dyDescent="0.3">
      <c r="AA2185" t="str">
        <f>IF(COUNTA('Procyclean 220'!C187,'Procyclean 220'!D187,'Procyclean 220'!E187)&gt;0,"220","")</f>
        <v/>
      </c>
      <c r="AB2185" t="str">
        <f>IFERROR(IF(ISNUMBER('Procyclean 220'!C187),'Procyclean 220'!C187,DATEVALUE('Procyclean 220'!C187)),"")</f>
        <v/>
      </c>
      <c r="AC2185" t="str">
        <f>IF(AA2185="","",'Procyclean 220'!D187)</f>
        <v/>
      </c>
      <c r="AD2185" t="str">
        <f>IF(AA2185="","",IFERROR(1*'Procyclean 220'!E187,IFERROR(_xludf.NUMBERVALUE('Procyclean 220'!E187,".",","),IFERROR(_xludf.NUMBERVALUE('Procyclean 220'!E187,",","."),0))))</f>
        <v/>
      </c>
      <c r="AE2185" t="str">
        <f>IF(AA2185="","",'Procyclean 220'!B187)</f>
        <v/>
      </c>
      <c r="AF2185">
        <f t="shared" si="221"/>
        <v>0</v>
      </c>
      <c r="AG2185" t="str">
        <f t="shared" si="222"/>
        <v/>
      </c>
      <c r="AH2185" t="str">
        <f t="shared" si="223"/>
        <v/>
      </c>
      <c r="AI2185">
        <f t="shared" si="224"/>
        <v>0</v>
      </c>
      <c r="AJ2185">
        <f t="shared" si="225"/>
        <v>0</v>
      </c>
      <c r="AK2185">
        <v>0</v>
      </c>
      <c r="AL2185" t="str">
        <f>IF(AA2185="","",IFERROR(IF(ISNUMBER('Procyclean 220'!F187),'Procyclean 220'!F187,IF(ISNUMBER(SEARCH("12",'Procyclean 220'!F187)),EDATE(AB2185,12),IF(ISNUMBER(SEARCH("6",'Procyclean 220'!F187)),EDATE(AB2185,6),IF(ISNUMBER(SEARCH("3",'Procyclean 220'!F187)),EDATE(AB2185,3),DATEVALUE('Procyclean 220'!F187))))),""))</f>
        <v/>
      </c>
      <c r="AM2185" t="str">
        <f t="shared" ca="1" si="226"/>
        <v/>
      </c>
    </row>
    <row r="2186" spans="27:39" x14ac:dyDescent="0.3">
      <c r="AA2186" t="str">
        <f>IF(COUNTA('Procyclean 220'!C188,'Procyclean 220'!D188,'Procyclean 220'!E188)&gt;0,"220","")</f>
        <v/>
      </c>
      <c r="AB2186" t="str">
        <f>IFERROR(IF(ISNUMBER('Procyclean 220'!C188),'Procyclean 220'!C188,DATEVALUE('Procyclean 220'!C188)),"")</f>
        <v/>
      </c>
      <c r="AC2186" t="str">
        <f>IF(AA2186="","",'Procyclean 220'!D188)</f>
        <v/>
      </c>
      <c r="AD2186" t="str">
        <f>IF(AA2186="","",IFERROR(1*'Procyclean 220'!E188,IFERROR(_xludf.NUMBERVALUE('Procyclean 220'!E188,".",","),IFERROR(_xludf.NUMBERVALUE('Procyclean 220'!E188,",","."),0))))</f>
        <v/>
      </c>
      <c r="AE2186" t="str">
        <f>IF(AA2186="","",'Procyclean 220'!B188)</f>
        <v/>
      </c>
      <c r="AF2186">
        <f t="shared" si="221"/>
        <v>0</v>
      </c>
      <c r="AG2186" t="str">
        <f t="shared" si="222"/>
        <v/>
      </c>
      <c r="AH2186" t="str">
        <f t="shared" si="223"/>
        <v/>
      </c>
      <c r="AI2186">
        <f t="shared" si="224"/>
        <v>0</v>
      </c>
      <c r="AJ2186">
        <f t="shared" si="225"/>
        <v>0</v>
      </c>
      <c r="AK2186">
        <v>0</v>
      </c>
      <c r="AL2186" t="str">
        <f>IF(AA2186="","",IFERROR(IF(ISNUMBER('Procyclean 220'!F188),'Procyclean 220'!F188,IF(ISNUMBER(SEARCH("12",'Procyclean 220'!F188)),EDATE(AB2186,12),IF(ISNUMBER(SEARCH("6",'Procyclean 220'!F188)),EDATE(AB2186,6),IF(ISNUMBER(SEARCH("3",'Procyclean 220'!F188)),EDATE(AB2186,3),DATEVALUE('Procyclean 220'!F188))))),""))</f>
        <v/>
      </c>
      <c r="AM2186" t="str">
        <f t="shared" ca="1" si="226"/>
        <v/>
      </c>
    </row>
    <row r="2187" spans="27:39" x14ac:dyDescent="0.3">
      <c r="AA2187" t="str">
        <f>IF(COUNTA('Procyclean 220'!C189,'Procyclean 220'!D189,'Procyclean 220'!E189)&gt;0,"220","")</f>
        <v/>
      </c>
      <c r="AB2187" t="str">
        <f>IFERROR(IF(ISNUMBER('Procyclean 220'!C189),'Procyclean 220'!C189,DATEVALUE('Procyclean 220'!C189)),"")</f>
        <v/>
      </c>
      <c r="AC2187" t="str">
        <f>IF(AA2187="","",'Procyclean 220'!D189)</f>
        <v/>
      </c>
      <c r="AD2187" t="str">
        <f>IF(AA2187="","",IFERROR(1*'Procyclean 220'!E189,IFERROR(_xludf.NUMBERVALUE('Procyclean 220'!E189,".",","),IFERROR(_xludf.NUMBERVALUE('Procyclean 220'!E189,",","."),0))))</f>
        <v/>
      </c>
      <c r="AE2187" t="str">
        <f>IF(AA2187="","",'Procyclean 220'!B189)</f>
        <v/>
      </c>
      <c r="AF2187">
        <f t="shared" si="221"/>
        <v>0</v>
      </c>
      <c r="AG2187" t="str">
        <f t="shared" si="222"/>
        <v/>
      </c>
      <c r="AH2187" t="str">
        <f t="shared" si="223"/>
        <v/>
      </c>
      <c r="AI2187">
        <f t="shared" si="224"/>
        <v>0</v>
      </c>
      <c r="AJ2187">
        <f t="shared" si="225"/>
        <v>0</v>
      </c>
      <c r="AK2187">
        <v>0</v>
      </c>
      <c r="AL2187" t="str">
        <f>IF(AA2187="","",IFERROR(IF(ISNUMBER('Procyclean 220'!F189),'Procyclean 220'!F189,IF(ISNUMBER(SEARCH("12",'Procyclean 220'!F189)),EDATE(AB2187,12),IF(ISNUMBER(SEARCH("6",'Procyclean 220'!F189)),EDATE(AB2187,6),IF(ISNUMBER(SEARCH("3",'Procyclean 220'!F189)),EDATE(AB2187,3),DATEVALUE('Procyclean 220'!F189))))),""))</f>
        <v/>
      </c>
      <c r="AM2187" t="str">
        <f t="shared" ca="1" si="226"/>
        <v/>
      </c>
    </row>
    <row r="2188" spans="27:39" x14ac:dyDescent="0.3">
      <c r="AA2188" t="str">
        <f>IF(COUNTA('Procyclean 220'!C190,'Procyclean 220'!D190,'Procyclean 220'!E190)&gt;0,"220","")</f>
        <v/>
      </c>
      <c r="AB2188" t="str">
        <f>IFERROR(IF(ISNUMBER('Procyclean 220'!C190),'Procyclean 220'!C190,DATEVALUE('Procyclean 220'!C190)),"")</f>
        <v/>
      </c>
      <c r="AC2188" t="str">
        <f>IF(AA2188="","",'Procyclean 220'!D190)</f>
        <v/>
      </c>
      <c r="AD2188" t="str">
        <f>IF(AA2188="","",IFERROR(1*'Procyclean 220'!E190,IFERROR(_xludf.NUMBERVALUE('Procyclean 220'!E190,".",","),IFERROR(_xludf.NUMBERVALUE('Procyclean 220'!E190,",","."),0))))</f>
        <v/>
      </c>
      <c r="AE2188" t="str">
        <f>IF(AA2188="","",'Procyclean 220'!B190)</f>
        <v/>
      </c>
      <c r="AF2188">
        <f t="shared" si="221"/>
        <v>0</v>
      </c>
      <c r="AG2188" t="str">
        <f t="shared" si="222"/>
        <v/>
      </c>
      <c r="AH2188" t="str">
        <f t="shared" si="223"/>
        <v/>
      </c>
      <c r="AI2188">
        <f t="shared" si="224"/>
        <v>0</v>
      </c>
      <c r="AJ2188">
        <f t="shared" si="225"/>
        <v>0</v>
      </c>
      <c r="AK2188">
        <v>0</v>
      </c>
      <c r="AL2188" t="str">
        <f>IF(AA2188="","",IFERROR(IF(ISNUMBER('Procyclean 220'!F190),'Procyclean 220'!F190,IF(ISNUMBER(SEARCH("12",'Procyclean 220'!F190)),EDATE(AB2188,12),IF(ISNUMBER(SEARCH("6",'Procyclean 220'!F190)),EDATE(AB2188,6),IF(ISNUMBER(SEARCH("3",'Procyclean 220'!F190)),EDATE(AB2188,3),DATEVALUE('Procyclean 220'!F190))))),""))</f>
        <v/>
      </c>
      <c r="AM2188" t="str">
        <f t="shared" ca="1" si="226"/>
        <v/>
      </c>
    </row>
    <row r="2189" spans="27:39" x14ac:dyDescent="0.3">
      <c r="AA2189" t="str">
        <f>IF(COUNTA('Procyclean 220'!C191,'Procyclean 220'!D191,'Procyclean 220'!E191)&gt;0,"220","")</f>
        <v/>
      </c>
      <c r="AB2189" t="str">
        <f>IFERROR(IF(ISNUMBER('Procyclean 220'!C191),'Procyclean 220'!C191,DATEVALUE('Procyclean 220'!C191)),"")</f>
        <v/>
      </c>
      <c r="AC2189" t="str">
        <f>IF(AA2189="","",'Procyclean 220'!D191)</f>
        <v/>
      </c>
      <c r="AD2189" t="str">
        <f>IF(AA2189="","",IFERROR(1*'Procyclean 220'!E191,IFERROR(_xludf.NUMBERVALUE('Procyclean 220'!E191,".",","),IFERROR(_xludf.NUMBERVALUE('Procyclean 220'!E191,",","."),0))))</f>
        <v/>
      </c>
      <c r="AE2189" t="str">
        <f>IF(AA2189="","",'Procyclean 220'!B191)</f>
        <v/>
      </c>
      <c r="AF2189">
        <f t="shared" si="221"/>
        <v>0</v>
      </c>
      <c r="AG2189" t="str">
        <f t="shared" si="222"/>
        <v/>
      </c>
      <c r="AH2189" t="str">
        <f t="shared" si="223"/>
        <v/>
      </c>
      <c r="AI2189">
        <f t="shared" si="224"/>
        <v>0</v>
      </c>
      <c r="AJ2189">
        <f t="shared" si="225"/>
        <v>0</v>
      </c>
      <c r="AK2189">
        <v>0</v>
      </c>
      <c r="AL2189" t="str">
        <f>IF(AA2189="","",IFERROR(IF(ISNUMBER('Procyclean 220'!F191),'Procyclean 220'!F191,IF(ISNUMBER(SEARCH("12",'Procyclean 220'!F191)),EDATE(AB2189,12),IF(ISNUMBER(SEARCH("6",'Procyclean 220'!F191)),EDATE(AB2189,6),IF(ISNUMBER(SEARCH("3",'Procyclean 220'!F191)),EDATE(AB2189,3),DATEVALUE('Procyclean 220'!F191))))),""))</f>
        <v/>
      </c>
      <c r="AM2189" t="str">
        <f t="shared" ca="1" si="226"/>
        <v/>
      </c>
    </row>
    <row r="2190" spans="27:39" x14ac:dyDescent="0.3">
      <c r="AA2190" t="str">
        <f>IF(COUNTA('Procyclean 220'!C192,'Procyclean 220'!D192,'Procyclean 220'!E192)&gt;0,"220","")</f>
        <v/>
      </c>
      <c r="AB2190" t="str">
        <f>IFERROR(IF(ISNUMBER('Procyclean 220'!C192),'Procyclean 220'!C192,DATEVALUE('Procyclean 220'!C192)),"")</f>
        <v/>
      </c>
      <c r="AC2190" t="str">
        <f>IF(AA2190="","",'Procyclean 220'!D192)</f>
        <v/>
      </c>
      <c r="AD2190" t="str">
        <f>IF(AA2190="","",IFERROR(1*'Procyclean 220'!E192,IFERROR(_xludf.NUMBERVALUE('Procyclean 220'!E192,".",","),IFERROR(_xludf.NUMBERVALUE('Procyclean 220'!E192,",","."),0))))</f>
        <v/>
      </c>
      <c r="AE2190" t="str">
        <f>IF(AA2190="","",'Procyclean 220'!B192)</f>
        <v/>
      </c>
      <c r="AF2190">
        <f t="shared" si="221"/>
        <v>0</v>
      </c>
      <c r="AG2190" t="str">
        <f t="shared" si="222"/>
        <v/>
      </c>
      <c r="AH2190" t="str">
        <f t="shared" si="223"/>
        <v/>
      </c>
      <c r="AI2190">
        <f t="shared" si="224"/>
        <v>0</v>
      </c>
      <c r="AJ2190">
        <f t="shared" si="225"/>
        <v>0</v>
      </c>
      <c r="AK2190">
        <v>0</v>
      </c>
      <c r="AL2190" t="str">
        <f>IF(AA2190="","",IFERROR(IF(ISNUMBER('Procyclean 220'!F192),'Procyclean 220'!F192,IF(ISNUMBER(SEARCH("12",'Procyclean 220'!F192)),EDATE(AB2190,12),IF(ISNUMBER(SEARCH("6",'Procyclean 220'!F192)),EDATE(AB2190,6),IF(ISNUMBER(SEARCH("3",'Procyclean 220'!F192)),EDATE(AB2190,3),DATEVALUE('Procyclean 220'!F192))))),""))</f>
        <v/>
      </c>
      <c r="AM2190" t="str">
        <f t="shared" ca="1" si="226"/>
        <v/>
      </c>
    </row>
    <row r="2191" spans="27:39" x14ac:dyDescent="0.3">
      <c r="AA2191" t="str">
        <f>IF(COUNTA('Procyclean 220'!C193,'Procyclean 220'!D193,'Procyclean 220'!E193)&gt;0,"220","")</f>
        <v/>
      </c>
      <c r="AB2191" t="str">
        <f>IFERROR(IF(ISNUMBER('Procyclean 220'!C193),'Procyclean 220'!C193,DATEVALUE('Procyclean 220'!C193)),"")</f>
        <v/>
      </c>
      <c r="AC2191" t="str">
        <f>IF(AA2191="","",'Procyclean 220'!D193)</f>
        <v/>
      </c>
      <c r="AD2191" t="str">
        <f>IF(AA2191="","",IFERROR(1*'Procyclean 220'!E193,IFERROR(_xludf.NUMBERVALUE('Procyclean 220'!E193,".",","),IFERROR(_xludf.NUMBERVALUE('Procyclean 220'!E193,",","."),0))))</f>
        <v/>
      </c>
      <c r="AE2191" t="str">
        <f>IF(AA2191="","",'Procyclean 220'!B193)</f>
        <v/>
      </c>
      <c r="AF2191">
        <f t="shared" si="221"/>
        <v>0</v>
      </c>
      <c r="AG2191" t="str">
        <f t="shared" si="222"/>
        <v/>
      </c>
      <c r="AH2191" t="str">
        <f t="shared" si="223"/>
        <v/>
      </c>
      <c r="AI2191">
        <f t="shared" si="224"/>
        <v>0</v>
      </c>
      <c r="AJ2191">
        <f t="shared" si="225"/>
        <v>0</v>
      </c>
      <c r="AK2191">
        <v>0</v>
      </c>
      <c r="AL2191" t="str">
        <f>IF(AA2191="","",IFERROR(IF(ISNUMBER('Procyclean 220'!F193),'Procyclean 220'!F193,IF(ISNUMBER(SEARCH("12",'Procyclean 220'!F193)),EDATE(AB2191,12),IF(ISNUMBER(SEARCH("6",'Procyclean 220'!F193)),EDATE(AB2191,6),IF(ISNUMBER(SEARCH("3",'Procyclean 220'!F193)),EDATE(AB2191,3),DATEVALUE('Procyclean 220'!F193))))),""))</f>
        <v/>
      </c>
      <c r="AM2191" t="str">
        <f t="shared" ca="1" si="226"/>
        <v/>
      </c>
    </row>
    <row r="2192" spans="27:39" x14ac:dyDescent="0.3">
      <c r="AA2192" t="str">
        <f>IF(COUNTA('Procyclean 220'!C194,'Procyclean 220'!D194,'Procyclean 220'!E194)&gt;0,"220","")</f>
        <v/>
      </c>
      <c r="AB2192" t="str">
        <f>IFERROR(IF(ISNUMBER('Procyclean 220'!C194),'Procyclean 220'!C194,DATEVALUE('Procyclean 220'!C194)),"")</f>
        <v/>
      </c>
      <c r="AC2192" t="str">
        <f>IF(AA2192="","",'Procyclean 220'!D194)</f>
        <v/>
      </c>
      <c r="AD2192" t="str">
        <f>IF(AA2192="","",IFERROR(1*'Procyclean 220'!E194,IFERROR(_xludf.NUMBERVALUE('Procyclean 220'!E194,".",","),IFERROR(_xludf.NUMBERVALUE('Procyclean 220'!E194,",","."),0))))</f>
        <v/>
      </c>
      <c r="AE2192" t="str">
        <f>IF(AA2192="","",'Procyclean 220'!B194)</f>
        <v/>
      </c>
      <c r="AF2192">
        <f t="shared" si="221"/>
        <v>0</v>
      </c>
      <c r="AG2192" t="str">
        <f t="shared" si="222"/>
        <v/>
      </c>
      <c r="AH2192" t="str">
        <f t="shared" si="223"/>
        <v/>
      </c>
      <c r="AI2192">
        <f t="shared" si="224"/>
        <v>0</v>
      </c>
      <c r="AJ2192">
        <f t="shared" si="225"/>
        <v>0</v>
      </c>
      <c r="AK2192">
        <v>0</v>
      </c>
      <c r="AL2192" t="str">
        <f>IF(AA2192="","",IFERROR(IF(ISNUMBER('Procyclean 220'!F194),'Procyclean 220'!F194,IF(ISNUMBER(SEARCH("12",'Procyclean 220'!F194)),EDATE(AB2192,12),IF(ISNUMBER(SEARCH("6",'Procyclean 220'!F194)),EDATE(AB2192,6),IF(ISNUMBER(SEARCH("3",'Procyclean 220'!F194)),EDATE(AB2192,3),DATEVALUE('Procyclean 220'!F194))))),""))</f>
        <v/>
      </c>
      <c r="AM2192" t="str">
        <f t="shared" ca="1" si="226"/>
        <v/>
      </c>
    </row>
    <row r="2193" spans="27:39" x14ac:dyDescent="0.3">
      <c r="AA2193" t="str">
        <f>IF(COUNTA('Procyclean 220'!C195,'Procyclean 220'!D195,'Procyclean 220'!E195)&gt;0,"220","")</f>
        <v/>
      </c>
      <c r="AB2193" t="str">
        <f>IFERROR(IF(ISNUMBER('Procyclean 220'!C195),'Procyclean 220'!C195,DATEVALUE('Procyclean 220'!C195)),"")</f>
        <v/>
      </c>
      <c r="AC2193" t="str">
        <f>IF(AA2193="","",'Procyclean 220'!D195)</f>
        <v/>
      </c>
      <c r="AD2193" t="str">
        <f>IF(AA2193="","",IFERROR(1*'Procyclean 220'!E195,IFERROR(_xludf.NUMBERVALUE('Procyclean 220'!E195,".",","),IFERROR(_xludf.NUMBERVALUE('Procyclean 220'!E195,",","."),0))))</f>
        <v/>
      </c>
      <c r="AE2193" t="str">
        <f>IF(AA2193="","",'Procyclean 220'!B195)</f>
        <v/>
      </c>
      <c r="AF2193">
        <f t="shared" si="221"/>
        <v>0</v>
      </c>
      <c r="AG2193" t="str">
        <f t="shared" si="222"/>
        <v/>
      </c>
      <c r="AH2193" t="str">
        <f t="shared" si="223"/>
        <v/>
      </c>
      <c r="AI2193">
        <f t="shared" si="224"/>
        <v>0</v>
      </c>
      <c r="AJ2193">
        <f t="shared" si="225"/>
        <v>0</v>
      </c>
      <c r="AK2193">
        <v>0</v>
      </c>
      <c r="AL2193" t="str">
        <f>IF(AA2193="","",IFERROR(IF(ISNUMBER('Procyclean 220'!F195),'Procyclean 220'!F195,IF(ISNUMBER(SEARCH("12",'Procyclean 220'!F195)),EDATE(AB2193,12),IF(ISNUMBER(SEARCH("6",'Procyclean 220'!F195)),EDATE(AB2193,6),IF(ISNUMBER(SEARCH("3",'Procyclean 220'!F195)),EDATE(AB2193,3),DATEVALUE('Procyclean 220'!F195))))),""))</f>
        <v/>
      </c>
      <c r="AM2193" t="str">
        <f t="shared" ca="1" si="226"/>
        <v/>
      </c>
    </row>
    <row r="2194" spans="27:39" x14ac:dyDescent="0.3">
      <c r="AA2194" t="str">
        <f>IF(COUNTA('Procyclean 220'!C196,'Procyclean 220'!D196,'Procyclean 220'!E196)&gt;0,"220","")</f>
        <v/>
      </c>
      <c r="AB2194" t="str">
        <f>IFERROR(IF(ISNUMBER('Procyclean 220'!C196),'Procyclean 220'!C196,DATEVALUE('Procyclean 220'!C196)),"")</f>
        <v/>
      </c>
      <c r="AC2194" t="str">
        <f>IF(AA2194="","",'Procyclean 220'!D196)</f>
        <v/>
      </c>
      <c r="AD2194" t="str">
        <f>IF(AA2194="","",IFERROR(1*'Procyclean 220'!E196,IFERROR(_xludf.NUMBERVALUE('Procyclean 220'!E196,".",","),IFERROR(_xludf.NUMBERVALUE('Procyclean 220'!E196,",","."),0))))</f>
        <v/>
      </c>
      <c r="AE2194" t="str">
        <f>IF(AA2194="","",'Procyclean 220'!B196)</f>
        <v/>
      </c>
      <c r="AF2194">
        <f t="shared" si="221"/>
        <v>0</v>
      </c>
      <c r="AG2194" t="str">
        <f t="shared" si="222"/>
        <v/>
      </c>
      <c r="AH2194" t="str">
        <f t="shared" si="223"/>
        <v/>
      </c>
      <c r="AI2194">
        <f t="shared" si="224"/>
        <v>0</v>
      </c>
      <c r="AJ2194">
        <f t="shared" si="225"/>
        <v>0</v>
      </c>
      <c r="AK2194">
        <v>0</v>
      </c>
      <c r="AL2194" t="str">
        <f>IF(AA2194="","",IFERROR(IF(ISNUMBER('Procyclean 220'!F196),'Procyclean 220'!F196,IF(ISNUMBER(SEARCH("12",'Procyclean 220'!F196)),EDATE(AB2194,12),IF(ISNUMBER(SEARCH("6",'Procyclean 220'!F196)),EDATE(AB2194,6),IF(ISNUMBER(SEARCH("3",'Procyclean 220'!F196)),EDATE(AB2194,3),DATEVALUE('Procyclean 220'!F196))))),""))</f>
        <v/>
      </c>
      <c r="AM2194" t="str">
        <f t="shared" ca="1" si="226"/>
        <v/>
      </c>
    </row>
    <row r="2195" spans="27:39" x14ac:dyDescent="0.3">
      <c r="AA2195" t="str">
        <f>IF(COUNTA('Procyclean 220'!C197,'Procyclean 220'!D197,'Procyclean 220'!E197)&gt;0,"220","")</f>
        <v/>
      </c>
      <c r="AB2195" t="str">
        <f>IFERROR(IF(ISNUMBER('Procyclean 220'!C197),'Procyclean 220'!C197,DATEVALUE('Procyclean 220'!C197)),"")</f>
        <v/>
      </c>
      <c r="AC2195" t="str">
        <f>IF(AA2195="","",'Procyclean 220'!D197)</f>
        <v/>
      </c>
      <c r="AD2195" t="str">
        <f>IF(AA2195="","",IFERROR(1*'Procyclean 220'!E197,IFERROR(_xludf.NUMBERVALUE('Procyclean 220'!E197,".",","),IFERROR(_xludf.NUMBERVALUE('Procyclean 220'!E197,",","."),0))))</f>
        <v/>
      </c>
      <c r="AE2195" t="str">
        <f>IF(AA2195="","",'Procyclean 220'!B197)</f>
        <v/>
      </c>
      <c r="AF2195">
        <f t="shared" si="221"/>
        <v>0</v>
      </c>
      <c r="AG2195" t="str">
        <f t="shared" si="222"/>
        <v/>
      </c>
      <c r="AH2195" t="str">
        <f t="shared" si="223"/>
        <v/>
      </c>
      <c r="AI2195">
        <f t="shared" si="224"/>
        <v>0</v>
      </c>
      <c r="AJ2195">
        <f t="shared" si="225"/>
        <v>0</v>
      </c>
      <c r="AK2195">
        <v>0</v>
      </c>
      <c r="AL2195" t="str">
        <f>IF(AA2195="","",IFERROR(IF(ISNUMBER('Procyclean 220'!F197),'Procyclean 220'!F197,IF(ISNUMBER(SEARCH("12",'Procyclean 220'!F197)),EDATE(AB2195,12),IF(ISNUMBER(SEARCH("6",'Procyclean 220'!F197)),EDATE(AB2195,6),IF(ISNUMBER(SEARCH("3",'Procyclean 220'!F197)),EDATE(AB2195,3),DATEVALUE('Procyclean 220'!F197))))),""))</f>
        <v/>
      </c>
      <c r="AM2195" t="str">
        <f t="shared" ca="1" si="226"/>
        <v/>
      </c>
    </row>
    <row r="2196" spans="27:39" x14ac:dyDescent="0.3">
      <c r="AA2196" t="str">
        <f>IF(COUNTA('Procyclean 220'!C198,'Procyclean 220'!D198,'Procyclean 220'!E198)&gt;0,"220","")</f>
        <v/>
      </c>
      <c r="AB2196" t="str">
        <f>IFERROR(IF(ISNUMBER('Procyclean 220'!C198),'Procyclean 220'!C198,DATEVALUE('Procyclean 220'!C198)),"")</f>
        <v/>
      </c>
      <c r="AC2196" t="str">
        <f>IF(AA2196="","",'Procyclean 220'!D198)</f>
        <v/>
      </c>
      <c r="AD2196" t="str">
        <f>IF(AA2196="","",IFERROR(1*'Procyclean 220'!E198,IFERROR(_xludf.NUMBERVALUE('Procyclean 220'!E198,".",","),IFERROR(_xludf.NUMBERVALUE('Procyclean 220'!E198,",","."),0))))</f>
        <v/>
      </c>
      <c r="AE2196" t="str">
        <f>IF(AA2196="","",'Procyclean 220'!B198)</f>
        <v/>
      </c>
      <c r="AF2196">
        <f t="shared" si="221"/>
        <v>0</v>
      </c>
      <c r="AG2196" t="str">
        <f t="shared" si="222"/>
        <v/>
      </c>
      <c r="AH2196" t="str">
        <f t="shared" si="223"/>
        <v/>
      </c>
      <c r="AI2196">
        <f t="shared" si="224"/>
        <v>0</v>
      </c>
      <c r="AJ2196">
        <f t="shared" si="225"/>
        <v>0</v>
      </c>
      <c r="AK2196">
        <v>0</v>
      </c>
      <c r="AL2196" t="str">
        <f>IF(AA2196="","",IFERROR(IF(ISNUMBER('Procyclean 220'!F198),'Procyclean 220'!F198,IF(ISNUMBER(SEARCH("12",'Procyclean 220'!F198)),EDATE(AB2196,12),IF(ISNUMBER(SEARCH("6",'Procyclean 220'!F198)),EDATE(AB2196,6),IF(ISNUMBER(SEARCH("3",'Procyclean 220'!F198)),EDATE(AB2196,3),DATEVALUE('Procyclean 220'!F198))))),""))</f>
        <v/>
      </c>
      <c r="AM2196" t="str">
        <f t="shared" ca="1" si="226"/>
        <v/>
      </c>
    </row>
    <row r="2197" spans="27:39" x14ac:dyDescent="0.3">
      <c r="AA2197" t="str">
        <f>IF(COUNTA('Procyclean 220'!C199,'Procyclean 220'!D199,'Procyclean 220'!E199)&gt;0,"220","")</f>
        <v/>
      </c>
      <c r="AB2197" t="str">
        <f>IFERROR(IF(ISNUMBER('Procyclean 220'!C199),'Procyclean 220'!C199,DATEVALUE('Procyclean 220'!C199)),"")</f>
        <v/>
      </c>
      <c r="AC2197" t="str">
        <f>IF(AA2197="","",'Procyclean 220'!D199)</f>
        <v/>
      </c>
      <c r="AD2197" t="str">
        <f>IF(AA2197="","",IFERROR(1*'Procyclean 220'!E199,IFERROR(_xludf.NUMBERVALUE('Procyclean 220'!E199,".",","),IFERROR(_xludf.NUMBERVALUE('Procyclean 220'!E199,",","."),0))))</f>
        <v/>
      </c>
      <c r="AE2197" t="str">
        <f>IF(AA2197="","",'Procyclean 220'!B199)</f>
        <v/>
      </c>
      <c r="AF2197">
        <f t="shared" si="221"/>
        <v>0</v>
      </c>
      <c r="AG2197" t="str">
        <f t="shared" si="222"/>
        <v/>
      </c>
      <c r="AH2197" t="str">
        <f t="shared" si="223"/>
        <v/>
      </c>
      <c r="AI2197">
        <f t="shared" si="224"/>
        <v>0</v>
      </c>
      <c r="AJ2197">
        <f t="shared" si="225"/>
        <v>0</v>
      </c>
      <c r="AK2197">
        <v>0</v>
      </c>
      <c r="AL2197" t="str">
        <f>IF(AA2197="","",IFERROR(IF(ISNUMBER('Procyclean 220'!F199),'Procyclean 220'!F199,IF(ISNUMBER(SEARCH("12",'Procyclean 220'!F199)),EDATE(AB2197,12),IF(ISNUMBER(SEARCH("6",'Procyclean 220'!F199)),EDATE(AB2197,6),IF(ISNUMBER(SEARCH("3",'Procyclean 220'!F199)),EDATE(AB2197,3),DATEVALUE('Procyclean 220'!F199))))),""))</f>
        <v/>
      </c>
      <c r="AM2197" t="str">
        <f t="shared" ca="1" si="226"/>
        <v/>
      </c>
    </row>
    <row r="2198" spans="27:39" x14ac:dyDescent="0.3">
      <c r="AA2198" t="str">
        <f>IF(COUNTA('Procyclean 220'!C200,'Procyclean 220'!D200,'Procyclean 220'!E200)&gt;0,"220","")</f>
        <v/>
      </c>
      <c r="AB2198" t="str">
        <f>IFERROR(IF(ISNUMBER('Procyclean 220'!C200),'Procyclean 220'!C200,DATEVALUE('Procyclean 220'!C200)),"")</f>
        <v/>
      </c>
      <c r="AC2198" t="str">
        <f>IF(AA2198="","",'Procyclean 220'!D200)</f>
        <v/>
      </c>
      <c r="AD2198" t="str">
        <f>IF(AA2198="","",IFERROR(1*'Procyclean 220'!E200,IFERROR(_xludf.NUMBERVALUE('Procyclean 220'!E200,".",","),IFERROR(_xludf.NUMBERVALUE('Procyclean 220'!E200,",","."),0))))</f>
        <v/>
      </c>
      <c r="AE2198" t="str">
        <f>IF(AA2198="","",'Procyclean 220'!B200)</f>
        <v/>
      </c>
      <c r="AF2198">
        <f t="shared" si="221"/>
        <v>0</v>
      </c>
      <c r="AG2198" t="str">
        <f t="shared" si="222"/>
        <v/>
      </c>
      <c r="AH2198" t="str">
        <f t="shared" si="223"/>
        <v/>
      </c>
      <c r="AI2198">
        <f t="shared" si="224"/>
        <v>0</v>
      </c>
      <c r="AJ2198">
        <f t="shared" si="225"/>
        <v>0</v>
      </c>
      <c r="AK2198">
        <v>0</v>
      </c>
      <c r="AL2198" t="str">
        <f>IF(AA2198="","",IFERROR(IF(ISNUMBER('Procyclean 220'!F200),'Procyclean 220'!F200,IF(ISNUMBER(SEARCH("12",'Procyclean 220'!F200)),EDATE(AB2198,12),IF(ISNUMBER(SEARCH("6",'Procyclean 220'!F200)),EDATE(AB2198,6),IF(ISNUMBER(SEARCH("3",'Procyclean 220'!F200)),EDATE(AB2198,3),DATEVALUE('Procyclean 220'!F200))))),""))</f>
        <v/>
      </c>
      <c r="AM2198" t="str">
        <f t="shared" ca="1" si="226"/>
        <v/>
      </c>
    </row>
    <row r="2199" spans="27:39" x14ac:dyDescent="0.3">
      <c r="AA2199" t="str">
        <f>IF(COUNTA('Procyclean 220'!C201,'Procyclean 220'!D201,'Procyclean 220'!E201)&gt;0,"220","")</f>
        <v/>
      </c>
      <c r="AB2199" t="str">
        <f>IFERROR(IF(ISNUMBER('Procyclean 220'!C201),'Procyclean 220'!C201,DATEVALUE('Procyclean 220'!C201)),"")</f>
        <v/>
      </c>
      <c r="AC2199" t="str">
        <f>IF(AA2199="","",'Procyclean 220'!D201)</f>
        <v/>
      </c>
      <c r="AD2199" t="str">
        <f>IF(AA2199="","",IFERROR(1*'Procyclean 220'!E201,IFERROR(_xludf.NUMBERVALUE('Procyclean 220'!E201,".",","),IFERROR(_xludf.NUMBERVALUE('Procyclean 220'!E201,",","."),0))))</f>
        <v/>
      </c>
      <c r="AE2199" t="str">
        <f>IF(AA2199="","",'Procyclean 220'!B201)</f>
        <v/>
      </c>
      <c r="AF2199">
        <f t="shared" si="221"/>
        <v>0</v>
      </c>
      <c r="AG2199" t="str">
        <f t="shared" si="222"/>
        <v/>
      </c>
      <c r="AH2199" t="str">
        <f t="shared" si="223"/>
        <v/>
      </c>
      <c r="AI2199">
        <f t="shared" si="224"/>
        <v>0</v>
      </c>
      <c r="AJ2199">
        <f t="shared" si="225"/>
        <v>0</v>
      </c>
      <c r="AK2199">
        <v>0</v>
      </c>
      <c r="AL2199" t="str">
        <f>IF(AA2199="","",IFERROR(IF(ISNUMBER('Procyclean 220'!F201),'Procyclean 220'!F201,IF(ISNUMBER(SEARCH("12",'Procyclean 220'!F201)),EDATE(AB2199,12),IF(ISNUMBER(SEARCH("6",'Procyclean 220'!F201)),EDATE(AB2199,6),IF(ISNUMBER(SEARCH("3",'Procyclean 220'!F201)),EDATE(AB2199,3),DATEVALUE('Procyclean 220'!F201))))),""))</f>
        <v/>
      </c>
      <c r="AM2199" t="str">
        <f t="shared" ca="1" si="226"/>
        <v/>
      </c>
    </row>
    <row r="2200" spans="27:39" x14ac:dyDescent="0.3">
      <c r="AA2200" t="str">
        <f>IF(COUNTA('Procyclean 220'!C202,'Procyclean 220'!D202,'Procyclean 220'!E202)&gt;0,"220","")</f>
        <v/>
      </c>
      <c r="AB2200" t="str">
        <f>IFERROR(IF(ISNUMBER('Procyclean 220'!C202),'Procyclean 220'!C202,DATEVALUE('Procyclean 220'!C202)),"")</f>
        <v/>
      </c>
      <c r="AC2200" t="str">
        <f>IF(AA2200="","",'Procyclean 220'!D202)</f>
        <v/>
      </c>
      <c r="AD2200" t="str">
        <f>IF(AA2200="","",IFERROR(1*'Procyclean 220'!E202,IFERROR(_xludf.NUMBERVALUE('Procyclean 220'!E202,".",","),IFERROR(_xludf.NUMBERVALUE('Procyclean 220'!E202,",","."),0))))</f>
        <v/>
      </c>
      <c r="AE2200" t="str">
        <f>IF(AA2200="","",'Procyclean 220'!B202)</f>
        <v/>
      </c>
      <c r="AF2200">
        <f t="shared" si="221"/>
        <v>0</v>
      </c>
      <c r="AG2200" t="str">
        <f t="shared" si="222"/>
        <v/>
      </c>
      <c r="AH2200" t="str">
        <f t="shared" si="223"/>
        <v/>
      </c>
      <c r="AI2200">
        <f t="shared" si="224"/>
        <v>0</v>
      </c>
      <c r="AJ2200">
        <f t="shared" si="225"/>
        <v>0</v>
      </c>
      <c r="AK2200">
        <v>0</v>
      </c>
      <c r="AL2200" t="str">
        <f>IF(AA2200="","",IFERROR(IF(ISNUMBER('Procyclean 220'!F202),'Procyclean 220'!F202,IF(ISNUMBER(SEARCH("12",'Procyclean 220'!F202)),EDATE(AB2200,12),IF(ISNUMBER(SEARCH("6",'Procyclean 220'!F202)),EDATE(AB2200,6),IF(ISNUMBER(SEARCH("3",'Procyclean 220'!F202)),EDATE(AB2200,3),DATEVALUE('Procyclean 220'!F202))))),""))</f>
        <v/>
      </c>
      <c r="AM2200" t="str">
        <f t="shared" ca="1" si="226"/>
        <v/>
      </c>
    </row>
    <row r="2201" spans="27:39" x14ac:dyDescent="0.3">
      <c r="AA2201" t="str">
        <f>IF(COUNTA('Procyclean 220'!C203,'Procyclean 220'!D203,'Procyclean 220'!E203)&gt;0,"220","")</f>
        <v/>
      </c>
      <c r="AB2201" t="str">
        <f>IFERROR(IF(ISNUMBER('Procyclean 220'!C203),'Procyclean 220'!C203,DATEVALUE('Procyclean 220'!C203)),"")</f>
        <v/>
      </c>
      <c r="AC2201" t="str">
        <f>IF(AA2201="","",'Procyclean 220'!D203)</f>
        <v/>
      </c>
      <c r="AD2201" t="str">
        <f>IF(AA2201="","",IFERROR(1*'Procyclean 220'!E203,IFERROR(_xludf.NUMBERVALUE('Procyclean 220'!E203,".",","),IFERROR(_xludf.NUMBERVALUE('Procyclean 220'!E203,",","."),0))))</f>
        <v/>
      </c>
      <c r="AE2201" t="str">
        <f>IF(AA2201="","",'Procyclean 220'!B203)</f>
        <v/>
      </c>
      <c r="AF2201">
        <f t="shared" si="221"/>
        <v>0</v>
      </c>
      <c r="AG2201" t="str">
        <f t="shared" si="222"/>
        <v/>
      </c>
      <c r="AH2201" t="str">
        <f t="shared" si="223"/>
        <v/>
      </c>
      <c r="AI2201">
        <f t="shared" si="224"/>
        <v>0</v>
      </c>
      <c r="AJ2201">
        <f t="shared" si="225"/>
        <v>0</v>
      </c>
      <c r="AK2201">
        <v>0</v>
      </c>
      <c r="AL2201" t="str">
        <f>IF(AA2201="","",IFERROR(IF(ISNUMBER('Procyclean 220'!F203),'Procyclean 220'!F203,IF(ISNUMBER(SEARCH("12",'Procyclean 220'!F203)),EDATE(AB2201,12),IF(ISNUMBER(SEARCH("6",'Procyclean 220'!F203)),EDATE(AB2201,6),IF(ISNUMBER(SEARCH("3",'Procyclean 220'!F203)),EDATE(AB2201,3),DATEVALUE('Procyclean 220'!F203))))),""))</f>
        <v/>
      </c>
      <c r="AM2201" t="str">
        <f t="shared" ca="1" si="226"/>
        <v/>
      </c>
    </row>
    <row r="2202" spans="27:39" x14ac:dyDescent="0.3">
      <c r="AA2202" t="str">
        <f>IF(COUNTA('Procyclean 220'!C204,'Procyclean 220'!D204,'Procyclean 220'!E204)&gt;0,"220","")</f>
        <v/>
      </c>
      <c r="AB2202" t="str">
        <f>IFERROR(IF(ISNUMBER('Procyclean 220'!C204),'Procyclean 220'!C204,DATEVALUE('Procyclean 220'!C204)),"")</f>
        <v/>
      </c>
      <c r="AC2202" t="str">
        <f>IF(AA2202="","",'Procyclean 220'!D204)</f>
        <v/>
      </c>
      <c r="AD2202" t="str">
        <f>IF(AA2202="","",IFERROR(1*'Procyclean 220'!E204,IFERROR(_xludf.NUMBERVALUE('Procyclean 220'!E204,".",","),IFERROR(_xludf.NUMBERVALUE('Procyclean 220'!E204,",","."),0))))</f>
        <v/>
      </c>
      <c r="AE2202" t="str">
        <f>IF(AA2202="","",'Procyclean 220'!B204)</f>
        <v/>
      </c>
      <c r="AF2202">
        <f t="shared" si="221"/>
        <v>0</v>
      </c>
      <c r="AG2202" t="str">
        <f t="shared" si="222"/>
        <v/>
      </c>
      <c r="AH2202" t="str">
        <f t="shared" si="223"/>
        <v/>
      </c>
      <c r="AI2202">
        <f t="shared" si="224"/>
        <v>0</v>
      </c>
      <c r="AJ2202">
        <f t="shared" si="225"/>
        <v>0</v>
      </c>
      <c r="AK2202">
        <v>0</v>
      </c>
      <c r="AL2202" t="str">
        <f>IF(AA2202="","",IFERROR(IF(ISNUMBER('Procyclean 220'!F204),'Procyclean 220'!F204,IF(ISNUMBER(SEARCH("12",'Procyclean 220'!F204)),EDATE(AB2202,12),IF(ISNUMBER(SEARCH("6",'Procyclean 220'!F204)),EDATE(AB2202,6),IF(ISNUMBER(SEARCH("3",'Procyclean 220'!F204)),EDATE(AB2202,3),DATEVALUE('Procyclean 220'!F204))))),""))</f>
        <v/>
      </c>
      <c r="AM2202" t="str">
        <f t="shared" ca="1" si="226"/>
        <v/>
      </c>
    </row>
    <row r="2203" spans="27:39" x14ac:dyDescent="0.3">
      <c r="AA2203" t="str">
        <f>IF(COUNTA('Procyclean 220'!C205,'Procyclean 220'!D205,'Procyclean 220'!E205)&gt;0,"220","")</f>
        <v/>
      </c>
      <c r="AB2203" t="str">
        <f>IFERROR(IF(ISNUMBER('Procyclean 220'!C205),'Procyclean 220'!C205,DATEVALUE('Procyclean 220'!C205)),"")</f>
        <v/>
      </c>
      <c r="AC2203" t="str">
        <f>IF(AA2203="","",'Procyclean 220'!D205)</f>
        <v/>
      </c>
      <c r="AD2203" t="str">
        <f>IF(AA2203="","",IFERROR(1*'Procyclean 220'!E205,IFERROR(_xludf.NUMBERVALUE('Procyclean 220'!E205,".",","),IFERROR(_xludf.NUMBERVALUE('Procyclean 220'!E205,",","."),0))))</f>
        <v/>
      </c>
      <c r="AE2203" t="str">
        <f>IF(AA2203="","",'Procyclean 220'!B205)</f>
        <v/>
      </c>
      <c r="AF2203">
        <f t="shared" si="221"/>
        <v>0</v>
      </c>
      <c r="AG2203" t="str">
        <f t="shared" si="222"/>
        <v/>
      </c>
      <c r="AH2203" t="str">
        <f t="shared" si="223"/>
        <v/>
      </c>
      <c r="AI2203">
        <f t="shared" si="224"/>
        <v>0</v>
      </c>
      <c r="AJ2203">
        <f t="shared" si="225"/>
        <v>0</v>
      </c>
      <c r="AK2203">
        <v>0</v>
      </c>
      <c r="AL2203" t="str">
        <f>IF(AA2203="","",IFERROR(IF(ISNUMBER('Procyclean 220'!F205),'Procyclean 220'!F205,IF(ISNUMBER(SEARCH("12",'Procyclean 220'!F205)),EDATE(AB2203,12),IF(ISNUMBER(SEARCH("6",'Procyclean 220'!F205)),EDATE(AB2203,6),IF(ISNUMBER(SEARCH("3",'Procyclean 220'!F205)),EDATE(AB2203,3),DATEVALUE('Procyclean 220'!F205))))),""))</f>
        <v/>
      </c>
      <c r="AM2203" t="str">
        <f t="shared" ca="1" si="226"/>
        <v/>
      </c>
    </row>
    <row r="2204" spans="27:39" x14ac:dyDescent="0.3">
      <c r="AA2204" t="str">
        <f>IF(COUNTA('Procyclean 220'!C206,'Procyclean 220'!D206,'Procyclean 220'!E206)&gt;0,"220","")</f>
        <v/>
      </c>
      <c r="AB2204" t="str">
        <f>IFERROR(IF(ISNUMBER('Procyclean 220'!C206),'Procyclean 220'!C206,DATEVALUE('Procyclean 220'!C206)),"")</f>
        <v/>
      </c>
      <c r="AC2204" t="str">
        <f>IF(AA2204="","",'Procyclean 220'!D206)</f>
        <v/>
      </c>
      <c r="AD2204" t="str">
        <f>IF(AA2204="","",IFERROR(1*'Procyclean 220'!E206,IFERROR(_xludf.NUMBERVALUE('Procyclean 220'!E206,".",","),IFERROR(_xludf.NUMBERVALUE('Procyclean 220'!E206,",","."),0))))</f>
        <v/>
      </c>
      <c r="AE2204" t="str">
        <f>IF(AA2204="","",'Procyclean 220'!B206)</f>
        <v/>
      </c>
      <c r="AF2204">
        <f t="shared" si="221"/>
        <v>0</v>
      </c>
      <c r="AG2204" t="str">
        <f t="shared" si="222"/>
        <v/>
      </c>
      <c r="AH2204" t="str">
        <f t="shared" si="223"/>
        <v/>
      </c>
      <c r="AI2204">
        <f t="shared" si="224"/>
        <v>0</v>
      </c>
      <c r="AJ2204">
        <f t="shared" si="225"/>
        <v>0</v>
      </c>
      <c r="AK2204">
        <v>0</v>
      </c>
      <c r="AL2204" t="str">
        <f>IF(AA2204="","",IFERROR(IF(ISNUMBER('Procyclean 220'!F206),'Procyclean 220'!F206,IF(ISNUMBER(SEARCH("12",'Procyclean 220'!F206)),EDATE(AB2204,12),IF(ISNUMBER(SEARCH("6",'Procyclean 220'!F206)),EDATE(AB2204,6),IF(ISNUMBER(SEARCH("3",'Procyclean 220'!F206)),EDATE(AB2204,3),DATEVALUE('Procyclean 220'!F206))))),""))</f>
        <v/>
      </c>
      <c r="AM2204" t="str">
        <f t="shared" ca="1" si="226"/>
        <v/>
      </c>
    </row>
    <row r="2205" spans="27:39" x14ac:dyDescent="0.3">
      <c r="AA2205" t="str">
        <f>IF(COUNTA('Procyclean 220'!C207,'Procyclean 220'!D207,'Procyclean 220'!E207)&gt;0,"220","")</f>
        <v/>
      </c>
      <c r="AB2205" t="str">
        <f>IFERROR(IF(ISNUMBER('Procyclean 220'!C207),'Procyclean 220'!C207,DATEVALUE('Procyclean 220'!C207)),"")</f>
        <v/>
      </c>
      <c r="AC2205" t="str">
        <f>IF(AA2205="","",'Procyclean 220'!D207)</f>
        <v/>
      </c>
      <c r="AD2205" t="str">
        <f>IF(AA2205="","",IFERROR(1*'Procyclean 220'!E207,IFERROR(_xludf.NUMBERVALUE('Procyclean 220'!E207,".",","),IFERROR(_xludf.NUMBERVALUE('Procyclean 220'!E207,",","."),0))))</f>
        <v/>
      </c>
      <c r="AE2205" t="str">
        <f>IF(AA2205="","",'Procyclean 220'!B207)</f>
        <v/>
      </c>
      <c r="AF2205">
        <f t="shared" si="221"/>
        <v>0</v>
      </c>
      <c r="AG2205" t="str">
        <f t="shared" si="222"/>
        <v/>
      </c>
      <c r="AH2205" t="str">
        <f t="shared" si="223"/>
        <v/>
      </c>
      <c r="AI2205">
        <f t="shared" si="224"/>
        <v>0</v>
      </c>
      <c r="AJ2205">
        <f t="shared" si="225"/>
        <v>0</v>
      </c>
      <c r="AK2205">
        <v>0</v>
      </c>
      <c r="AL2205" t="str">
        <f>IF(AA2205="","",IFERROR(IF(ISNUMBER('Procyclean 220'!F207),'Procyclean 220'!F207,IF(ISNUMBER(SEARCH("12",'Procyclean 220'!F207)),EDATE(AB2205,12),IF(ISNUMBER(SEARCH("6",'Procyclean 220'!F207)),EDATE(AB2205,6),IF(ISNUMBER(SEARCH("3",'Procyclean 220'!F207)),EDATE(AB2205,3),DATEVALUE('Procyclean 220'!F207))))),""))</f>
        <v/>
      </c>
      <c r="AM2205" t="str">
        <f t="shared" ca="1" si="226"/>
        <v/>
      </c>
    </row>
    <row r="2206" spans="27:39" x14ac:dyDescent="0.3">
      <c r="AA2206" t="str">
        <f>IF(COUNTA('Procyclean 220'!C208,'Procyclean 220'!D208,'Procyclean 220'!E208)&gt;0,"220","")</f>
        <v/>
      </c>
      <c r="AB2206" t="str">
        <f>IFERROR(IF(ISNUMBER('Procyclean 220'!C208),'Procyclean 220'!C208,DATEVALUE('Procyclean 220'!C208)),"")</f>
        <v/>
      </c>
      <c r="AC2206" t="str">
        <f>IF(AA2206="","",'Procyclean 220'!D208)</f>
        <v/>
      </c>
      <c r="AD2206" t="str">
        <f>IF(AA2206="","",IFERROR(1*'Procyclean 220'!E208,IFERROR(_xludf.NUMBERVALUE('Procyclean 220'!E208,".",","),IFERROR(_xludf.NUMBERVALUE('Procyclean 220'!E208,",","."),0))))</f>
        <v/>
      </c>
      <c r="AE2206" t="str">
        <f>IF(AA2206="","",'Procyclean 220'!B208)</f>
        <v/>
      </c>
      <c r="AF2206">
        <f t="shared" si="221"/>
        <v>0</v>
      </c>
      <c r="AG2206" t="str">
        <f t="shared" si="222"/>
        <v/>
      </c>
      <c r="AH2206" t="str">
        <f t="shared" si="223"/>
        <v/>
      </c>
      <c r="AI2206">
        <f t="shared" si="224"/>
        <v>0</v>
      </c>
      <c r="AJ2206">
        <f t="shared" si="225"/>
        <v>0</v>
      </c>
      <c r="AK2206">
        <v>0</v>
      </c>
      <c r="AL2206" t="str">
        <f>IF(AA2206="","",IFERROR(IF(ISNUMBER('Procyclean 220'!F208),'Procyclean 220'!F208,IF(ISNUMBER(SEARCH("12",'Procyclean 220'!F208)),EDATE(AB2206,12),IF(ISNUMBER(SEARCH("6",'Procyclean 220'!F208)),EDATE(AB2206,6),IF(ISNUMBER(SEARCH("3",'Procyclean 220'!F208)),EDATE(AB2206,3),DATEVALUE('Procyclean 220'!F208))))),""))</f>
        <v/>
      </c>
      <c r="AM2206" t="str">
        <f t="shared" ca="1" si="226"/>
        <v/>
      </c>
    </row>
    <row r="2207" spans="27:39" x14ac:dyDescent="0.3">
      <c r="AA2207" t="str">
        <f>IF(COUNTA('Procyclean 220'!C209,'Procyclean 220'!D209,'Procyclean 220'!E209)&gt;0,"220","")</f>
        <v/>
      </c>
      <c r="AB2207" t="str">
        <f>IFERROR(IF(ISNUMBER('Procyclean 220'!C209),'Procyclean 220'!C209,DATEVALUE('Procyclean 220'!C209)),"")</f>
        <v/>
      </c>
      <c r="AC2207" t="str">
        <f>IF(AA2207="","",'Procyclean 220'!D209)</f>
        <v/>
      </c>
      <c r="AD2207" t="str">
        <f>IF(AA2207="","",IFERROR(1*'Procyclean 220'!E209,IFERROR(_xludf.NUMBERVALUE('Procyclean 220'!E209,".",","),IFERROR(_xludf.NUMBERVALUE('Procyclean 220'!E209,",","."),0))))</f>
        <v/>
      </c>
      <c r="AE2207" t="str">
        <f>IF(AA2207="","",'Procyclean 220'!B209)</f>
        <v/>
      </c>
      <c r="AF2207">
        <f t="shared" si="221"/>
        <v>0</v>
      </c>
      <c r="AG2207" t="str">
        <f t="shared" si="222"/>
        <v/>
      </c>
      <c r="AH2207" t="str">
        <f t="shared" si="223"/>
        <v/>
      </c>
      <c r="AI2207">
        <f t="shared" si="224"/>
        <v>0</v>
      </c>
      <c r="AJ2207">
        <f t="shared" si="225"/>
        <v>0</v>
      </c>
      <c r="AK2207">
        <v>0</v>
      </c>
      <c r="AL2207" t="str">
        <f>IF(AA2207="","",IFERROR(IF(ISNUMBER('Procyclean 220'!F209),'Procyclean 220'!F209,IF(ISNUMBER(SEARCH("12",'Procyclean 220'!F209)),EDATE(AB2207,12),IF(ISNUMBER(SEARCH("6",'Procyclean 220'!F209)),EDATE(AB2207,6),IF(ISNUMBER(SEARCH("3",'Procyclean 220'!F209)),EDATE(AB2207,3),DATEVALUE('Procyclean 220'!F209))))),""))</f>
        <v/>
      </c>
      <c r="AM2207" t="str">
        <f t="shared" ca="1" si="226"/>
        <v/>
      </c>
    </row>
    <row r="2208" spans="27:39" x14ac:dyDescent="0.3">
      <c r="AA2208" t="str">
        <f>IF(COUNTA('Procyclean 220'!C210,'Procyclean 220'!D210,'Procyclean 220'!E210)&gt;0,"220","")</f>
        <v/>
      </c>
      <c r="AB2208" t="str">
        <f>IFERROR(IF(ISNUMBER('Procyclean 220'!C210),'Procyclean 220'!C210,DATEVALUE('Procyclean 220'!C210)),"")</f>
        <v/>
      </c>
      <c r="AC2208" t="str">
        <f>IF(AA2208="","",'Procyclean 220'!D210)</f>
        <v/>
      </c>
      <c r="AD2208" t="str">
        <f>IF(AA2208="","",IFERROR(1*'Procyclean 220'!E210,IFERROR(_xludf.NUMBERVALUE('Procyclean 220'!E210,".",","),IFERROR(_xludf.NUMBERVALUE('Procyclean 220'!E210,",","."),0))))</f>
        <v/>
      </c>
      <c r="AE2208" t="str">
        <f>IF(AA2208="","",'Procyclean 220'!B210)</f>
        <v/>
      </c>
      <c r="AF2208">
        <f t="shared" si="221"/>
        <v>0</v>
      </c>
      <c r="AG2208" t="str">
        <f t="shared" si="222"/>
        <v/>
      </c>
      <c r="AH2208" t="str">
        <f t="shared" si="223"/>
        <v/>
      </c>
      <c r="AI2208">
        <f t="shared" si="224"/>
        <v>0</v>
      </c>
      <c r="AJ2208">
        <f t="shared" si="225"/>
        <v>0</v>
      </c>
      <c r="AK2208">
        <v>0</v>
      </c>
      <c r="AL2208" t="str">
        <f>IF(AA2208="","",IFERROR(IF(ISNUMBER('Procyclean 220'!F210),'Procyclean 220'!F210,IF(ISNUMBER(SEARCH("12",'Procyclean 220'!F210)),EDATE(AB2208,12),IF(ISNUMBER(SEARCH("6",'Procyclean 220'!F210)),EDATE(AB2208,6),IF(ISNUMBER(SEARCH("3",'Procyclean 220'!F210)),EDATE(AB2208,3),DATEVALUE('Procyclean 220'!F210))))),""))</f>
        <v/>
      </c>
      <c r="AM2208" t="str">
        <f t="shared" ca="1" si="226"/>
        <v/>
      </c>
    </row>
    <row r="2209" spans="27:39" x14ac:dyDescent="0.3">
      <c r="AA2209" t="str">
        <f>IF(COUNTA('Procyclean 220'!C211,'Procyclean 220'!D211,'Procyclean 220'!E211)&gt;0,"220","")</f>
        <v/>
      </c>
      <c r="AB2209" t="str">
        <f>IFERROR(IF(ISNUMBER('Procyclean 220'!C211),'Procyclean 220'!C211,DATEVALUE('Procyclean 220'!C211)),"")</f>
        <v/>
      </c>
      <c r="AC2209" t="str">
        <f>IF(AA2209="","",'Procyclean 220'!D211)</f>
        <v/>
      </c>
      <c r="AD2209" t="str">
        <f>IF(AA2209="","",IFERROR(1*'Procyclean 220'!E211,IFERROR(_xludf.NUMBERVALUE('Procyclean 220'!E211,".",","),IFERROR(_xludf.NUMBERVALUE('Procyclean 220'!E211,",","."),0))))</f>
        <v/>
      </c>
      <c r="AE2209" t="str">
        <f>IF(AA2209="","",'Procyclean 220'!B211)</f>
        <v/>
      </c>
      <c r="AF2209">
        <f t="shared" si="221"/>
        <v>0</v>
      </c>
      <c r="AG2209" t="str">
        <f t="shared" si="222"/>
        <v/>
      </c>
      <c r="AH2209" t="str">
        <f t="shared" si="223"/>
        <v/>
      </c>
      <c r="AI2209">
        <f t="shared" si="224"/>
        <v>0</v>
      </c>
      <c r="AJ2209">
        <f t="shared" si="225"/>
        <v>0</v>
      </c>
      <c r="AK2209">
        <v>0</v>
      </c>
      <c r="AL2209" t="str">
        <f>IF(AA2209="","",IFERROR(IF(ISNUMBER('Procyclean 220'!F211),'Procyclean 220'!F211,IF(ISNUMBER(SEARCH("12",'Procyclean 220'!F211)),EDATE(AB2209,12),IF(ISNUMBER(SEARCH("6",'Procyclean 220'!F211)),EDATE(AB2209,6),IF(ISNUMBER(SEARCH("3",'Procyclean 220'!F211)),EDATE(AB2209,3),DATEVALUE('Procyclean 220'!F211))))),""))</f>
        <v/>
      </c>
      <c r="AM2209" t="str">
        <f t="shared" ca="1" si="226"/>
        <v/>
      </c>
    </row>
    <row r="2210" spans="27:39" x14ac:dyDescent="0.3">
      <c r="AA2210" t="str">
        <f>IF(COUNTA('Procyclean 220'!C212,'Procyclean 220'!D212,'Procyclean 220'!E212)&gt;0,"220","")</f>
        <v/>
      </c>
      <c r="AB2210" t="str">
        <f>IFERROR(IF(ISNUMBER('Procyclean 220'!C212),'Procyclean 220'!C212,DATEVALUE('Procyclean 220'!C212)),"")</f>
        <v/>
      </c>
      <c r="AC2210" t="str">
        <f>IF(AA2210="","",'Procyclean 220'!D212)</f>
        <v/>
      </c>
      <c r="AD2210" t="str">
        <f>IF(AA2210="","",IFERROR(1*'Procyclean 220'!E212,IFERROR(_xludf.NUMBERVALUE('Procyclean 220'!E212,".",","),IFERROR(_xludf.NUMBERVALUE('Procyclean 220'!E212,",","."),0))))</f>
        <v/>
      </c>
      <c r="AE2210" t="str">
        <f>IF(AA2210="","",'Procyclean 220'!B212)</f>
        <v/>
      </c>
      <c r="AF2210">
        <f t="shared" si="221"/>
        <v>0</v>
      </c>
      <c r="AG2210" t="str">
        <f t="shared" si="222"/>
        <v/>
      </c>
      <c r="AH2210" t="str">
        <f t="shared" si="223"/>
        <v/>
      </c>
      <c r="AI2210">
        <f t="shared" si="224"/>
        <v>0</v>
      </c>
      <c r="AJ2210">
        <f t="shared" si="225"/>
        <v>0</v>
      </c>
      <c r="AK2210">
        <v>0</v>
      </c>
      <c r="AL2210" t="str">
        <f>IF(AA2210="","",IFERROR(IF(ISNUMBER('Procyclean 220'!F212),'Procyclean 220'!F212,IF(ISNUMBER(SEARCH("12",'Procyclean 220'!F212)),EDATE(AB2210,12),IF(ISNUMBER(SEARCH("6",'Procyclean 220'!F212)),EDATE(AB2210,6),IF(ISNUMBER(SEARCH("3",'Procyclean 220'!F212)),EDATE(AB2210,3),DATEVALUE('Procyclean 220'!F212))))),""))</f>
        <v/>
      </c>
      <c r="AM2210" t="str">
        <f t="shared" ca="1" si="226"/>
        <v/>
      </c>
    </row>
    <row r="2211" spans="27:39" x14ac:dyDescent="0.3">
      <c r="AA2211" t="str">
        <f>IF(COUNTA('Procyclean 220'!C213,'Procyclean 220'!D213,'Procyclean 220'!E213)&gt;0,"220","")</f>
        <v/>
      </c>
      <c r="AB2211" t="str">
        <f>IFERROR(IF(ISNUMBER('Procyclean 220'!C213),'Procyclean 220'!C213,DATEVALUE('Procyclean 220'!C213)),"")</f>
        <v/>
      </c>
      <c r="AC2211" t="str">
        <f>IF(AA2211="","",'Procyclean 220'!D213)</f>
        <v/>
      </c>
      <c r="AD2211" t="str">
        <f>IF(AA2211="","",IFERROR(1*'Procyclean 220'!E213,IFERROR(_xludf.NUMBERVALUE('Procyclean 220'!E213,".",","),IFERROR(_xludf.NUMBERVALUE('Procyclean 220'!E213,",","."),0))))</f>
        <v/>
      </c>
      <c r="AE2211" t="str">
        <f>IF(AA2211="","",'Procyclean 220'!B213)</f>
        <v/>
      </c>
      <c r="AF2211">
        <f t="shared" si="221"/>
        <v>0</v>
      </c>
      <c r="AG2211" t="str">
        <f t="shared" si="222"/>
        <v/>
      </c>
      <c r="AH2211" t="str">
        <f t="shared" si="223"/>
        <v/>
      </c>
      <c r="AI2211">
        <f t="shared" si="224"/>
        <v>0</v>
      </c>
      <c r="AJ2211">
        <f t="shared" si="225"/>
        <v>0</v>
      </c>
      <c r="AK2211">
        <v>0</v>
      </c>
      <c r="AL2211" t="str">
        <f>IF(AA2211="","",IFERROR(IF(ISNUMBER('Procyclean 220'!F213),'Procyclean 220'!F213,IF(ISNUMBER(SEARCH("12",'Procyclean 220'!F213)),EDATE(AB2211,12),IF(ISNUMBER(SEARCH("6",'Procyclean 220'!F213)),EDATE(AB2211,6),IF(ISNUMBER(SEARCH("3",'Procyclean 220'!F213)),EDATE(AB2211,3),DATEVALUE('Procyclean 220'!F213))))),""))</f>
        <v/>
      </c>
      <c r="AM2211" t="str">
        <f t="shared" ca="1" si="226"/>
        <v/>
      </c>
    </row>
    <row r="2212" spans="27:39" x14ac:dyDescent="0.3">
      <c r="AA2212" t="str">
        <f>IF(COUNTA('Procyclean 220'!C214,'Procyclean 220'!D214,'Procyclean 220'!E214)&gt;0,"220","")</f>
        <v/>
      </c>
      <c r="AB2212" t="str">
        <f>IFERROR(IF(ISNUMBER('Procyclean 220'!C214),'Procyclean 220'!C214,DATEVALUE('Procyclean 220'!C214)),"")</f>
        <v/>
      </c>
      <c r="AC2212" t="str">
        <f>IF(AA2212="","",'Procyclean 220'!D214)</f>
        <v/>
      </c>
      <c r="AD2212" t="str">
        <f>IF(AA2212="","",IFERROR(1*'Procyclean 220'!E214,IFERROR(_xludf.NUMBERVALUE('Procyclean 220'!E214,".",","),IFERROR(_xludf.NUMBERVALUE('Procyclean 220'!E214,",","."),0))))</f>
        <v/>
      </c>
      <c r="AE2212" t="str">
        <f>IF(AA2212="","",'Procyclean 220'!B214)</f>
        <v/>
      </c>
      <c r="AF2212">
        <f t="shared" si="221"/>
        <v>0</v>
      </c>
      <c r="AG2212" t="str">
        <f t="shared" si="222"/>
        <v/>
      </c>
      <c r="AH2212" t="str">
        <f t="shared" si="223"/>
        <v/>
      </c>
      <c r="AI2212">
        <f t="shared" si="224"/>
        <v>0</v>
      </c>
      <c r="AJ2212">
        <f t="shared" si="225"/>
        <v>0</v>
      </c>
      <c r="AK2212">
        <v>0</v>
      </c>
      <c r="AL2212" t="str">
        <f>IF(AA2212="","",IFERROR(IF(ISNUMBER('Procyclean 220'!F214),'Procyclean 220'!F214,IF(ISNUMBER(SEARCH("12",'Procyclean 220'!F214)),EDATE(AB2212,12),IF(ISNUMBER(SEARCH("6",'Procyclean 220'!F214)),EDATE(AB2212,6),IF(ISNUMBER(SEARCH("3",'Procyclean 220'!F214)),EDATE(AB2212,3),DATEVALUE('Procyclean 220'!F214))))),""))</f>
        <v/>
      </c>
      <c r="AM2212" t="str">
        <f t="shared" ca="1" si="226"/>
        <v/>
      </c>
    </row>
    <row r="2213" spans="27:39" x14ac:dyDescent="0.3">
      <c r="AA2213" t="str">
        <f>IF(COUNTA('Procyclean 220'!C215,'Procyclean 220'!D215,'Procyclean 220'!E215)&gt;0,"220","")</f>
        <v/>
      </c>
      <c r="AB2213" t="str">
        <f>IFERROR(IF(ISNUMBER('Procyclean 220'!C215),'Procyclean 220'!C215,DATEVALUE('Procyclean 220'!C215)),"")</f>
        <v/>
      </c>
      <c r="AC2213" t="str">
        <f>IF(AA2213="","",'Procyclean 220'!D215)</f>
        <v/>
      </c>
      <c r="AD2213" t="str">
        <f>IF(AA2213="","",IFERROR(1*'Procyclean 220'!E215,IFERROR(_xludf.NUMBERVALUE('Procyclean 220'!E215,".",","),IFERROR(_xludf.NUMBERVALUE('Procyclean 220'!E215,",","."),0))))</f>
        <v/>
      </c>
      <c r="AE2213" t="str">
        <f>IF(AA2213="","",'Procyclean 220'!B215)</f>
        <v/>
      </c>
      <c r="AF2213">
        <f t="shared" si="221"/>
        <v>0</v>
      </c>
      <c r="AG2213" t="str">
        <f t="shared" si="222"/>
        <v/>
      </c>
      <c r="AH2213" t="str">
        <f t="shared" si="223"/>
        <v/>
      </c>
      <c r="AI2213">
        <f t="shared" si="224"/>
        <v>0</v>
      </c>
      <c r="AJ2213">
        <f t="shared" si="225"/>
        <v>0</v>
      </c>
      <c r="AK2213">
        <v>0</v>
      </c>
      <c r="AL2213" t="str">
        <f>IF(AA2213="","",IFERROR(IF(ISNUMBER('Procyclean 220'!F215),'Procyclean 220'!F215,IF(ISNUMBER(SEARCH("12",'Procyclean 220'!F215)),EDATE(AB2213,12),IF(ISNUMBER(SEARCH("6",'Procyclean 220'!F215)),EDATE(AB2213,6),IF(ISNUMBER(SEARCH("3",'Procyclean 220'!F215)),EDATE(AB2213,3),DATEVALUE('Procyclean 220'!F215))))),""))</f>
        <v/>
      </c>
      <c r="AM2213" t="str">
        <f t="shared" ca="1" si="226"/>
        <v/>
      </c>
    </row>
    <row r="2214" spans="27:39" x14ac:dyDescent="0.3">
      <c r="AA2214" t="str">
        <f>IF(COUNTA('Procyclean 220'!C216,'Procyclean 220'!D216,'Procyclean 220'!E216)&gt;0,"220","")</f>
        <v/>
      </c>
      <c r="AB2214" t="str">
        <f>IFERROR(IF(ISNUMBER('Procyclean 220'!C216),'Procyclean 220'!C216,DATEVALUE('Procyclean 220'!C216)),"")</f>
        <v/>
      </c>
      <c r="AC2214" t="str">
        <f>IF(AA2214="","",'Procyclean 220'!D216)</f>
        <v/>
      </c>
      <c r="AD2214" t="str">
        <f>IF(AA2214="","",IFERROR(1*'Procyclean 220'!E216,IFERROR(_xludf.NUMBERVALUE('Procyclean 220'!E216,".",","),IFERROR(_xludf.NUMBERVALUE('Procyclean 220'!E216,",","."),0))))</f>
        <v/>
      </c>
      <c r="AE2214" t="str">
        <f>IF(AA2214="","",'Procyclean 220'!B216)</f>
        <v/>
      </c>
      <c r="AF2214">
        <f t="shared" si="221"/>
        <v>0</v>
      </c>
      <c r="AG2214" t="str">
        <f t="shared" si="222"/>
        <v/>
      </c>
      <c r="AH2214" t="str">
        <f t="shared" si="223"/>
        <v/>
      </c>
      <c r="AI2214">
        <f t="shared" si="224"/>
        <v>0</v>
      </c>
      <c r="AJ2214">
        <f t="shared" si="225"/>
        <v>0</v>
      </c>
      <c r="AK2214">
        <v>0</v>
      </c>
      <c r="AL2214" t="str">
        <f>IF(AA2214="","",IFERROR(IF(ISNUMBER('Procyclean 220'!F216),'Procyclean 220'!F216,IF(ISNUMBER(SEARCH("12",'Procyclean 220'!F216)),EDATE(AB2214,12),IF(ISNUMBER(SEARCH("6",'Procyclean 220'!F216)),EDATE(AB2214,6),IF(ISNUMBER(SEARCH("3",'Procyclean 220'!F216)),EDATE(AB2214,3),DATEVALUE('Procyclean 220'!F216))))),""))</f>
        <v/>
      </c>
      <c r="AM2214" t="str">
        <f t="shared" ca="1" si="226"/>
        <v/>
      </c>
    </row>
    <row r="2215" spans="27:39" x14ac:dyDescent="0.3">
      <c r="AA2215" t="str">
        <f>IF(COUNTA('Procyclean 220'!C217,'Procyclean 220'!D217,'Procyclean 220'!E217)&gt;0,"220","")</f>
        <v/>
      </c>
      <c r="AB2215" t="str">
        <f>IFERROR(IF(ISNUMBER('Procyclean 220'!C217),'Procyclean 220'!C217,DATEVALUE('Procyclean 220'!C217)),"")</f>
        <v/>
      </c>
      <c r="AC2215" t="str">
        <f>IF(AA2215="","",'Procyclean 220'!D217)</f>
        <v/>
      </c>
      <c r="AD2215" t="str">
        <f>IF(AA2215="","",IFERROR(1*'Procyclean 220'!E217,IFERROR(_xludf.NUMBERVALUE('Procyclean 220'!E217,".",","),IFERROR(_xludf.NUMBERVALUE('Procyclean 220'!E217,",","."),0))))</f>
        <v/>
      </c>
      <c r="AE2215" t="str">
        <f>IF(AA2215="","",'Procyclean 220'!B217)</f>
        <v/>
      </c>
      <c r="AF2215">
        <f t="shared" si="221"/>
        <v>0</v>
      </c>
      <c r="AG2215" t="str">
        <f t="shared" si="222"/>
        <v/>
      </c>
      <c r="AH2215" t="str">
        <f t="shared" si="223"/>
        <v/>
      </c>
      <c r="AI2215">
        <f t="shared" si="224"/>
        <v>0</v>
      </c>
      <c r="AJ2215">
        <f t="shared" si="225"/>
        <v>0</v>
      </c>
      <c r="AK2215">
        <v>0</v>
      </c>
      <c r="AL2215" t="str">
        <f>IF(AA2215="","",IFERROR(IF(ISNUMBER('Procyclean 220'!F217),'Procyclean 220'!F217,IF(ISNUMBER(SEARCH("12",'Procyclean 220'!F217)),EDATE(AB2215,12),IF(ISNUMBER(SEARCH("6",'Procyclean 220'!F217)),EDATE(AB2215,6),IF(ISNUMBER(SEARCH("3",'Procyclean 220'!F217)),EDATE(AB2215,3),DATEVALUE('Procyclean 220'!F217))))),""))</f>
        <v/>
      </c>
      <c r="AM2215" t="str">
        <f t="shared" ca="1" si="226"/>
        <v/>
      </c>
    </row>
    <row r="2216" spans="27:39" x14ac:dyDescent="0.3">
      <c r="AA2216" t="str">
        <f>IF(COUNTA('Procyclean 220'!C218,'Procyclean 220'!D218,'Procyclean 220'!E218)&gt;0,"220","")</f>
        <v/>
      </c>
      <c r="AB2216" t="str">
        <f>IFERROR(IF(ISNUMBER('Procyclean 220'!C218),'Procyclean 220'!C218,DATEVALUE('Procyclean 220'!C218)),"")</f>
        <v/>
      </c>
      <c r="AC2216" t="str">
        <f>IF(AA2216="","",'Procyclean 220'!D218)</f>
        <v/>
      </c>
      <c r="AD2216" t="str">
        <f>IF(AA2216="","",IFERROR(1*'Procyclean 220'!E218,IFERROR(_xludf.NUMBERVALUE('Procyclean 220'!E218,".",","),IFERROR(_xludf.NUMBERVALUE('Procyclean 220'!E218,",","."),0))))</f>
        <v/>
      </c>
      <c r="AE2216" t="str">
        <f>IF(AA2216="","",'Procyclean 220'!B218)</f>
        <v/>
      </c>
      <c r="AF2216">
        <f t="shared" si="221"/>
        <v>0</v>
      </c>
      <c r="AG2216" t="str">
        <f t="shared" si="222"/>
        <v/>
      </c>
      <c r="AH2216" t="str">
        <f t="shared" si="223"/>
        <v/>
      </c>
      <c r="AI2216">
        <f t="shared" si="224"/>
        <v>0</v>
      </c>
      <c r="AJ2216">
        <f t="shared" si="225"/>
        <v>0</v>
      </c>
      <c r="AK2216">
        <v>0</v>
      </c>
      <c r="AL2216" t="str">
        <f>IF(AA2216="","",IFERROR(IF(ISNUMBER('Procyclean 220'!F218),'Procyclean 220'!F218,IF(ISNUMBER(SEARCH("12",'Procyclean 220'!F218)),EDATE(AB2216,12),IF(ISNUMBER(SEARCH("6",'Procyclean 220'!F218)),EDATE(AB2216,6),IF(ISNUMBER(SEARCH("3",'Procyclean 220'!F218)),EDATE(AB2216,3),DATEVALUE('Procyclean 220'!F218))))),""))</f>
        <v/>
      </c>
      <c r="AM2216" t="str">
        <f t="shared" ca="1" si="226"/>
        <v/>
      </c>
    </row>
    <row r="2217" spans="27:39" x14ac:dyDescent="0.3">
      <c r="AA2217" t="str">
        <f>IF(COUNTA('Procyclean 220'!C219,'Procyclean 220'!D219,'Procyclean 220'!E219)&gt;0,"220","")</f>
        <v/>
      </c>
      <c r="AB2217" t="str">
        <f>IFERROR(IF(ISNUMBER('Procyclean 220'!C219),'Procyclean 220'!C219,DATEVALUE('Procyclean 220'!C219)),"")</f>
        <v/>
      </c>
      <c r="AC2217" t="str">
        <f>IF(AA2217="","",'Procyclean 220'!D219)</f>
        <v/>
      </c>
      <c r="AD2217" t="str">
        <f>IF(AA2217="","",IFERROR(1*'Procyclean 220'!E219,IFERROR(_xludf.NUMBERVALUE('Procyclean 220'!E219,".",","),IFERROR(_xludf.NUMBERVALUE('Procyclean 220'!E219,",","."),0))))</f>
        <v/>
      </c>
      <c r="AE2217" t="str">
        <f>IF(AA2217="","",'Procyclean 220'!B219)</f>
        <v/>
      </c>
      <c r="AF2217">
        <f t="shared" si="221"/>
        <v>0</v>
      </c>
      <c r="AG2217" t="str">
        <f t="shared" si="222"/>
        <v/>
      </c>
      <c r="AH2217" t="str">
        <f t="shared" si="223"/>
        <v/>
      </c>
      <c r="AI2217">
        <f t="shared" si="224"/>
        <v>0</v>
      </c>
      <c r="AJ2217">
        <f t="shared" si="225"/>
        <v>0</v>
      </c>
      <c r="AK2217">
        <v>0</v>
      </c>
      <c r="AL2217" t="str">
        <f>IF(AA2217="","",IFERROR(IF(ISNUMBER('Procyclean 220'!F219),'Procyclean 220'!F219,IF(ISNUMBER(SEARCH("12",'Procyclean 220'!F219)),EDATE(AB2217,12),IF(ISNUMBER(SEARCH("6",'Procyclean 220'!F219)),EDATE(AB2217,6),IF(ISNUMBER(SEARCH("3",'Procyclean 220'!F219)),EDATE(AB2217,3),DATEVALUE('Procyclean 220'!F219))))),""))</f>
        <v/>
      </c>
      <c r="AM2217" t="str">
        <f t="shared" ca="1" si="226"/>
        <v/>
      </c>
    </row>
    <row r="2218" spans="27:39" x14ac:dyDescent="0.3">
      <c r="AA2218" t="str">
        <f>IF(COUNTA('Procyclean 220'!C220,'Procyclean 220'!D220,'Procyclean 220'!E220)&gt;0,"220","")</f>
        <v/>
      </c>
      <c r="AB2218" t="str">
        <f>IFERROR(IF(ISNUMBER('Procyclean 220'!C220),'Procyclean 220'!C220,DATEVALUE('Procyclean 220'!C220)),"")</f>
        <v/>
      </c>
      <c r="AC2218" t="str">
        <f>IF(AA2218="","",'Procyclean 220'!D220)</f>
        <v/>
      </c>
      <c r="AD2218" t="str">
        <f>IF(AA2218="","",IFERROR(1*'Procyclean 220'!E220,IFERROR(_xludf.NUMBERVALUE('Procyclean 220'!E220,".",","),IFERROR(_xludf.NUMBERVALUE('Procyclean 220'!E220,",","."),0))))</f>
        <v/>
      </c>
      <c r="AE2218" t="str">
        <f>IF(AA2218="","",'Procyclean 220'!B220)</f>
        <v/>
      </c>
      <c r="AF2218">
        <f t="shared" si="221"/>
        <v>0</v>
      </c>
      <c r="AG2218" t="str">
        <f t="shared" si="222"/>
        <v/>
      </c>
      <c r="AH2218" t="str">
        <f t="shared" si="223"/>
        <v/>
      </c>
      <c r="AI2218">
        <f t="shared" si="224"/>
        <v>0</v>
      </c>
      <c r="AJ2218">
        <f t="shared" si="225"/>
        <v>0</v>
      </c>
      <c r="AK2218">
        <v>0</v>
      </c>
      <c r="AL2218" t="str">
        <f>IF(AA2218="","",IFERROR(IF(ISNUMBER('Procyclean 220'!F220),'Procyclean 220'!F220,IF(ISNUMBER(SEARCH("12",'Procyclean 220'!F220)),EDATE(AB2218,12),IF(ISNUMBER(SEARCH("6",'Procyclean 220'!F220)),EDATE(AB2218,6),IF(ISNUMBER(SEARCH("3",'Procyclean 220'!F220)),EDATE(AB2218,3),DATEVALUE('Procyclean 220'!F220))))),""))</f>
        <v/>
      </c>
      <c r="AM2218" t="str">
        <f t="shared" ca="1" si="226"/>
        <v/>
      </c>
    </row>
    <row r="2219" spans="27:39" x14ac:dyDescent="0.3">
      <c r="AA2219" t="str">
        <f>IF(COUNTA('Procyclean 220'!C221,'Procyclean 220'!D221,'Procyclean 220'!E221)&gt;0,"220","")</f>
        <v/>
      </c>
      <c r="AB2219" t="str">
        <f>IFERROR(IF(ISNUMBER('Procyclean 220'!C221),'Procyclean 220'!C221,DATEVALUE('Procyclean 220'!C221)),"")</f>
        <v/>
      </c>
      <c r="AC2219" t="str">
        <f>IF(AA2219="","",'Procyclean 220'!D221)</f>
        <v/>
      </c>
      <c r="AD2219" t="str">
        <f>IF(AA2219="","",IFERROR(1*'Procyclean 220'!E221,IFERROR(_xludf.NUMBERVALUE('Procyclean 220'!E221,".",","),IFERROR(_xludf.NUMBERVALUE('Procyclean 220'!E221,",","."),0))))</f>
        <v/>
      </c>
      <c r="AE2219" t="str">
        <f>IF(AA2219="","",'Procyclean 220'!B221)</f>
        <v/>
      </c>
      <c r="AF2219">
        <f t="shared" si="221"/>
        <v>0</v>
      </c>
      <c r="AG2219" t="str">
        <f t="shared" si="222"/>
        <v/>
      </c>
      <c r="AH2219" t="str">
        <f t="shared" si="223"/>
        <v/>
      </c>
      <c r="AI2219">
        <f t="shared" si="224"/>
        <v>0</v>
      </c>
      <c r="AJ2219">
        <f t="shared" si="225"/>
        <v>0</v>
      </c>
      <c r="AK2219">
        <v>0</v>
      </c>
      <c r="AL2219" t="str">
        <f>IF(AA2219="","",IFERROR(IF(ISNUMBER('Procyclean 220'!F221),'Procyclean 220'!F221,IF(ISNUMBER(SEARCH("12",'Procyclean 220'!F221)),EDATE(AB2219,12),IF(ISNUMBER(SEARCH("6",'Procyclean 220'!F221)),EDATE(AB2219,6),IF(ISNUMBER(SEARCH("3",'Procyclean 220'!F221)),EDATE(AB2219,3),DATEVALUE('Procyclean 220'!F221))))),""))</f>
        <v/>
      </c>
      <c r="AM2219" t="str">
        <f t="shared" ca="1" si="226"/>
        <v/>
      </c>
    </row>
    <row r="2220" spans="27:39" x14ac:dyDescent="0.3">
      <c r="AA2220" t="str">
        <f>IF(COUNTA('Procyclean 220'!C222,'Procyclean 220'!D222,'Procyclean 220'!E222)&gt;0,"220","")</f>
        <v/>
      </c>
      <c r="AB2220" t="str">
        <f>IFERROR(IF(ISNUMBER('Procyclean 220'!C222),'Procyclean 220'!C222,DATEVALUE('Procyclean 220'!C222)),"")</f>
        <v/>
      </c>
      <c r="AC2220" t="str">
        <f>IF(AA2220="","",'Procyclean 220'!D222)</f>
        <v/>
      </c>
      <c r="AD2220" t="str">
        <f>IF(AA2220="","",IFERROR(1*'Procyclean 220'!E222,IFERROR(_xludf.NUMBERVALUE('Procyclean 220'!E222,".",","),IFERROR(_xludf.NUMBERVALUE('Procyclean 220'!E222,",","."),0))))</f>
        <v/>
      </c>
      <c r="AE2220" t="str">
        <f>IF(AA2220="","",'Procyclean 220'!B222)</f>
        <v/>
      </c>
      <c r="AF2220">
        <f t="shared" si="221"/>
        <v>0</v>
      </c>
      <c r="AG2220" t="str">
        <f t="shared" si="222"/>
        <v/>
      </c>
      <c r="AH2220" t="str">
        <f t="shared" si="223"/>
        <v/>
      </c>
      <c r="AI2220">
        <f t="shared" si="224"/>
        <v>0</v>
      </c>
      <c r="AJ2220">
        <f t="shared" si="225"/>
        <v>0</v>
      </c>
      <c r="AK2220">
        <v>0</v>
      </c>
      <c r="AL2220" t="str">
        <f>IF(AA2220="","",IFERROR(IF(ISNUMBER('Procyclean 220'!F222),'Procyclean 220'!F222,IF(ISNUMBER(SEARCH("12",'Procyclean 220'!F222)),EDATE(AB2220,12),IF(ISNUMBER(SEARCH("6",'Procyclean 220'!F222)),EDATE(AB2220,6),IF(ISNUMBER(SEARCH("3",'Procyclean 220'!F222)),EDATE(AB2220,3),DATEVALUE('Procyclean 220'!F222))))),""))</f>
        <v/>
      </c>
      <c r="AM2220" t="str">
        <f t="shared" ca="1" si="226"/>
        <v/>
      </c>
    </row>
    <row r="2221" spans="27:39" x14ac:dyDescent="0.3">
      <c r="AA2221" t="str">
        <f>IF(COUNTA('Procyclean 220'!C223,'Procyclean 220'!D223,'Procyclean 220'!E223)&gt;0,"220","")</f>
        <v/>
      </c>
      <c r="AB2221" t="str">
        <f>IFERROR(IF(ISNUMBER('Procyclean 220'!C223),'Procyclean 220'!C223,DATEVALUE('Procyclean 220'!C223)),"")</f>
        <v/>
      </c>
      <c r="AC2221" t="str">
        <f>IF(AA2221="","",'Procyclean 220'!D223)</f>
        <v/>
      </c>
      <c r="AD2221" t="str">
        <f>IF(AA2221="","",IFERROR(1*'Procyclean 220'!E223,IFERROR(_xludf.NUMBERVALUE('Procyclean 220'!E223,".",","),IFERROR(_xludf.NUMBERVALUE('Procyclean 220'!E223,",","."),0))))</f>
        <v/>
      </c>
      <c r="AE2221" t="str">
        <f>IF(AA2221="","",'Procyclean 220'!B223)</f>
        <v/>
      </c>
      <c r="AF2221">
        <f t="shared" si="221"/>
        <v>0</v>
      </c>
      <c r="AG2221" t="str">
        <f t="shared" si="222"/>
        <v/>
      </c>
      <c r="AH2221" t="str">
        <f t="shared" si="223"/>
        <v/>
      </c>
      <c r="AI2221">
        <f t="shared" si="224"/>
        <v>0</v>
      </c>
      <c r="AJ2221">
        <f t="shared" si="225"/>
        <v>0</v>
      </c>
      <c r="AK2221">
        <v>0</v>
      </c>
      <c r="AL2221" t="str">
        <f>IF(AA2221="","",IFERROR(IF(ISNUMBER('Procyclean 220'!F223),'Procyclean 220'!F223,IF(ISNUMBER(SEARCH("12",'Procyclean 220'!F223)),EDATE(AB2221,12),IF(ISNUMBER(SEARCH("6",'Procyclean 220'!F223)),EDATE(AB2221,6),IF(ISNUMBER(SEARCH("3",'Procyclean 220'!F223)),EDATE(AB2221,3),DATEVALUE('Procyclean 220'!F223))))),""))</f>
        <v/>
      </c>
      <c r="AM2221" t="str">
        <f t="shared" ca="1" si="226"/>
        <v/>
      </c>
    </row>
    <row r="2222" spans="27:39" x14ac:dyDescent="0.3">
      <c r="AA2222" t="str">
        <f>IF(COUNTA('Procyclean 220'!C224,'Procyclean 220'!D224,'Procyclean 220'!E224)&gt;0,"220","")</f>
        <v/>
      </c>
      <c r="AB2222" t="str">
        <f>IFERROR(IF(ISNUMBER('Procyclean 220'!C224),'Procyclean 220'!C224,DATEVALUE('Procyclean 220'!C224)),"")</f>
        <v/>
      </c>
      <c r="AC2222" t="str">
        <f>IF(AA2222="","",'Procyclean 220'!D224)</f>
        <v/>
      </c>
      <c r="AD2222" t="str">
        <f>IF(AA2222="","",IFERROR(1*'Procyclean 220'!E224,IFERROR(_xludf.NUMBERVALUE('Procyclean 220'!E224,".",","),IFERROR(_xludf.NUMBERVALUE('Procyclean 220'!E224,",","."),0))))</f>
        <v/>
      </c>
      <c r="AE2222" t="str">
        <f>IF(AA2222="","",'Procyclean 220'!B224)</f>
        <v/>
      </c>
      <c r="AF2222">
        <f t="shared" si="221"/>
        <v>0</v>
      </c>
      <c r="AG2222" t="str">
        <f t="shared" si="222"/>
        <v/>
      </c>
      <c r="AH2222" t="str">
        <f t="shared" si="223"/>
        <v/>
      </c>
      <c r="AI2222">
        <f t="shared" si="224"/>
        <v>0</v>
      </c>
      <c r="AJ2222">
        <f t="shared" si="225"/>
        <v>0</v>
      </c>
      <c r="AK2222">
        <v>0</v>
      </c>
      <c r="AL2222" t="str">
        <f>IF(AA2222="","",IFERROR(IF(ISNUMBER('Procyclean 220'!F224),'Procyclean 220'!F224,IF(ISNUMBER(SEARCH("12",'Procyclean 220'!F224)),EDATE(AB2222,12),IF(ISNUMBER(SEARCH("6",'Procyclean 220'!F224)),EDATE(AB2222,6),IF(ISNUMBER(SEARCH("3",'Procyclean 220'!F224)),EDATE(AB2222,3),DATEVALUE('Procyclean 220'!F224))))),""))</f>
        <v/>
      </c>
      <c r="AM2222" t="str">
        <f t="shared" ca="1" si="226"/>
        <v/>
      </c>
    </row>
    <row r="2223" spans="27:39" x14ac:dyDescent="0.3">
      <c r="AA2223" t="str">
        <f>IF(COUNTA('Procyclean 220'!C225,'Procyclean 220'!D225,'Procyclean 220'!E225)&gt;0,"220","")</f>
        <v/>
      </c>
      <c r="AB2223" t="str">
        <f>IFERROR(IF(ISNUMBER('Procyclean 220'!C225),'Procyclean 220'!C225,DATEVALUE('Procyclean 220'!C225)),"")</f>
        <v/>
      </c>
      <c r="AC2223" t="str">
        <f>IF(AA2223="","",'Procyclean 220'!D225)</f>
        <v/>
      </c>
      <c r="AD2223" t="str">
        <f>IF(AA2223="","",IFERROR(1*'Procyclean 220'!E225,IFERROR(_xludf.NUMBERVALUE('Procyclean 220'!E225,".",","),IFERROR(_xludf.NUMBERVALUE('Procyclean 220'!E225,",","."),0))))</f>
        <v/>
      </c>
      <c r="AE2223" t="str">
        <f>IF(AA2223="","",'Procyclean 220'!B225)</f>
        <v/>
      </c>
      <c r="AF2223">
        <f t="shared" si="221"/>
        <v>0</v>
      </c>
      <c r="AG2223" t="str">
        <f t="shared" si="222"/>
        <v/>
      </c>
      <c r="AH2223" t="str">
        <f t="shared" si="223"/>
        <v/>
      </c>
      <c r="AI2223">
        <f t="shared" si="224"/>
        <v>0</v>
      </c>
      <c r="AJ2223">
        <f t="shared" si="225"/>
        <v>0</v>
      </c>
      <c r="AK2223">
        <v>0</v>
      </c>
      <c r="AL2223" t="str">
        <f>IF(AA2223="","",IFERROR(IF(ISNUMBER('Procyclean 220'!F225),'Procyclean 220'!F225,IF(ISNUMBER(SEARCH("12",'Procyclean 220'!F225)),EDATE(AB2223,12),IF(ISNUMBER(SEARCH("6",'Procyclean 220'!F225)),EDATE(AB2223,6),IF(ISNUMBER(SEARCH("3",'Procyclean 220'!F225)),EDATE(AB2223,3),DATEVALUE('Procyclean 220'!F225))))),""))</f>
        <v/>
      </c>
      <c r="AM2223" t="str">
        <f t="shared" ca="1" si="226"/>
        <v/>
      </c>
    </row>
    <row r="2224" spans="27:39" x14ac:dyDescent="0.3">
      <c r="AA2224" t="str">
        <f>IF(COUNTA('Procyclean 220'!C226,'Procyclean 220'!D226,'Procyclean 220'!E226)&gt;0,"220","")</f>
        <v/>
      </c>
      <c r="AB2224" t="str">
        <f>IFERROR(IF(ISNUMBER('Procyclean 220'!C226),'Procyclean 220'!C226,DATEVALUE('Procyclean 220'!C226)),"")</f>
        <v/>
      </c>
      <c r="AC2224" t="str">
        <f>IF(AA2224="","",'Procyclean 220'!D226)</f>
        <v/>
      </c>
      <c r="AD2224" t="str">
        <f>IF(AA2224="","",IFERROR(1*'Procyclean 220'!E226,IFERROR(_xludf.NUMBERVALUE('Procyclean 220'!E226,".",","),IFERROR(_xludf.NUMBERVALUE('Procyclean 220'!E226,",","."),0))))</f>
        <v/>
      </c>
      <c r="AE2224" t="str">
        <f>IF(AA2224="","",'Procyclean 220'!B226)</f>
        <v/>
      </c>
      <c r="AF2224">
        <f t="shared" si="221"/>
        <v>0</v>
      </c>
      <c r="AG2224" t="str">
        <f t="shared" si="222"/>
        <v/>
      </c>
      <c r="AH2224" t="str">
        <f t="shared" si="223"/>
        <v/>
      </c>
      <c r="AI2224">
        <f t="shared" si="224"/>
        <v>0</v>
      </c>
      <c r="AJ2224">
        <f t="shared" si="225"/>
        <v>0</v>
      </c>
      <c r="AK2224">
        <v>0</v>
      </c>
      <c r="AL2224" t="str">
        <f>IF(AA2224="","",IFERROR(IF(ISNUMBER('Procyclean 220'!F226),'Procyclean 220'!F226,IF(ISNUMBER(SEARCH("12",'Procyclean 220'!F226)),EDATE(AB2224,12),IF(ISNUMBER(SEARCH("6",'Procyclean 220'!F226)),EDATE(AB2224,6),IF(ISNUMBER(SEARCH("3",'Procyclean 220'!F226)),EDATE(AB2224,3),DATEVALUE('Procyclean 220'!F226))))),""))</f>
        <v/>
      </c>
      <c r="AM2224" t="str">
        <f t="shared" ca="1" si="226"/>
        <v/>
      </c>
    </row>
    <row r="2225" spans="27:39" x14ac:dyDescent="0.3">
      <c r="AA2225" t="str">
        <f>IF(COUNTA('Procyclean 220'!C227,'Procyclean 220'!D227,'Procyclean 220'!E227)&gt;0,"220","")</f>
        <v/>
      </c>
      <c r="AB2225" t="str">
        <f>IFERROR(IF(ISNUMBER('Procyclean 220'!C227),'Procyclean 220'!C227,DATEVALUE('Procyclean 220'!C227)),"")</f>
        <v/>
      </c>
      <c r="AC2225" t="str">
        <f>IF(AA2225="","",'Procyclean 220'!D227)</f>
        <v/>
      </c>
      <c r="AD2225" t="str">
        <f>IF(AA2225="","",IFERROR(1*'Procyclean 220'!E227,IFERROR(_xludf.NUMBERVALUE('Procyclean 220'!E227,".",","),IFERROR(_xludf.NUMBERVALUE('Procyclean 220'!E227,",","."),0))))</f>
        <v/>
      </c>
      <c r="AE2225" t="str">
        <f>IF(AA2225="","",'Procyclean 220'!B227)</f>
        <v/>
      </c>
      <c r="AF2225">
        <f t="shared" si="221"/>
        <v>0</v>
      </c>
      <c r="AG2225" t="str">
        <f t="shared" si="222"/>
        <v/>
      </c>
      <c r="AH2225" t="str">
        <f t="shared" si="223"/>
        <v/>
      </c>
      <c r="AI2225">
        <f t="shared" si="224"/>
        <v>0</v>
      </c>
      <c r="AJ2225">
        <f t="shared" si="225"/>
        <v>0</v>
      </c>
      <c r="AK2225">
        <v>0</v>
      </c>
      <c r="AL2225" t="str">
        <f>IF(AA2225="","",IFERROR(IF(ISNUMBER('Procyclean 220'!F227),'Procyclean 220'!F227,IF(ISNUMBER(SEARCH("12",'Procyclean 220'!F227)),EDATE(AB2225,12),IF(ISNUMBER(SEARCH("6",'Procyclean 220'!F227)),EDATE(AB2225,6),IF(ISNUMBER(SEARCH("3",'Procyclean 220'!F227)),EDATE(AB2225,3),DATEVALUE('Procyclean 220'!F227))))),""))</f>
        <v/>
      </c>
      <c r="AM2225" t="str">
        <f t="shared" ca="1" si="226"/>
        <v/>
      </c>
    </row>
    <row r="2226" spans="27:39" x14ac:dyDescent="0.3">
      <c r="AA2226" t="str">
        <f>IF(COUNTA('Procyclean 220'!C228,'Procyclean 220'!D228,'Procyclean 220'!E228)&gt;0,"220","")</f>
        <v/>
      </c>
      <c r="AB2226" t="str">
        <f>IFERROR(IF(ISNUMBER('Procyclean 220'!C228),'Procyclean 220'!C228,DATEVALUE('Procyclean 220'!C228)),"")</f>
        <v/>
      </c>
      <c r="AC2226" t="str">
        <f>IF(AA2226="","",'Procyclean 220'!D228)</f>
        <v/>
      </c>
      <c r="AD2226" t="str">
        <f>IF(AA2226="","",IFERROR(1*'Procyclean 220'!E228,IFERROR(_xludf.NUMBERVALUE('Procyclean 220'!E228,".",","),IFERROR(_xludf.NUMBERVALUE('Procyclean 220'!E228,",","."),0))))</f>
        <v/>
      </c>
      <c r="AE2226" t="str">
        <f>IF(AA2226="","",'Procyclean 220'!B228)</f>
        <v/>
      </c>
      <c r="AF2226">
        <f t="shared" si="221"/>
        <v>0</v>
      </c>
      <c r="AG2226" t="str">
        <f t="shared" si="222"/>
        <v/>
      </c>
      <c r="AH2226" t="str">
        <f t="shared" si="223"/>
        <v/>
      </c>
      <c r="AI2226">
        <f t="shared" si="224"/>
        <v>0</v>
      </c>
      <c r="AJ2226">
        <f t="shared" si="225"/>
        <v>0</v>
      </c>
      <c r="AK2226">
        <v>0</v>
      </c>
      <c r="AL2226" t="str">
        <f>IF(AA2226="","",IFERROR(IF(ISNUMBER('Procyclean 220'!F228),'Procyclean 220'!F228,IF(ISNUMBER(SEARCH("12",'Procyclean 220'!F228)),EDATE(AB2226,12),IF(ISNUMBER(SEARCH("6",'Procyclean 220'!F228)),EDATE(AB2226,6),IF(ISNUMBER(SEARCH("3",'Procyclean 220'!F228)),EDATE(AB2226,3),DATEVALUE('Procyclean 220'!F228))))),""))</f>
        <v/>
      </c>
      <c r="AM2226" t="str">
        <f t="shared" ca="1" si="226"/>
        <v/>
      </c>
    </row>
    <row r="2227" spans="27:39" x14ac:dyDescent="0.3">
      <c r="AA2227" t="str">
        <f>IF(COUNTA('Procyclean 220'!C229,'Procyclean 220'!D229,'Procyclean 220'!E229)&gt;0,"220","")</f>
        <v/>
      </c>
      <c r="AB2227" t="str">
        <f>IFERROR(IF(ISNUMBER('Procyclean 220'!C229),'Procyclean 220'!C229,DATEVALUE('Procyclean 220'!C229)),"")</f>
        <v/>
      </c>
      <c r="AC2227" t="str">
        <f>IF(AA2227="","",'Procyclean 220'!D229)</f>
        <v/>
      </c>
      <c r="AD2227" t="str">
        <f>IF(AA2227="","",IFERROR(1*'Procyclean 220'!E229,IFERROR(_xludf.NUMBERVALUE('Procyclean 220'!E229,".",","),IFERROR(_xludf.NUMBERVALUE('Procyclean 220'!E229,",","."),0))))</f>
        <v/>
      </c>
      <c r="AE2227" t="str">
        <f>IF(AA2227="","",'Procyclean 220'!B229)</f>
        <v/>
      </c>
      <c r="AF2227">
        <f t="shared" si="221"/>
        <v>0</v>
      </c>
      <c r="AG2227" t="str">
        <f t="shared" si="222"/>
        <v/>
      </c>
      <c r="AH2227" t="str">
        <f t="shared" si="223"/>
        <v/>
      </c>
      <c r="AI2227">
        <f t="shared" si="224"/>
        <v>0</v>
      </c>
      <c r="AJ2227">
        <f t="shared" si="225"/>
        <v>0</v>
      </c>
      <c r="AK2227">
        <v>0</v>
      </c>
      <c r="AL2227" t="str">
        <f>IF(AA2227="","",IFERROR(IF(ISNUMBER('Procyclean 220'!F229),'Procyclean 220'!F229,IF(ISNUMBER(SEARCH("12",'Procyclean 220'!F229)),EDATE(AB2227,12),IF(ISNUMBER(SEARCH("6",'Procyclean 220'!F229)),EDATE(AB2227,6),IF(ISNUMBER(SEARCH("3",'Procyclean 220'!F229)),EDATE(AB2227,3),DATEVALUE('Procyclean 220'!F229))))),""))</f>
        <v/>
      </c>
      <c r="AM2227" t="str">
        <f t="shared" ca="1" si="226"/>
        <v/>
      </c>
    </row>
    <row r="2228" spans="27:39" x14ac:dyDescent="0.3">
      <c r="AA2228" t="str">
        <f>IF(COUNTA('Procyclean 220'!C230,'Procyclean 220'!D230,'Procyclean 220'!E230)&gt;0,"220","")</f>
        <v/>
      </c>
      <c r="AB2228" t="str">
        <f>IFERROR(IF(ISNUMBER('Procyclean 220'!C230),'Procyclean 220'!C230,DATEVALUE('Procyclean 220'!C230)),"")</f>
        <v/>
      </c>
      <c r="AC2228" t="str">
        <f>IF(AA2228="","",'Procyclean 220'!D230)</f>
        <v/>
      </c>
      <c r="AD2228" t="str">
        <f>IF(AA2228="","",IFERROR(1*'Procyclean 220'!E230,IFERROR(_xludf.NUMBERVALUE('Procyclean 220'!E230,".",","),IFERROR(_xludf.NUMBERVALUE('Procyclean 220'!E230,",","."),0))))</f>
        <v/>
      </c>
      <c r="AE2228" t="str">
        <f>IF(AA2228="","",'Procyclean 220'!B230)</f>
        <v/>
      </c>
      <c r="AF2228">
        <f t="shared" si="221"/>
        <v>0</v>
      </c>
      <c r="AG2228" t="str">
        <f t="shared" si="222"/>
        <v/>
      </c>
      <c r="AH2228" t="str">
        <f t="shared" si="223"/>
        <v/>
      </c>
      <c r="AI2228">
        <f t="shared" si="224"/>
        <v>0</v>
      </c>
      <c r="AJ2228">
        <f t="shared" si="225"/>
        <v>0</v>
      </c>
      <c r="AK2228">
        <v>0</v>
      </c>
      <c r="AL2228" t="str">
        <f>IF(AA2228="","",IFERROR(IF(ISNUMBER('Procyclean 220'!F230),'Procyclean 220'!F230,IF(ISNUMBER(SEARCH("12",'Procyclean 220'!F230)),EDATE(AB2228,12),IF(ISNUMBER(SEARCH("6",'Procyclean 220'!F230)),EDATE(AB2228,6),IF(ISNUMBER(SEARCH("3",'Procyclean 220'!F230)),EDATE(AB2228,3),DATEVALUE('Procyclean 220'!F230))))),""))</f>
        <v/>
      </c>
      <c r="AM2228" t="str">
        <f t="shared" ca="1" si="226"/>
        <v/>
      </c>
    </row>
    <row r="2229" spans="27:39" x14ac:dyDescent="0.3">
      <c r="AA2229" t="str">
        <f>IF(COUNTA('Procyclean 220'!C231,'Procyclean 220'!D231,'Procyclean 220'!E231)&gt;0,"220","")</f>
        <v/>
      </c>
      <c r="AB2229" t="str">
        <f>IFERROR(IF(ISNUMBER('Procyclean 220'!C231),'Procyclean 220'!C231,DATEVALUE('Procyclean 220'!C231)),"")</f>
        <v/>
      </c>
      <c r="AC2229" t="str">
        <f>IF(AA2229="","",'Procyclean 220'!D231)</f>
        <v/>
      </c>
      <c r="AD2229" t="str">
        <f>IF(AA2229="","",IFERROR(1*'Procyclean 220'!E231,IFERROR(_xludf.NUMBERVALUE('Procyclean 220'!E231,".",","),IFERROR(_xludf.NUMBERVALUE('Procyclean 220'!E231,",","."),0))))</f>
        <v/>
      </c>
      <c r="AE2229" t="str">
        <f>IF(AA2229="","",'Procyclean 220'!B231)</f>
        <v/>
      </c>
      <c r="AF2229">
        <f t="shared" si="221"/>
        <v>0</v>
      </c>
      <c r="AG2229" t="str">
        <f t="shared" si="222"/>
        <v/>
      </c>
      <c r="AH2229" t="str">
        <f t="shared" si="223"/>
        <v/>
      </c>
      <c r="AI2229">
        <f t="shared" si="224"/>
        <v>0</v>
      </c>
      <c r="AJ2229">
        <f t="shared" si="225"/>
        <v>0</v>
      </c>
      <c r="AK2229">
        <v>0</v>
      </c>
      <c r="AL2229" t="str">
        <f>IF(AA2229="","",IFERROR(IF(ISNUMBER('Procyclean 220'!F231),'Procyclean 220'!F231,IF(ISNUMBER(SEARCH("12",'Procyclean 220'!F231)),EDATE(AB2229,12),IF(ISNUMBER(SEARCH("6",'Procyclean 220'!F231)),EDATE(AB2229,6),IF(ISNUMBER(SEARCH("3",'Procyclean 220'!F231)),EDATE(AB2229,3),DATEVALUE('Procyclean 220'!F231))))),""))</f>
        <v/>
      </c>
      <c r="AM2229" t="str">
        <f t="shared" ca="1" si="226"/>
        <v/>
      </c>
    </row>
    <row r="2230" spans="27:39" x14ac:dyDescent="0.3">
      <c r="AA2230" t="str">
        <f>IF(COUNTA('Procyclean 220'!C232,'Procyclean 220'!D232,'Procyclean 220'!E232)&gt;0,"220","")</f>
        <v/>
      </c>
      <c r="AB2230" t="str">
        <f>IFERROR(IF(ISNUMBER('Procyclean 220'!C232),'Procyclean 220'!C232,DATEVALUE('Procyclean 220'!C232)),"")</f>
        <v/>
      </c>
      <c r="AC2230" t="str">
        <f>IF(AA2230="","",'Procyclean 220'!D232)</f>
        <v/>
      </c>
      <c r="AD2230" t="str">
        <f>IF(AA2230="","",IFERROR(1*'Procyclean 220'!E232,IFERROR(_xludf.NUMBERVALUE('Procyclean 220'!E232,".",","),IFERROR(_xludf.NUMBERVALUE('Procyclean 220'!E232,",","."),0))))</f>
        <v/>
      </c>
      <c r="AE2230" t="str">
        <f>IF(AA2230="","",'Procyclean 220'!B232)</f>
        <v/>
      </c>
      <c r="AF2230">
        <f t="shared" si="221"/>
        <v>0</v>
      </c>
      <c r="AG2230" t="str">
        <f t="shared" si="222"/>
        <v/>
      </c>
      <c r="AH2230" t="str">
        <f t="shared" si="223"/>
        <v/>
      </c>
      <c r="AI2230">
        <f t="shared" si="224"/>
        <v>0</v>
      </c>
      <c r="AJ2230">
        <f t="shared" si="225"/>
        <v>0</v>
      </c>
      <c r="AK2230">
        <v>0</v>
      </c>
      <c r="AL2230" t="str">
        <f>IF(AA2230="","",IFERROR(IF(ISNUMBER('Procyclean 220'!F232),'Procyclean 220'!F232,IF(ISNUMBER(SEARCH("12",'Procyclean 220'!F232)),EDATE(AB2230,12),IF(ISNUMBER(SEARCH("6",'Procyclean 220'!F232)),EDATE(AB2230,6),IF(ISNUMBER(SEARCH("3",'Procyclean 220'!F232)),EDATE(AB2230,3),DATEVALUE('Procyclean 220'!F232))))),""))</f>
        <v/>
      </c>
      <c r="AM2230" t="str">
        <f t="shared" ca="1" si="226"/>
        <v/>
      </c>
    </row>
    <row r="2231" spans="27:39" x14ac:dyDescent="0.3">
      <c r="AA2231" t="str">
        <f>IF(COUNTA('Procyclean 220'!C233,'Procyclean 220'!D233,'Procyclean 220'!E233)&gt;0,"220","")</f>
        <v/>
      </c>
      <c r="AB2231" t="str">
        <f>IFERROR(IF(ISNUMBER('Procyclean 220'!C233),'Procyclean 220'!C233,DATEVALUE('Procyclean 220'!C233)),"")</f>
        <v/>
      </c>
      <c r="AC2231" t="str">
        <f>IF(AA2231="","",'Procyclean 220'!D233)</f>
        <v/>
      </c>
      <c r="AD2231" t="str">
        <f>IF(AA2231="","",IFERROR(1*'Procyclean 220'!E233,IFERROR(_xludf.NUMBERVALUE('Procyclean 220'!E233,".",","),IFERROR(_xludf.NUMBERVALUE('Procyclean 220'!E233,",","."),0))))</f>
        <v/>
      </c>
      <c r="AE2231" t="str">
        <f>IF(AA2231="","",'Procyclean 220'!B233)</f>
        <v/>
      </c>
      <c r="AF2231">
        <f t="shared" si="221"/>
        <v>0</v>
      </c>
      <c r="AG2231" t="str">
        <f t="shared" si="222"/>
        <v/>
      </c>
      <c r="AH2231" t="str">
        <f t="shared" si="223"/>
        <v/>
      </c>
      <c r="AI2231">
        <f t="shared" si="224"/>
        <v>0</v>
      </c>
      <c r="AJ2231">
        <f t="shared" si="225"/>
        <v>0</v>
      </c>
      <c r="AK2231">
        <v>0</v>
      </c>
      <c r="AL2231" t="str">
        <f>IF(AA2231="","",IFERROR(IF(ISNUMBER('Procyclean 220'!F233),'Procyclean 220'!F233,IF(ISNUMBER(SEARCH("12",'Procyclean 220'!F233)),EDATE(AB2231,12),IF(ISNUMBER(SEARCH("6",'Procyclean 220'!F233)),EDATE(AB2231,6),IF(ISNUMBER(SEARCH("3",'Procyclean 220'!F233)),EDATE(AB2231,3),DATEVALUE('Procyclean 220'!F233))))),""))</f>
        <v/>
      </c>
      <c r="AM2231" t="str">
        <f t="shared" ca="1" si="226"/>
        <v/>
      </c>
    </row>
    <row r="2232" spans="27:39" x14ac:dyDescent="0.3">
      <c r="AA2232" t="str">
        <f>IF(COUNTA('Procyclean 220'!C234,'Procyclean 220'!D234,'Procyclean 220'!E234)&gt;0,"220","")</f>
        <v/>
      </c>
      <c r="AB2232" t="str">
        <f>IFERROR(IF(ISNUMBER('Procyclean 220'!C234),'Procyclean 220'!C234,DATEVALUE('Procyclean 220'!C234)),"")</f>
        <v/>
      </c>
      <c r="AC2232" t="str">
        <f>IF(AA2232="","",'Procyclean 220'!D234)</f>
        <v/>
      </c>
      <c r="AD2232" t="str">
        <f>IF(AA2232="","",IFERROR(1*'Procyclean 220'!E234,IFERROR(_xludf.NUMBERVALUE('Procyclean 220'!E234,".",","),IFERROR(_xludf.NUMBERVALUE('Procyclean 220'!E234,",","."),0))))</f>
        <v/>
      </c>
      <c r="AE2232" t="str">
        <f>IF(AA2232="","",'Procyclean 220'!B234)</f>
        <v/>
      </c>
      <c r="AF2232">
        <f t="shared" si="221"/>
        <v>0</v>
      </c>
      <c r="AG2232" t="str">
        <f t="shared" si="222"/>
        <v/>
      </c>
      <c r="AH2232" t="str">
        <f t="shared" si="223"/>
        <v/>
      </c>
      <c r="AI2232">
        <f t="shared" si="224"/>
        <v>0</v>
      </c>
      <c r="AJ2232">
        <f t="shared" si="225"/>
        <v>0</v>
      </c>
      <c r="AK2232">
        <v>0</v>
      </c>
      <c r="AL2232" t="str">
        <f>IF(AA2232="","",IFERROR(IF(ISNUMBER('Procyclean 220'!F234),'Procyclean 220'!F234,IF(ISNUMBER(SEARCH("12",'Procyclean 220'!F234)),EDATE(AB2232,12),IF(ISNUMBER(SEARCH("6",'Procyclean 220'!F234)),EDATE(AB2232,6),IF(ISNUMBER(SEARCH("3",'Procyclean 220'!F234)),EDATE(AB2232,3),DATEVALUE('Procyclean 220'!F234))))),""))</f>
        <v/>
      </c>
      <c r="AM2232" t="str">
        <f t="shared" ca="1" si="226"/>
        <v/>
      </c>
    </row>
    <row r="2233" spans="27:39" x14ac:dyDescent="0.3">
      <c r="AA2233" t="str">
        <f>IF(COUNTA('Procyclean 220'!C235,'Procyclean 220'!D235,'Procyclean 220'!E235)&gt;0,"220","")</f>
        <v/>
      </c>
      <c r="AB2233" t="str">
        <f>IFERROR(IF(ISNUMBER('Procyclean 220'!C235),'Procyclean 220'!C235,DATEVALUE('Procyclean 220'!C235)),"")</f>
        <v/>
      </c>
      <c r="AC2233" t="str">
        <f>IF(AA2233="","",'Procyclean 220'!D235)</f>
        <v/>
      </c>
      <c r="AD2233" t="str">
        <f>IF(AA2233="","",IFERROR(1*'Procyclean 220'!E235,IFERROR(_xludf.NUMBERVALUE('Procyclean 220'!E235,".",","),IFERROR(_xludf.NUMBERVALUE('Procyclean 220'!E235,",","."),0))))</f>
        <v/>
      </c>
      <c r="AE2233" t="str">
        <f>IF(AA2233="","",'Procyclean 220'!B235)</f>
        <v/>
      </c>
      <c r="AF2233">
        <f t="shared" si="221"/>
        <v>0</v>
      </c>
      <c r="AG2233" t="str">
        <f t="shared" si="222"/>
        <v/>
      </c>
      <c r="AH2233" t="str">
        <f t="shared" si="223"/>
        <v/>
      </c>
      <c r="AI2233">
        <f t="shared" si="224"/>
        <v>0</v>
      </c>
      <c r="AJ2233">
        <f t="shared" si="225"/>
        <v>0</v>
      </c>
      <c r="AK2233">
        <v>0</v>
      </c>
      <c r="AL2233" t="str">
        <f>IF(AA2233="","",IFERROR(IF(ISNUMBER('Procyclean 220'!F235),'Procyclean 220'!F235,IF(ISNUMBER(SEARCH("12",'Procyclean 220'!F235)),EDATE(AB2233,12),IF(ISNUMBER(SEARCH("6",'Procyclean 220'!F235)),EDATE(AB2233,6),IF(ISNUMBER(SEARCH("3",'Procyclean 220'!F235)),EDATE(AB2233,3),DATEVALUE('Procyclean 220'!F235))))),""))</f>
        <v/>
      </c>
      <c r="AM2233" t="str">
        <f t="shared" ca="1" si="226"/>
        <v/>
      </c>
    </row>
    <row r="2234" spans="27:39" x14ac:dyDescent="0.3">
      <c r="AA2234" t="str">
        <f>IF(COUNTA('Procyclean 220'!C236,'Procyclean 220'!D236,'Procyclean 220'!E236)&gt;0,"220","")</f>
        <v/>
      </c>
      <c r="AB2234" t="str">
        <f>IFERROR(IF(ISNUMBER('Procyclean 220'!C236),'Procyclean 220'!C236,DATEVALUE('Procyclean 220'!C236)),"")</f>
        <v/>
      </c>
      <c r="AC2234" t="str">
        <f>IF(AA2234="","",'Procyclean 220'!D236)</f>
        <v/>
      </c>
      <c r="AD2234" t="str">
        <f>IF(AA2234="","",IFERROR(1*'Procyclean 220'!E236,IFERROR(_xludf.NUMBERVALUE('Procyclean 220'!E236,".",","),IFERROR(_xludf.NUMBERVALUE('Procyclean 220'!E236,",","."),0))))</f>
        <v/>
      </c>
      <c r="AE2234" t="str">
        <f>IF(AA2234="","",'Procyclean 220'!B236)</f>
        <v/>
      </c>
      <c r="AF2234">
        <f t="shared" si="221"/>
        <v>0</v>
      </c>
      <c r="AG2234" t="str">
        <f t="shared" si="222"/>
        <v/>
      </c>
      <c r="AH2234" t="str">
        <f t="shared" si="223"/>
        <v/>
      </c>
      <c r="AI2234">
        <f t="shared" si="224"/>
        <v>0</v>
      </c>
      <c r="AJ2234">
        <f t="shared" si="225"/>
        <v>0</v>
      </c>
      <c r="AK2234">
        <v>0</v>
      </c>
      <c r="AL2234" t="str">
        <f>IF(AA2234="","",IFERROR(IF(ISNUMBER('Procyclean 220'!F236),'Procyclean 220'!F236,IF(ISNUMBER(SEARCH("12",'Procyclean 220'!F236)),EDATE(AB2234,12),IF(ISNUMBER(SEARCH("6",'Procyclean 220'!F236)),EDATE(AB2234,6),IF(ISNUMBER(SEARCH("3",'Procyclean 220'!F236)),EDATE(AB2234,3),DATEVALUE('Procyclean 220'!F236))))),""))</f>
        <v/>
      </c>
      <c r="AM2234" t="str">
        <f t="shared" ca="1" si="226"/>
        <v/>
      </c>
    </row>
    <row r="2235" spans="27:39" x14ac:dyDescent="0.3">
      <c r="AA2235" t="str">
        <f>IF(COUNTA('Procyclean 220'!C237,'Procyclean 220'!D237,'Procyclean 220'!E237)&gt;0,"220","")</f>
        <v/>
      </c>
      <c r="AB2235" t="str">
        <f>IFERROR(IF(ISNUMBER('Procyclean 220'!C237),'Procyclean 220'!C237,DATEVALUE('Procyclean 220'!C237)),"")</f>
        <v/>
      </c>
      <c r="AC2235" t="str">
        <f>IF(AA2235="","",'Procyclean 220'!D237)</f>
        <v/>
      </c>
      <c r="AD2235" t="str">
        <f>IF(AA2235="","",IFERROR(1*'Procyclean 220'!E237,IFERROR(_xludf.NUMBERVALUE('Procyclean 220'!E237,".",","),IFERROR(_xludf.NUMBERVALUE('Procyclean 220'!E237,",","."),0))))</f>
        <v/>
      </c>
      <c r="AE2235" t="str">
        <f>IF(AA2235="","",'Procyclean 220'!B237)</f>
        <v/>
      </c>
      <c r="AF2235">
        <f t="shared" si="221"/>
        <v>0</v>
      </c>
      <c r="AG2235" t="str">
        <f t="shared" si="222"/>
        <v/>
      </c>
      <c r="AH2235" t="str">
        <f t="shared" si="223"/>
        <v/>
      </c>
      <c r="AI2235">
        <f t="shared" si="224"/>
        <v>0</v>
      </c>
      <c r="AJ2235">
        <f t="shared" si="225"/>
        <v>0</v>
      </c>
      <c r="AK2235">
        <v>0</v>
      </c>
      <c r="AL2235" t="str">
        <f>IF(AA2235="","",IFERROR(IF(ISNUMBER('Procyclean 220'!F237),'Procyclean 220'!F237,IF(ISNUMBER(SEARCH("12",'Procyclean 220'!F237)),EDATE(AB2235,12),IF(ISNUMBER(SEARCH("6",'Procyclean 220'!F237)),EDATE(AB2235,6),IF(ISNUMBER(SEARCH("3",'Procyclean 220'!F237)),EDATE(AB2235,3),DATEVALUE('Procyclean 220'!F237))))),""))</f>
        <v/>
      </c>
      <c r="AM2235" t="str">
        <f t="shared" ca="1" si="226"/>
        <v/>
      </c>
    </row>
    <row r="2236" spans="27:39" x14ac:dyDescent="0.3">
      <c r="AA2236" t="str">
        <f>IF(COUNTA('Procyclean 220'!C238,'Procyclean 220'!D238,'Procyclean 220'!E238)&gt;0,"220","")</f>
        <v/>
      </c>
      <c r="AB2236" t="str">
        <f>IFERROR(IF(ISNUMBER('Procyclean 220'!C238),'Procyclean 220'!C238,DATEVALUE('Procyclean 220'!C238)),"")</f>
        <v/>
      </c>
      <c r="AC2236" t="str">
        <f>IF(AA2236="","",'Procyclean 220'!D238)</f>
        <v/>
      </c>
      <c r="AD2236" t="str">
        <f>IF(AA2236="","",IFERROR(1*'Procyclean 220'!E238,IFERROR(_xludf.NUMBERVALUE('Procyclean 220'!E238,".",","),IFERROR(_xludf.NUMBERVALUE('Procyclean 220'!E238,",","."),0))))</f>
        <v/>
      </c>
      <c r="AE2236" t="str">
        <f>IF(AA2236="","",'Procyclean 220'!B238)</f>
        <v/>
      </c>
      <c r="AF2236">
        <f t="shared" si="221"/>
        <v>0</v>
      </c>
      <c r="AG2236" t="str">
        <f t="shared" si="222"/>
        <v/>
      </c>
      <c r="AH2236" t="str">
        <f t="shared" si="223"/>
        <v/>
      </c>
      <c r="AI2236">
        <f t="shared" si="224"/>
        <v>0</v>
      </c>
      <c r="AJ2236">
        <f t="shared" si="225"/>
        <v>0</v>
      </c>
      <c r="AK2236">
        <v>0</v>
      </c>
      <c r="AL2236" t="str">
        <f>IF(AA2236="","",IFERROR(IF(ISNUMBER('Procyclean 220'!F238),'Procyclean 220'!F238,IF(ISNUMBER(SEARCH("12",'Procyclean 220'!F238)),EDATE(AB2236,12),IF(ISNUMBER(SEARCH("6",'Procyclean 220'!F238)),EDATE(AB2236,6),IF(ISNUMBER(SEARCH("3",'Procyclean 220'!F238)),EDATE(AB2236,3),DATEVALUE('Procyclean 220'!F238))))),""))</f>
        <v/>
      </c>
      <c r="AM2236" t="str">
        <f t="shared" ca="1" si="226"/>
        <v/>
      </c>
    </row>
    <row r="2237" spans="27:39" x14ac:dyDescent="0.3">
      <c r="AA2237" t="str">
        <f>IF(COUNTA('Procyclean 220'!C239,'Procyclean 220'!D239,'Procyclean 220'!E239)&gt;0,"220","")</f>
        <v/>
      </c>
      <c r="AB2237" t="str">
        <f>IFERROR(IF(ISNUMBER('Procyclean 220'!C239),'Procyclean 220'!C239,DATEVALUE('Procyclean 220'!C239)),"")</f>
        <v/>
      </c>
      <c r="AC2237" t="str">
        <f>IF(AA2237="","",'Procyclean 220'!D239)</f>
        <v/>
      </c>
      <c r="AD2237" t="str">
        <f>IF(AA2237="","",IFERROR(1*'Procyclean 220'!E239,IFERROR(_xludf.NUMBERVALUE('Procyclean 220'!E239,".",","),IFERROR(_xludf.NUMBERVALUE('Procyclean 220'!E239,",","."),0))))</f>
        <v/>
      </c>
      <c r="AE2237" t="str">
        <f>IF(AA2237="","",'Procyclean 220'!B239)</f>
        <v/>
      </c>
      <c r="AF2237">
        <f t="shared" si="221"/>
        <v>0</v>
      </c>
      <c r="AG2237" t="str">
        <f t="shared" si="222"/>
        <v/>
      </c>
      <c r="AH2237" t="str">
        <f t="shared" si="223"/>
        <v/>
      </c>
      <c r="AI2237">
        <f t="shared" si="224"/>
        <v>0</v>
      </c>
      <c r="AJ2237">
        <f t="shared" si="225"/>
        <v>0</v>
      </c>
      <c r="AK2237">
        <v>0</v>
      </c>
      <c r="AL2237" t="str">
        <f>IF(AA2237="","",IFERROR(IF(ISNUMBER('Procyclean 220'!F239),'Procyclean 220'!F239,IF(ISNUMBER(SEARCH("12",'Procyclean 220'!F239)),EDATE(AB2237,12),IF(ISNUMBER(SEARCH("6",'Procyclean 220'!F239)),EDATE(AB2237,6),IF(ISNUMBER(SEARCH("3",'Procyclean 220'!F239)),EDATE(AB2237,3),DATEVALUE('Procyclean 220'!F239))))),""))</f>
        <v/>
      </c>
      <c r="AM2237" t="str">
        <f t="shared" ca="1" si="226"/>
        <v/>
      </c>
    </row>
    <row r="2238" spans="27:39" x14ac:dyDescent="0.3">
      <c r="AA2238" t="str">
        <f>IF(COUNTA('Procyclean 220'!C240,'Procyclean 220'!D240,'Procyclean 220'!E240)&gt;0,"220","")</f>
        <v/>
      </c>
      <c r="AB2238" t="str">
        <f>IFERROR(IF(ISNUMBER('Procyclean 220'!C240),'Procyclean 220'!C240,DATEVALUE('Procyclean 220'!C240)),"")</f>
        <v/>
      </c>
      <c r="AC2238" t="str">
        <f>IF(AA2238="","",'Procyclean 220'!D240)</f>
        <v/>
      </c>
      <c r="AD2238" t="str">
        <f>IF(AA2238="","",IFERROR(1*'Procyclean 220'!E240,IFERROR(_xludf.NUMBERVALUE('Procyclean 220'!E240,".",","),IFERROR(_xludf.NUMBERVALUE('Procyclean 220'!E240,",","."),0))))</f>
        <v/>
      </c>
      <c r="AE2238" t="str">
        <f>IF(AA2238="","",'Procyclean 220'!B240)</f>
        <v/>
      </c>
      <c r="AF2238">
        <f t="shared" si="221"/>
        <v>0</v>
      </c>
      <c r="AG2238" t="str">
        <f t="shared" si="222"/>
        <v/>
      </c>
      <c r="AH2238" t="str">
        <f t="shared" si="223"/>
        <v/>
      </c>
      <c r="AI2238">
        <f t="shared" si="224"/>
        <v>0</v>
      </c>
      <c r="AJ2238">
        <f t="shared" si="225"/>
        <v>0</v>
      </c>
      <c r="AK2238">
        <v>0</v>
      </c>
      <c r="AL2238" t="str">
        <f>IF(AA2238="","",IFERROR(IF(ISNUMBER('Procyclean 220'!F240),'Procyclean 220'!F240,IF(ISNUMBER(SEARCH("12",'Procyclean 220'!F240)),EDATE(AB2238,12),IF(ISNUMBER(SEARCH("6",'Procyclean 220'!F240)),EDATE(AB2238,6),IF(ISNUMBER(SEARCH("3",'Procyclean 220'!F240)),EDATE(AB2238,3),DATEVALUE('Procyclean 220'!F240))))),""))</f>
        <v/>
      </c>
      <c r="AM2238" t="str">
        <f t="shared" ca="1" si="226"/>
        <v/>
      </c>
    </row>
    <row r="2239" spans="27:39" x14ac:dyDescent="0.3">
      <c r="AA2239" t="str">
        <f>IF(COUNTA('Procyclean 220'!C241,'Procyclean 220'!D241,'Procyclean 220'!E241)&gt;0,"220","")</f>
        <v/>
      </c>
      <c r="AB2239" t="str">
        <f>IFERROR(IF(ISNUMBER('Procyclean 220'!C241),'Procyclean 220'!C241,DATEVALUE('Procyclean 220'!C241)),"")</f>
        <v/>
      </c>
      <c r="AC2239" t="str">
        <f>IF(AA2239="","",'Procyclean 220'!D241)</f>
        <v/>
      </c>
      <c r="AD2239" t="str">
        <f>IF(AA2239="","",IFERROR(1*'Procyclean 220'!E241,IFERROR(_xludf.NUMBERVALUE('Procyclean 220'!E241,".",","),IFERROR(_xludf.NUMBERVALUE('Procyclean 220'!E241,",","."),0))))</f>
        <v/>
      </c>
      <c r="AE2239" t="str">
        <f>IF(AA2239="","",'Procyclean 220'!B241)</f>
        <v/>
      </c>
      <c r="AF2239">
        <f t="shared" si="221"/>
        <v>0</v>
      </c>
      <c r="AG2239" t="str">
        <f t="shared" si="222"/>
        <v/>
      </c>
      <c r="AH2239" t="str">
        <f t="shared" si="223"/>
        <v/>
      </c>
      <c r="AI2239">
        <f t="shared" si="224"/>
        <v>0</v>
      </c>
      <c r="AJ2239">
        <f t="shared" si="225"/>
        <v>0</v>
      </c>
      <c r="AK2239">
        <v>0</v>
      </c>
      <c r="AL2239" t="str">
        <f>IF(AA2239="","",IFERROR(IF(ISNUMBER('Procyclean 220'!F241),'Procyclean 220'!F241,IF(ISNUMBER(SEARCH("12",'Procyclean 220'!F241)),EDATE(AB2239,12),IF(ISNUMBER(SEARCH("6",'Procyclean 220'!F241)),EDATE(AB2239,6),IF(ISNUMBER(SEARCH("3",'Procyclean 220'!F241)),EDATE(AB2239,3),DATEVALUE('Procyclean 220'!F241))))),""))</f>
        <v/>
      </c>
      <c r="AM2239" t="str">
        <f t="shared" ca="1" si="226"/>
        <v/>
      </c>
    </row>
    <row r="2240" spans="27:39" x14ac:dyDescent="0.3">
      <c r="AA2240" t="str">
        <f>IF(COUNTA('Procyclean 220'!C242,'Procyclean 220'!D242,'Procyclean 220'!E242)&gt;0,"220","")</f>
        <v/>
      </c>
      <c r="AB2240" t="str">
        <f>IFERROR(IF(ISNUMBER('Procyclean 220'!C242),'Procyclean 220'!C242,DATEVALUE('Procyclean 220'!C242)),"")</f>
        <v/>
      </c>
      <c r="AC2240" t="str">
        <f>IF(AA2240="","",'Procyclean 220'!D242)</f>
        <v/>
      </c>
      <c r="AD2240" t="str">
        <f>IF(AA2240="","",IFERROR(1*'Procyclean 220'!E242,IFERROR(_xludf.NUMBERVALUE('Procyclean 220'!E242,".",","),IFERROR(_xludf.NUMBERVALUE('Procyclean 220'!E242,",","."),0))))</f>
        <v/>
      </c>
      <c r="AE2240" t="str">
        <f>IF(AA2240="","",'Procyclean 220'!B242)</f>
        <v/>
      </c>
      <c r="AF2240">
        <f t="shared" si="221"/>
        <v>0</v>
      </c>
      <c r="AG2240" t="str">
        <f t="shared" si="222"/>
        <v/>
      </c>
      <c r="AH2240" t="str">
        <f t="shared" si="223"/>
        <v/>
      </c>
      <c r="AI2240">
        <f t="shared" si="224"/>
        <v>0</v>
      </c>
      <c r="AJ2240">
        <f t="shared" si="225"/>
        <v>0</v>
      </c>
      <c r="AK2240">
        <v>0</v>
      </c>
      <c r="AL2240" t="str">
        <f>IF(AA2240="","",IFERROR(IF(ISNUMBER('Procyclean 220'!F242),'Procyclean 220'!F242,IF(ISNUMBER(SEARCH("12",'Procyclean 220'!F242)),EDATE(AB2240,12),IF(ISNUMBER(SEARCH("6",'Procyclean 220'!F242)),EDATE(AB2240,6),IF(ISNUMBER(SEARCH("3",'Procyclean 220'!F242)),EDATE(AB2240,3),DATEVALUE('Procyclean 220'!F242))))),""))</f>
        <v/>
      </c>
      <c r="AM2240" t="str">
        <f t="shared" ca="1" si="226"/>
        <v/>
      </c>
    </row>
    <row r="2241" spans="27:39" x14ac:dyDescent="0.3">
      <c r="AA2241" t="str">
        <f>IF(COUNTA('Procyclean 220'!C243,'Procyclean 220'!D243,'Procyclean 220'!E243)&gt;0,"220","")</f>
        <v/>
      </c>
      <c r="AB2241" t="str">
        <f>IFERROR(IF(ISNUMBER('Procyclean 220'!C243),'Procyclean 220'!C243,DATEVALUE('Procyclean 220'!C243)),"")</f>
        <v/>
      </c>
      <c r="AC2241" t="str">
        <f>IF(AA2241="","",'Procyclean 220'!D243)</f>
        <v/>
      </c>
      <c r="AD2241" t="str">
        <f>IF(AA2241="","",IFERROR(1*'Procyclean 220'!E243,IFERROR(_xludf.NUMBERVALUE('Procyclean 220'!E243,".",","),IFERROR(_xludf.NUMBERVALUE('Procyclean 220'!E243,",","."),0))))</f>
        <v/>
      </c>
      <c r="AE2241" t="str">
        <f>IF(AA2241="","",'Procyclean 220'!B243)</f>
        <v/>
      </c>
      <c r="AF2241">
        <f t="shared" si="221"/>
        <v>0</v>
      </c>
      <c r="AG2241" t="str">
        <f t="shared" si="222"/>
        <v/>
      </c>
      <c r="AH2241" t="str">
        <f t="shared" si="223"/>
        <v/>
      </c>
      <c r="AI2241">
        <f t="shared" si="224"/>
        <v>0</v>
      </c>
      <c r="AJ2241">
        <f t="shared" si="225"/>
        <v>0</v>
      </c>
      <c r="AK2241">
        <v>0</v>
      </c>
      <c r="AL2241" t="str">
        <f>IF(AA2241="","",IFERROR(IF(ISNUMBER('Procyclean 220'!F243),'Procyclean 220'!F243,IF(ISNUMBER(SEARCH("12",'Procyclean 220'!F243)),EDATE(AB2241,12),IF(ISNUMBER(SEARCH("6",'Procyclean 220'!F243)),EDATE(AB2241,6),IF(ISNUMBER(SEARCH("3",'Procyclean 220'!F243)),EDATE(AB2241,3),DATEVALUE('Procyclean 220'!F243))))),""))</f>
        <v/>
      </c>
      <c r="AM2241" t="str">
        <f t="shared" ca="1" si="226"/>
        <v/>
      </c>
    </row>
    <row r="2242" spans="27:39" x14ac:dyDescent="0.3">
      <c r="AA2242" t="str">
        <f>IF(COUNTA('Procyclean 220'!C244,'Procyclean 220'!D244,'Procyclean 220'!E244)&gt;0,"220","")</f>
        <v/>
      </c>
      <c r="AB2242" t="str">
        <f>IFERROR(IF(ISNUMBER('Procyclean 220'!C244),'Procyclean 220'!C244,DATEVALUE('Procyclean 220'!C244)),"")</f>
        <v/>
      </c>
      <c r="AC2242" t="str">
        <f>IF(AA2242="","",'Procyclean 220'!D244)</f>
        <v/>
      </c>
      <c r="AD2242" t="str">
        <f>IF(AA2242="","",IFERROR(1*'Procyclean 220'!E244,IFERROR(_xludf.NUMBERVALUE('Procyclean 220'!E244,".",","),IFERROR(_xludf.NUMBERVALUE('Procyclean 220'!E244,",","."),0))))</f>
        <v/>
      </c>
      <c r="AE2242" t="str">
        <f>IF(AA2242="","",'Procyclean 220'!B244)</f>
        <v/>
      </c>
      <c r="AF2242">
        <f t="shared" ref="AF2242:AF2305" si="227">IF(AA2242="",0,--AND(ISNUMBER(SEARCH("aprov",AE2242)),NOT(ISNUMBER(SEARCH("reprov",AE2242)))))</f>
        <v>0</v>
      </c>
      <c r="AG2242" t="str">
        <f t="shared" ref="AG2242:AG2305" si="228">IF(AB2242="","",YEAR(AB2242))</f>
        <v/>
      </c>
      <c r="AH2242" t="str">
        <f t="shared" ref="AH2242:AH2305" si="229">IF(AB2242="","",MONTH(AB2242))</f>
        <v/>
      </c>
      <c r="AI2242">
        <f t="shared" ref="AI2242:AI2305" si="230">IF(AB2242="",0,AB2242+ROW()/1000000)</f>
        <v>0</v>
      </c>
      <c r="AJ2242">
        <f t="shared" ref="AJ2242:AJ2305" si="231">--(AA2242&lt;&gt;"")</f>
        <v>0</v>
      </c>
      <c r="AK2242">
        <v>0</v>
      </c>
      <c r="AL2242" t="str">
        <f>IF(AA2242="","",IFERROR(IF(ISNUMBER('Procyclean 220'!F244),'Procyclean 220'!F244,IF(ISNUMBER(SEARCH("12",'Procyclean 220'!F244)),EDATE(AB2242,12),IF(ISNUMBER(SEARCH("6",'Procyclean 220'!F244)),EDATE(AB2242,6),IF(ISNUMBER(SEARCH("3",'Procyclean 220'!F244)),EDATE(AB2242,3),DATEVALUE('Procyclean 220'!F244))))),""))</f>
        <v/>
      </c>
      <c r="AM2242" t="str">
        <f t="shared" ref="AM2242:AM2305" ca="1" si="232">IF(AND(AJ2242=1,AL2242&lt;&gt;"",AL2242&gt;=TODAY(),AG2242=$W$3),AL2242+ROW()/1000000,"")</f>
        <v/>
      </c>
    </row>
    <row r="2243" spans="27:39" x14ac:dyDescent="0.3">
      <c r="AA2243" t="str">
        <f>IF(COUNTA('Procyclean 220'!C245,'Procyclean 220'!D245,'Procyclean 220'!E245)&gt;0,"220","")</f>
        <v/>
      </c>
      <c r="AB2243" t="str">
        <f>IFERROR(IF(ISNUMBER('Procyclean 220'!C245),'Procyclean 220'!C245,DATEVALUE('Procyclean 220'!C245)),"")</f>
        <v/>
      </c>
      <c r="AC2243" t="str">
        <f>IF(AA2243="","",'Procyclean 220'!D245)</f>
        <v/>
      </c>
      <c r="AD2243" t="str">
        <f>IF(AA2243="","",IFERROR(1*'Procyclean 220'!E245,IFERROR(_xludf.NUMBERVALUE('Procyclean 220'!E245,".",","),IFERROR(_xludf.NUMBERVALUE('Procyclean 220'!E245,",","."),0))))</f>
        <v/>
      </c>
      <c r="AE2243" t="str">
        <f>IF(AA2243="","",'Procyclean 220'!B245)</f>
        <v/>
      </c>
      <c r="AF2243">
        <f t="shared" si="227"/>
        <v>0</v>
      </c>
      <c r="AG2243" t="str">
        <f t="shared" si="228"/>
        <v/>
      </c>
      <c r="AH2243" t="str">
        <f t="shared" si="229"/>
        <v/>
      </c>
      <c r="AI2243">
        <f t="shared" si="230"/>
        <v>0</v>
      </c>
      <c r="AJ2243">
        <f t="shared" si="231"/>
        <v>0</v>
      </c>
      <c r="AK2243">
        <v>0</v>
      </c>
      <c r="AL2243" t="str">
        <f>IF(AA2243="","",IFERROR(IF(ISNUMBER('Procyclean 220'!F245),'Procyclean 220'!F245,IF(ISNUMBER(SEARCH("12",'Procyclean 220'!F245)),EDATE(AB2243,12),IF(ISNUMBER(SEARCH("6",'Procyclean 220'!F245)),EDATE(AB2243,6),IF(ISNUMBER(SEARCH("3",'Procyclean 220'!F245)),EDATE(AB2243,3),DATEVALUE('Procyclean 220'!F245))))),""))</f>
        <v/>
      </c>
      <c r="AM2243" t="str">
        <f t="shared" ca="1" si="232"/>
        <v/>
      </c>
    </row>
    <row r="2244" spans="27:39" x14ac:dyDescent="0.3">
      <c r="AA2244" t="str">
        <f>IF(COUNTA('Procyclean 220'!C246,'Procyclean 220'!D246,'Procyclean 220'!E246)&gt;0,"220","")</f>
        <v/>
      </c>
      <c r="AB2244" t="str">
        <f>IFERROR(IF(ISNUMBER('Procyclean 220'!C246),'Procyclean 220'!C246,DATEVALUE('Procyclean 220'!C246)),"")</f>
        <v/>
      </c>
      <c r="AC2244" t="str">
        <f>IF(AA2244="","",'Procyclean 220'!D246)</f>
        <v/>
      </c>
      <c r="AD2244" t="str">
        <f>IF(AA2244="","",IFERROR(1*'Procyclean 220'!E246,IFERROR(_xludf.NUMBERVALUE('Procyclean 220'!E246,".",","),IFERROR(_xludf.NUMBERVALUE('Procyclean 220'!E246,",","."),0))))</f>
        <v/>
      </c>
      <c r="AE2244" t="str">
        <f>IF(AA2244="","",'Procyclean 220'!B246)</f>
        <v/>
      </c>
      <c r="AF2244">
        <f t="shared" si="227"/>
        <v>0</v>
      </c>
      <c r="AG2244" t="str">
        <f t="shared" si="228"/>
        <v/>
      </c>
      <c r="AH2244" t="str">
        <f t="shared" si="229"/>
        <v/>
      </c>
      <c r="AI2244">
        <f t="shared" si="230"/>
        <v>0</v>
      </c>
      <c r="AJ2244">
        <f t="shared" si="231"/>
        <v>0</v>
      </c>
      <c r="AK2244">
        <v>0</v>
      </c>
      <c r="AL2244" t="str">
        <f>IF(AA2244="","",IFERROR(IF(ISNUMBER('Procyclean 220'!F246),'Procyclean 220'!F246,IF(ISNUMBER(SEARCH("12",'Procyclean 220'!F246)),EDATE(AB2244,12),IF(ISNUMBER(SEARCH("6",'Procyclean 220'!F246)),EDATE(AB2244,6),IF(ISNUMBER(SEARCH("3",'Procyclean 220'!F246)),EDATE(AB2244,3),DATEVALUE('Procyclean 220'!F246))))),""))</f>
        <v/>
      </c>
      <c r="AM2244" t="str">
        <f t="shared" ca="1" si="232"/>
        <v/>
      </c>
    </row>
    <row r="2245" spans="27:39" x14ac:dyDescent="0.3">
      <c r="AA2245" t="str">
        <f>IF(COUNTA('Procyclean 220'!C247,'Procyclean 220'!D247,'Procyclean 220'!E247)&gt;0,"220","")</f>
        <v/>
      </c>
      <c r="AB2245" t="str">
        <f>IFERROR(IF(ISNUMBER('Procyclean 220'!C247),'Procyclean 220'!C247,DATEVALUE('Procyclean 220'!C247)),"")</f>
        <v/>
      </c>
      <c r="AC2245" t="str">
        <f>IF(AA2245="","",'Procyclean 220'!D247)</f>
        <v/>
      </c>
      <c r="AD2245" t="str">
        <f>IF(AA2245="","",IFERROR(1*'Procyclean 220'!E247,IFERROR(_xludf.NUMBERVALUE('Procyclean 220'!E247,".",","),IFERROR(_xludf.NUMBERVALUE('Procyclean 220'!E247,",","."),0))))</f>
        <v/>
      </c>
      <c r="AE2245" t="str">
        <f>IF(AA2245="","",'Procyclean 220'!B247)</f>
        <v/>
      </c>
      <c r="AF2245">
        <f t="shared" si="227"/>
        <v>0</v>
      </c>
      <c r="AG2245" t="str">
        <f t="shared" si="228"/>
        <v/>
      </c>
      <c r="AH2245" t="str">
        <f t="shared" si="229"/>
        <v/>
      </c>
      <c r="AI2245">
        <f t="shared" si="230"/>
        <v>0</v>
      </c>
      <c r="AJ2245">
        <f t="shared" si="231"/>
        <v>0</v>
      </c>
      <c r="AK2245">
        <v>0</v>
      </c>
      <c r="AL2245" t="str">
        <f>IF(AA2245="","",IFERROR(IF(ISNUMBER('Procyclean 220'!F247),'Procyclean 220'!F247,IF(ISNUMBER(SEARCH("12",'Procyclean 220'!F247)),EDATE(AB2245,12),IF(ISNUMBER(SEARCH("6",'Procyclean 220'!F247)),EDATE(AB2245,6),IF(ISNUMBER(SEARCH("3",'Procyclean 220'!F247)),EDATE(AB2245,3),DATEVALUE('Procyclean 220'!F247))))),""))</f>
        <v/>
      </c>
      <c r="AM2245" t="str">
        <f t="shared" ca="1" si="232"/>
        <v/>
      </c>
    </row>
    <row r="2246" spans="27:39" x14ac:dyDescent="0.3">
      <c r="AA2246" t="str">
        <f>IF(COUNTA('Procyclean 220'!C248,'Procyclean 220'!D248,'Procyclean 220'!E248)&gt;0,"220","")</f>
        <v/>
      </c>
      <c r="AB2246" t="str">
        <f>IFERROR(IF(ISNUMBER('Procyclean 220'!C248),'Procyclean 220'!C248,DATEVALUE('Procyclean 220'!C248)),"")</f>
        <v/>
      </c>
      <c r="AC2246" t="str">
        <f>IF(AA2246="","",'Procyclean 220'!D248)</f>
        <v/>
      </c>
      <c r="AD2246" t="str">
        <f>IF(AA2246="","",IFERROR(1*'Procyclean 220'!E248,IFERROR(_xludf.NUMBERVALUE('Procyclean 220'!E248,".",","),IFERROR(_xludf.NUMBERVALUE('Procyclean 220'!E248,",","."),0))))</f>
        <v/>
      </c>
      <c r="AE2246" t="str">
        <f>IF(AA2246="","",'Procyclean 220'!B248)</f>
        <v/>
      </c>
      <c r="AF2246">
        <f t="shared" si="227"/>
        <v>0</v>
      </c>
      <c r="AG2246" t="str">
        <f t="shared" si="228"/>
        <v/>
      </c>
      <c r="AH2246" t="str">
        <f t="shared" si="229"/>
        <v/>
      </c>
      <c r="AI2246">
        <f t="shared" si="230"/>
        <v>0</v>
      </c>
      <c r="AJ2246">
        <f t="shared" si="231"/>
        <v>0</v>
      </c>
      <c r="AK2246">
        <v>0</v>
      </c>
      <c r="AL2246" t="str">
        <f>IF(AA2246="","",IFERROR(IF(ISNUMBER('Procyclean 220'!F248),'Procyclean 220'!F248,IF(ISNUMBER(SEARCH("12",'Procyclean 220'!F248)),EDATE(AB2246,12),IF(ISNUMBER(SEARCH("6",'Procyclean 220'!F248)),EDATE(AB2246,6),IF(ISNUMBER(SEARCH("3",'Procyclean 220'!F248)),EDATE(AB2246,3),DATEVALUE('Procyclean 220'!F248))))),""))</f>
        <v/>
      </c>
      <c r="AM2246" t="str">
        <f t="shared" ca="1" si="232"/>
        <v/>
      </c>
    </row>
    <row r="2247" spans="27:39" x14ac:dyDescent="0.3">
      <c r="AA2247" t="str">
        <f>IF(COUNTA('Procyclean 220'!C249,'Procyclean 220'!D249,'Procyclean 220'!E249)&gt;0,"220","")</f>
        <v/>
      </c>
      <c r="AB2247" t="str">
        <f>IFERROR(IF(ISNUMBER('Procyclean 220'!C249),'Procyclean 220'!C249,DATEVALUE('Procyclean 220'!C249)),"")</f>
        <v/>
      </c>
      <c r="AC2247" t="str">
        <f>IF(AA2247="","",'Procyclean 220'!D249)</f>
        <v/>
      </c>
      <c r="AD2247" t="str">
        <f>IF(AA2247="","",IFERROR(1*'Procyclean 220'!E249,IFERROR(_xludf.NUMBERVALUE('Procyclean 220'!E249,".",","),IFERROR(_xludf.NUMBERVALUE('Procyclean 220'!E249,",","."),0))))</f>
        <v/>
      </c>
      <c r="AE2247" t="str">
        <f>IF(AA2247="","",'Procyclean 220'!B249)</f>
        <v/>
      </c>
      <c r="AF2247">
        <f t="shared" si="227"/>
        <v>0</v>
      </c>
      <c r="AG2247" t="str">
        <f t="shared" si="228"/>
        <v/>
      </c>
      <c r="AH2247" t="str">
        <f t="shared" si="229"/>
        <v/>
      </c>
      <c r="AI2247">
        <f t="shared" si="230"/>
        <v>0</v>
      </c>
      <c r="AJ2247">
        <f t="shared" si="231"/>
        <v>0</v>
      </c>
      <c r="AK2247">
        <v>0</v>
      </c>
      <c r="AL2247" t="str">
        <f>IF(AA2247="","",IFERROR(IF(ISNUMBER('Procyclean 220'!F249),'Procyclean 220'!F249,IF(ISNUMBER(SEARCH("12",'Procyclean 220'!F249)),EDATE(AB2247,12),IF(ISNUMBER(SEARCH("6",'Procyclean 220'!F249)),EDATE(AB2247,6),IF(ISNUMBER(SEARCH("3",'Procyclean 220'!F249)),EDATE(AB2247,3),DATEVALUE('Procyclean 220'!F249))))),""))</f>
        <v/>
      </c>
      <c r="AM2247" t="str">
        <f t="shared" ca="1" si="232"/>
        <v/>
      </c>
    </row>
    <row r="2248" spans="27:39" x14ac:dyDescent="0.3">
      <c r="AA2248" t="str">
        <f>IF(COUNTA('Procyclean 220'!C250,'Procyclean 220'!D250,'Procyclean 220'!E250)&gt;0,"220","")</f>
        <v/>
      </c>
      <c r="AB2248" t="str">
        <f>IFERROR(IF(ISNUMBER('Procyclean 220'!C250),'Procyclean 220'!C250,DATEVALUE('Procyclean 220'!C250)),"")</f>
        <v/>
      </c>
      <c r="AC2248" t="str">
        <f>IF(AA2248="","",'Procyclean 220'!D250)</f>
        <v/>
      </c>
      <c r="AD2248" t="str">
        <f>IF(AA2248="","",IFERROR(1*'Procyclean 220'!E250,IFERROR(_xludf.NUMBERVALUE('Procyclean 220'!E250,".",","),IFERROR(_xludf.NUMBERVALUE('Procyclean 220'!E250,",","."),0))))</f>
        <v/>
      </c>
      <c r="AE2248" t="str">
        <f>IF(AA2248="","",'Procyclean 220'!B250)</f>
        <v/>
      </c>
      <c r="AF2248">
        <f t="shared" si="227"/>
        <v>0</v>
      </c>
      <c r="AG2248" t="str">
        <f t="shared" si="228"/>
        <v/>
      </c>
      <c r="AH2248" t="str">
        <f t="shared" si="229"/>
        <v/>
      </c>
      <c r="AI2248">
        <f t="shared" si="230"/>
        <v>0</v>
      </c>
      <c r="AJ2248">
        <f t="shared" si="231"/>
        <v>0</v>
      </c>
      <c r="AK2248">
        <v>0</v>
      </c>
      <c r="AL2248" t="str">
        <f>IF(AA2248="","",IFERROR(IF(ISNUMBER('Procyclean 220'!F250),'Procyclean 220'!F250,IF(ISNUMBER(SEARCH("12",'Procyclean 220'!F250)),EDATE(AB2248,12),IF(ISNUMBER(SEARCH("6",'Procyclean 220'!F250)),EDATE(AB2248,6),IF(ISNUMBER(SEARCH("3",'Procyclean 220'!F250)),EDATE(AB2248,3),DATEVALUE('Procyclean 220'!F250))))),""))</f>
        <v/>
      </c>
      <c r="AM2248" t="str">
        <f t="shared" ca="1" si="232"/>
        <v/>
      </c>
    </row>
    <row r="2249" spans="27:39" x14ac:dyDescent="0.3">
      <c r="AA2249" t="str">
        <f>IF(COUNTA('Procyclean 220'!C251,'Procyclean 220'!D251,'Procyclean 220'!E251)&gt;0,"220","")</f>
        <v/>
      </c>
      <c r="AB2249" t="str">
        <f>IFERROR(IF(ISNUMBER('Procyclean 220'!C251),'Procyclean 220'!C251,DATEVALUE('Procyclean 220'!C251)),"")</f>
        <v/>
      </c>
      <c r="AC2249" t="str">
        <f>IF(AA2249="","",'Procyclean 220'!D251)</f>
        <v/>
      </c>
      <c r="AD2249" t="str">
        <f>IF(AA2249="","",IFERROR(1*'Procyclean 220'!E251,IFERROR(_xludf.NUMBERVALUE('Procyclean 220'!E251,".",","),IFERROR(_xludf.NUMBERVALUE('Procyclean 220'!E251,",","."),0))))</f>
        <v/>
      </c>
      <c r="AE2249" t="str">
        <f>IF(AA2249="","",'Procyclean 220'!B251)</f>
        <v/>
      </c>
      <c r="AF2249">
        <f t="shared" si="227"/>
        <v>0</v>
      </c>
      <c r="AG2249" t="str">
        <f t="shared" si="228"/>
        <v/>
      </c>
      <c r="AH2249" t="str">
        <f t="shared" si="229"/>
        <v/>
      </c>
      <c r="AI2249">
        <f t="shared" si="230"/>
        <v>0</v>
      </c>
      <c r="AJ2249">
        <f t="shared" si="231"/>
        <v>0</v>
      </c>
      <c r="AK2249">
        <v>0</v>
      </c>
      <c r="AL2249" t="str">
        <f>IF(AA2249="","",IFERROR(IF(ISNUMBER('Procyclean 220'!F251),'Procyclean 220'!F251,IF(ISNUMBER(SEARCH("12",'Procyclean 220'!F251)),EDATE(AB2249,12),IF(ISNUMBER(SEARCH("6",'Procyclean 220'!F251)),EDATE(AB2249,6),IF(ISNUMBER(SEARCH("3",'Procyclean 220'!F251)),EDATE(AB2249,3),DATEVALUE('Procyclean 220'!F251))))),""))</f>
        <v/>
      </c>
      <c r="AM2249" t="str">
        <f t="shared" ca="1" si="232"/>
        <v/>
      </c>
    </row>
    <row r="2250" spans="27:39" x14ac:dyDescent="0.3">
      <c r="AA2250" t="str">
        <f>IF(COUNTA('Procyclean 220'!C252,'Procyclean 220'!D252,'Procyclean 220'!E252)&gt;0,"220","")</f>
        <v/>
      </c>
      <c r="AB2250" t="str">
        <f>IFERROR(IF(ISNUMBER('Procyclean 220'!C252),'Procyclean 220'!C252,DATEVALUE('Procyclean 220'!C252)),"")</f>
        <v/>
      </c>
      <c r="AC2250" t="str">
        <f>IF(AA2250="","",'Procyclean 220'!D252)</f>
        <v/>
      </c>
      <c r="AD2250" t="str">
        <f>IF(AA2250="","",IFERROR(1*'Procyclean 220'!E252,IFERROR(_xludf.NUMBERVALUE('Procyclean 220'!E252,".",","),IFERROR(_xludf.NUMBERVALUE('Procyclean 220'!E252,",","."),0))))</f>
        <v/>
      </c>
      <c r="AE2250" t="str">
        <f>IF(AA2250="","",'Procyclean 220'!B252)</f>
        <v/>
      </c>
      <c r="AF2250">
        <f t="shared" si="227"/>
        <v>0</v>
      </c>
      <c r="AG2250" t="str">
        <f t="shared" si="228"/>
        <v/>
      </c>
      <c r="AH2250" t="str">
        <f t="shared" si="229"/>
        <v/>
      </c>
      <c r="AI2250">
        <f t="shared" si="230"/>
        <v>0</v>
      </c>
      <c r="AJ2250">
        <f t="shared" si="231"/>
        <v>0</v>
      </c>
      <c r="AK2250">
        <v>0</v>
      </c>
      <c r="AL2250" t="str">
        <f>IF(AA2250="","",IFERROR(IF(ISNUMBER('Procyclean 220'!F252),'Procyclean 220'!F252,IF(ISNUMBER(SEARCH("12",'Procyclean 220'!F252)),EDATE(AB2250,12),IF(ISNUMBER(SEARCH("6",'Procyclean 220'!F252)),EDATE(AB2250,6),IF(ISNUMBER(SEARCH("3",'Procyclean 220'!F252)),EDATE(AB2250,3),DATEVALUE('Procyclean 220'!F252))))),""))</f>
        <v/>
      </c>
      <c r="AM2250" t="str">
        <f t="shared" ca="1" si="232"/>
        <v/>
      </c>
    </row>
    <row r="2251" spans="27:39" x14ac:dyDescent="0.3">
      <c r="AA2251" t="str">
        <f>IF(COUNTA('Procyclean 220'!C253,'Procyclean 220'!D253,'Procyclean 220'!E253)&gt;0,"220","")</f>
        <v/>
      </c>
      <c r="AB2251" t="str">
        <f>IFERROR(IF(ISNUMBER('Procyclean 220'!C253),'Procyclean 220'!C253,DATEVALUE('Procyclean 220'!C253)),"")</f>
        <v/>
      </c>
      <c r="AC2251" t="str">
        <f>IF(AA2251="","",'Procyclean 220'!D253)</f>
        <v/>
      </c>
      <c r="AD2251" t="str">
        <f>IF(AA2251="","",IFERROR(1*'Procyclean 220'!E253,IFERROR(_xludf.NUMBERVALUE('Procyclean 220'!E253,".",","),IFERROR(_xludf.NUMBERVALUE('Procyclean 220'!E253,",","."),0))))</f>
        <v/>
      </c>
      <c r="AE2251" t="str">
        <f>IF(AA2251="","",'Procyclean 220'!B253)</f>
        <v/>
      </c>
      <c r="AF2251">
        <f t="shared" si="227"/>
        <v>0</v>
      </c>
      <c r="AG2251" t="str">
        <f t="shared" si="228"/>
        <v/>
      </c>
      <c r="AH2251" t="str">
        <f t="shared" si="229"/>
        <v/>
      </c>
      <c r="AI2251">
        <f t="shared" si="230"/>
        <v>0</v>
      </c>
      <c r="AJ2251">
        <f t="shared" si="231"/>
        <v>0</v>
      </c>
      <c r="AK2251">
        <v>0</v>
      </c>
      <c r="AL2251" t="str">
        <f>IF(AA2251="","",IFERROR(IF(ISNUMBER('Procyclean 220'!F253),'Procyclean 220'!F253,IF(ISNUMBER(SEARCH("12",'Procyclean 220'!F253)),EDATE(AB2251,12),IF(ISNUMBER(SEARCH("6",'Procyclean 220'!F253)),EDATE(AB2251,6),IF(ISNUMBER(SEARCH("3",'Procyclean 220'!F253)),EDATE(AB2251,3),DATEVALUE('Procyclean 220'!F253))))),""))</f>
        <v/>
      </c>
      <c r="AM2251" t="str">
        <f t="shared" ca="1" si="232"/>
        <v/>
      </c>
    </row>
    <row r="2252" spans="27:39" x14ac:dyDescent="0.3">
      <c r="AA2252" t="str">
        <f>IF(COUNTA('Procyclean 220'!C254,'Procyclean 220'!D254,'Procyclean 220'!E254)&gt;0,"220","")</f>
        <v/>
      </c>
      <c r="AB2252" t="str">
        <f>IFERROR(IF(ISNUMBER('Procyclean 220'!C254),'Procyclean 220'!C254,DATEVALUE('Procyclean 220'!C254)),"")</f>
        <v/>
      </c>
      <c r="AC2252" t="str">
        <f>IF(AA2252="","",'Procyclean 220'!D254)</f>
        <v/>
      </c>
      <c r="AD2252" t="str">
        <f>IF(AA2252="","",IFERROR(1*'Procyclean 220'!E254,IFERROR(_xludf.NUMBERVALUE('Procyclean 220'!E254,".",","),IFERROR(_xludf.NUMBERVALUE('Procyclean 220'!E254,",","."),0))))</f>
        <v/>
      </c>
      <c r="AE2252" t="str">
        <f>IF(AA2252="","",'Procyclean 220'!B254)</f>
        <v/>
      </c>
      <c r="AF2252">
        <f t="shared" si="227"/>
        <v>0</v>
      </c>
      <c r="AG2252" t="str">
        <f t="shared" si="228"/>
        <v/>
      </c>
      <c r="AH2252" t="str">
        <f t="shared" si="229"/>
        <v/>
      </c>
      <c r="AI2252">
        <f t="shared" si="230"/>
        <v>0</v>
      </c>
      <c r="AJ2252">
        <f t="shared" si="231"/>
        <v>0</v>
      </c>
      <c r="AK2252">
        <v>0</v>
      </c>
      <c r="AL2252" t="str">
        <f>IF(AA2252="","",IFERROR(IF(ISNUMBER('Procyclean 220'!F254),'Procyclean 220'!F254,IF(ISNUMBER(SEARCH("12",'Procyclean 220'!F254)),EDATE(AB2252,12),IF(ISNUMBER(SEARCH("6",'Procyclean 220'!F254)),EDATE(AB2252,6),IF(ISNUMBER(SEARCH("3",'Procyclean 220'!F254)),EDATE(AB2252,3),DATEVALUE('Procyclean 220'!F254))))),""))</f>
        <v/>
      </c>
      <c r="AM2252" t="str">
        <f t="shared" ca="1" si="232"/>
        <v/>
      </c>
    </row>
    <row r="2253" spans="27:39" x14ac:dyDescent="0.3">
      <c r="AA2253" t="str">
        <f>IF(COUNTA('Procyclean 220'!C255,'Procyclean 220'!D255,'Procyclean 220'!E255)&gt;0,"220","")</f>
        <v/>
      </c>
      <c r="AB2253" t="str">
        <f>IFERROR(IF(ISNUMBER('Procyclean 220'!C255),'Procyclean 220'!C255,DATEVALUE('Procyclean 220'!C255)),"")</f>
        <v/>
      </c>
      <c r="AC2253" t="str">
        <f>IF(AA2253="","",'Procyclean 220'!D255)</f>
        <v/>
      </c>
      <c r="AD2253" t="str">
        <f>IF(AA2253="","",IFERROR(1*'Procyclean 220'!E255,IFERROR(_xludf.NUMBERVALUE('Procyclean 220'!E255,".",","),IFERROR(_xludf.NUMBERVALUE('Procyclean 220'!E255,",","."),0))))</f>
        <v/>
      </c>
      <c r="AE2253" t="str">
        <f>IF(AA2253="","",'Procyclean 220'!B255)</f>
        <v/>
      </c>
      <c r="AF2253">
        <f t="shared" si="227"/>
        <v>0</v>
      </c>
      <c r="AG2253" t="str">
        <f t="shared" si="228"/>
        <v/>
      </c>
      <c r="AH2253" t="str">
        <f t="shared" si="229"/>
        <v/>
      </c>
      <c r="AI2253">
        <f t="shared" si="230"/>
        <v>0</v>
      </c>
      <c r="AJ2253">
        <f t="shared" si="231"/>
        <v>0</v>
      </c>
      <c r="AK2253">
        <v>0</v>
      </c>
      <c r="AL2253" t="str">
        <f>IF(AA2253="","",IFERROR(IF(ISNUMBER('Procyclean 220'!F255),'Procyclean 220'!F255,IF(ISNUMBER(SEARCH("12",'Procyclean 220'!F255)),EDATE(AB2253,12),IF(ISNUMBER(SEARCH("6",'Procyclean 220'!F255)),EDATE(AB2253,6),IF(ISNUMBER(SEARCH("3",'Procyclean 220'!F255)),EDATE(AB2253,3),DATEVALUE('Procyclean 220'!F255))))),""))</f>
        <v/>
      </c>
      <c r="AM2253" t="str">
        <f t="shared" ca="1" si="232"/>
        <v/>
      </c>
    </row>
    <row r="2254" spans="27:39" x14ac:dyDescent="0.3">
      <c r="AA2254" t="str">
        <f>IF(COUNTA('Procyclean 220'!C256,'Procyclean 220'!D256,'Procyclean 220'!E256)&gt;0,"220","")</f>
        <v/>
      </c>
      <c r="AB2254" t="str">
        <f>IFERROR(IF(ISNUMBER('Procyclean 220'!C256),'Procyclean 220'!C256,DATEVALUE('Procyclean 220'!C256)),"")</f>
        <v/>
      </c>
      <c r="AC2254" t="str">
        <f>IF(AA2254="","",'Procyclean 220'!D256)</f>
        <v/>
      </c>
      <c r="AD2254" t="str">
        <f>IF(AA2254="","",IFERROR(1*'Procyclean 220'!E256,IFERROR(_xludf.NUMBERVALUE('Procyclean 220'!E256,".",","),IFERROR(_xludf.NUMBERVALUE('Procyclean 220'!E256,",","."),0))))</f>
        <v/>
      </c>
      <c r="AE2254" t="str">
        <f>IF(AA2254="","",'Procyclean 220'!B256)</f>
        <v/>
      </c>
      <c r="AF2254">
        <f t="shared" si="227"/>
        <v>0</v>
      </c>
      <c r="AG2254" t="str">
        <f t="shared" si="228"/>
        <v/>
      </c>
      <c r="AH2254" t="str">
        <f t="shared" si="229"/>
        <v/>
      </c>
      <c r="AI2254">
        <f t="shared" si="230"/>
        <v>0</v>
      </c>
      <c r="AJ2254">
        <f t="shared" si="231"/>
        <v>0</v>
      </c>
      <c r="AK2254">
        <v>0</v>
      </c>
      <c r="AL2254" t="str">
        <f>IF(AA2254="","",IFERROR(IF(ISNUMBER('Procyclean 220'!F256),'Procyclean 220'!F256,IF(ISNUMBER(SEARCH("12",'Procyclean 220'!F256)),EDATE(AB2254,12),IF(ISNUMBER(SEARCH("6",'Procyclean 220'!F256)),EDATE(AB2254,6),IF(ISNUMBER(SEARCH("3",'Procyclean 220'!F256)),EDATE(AB2254,3),DATEVALUE('Procyclean 220'!F256))))),""))</f>
        <v/>
      </c>
      <c r="AM2254" t="str">
        <f t="shared" ca="1" si="232"/>
        <v/>
      </c>
    </row>
    <row r="2255" spans="27:39" x14ac:dyDescent="0.3">
      <c r="AA2255" t="str">
        <f>IF(COUNTA('Procyclean 220'!C257,'Procyclean 220'!D257,'Procyclean 220'!E257)&gt;0,"220","")</f>
        <v/>
      </c>
      <c r="AB2255" t="str">
        <f>IFERROR(IF(ISNUMBER('Procyclean 220'!C257),'Procyclean 220'!C257,DATEVALUE('Procyclean 220'!C257)),"")</f>
        <v/>
      </c>
      <c r="AC2255" t="str">
        <f>IF(AA2255="","",'Procyclean 220'!D257)</f>
        <v/>
      </c>
      <c r="AD2255" t="str">
        <f>IF(AA2255="","",IFERROR(1*'Procyclean 220'!E257,IFERROR(_xludf.NUMBERVALUE('Procyclean 220'!E257,".",","),IFERROR(_xludf.NUMBERVALUE('Procyclean 220'!E257,",","."),0))))</f>
        <v/>
      </c>
      <c r="AE2255" t="str">
        <f>IF(AA2255="","",'Procyclean 220'!B257)</f>
        <v/>
      </c>
      <c r="AF2255">
        <f t="shared" si="227"/>
        <v>0</v>
      </c>
      <c r="AG2255" t="str">
        <f t="shared" si="228"/>
        <v/>
      </c>
      <c r="AH2255" t="str">
        <f t="shared" si="229"/>
        <v/>
      </c>
      <c r="AI2255">
        <f t="shared" si="230"/>
        <v>0</v>
      </c>
      <c r="AJ2255">
        <f t="shared" si="231"/>
        <v>0</v>
      </c>
      <c r="AK2255">
        <v>0</v>
      </c>
      <c r="AL2255" t="str">
        <f>IF(AA2255="","",IFERROR(IF(ISNUMBER('Procyclean 220'!F257),'Procyclean 220'!F257,IF(ISNUMBER(SEARCH("12",'Procyclean 220'!F257)),EDATE(AB2255,12),IF(ISNUMBER(SEARCH("6",'Procyclean 220'!F257)),EDATE(AB2255,6),IF(ISNUMBER(SEARCH("3",'Procyclean 220'!F257)),EDATE(AB2255,3),DATEVALUE('Procyclean 220'!F257))))),""))</f>
        <v/>
      </c>
      <c r="AM2255" t="str">
        <f t="shared" ca="1" si="232"/>
        <v/>
      </c>
    </row>
    <row r="2256" spans="27:39" x14ac:dyDescent="0.3">
      <c r="AA2256" t="str">
        <f>IF(COUNTA('Procyclean 220'!C258,'Procyclean 220'!D258,'Procyclean 220'!E258)&gt;0,"220","")</f>
        <v/>
      </c>
      <c r="AB2256" t="str">
        <f>IFERROR(IF(ISNUMBER('Procyclean 220'!C258),'Procyclean 220'!C258,DATEVALUE('Procyclean 220'!C258)),"")</f>
        <v/>
      </c>
      <c r="AC2256" t="str">
        <f>IF(AA2256="","",'Procyclean 220'!D258)</f>
        <v/>
      </c>
      <c r="AD2256" t="str">
        <f>IF(AA2256="","",IFERROR(1*'Procyclean 220'!E258,IFERROR(_xludf.NUMBERVALUE('Procyclean 220'!E258,".",","),IFERROR(_xludf.NUMBERVALUE('Procyclean 220'!E258,",","."),0))))</f>
        <v/>
      </c>
      <c r="AE2256" t="str">
        <f>IF(AA2256="","",'Procyclean 220'!B258)</f>
        <v/>
      </c>
      <c r="AF2256">
        <f t="shared" si="227"/>
        <v>0</v>
      </c>
      <c r="AG2256" t="str">
        <f t="shared" si="228"/>
        <v/>
      </c>
      <c r="AH2256" t="str">
        <f t="shared" si="229"/>
        <v/>
      </c>
      <c r="AI2256">
        <f t="shared" si="230"/>
        <v>0</v>
      </c>
      <c r="AJ2256">
        <f t="shared" si="231"/>
        <v>0</v>
      </c>
      <c r="AK2256">
        <v>0</v>
      </c>
      <c r="AL2256" t="str">
        <f>IF(AA2256="","",IFERROR(IF(ISNUMBER('Procyclean 220'!F258),'Procyclean 220'!F258,IF(ISNUMBER(SEARCH("12",'Procyclean 220'!F258)),EDATE(AB2256,12),IF(ISNUMBER(SEARCH("6",'Procyclean 220'!F258)),EDATE(AB2256,6),IF(ISNUMBER(SEARCH("3",'Procyclean 220'!F258)),EDATE(AB2256,3),DATEVALUE('Procyclean 220'!F258))))),""))</f>
        <v/>
      </c>
      <c r="AM2256" t="str">
        <f t="shared" ca="1" si="232"/>
        <v/>
      </c>
    </row>
    <row r="2257" spans="27:39" x14ac:dyDescent="0.3">
      <c r="AA2257" t="str">
        <f>IF(COUNTA('Procyclean 220'!C259,'Procyclean 220'!D259,'Procyclean 220'!E259)&gt;0,"220","")</f>
        <v/>
      </c>
      <c r="AB2257" t="str">
        <f>IFERROR(IF(ISNUMBER('Procyclean 220'!C259),'Procyclean 220'!C259,DATEVALUE('Procyclean 220'!C259)),"")</f>
        <v/>
      </c>
      <c r="AC2257" t="str">
        <f>IF(AA2257="","",'Procyclean 220'!D259)</f>
        <v/>
      </c>
      <c r="AD2257" t="str">
        <f>IF(AA2257="","",IFERROR(1*'Procyclean 220'!E259,IFERROR(_xludf.NUMBERVALUE('Procyclean 220'!E259,".",","),IFERROR(_xludf.NUMBERVALUE('Procyclean 220'!E259,",","."),0))))</f>
        <v/>
      </c>
      <c r="AE2257" t="str">
        <f>IF(AA2257="","",'Procyclean 220'!B259)</f>
        <v/>
      </c>
      <c r="AF2257">
        <f t="shared" si="227"/>
        <v>0</v>
      </c>
      <c r="AG2257" t="str">
        <f t="shared" si="228"/>
        <v/>
      </c>
      <c r="AH2257" t="str">
        <f t="shared" si="229"/>
        <v/>
      </c>
      <c r="AI2257">
        <f t="shared" si="230"/>
        <v>0</v>
      </c>
      <c r="AJ2257">
        <f t="shared" si="231"/>
        <v>0</v>
      </c>
      <c r="AK2257">
        <v>0</v>
      </c>
      <c r="AL2257" t="str">
        <f>IF(AA2257="","",IFERROR(IF(ISNUMBER('Procyclean 220'!F259),'Procyclean 220'!F259,IF(ISNUMBER(SEARCH("12",'Procyclean 220'!F259)),EDATE(AB2257,12),IF(ISNUMBER(SEARCH("6",'Procyclean 220'!F259)),EDATE(AB2257,6),IF(ISNUMBER(SEARCH("3",'Procyclean 220'!F259)),EDATE(AB2257,3),DATEVALUE('Procyclean 220'!F259))))),""))</f>
        <v/>
      </c>
      <c r="AM2257" t="str">
        <f t="shared" ca="1" si="232"/>
        <v/>
      </c>
    </row>
    <row r="2258" spans="27:39" x14ac:dyDescent="0.3">
      <c r="AA2258" t="str">
        <f>IF(COUNTA('Procyclean 220'!C260,'Procyclean 220'!D260,'Procyclean 220'!E260)&gt;0,"220","")</f>
        <v/>
      </c>
      <c r="AB2258" t="str">
        <f>IFERROR(IF(ISNUMBER('Procyclean 220'!C260),'Procyclean 220'!C260,DATEVALUE('Procyclean 220'!C260)),"")</f>
        <v/>
      </c>
      <c r="AC2258" t="str">
        <f>IF(AA2258="","",'Procyclean 220'!D260)</f>
        <v/>
      </c>
      <c r="AD2258" t="str">
        <f>IF(AA2258="","",IFERROR(1*'Procyclean 220'!E260,IFERROR(_xludf.NUMBERVALUE('Procyclean 220'!E260,".",","),IFERROR(_xludf.NUMBERVALUE('Procyclean 220'!E260,",","."),0))))</f>
        <v/>
      </c>
      <c r="AE2258" t="str">
        <f>IF(AA2258="","",'Procyclean 220'!B260)</f>
        <v/>
      </c>
      <c r="AF2258">
        <f t="shared" si="227"/>
        <v>0</v>
      </c>
      <c r="AG2258" t="str">
        <f t="shared" si="228"/>
        <v/>
      </c>
      <c r="AH2258" t="str">
        <f t="shared" si="229"/>
        <v/>
      </c>
      <c r="AI2258">
        <f t="shared" si="230"/>
        <v>0</v>
      </c>
      <c r="AJ2258">
        <f t="shared" si="231"/>
        <v>0</v>
      </c>
      <c r="AK2258">
        <v>0</v>
      </c>
      <c r="AL2258" t="str">
        <f>IF(AA2258="","",IFERROR(IF(ISNUMBER('Procyclean 220'!F260),'Procyclean 220'!F260,IF(ISNUMBER(SEARCH("12",'Procyclean 220'!F260)),EDATE(AB2258,12),IF(ISNUMBER(SEARCH("6",'Procyclean 220'!F260)),EDATE(AB2258,6),IF(ISNUMBER(SEARCH("3",'Procyclean 220'!F260)),EDATE(AB2258,3),DATEVALUE('Procyclean 220'!F260))))),""))</f>
        <v/>
      </c>
      <c r="AM2258" t="str">
        <f t="shared" ca="1" si="232"/>
        <v/>
      </c>
    </row>
    <row r="2259" spans="27:39" x14ac:dyDescent="0.3">
      <c r="AA2259" t="str">
        <f>IF(COUNTA('Procyclean 220'!C261,'Procyclean 220'!D261,'Procyclean 220'!E261)&gt;0,"220","")</f>
        <v/>
      </c>
      <c r="AB2259" t="str">
        <f>IFERROR(IF(ISNUMBER('Procyclean 220'!C261),'Procyclean 220'!C261,DATEVALUE('Procyclean 220'!C261)),"")</f>
        <v/>
      </c>
      <c r="AC2259" t="str">
        <f>IF(AA2259="","",'Procyclean 220'!D261)</f>
        <v/>
      </c>
      <c r="AD2259" t="str">
        <f>IF(AA2259="","",IFERROR(1*'Procyclean 220'!E261,IFERROR(_xludf.NUMBERVALUE('Procyclean 220'!E261,".",","),IFERROR(_xludf.NUMBERVALUE('Procyclean 220'!E261,",","."),0))))</f>
        <v/>
      </c>
      <c r="AE2259" t="str">
        <f>IF(AA2259="","",'Procyclean 220'!B261)</f>
        <v/>
      </c>
      <c r="AF2259">
        <f t="shared" si="227"/>
        <v>0</v>
      </c>
      <c r="AG2259" t="str">
        <f t="shared" si="228"/>
        <v/>
      </c>
      <c r="AH2259" t="str">
        <f t="shared" si="229"/>
        <v/>
      </c>
      <c r="AI2259">
        <f t="shared" si="230"/>
        <v>0</v>
      </c>
      <c r="AJ2259">
        <f t="shared" si="231"/>
        <v>0</v>
      </c>
      <c r="AK2259">
        <v>0</v>
      </c>
      <c r="AL2259" t="str">
        <f>IF(AA2259="","",IFERROR(IF(ISNUMBER('Procyclean 220'!F261),'Procyclean 220'!F261,IF(ISNUMBER(SEARCH("12",'Procyclean 220'!F261)),EDATE(AB2259,12),IF(ISNUMBER(SEARCH("6",'Procyclean 220'!F261)),EDATE(AB2259,6),IF(ISNUMBER(SEARCH("3",'Procyclean 220'!F261)),EDATE(AB2259,3),DATEVALUE('Procyclean 220'!F261))))),""))</f>
        <v/>
      </c>
      <c r="AM2259" t="str">
        <f t="shared" ca="1" si="232"/>
        <v/>
      </c>
    </row>
    <row r="2260" spans="27:39" x14ac:dyDescent="0.3">
      <c r="AA2260" t="str">
        <f>IF(COUNTA('Procyclean 220'!C262,'Procyclean 220'!D262,'Procyclean 220'!E262)&gt;0,"220","")</f>
        <v/>
      </c>
      <c r="AB2260" t="str">
        <f>IFERROR(IF(ISNUMBER('Procyclean 220'!C262),'Procyclean 220'!C262,DATEVALUE('Procyclean 220'!C262)),"")</f>
        <v/>
      </c>
      <c r="AC2260" t="str">
        <f>IF(AA2260="","",'Procyclean 220'!D262)</f>
        <v/>
      </c>
      <c r="AD2260" t="str">
        <f>IF(AA2260="","",IFERROR(1*'Procyclean 220'!E262,IFERROR(_xludf.NUMBERVALUE('Procyclean 220'!E262,".",","),IFERROR(_xludf.NUMBERVALUE('Procyclean 220'!E262,",","."),0))))</f>
        <v/>
      </c>
      <c r="AE2260" t="str">
        <f>IF(AA2260="","",'Procyclean 220'!B262)</f>
        <v/>
      </c>
      <c r="AF2260">
        <f t="shared" si="227"/>
        <v>0</v>
      </c>
      <c r="AG2260" t="str">
        <f t="shared" si="228"/>
        <v/>
      </c>
      <c r="AH2260" t="str">
        <f t="shared" si="229"/>
        <v/>
      </c>
      <c r="AI2260">
        <f t="shared" si="230"/>
        <v>0</v>
      </c>
      <c r="AJ2260">
        <f t="shared" si="231"/>
        <v>0</v>
      </c>
      <c r="AK2260">
        <v>0</v>
      </c>
      <c r="AL2260" t="str">
        <f>IF(AA2260="","",IFERROR(IF(ISNUMBER('Procyclean 220'!F262),'Procyclean 220'!F262,IF(ISNUMBER(SEARCH("12",'Procyclean 220'!F262)),EDATE(AB2260,12),IF(ISNUMBER(SEARCH("6",'Procyclean 220'!F262)),EDATE(AB2260,6),IF(ISNUMBER(SEARCH("3",'Procyclean 220'!F262)),EDATE(AB2260,3),DATEVALUE('Procyclean 220'!F262))))),""))</f>
        <v/>
      </c>
      <c r="AM2260" t="str">
        <f t="shared" ca="1" si="232"/>
        <v/>
      </c>
    </row>
    <row r="2261" spans="27:39" x14ac:dyDescent="0.3">
      <c r="AA2261" t="str">
        <f>IF(COUNTA('Procyclean 220'!C263,'Procyclean 220'!D263,'Procyclean 220'!E263)&gt;0,"220","")</f>
        <v/>
      </c>
      <c r="AB2261" t="str">
        <f>IFERROR(IF(ISNUMBER('Procyclean 220'!C263),'Procyclean 220'!C263,DATEVALUE('Procyclean 220'!C263)),"")</f>
        <v/>
      </c>
      <c r="AC2261" t="str">
        <f>IF(AA2261="","",'Procyclean 220'!D263)</f>
        <v/>
      </c>
      <c r="AD2261" t="str">
        <f>IF(AA2261="","",IFERROR(1*'Procyclean 220'!E263,IFERROR(_xludf.NUMBERVALUE('Procyclean 220'!E263,".",","),IFERROR(_xludf.NUMBERVALUE('Procyclean 220'!E263,",","."),0))))</f>
        <v/>
      </c>
      <c r="AE2261" t="str">
        <f>IF(AA2261="","",'Procyclean 220'!B263)</f>
        <v/>
      </c>
      <c r="AF2261">
        <f t="shared" si="227"/>
        <v>0</v>
      </c>
      <c r="AG2261" t="str">
        <f t="shared" si="228"/>
        <v/>
      </c>
      <c r="AH2261" t="str">
        <f t="shared" si="229"/>
        <v/>
      </c>
      <c r="AI2261">
        <f t="shared" si="230"/>
        <v>0</v>
      </c>
      <c r="AJ2261">
        <f t="shared" si="231"/>
        <v>0</v>
      </c>
      <c r="AK2261">
        <v>0</v>
      </c>
      <c r="AL2261" t="str">
        <f>IF(AA2261="","",IFERROR(IF(ISNUMBER('Procyclean 220'!F263),'Procyclean 220'!F263,IF(ISNUMBER(SEARCH("12",'Procyclean 220'!F263)),EDATE(AB2261,12),IF(ISNUMBER(SEARCH("6",'Procyclean 220'!F263)),EDATE(AB2261,6),IF(ISNUMBER(SEARCH("3",'Procyclean 220'!F263)),EDATE(AB2261,3),DATEVALUE('Procyclean 220'!F263))))),""))</f>
        <v/>
      </c>
      <c r="AM2261" t="str">
        <f t="shared" ca="1" si="232"/>
        <v/>
      </c>
    </row>
    <row r="2262" spans="27:39" x14ac:dyDescent="0.3">
      <c r="AA2262" t="str">
        <f>IF(COUNTA('Procyclean 220'!C264,'Procyclean 220'!D264,'Procyclean 220'!E264)&gt;0,"220","")</f>
        <v/>
      </c>
      <c r="AB2262" t="str">
        <f>IFERROR(IF(ISNUMBER('Procyclean 220'!C264),'Procyclean 220'!C264,DATEVALUE('Procyclean 220'!C264)),"")</f>
        <v/>
      </c>
      <c r="AC2262" t="str">
        <f>IF(AA2262="","",'Procyclean 220'!D264)</f>
        <v/>
      </c>
      <c r="AD2262" t="str">
        <f>IF(AA2262="","",IFERROR(1*'Procyclean 220'!E264,IFERROR(_xludf.NUMBERVALUE('Procyclean 220'!E264,".",","),IFERROR(_xludf.NUMBERVALUE('Procyclean 220'!E264,",","."),0))))</f>
        <v/>
      </c>
      <c r="AE2262" t="str">
        <f>IF(AA2262="","",'Procyclean 220'!B264)</f>
        <v/>
      </c>
      <c r="AF2262">
        <f t="shared" si="227"/>
        <v>0</v>
      </c>
      <c r="AG2262" t="str">
        <f t="shared" si="228"/>
        <v/>
      </c>
      <c r="AH2262" t="str">
        <f t="shared" si="229"/>
        <v/>
      </c>
      <c r="AI2262">
        <f t="shared" si="230"/>
        <v>0</v>
      </c>
      <c r="AJ2262">
        <f t="shared" si="231"/>
        <v>0</v>
      </c>
      <c r="AK2262">
        <v>0</v>
      </c>
      <c r="AL2262" t="str">
        <f>IF(AA2262="","",IFERROR(IF(ISNUMBER('Procyclean 220'!F264),'Procyclean 220'!F264,IF(ISNUMBER(SEARCH("12",'Procyclean 220'!F264)),EDATE(AB2262,12),IF(ISNUMBER(SEARCH("6",'Procyclean 220'!F264)),EDATE(AB2262,6),IF(ISNUMBER(SEARCH("3",'Procyclean 220'!F264)),EDATE(AB2262,3),DATEVALUE('Procyclean 220'!F264))))),""))</f>
        <v/>
      </c>
      <c r="AM2262" t="str">
        <f t="shared" ca="1" si="232"/>
        <v/>
      </c>
    </row>
    <row r="2263" spans="27:39" x14ac:dyDescent="0.3">
      <c r="AA2263" t="str">
        <f>IF(COUNTA('Procyclean 220'!C265,'Procyclean 220'!D265,'Procyclean 220'!E265)&gt;0,"220","")</f>
        <v/>
      </c>
      <c r="AB2263" t="str">
        <f>IFERROR(IF(ISNUMBER('Procyclean 220'!C265),'Procyclean 220'!C265,DATEVALUE('Procyclean 220'!C265)),"")</f>
        <v/>
      </c>
      <c r="AC2263" t="str">
        <f>IF(AA2263="","",'Procyclean 220'!D265)</f>
        <v/>
      </c>
      <c r="AD2263" t="str">
        <f>IF(AA2263="","",IFERROR(1*'Procyclean 220'!E265,IFERROR(_xludf.NUMBERVALUE('Procyclean 220'!E265,".",","),IFERROR(_xludf.NUMBERVALUE('Procyclean 220'!E265,",","."),0))))</f>
        <v/>
      </c>
      <c r="AE2263" t="str">
        <f>IF(AA2263="","",'Procyclean 220'!B265)</f>
        <v/>
      </c>
      <c r="AF2263">
        <f t="shared" si="227"/>
        <v>0</v>
      </c>
      <c r="AG2263" t="str">
        <f t="shared" si="228"/>
        <v/>
      </c>
      <c r="AH2263" t="str">
        <f t="shared" si="229"/>
        <v/>
      </c>
      <c r="AI2263">
        <f t="shared" si="230"/>
        <v>0</v>
      </c>
      <c r="AJ2263">
        <f t="shared" si="231"/>
        <v>0</v>
      </c>
      <c r="AK2263">
        <v>0</v>
      </c>
      <c r="AL2263" t="str">
        <f>IF(AA2263="","",IFERROR(IF(ISNUMBER('Procyclean 220'!F265),'Procyclean 220'!F265,IF(ISNUMBER(SEARCH("12",'Procyclean 220'!F265)),EDATE(AB2263,12),IF(ISNUMBER(SEARCH("6",'Procyclean 220'!F265)),EDATE(AB2263,6),IF(ISNUMBER(SEARCH("3",'Procyclean 220'!F265)),EDATE(AB2263,3),DATEVALUE('Procyclean 220'!F265))))),""))</f>
        <v/>
      </c>
      <c r="AM2263" t="str">
        <f t="shared" ca="1" si="232"/>
        <v/>
      </c>
    </row>
    <row r="2264" spans="27:39" x14ac:dyDescent="0.3">
      <c r="AA2264" t="str">
        <f>IF(COUNTA('Procyclean 220'!C266,'Procyclean 220'!D266,'Procyclean 220'!E266)&gt;0,"220","")</f>
        <v/>
      </c>
      <c r="AB2264" t="str">
        <f>IFERROR(IF(ISNUMBER('Procyclean 220'!C266),'Procyclean 220'!C266,DATEVALUE('Procyclean 220'!C266)),"")</f>
        <v/>
      </c>
      <c r="AC2264" t="str">
        <f>IF(AA2264="","",'Procyclean 220'!D266)</f>
        <v/>
      </c>
      <c r="AD2264" t="str">
        <f>IF(AA2264="","",IFERROR(1*'Procyclean 220'!E266,IFERROR(_xludf.NUMBERVALUE('Procyclean 220'!E266,".",","),IFERROR(_xludf.NUMBERVALUE('Procyclean 220'!E266,",","."),0))))</f>
        <v/>
      </c>
      <c r="AE2264" t="str">
        <f>IF(AA2264="","",'Procyclean 220'!B266)</f>
        <v/>
      </c>
      <c r="AF2264">
        <f t="shared" si="227"/>
        <v>0</v>
      </c>
      <c r="AG2264" t="str">
        <f t="shared" si="228"/>
        <v/>
      </c>
      <c r="AH2264" t="str">
        <f t="shared" si="229"/>
        <v/>
      </c>
      <c r="AI2264">
        <f t="shared" si="230"/>
        <v>0</v>
      </c>
      <c r="AJ2264">
        <f t="shared" si="231"/>
        <v>0</v>
      </c>
      <c r="AK2264">
        <v>0</v>
      </c>
      <c r="AL2264" t="str">
        <f>IF(AA2264="","",IFERROR(IF(ISNUMBER('Procyclean 220'!F266),'Procyclean 220'!F266,IF(ISNUMBER(SEARCH("12",'Procyclean 220'!F266)),EDATE(AB2264,12),IF(ISNUMBER(SEARCH("6",'Procyclean 220'!F266)),EDATE(AB2264,6),IF(ISNUMBER(SEARCH("3",'Procyclean 220'!F266)),EDATE(AB2264,3),DATEVALUE('Procyclean 220'!F266))))),""))</f>
        <v/>
      </c>
      <c r="AM2264" t="str">
        <f t="shared" ca="1" si="232"/>
        <v/>
      </c>
    </row>
    <row r="2265" spans="27:39" x14ac:dyDescent="0.3">
      <c r="AA2265" t="str">
        <f>IF(COUNTA('Procyclean 220'!C267,'Procyclean 220'!D267,'Procyclean 220'!E267)&gt;0,"220","")</f>
        <v/>
      </c>
      <c r="AB2265" t="str">
        <f>IFERROR(IF(ISNUMBER('Procyclean 220'!C267),'Procyclean 220'!C267,DATEVALUE('Procyclean 220'!C267)),"")</f>
        <v/>
      </c>
      <c r="AC2265" t="str">
        <f>IF(AA2265="","",'Procyclean 220'!D267)</f>
        <v/>
      </c>
      <c r="AD2265" t="str">
        <f>IF(AA2265="","",IFERROR(1*'Procyclean 220'!E267,IFERROR(_xludf.NUMBERVALUE('Procyclean 220'!E267,".",","),IFERROR(_xludf.NUMBERVALUE('Procyclean 220'!E267,",","."),0))))</f>
        <v/>
      </c>
      <c r="AE2265" t="str">
        <f>IF(AA2265="","",'Procyclean 220'!B267)</f>
        <v/>
      </c>
      <c r="AF2265">
        <f t="shared" si="227"/>
        <v>0</v>
      </c>
      <c r="AG2265" t="str">
        <f t="shared" si="228"/>
        <v/>
      </c>
      <c r="AH2265" t="str">
        <f t="shared" si="229"/>
        <v/>
      </c>
      <c r="AI2265">
        <f t="shared" si="230"/>
        <v>0</v>
      </c>
      <c r="AJ2265">
        <f t="shared" si="231"/>
        <v>0</v>
      </c>
      <c r="AK2265">
        <v>0</v>
      </c>
      <c r="AL2265" t="str">
        <f>IF(AA2265="","",IFERROR(IF(ISNUMBER('Procyclean 220'!F267),'Procyclean 220'!F267,IF(ISNUMBER(SEARCH("12",'Procyclean 220'!F267)),EDATE(AB2265,12),IF(ISNUMBER(SEARCH("6",'Procyclean 220'!F267)),EDATE(AB2265,6),IF(ISNUMBER(SEARCH("3",'Procyclean 220'!F267)),EDATE(AB2265,3),DATEVALUE('Procyclean 220'!F267))))),""))</f>
        <v/>
      </c>
      <c r="AM2265" t="str">
        <f t="shared" ca="1" si="232"/>
        <v/>
      </c>
    </row>
    <row r="2266" spans="27:39" x14ac:dyDescent="0.3">
      <c r="AA2266" t="str">
        <f>IF(COUNTA('Procyclean 220'!C268,'Procyclean 220'!D268,'Procyclean 220'!E268)&gt;0,"220","")</f>
        <v/>
      </c>
      <c r="AB2266" t="str">
        <f>IFERROR(IF(ISNUMBER('Procyclean 220'!C268),'Procyclean 220'!C268,DATEVALUE('Procyclean 220'!C268)),"")</f>
        <v/>
      </c>
      <c r="AC2266" t="str">
        <f>IF(AA2266="","",'Procyclean 220'!D268)</f>
        <v/>
      </c>
      <c r="AD2266" t="str">
        <f>IF(AA2266="","",IFERROR(1*'Procyclean 220'!E268,IFERROR(_xludf.NUMBERVALUE('Procyclean 220'!E268,".",","),IFERROR(_xludf.NUMBERVALUE('Procyclean 220'!E268,",","."),0))))</f>
        <v/>
      </c>
      <c r="AE2266" t="str">
        <f>IF(AA2266="","",'Procyclean 220'!B268)</f>
        <v/>
      </c>
      <c r="AF2266">
        <f t="shared" si="227"/>
        <v>0</v>
      </c>
      <c r="AG2266" t="str">
        <f t="shared" si="228"/>
        <v/>
      </c>
      <c r="AH2266" t="str">
        <f t="shared" si="229"/>
        <v/>
      </c>
      <c r="AI2266">
        <f t="shared" si="230"/>
        <v>0</v>
      </c>
      <c r="AJ2266">
        <f t="shared" si="231"/>
        <v>0</v>
      </c>
      <c r="AK2266">
        <v>0</v>
      </c>
      <c r="AL2266" t="str">
        <f>IF(AA2266="","",IFERROR(IF(ISNUMBER('Procyclean 220'!F268),'Procyclean 220'!F268,IF(ISNUMBER(SEARCH("12",'Procyclean 220'!F268)),EDATE(AB2266,12),IF(ISNUMBER(SEARCH("6",'Procyclean 220'!F268)),EDATE(AB2266,6),IF(ISNUMBER(SEARCH("3",'Procyclean 220'!F268)),EDATE(AB2266,3),DATEVALUE('Procyclean 220'!F268))))),""))</f>
        <v/>
      </c>
      <c r="AM2266" t="str">
        <f t="shared" ca="1" si="232"/>
        <v/>
      </c>
    </row>
    <row r="2267" spans="27:39" x14ac:dyDescent="0.3">
      <c r="AA2267" t="str">
        <f>IF(COUNTA('Procyclean 220'!C269,'Procyclean 220'!D269,'Procyclean 220'!E269)&gt;0,"220","")</f>
        <v/>
      </c>
      <c r="AB2267" t="str">
        <f>IFERROR(IF(ISNUMBER('Procyclean 220'!C269),'Procyclean 220'!C269,DATEVALUE('Procyclean 220'!C269)),"")</f>
        <v/>
      </c>
      <c r="AC2267" t="str">
        <f>IF(AA2267="","",'Procyclean 220'!D269)</f>
        <v/>
      </c>
      <c r="AD2267" t="str">
        <f>IF(AA2267="","",IFERROR(1*'Procyclean 220'!E269,IFERROR(_xludf.NUMBERVALUE('Procyclean 220'!E269,".",","),IFERROR(_xludf.NUMBERVALUE('Procyclean 220'!E269,",","."),0))))</f>
        <v/>
      </c>
      <c r="AE2267" t="str">
        <f>IF(AA2267="","",'Procyclean 220'!B269)</f>
        <v/>
      </c>
      <c r="AF2267">
        <f t="shared" si="227"/>
        <v>0</v>
      </c>
      <c r="AG2267" t="str">
        <f t="shared" si="228"/>
        <v/>
      </c>
      <c r="AH2267" t="str">
        <f t="shared" si="229"/>
        <v/>
      </c>
      <c r="AI2267">
        <f t="shared" si="230"/>
        <v>0</v>
      </c>
      <c r="AJ2267">
        <f t="shared" si="231"/>
        <v>0</v>
      </c>
      <c r="AK2267">
        <v>0</v>
      </c>
      <c r="AL2267" t="str">
        <f>IF(AA2267="","",IFERROR(IF(ISNUMBER('Procyclean 220'!F269),'Procyclean 220'!F269,IF(ISNUMBER(SEARCH("12",'Procyclean 220'!F269)),EDATE(AB2267,12),IF(ISNUMBER(SEARCH("6",'Procyclean 220'!F269)),EDATE(AB2267,6),IF(ISNUMBER(SEARCH("3",'Procyclean 220'!F269)),EDATE(AB2267,3),DATEVALUE('Procyclean 220'!F269))))),""))</f>
        <v/>
      </c>
      <c r="AM2267" t="str">
        <f t="shared" ca="1" si="232"/>
        <v/>
      </c>
    </row>
    <row r="2268" spans="27:39" x14ac:dyDescent="0.3">
      <c r="AA2268" t="str">
        <f>IF(COUNTA('Procyclean 220'!C270,'Procyclean 220'!D270,'Procyclean 220'!E270)&gt;0,"220","")</f>
        <v/>
      </c>
      <c r="AB2268" t="str">
        <f>IFERROR(IF(ISNUMBER('Procyclean 220'!C270),'Procyclean 220'!C270,DATEVALUE('Procyclean 220'!C270)),"")</f>
        <v/>
      </c>
      <c r="AC2268" t="str">
        <f>IF(AA2268="","",'Procyclean 220'!D270)</f>
        <v/>
      </c>
      <c r="AD2268" t="str">
        <f>IF(AA2268="","",IFERROR(1*'Procyclean 220'!E270,IFERROR(_xludf.NUMBERVALUE('Procyclean 220'!E270,".",","),IFERROR(_xludf.NUMBERVALUE('Procyclean 220'!E270,",","."),0))))</f>
        <v/>
      </c>
      <c r="AE2268" t="str">
        <f>IF(AA2268="","",'Procyclean 220'!B270)</f>
        <v/>
      </c>
      <c r="AF2268">
        <f t="shared" si="227"/>
        <v>0</v>
      </c>
      <c r="AG2268" t="str">
        <f t="shared" si="228"/>
        <v/>
      </c>
      <c r="AH2268" t="str">
        <f t="shared" si="229"/>
        <v/>
      </c>
      <c r="AI2268">
        <f t="shared" si="230"/>
        <v>0</v>
      </c>
      <c r="AJ2268">
        <f t="shared" si="231"/>
        <v>0</v>
      </c>
      <c r="AK2268">
        <v>0</v>
      </c>
      <c r="AL2268" t="str">
        <f>IF(AA2268="","",IFERROR(IF(ISNUMBER('Procyclean 220'!F270),'Procyclean 220'!F270,IF(ISNUMBER(SEARCH("12",'Procyclean 220'!F270)),EDATE(AB2268,12),IF(ISNUMBER(SEARCH("6",'Procyclean 220'!F270)),EDATE(AB2268,6),IF(ISNUMBER(SEARCH("3",'Procyclean 220'!F270)),EDATE(AB2268,3),DATEVALUE('Procyclean 220'!F270))))),""))</f>
        <v/>
      </c>
      <c r="AM2268" t="str">
        <f t="shared" ca="1" si="232"/>
        <v/>
      </c>
    </row>
    <row r="2269" spans="27:39" x14ac:dyDescent="0.3">
      <c r="AA2269" t="str">
        <f>IF(COUNTA('Procyclean 220'!C271,'Procyclean 220'!D271,'Procyclean 220'!E271)&gt;0,"220","")</f>
        <v/>
      </c>
      <c r="AB2269" t="str">
        <f>IFERROR(IF(ISNUMBER('Procyclean 220'!C271),'Procyclean 220'!C271,DATEVALUE('Procyclean 220'!C271)),"")</f>
        <v/>
      </c>
      <c r="AC2269" t="str">
        <f>IF(AA2269="","",'Procyclean 220'!D271)</f>
        <v/>
      </c>
      <c r="AD2269" t="str">
        <f>IF(AA2269="","",IFERROR(1*'Procyclean 220'!E271,IFERROR(_xludf.NUMBERVALUE('Procyclean 220'!E271,".",","),IFERROR(_xludf.NUMBERVALUE('Procyclean 220'!E271,",","."),0))))</f>
        <v/>
      </c>
      <c r="AE2269" t="str">
        <f>IF(AA2269="","",'Procyclean 220'!B271)</f>
        <v/>
      </c>
      <c r="AF2269">
        <f t="shared" si="227"/>
        <v>0</v>
      </c>
      <c r="AG2269" t="str">
        <f t="shared" si="228"/>
        <v/>
      </c>
      <c r="AH2269" t="str">
        <f t="shared" si="229"/>
        <v/>
      </c>
      <c r="AI2269">
        <f t="shared" si="230"/>
        <v>0</v>
      </c>
      <c r="AJ2269">
        <f t="shared" si="231"/>
        <v>0</v>
      </c>
      <c r="AK2269">
        <v>0</v>
      </c>
      <c r="AL2269" t="str">
        <f>IF(AA2269="","",IFERROR(IF(ISNUMBER('Procyclean 220'!F271),'Procyclean 220'!F271,IF(ISNUMBER(SEARCH("12",'Procyclean 220'!F271)),EDATE(AB2269,12),IF(ISNUMBER(SEARCH("6",'Procyclean 220'!F271)),EDATE(AB2269,6),IF(ISNUMBER(SEARCH("3",'Procyclean 220'!F271)),EDATE(AB2269,3),DATEVALUE('Procyclean 220'!F271))))),""))</f>
        <v/>
      </c>
      <c r="AM2269" t="str">
        <f t="shared" ca="1" si="232"/>
        <v/>
      </c>
    </row>
    <row r="2270" spans="27:39" x14ac:dyDescent="0.3">
      <c r="AA2270" t="str">
        <f>IF(COUNTA('Procyclean 220'!C272,'Procyclean 220'!D272,'Procyclean 220'!E272)&gt;0,"220","")</f>
        <v/>
      </c>
      <c r="AB2270" t="str">
        <f>IFERROR(IF(ISNUMBER('Procyclean 220'!C272),'Procyclean 220'!C272,DATEVALUE('Procyclean 220'!C272)),"")</f>
        <v/>
      </c>
      <c r="AC2270" t="str">
        <f>IF(AA2270="","",'Procyclean 220'!D272)</f>
        <v/>
      </c>
      <c r="AD2270" t="str">
        <f>IF(AA2270="","",IFERROR(1*'Procyclean 220'!E272,IFERROR(_xludf.NUMBERVALUE('Procyclean 220'!E272,".",","),IFERROR(_xludf.NUMBERVALUE('Procyclean 220'!E272,",","."),0))))</f>
        <v/>
      </c>
      <c r="AE2270" t="str">
        <f>IF(AA2270="","",'Procyclean 220'!B272)</f>
        <v/>
      </c>
      <c r="AF2270">
        <f t="shared" si="227"/>
        <v>0</v>
      </c>
      <c r="AG2270" t="str">
        <f t="shared" si="228"/>
        <v/>
      </c>
      <c r="AH2270" t="str">
        <f t="shared" si="229"/>
        <v/>
      </c>
      <c r="AI2270">
        <f t="shared" si="230"/>
        <v>0</v>
      </c>
      <c r="AJ2270">
        <f t="shared" si="231"/>
        <v>0</v>
      </c>
      <c r="AK2270">
        <v>0</v>
      </c>
      <c r="AL2270" t="str">
        <f>IF(AA2270="","",IFERROR(IF(ISNUMBER('Procyclean 220'!F272),'Procyclean 220'!F272,IF(ISNUMBER(SEARCH("12",'Procyclean 220'!F272)),EDATE(AB2270,12),IF(ISNUMBER(SEARCH("6",'Procyclean 220'!F272)),EDATE(AB2270,6),IF(ISNUMBER(SEARCH("3",'Procyclean 220'!F272)),EDATE(AB2270,3),DATEVALUE('Procyclean 220'!F272))))),""))</f>
        <v/>
      </c>
      <c r="AM2270" t="str">
        <f t="shared" ca="1" si="232"/>
        <v/>
      </c>
    </row>
    <row r="2271" spans="27:39" x14ac:dyDescent="0.3">
      <c r="AA2271" t="str">
        <f>IF(COUNTA('Procyclean 220'!C273,'Procyclean 220'!D273,'Procyclean 220'!E273)&gt;0,"220","")</f>
        <v/>
      </c>
      <c r="AB2271" t="str">
        <f>IFERROR(IF(ISNUMBER('Procyclean 220'!C273),'Procyclean 220'!C273,DATEVALUE('Procyclean 220'!C273)),"")</f>
        <v/>
      </c>
      <c r="AC2271" t="str">
        <f>IF(AA2271="","",'Procyclean 220'!D273)</f>
        <v/>
      </c>
      <c r="AD2271" t="str">
        <f>IF(AA2271="","",IFERROR(1*'Procyclean 220'!E273,IFERROR(_xludf.NUMBERVALUE('Procyclean 220'!E273,".",","),IFERROR(_xludf.NUMBERVALUE('Procyclean 220'!E273,",","."),0))))</f>
        <v/>
      </c>
      <c r="AE2271" t="str">
        <f>IF(AA2271="","",'Procyclean 220'!B273)</f>
        <v/>
      </c>
      <c r="AF2271">
        <f t="shared" si="227"/>
        <v>0</v>
      </c>
      <c r="AG2271" t="str">
        <f t="shared" si="228"/>
        <v/>
      </c>
      <c r="AH2271" t="str">
        <f t="shared" si="229"/>
        <v/>
      </c>
      <c r="AI2271">
        <f t="shared" si="230"/>
        <v>0</v>
      </c>
      <c r="AJ2271">
        <f t="shared" si="231"/>
        <v>0</v>
      </c>
      <c r="AK2271">
        <v>0</v>
      </c>
      <c r="AL2271" t="str">
        <f>IF(AA2271="","",IFERROR(IF(ISNUMBER('Procyclean 220'!F273),'Procyclean 220'!F273,IF(ISNUMBER(SEARCH("12",'Procyclean 220'!F273)),EDATE(AB2271,12),IF(ISNUMBER(SEARCH("6",'Procyclean 220'!F273)),EDATE(AB2271,6),IF(ISNUMBER(SEARCH("3",'Procyclean 220'!F273)),EDATE(AB2271,3),DATEVALUE('Procyclean 220'!F273))))),""))</f>
        <v/>
      </c>
      <c r="AM2271" t="str">
        <f t="shared" ca="1" si="232"/>
        <v/>
      </c>
    </row>
    <row r="2272" spans="27:39" x14ac:dyDescent="0.3">
      <c r="AA2272" t="str">
        <f>IF(COUNTA('Procyclean 220'!C274,'Procyclean 220'!D274,'Procyclean 220'!E274)&gt;0,"220","")</f>
        <v/>
      </c>
      <c r="AB2272" t="str">
        <f>IFERROR(IF(ISNUMBER('Procyclean 220'!C274),'Procyclean 220'!C274,DATEVALUE('Procyclean 220'!C274)),"")</f>
        <v/>
      </c>
      <c r="AC2272" t="str">
        <f>IF(AA2272="","",'Procyclean 220'!D274)</f>
        <v/>
      </c>
      <c r="AD2272" t="str">
        <f>IF(AA2272="","",IFERROR(1*'Procyclean 220'!E274,IFERROR(_xludf.NUMBERVALUE('Procyclean 220'!E274,".",","),IFERROR(_xludf.NUMBERVALUE('Procyclean 220'!E274,",","."),0))))</f>
        <v/>
      </c>
      <c r="AE2272" t="str">
        <f>IF(AA2272="","",'Procyclean 220'!B274)</f>
        <v/>
      </c>
      <c r="AF2272">
        <f t="shared" si="227"/>
        <v>0</v>
      </c>
      <c r="AG2272" t="str">
        <f t="shared" si="228"/>
        <v/>
      </c>
      <c r="AH2272" t="str">
        <f t="shared" si="229"/>
        <v/>
      </c>
      <c r="AI2272">
        <f t="shared" si="230"/>
        <v>0</v>
      </c>
      <c r="AJ2272">
        <f t="shared" si="231"/>
        <v>0</v>
      </c>
      <c r="AK2272">
        <v>0</v>
      </c>
      <c r="AL2272" t="str">
        <f>IF(AA2272="","",IFERROR(IF(ISNUMBER('Procyclean 220'!F274),'Procyclean 220'!F274,IF(ISNUMBER(SEARCH("12",'Procyclean 220'!F274)),EDATE(AB2272,12),IF(ISNUMBER(SEARCH("6",'Procyclean 220'!F274)),EDATE(AB2272,6),IF(ISNUMBER(SEARCH("3",'Procyclean 220'!F274)),EDATE(AB2272,3),DATEVALUE('Procyclean 220'!F274))))),""))</f>
        <v/>
      </c>
      <c r="AM2272" t="str">
        <f t="shared" ca="1" si="232"/>
        <v/>
      </c>
    </row>
    <row r="2273" spans="27:39" x14ac:dyDescent="0.3">
      <c r="AA2273" t="str">
        <f>IF(COUNTA('Procyclean 220'!C275,'Procyclean 220'!D275,'Procyclean 220'!E275)&gt;0,"220","")</f>
        <v/>
      </c>
      <c r="AB2273" t="str">
        <f>IFERROR(IF(ISNUMBER('Procyclean 220'!C275),'Procyclean 220'!C275,DATEVALUE('Procyclean 220'!C275)),"")</f>
        <v/>
      </c>
      <c r="AC2273" t="str">
        <f>IF(AA2273="","",'Procyclean 220'!D275)</f>
        <v/>
      </c>
      <c r="AD2273" t="str">
        <f>IF(AA2273="","",IFERROR(1*'Procyclean 220'!E275,IFERROR(_xludf.NUMBERVALUE('Procyclean 220'!E275,".",","),IFERROR(_xludf.NUMBERVALUE('Procyclean 220'!E275,",","."),0))))</f>
        <v/>
      </c>
      <c r="AE2273" t="str">
        <f>IF(AA2273="","",'Procyclean 220'!B275)</f>
        <v/>
      </c>
      <c r="AF2273">
        <f t="shared" si="227"/>
        <v>0</v>
      </c>
      <c r="AG2273" t="str">
        <f t="shared" si="228"/>
        <v/>
      </c>
      <c r="AH2273" t="str">
        <f t="shared" si="229"/>
        <v/>
      </c>
      <c r="AI2273">
        <f t="shared" si="230"/>
        <v>0</v>
      </c>
      <c r="AJ2273">
        <f t="shared" si="231"/>
        <v>0</v>
      </c>
      <c r="AK2273">
        <v>0</v>
      </c>
      <c r="AL2273" t="str">
        <f>IF(AA2273="","",IFERROR(IF(ISNUMBER('Procyclean 220'!F275),'Procyclean 220'!F275,IF(ISNUMBER(SEARCH("12",'Procyclean 220'!F275)),EDATE(AB2273,12),IF(ISNUMBER(SEARCH("6",'Procyclean 220'!F275)),EDATE(AB2273,6),IF(ISNUMBER(SEARCH("3",'Procyclean 220'!F275)),EDATE(AB2273,3),DATEVALUE('Procyclean 220'!F275))))),""))</f>
        <v/>
      </c>
      <c r="AM2273" t="str">
        <f t="shared" ca="1" si="232"/>
        <v/>
      </c>
    </row>
    <row r="2274" spans="27:39" x14ac:dyDescent="0.3">
      <c r="AA2274" t="str">
        <f>IF(COUNTA('Procyclean 220'!C276,'Procyclean 220'!D276,'Procyclean 220'!E276)&gt;0,"220","")</f>
        <v/>
      </c>
      <c r="AB2274" t="str">
        <f>IFERROR(IF(ISNUMBER('Procyclean 220'!C276),'Procyclean 220'!C276,DATEVALUE('Procyclean 220'!C276)),"")</f>
        <v/>
      </c>
      <c r="AC2274" t="str">
        <f>IF(AA2274="","",'Procyclean 220'!D276)</f>
        <v/>
      </c>
      <c r="AD2274" t="str">
        <f>IF(AA2274="","",IFERROR(1*'Procyclean 220'!E276,IFERROR(_xludf.NUMBERVALUE('Procyclean 220'!E276,".",","),IFERROR(_xludf.NUMBERVALUE('Procyclean 220'!E276,",","."),0))))</f>
        <v/>
      </c>
      <c r="AE2274" t="str">
        <f>IF(AA2274="","",'Procyclean 220'!B276)</f>
        <v/>
      </c>
      <c r="AF2274">
        <f t="shared" si="227"/>
        <v>0</v>
      </c>
      <c r="AG2274" t="str">
        <f t="shared" si="228"/>
        <v/>
      </c>
      <c r="AH2274" t="str">
        <f t="shared" si="229"/>
        <v/>
      </c>
      <c r="AI2274">
        <f t="shared" si="230"/>
        <v>0</v>
      </c>
      <c r="AJ2274">
        <f t="shared" si="231"/>
        <v>0</v>
      </c>
      <c r="AK2274">
        <v>0</v>
      </c>
      <c r="AL2274" t="str">
        <f>IF(AA2274="","",IFERROR(IF(ISNUMBER('Procyclean 220'!F276),'Procyclean 220'!F276,IF(ISNUMBER(SEARCH("12",'Procyclean 220'!F276)),EDATE(AB2274,12),IF(ISNUMBER(SEARCH("6",'Procyclean 220'!F276)),EDATE(AB2274,6),IF(ISNUMBER(SEARCH("3",'Procyclean 220'!F276)),EDATE(AB2274,3),DATEVALUE('Procyclean 220'!F276))))),""))</f>
        <v/>
      </c>
      <c r="AM2274" t="str">
        <f t="shared" ca="1" si="232"/>
        <v/>
      </c>
    </row>
    <row r="2275" spans="27:39" x14ac:dyDescent="0.3">
      <c r="AA2275" t="str">
        <f>IF(COUNTA('Procyclean 220'!C277,'Procyclean 220'!D277,'Procyclean 220'!E277)&gt;0,"220","")</f>
        <v/>
      </c>
      <c r="AB2275" t="str">
        <f>IFERROR(IF(ISNUMBER('Procyclean 220'!C277),'Procyclean 220'!C277,DATEVALUE('Procyclean 220'!C277)),"")</f>
        <v/>
      </c>
      <c r="AC2275" t="str">
        <f>IF(AA2275="","",'Procyclean 220'!D277)</f>
        <v/>
      </c>
      <c r="AD2275" t="str">
        <f>IF(AA2275="","",IFERROR(1*'Procyclean 220'!E277,IFERROR(_xludf.NUMBERVALUE('Procyclean 220'!E277,".",","),IFERROR(_xludf.NUMBERVALUE('Procyclean 220'!E277,",","."),0))))</f>
        <v/>
      </c>
      <c r="AE2275" t="str">
        <f>IF(AA2275="","",'Procyclean 220'!B277)</f>
        <v/>
      </c>
      <c r="AF2275">
        <f t="shared" si="227"/>
        <v>0</v>
      </c>
      <c r="AG2275" t="str">
        <f t="shared" si="228"/>
        <v/>
      </c>
      <c r="AH2275" t="str">
        <f t="shared" si="229"/>
        <v/>
      </c>
      <c r="AI2275">
        <f t="shared" si="230"/>
        <v>0</v>
      </c>
      <c r="AJ2275">
        <f t="shared" si="231"/>
        <v>0</v>
      </c>
      <c r="AK2275">
        <v>0</v>
      </c>
      <c r="AL2275" t="str">
        <f>IF(AA2275="","",IFERROR(IF(ISNUMBER('Procyclean 220'!F277),'Procyclean 220'!F277,IF(ISNUMBER(SEARCH("12",'Procyclean 220'!F277)),EDATE(AB2275,12),IF(ISNUMBER(SEARCH("6",'Procyclean 220'!F277)),EDATE(AB2275,6),IF(ISNUMBER(SEARCH("3",'Procyclean 220'!F277)),EDATE(AB2275,3),DATEVALUE('Procyclean 220'!F277))))),""))</f>
        <v/>
      </c>
      <c r="AM2275" t="str">
        <f t="shared" ca="1" si="232"/>
        <v/>
      </c>
    </row>
    <row r="2276" spans="27:39" x14ac:dyDescent="0.3">
      <c r="AA2276" t="str">
        <f>IF(COUNTA('Procyclean 220'!C278,'Procyclean 220'!D278,'Procyclean 220'!E278)&gt;0,"220","")</f>
        <v/>
      </c>
      <c r="AB2276" t="str">
        <f>IFERROR(IF(ISNUMBER('Procyclean 220'!C278),'Procyclean 220'!C278,DATEVALUE('Procyclean 220'!C278)),"")</f>
        <v/>
      </c>
      <c r="AC2276" t="str">
        <f>IF(AA2276="","",'Procyclean 220'!D278)</f>
        <v/>
      </c>
      <c r="AD2276" t="str">
        <f>IF(AA2276="","",IFERROR(1*'Procyclean 220'!E278,IFERROR(_xludf.NUMBERVALUE('Procyclean 220'!E278,".",","),IFERROR(_xludf.NUMBERVALUE('Procyclean 220'!E278,",","."),0))))</f>
        <v/>
      </c>
      <c r="AE2276" t="str">
        <f>IF(AA2276="","",'Procyclean 220'!B278)</f>
        <v/>
      </c>
      <c r="AF2276">
        <f t="shared" si="227"/>
        <v>0</v>
      </c>
      <c r="AG2276" t="str">
        <f t="shared" si="228"/>
        <v/>
      </c>
      <c r="AH2276" t="str">
        <f t="shared" si="229"/>
        <v/>
      </c>
      <c r="AI2276">
        <f t="shared" si="230"/>
        <v>0</v>
      </c>
      <c r="AJ2276">
        <f t="shared" si="231"/>
        <v>0</v>
      </c>
      <c r="AK2276">
        <v>0</v>
      </c>
      <c r="AL2276" t="str">
        <f>IF(AA2276="","",IFERROR(IF(ISNUMBER('Procyclean 220'!F278),'Procyclean 220'!F278,IF(ISNUMBER(SEARCH("12",'Procyclean 220'!F278)),EDATE(AB2276,12),IF(ISNUMBER(SEARCH("6",'Procyclean 220'!F278)),EDATE(AB2276,6),IF(ISNUMBER(SEARCH("3",'Procyclean 220'!F278)),EDATE(AB2276,3),DATEVALUE('Procyclean 220'!F278))))),""))</f>
        <v/>
      </c>
      <c r="AM2276" t="str">
        <f t="shared" ca="1" si="232"/>
        <v/>
      </c>
    </row>
    <row r="2277" spans="27:39" x14ac:dyDescent="0.3">
      <c r="AA2277" t="str">
        <f>IF(COUNTA('Procyclean 220'!C279,'Procyclean 220'!D279,'Procyclean 220'!E279)&gt;0,"220","")</f>
        <v/>
      </c>
      <c r="AB2277" t="str">
        <f>IFERROR(IF(ISNUMBER('Procyclean 220'!C279),'Procyclean 220'!C279,DATEVALUE('Procyclean 220'!C279)),"")</f>
        <v/>
      </c>
      <c r="AC2277" t="str">
        <f>IF(AA2277="","",'Procyclean 220'!D279)</f>
        <v/>
      </c>
      <c r="AD2277" t="str">
        <f>IF(AA2277="","",IFERROR(1*'Procyclean 220'!E279,IFERROR(_xludf.NUMBERVALUE('Procyclean 220'!E279,".",","),IFERROR(_xludf.NUMBERVALUE('Procyclean 220'!E279,",","."),0))))</f>
        <v/>
      </c>
      <c r="AE2277" t="str">
        <f>IF(AA2277="","",'Procyclean 220'!B279)</f>
        <v/>
      </c>
      <c r="AF2277">
        <f t="shared" si="227"/>
        <v>0</v>
      </c>
      <c r="AG2277" t="str">
        <f t="shared" si="228"/>
        <v/>
      </c>
      <c r="AH2277" t="str">
        <f t="shared" si="229"/>
        <v/>
      </c>
      <c r="AI2277">
        <f t="shared" si="230"/>
        <v>0</v>
      </c>
      <c r="AJ2277">
        <f t="shared" si="231"/>
        <v>0</v>
      </c>
      <c r="AK2277">
        <v>0</v>
      </c>
      <c r="AL2277" t="str">
        <f>IF(AA2277="","",IFERROR(IF(ISNUMBER('Procyclean 220'!F279),'Procyclean 220'!F279,IF(ISNUMBER(SEARCH("12",'Procyclean 220'!F279)),EDATE(AB2277,12),IF(ISNUMBER(SEARCH("6",'Procyclean 220'!F279)),EDATE(AB2277,6),IF(ISNUMBER(SEARCH("3",'Procyclean 220'!F279)),EDATE(AB2277,3),DATEVALUE('Procyclean 220'!F279))))),""))</f>
        <v/>
      </c>
      <c r="AM2277" t="str">
        <f t="shared" ca="1" si="232"/>
        <v/>
      </c>
    </row>
    <row r="2278" spans="27:39" x14ac:dyDescent="0.3">
      <c r="AA2278" t="str">
        <f>IF(COUNTA('Procyclean 220'!C280,'Procyclean 220'!D280,'Procyclean 220'!E280)&gt;0,"220","")</f>
        <v/>
      </c>
      <c r="AB2278" t="str">
        <f>IFERROR(IF(ISNUMBER('Procyclean 220'!C280),'Procyclean 220'!C280,DATEVALUE('Procyclean 220'!C280)),"")</f>
        <v/>
      </c>
      <c r="AC2278" t="str">
        <f>IF(AA2278="","",'Procyclean 220'!D280)</f>
        <v/>
      </c>
      <c r="AD2278" t="str">
        <f>IF(AA2278="","",IFERROR(1*'Procyclean 220'!E280,IFERROR(_xludf.NUMBERVALUE('Procyclean 220'!E280,".",","),IFERROR(_xludf.NUMBERVALUE('Procyclean 220'!E280,",","."),0))))</f>
        <v/>
      </c>
      <c r="AE2278" t="str">
        <f>IF(AA2278="","",'Procyclean 220'!B280)</f>
        <v/>
      </c>
      <c r="AF2278">
        <f t="shared" si="227"/>
        <v>0</v>
      </c>
      <c r="AG2278" t="str">
        <f t="shared" si="228"/>
        <v/>
      </c>
      <c r="AH2278" t="str">
        <f t="shared" si="229"/>
        <v/>
      </c>
      <c r="AI2278">
        <f t="shared" si="230"/>
        <v>0</v>
      </c>
      <c r="AJ2278">
        <f t="shared" si="231"/>
        <v>0</v>
      </c>
      <c r="AK2278">
        <v>0</v>
      </c>
      <c r="AL2278" t="str">
        <f>IF(AA2278="","",IFERROR(IF(ISNUMBER('Procyclean 220'!F280),'Procyclean 220'!F280,IF(ISNUMBER(SEARCH("12",'Procyclean 220'!F280)),EDATE(AB2278,12),IF(ISNUMBER(SEARCH("6",'Procyclean 220'!F280)),EDATE(AB2278,6),IF(ISNUMBER(SEARCH("3",'Procyclean 220'!F280)),EDATE(AB2278,3),DATEVALUE('Procyclean 220'!F280))))),""))</f>
        <v/>
      </c>
      <c r="AM2278" t="str">
        <f t="shared" ca="1" si="232"/>
        <v/>
      </c>
    </row>
    <row r="2279" spans="27:39" x14ac:dyDescent="0.3">
      <c r="AA2279" t="str">
        <f>IF(COUNTA('Procyclean 220'!C281,'Procyclean 220'!D281,'Procyclean 220'!E281)&gt;0,"220","")</f>
        <v/>
      </c>
      <c r="AB2279" t="str">
        <f>IFERROR(IF(ISNUMBER('Procyclean 220'!C281),'Procyclean 220'!C281,DATEVALUE('Procyclean 220'!C281)),"")</f>
        <v/>
      </c>
      <c r="AC2279" t="str">
        <f>IF(AA2279="","",'Procyclean 220'!D281)</f>
        <v/>
      </c>
      <c r="AD2279" t="str">
        <f>IF(AA2279="","",IFERROR(1*'Procyclean 220'!E281,IFERROR(_xludf.NUMBERVALUE('Procyclean 220'!E281,".",","),IFERROR(_xludf.NUMBERVALUE('Procyclean 220'!E281,",","."),0))))</f>
        <v/>
      </c>
      <c r="AE2279" t="str">
        <f>IF(AA2279="","",'Procyclean 220'!B281)</f>
        <v/>
      </c>
      <c r="AF2279">
        <f t="shared" si="227"/>
        <v>0</v>
      </c>
      <c r="AG2279" t="str">
        <f t="shared" si="228"/>
        <v/>
      </c>
      <c r="AH2279" t="str">
        <f t="shared" si="229"/>
        <v/>
      </c>
      <c r="AI2279">
        <f t="shared" si="230"/>
        <v>0</v>
      </c>
      <c r="AJ2279">
        <f t="shared" si="231"/>
        <v>0</v>
      </c>
      <c r="AK2279">
        <v>0</v>
      </c>
      <c r="AL2279" t="str">
        <f>IF(AA2279="","",IFERROR(IF(ISNUMBER('Procyclean 220'!F281),'Procyclean 220'!F281,IF(ISNUMBER(SEARCH("12",'Procyclean 220'!F281)),EDATE(AB2279,12),IF(ISNUMBER(SEARCH("6",'Procyclean 220'!F281)),EDATE(AB2279,6),IF(ISNUMBER(SEARCH("3",'Procyclean 220'!F281)),EDATE(AB2279,3),DATEVALUE('Procyclean 220'!F281))))),""))</f>
        <v/>
      </c>
      <c r="AM2279" t="str">
        <f t="shared" ca="1" si="232"/>
        <v/>
      </c>
    </row>
    <row r="2280" spans="27:39" x14ac:dyDescent="0.3">
      <c r="AA2280" t="str">
        <f>IF(COUNTA('Procyclean 220'!C282,'Procyclean 220'!D282,'Procyclean 220'!E282)&gt;0,"220","")</f>
        <v/>
      </c>
      <c r="AB2280" t="str">
        <f>IFERROR(IF(ISNUMBER('Procyclean 220'!C282),'Procyclean 220'!C282,DATEVALUE('Procyclean 220'!C282)),"")</f>
        <v/>
      </c>
      <c r="AC2280" t="str">
        <f>IF(AA2280="","",'Procyclean 220'!D282)</f>
        <v/>
      </c>
      <c r="AD2280" t="str">
        <f>IF(AA2280="","",IFERROR(1*'Procyclean 220'!E282,IFERROR(_xludf.NUMBERVALUE('Procyclean 220'!E282,".",","),IFERROR(_xludf.NUMBERVALUE('Procyclean 220'!E282,",","."),0))))</f>
        <v/>
      </c>
      <c r="AE2280" t="str">
        <f>IF(AA2280="","",'Procyclean 220'!B282)</f>
        <v/>
      </c>
      <c r="AF2280">
        <f t="shared" si="227"/>
        <v>0</v>
      </c>
      <c r="AG2280" t="str">
        <f t="shared" si="228"/>
        <v/>
      </c>
      <c r="AH2280" t="str">
        <f t="shared" si="229"/>
        <v/>
      </c>
      <c r="AI2280">
        <f t="shared" si="230"/>
        <v>0</v>
      </c>
      <c r="AJ2280">
        <f t="shared" si="231"/>
        <v>0</v>
      </c>
      <c r="AK2280">
        <v>0</v>
      </c>
      <c r="AL2280" t="str">
        <f>IF(AA2280="","",IFERROR(IF(ISNUMBER('Procyclean 220'!F282),'Procyclean 220'!F282,IF(ISNUMBER(SEARCH("12",'Procyclean 220'!F282)),EDATE(AB2280,12),IF(ISNUMBER(SEARCH("6",'Procyclean 220'!F282)),EDATE(AB2280,6),IF(ISNUMBER(SEARCH("3",'Procyclean 220'!F282)),EDATE(AB2280,3),DATEVALUE('Procyclean 220'!F282))))),""))</f>
        <v/>
      </c>
      <c r="AM2280" t="str">
        <f t="shared" ca="1" si="232"/>
        <v/>
      </c>
    </row>
    <row r="2281" spans="27:39" x14ac:dyDescent="0.3">
      <c r="AA2281" t="str">
        <f>IF(COUNTA('Procyclean 220'!C283,'Procyclean 220'!D283,'Procyclean 220'!E283)&gt;0,"220","")</f>
        <v/>
      </c>
      <c r="AB2281" t="str">
        <f>IFERROR(IF(ISNUMBER('Procyclean 220'!C283),'Procyclean 220'!C283,DATEVALUE('Procyclean 220'!C283)),"")</f>
        <v/>
      </c>
      <c r="AC2281" t="str">
        <f>IF(AA2281="","",'Procyclean 220'!D283)</f>
        <v/>
      </c>
      <c r="AD2281" t="str">
        <f>IF(AA2281="","",IFERROR(1*'Procyclean 220'!E283,IFERROR(_xludf.NUMBERVALUE('Procyclean 220'!E283,".",","),IFERROR(_xludf.NUMBERVALUE('Procyclean 220'!E283,",","."),0))))</f>
        <v/>
      </c>
      <c r="AE2281" t="str">
        <f>IF(AA2281="","",'Procyclean 220'!B283)</f>
        <v/>
      </c>
      <c r="AF2281">
        <f t="shared" si="227"/>
        <v>0</v>
      </c>
      <c r="AG2281" t="str">
        <f t="shared" si="228"/>
        <v/>
      </c>
      <c r="AH2281" t="str">
        <f t="shared" si="229"/>
        <v/>
      </c>
      <c r="AI2281">
        <f t="shared" si="230"/>
        <v>0</v>
      </c>
      <c r="AJ2281">
        <f t="shared" si="231"/>
        <v>0</v>
      </c>
      <c r="AK2281">
        <v>0</v>
      </c>
      <c r="AL2281" t="str">
        <f>IF(AA2281="","",IFERROR(IF(ISNUMBER('Procyclean 220'!F283),'Procyclean 220'!F283,IF(ISNUMBER(SEARCH("12",'Procyclean 220'!F283)),EDATE(AB2281,12),IF(ISNUMBER(SEARCH("6",'Procyclean 220'!F283)),EDATE(AB2281,6),IF(ISNUMBER(SEARCH("3",'Procyclean 220'!F283)),EDATE(AB2281,3),DATEVALUE('Procyclean 220'!F283))))),""))</f>
        <v/>
      </c>
      <c r="AM2281" t="str">
        <f t="shared" ca="1" si="232"/>
        <v/>
      </c>
    </row>
    <row r="2282" spans="27:39" x14ac:dyDescent="0.3">
      <c r="AA2282" t="str">
        <f>IF(COUNTA('Procyclean 220'!C284,'Procyclean 220'!D284,'Procyclean 220'!E284)&gt;0,"220","")</f>
        <v/>
      </c>
      <c r="AB2282" t="str">
        <f>IFERROR(IF(ISNUMBER('Procyclean 220'!C284),'Procyclean 220'!C284,DATEVALUE('Procyclean 220'!C284)),"")</f>
        <v/>
      </c>
      <c r="AC2282" t="str">
        <f>IF(AA2282="","",'Procyclean 220'!D284)</f>
        <v/>
      </c>
      <c r="AD2282" t="str">
        <f>IF(AA2282="","",IFERROR(1*'Procyclean 220'!E284,IFERROR(_xludf.NUMBERVALUE('Procyclean 220'!E284,".",","),IFERROR(_xludf.NUMBERVALUE('Procyclean 220'!E284,",","."),0))))</f>
        <v/>
      </c>
      <c r="AE2282" t="str">
        <f>IF(AA2282="","",'Procyclean 220'!B284)</f>
        <v/>
      </c>
      <c r="AF2282">
        <f t="shared" si="227"/>
        <v>0</v>
      </c>
      <c r="AG2282" t="str">
        <f t="shared" si="228"/>
        <v/>
      </c>
      <c r="AH2282" t="str">
        <f t="shared" si="229"/>
        <v/>
      </c>
      <c r="AI2282">
        <f t="shared" si="230"/>
        <v>0</v>
      </c>
      <c r="AJ2282">
        <f t="shared" si="231"/>
        <v>0</v>
      </c>
      <c r="AK2282">
        <v>0</v>
      </c>
      <c r="AL2282" t="str">
        <f>IF(AA2282="","",IFERROR(IF(ISNUMBER('Procyclean 220'!F284),'Procyclean 220'!F284,IF(ISNUMBER(SEARCH("12",'Procyclean 220'!F284)),EDATE(AB2282,12),IF(ISNUMBER(SEARCH("6",'Procyclean 220'!F284)),EDATE(AB2282,6),IF(ISNUMBER(SEARCH("3",'Procyclean 220'!F284)),EDATE(AB2282,3),DATEVALUE('Procyclean 220'!F284))))),""))</f>
        <v/>
      </c>
      <c r="AM2282" t="str">
        <f t="shared" ca="1" si="232"/>
        <v/>
      </c>
    </row>
    <row r="2283" spans="27:39" x14ac:dyDescent="0.3">
      <c r="AA2283" t="str">
        <f>IF(COUNTA('Procyclean 220'!C285,'Procyclean 220'!D285,'Procyclean 220'!E285)&gt;0,"220","")</f>
        <v/>
      </c>
      <c r="AB2283" t="str">
        <f>IFERROR(IF(ISNUMBER('Procyclean 220'!C285),'Procyclean 220'!C285,DATEVALUE('Procyclean 220'!C285)),"")</f>
        <v/>
      </c>
      <c r="AC2283" t="str">
        <f>IF(AA2283="","",'Procyclean 220'!D285)</f>
        <v/>
      </c>
      <c r="AD2283" t="str">
        <f>IF(AA2283="","",IFERROR(1*'Procyclean 220'!E285,IFERROR(_xludf.NUMBERVALUE('Procyclean 220'!E285,".",","),IFERROR(_xludf.NUMBERVALUE('Procyclean 220'!E285,",","."),0))))</f>
        <v/>
      </c>
      <c r="AE2283" t="str">
        <f>IF(AA2283="","",'Procyclean 220'!B285)</f>
        <v/>
      </c>
      <c r="AF2283">
        <f t="shared" si="227"/>
        <v>0</v>
      </c>
      <c r="AG2283" t="str">
        <f t="shared" si="228"/>
        <v/>
      </c>
      <c r="AH2283" t="str">
        <f t="shared" si="229"/>
        <v/>
      </c>
      <c r="AI2283">
        <f t="shared" si="230"/>
        <v>0</v>
      </c>
      <c r="AJ2283">
        <f t="shared" si="231"/>
        <v>0</v>
      </c>
      <c r="AK2283">
        <v>0</v>
      </c>
      <c r="AL2283" t="str">
        <f>IF(AA2283="","",IFERROR(IF(ISNUMBER('Procyclean 220'!F285),'Procyclean 220'!F285,IF(ISNUMBER(SEARCH("12",'Procyclean 220'!F285)),EDATE(AB2283,12),IF(ISNUMBER(SEARCH("6",'Procyclean 220'!F285)),EDATE(AB2283,6),IF(ISNUMBER(SEARCH("3",'Procyclean 220'!F285)),EDATE(AB2283,3),DATEVALUE('Procyclean 220'!F285))))),""))</f>
        <v/>
      </c>
      <c r="AM2283" t="str">
        <f t="shared" ca="1" si="232"/>
        <v/>
      </c>
    </row>
    <row r="2284" spans="27:39" x14ac:dyDescent="0.3">
      <c r="AA2284" t="str">
        <f>IF(COUNTA('Procyclean 220'!C286,'Procyclean 220'!D286,'Procyclean 220'!E286)&gt;0,"220","")</f>
        <v/>
      </c>
      <c r="AB2284" t="str">
        <f>IFERROR(IF(ISNUMBER('Procyclean 220'!C286),'Procyclean 220'!C286,DATEVALUE('Procyclean 220'!C286)),"")</f>
        <v/>
      </c>
      <c r="AC2284" t="str">
        <f>IF(AA2284="","",'Procyclean 220'!D286)</f>
        <v/>
      </c>
      <c r="AD2284" t="str">
        <f>IF(AA2284="","",IFERROR(1*'Procyclean 220'!E286,IFERROR(_xludf.NUMBERVALUE('Procyclean 220'!E286,".",","),IFERROR(_xludf.NUMBERVALUE('Procyclean 220'!E286,",","."),0))))</f>
        <v/>
      </c>
      <c r="AE2284" t="str">
        <f>IF(AA2284="","",'Procyclean 220'!B286)</f>
        <v/>
      </c>
      <c r="AF2284">
        <f t="shared" si="227"/>
        <v>0</v>
      </c>
      <c r="AG2284" t="str">
        <f t="shared" si="228"/>
        <v/>
      </c>
      <c r="AH2284" t="str">
        <f t="shared" si="229"/>
        <v/>
      </c>
      <c r="AI2284">
        <f t="shared" si="230"/>
        <v>0</v>
      </c>
      <c r="AJ2284">
        <f t="shared" si="231"/>
        <v>0</v>
      </c>
      <c r="AK2284">
        <v>0</v>
      </c>
      <c r="AL2284" t="str">
        <f>IF(AA2284="","",IFERROR(IF(ISNUMBER('Procyclean 220'!F286),'Procyclean 220'!F286,IF(ISNUMBER(SEARCH("12",'Procyclean 220'!F286)),EDATE(AB2284,12),IF(ISNUMBER(SEARCH("6",'Procyclean 220'!F286)),EDATE(AB2284,6),IF(ISNUMBER(SEARCH("3",'Procyclean 220'!F286)),EDATE(AB2284,3),DATEVALUE('Procyclean 220'!F286))))),""))</f>
        <v/>
      </c>
      <c r="AM2284" t="str">
        <f t="shared" ca="1" si="232"/>
        <v/>
      </c>
    </row>
    <row r="2285" spans="27:39" x14ac:dyDescent="0.3">
      <c r="AA2285" t="str">
        <f>IF(COUNTA('Procyclean 220'!C287,'Procyclean 220'!D287,'Procyclean 220'!E287)&gt;0,"220","")</f>
        <v/>
      </c>
      <c r="AB2285" t="str">
        <f>IFERROR(IF(ISNUMBER('Procyclean 220'!C287),'Procyclean 220'!C287,DATEVALUE('Procyclean 220'!C287)),"")</f>
        <v/>
      </c>
      <c r="AC2285" t="str">
        <f>IF(AA2285="","",'Procyclean 220'!D287)</f>
        <v/>
      </c>
      <c r="AD2285" t="str">
        <f>IF(AA2285="","",IFERROR(1*'Procyclean 220'!E287,IFERROR(_xludf.NUMBERVALUE('Procyclean 220'!E287,".",","),IFERROR(_xludf.NUMBERVALUE('Procyclean 220'!E287,",","."),0))))</f>
        <v/>
      </c>
      <c r="AE2285" t="str">
        <f>IF(AA2285="","",'Procyclean 220'!B287)</f>
        <v/>
      </c>
      <c r="AF2285">
        <f t="shared" si="227"/>
        <v>0</v>
      </c>
      <c r="AG2285" t="str">
        <f t="shared" si="228"/>
        <v/>
      </c>
      <c r="AH2285" t="str">
        <f t="shared" si="229"/>
        <v/>
      </c>
      <c r="AI2285">
        <f t="shared" si="230"/>
        <v>0</v>
      </c>
      <c r="AJ2285">
        <f t="shared" si="231"/>
        <v>0</v>
      </c>
      <c r="AK2285">
        <v>0</v>
      </c>
      <c r="AL2285" t="str">
        <f>IF(AA2285="","",IFERROR(IF(ISNUMBER('Procyclean 220'!F287),'Procyclean 220'!F287,IF(ISNUMBER(SEARCH("12",'Procyclean 220'!F287)),EDATE(AB2285,12),IF(ISNUMBER(SEARCH("6",'Procyclean 220'!F287)),EDATE(AB2285,6),IF(ISNUMBER(SEARCH("3",'Procyclean 220'!F287)),EDATE(AB2285,3),DATEVALUE('Procyclean 220'!F287))))),""))</f>
        <v/>
      </c>
      <c r="AM2285" t="str">
        <f t="shared" ca="1" si="232"/>
        <v/>
      </c>
    </row>
    <row r="2286" spans="27:39" x14ac:dyDescent="0.3">
      <c r="AA2286" t="str">
        <f>IF(COUNTA('Procyclean 220'!C288,'Procyclean 220'!D288,'Procyclean 220'!E288)&gt;0,"220","")</f>
        <v/>
      </c>
      <c r="AB2286" t="str">
        <f>IFERROR(IF(ISNUMBER('Procyclean 220'!C288),'Procyclean 220'!C288,DATEVALUE('Procyclean 220'!C288)),"")</f>
        <v/>
      </c>
      <c r="AC2286" t="str">
        <f>IF(AA2286="","",'Procyclean 220'!D288)</f>
        <v/>
      </c>
      <c r="AD2286" t="str">
        <f>IF(AA2286="","",IFERROR(1*'Procyclean 220'!E288,IFERROR(_xludf.NUMBERVALUE('Procyclean 220'!E288,".",","),IFERROR(_xludf.NUMBERVALUE('Procyclean 220'!E288,",","."),0))))</f>
        <v/>
      </c>
      <c r="AE2286" t="str">
        <f>IF(AA2286="","",'Procyclean 220'!B288)</f>
        <v/>
      </c>
      <c r="AF2286">
        <f t="shared" si="227"/>
        <v>0</v>
      </c>
      <c r="AG2286" t="str">
        <f t="shared" si="228"/>
        <v/>
      </c>
      <c r="AH2286" t="str">
        <f t="shared" si="229"/>
        <v/>
      </c>
      <c r="AI2286">
        <f t="shared" si="230"/>
        <v>0</v>
      </c>
      <c r="AJ2286">
        <f t="shared" si="231"/>
        <v>0</v>
      </c>
      <c r="AK2286">
        <v>0</v>
      </c>
      <c r="AL2286" t="str">
        <f>IF(AA2286="","",IFERROR(IF(ISNUMBER('Procyclean 220'!F288),'Procyclean 220'!F288,IF(ISNUMBER(SEARCH("12",'Procyclean 220'!F288)),EDATE(AB2286,12),IF(ISNUMBER(SEARCH("6",'Procyclean 220'!F288)),EDATE(AB2286,6),IF(ISNUMBER(SEARCH("3",'Procyclean 220'!F288)),EDATE(AB2286,3),DATEVALUE('Procyclean 220'!F288))))),""))</f>
        <v/>
      </c>
      <c r="AM2286" t="str">
        <f t="shared" ca="1" si="232"/>
        <v/>
      </c>
    </row>
    <row r="2287" spans="27:39" x14ac:dyDescent="0.3">
      <c r="AA2287" t="str">
        <f>IF(COUNTA('Procyclean 220'!C289,'Procyclean 220'!D289,'Procyclean 220'!E289)&gt;0,"220","")</f>
        <v/>
      </c>
      <c r="AB2287" t="str">
        <f>IFERROR(IF(ISNUMBER('Procyclean 220'!C289),'Procyclean 220'!C289,DATEVALUE('Procyclean 220'!C289)),"")</f>
        <v/>
      </c>
      <c r="AC2287" t="str">
        <f>IF(AA2287="","",'Procyclean 220'!D289)</f>
        <v/>
      </c>
      <c r="AD2287" t="str">
        <f>IF(AA2287="","",IFERROR(1*'Procyclean 220'!E289,IFERROR(_xludf.NUMBERVALUE('Procyclean 220'!E289,".",","),IFERROR(_xludf.NUMBERVALUE('Procyclean 220'!E289,",","."),0))))</f>
        <v/>
      </c>
      <c r="AE2287" t="str">
        <f>IF(AA2287="","",'Procyclean 220'!B289)</f>
        <v/>
      </c>
      <c r="AF2287">
        <f t="shared" si="227"/>
        <v>0</v>
      </c>
      <c r="AG2287" t="str">
        <f t="shared" si="228"/>
        <v/>
      </c>
      <c r="AH2287" t="str">
        <f t="shared" si="229"/>
        <v/>
      </c>
      <c r="AI2287">
        <f t="shared" si="230"/>
        <v>0</v>
      </c>
      <c r="AJ2287">
        <f t="shared" si="231"/>
        <v>0</v>
      </c>
      <c r="AK2287">
        <v>0</v>
      </c>
      <c r="AL2287" t="str">
        <f>IF(AA2287="","",IFERROR(IF(ISNUMBER('Procyclean 220'!F289),'Procyclean 220'!F289,IF(ISNUMBER(SEARCH("12",'Procyclean 220'!F289)),EDATE(AB2287,12),IF(ISNUMBER(SEARCH("6",'Procyclean 220'!F289)),EDATE(AB2287,6),IF(ISNUMBER(SEARCH("3",'Procyclean 220'!F289)),EDATE(AB2287,3),DATEVALUE('Procyclean 220'!F289))))),""))</f>
        <v/>
      </c>
      <c r="AM2287" t="str">
        <f t="shared" ca="1" si="232"/>
        <v/>
      </c>
    </row>
    <row r="2288" spans="27:39" x14ac:dyDescent="0.3">
      <c r="AA2288" t="str">
        <f>IF(COUNTA('Procyclean 220'!C290,'Procyclean 220'!D290,'Procyclean 220'!E290)&gt;0,"220","")</f>
        <v/>
      </c>
      <c r="AB2288" t="str">
        <f>IFERROR(IF(ISNUMBER('Procyclean 220'!C290),'Procyclean 220'!C290,DATEVALUE('Procyclean 220'!C290)),"")</f>
        <v/>
      </c>
      <c r="AC2288" t="str">
        <f>IF(AA2288="","",'Procyclean 220'!D290)</f>
        <v/>
      </c>
      <c r="AD2288" t="str">
        <f>IF(AA2288="","",IFERROR(1*'Procyclean 220'!E290,IFERROR(_xludf.NUMBERVALUE('Procyclean 220'!E290,".",","),IFERROR(_xludf.NUMBERVALUE('Procyclean 220'!E290,",","."),0))))</f>
        <v/>
      </c>
      <c r="AE2288" t="str">
        <f>IF(AA2288="","",'Procyclean 220'!B290)</f>
        <v/>
      </c>
      <c r="AF2288">
        <f t="shared" si="227"/>
        <v>0</v>
      </c>
      <c r="AG2288" t="str">
        <f t="shared" si="228"/>
        <v/>
      </c>
      <c r="AH2288" t="str">
        <f t="shared" si="229"/>
        <v/>
      </c>
      <c r="AI2288">
        <f t="shared" si="230"/>
        <v>0</v>
      </c>
      <c r="AJ2288">
        <f t="shared" si="231"/>
        <v>0</v>
      </c>
      <c r="AK2288">
        <v>0</v>
      </c>
      <c r="AL2288" t="str">
        <f>IF(AA2288="","",IFERROR(IF(ISNUMBER('Procyclean 220'!F290),'Procyclean 220'!F290,IF(ISNUMBER(SEARCH("12",'Procyclean 220'!F290)),EDATE(AB2288,12),IF(ISNUMBER(SEARCH("6",'Procyclean 220'!F290)),EDATE(AB2288,6),IF(ISNUMBER(SEARCH("3",'Procyclean 220'!F290)),EDATE(AB2288,3),DATEVALUE('Procyclean 220'!F290))))),""))</f>
        <v/>
      </c>
      <c r="AM2288" t="str">
        <f t="shared" ca="1" si="232"/>
        <v/>
      </c>
    </row>
    <row r="2289" spans="27:39" x14ac:dyDescent="0.3">
      <c r="AA2289" t="str">
        <f>IF(COUNTA('Procyclean 220'!C291,'Procyclean 220'!D291,'Procyclean 220'!E291)&gt;0,"220","")</f>
        <v/>
      </c>
      <c r="AB2289" t="str">
        <f>IFERROR(IF(ISNUMBER('Procyclean 220'!C291),'Procyclean 220'!C291,DATEVALUE('Procyclean 220'!C291)),"")</f>
        <v/>
      </c>
      <c r="AC2289" t="str">
        <f>IF(AA2289="","",'Procyclean 220'!D291)</f>
        <v/>
      </c>
      <c r="AD2289" t="str">
        <f>IF(AA2289="","",IFERROR(1*'Procyclean 220'!E291,IFERROR(_xludf.NUMBERVALUE('Procyclean 220'!E291,".",","),IFERROR(_xludf.NUMBERVALUE('Procyclean 220'!E291,",","."),0))))</f>
        <v/>
      </c>
      <c r="AE2289" t="str">
        <f>IF(AA2289="","",'Procyclean 220'!B291)</f>
        <v/>
      </c>
      <c r="AF2289">
        <f t="shared" si="227"/>
        <v>0</v>
      </c>
      <c r="AG2289" t="str">
        <f t="shared" si="228"/>
        <v/>
      </c>
      <c r="AH2289" t="str">
        <f t="shared" si="229"/>
        <v/>
      </c>
      <c r="AI2289">
        <f t="shared" si="230"/>
        <v>0</v>
      </c>
      <c r="AJ2289">
        <f t="shared" si="231"/>
        <v>0</v>
      </c>
      <c r="AK2289">
        <v>0</v>
      </c>
      <c r="AL2289" t="str">
        <f>IF(AA2289="","",IFERROR(IF(ISNUMBER('Procyclean 220'!F291),'Procyclean 220'!F291,IF(ISNUMBER(SEARCH("12",'Procyclean 220'!F291)),EDATE(AB2289,12),IF(ISNUMBER(SEARCH("6",'Procyclean 220'!F291)),EDATE(AB2289,6),IF(ISNUMBER(SEARCH("3",'Procyclean 220'!F291)),EDATE(AB2289,3),DATEVALUE('Procyclean 220'!F291))))),""))</f>
        <v/>
      </c>
      <c r="AM2289" t="str">
        <f t="shared" ca="1" si="232"/>
        <v/>
      </c>
    </row>
    <row r="2290" spans="27:39" x14ac:dyDescent="0.3">
      <c r="AA2290" t="str">
        <f>IF(COUNTA('Procyclean 220'!C292,'Procyclean 220'!D292,'Procyclean 220'!E292)&gt;0,"220","")</f>
        <v/>
      </c>
      <c r="AB2290" t="str">
        <f>IFERROR(IF(ISNUMBER('Procyclean 220'!C292),'Procyclean 220'!C292,DATEVALUE('Procyclean 220'!C292)),"")</f>
        <v/>
      </c>
      <c r="AC2290" t="str">
        <f>IF(AA2290="","",'Procyclean 220'!D292)</f>
        <v/>
      </c>
      <c r="AD2290" t="str">
        <f>IF(AA2290="","",IFERROR(1*'Procyclean 220'!E292,IFERROR(_xludf.NUMBERVALUE('Procyclean 220'!E292,".",","),IFERROR(_xludf.NUMBERVALUE('Procyclean 220'!E292,",","."),0))))</f>
        <v/>
      </c>
      <c r="AE2290" t="str">
        <f>IF(AA2290="","",'Procyclean 220'!B292)</f>
        <v/>
      </c>
      <c r="AF2290">
        <f t="shared" si="227"/>
        <v>0</v>
      </c>
      <c r="AG2290" t="str">
        <f t="shared" si="228"/>
        <v/>
      </c>
      <c r="AH2290" t="str">
        <f t="shared" si="229"/>
        <v/>
      </c>
      <c r="AI2290">
        <f t="shared" si="230"/>
        <v>0</v>
      </c>
      <c r="AJ2290">
        <f t="shared" si="231"/>
        <v>0</v>
      </c>
      <c r="AK2290">
        <v>0</v>
      </c>
      <c r="AL2290" t="str">
        <f>IF(AA2290="","",IFERROR(IF(ISNUMBER('Procyclean 220'!F292),'Procyclean 220'!F292,IF(ISNUMBER(SEARCH("12",'Procyclean 220'!F292)),EDATE(AB2290,12),IF(ISNUMBER(SEARCH("6",'Procyclean 220'!F292)),EDATE(AB2290,6),IF(ISNUMBER(SEARCH("3",'Procyclean 220'!F292)),EDATE(AB2290,3),DATEVALUE('Procyclean 220'!F292))))),""))</f>
        <v/>
      </c>
      <c r="AM2290" t="str">
        <f t="shared" ca="1" si="232"/>
        <v/>
      </c>
    </row>
    <row r="2291" spans="27:39" x14ac:dyDescent="0.3">
      <c r="AA2291" t="str">
        <f>IF(COUNTA('Procyclean 220'!C293,'Procyclean 220'!D293,'Procyclean 220'!E293)&gt;0,"220","")</f>
        <v/>
      </c>
      <c r="AB2291" t="str">
        <f>IFERROR(IF(ISNUMBER('Procyclean 220'!C293),'Procyclean 220'!C293,DATEVALUE('Procyclean 220'!C293)),"")</f>
        <v/>
      </c>
      <c r="AC2291" t="str">
        <f>IF(AA2291="","",'Procyclean 220'!D293)</f>
        <v/>
      </c>
      <c r="AD2291" t="str">
        <f>IF(AA2291="","",IFERROR(1*'Procyclean 220'!E293,IFERROR(_xludf.NUMBERVALUE('Procyclean 220'!E293,".",","),IFERROR(_xludf.NUMBERVALUE('Procyclean 220'!E293,",","."),0))))</f>
        <v/>
      </c>
      <c r="AE2291" t="str">
        <f>IF(AA2291="","",'Procyclean 220'!B293)</f>
        <v/>
      </c>
      <c r="AF2291">
        <f t="shared" si="227"/>
        <v>0</v>
      </c>
      <c r="AG2291" t="str">
        <f t="shared" si="228"/>
        <v/>
      </c>
      <c r="AH2291" t="str">
        <f t="shared" si="229"/>
        <v/>
      </c>
      <c r="AI2291">
        <f t="shared" si="230"/>
        <v>0</v>
      </c>
      <c r="AJ2291">
        <f t="shared" si="231"/>
        <v>0</v>
      </c>
      <c r="AK2291">
        <v>0</v>
      </c>
      <c r="AL2291" t="str">
        <f>IF(AA2291="","",IFERROR(IF(ISNUMBER('Procyclean 220'!F293),'Procyclean 220'!F293,IF(ISNUMBER(SEARCH("12",'Procyclean 220'!F293)),EDATE(AB2291,12),IF(ISNUMBER(SEARCH("6",'Procyclean 220'!F293)),EDATE(AB2291,6),IF(ISNUMBER(SEARCH("3",'Procyclean 220'!F293)),EDATE(AB2291,3),DATEVALUE('Procyclean 220'!F293))))),""))</f>
        <v/>
      </c>
      <c r="AM2291" t="str">
        <f t="shared" ca="1" si="232"/>
        <v/>
      </c>
    </row>
    <row r="2292" spans="27:39" x14ac:dyDescent="0.3">
      <c r="AA2292" t="str">
        <f>IF(COUNTA('Procyclean 220'!C294,'Procyclean 220'!D294,'Procyclean 220'!E294)&gt;0,"220","")</f>
        <v/>
      </c>
      <c r="AB2292" t="str">
        <f>IFERROR(IF(ISNUMBER('Procyclean 220'!C294),'Procyclean 220'!C294,DATEVALUE('Procyclean 220'!C294)),"")</f>
        <v/>
      </c>
      <c r="AC2292" t="str">
        <f>IF(AA2292="","",'Procyclean 220'!D294)</f>
        <v/>
      </c>
      <c r="AD2292" t="str">
        <f>IF(AA2292="","",IFERROR(1*'Procyclean 220'!E294,IFERROR(_xludf.NUMBERVALUE('Procyclean 220'!E294,".",","),IFERROR(_xludf.NUMBERVALUE('Procyclean 220'!E294,",","."),0))))</f>
        <v/>
      </c>
      <c r="AE2292" t="str">
        <f>IF(AA2292="","",'Procyclean 220'!B294)</f>
        <v/>
      </c>
      <c r="AF2292">
        <f t="shared" si="227"/>
        <v>0</v>
      </c>
      <c r="AG2292" t="str">
        <f t="shared" si="228"/>
        <v/>
      </c>
      <c r="AH2292" t="str">
        <f t="shared" si="229"/>
        <v/>
      </c>
      <c r="AI2292">
        <f t="shared" si="230"/>
        <v>0</v>
      </c>
      <c r="AJ2292">
        <f t="shared" si="231"/>
        <v>0</v>
      </c>
      <c r="AK2292">
        <v>0</v>
      </c>
      <c r="AL2292" t="str">
        <f>IF(AA2292="","",IFERROR(IF(ISNUMBER('Procyclean 220'!F294),'Procyclean 220'!F294,IF(ISNUMBER(SEARCH("12",'Procyclean 220'!F294)),EDATE(AB2292,12),IF(ISNUMBER(SEARCH("6",'Procyclean 220'!F294)),EDATE(AB2292,6),IF(ISNUMBER(SEARCH("3",'Procyclean 220'!F294)),EDATE(AB2292,3),DATEVALUE('Procyclean 220'!F294))))),""))</f>
        <v/>
      </c>
      <c r="AM2292" t="str">
        <f t="shared" ca="1" si="232"/>
        <v/>
      </c>
    </row>
    <row r="2293" spans="27:39" x14ac:dyDescent="0.3">
      <c r="AA2293" t="str">
        <f>IF(COUNTA('Procyclean 220'!C295,'Procyclean 220'!D295,'Procyclean 220'!E295)&gt;0,"220","")</f>
        <v/>
      </c>
      <c r="AB2293" t="str">
        <f>IFERROR(IF(ISNUMBER('Procyclean 220'!C295),'Procyclean 220'!C295,DATEVALUE('Procyclean 220'!C295)),"")</f>
        <v/>
      </c>
      <c r="AC2293" t="str">
        <f>IF(AA2293="","",'Procyclean 220'!D295)</f>
        <v/>
      </c>
      <c r="AD2293" t="str">
        <f>IF(AA2293="","",IFERROR(1*'Procyclean 220'!E295,IFERROR(_xludf.NUMBERVALUE('Procyclean 220'!E295,".",","),IFERROR(_xludf.NUMBERVALUE('Procyclean 220'!E295,",","."),0))))</f>
        <v/>
      </c>
      <c r="AE2293" t="str">
        <f>IF(AA2293="","",'Procyclean 220'!B295)</f>
        <v/>
      </c>
      <c r="AF2293">
        <f t="shared" si="227"/>
        <v>0</v>
      </c>
      <c r="AG2293" t="str">
        <f t="shared" si="228"/>
        <v/>
      </c>
      <c r="AH2293" t="str">
        <f t="shared" si="229"/>
        <v/>
      </c>
      <c r="AI2293">
        <f t="shared" si="230"/>
        <v>0</v>
      </c>
      <c r="AJ2293">
        <f t="shared" si="231"/>
        <v>0</v>
      </c>
      <c r="AK2293">
        <v>0</v>
      </c>
      <c r="AL2293" t="str">
        <f>IF(AA2293="","",IFERROR(IF(ISNUMBER('Procyclean 220'!F295),'Procyclean 220'!F295,IF(ISNUMBER(SEARCH("12",'Procyclean 220'!F295)),EDATE(AB2293,12),IF(ISNUMBER(SEARCH("6",'Procyclean 220'!F295)),EDATE(AB2293,6),IF(ISNUMBER(SEARCH("3",'Procyclean 220'!F295)),EDATE(AB2293,3),DATEVALUE('Procyclean 220'!F295))))),""))</f>
        <v/>
      </c>
      <c r="AM2293" t="str">
        <f t="shared" ca="1" si="232"/>
        <v/>
      </c>
    </row>
    <row r="2294" spans="27:39" x14ac:dyDescent="0.3">
      <c r="AA2294" t="str">
        <f>IF(COUNTA('Procyclean 220'!C296,'Procyclean 220'!D296,'Procyclean 220'!E296)&gt;0,"220","")</f>
        <v/>
      </c>
      <c r="AB2294" t="str">
        <f>IFERROR(IF(ISNUMBER('Procyclean 220'!C296),'Procyclean 220'!C296,DATEVALUE('Procyclean 220'!C296)),"")</f>
        <v/>
      </c>
      <c r="AC2294" t="str">
        <f>IF(AA2294="","",'Procyclean 220'!D296)</f>
        <v/>
      </c>
      <c r="AD2294" t="str">
        <f>IF(AA2294="","",IFERROR(1*'Procyclean 220'!E296,IFERROR(_xludf.NUMBERVALUE('Procyclean 220'!E296,".",","),IFERROR(_xludf.NUMBERVALUE('Procyclean 220'!E296,",","."),0))))</f>
        <v/>
      </c>
      <c r="AE2294" t="str">
        <f>IF(AA2294="","",'Procyclean 220'!B296)</f>
        <v/>
      </c>
      <c r="AF2294">
        <f t="shared" si="227"/>
        <v>0</v>
      </c>
      <c r="AG2294" t="str">
        <f t="shared" si="228"/>
        <v/>
      </c>
      <c r="AH2294" t="str">
        <f t="shared" si="229"/>
        <v/>
      </c>
      <c r="AI2294">
        <f t="shared" si="230"/>
        <v>0</v>
      </c>
      <c r="AJ2294">
        <f t="shared" si="231"/>
        <v>0</v>
      </c>
      <c r="AK2294">
        <v>0</v>
      </c>
      <c r="AL2294" t="str">
        <f>IF(AA2294="","",IFERROR(IF(ISNUMBER('Procyclean 220'!F296),'Procyclean 220'!F296,IF(ISNUMBER(SEARCH("12",'Procyclean 220'!F296)),EDATE(AB2294,12),IF(ISNUMBER(SEARCH("6",'Procyclean 220'!F296)),EDATE(AB2294,6),IF(ISNUMBER(SEARCH("3",'Procyclean 220'!F296)),EDATE(AB2294,3),DATEVALUE('Procyclean 220'!F296))))),""))</f>
        <v/>
      </c>
      <c r="AM2294" t="str">
        <f t="shared" ca="1" si="232"/>
        <v/>
      </c>
    </row>
    <row r="2295" spans="27:39" x14ac:dyDescent="0.3">
      <c r="AA2295" t="str">
        <f>IF(COUNTA('Procyclean 220'!C297,'Procyclean 220'!D297,'Procyclean 220'!E297)&gt;0,"220","")</f>
        <v/>
      </c>
      <c r="AB2295" t="str">
        <f>IFERROR(IF(ISNUMBER('Procyclean 220'!C297),'Procyclean 220'!C297,DATEVALUE('Procyclean 220'!C297)),"")</f>
        <v/>
      </c>
      <c r="AC2295" t="str">
        <f>IF(AA2295="","",'Procyclean 220'!D297)</f>
        <v/>
      </c>
      <c r="AD2295" t="str">
        <f>IF(AA2295="","",IFERROR(1*'Procyclean 220'!E297,IFERROR(_xludf.NUMBERVALUE('Procyclean 220'!E297,".",","),IFERROR(_xludf.NUMBERVALUE('Procyclean 220'!E297,",","."),0))))</f>
        <v/>
      </c>
      <c r="AE2295" t="str">
        <f>IF(AA2295="","",'Procyclean 220'!B297)</f>
        <v/>
      </c>
      <c r="AF2295">
        <f t="shared" si="227"/>
        <v>0</v>
      </c>
      <c r="AG2295" t="str">
        <f t="shared" si="228"/>
        <v/>
      </c>
      <c r="AH2295" t="str">
        <f t="shared" si="229"/>
        <v/>
      </c>
      <c r="AI2295">
        <f t="shared" si="230"/>
        <v>0</v>
      </c>
      <c r="AJ2295">
        <f t="shared" si="231"/>
        <v>0</v>
      </c>
      <c r="AK2295">
        <v>0</v>
      </c>
      <c r="AL2295" t="str">
        <f>IF(AA2295="","",IFERROR(IF(ISNUMBER('Procyclean 220'!F297),'Procyclean 220'!F297,IF(ISNUMBER(SEARCH("12",'Procyclean 220'!F297)),EDATE(AB2295,12),IF(ISNUMBER(SEARCH("6",'Procyclean 220'!F297)),EDATE(AB2295,6),IF(ISNUMBER(SEARCH("3",'Procyclean 220'!F297)),EDATE(AB2295,3),DATEVALUE('Procyclean 220'!F297))))),""))</f>
        <v/>
      </c>
      <c r="AM2295" t="str">
        <f t="shared" ca="1" si="232"/>
        <v/>
      </c>
    </row>
    <row r="2296" spans="27:39" x14ac:dyDescent="0.3">
      <c r="AA2296" t="str">
        <f>IF(COUNTA('Procyclean 220'!C298,'Procyclean 220'!D298,'Procyclean 220'!E298)&gt;0,"220","")</f>
        <v/>
      </c>
      <c r="AB2296" t="str">
        <f>IFERROR(IF(ISNUMBER('Procyclean 220'!C298),'Procyclean 220'!C298,DATEVALUE('Procyclean 220'!C298)),"")</f>
        <v/>
      </c>
      <c r="AC2296" t="str">
        <f>IF(AA2296="","",'Procyclean 220'!D298)</f>
        <v/>
      </c>
      <c r="AD2296" t="str">
        <f>IF(AA2296="","",IFERROR(1*'Procyclean 220'!E298,IFERROR(_xludf.NUMBERVALUE('Procyclean 220'!E298,".",","),IFERROR(_xludf.NUMBERVALUE('Procyclean 220'!E298,",","."),0))))</f>
        <v/>
      </c>
      <c r="AE2296" t="str">
        <f>IF(AA2296="","",'Procyclean 220'!B298)</f>
        <v/>
      </c>
      <c r="AF2296">
        <f t="shared" si="227"/>
        <v>0</v>
      </c>
      <c r="AG2296" t="str">
        <f t="shared" si="228"/>
        <v/>
      </c>
      <c r="AH2296" t="str">
        <f t="shared" si="229"/>
        <v/>
      </c>
      <c r="AI2296">
        <f t="shared" si="230"/>
        <v>0</v>
      </c>
      <c r="AJ2296">
        <f t="shared" si="231"/>
        <v>0</v>
      </c>
      <c r="AK2296">
        <v>0</v>
      </c>
      <c r="AL2296" t="str">
        <f>IF(AA2296="","",IFERROR(IF(ISNUMBER('Procyclean 220'!F298),'Procyclean 220'!F298,IF(ISNUMBER(SEARCH("12",'Procyclean 220'!F298)),EDATE(AB2296,12),IF(ISNUMBER(SEARCH("6",'Procyclean 220'!F298)),EDATE(AB2296,6),IF(ISNUMBER(SEARCH("3",'Procyclean 220'!F298)),EDATE(AB2296,3),DATEVALUE('Procyclean 220'!F298))))),""))</f>
        <v/>
      </c>
      <c r="AM2296" t="str">
        <f t="shared" ca="1" si="232"/>
        <v/>
      </c>
    </row>
    <row r="2297" spans="27:39" x14ac:dyDescent="0.3">
      <c r="AA2297" t="str">
        <f>IF(COUNTA('Procyclean 220'!C299,'Procyclean 220'!D299,'Procyclean 220'!E299)&gt;0,"220","")</f>
        <v/>
      </c>
      <c r="AB2297" t="str">
        <f>IFERROR(IF(ISNUMBER('Procyclean 220'!C299),'Procyclean 220'!C299,DATEVALUE('Procyclean 220'!C299)),"")</f>
        <v/>
      </c>
      <c r="AC2297" t="str">
        <f>IF(AA2297="","",'Procyclean 220'!D299)</f>
        <v/>
      </c>
      <c r="AD2297" t="str">
        <f>IF(AA2297="","",IFERROR(1*'Procyclean 220'!E299,IFERROR(_xludf.NUMBERVALUE('Procyclean 220'!E299,".",","),IFERROR(_xludf.NUMBERVALUE('Procyclean 220'!E299,",","."),0))))</f>
        <v/>
      </c>
      <c r="AE2297" t="str">
        <f>IF(AA2297="","",'Procyclean 220'!B299)</f>
        <v/>
      </c>
      <c r="AF2297">
        <f t="shared" si="227"/>
        <v>0</v>
      </c>
      <c r="AG2297" t="str">
        <f t="shared" si="228"/>
        <v/>
      </c>
      <c r="AH2297" t="str">
        <f t="shared" si="229"/>
        <v/>
      </c>
      <c r="AI2297">
        <f t="shared" si="230"/>
        <v>0</v>
      </c>
      <c r="AJ2297">
        <f t="shared" si="231"/>
        <v>0</v>
      </c>
      <c r="AK2297">
        <v>0</v>
      </c>
      <c r="AL2297" t="str">
        <f>IF(AA2297="","",IFERROR(IF(ISNUMBER('Procyclean 220'!F299),'Procyclean 220'!F299,IF(ISNUMBER(SEARCH("12",'Procyclean 220'!F299)),EDATE(AB2297,12),IF(ISNUMBER(SEARCH("6",'Procyclean 220'!F299)),EDATE(AB2297,6),IF(ISNUMBER(SEARCH("3",'Procyclean 220'!F299)),EDATE(AB2297,3),DATEVALUE('Procyclean 220'!F299))))),""))</f>
        <v/>
      </c>
      <c r="AM2297" t="str">
        <f t="shared" ca="1" si="232"/>
        <v/>
      </c>
    </row>
    <row r="2298" spans="27:39" x14ac:dyDescent="0.3">
      <c r="AA2298" t="str">
        <f>IF(COUNTA('Procyclean 220'!C300,'Procyclean 220'!D300,'Procyclean 220'!E300)&gt;0,"220","")</f>
        <v/>
      </c>
      <c r="AB2298" t="str">
        <f>IFERROR(IF(ISNUMBER('Procyclean 220'!C300),'Procyclean 220'!C300,DATEVALUE('Procyclean 220'!C300)),"")</f>
        <v/>
      </c>
      <c r="AC2298" t="str">
        <f>IF(AA2298="","",'Procyclean 220'!D300)</f>
        <v/>
      </c>
      <c r="AD2298" t="str">
        <f>IF(AA2298="","",IFERROR(1*'Procyclean 220'!E300,IFERROR(_xludf.NUMBERVALUE('Procyclean 220'!E300,".",","),IFERROR(_xludf.NUMBERVALUE('Procyclean 220'!E300,",","."),0))))</f>
        <v/>
      </c>
      <c r="AE2298" t="str">
        <f>IF(AA2298="","",'Procyclean 220'!B300)</f>
        <v/>
      </c>
      <c r="AF2298">
        <f t="shared" si="227"/>
        <v>0</v>
      </c>
      <c r="AG2298" t="str">
        <f t="shared" si="228"/>
        <v/>
      </c>
      <c r="AH2298" t="str">
        <f t="shared" si="229"/>
        <v/>
      </c>
      <c r="AI2298">
        <f t="shared" si="230"/>
        <v>0</v>
      </c>
      <c r="AJ2298">
        <f t="shared" si="231"/>
        <v>0</v>
      </c>
      <c r="AK2298">
        <v>0</v>
      </c>
      <c r="AL2298" t="str">
        <f>IF(AA2298="","",IFERROR(IF(ISNUMBER('Procyclean 220'!F300),'Procyclean 220'!F300,IF(ISNUMBER(SEARCH("12",'Procyclean 220'!F300)),EDATE(AB2298,12),IF(ISNUMBER(SEARCH("6",'Procyclean 220'!F300)),EDATE(AB2298,6),IF(ISNUMBER(SEARCH("3",'Procyclean 220'!F300)),EDATE(AB2298,3),DATEVALUE('Procyclean 220'!F300))))),""))</f>
        <v/>
      </c>
      <c r="AM2298" t="str">
        <f t="shared" ca="1" si="232"/>
        <v/>
      </c>
    </row>
    <row r="2299" spans="27:39" x14ac:dyDescent="0.3">
      <c r="AA2299" t="str">
        <f>IF(COUNTA('Procyclean 220'!C301,'Procyclean 220'!D301,'Procyclean 220'!E301)&gt;0,"220","")</f>
        <v/>
      </c>
      <c r="AB2299" t="str">
        <f>IFERROR(IF(ISNUMBER('Procyclean 220'!C301),'Procyclean 220'!C301,DATEVALUE('Procyclean 220'!C301)),"")</f>
        <v/>
      </c>
      <c r="AC2299" t="str">
        <f>IF(AA2299="","",'Procyclean 220'!D301)</f>
        <v/>
      </c>
      <c r="AD2299" t="str">
        <f>IF(AA2299="","",IFERROR(1*'Procyclean 220'!E301,IFERROR(_xludf.NUMBERVALUE('Procyclean 220'!E301,".",","),IFERROR(_xludf.NUMBERVALUE('Procyclean 220'!E301,",","."),0))))</f>
        <v/>
      </c>
      <c r="AE2299" t="str">
        <f>IF(AA2299="","",'Procyclean 220'!B301)</f>
        <v/>
      </c>
      <c r="AF2299">
        <f t="shared" si="227"/>
        <v>0</v>
      </c>
      <c r="AG2299" t="str">
        <f t="shared" si="228"/>
        <v/>
      </c>
      <c r="AH2299" t="str">
        <f t="shared" si="229"/>
        <v/>
      </c>
      <c r="AI2299">
        <f t="shared" si="230"/>
        <v>0</v>
      </c>
      <c r="AJ2299">
        <f t="shared" si="231"/>
        <v>0</v>
      </c>
      <c r="AK2299">
        <v>0</v>
      </c>
      <c r="AL2299" t="str">
        <f>IF(AA2299="","",IFERROR(IF(ISNUMBER('Procyclean 220'!F301),'Procyclean 220'!F301,IF(ISNUMBER(SEARCH("12",'Procyclean 220'!F301)),EDATE(AB2299,12),IF(ISNUMBER(SEARCH("6",'Procyclean 220'!F301)),EDATE(AB2299,6),IF(ISNUMBER(SEARCH("3",'Procyclean 220'!F301)),EDATE(AB2299,3),DATEVALUE('Procyclean 220'!F301))))),""))</f>
        <v/>
      </c>
      <c r="AM2299" t="str">
        <f t="shared" ca="1" si="232"/>
        <v/>
      </c>
    </row>
    <row r="2300" spans="27:39" x14ac:dyDescent="0.3">
      <c r="AA2300" t="str">
        <f>IF(COUNTA('Procyclean 220'!C302,'Procyclean 220'!D302,'Procyclean 220'!E302)&gt;0,"220","")</f>
        <v/>
      </c>
      <c r="AB2300" t="str">
        <f>IFERROR(IF(ISNUMBER('Procyclean 220'!C302),'Procyclean 220'!C302,DATEVALUE('Procyclean 220'!C302)),"")</f>
        <v/>
      </c>
      <c r="AC2300" t="str">
        <f>IF(AA2300="","",'Procyclean 220'!D302)</f>
        <v/>
      </c>
      <c r="AD2300" t="str">
        <f>IF(AA2300="","",IFERROR(1*'Procyclean 220'!E302,IFERROR(_xludf.NUMBERVALUE('Procyclean 220'!E302,".",","),IFERROR(_xludf.NUMBERVALUE('Procyclean 220'!E302,",","."),0))))</f>
        <v/>
      </c>
      <c r="AE2300" t="str">
        <f>IF(AA2300="","",'Procyclean 220'!B302)</f>
        <v/>
      </c>
      <c r="AF2300">
        <f t="shared" si="227"/>
        <v>0</v>
      </c>
      <c r="AG2300" t="str">
        <f t="shared" si="228"/>
        <v/>
      </c>
      <c r="AH2300" t="str">
        <f t="shared" si="229"/>
        <v/>
      </c>
      <c r="AI2300">
        <f t="shared" si="230"/>
        <v>0</v>
      </c>
      <c r="AJ2300">
        <f t="shared" si="231"/>
        <v>0</v>
      </c>
      <c r="AK2300">
        <v>0</v>
      </c>
      <c r="AL2300" t="str">
        <f>IF(AA2300="","",IFERROR(IF(ISNUMBER('Procyclean 220'!F302),'Procyclean 220'!F302,IF(ISNUMBER(SEARCH("12",'Procyclean 220'!F302)),EDATE(AB2300,12),IF(ISNUMBER(SEARCH("6",'Procyclean 220'!F302)),EDATE(AB2300,6),IF(ISNUMBER(SEARCH("3",'Procyclean 220'!F302)),EDATE(AB2300,3),DATEVALUE('Procyclean 220'!F302))))),""))</f>
        <v/>
      </c>
      <c r="AM2300" t="str">
        <f t="shared" ca="1" si="232"/>
        <v/>
      </c>
    </row>
    <row r="2301" spans="27:39" x14ac:dyDescent="0.3">
      <c r="AA2301" t="str">
        <f>IF(COUNTA('Procyclean 220'!C303,'Procyclean 220'!D303,'Procyclean 220'!E303)&gt;0,"220","")</f>
        <v/>
      </c>
      <c r="AB2301" t="str">
        <f>IFERROR(IF(ISNUMBER('Procyclean 220'!C303),'Procyclean 220'!C303,DATEVALUE('Procyclean 220'!C303)),"")</f>
        <v/>
      </c>
      <c r="AC2301" t="str">
        <f>IF(AA2301="","",'Procyclean 220'!D303)</f>
        <v/>
      </c>
      <c r="AD2301" t="str">
        <f>IF(AA2301="","",IFERROR(1*'Procyclean 220'!E303,IFERROR(_xludf.NUMBERVALUE('Procyclean 220'!E303,".",","),IFERROR(_xludf.NUMBERVALUE('Procyclean 220'!E303,",","."),0))))</f>
        <v/>
      </c>
      <c r="AE2301" t="str">
        <f>IF(AA2301="","",'Procyclean 220'!B303)</f>
        <v/>
      </c>
      <c r="AF2301">
        <f t="shared" si="227"/>
        <v>0</v>
      </c>
      <c r="AG2301" t="str">
        <f t="shared" si="228"/>
        <v/>
      </c>
      <c r="AH2301" t="str">
        <f t="shared" si="229"/>
        <v/>
      </c>
      <c r="AI2301">
        <f t="shared" si="230"/>
        <v>0</v>
      </c>
      <c r="AJ2301">
        <f t="shared" si="231"/>
        <v>0</v>
      </c>
      <c r="AK2301">
        <v>0</v>
      </c>
      <c r="AL2301" t="str">
        <f>IF(AA2301="","",IFERROR(IF(ISNUMBER('Procyclean 220'!F303),'Procyclean 220'!F303,IF(ISNUMBER(SEARCH("12",'Procyclean 220'!F303)),EDATE(AB2301,12),IF(ISNUMBER(SEARCH("6",'Procyclean 220'!F303)),EDATE(AB2301,6),IF(ISNUMBER(SEARCH("3",'Procyclean 220'!F303)),EDATE(AB2301,3),DATEVALUE('Procyclean 220'!F303))))),""))</f>
        <v/>
      </c>
      <c r="AM2301" t="str">
        <f t="shared" ca="1" si="232"/>
        <v/>
      </c>
    </row>
    <row r="2302" spans="27:39" x14ac:dyDescent="0.3">
      <c r="AA2302" t="str">
        <f>IF(COUNTA('Procyclean 220'!C304,'Procyclean 220'!D304,'Procyclean 220'!E304)&gt;0,"220","")</f>
        <v/>
      </c>
      <c r="AB2302" t="str">
        <f>IFERROR(IF(ISNUMBER('Procyclean 220'!C304),'Procyclean 220'!C304,DATEVALUE('Procyclean 220'!C304)),"")</f>
        <v/>
      </c>
      <c r="AC2302" t="str">
        <f>IF(AA2302="","",'Procyclean 220'!D304)</f>
        <v/>
      </c>
      <c r="AD2302" t="str">
        <f>IF(AA2302="","",IFERROR(1*'Procyclean 220'!E304,IFERROR(_xludf.NUMBERVALUE('Procyclean 220'!E304,".",","),IFERROR(_xludf.NUMBERVALUE('Procyclean 220'!E304,",","."),0))))</f>
        <v/>
      </c>
      <c r="AE2302" t="str">
        <f>IF(AA2302="","",'Procyclean 220'!B304)</f>
        <v/>
      </c>
      <c r="AF2302">
        <f t="shared" si="227"/>
        <v>0</v>
      </c>
      <c r="AG2302" t="str">
        <f t="shared" si="228"/>
        <v/>
      </c>
      <c r="AH2302" t="str">
        <f t="shared" si="229"/>
        <v/>
      </c>
      <c r="AI2302">
        <f t="shared" si="230"/>
        <v>0</v>
      </c>
      <c r="AJ2302">
        <f t="shared" si="231"/>
        <v>0</v>
      </c>
      <c r="AK2302">
        <v>0</v>
      </c>
      <c r="AL2302" t="str">
        <f>IF(AA2302="","",IFERROR(IF(ISNUMBER('Procyclean 220'!F304),'Procyclean 220'!F304,IF(ISNUMBER(SEARCH("12",'Procyclean 220'!F304)),EDATE(AB2302,12),IF(ISNUMBER(SEARCH("6",'Procyclean 220'!F304)),EDATE(AB2302,6),IF(ISNUMBER(SEARCH("3",'Procyclean 220'!F304)),EDATE(AB2302,3),DATEVALUE('Procyclean 220'!F304))))),""))</f>
        <v/>
      </c>
      <c r="AM2302" t="str">
        <f t="shared" ca="1" si="232"/>
        <v/>
      </c>
    </row>
    <row r="2303" spans="27:39" x14ac:dyDescent="0.3">
      <c r="AA2303" t="str">
        <f>IF(COUNTA('Procyclean 220'!C305,'Procyclean 220'!D305,'Procyclean 220'!E305)&gt;0,"220","")</f>
        <v/>
      </c>
      <c r="AB2303" t="str">
        <f>IFERROR(IF(ISNUMBER('Procyclean 220'!C305),'Procyclean 220'!C305,DATEVALUE('Procyclean 220'!C305)),"")</f>
        <v/>
      </c>
      <c r="AC2303" t="str">
        <f>IF(AA2303="","",'Procyclean 220'!D305)</f>
        <v/>
      </c>
      <c r="AD2303" t="str">
        <f>IF(AA2303="","",IFERROR(1*'Procyclean 220'!E305,IFERROR(_xludf.NUMBERVALUE('Procyclean 220'!E305,".",","),IFERROR(_xludf.NUMBERVALUE('Procyclean 220'!E305,",","."),0))))</f>
        <v/>
      </c>
      <c r="AE2303" t="str">
        <f>IF(AA2303="","",'Procyclean 220'!B305)</f>
        <v/>
      </c>
      <c r="AF2303">
        <f t="shared" si="227"/>
        <v>0</v>
      </c>
      <c r="AG2303" t="str">
        <f t="shared" si="228"/>
        <v/>
      </c>
      <c r="AH2303" t="str">
        <f t="shared" si="229"/>
        <v/>
      </c>
      <c r="AI2303">
        <f t="shared" si="230"/>
        <v>0</v>
      </c>
      <c r="AJ2303">
        <f t="shared" si="231"/>
        <v>0</v>
      </c>
      <c r="AK2303">
        <v>0</v>
      </c>
      <c r="AL2303" t="str">
        <f>IF(AA2303="","",IFERROR(IF(ISNUMBER('Procyclean 220'!F305),'Procyclean 220'!F305,IF(ISNUMBER(SEARCH("12",'Procyclean 220'!F305)),EDATE(AB2303,12),IF(ISNUMBER(SEARCH("6",'Procyclean 220'!F305)),EDATE(AB2303,6),IF(ISNUMBER(SEARCH("3",'Procyclean 220'!F305)),EDATE(AB2303,3),DATEVALUE('Procyclean 220'!F305))))),""))</f>
        <v/>
      </c>
      <c r="AM2303" t="str">
        <f t="shared" ca="1" si="232"/>
        <v/>
      </c>
    </row>
    <row r="2304" spans="27:39" x14ac:dyDescent="0.3">
      <c r="AA2304" t="str">
        <f>IF(COUNTA('Procyclean 220'!C306,'Procyclean 220'!D306,'Procyclean 220'!E306)&gt;0,"220","")</f>
        <v/>
      </c>
      <c r="AB2304" t="str">
        <f>IFERROR(IF(ISNUMBER('Procyclean 220'!C306),'Procyclean 220'!C306,DATEVALUE('Procyclean 220'!C306)),"")</f>
        <v/>
      </c>
      <c r="AC2304" t="str">
        <f>IF(AA2304="","",'Procyclean 220'!D306)</f>
        <v/>
      </c>
      <c r="AD2304" t="str">
        <f>IF(AA2304="","",IFERROR(1*'Procyclean 220'!E306,IFERROR(_xludf.NUMBERVALUE('Procyclean 220'!E306,".",","),IFERROR(_xludf.NUMBERVALUE('Procyclean 220'!E306,",","."),0))))</f>
        <v/>
      </c>
      <c r="AE2304" t="str">
        <f>IF(AA2304="","",'Procyclean 220'!B306)</f>
        <v/>
      </c>
      <c r="AF2304">
        <f t="shared" si="227"/>
        <v>0</v>
      </c>
      <c r="AG2304" t="str">
        <f t="shared" si="228"/>
        <v/>
      </c>
      <c r="AH2304" t="str">
        <f t="shared" si="229"/>
        <v/>
      </c>
      <c r="AI2304">
        <f t="shared" si="230"/>
        <v>0</v>
      </c>
      <c r="AJ2304">
        <f t="shared" si="231"/>
        <v>0</v>
      </c>
      <c r="AK2304">
        <v>0</v>
      </c>
      <c r="AL2304" t="str">
        <f>IF(AA2304="","",IFERROR(IF(ISNUMBER('Procyclean 220'!F306),'Procyclean 220'!F306,IF(ISNUMBER(SEARCH("12",'Procyclean 220'!F306)),EDATE(AB2304,12),IF(ISNUMBER(SEARCH("6",'Procyclean 220'!F306)),EDATE(AB2304,6),IF(ISNUMBER(SEARCH("3",'Procyclean 220'!F306)),EDATE(AB2304,3),DATEVALUE('Procyclean 220'!F306))))),""))</f>
        <v/>
      </c>
      <c r="AM2304" t="str">
        <f t="shared" ca="1" si="232"/>
        <v/>
      </c>
    </row>
    <row r="2305" spans="27:39" x14ac:dyDescent="0.3">
      <c r="AA2305" t="str">
        <f>IF(COUNTA('Procyclean 220'!C307,'Procyclean 220'!D307,'Procyclean 220'!E307)&gt;0,"220","")</f>
        <v/>
      </c>
      <c r="AB2305" t="str">
        <f>IFERROR(IF(ISNUMBER('Procyclean 220'!C307),'Procyclean 220'!C307,DATEVALUE('Procyclean 220'!C307)),"")</f>
        <v/>
      </c>
      <c r="AC2305" t="str">
        <f>IF(AA2305="","",'Procyclean 220'!D307)</f>
        <v/>
      </c>
      <c r="AD2305" t="str">
        <f>IF(AA2305="","",IFERROR(1*'Procyclean 220'!E307,IFERROR(_xludf.NUMBERVALUE('Procyclean 220'!E307,".",","),IFERROR(_xludf.NUMBERVALUE('Procyclean 220'!E307,",","."),0))))</f>
        <v/>
      </c>
      <c r="AE2305" t="str">
        <f>IF(AA2305="","",'Procyclean 220'!B307)</f>
        <v/>
      </c>
      <c r="AF2305">
        <f t="shared" si="227"/>
        <v>0</v>
      </c>
      <c r="AG2305" t="str">
        <f t="shared" si="228"/>
        <v/>
      </c>
      <c r="AH2305" t="str">
        <f t="shared" si="229"/>
        <v/>
      </c>
      <c r="AI2305">
        <f t="shared" si="230"/>
        <v>0</v>
      </c>
      <c r="AJ2305">
        <f t="shared" si="231"/>
        <v>0</v>
      </c>
      <c r="AK2305">
        <v>0</v>
      </c>
      <c r="AL2305" t="str">
        <f>IF(AA2305="","",IFERROR(IF(ISNUMBER('Procyclean 220'!F307),'Procyclean 220'!F307,IF(ISNUMBER(SEARCH("12",'Procyclean 220'!F307)),EDATE(AB2305,12),IF(ISNUMBER(SEARCH("6",'Procyclean 220'!F307)),EDATE(AB2305,6),IF(ISNUMBER(SEARCH("3",'Procyclean 220'!F307)),EDATE(AB2305,3),DATEVALUE('Procyclean 220'!F307))))),""))</f>
        <v/>
      </c>
      <c r="AM2305" t="str">
        <f t="shared" ca="1" si="232"/>
        <v/>
      </c>
    </row>
    <row r="2306" spans="27:39" x14ac:dyDescent="0.3">
      <c r="AA2306" t="str">
        <f>IF(COUNTA('Procyclean 220'!C308,'Procyclean 220'!D308,'Procyclean 220'!E308)&gt;0,"220","")</f>
        <v/>
      </c>
      <c r="AB2306" t="str">
        <f>IFERROR(IF(ISNUMBER('Procyclean 220'!C308),'Procyclean 220'!C308,DATEVALUE('Procyclean 220'!C308)),"")</f>
        <v/>
      </c>
      <c r="AC2306" t="str">
        <f>IF(AA2306="","",'Procyclean 220'!D308)</f>
        <v/>
      </c>
      <c r="AD2306" t="str">
        <f>IF(AA2306="","",IFERROR(1*'Procyclean 220'!E308,IFERROR(_xludf.NUMBERVALUE('Procyclean 220'!E308,".",","),IFERROR(_xludf.NUMBERVALUE('Procyclean 220'!E308,",","."),0))))</f>
        <v/>
      </c>
      <c r="AE2306" t="str">
        <f>IF(AA2306="","",'Procyclean 220'!B308)</f>
        <v/>
      </c>
      <c r="AF2306">
        <f t="shared" ref="AF2306:AF2369" si="233">IF(AA2306="",0,--AND(ISNUMBER(SEARCH("aprov",AE2306)),NOT(ISNUMBER(SEARCH("reprov",AE2306)))))</f>
        <v>0</v>
      </c>
      <c r="AG2306" t="str">
        <f t="shared" ref="AG2306:AG2369" si="234">IF(AB2306="","",YEAR(AB2306))</f>
        <v/>
      </c>
      <c r="AH2306" t="str">
        <f t="shared" ref="AH2306:AH2369" si="235">IF(AB2306="","",MONTH(AB2306))</f>
        <v/>
      </c>
      <c r="AI2306">
        <f t="shared" ref="AI2306:AI2369" si="236">IF(AB2306="",0,AB2306+ROW()/1000000)</f>
        <v>0</v>
      </c>
      <c r="AJ2306">
        <f t="shared" ref="AJ2306:AJ2369" si="237">--(AA2306&lt;&gt;"")</f>
        <v>0</v>
      </c>
      <c r="AK2306">
        <v>0</v>
      </c>
      <c r="AL2306" t="str">
        <f>IF(AA2306="","",IFERROR(IF(ISNUMBER('Procyclean 220'!F308),'Procyclean 220'!F308,IF(ISNUMBER(SEARCH("12",'Procyclean 220'!F308)),EDATE(AB2306,12),IF(ISNUMBER(SEARCH("6",'Procyclean 220'!F308)),EDATE(AB2306,6),IF(ISNUMBER(SEARCH("3",'Procyclean 220'!F308)),EDATE(AB2306,3),DATEVALUE('Procyclean 220'!F308))))),""))</f>
        <v/>
      </c>
      <c r="AM2306" t="str">
        <f t="shared" ref="AM2306:AM2369" ca="1" si="238">IF(AND(AJ2306=1,AL2306&lt;&gt;"",AL2306&gt;=TODAY(),AG2306=$W$3),AL2306+ROW()/1000000,"")</f>
        <v/>
      </c>
    </row>
    <row r="2307" spans="27:39" x14ac:dyDescent="0.3">
      <c r="AA2307" t="str">
        <f>IF(COUNTA('Procyclean 220'!C309,'Procyclean 220'!D309,'Procyclean 220'!E309)&gt;0,"220","")</f>
        <v/>
      </c>
      <c r="AB2307" t="str">
        <f>IFERROR(IF(ISNUMBER('Procyclean 220'!C309),'Procyclean 220'!C309,DATEVALUE('Procyclean 220'!C309)),"")</f>
        <v/>
      </c>
      <c r="AC2307" t="str">
        <f>IF(AA2307="","",'Procyclean 220'!D309)</f>
        <v/>
      </c>
      <c r="AD2307" t="str">
        <f>IF(AA2307="","",IFERROR(1*'Procyclean 220'!E309,IFERROR(_xludf.NUMBERVALUE('Procyclean 220'!E309,".",","),IFERROR(_xludf.NUMBERVALUE('Procyclean 220'!E309,",","."),0))))</f>
        <v/>
      </c>
      <c r="AE2307" t="str">
        <f>IF(AA2307="","",'Procyclean 220'!B309)</f>
        <v/>
      </c>
      <c r="AF2307">
        <f t="shared" si="233"/>
        <v>0</v>
      </c>
      <c r="AG2307" t="str">
        <f t="shared" si="234"/>
        <v/>
      </c>
      <c r="AH2307" t="str">
        <f t="shared" si="235"/>
        <v/>
      </c>
      <c r="AI2307">
        <f t="shared" si="236"/>
        <v>0</v>
      </c>
      <c r="AJ2307">
        <f t="shared" si="237"/>
        <v>0</v>
      </c>
      <c r="AK2307">
        <v>0</v>
      </c>
      <c r="AL2307" t="str">
        <f>IF(AA2307="","",IFERROR(IF(ISNUMBER('Procyclean 220'!F309),'Procyclean 220'!F309,IF(ISNUMBER(SEARCH("12",'Procyclean 220'!F309)),EDATE(AB2307,12),IF(ISNUMBER(SEARCH("6",'Procyclean 220'!F309)),EDATE(AB2307,6),IF(ISNUMBER(SEARCH("3",'Procyclean 220'!F309)),EDATE(AB2307,3),DATEVALUE('Procyclean 220'!F309))))),""))</f>
        <v/>
      </c>
      <c r="AM2307" t="str">
        <f t="shared" ca="1" si="238"/>
        <v/>
      </c>
    </row>
    <row r="2308" spans="27:39" x14ac:dyDescent="0.3">
      <c r="AA2308" t="str">
        <f>IF(COUNTA('Procyclean 220'!C310,'Procyclean 220'!D310,'Procyclean 220'!E310)&gt;0,"220","")</f>
        <v/>
      </c>
      <c r="AB2308" t="str">
        <f>IFERROR(IF(ISNUMBER('Procyclean 220'!C310),'Procyclean 220'!C310,DATEVALUE('Procyclean 220'!C310)),"")</f>
        <v/>
      </c>
      <c r="AC2308" t="str">
        <f>IF(AA2308="","",'Procyclean 220'!D310)</f>
        <v/>
      </c>
      <c r="AD2308" t="str">
        <f>IF(AA2308="","",IFERROR(1*'Procyclean 220'!E310,IFERROR(_xludf.NUMBERVALUE('Procyclean 220'!E310,".",","),IFERROR(_xludf.NUMBERVALUE('Procyclean 220'!E310,",","."),0))))</f>
        <v/>
      </c>
      <c r="AE2308" t="str">
        <f>IF(AA2308="","",'Procyclean 220'!B310)</f>
        <v/>
      </c>
      <c r="AF2308">
        <f t="shared" si="233"/>
        <v>0</v>
      </c>
      <c r="AG2308" t="str">
        <f t="shared" si="234"/>
        <v/>
      </c>
      <c r="AH2308" t="str">
        <f t="shared" si="235"/>
        <v/>
      </c>
      <c r="AI2308">
        <f t="shared" si="236"/>
        <v>0</v>
      </c>
      <c r="AJ2308">
        <f t="shared" si="237"/>
        <v>0</v>
      </c>
      <c r="AK2308">
        <v>0</v>
      </c>
      <c r="AL2308" t="str">
        <f>IF(AA2308="","",IFERROR(IF(ISNUMBER('Procyclean 220'!F310),'Procyclean 220'!F310,IF(ISNUMBER(SEARCH("12",'Procyclean 220'!F310)),EDATE(AB2308,12),IF(ISNUMBER(SEARCH("6",'Procyclean 220'!F310)),EDATE(AB2308,6),IF(ISNUMBER(SEARCH("3",'Procyclean 220'!F310)),EDATE(AB2308,3),DATEVALUE('Procyclean 220'!F310))))),""))</f>
        <v/>
      </c>
      <c r="AM2308" t="str">
        <f t="shared" ca="1" si="238"/>
        <v/>
      </c>
    </row>
    <row r="2309" spans="27:39" x14ac:dyDescent="0.3">
      <c r="AA2309" t="str">
        <f>IF(COUNTA('Procyclean 220'!C311,'Procyclean 220'!D311,'Procyclean 220'!E311)&gt;0,"220","")</f>
        <v/>
      </c>
      <c r="AB2309" t="str">
        <f>IFERROR(IF(ISNUMBER('Procyclean 220'!C311),'Procyclean 220'!C311,DATEVALUE('Procyclean 220'!C311)),"")</f>
        <v/>
      </c>
      <c r="AC2309" t="str">
        <f>IF(AA2309="","",'Procyclean 220'!D311)</f>
        <v/>
      </c>
      <c r="AD2309" t="str">
        <f>IF(AA2309="","",IFERROR(1*'Procyclean 220'!E311,IFERROR(_xludf.NUMBERVALUE('Procyclean 220'!E311,".",","),IFERROR(_xludf.NUMBERVALUE('Procyclean 220'!E311,",","."),0))))</f>
        <v/>
      </c>
      <c r="AE2309" t="str">
        <f>IF(AA2309="","",'Procyclean 220'!B311)</f>
        <v/>
      </c>
      <c r="AF2309">
        <f t="shared" si="233"/>
        <v>0</v>
      </c>
      <c r="AG2309" t="str">
        <f t="shared" si="234"/>
        <v/>
      </c>
      <c r="AH2309" t="str">
        <f t="shared" si="235"/>
        <v/>
      </c>
      <c r="AI2309">
        <f t="shared" si="236"/>
        <v>0</v>
      </c>
      <c r="AJ2309">
        <f t="shared" si="237"/>
        <v>0</v>
      </c>
      <c r="AK2309">
        <v>0</v>
      </c>
      <c r="AL2309" t="str">
        <f>IF(AA2309="","",IFERROR(IF(ISNUMBER('Procyclean 220'!F311),'Procyclean 220'!F311,IF(ISNUMBER(SEARCH("12",'Procyclean 220'!F311)),EDATE(AB2309,12),IF(ISNUMBER(SEARCH("6",'Procyclean 220'!F311)),EDATE(AB2309,6),IF(ISNUMBER(SEARCH("3",'Procyclean 220'!F311)),EDATE(AB2309,3),DATEVALUE('Procyclean 220'!F311))))),""))</f>
        <v/>
      </c>
      <c r="AM2309" t="str">
        <f t="shared" ca="1" si="238"/>
        <v/>
      </c>
    </row>
    <row r="2310" spans="27:39" x14ac:dyDescent="0.3">
      <c r="AA2310" t="str">
        <f>IF(COUNTA('Procyclean 220'!C312,'Procyclean 220'!D312,'Procyclean 220'!E312)&gt;0,"220","")</f>
        <v/>
      </c>
      <c r="AB2310" t="str">
        <f>IFERROR(IF(ISNUMBER('Procyclean 220'!C312),'Procyclean 220'!C312,DATEVALUE('Procyclean 220'!C312)),"")</f>
        <v/>
      </c>
      <c r="AC2310" t="str">
        <f>IF(AA2310="","",'Procyclean 220'!D312)</f>
        <v/>
      </c>
      <c r="AD2310" t="str">
        <f>IF(AA2310="","",IFERROR(1*'Procyclean 220'!E312,IFERROR(_xludf.NUMBERVALUE('Procyclean 220'!E312,".",","),IFERROR(_xludf.NUMBERVALUE('Procyclean 220'!E312,",","."),0))))</f>
        <v/>
      </c>
      <c r="AE2310" t="str">
        <f>IF(AA2310="","",'Procyclean 220'!B312)</f>
        <v/>
      </c>
      <c r="AF2310">
        <f t="shared" si="233"/>
        <v>0</v>
      </c>
      <c r="AG2310" t="str">
        <f t="shared" si="234"/>
        <v/>
      </c>
      <c r="AH2310" t="str">
        <f t="shared" si="235"/>
        <v/>
      </c>
      <c r="AI2310">
        <f t="shared" si="236"/>
        <v>0</v>
      </c>
      <c r="AJ2310">
        <f t="shared" si="237"/>
        <v>0</v>
      </c>
      <c r="AK2310">
        <v>0</v>
      </c>
      <c r="AL2310" t="str">
        <f>IF(AA2310="","",IFERROR(IF(ISNUMBER('Procyclean 220'!F312),'Procyclean 220'!F312,IF(ISNUMBER(SEARCH("12",'Procyclean 220'!F312)),EDATE(AB2310,12),IF(ISNUMBER(SEARCH("6",'Procyclean 220'!F312)),EDATE(AB2310,6),IF(ISNUMBER(SEARCH("3",'Procyclean 220'!F312)),EDATE(AB2310,3),DATEVALUE('Procyclean 220'!F312))))),""))</f>
        <v/>
      </c>
      <c r="AM2310" t="str">
        <f t="shared" ca="1" si="238"/>
        <v/>
      </c>
    </row>
    <row r="2311" spans="27:39" x14ac:dyDescent="0.3">
      <c r="AA2311" t="str">
        <f>IF(COUNTA('Procyclean 220'!C313,'Procyclean 220'!D313,'Procyclean 220'!E313)&gt;0,"220","")</f>
        <v/>
      </c>
      <c r="AB2311" t="str">
        <f>IFERROR(IF(ISNUMBER('Procyclean 220'!C313),'Procyclean 220'!C313,DATEVALUE('Procyclean 220'!C313)),"")</f>
        <v/>
      </c>
      <c r="AC2311" t="str">
        <f>IF(AA2311="","",'Procyclean 220'!D313)</f>
        <v/>
      </c>
      <c r="AD2311" t="str">
        <f>IF(AA2311="","",IFERROR(1*'Procyclean 220'!E313,IFERROR(_xludf.NUMBERVALUE('Procyclean 220'!E313,".",","),IFERROR(_xludf.NUMBERVALUE('Procyclean 220'!E313,",","."),0))))</f>
        <v/>
      </c>
      <c r="AE2311" t="str">
        <f>IF(AA2311="","",'Procyclean 220'!B313)</f>
        <v/>
      </c>
      <c r="AF2311">
        <f t="shared" si="233"/>
        <v>0</v>
      </c>
      <c r="AG2311" t="str">
        <f t="shared" si="234"/>
        <v/>
      </c>
      <c r="AH2311" t="str">
        <f t="shared" si="235"/>
        <v/>
      </c>
      <c r="AI2311">
        <f t="shared" si="236"/>
        <v>0</v>
      </c>
      <c r="AJ2311">
        <f t="shared" si="237"/>
        <v>0</v>
      </c>
      <c r="AK2311">
        <v>0</v>
      </c>
      <c r="AL2311" t="str">
        <f>IF(AA2311="","",IFERROR(IF(ISNUMBER('Procyclean 220'!F313),'Procyclean 220'!F313,IF(ISNUMBER(SEARCH("12",'Procyclean 220'!F313)),EDATE(AB2311,12),IF(ISNUMBER(SEARCH("6",'Procyclean 220'!F313)),EDATE(AB2311,6),IF(ISNUMBER(SEARCH("3",'Procyclean 220'!F313)),EDATE(AB2311,3),DATEVALUE('Procyclean 220'!F313))))),""))</f>
        <v/>
      </c>
      <c r="AM2311" t="str">
        <f t="shared" ca="1" si="238"/>
        <v/>
      </c>
    </row>
    <row r="2312" spans="27:39" x14ac:dyDescent="0.3">
      <c r="AA2312" t="str">
        <f>IF(COUNTA('Procyclean 220'!C314,'Procyclean 220'!D314,'Procyclean 220'!E314)&gt;0,"220","")</f>
        <v/>
      </c>
      <c r="AB2312" t="str">
        <f>IFERROR(IF(ISNUMBER('Procyclean 220'!C314),'Procyclean 220'!C314,DATEVALUE('Procyclean 220'!C314)),"")</f>
        <v/>
      </c>
      <c r="AC2312" t="str">
        <f>IF(AA2312="","",'Procyclean 220'!D314)</f>
        <v/>
      </c>
      <c r="AD2312" t="str">
        <f>IF(AA2312="","",IFERROR(1*'Procyclean 220'!E314,IFERROR(_xludf.NUMBERVALUE('Procyclean 220'!E314,".",","),IFERROR(_xludf.NUMBERVALUE('Procyclean 220'!E314,",","."),0))))</f>
        <v/>
      </c>
      <c r="AE2312" t="str">
        <f>IF(AA2312="","",'Procyclean 220'!B314)</f>
        <v/>
      </c>
      <c r="AF2312">
        <f t="shared" si="233"/>
        <v>0</v>
      </c>
      <c r="AG2312" t="str">
        <f t="shared" si="234"/>
        <v/>
      </c>
      <c r="AH2312" t="str">
        <f t="shared" si="235"/>
        <v/>
      </c>
      <c r="AI2312">
        <f t="shared" si="236"/>
        <v>0</v>
      </c>
      <c r="AJ2312">
        <f t="shared" si="237"/>
        <v>0</v>
      </c>
      <c r="AK2312">
        <v>0</v>
      </c>
      <c r="AL2312" t="str">
        <f>IF(AA2312="","",IFERROR(IF(ISNUMBER('Procyclean 220'!F314),'Procyclean 220'!F314,IF(ISNUMBER(SEARCH("12",'Procyclean 220'!F314)),EDATE(AB2312,12),IF(ISNUMBER(SEARCH("6",'Procyclean 220'!F314)),EDATE(AB2312,6),IF(ISNUMBER(SEARCH("3",'Procyclean 220'!F314)),EDATE(AB2312,3),DATEVALUE('Procyclean 220'!F314))))),""))</f>
        <v/>
      </c>
      <c r="AM2312" t="str">
        <f t="shared" ca="1" si="238"/>
        <v/>
      </c>
    </row>
    <row r="2313" spans="27:39" x14ac:dyDescent="0.3">
      <c r="AA2313" t="str">
        <f>IF(COUNTA('Procyclean 220'!C315,'Procyclean 220'!D315,'Procyclean 220'!E315)&gt;0,"220","")</f>
        <v/>
      </c>
      <c r="AB2313" t="str">
        <f>IFERROR(IF(ISNUMBER('Procyclean 220'!C315),'Procyclean 220'!C315,DATEVALUE('Procyclean 220'!C315)),"")</f>
        <v/>
      </c>
      <c r="AC2313" t="str">
        <f>IF(AA2313="","",'Procyclean 220'!D315)</f>
        <v/>
      </c>
      <c r="AD2313" t="str">
        <f>IF(AA2313="","",IFERROR(1*'Procyclean 220'!E315,IFERROR(_xludf.NUMBERVALUE('Procyclean 220'!E315,".",","),IFERROR(_xludf.NUMBERVALUE('Procyclean 220'!E315,",","."),0))))</f>
        <v/>
      </c>
      <c r="AE2313" t="str">
        <f>IF(AA2313="","",'Procyclean 220'!B315)</f>
        <v/>
      </c>
      <c r="AF2313">
        <f t="shared" si="233"/>
        <v>0</v>
      </c>
      <c r="AG2313" t="str">
        <f t="shared" si="234"/>
        <v/>
      </c>
      <c r="AH2313" t="str">
        <f t="shared" si="235"/>
        <v/>
      </c>
      <c r="AI2313">
        <f t="shared" si="236"/>
        <v>0</v>
      </c>
      <c r="AJ2313">
        <f t="shared" si="237"/>
        <v>0</v>
      </c>
      <c r="AK2313">
        <v>0</v>
      </c>
      <c r="AL2313" t="str">
        <f>IF(AA2313="","",IFERROR(IF(ISNUMBER('Procyclean 220'!F315),'Procyclean 220'!F315,IF(ISNUMBER(SEARCH("12",'Procyclean 220'!F315)),EDATE(AB2313,12),IF(ISNUMBER(SEARCH("6",'Procyclean 220'!F315)),EDATE(AB2313,6),IF(ISNUMBER(SEARCH("3",'Procyclean 220'!F315)),EDATE(AB2313,3),DATEVALUE('Procyclean 220'!F315))))),""))</f>
        <v/>
      </c>
      <c r="AM2313" t="str">
        <f t="shared" ca="1" si="238"/>
        <v/>
      </c>
    </row>
    <row r="2314" spans="27:39" x14ac:dyDescent="0.3">
      <c r="AA2314" t="str">
        <f>IF(COUNTA('Procyclean 220'!C316,'Procyclean 220'!D316,'Procyclean 220'!E316)&gt;0,"220","")</f>
        <v/>
      </c>
      <c r="AB2314" t="str">
        <f>IFERROR(IF(ISNUMBER('Procyclean 220'!C316),'Procyclean 220'!C316,DATEVALUE('Procyclean 220'!C316)),"")</f>
        <v/>
      </c>
      <c r="AC2314" t="str">
        <f>IF(AA2314="","",'Procyclean 220'!D316)</f>
        <v/>
      </c>
      <c r="AD2314" t="str">
        <f>IF(AA2314="","",IFERROR(1*'Procyclean 220'!E316,IFERROR(_xludf.NUMBERVALUE('Procyclean 220'!E316,".",","),IFERROR(_xludf.NUMBERVALUE('Procyclean 220'!E316,",","."),0))))</f>
        <v/>
      </c>
      <c r="AE2314" t="str">
        <f>IF(AA2314="","",'Procyclean 220'!B316)</f>
        <v/>
      </c>
      <c r="AF2314">
        <f t="shared" si="233"/>
        <v>0</v>
      </c>
      <c r="AG2314" t="str">
        <f t="shared" si="234"/>
        <v/>
      </c>
      <c r="AH2314" t="str">
        <f t="shared" si="235"/>
        <v/>
      </c>
      <c r="AI2314">
        <f t="shared" si="236"/>
        <v>0</v>
      </c>
      <c r="AJ2314">
        <f t="shared" si="237"/>
        <v>0</v>
      </c>
      <c r="AK2314">
        <v>0</v>
      </c>
      <c r="AL2314" t="str">
        <f>IF(AA2314="","",IFERROR(IF(ISNUMBER('Procyclean 220'!F316),'Procyclean 220'!F316,IF(ISNUMBER(SEARCH("12",'Procyclean 220'!F316)),EDATE(AB2314,12),IF(ISNUMBER(SEARCH("6",'Procyclean 220'!F316)),EDATE(AB2314,6),IF(ISNUMBER(SEARCH("3",'Procyclean 220'!F316)),EDATE(AB2314,3),DATEVALUE('Procyclean 220'!F316))))),""))</f>
        <v/>
      </c>
      <c r="AM2314" t="str">
        <f t="shared" ca="1" si="238"/>
        <v/>
      </c>
    </row>
    <row r="2315" spans="27:39" x14ac:dyDescent="0.3">
      <c r="AA2315" t="str">
        <f>IF(COUNTA('Procyclean 220'!C317,'Procyclean 220'!D317,'Procyclean 220'!E317)&gt;0,"220","")</f>
        <v/>
      </c>
      <c r="AB2315" t="str">
        <f>IFERROR(IF(ISNUMBER('Procyclean 220'!C317),'Procyclean 220'!C317,DATEVALUE('Procyclean 220'!C317)),"")</f>
        <v/>
      </c>
      <c r="AC2315" t="str">
        <f>IF(AA2315="","",'Procyclean 220'!D317)</f>
        <v/>
      </c>
      <c r="AD2315" t="str">
        <f>IF(AA2315="","",IFERROR(1*'Procyclean 220'!E317,IFERROR(_xludf.NUMBERVALUE('Procyclean 220'!E317,".",","),IFERROR(_xludf.NUMBERVALUE('Procyclean 220'!E317,",","."),0))))</f>
        <v/>
      </c>
      <c r="AE2315" t="str">
        <f>IF(AA2315="","",'Procyclean 220'!B317)</f>
        <v/>
      </c>
      <c r="AF2315">
        <f t="shared" si="233"/>
        <v>0</v>
      </c>
      <c r="AG2315" t="str">
        <f t="shared" si="234"/>
        <v/>
      </c>
      <c r="AH2315" t="str">
        <f t="shared" si="235"/>
        <v/>
      </c>
      <c r="AI2315">
        <f t="shared" si="236"/>
        <v>0</v>
      </c>
      <c r="AJ2315">
        <f t="shared" si="237"/>
        <v>0</v>
      </c>
      <c r="AK2315">
        <v>0</v>
      </c>
      <c r="AL2315" t="str">
        <f>IF(AA2315="","",IFERROR(IF(ISNUMBER('Procyclean 220'!F317),'Procyclean 220'!F317,IF(ISNUMBER(SEARCH("12",'Procyclean 220'!F317)),EDATE(AB2315,12),IF(ISNUMBER(SEARCH("6",'Procyclean 220'!F317)),EDATE(AB2315,6),IF(ISNUMBER(SEARCH("3",'Procyclean 220'!F317)),EDATE(AB2315,3),DATEVALUE('Procyclean 220'!F317))))),""))</f>
        <v/>
      </c>
      <c r="AM2315" t="str">
        <f t="shared" ca="1" si="238"/>
        <v/>
      </c>
    </row>
    <row r="2316" spans="27:39" x14ac:dyDescent="0.3">
      <c r="AA2316" t="str">
        <f>IF(COUNTA('Procyclean 220'!C318,'Procyclean 220'!D318,'Procyclean 220'!E318)&gt;0,"220","")</f>
        <v/>
      </c>
      <c r="AB2316" t="str">
        <f>IFERROR(IF(ISNUMBER('Procyclean 220'!C318),'Procyclean 220'!C318,DATEVALUE('Procyclean 220'!C318)),"")</f>
        <v/>
      </c>
      <c r="AC2316" t="str">
        <f>IF(AA2316="","",'Procyclean 220'!D318)</f>
        <v/>
      </c>
      <c r="AD2316" t="str">
        <f>IF(AA2316="","",IFERROR(1*'Procyclean 220'!E318,IFERROR(_xludf.NUMBERVALUE('Procyclean 220'!E318,".",","),IFERROR(_xludf.NUMBERVALUE('Procyclean 220'!E318,",","."),0))))</f>
        <v/>
      </c>
      <c r="AE2316" t="str">
        <f>IF(AA2316="","",'Procyclean 220'!B318)</f>
        <v/>
      </c>
      <c r="AF2316">
        <f t="shared" si="233"/>
        <v>0</v>
      </c>
      <c r="AG2316" t="str">
        <f t="shared" si="234"/>
        <v/>
      </c>
      <c r="AH2316" t="str">
        <f t="shared" si="235"/>
        <v/>
      </c>
      <c r="AI2316">
        <f t="shared" si="236"/>
        <v>0</v>
      </c>
      <c r="AJ2316">
        <f t="shared" si="237"/>
        <v>0</v>
      </c>
      <c r="AK2316">
        <v>0</v>
      </c>
      <c r="AL2316" t="str">
        <f>IF(AA2316="","",IFERROR(IF(ISNUMBER('Procyclean 220'!F318),'Procyclean 220'!F318,IF(ISNUMBER(SEARCH("12",'Procyclean 220'!F318)),EDATE(AB2316,12),IF(ISNUMBER(SEARCH("6",'Procyclean 220'!F318)),EDATE(AB2316,6),IF(ISNUMBER(SEARCH("3",'Procyclean 220'!F318)),EDATE(AB2316,3),DATEVALUE('Procyclean 220'!F318))))),""))</f>
        <v/>
      </c>
      <c r="AM2316" t="str">
        <f t="shared" ca="1" si="238"/>
        <v/>
      </c>
    </row>
    <row r="2317" spans="27:39" x14ac:dyDescent="0.3">
      <c r="AA2317" t="str">
        <f>IF(COUNTA('Procyclean 220'!C319,'Procyclean 220'!D319,'Procyclean 220'!E319)&gt;0,"220","")</f>
        <v/>
      </c>
      <c r="AB2317" t="str">
        <f>IFERROR(IF(ISNUMBER('Procyclean 220'!C319),'Procyclean 220'!C319,DATEVALUE('Procyclean 220'!C319)),"")</f>
        <v/>
      </c>
      <c r="AC2317" t="str">
        <f>IF(AA2317="","",'Procyclean 220'!D319)</f>
        <v/>
      </c>
      <c r="AD2317" t="str">
        <f>IF(AA2317="","",IFERROR(1*'Procyclean 220'!E319,IFERROR(_xludf.NUMBERVALUE('Procyclean 220'!E319,".",","),IFERROR(_xludf.NUMBERVALUE('Procyclean 220'!E319,",","."),0))))</f>
        <v/>
      </c>
      <c r="AE2317" t="str">
        <f>IF(AA2317="","",'Procyclean 220'!B319)</f>
        <v/>
      </c>
      <c r="AF2317">
        <f t="shared" si="233"/>
        <v>0</v>
      </c>
      <c r="AG2317" t="str">
        <f t="shared" si="234"/>
        <v/>
      </c>
      <c r="AH2317" t="str">
        <f t="shared" si="235"/>
        <v/>
      </c>
      <c r="AI2317">
        <f t="shared" si="236"/>
        <v>0</v>
      </c>
      <c r="AJ2317">
        <f t="shared" si="237"/>
        <v>0</v>
      </c>
      <c r="AK2317">
        <v>0</v>
      </c>
      <c r="AL2317" t="str">
        <f>IF(AA2317="","",IFERROR(IF(ISNUMBER('Procyclean 220'!F319),'Procyclean 220'!F319,IF(ISNUMBER(SEARCH("12",'Procyclean 220'!F319)),EDATE(AB2317,12),IF(ISNUMBER(SEARCH("6",'Procyclean 220'!F319)),EDATE(AB2317,6),IF(ISNUMBER(SEARCH("3",'Procyclean 220'!F319)),EDATE(AB2317,3),DATEVALUE('Procyclean 220'!F319))))),""))</f>
        <v/>
      </c>
      <c r="AM2317" t="str">
        <f t="shared" ca="1" si="238"/>
        <v/>
      </c>
    </row>
    <row r="2318" spans="27:39" x14ac:dyDescent="0.3">
      <c r="AA2318" t="str">
        <f>IF(COUNTA('Procyclean 220'!C320,'Procyclean 220'!D320,'Procyclean 220'!E320)&gt;0,"220","")</f>
        <v/>
      </c>
      <c r="AB2318" t="str">
        <f>IFERROR(IF(ISNUMBER('Procyclean 220'!C320),'Procyclean 220'!C320,DATEVALUE('Procyclean 220'!C320)),"")</f>
        <v/>
      </c>
      <c r="AC2318" t="str">
        <f>IF(AA2318="","",'Procyclean 220'!D320)</f>
        <v/>
      </c>
      <c r="AD2318" t="str">
        <f>IF(AA2318="","",IFERROR(1*'Procyclean 220'!E320,IFERROR(_xludf.NUMBERVALUE('Procyclean 220'!E320,".",","),IFERROR(_xludf.NUMBERVALUE('Procyclean 220'!E320,",","."),0))))</f>
        <v/>
      </c>
      <c r="AE2318" t="str">
        <f>IF(AA2318="","",'Procyclean 220'!B320)</f>
        <v/>
      </c>
      <c r="AF2318">
        <f t="shared" si="233"/>
        <v>0</v>
      </c>
      <c r="AG2318" t="str">
        <f t="shared" si="234"/>
        <v/>
      </c>
      <c r="AH2318" t="str">
        <f t="shared" si="235"/>
        <v/>
      </c>
      <c r="AI2318">
        <f t="shared" si="236"/>
        <v>0</v>
      </c>
      <c r="AJ2318">
        <f t="shared" si="237"/>
        <v>0</v>
      </c>
      <c r="AK2318">
        <v>0</v>
      </c>
      <c r="AL2318" t="str">
        <f>IF(AA2318="","",IFERROR(IF(ISNUMBER('Procyclean 220'!F320),'Procyclean 220'!F320,IF(ISNUMBER(SEARCH("12",'Procyclean 220'!F320)),EDATE(AB2318,12),IF(ISNUMBER(SEARCH("6",'Procyclean 220'!F320)),EDATE(AB2318,6),IF(ISNUMBER(SEARCH("3",'Procyclean 220'!F320)),EDATE(AB2318,3),DATEVALUE('Procyclean 220'!F320))))),""))</f>
        <v/>
      </c>
      <c r="AM2318" t="str">
        <f t="shared" ca="1" si="238"/>
        <v/>
      </c>
    </row>
    <row r="2319" spans="27:39" x14ac:dyDescent="0.3">
      <c r="AA2319" t="str">
        <f>IF(COUNTA('Procyclean 220'!C321,'Procyclean 220'!D321,'Procyclean 220'!E321)&gt;0,"220","")</f>
        <v/>
      </c>
      <c r="AB2319" t="str">
        <f>IFERROR(IF(ISNUMBER('Procyclean 220'!C321),'Procyclean 220'!C321,DATEVALUE('Procyclean 220'!C321)),"")</f>
        <v/>
      </c>
      <c r="AC2319" t="str">
        <f>IF(AA2319="","",'Procyclean 220'!D321)</f>
        <v/>
      </c>
      <c r="AD2319" t="str">
        <f>IF(AA2319="","",IFERROR(1*'Procyclean 220'!E321,IFERROR(_xludf.NUMBERVALUE('Procyclean 220'!E321,".",","),IFERROR(_xludf.NUMBERVALUE('Procyclean 220'!E321,",","."),0))))</f>
        <v/>
      </c>
      <c r="AE2319" t="str">
        <f>IF(AA2319="","",'Procyclean 220'!B321)</f>
        <v/>
      </c>
      <c r="AF2319">
        <f t="shared" si="233"/>
        <v>0</v>
      </c>
      <c r="AG2319" t="str">
        <f t="shared" si="234"/>
        <v/>
      </c>
      <c r="AH2319" t="str">
        <f t="shared" si="235"/>
        <v/>
      </c>
      <c r="AI2319">
        <f t="shared" si="236"/>
        <v>0</v>
      </c>
      <c r="AJ2319">
        <f t="shared" si="237"/>
        <v>0</v>
      </c>
      <c r="AK2319">
        <v>0</v>
      </c>
      <c r="AL2319" t="str">
        <f>IF(AA2319="","",IFERROR(IF(ISNUMBER('Procyclean 220'!F321),'Procyclean 220'!F321,IF(ISNUMBER(SEARCH("12",'Procyclean 220'!F321)),EDATE(AB2319,12),IF(ISNUMBER(SEARCH("6",'Procyclean 220'!F321)),EDATE(AB2319,6),IF(ISNUMBER(SEARCH("3",'Procyclean 220'!F321)),EDATE(AB2319,3),DATEVALUE('Procyclean 220'!F321))))),""))</f>
        <v/>
      </c>
      <c r="AM2319" t="str">
        <f t="shared" ca="1" si="238"/>
        <v/>
      </c>
    </row>
    <row r="2320" spans="27:39" x14ac:dyDescent="0.3">
      <c r="AA2320" t="str">
        <f>IF(COUNTA('Procyclean 220'!C322,'Procyclean 220'!D322,'Procyclean 220'!E322)&gt;0,"220","")</f>
        <v/>
      </c>
      <c r="AB2320" t="str">
        <f>IFERROR(IF(ISNUMBER('Procyclean 220'!C322),'Procyclean 220'!C322,DATEVALUE('Procyclean 220'!C322)),"")</f>
        <v/>
      </c>
      <c r="AC2320" t="str">
        <f>IF(AA2320="","",'Procyclean 220'!D322)</f>
        <v/>
      </c>
      <c r="AD2320" t="str">
        <f>IF(AA2320="","",IFERROR(1*'Procyclean 220'!E322,IFERROR(_xludf.NUMBERVALUE('Procyclean 220'!E322,".",","),IFERROR(_xludf.NUMBERVALUE('Procyclean 220'!E322,",","."),0))))</f>
        <v/>
      </c>
      <c r="AE2320" t="str">
        <f>IF(AA2320="","",'Procyclean 220'!B322)</f>
        <v/>
      </c>
      <c r="AF2320">
        <f t="shared" si="233"/>
        <v>0</v>
      </c>
      <c r="AG2320" t="str">
        <f t="shared" si="234"/>
        <v/>
      </c>
      <c r="AH2320" t="str">
        <f t="shared" si="235"/>
        <v/>
      </c>
      <c r="AI2320">
        <f t="shared" si="236"/>
        <v>0</v>
      </c>
      <c r="AJ2320">
        <f t="shared" si="237"/>
        <v>0</v>
      </c>
      <c r="AK2320">
        <v>0</v>
      </c>
      <c r="AL2320" t="str">
        <f>IF(AA2320="","",IFERROR(IF(ISNUMBER('Procyclean 220'!F322),'Procyclean 220'!F322,IF(ISNUMBER(SEARCH("12",'Procyclean 220'!F322)),EDATE(AB2320,12),IF(ISNUMBER(SEARCH("6",'Procyclean 220'!F322)),EDATE(AB2320,6),IF(ISNUMBER(SEARCH("3",'Procyclean 220'!F322)),EDATE(AB2320,3),DATEVALUE('Procyclean 220'!F322))))),""))</f>
        <v/>
      </c>
      <c r="AM2320" t="str">
        <f t="shared" ca="1" si="238"/>
        <v/>
      </c>
    </row>
    <row r="2321" spans="27:39" x14ac:dyDescent="0.3">
      <c r="AA2321" t="str">
        <f>IF(COUNTA('Procyclean 220'!C323,'Procyclean 220'!D323,'Procyclean 220'!E323)&gt;0,"220","")</f>
        <v/>
      </c>
      <c r="AB2321" t="str">
        <f>IFERROR(IF(ISNUMBER('Procyclean 220'!C323),'Procyclean 220'!C323,DATEVALUE('Procyclean 220'!C323)),"")</f>
        <v/>
      </c>
      <c r="AC2321" t="str">
        <f>IF(AA2321="","",'Procyclean 220'!D323)</f>
        <v/>
      </c>
      <c r="AD2321" t="str">
        <f>IF(AA2321="","",IFERROR(1*'Procyclean 220'!E323,IFERROR(_xludf.NUMBERVALUE('Procyclean 220'!E323,".",","),IFERROR(_xludf.NUMBERVALUE('Procyclean 220'!E323,",","."),0))))</f>
        <v/>
      </c>
      <c r="AE2321" t="str">
        <f>IF(AA2321="","",'Procyclean 220'!B323)</f>
        <v/>
      </c>
      <c r="AF2321">
        <f t="shared" si="233"/>
        <v>0</v>
      </c>
      <c r="AG2321" t="str">
        <f t="shared" si="234"/>
        <v/>
      </c>
      <c r="AH2321" t="str">
        <f t="shared" si="235"/>
        <v/>
      </c>
      <c r="AI2321">
        <f t="shared" si="236"/>
        <v>0</v>
      </c>
      <c r="AJ2321">
        <f t="shared" si="237"/>
        <v>0</v>
      </c>
      <c r="AK2321">
        <v>0</v>
      </c>
      <c r="AL2321" t="str">
        <f>IF(AA2321="","",IFERROR(IF(ISNUMBER('Procyclean 220'!F323),'Procyclean 220'!F323,IF(ISNUMBER(SEARCH("12",'Procyclean 220'!F323)),EDATE(AB2321,12),IF(ISNUMBER(SEARCH("6",'Procyclean 220'!F323)),EDATE(AB2321,6),IF(ISNUMBER(SEARCH("3",'Procyclean 220'!F323)),EDATE(AB2321,3),DATEVALUE('Procyclean 220'!F323))))),""))</f>
        <v/>
      </c>
      <c r="AM2321" t="str">
        <f t="shared" ca="1" si="238"/>
        <v/>
      </c>
    </row>
    <row r="2322" spans="27:39" x14ac:dyDescent="0.3">
      <c r="AA2322" t="str">
        <f>IF(COUNTA('Procyclean 220'!C324,'Procyclean 220'!D324,'Procyclean 220'!E324)&gt;0,"220","")</f>
        <v/>
      </c>
      <c r="AB2322" t="str">
        <f>IFERROR(IF(ISNUMBER('Procyclean 220'!C324),'Procyclean 220'!C324,DATEVALUE('Procyclean 220'!C324)),"")</f>
        <v/>
      </c>
      <c r="AC2322" t="str">
        <f>IF(AA2322="","",'Procyclean 220'!D324)</f>
        <v/>
      </c>
      <c r="AD2322" t="str">
        <f>IF(AA2322="","",IFERROR(1*'Procyclean 220'!E324,IFERROR(_xludf.NUMBERVALUE('Procyclean 220'!E324,".",","),IFERROR(_xludf.NUMBERVALUE('Procyclean 220'!E324,",","."),0))))</f>
        <v/>
      </c>
      <c r="AE2322" t="str">
        <f>IF(AA2322="","",'Procyclean 220'!B324)</f>
        <v/>
      </c>
      <c r="AF2322">
        <f t="shared" si="233"/>
        <v>0</v>
      </c>
      <c r="AG2322" t="str">
        <f t="shared" si="234"/>
        <v/>
      </c>
      <c r="AH2322" t="str">
        <f t="shared" si="235"/>
        <v/>
      </c>
      <c r="AI2322">
        <f t="shared" si="236"/>
        <v>0</v>
      </c>
      <c r="AJ2322">
        <f t="shared" si="237"/>
        <v>0</v>
      </c>
      <c r="AK2322">
        <v>0</v>
      </c>
      <c r="AL2322" t="str">
        <f>IF(AA2322="","",IFERROR(IF(ISNUMBER('Procyclean 220'!F324),'Procyclean 220'!F324,IF(ISNUMBER(SEARCH("12",'Procyclean 220'!F324)),EDATE(AB2322,12),IF(ISNUMBER(SEARCH("6",'Procyclean 220'!F324)),EDATE(AB2322,6),IF(ISNUMBER(SEARCH("3",'Procyclean 220'!F324)),EDATE(AB2322,3),DATEVALUE('Procyclean 220'!F324))))),""))</f>
        <v/>
      </c>
      <c r="AM2322" t="str">
        <f t="shared" ca="1" si="238"/>
        <v/>
      </c>
    </row>
    <row r="2323" spans="27:39" x14ac:dyDescent="0.3">
      <c r="AA2323" t="str">
        <f>IF(COUNTA('Procyclean 220'!C325,'Procyclean 220'!D325,'Procyclean 220'!E325)&gt;0,"220","")</f>
        <v/>
      </c>
      <c r="AB2323" t="str">
        <f>IFERROR(IF(ISNUMBER('Procyclean 220'!C325),'Procyclean 220'!C325,DATEVALUE('Procyclean 220'!C325)),"")</f>
        <v/>
      </c>
      <c r="AC2323" t="str">
        <f>IF(AA2323="","",'Procyclean 220'!D325)</f>
        <v/>
      </c>
      <c r="AD2323" t="str">
        <f>IF(AA2323="","",IFERROR(1*'Procyclean 220'!E325,IFERROR(_xludf.NUMBERVALUE('Procyclean 220'!E325,".",","),IFERROR(_xludf.NUMBERVALUE('Procyclean 220'!E325,",","."),0))))</f>
        <v/>
      </c>
      <c r="AE2323" t="str">
        <f>IF(AA2323="","",'Procyclean 220'!B325)</f>
        <v/>
      </c>
      <c r="AF2323">
        <f t="shared" si="233"/>
        <v>0</v>
      </c>
      <c r="AG2323" t="str">
        <f t="shared" si="234"/>
        <v/>
      </c>
      <c r="AH2323" t="str">
        <f t="shared" si="235"/>
        <v/>
      </c>
      <c r="AI2323">
        <f t="shared" si="236"/>
        <v>0</v>
      </c>
      <c r="AJ2323">
        <f t="shared" si="237"/>
        <v>0</v>
      </c>
      <c r="AK2323">
        <v>0</v>
      </c>
      <c r="AL2323" t="str">
        <f>IF(AA2323="","",IFERROR(IF(ISNUMBER('Procyclean 220'!F325),'Procyclean 220'!F325,IF(ISNUMBER(SEARCH("12",'Procyclean 220'!F325)),EDATE(AB2323,12),IF(ISNUMBER(SEARCH("6",'Procyclean 220'!F325)),EDATE(AB2323,6),IF(ISNUMBER(SEARCH("3",'Procyclean 220'!F325)),EDATE(AB2323,3),DATEVALUE('Procyclean 220'!F325))))),""))</f>
        <v/>
      </c>
      <c r="AM2323" t="str">
        <f t="shared" ca="1" si="238"/>
        <v/>
      </c>
    </row>
    <row r="2324" spans="27:39" x14ac:dyDescent="0.3">
      <c r="AA2324" t="str">
        <f>IF(COUNTA('Procyclean 220'!C326,'Procyclean 220'!D326,'Procyclean 220'!E326)&gt;0,"220","")</f>
        <v/>
      </c>
      <c r="AB2324" t="str">
        <f>IFERROR(IF(ISNUMBER('Procyclean 220'!C326),'Procyclean 220'!C326,DATEVALUE('Procyclean 220'!C326)),"")</f>
        <v/>
      </c>
      <c r="AC2324" t="str">
        <f>IF(AA2324="","",'Procyclean 220'!D326)</f>
        <v/>
      </c>
      <c r="AD2324" t="str">
        <f>IF(AA2324="","",IFERROR(1*'Procyclean 220'!E326,IFERROR(_xludf.NUMBERVALUE('Procyclean 220'!E326,".",","),IFERROR(_xludf.NUMBERVALUE('Procyclean 220'!E326,",","."),0))))</f>
        <v/>
      </c>
      <c r="AE2324" t="str">
        <f>IF(AA2324="","",'Procyclean 220'!B326)</f>
        <v/>
      </c>
      <c r="AF2324">
        <f t="shared" si="233"/>
        <v>0</v>
      </c>
      <c r="AG2324" t="str">
        <f t="shared" si="234"/>
        <v/>
      </c>
      <c r="AH2324" t="str">
        <f t="shared" si="235"/>
        <v/>
      </c>
      <c r="AI2324">
        <f t="shared" si="236"/>
        <v>0</v>
      </c>
      <c r="AJ2324">
        <f t="shared" si="237"/>
        <v>0</v>
      </c>
      <c r="AK2324">
        <v>0</v>
      </c>
      <c r="AL2324" t="str">
        <f>IF(AA2324="","",IFERROR(IF(ISNUMBER('Procyclean 220'!F326),'Procyclean 220'!F326,IF(ISNUMBER(SEARCH("12",'Procyclean 220'!F326)),EDATE(AB2324,12),IF(ISNUMBER(SEARCH("6",'Procyclean 220'!F326)),EDATE(AB2324,6),IF(ISNUMBER(SEARCH("3",'Procyclean 220'!F326)),EDATE(AB2324,3),DATEVALUE('Procyclean 220'!F326))))),""))</f>
        <v/>
      </c>
      <c r="AM2324" t="str">
        <f t="shared" ca="1" si="238"/>
        <v/>
      </c>
    </row>
    <row r="2325" spans="27:39" x14ac:dyDescent="0.3">
      <c r="AA2325" t="str">
        <f>IF(COUNTA('Procyclean 220'!C327,'Procyclean 220'!D327,'Procyclean 220'!E327)&gt;0,"220","")</f>
        <v/>
      </c>
      <c r="AB2325" t="str">
        <f>IFERROR(IF(ISNUMBER('Procyclean 220'!C327),'Procyclean 220'!C327,DATEVALUE('Procyclean 220'!C327)),"")</f>
        <v/>
      </c>
      <c r="AC2325" t="str">
        <f>IF(AA2325="","",'Procyclean 220'!D327)</f>
        <v/>
      </c>
      <c r="AD2325" t="str">
        <f>IF(AA2325="","",IFERROR(1*'Procyclean 220'!E327,IFERROR(_xludf.NUMBERVALUE('Procyclean 220'!E327,".",","),IFERROR(_xludf.NUMBERVALUE('Procyclean 220'!E327,",","."),0))))</f>
        <v/>
      </c>
      <c r="AE2325" t="str">
        <f>IF(AA2325="","",'Procyclean 220'!B327)</f>
        <v/>
      </c>
      <c r="AF2325">
        <f t="shared" si="233"/>
        <v>0</v>
      </c>
      <c r="AG2325" t="str">
        <f t="shared" si="234"/>
        <v/>
      </c>
      <c r="AH2325" t="str">
        <f t="shared" si="235"/>
        <v/>
      </c>
      <c r="AI2325">
        <f t="shared" si="236"/>
        <v>0</v>
      </c>
      <c r="AJ2325">
        <f t="shared" si="237"/>
        <v>0</v>
      </c>
      <c r="AK2325">
        <v>0</v>
      </c>
      <c r="AL2325" t="str">
        <f>IF(AA2325="","",IFERROR(IF(ISNUMBER('Procyclean 220'!F327),'Procyclean 220'!F327,IF(ISNUMBER(SEARCH("12",'Procyclean 220'!F327)),EDATE(AB2325,12),IF(ISNUMBER(SEARCH("6",'Procyclean 220'!F327)),EDATE(AB2325,6),IF(ISNUMBER(SEARCH("3",'Procyclean 220'!F327)),EDATE(AB2325,3),DATEVALUE('Procyclean 220'!F327))))),""))</f>
        <v/>
      </c>
      <c r="AM2325" t="str">
        <f t="shared" ca="1" si="238"/>
        <v/>
      </c>
    </row>
    <row r="2326" spans="27:39" x14ac:dyDescent="0.3">
      <c r="AA2326" t="str">
        <f>IF(COUNTA('Procyclean 220'!C328,'Procyclean 220'!D328,'Procyclean 220'!E328)&gt;0,"220","")</f>
        <v/>
      </c>
      <c r="AB2326" t="str">
        <f>IFERROR(IF(ISNUMBER('Procyclean 220'!C328),'Procyclean 220'!C328,DATEVALUE('Procyclean 220'!C328)),"")</f>
        <v/>
      </c>
      <c r="AC2326" t="str">
        <f>IF(AA2326="","",'Procyclean 220'!D328)</f>
        <v/>
      </c>
      <c r="AD2326" t="str">
        <f>IF(AA2326="","",IFERROR(1*'Procyclean 220'!E328,IFERROR(_xludf.NUMBERVALUE('Procyclean 220'!E328,".",","),IFERROR(_xludf.NUMBERVALUE('Procyclean 220'!E328,",","."),0))))</f>
        <v/>
      </c>
      <c r="AE2326" t="str">
        <f>IF(AA2326="","",'Procyclean 220'!B328)</f>
        <v/>
      </c>
      <c r="AF2326">
        <f t="shared" si="233"/>
        <v>0</v>
      </c>
      <c r="AG2326" t="str">
        <f t="shared" si="234"/>
        <v/>
      </c>
      <c r="AH2326" t="str">
        <f t="shared" si="235"/>
        <v/>
      </c>
      <c r="AI2326">
        <f t="shared" si="236"/>
        <v>0</v>
      </c>
      <c r="AJ2326">
        <f t="shared" si="237"/>
        <v>0</v>
      </c>
      <c r="AK2326">
        <v>0</v>
      </c>
      <c r="AL2326" t="str">
        <f>IF(AA2326="","",IFERROR(IF(ISNUMBER('Procyclean 220'!F328),'Procyclean 220'!F328,IF(ISNUMBER(SEARCH("12",'Procyclean 220'!F328)),EDATE(AB2326,12),IF(ISNUMBER(SEARCH("6",'Procyclean 220'!F328)),EDATE(AB2326,6),IF(ISNUMBER(SEARCH("3",'Procyclean 220'!F328)),EDATE(AB2326,3),DATEVALUE('Procyclean 220'!F328))))),""))</f>
        <v/>
      </c>
      <c r="AM2326" t="str">
        <f t="shared" ca="1" si="238"/>
        <v/>
      </c>
    </row>
    <row r="2327" spans="27:39" x14ac:dyDescent="0.3">
      <c r="AA2327" t="str">
        <f>IF(COUNTA('Procyclean 220'!C329,'Procyclean 220'!D329,'Procyclean 220'!E329)&gt;0,"220","")</f>
        <v/>
      </c>
      <c r="AB2327" t="str">
        <f>IFERROR(IF(ISNUMBER('Procyclean 220'!C329),'Procyclean 220'!C329,DATEVALUE('Procyclean 220'!C329)),"")</f>
        <v/>
      </c>
      <c r="AC2327" t="str">
        <f>IF(AA2327="","",'Procyclean 220'!D329)</f>
        <v/>
      </c>
      <c r="AD2327" t="str">
        <f>IF(AA2327="","",IFERROR(1*'Procyclean 220'!E329,IFERROR(_xludf.NUMBERVALUE('Procyclean 220'!E329,".",","),IFERROR(_xludf.NUMBERVALUE('Procyclean 220'!E329,",","."),0))))</f>
        <v/>
      </c>
      <c r="AE2327" t="str">
        <f>IF(AA2327="","",'Procyclean 220'!B329)</f>
        <v/>
      </c>
      <c r="AF2327">
        <f t="shared" si="233"/>
        <v>0</v>
      </c>
      <c r="AG2327" t="str">
        <f t="shared" si="234"/>
        <v/>
      </c>
      <c r="AH2327" t="str">
        <f t="shared" si="235"/>
        <v/>
      </c>
      <c r="AI2327">
        <f t="shared" si="236"/>
        <v>0</v>
      </c>
      <c r="AJ2327">
        <f t="shared" si="237"/>
        <v>0</v>
      </c>
      <c r="AK2327">
        <v>0</v>
      </c>
      <c r="AL2327" t="str">
        <f>IF(AA2327="","",IFERROR(IF(ISNUMBER('Procyclean 220'!F329),'Procyclean 220'!F329,IF(ISNUMBER(SEARCH("12",'Procyclean 220'!F329)),EDATE(AB2327,12),IF(ISNUMBER(SEARCH("6",'Procyclean 220'!F329)),EDATE(AB2327,6),IF(ISNUMBER(SEARCH("3",'Procyclean 220'!F329)),EDATE(AB2327,3),DATEVALUE('Procyclean 220'!F329))))),""))</f>
        <v/>
      </c>
      <c r="AM2327" t="str">
        <f t="shared" ca="1" si="238"/>
        <v/>
      </c>
    </row>
    <row r="2328" spans="27:39" x14ac:dyDescent="0.3">
      <c r="AA2328" t="str">
        <f>IF(COUNTA('Procyclean 220'!C330,'Procyclean 220'!D330,'Procyclean 220'!E330)&gt;0,"220","")</f>
        <v/>
      </c>
      <c r="AB2328" t="str">
        <f>IFERROR(IF(ISNUMBER('Procyclean 220'!C330),'Procyclean 220'!C330,DATEVALUE('Procyclean 220'!C330)),"")</f>
        <v/>
      </c>
      <c r="AC2328" t="str">
        <f>IF(AA2328="","",'Procyclean 220'!D330)</f>
        <v/>
      </c>
      <c r="AD2328" t="str">
        <f>IF(AA2328="","",IFERROR(1*'Procyclean 220'!E330,IFERROR(_xludf.NUMBERVALUE('Procyclean 220'!E330,".",","),IFERROR(_xludf.NUMBERVALUE('Procyclean 220'!E330,",","."),0))))</f>
        <v/>
      </c>
      <c r="AE2328" t="str">
        <f>IF(AA2328="","",'Procyclean 220'!B330)</f>
        <v/>
      </c>
      <c r="AF2328">
        <f t="shared" si="233"/>
        <v>0</v>
      </c>
      <c r="AG2328" t="str">
        <f t="shared" si="234"/>
        <v/>
      </c>
      <c r="AH2328" t="str">
        <f t="shared" si="235"/>
        <v/>
      </c>
      <c r="AI2328">
        <f t="shared" si="236"/>
        <v>0</v>
      </c>
      <c r="AJ2328">
        <f t="shared" si="237"/>
        <v>0</v>
      </c>
      <c r="AK2328">
        <v>0</v>
      </c>
      <c r="AL2328" t="str">
        <f>IF(AA2328="","",IFERROR(IF(ISNUMBER('Procyclean 220'!F330),'Procyclean 220'!F330,IF(ISNUMBER(SEARCH("12",'Procyclean 220'!F330)),EDATE(AB2328,12),IF(ISNUMBER(SEARCH("6",'Procyclean 220'!F330)),EDATE(AB2328,6),IF(ISNUMBER(SEARCH("3",'Procyclean 220'!F330)),EDATE(AB2328,3),DATEVALUE('Procyclean 220'!F330))))),""))</f>
        <v/>
      </c>
      <c r="AM2328" t="str">
        <f t="shared" ca="1" si="238"/>
        <v/>
      </c>
    </row>
    <row r="2329" spans="27:39" x14ac:dyDescent="0.3">
      <c r="AA2329" t="str">
        <f>IF(COUNTA('Procyclean 220'!C331,'Procyclean 220'!D331,'Procyclean 220'!E331)&gt;0,"220","")</f>
        <v/>
      </c>
      <c r="AB2329" t="str">
        <f>IFERROR(IF(ISNUMBER('Procyclean 220'!C331),'Procyclean 220'!C331,DATEVALUE('Procyclean 220'!C331)),"")</f>
        <v/>
      </c>
      <c r="AC2329" t="str">
        <f>IF(AA2329="","",'Procyclean 220'!D331)</f>
        <v/>
      </c>
      <c r="AD2329" t="str">
        <f>IF(AA2329="","",IFERROR(1*'Procyclean 220'!E331,IFERROR(_xludf.NUMBERVALUE('Procyclean 220'!E331,".",","),IFERROR(_xludf.NUMBERVALUE('Procyclean 220'!E331,",","."),0))))</f>
        <v/>
      </c>
      <c r="AE2329" t="str">
        <f>IF(AA2329="","",'Procyclean 220'!B331)</f>
        <v/>
      </c>
      <c r="AF2329">
        <f t="shared" si="233"/>
        <v>0</v>
      </c>
      <c r="AG2329" t="str">
        <f t="shared" si="234"/>
        <v/>
      </c>
      <c r="AH2329" t="str">
        <f t="shared" si="235"/>
        <v/>
      </c>
      <c r="AI2329">
        <f t="shared" si="236"/>
        <v>0</v>
      </c>
      <c r="AJ2329">
        <f t="shared" si="237"/>
        <v>0</v>
      </c>
      <c r="AK2329">
        <v>0</v>
      </c>
      <c r="AL2329" t="str">
        <f>IF(AA2329="","",IFERROR(IF(ISNUMBER('Procyclean 220'!F331),'Procyclean 220'!F331,IF(ISNUMBER(SEARCH("12",'Procyclean 220'!F331)),EDATE(AB2329,12),IF(ISNUMBER(SEARCH("6",'Procyclean 220'!F331)),EDATE(AB2329,6),IF(ISNUMBER(SEARCH("3",'Procyclean 220'!F331)),EDATE(AB2329,3),DATEVALUE('Procyclean 220'!F331))))),""))</f>
        <v/>
      </c>
      <c r="AM2329" t="str">
        <f t="shared" ca="1" si="238"/>
        <v/>
      </c>
    </row>
    <row r="2330" spans="27:39" x14ac:dyDescent="0.3">
      <c r="AA2330" t="str">
        <f>IF(COUNTA('Procyclean 220'!C332,'Procyclean 220'!D332,'Procyclean 220'!E332)&gt;0,"220","")</f>
        <v/>
      </c>
      <c r="AB2330" t="str">
        <f>IFERROR(IF(ISNUMBER('Procyclean 220'!C332),'Procyclean 220'!C332,DATEVALUE('Procyclean 220'!C332)),"")</f>
        <v/>
      </c>
      <c r="AC2330" t="str">
        <f>IF(AA2330="","",'Procyclean 220'!D332)</f>
        <v/>
      </c>
      <c r="AD2330" t="str">
        <f>IF(AA2330="","",IFERROR(1*'Procyclean 220'!E332,IFERROR(_xludf.NUMBERVALUE('Procyclean 220'!E332,".",","),IFERROR(_xludf.NUMBERVALUE('Procyclean 220'!E332,",","."),0))))</f>
        <v/>
      </c>
      <c r="AE2330" t="str">
        <f>IF(AA2330="","",'Procyclean 220'!B332)</f>
        <v/>
      </c>
      <c r="AF2330">
        <f t="shared" si="233"/>
        <v>0</v>
      </c>
      <c r="AG2330" t="str">
        <f t="shared" si="234"/>
        <v/>
      </c>
      <c r="AH2330" t="str">
        <f t="shared" si="235"/>
        <v/>
      </c>
      <c r="AI2330">
        <f t="shared" si="236"/>
        <v>0</v>
      </c>
      <c r="AJ2330">
        <f t="shared" si="237"/>
        <v>0</v>
      </c>
      <c r="AK2330">
        <v>0</v>
      </c>
      <c r="AL2330" t="str">
        <f>IF(AA2330="","",IFERROR(IF(ISNUMBER('Procyclean 220'!F332),'Procyclean 220'!F332,IF(ISNUMBER(SEARCH("12",'Procyclean 220'!F332)),EDATE(AB2330,12),IF(ISNUMBER(SEARCH("6",'Procyclean 220'!F332)),EDATE(AB2330,6),IF(ISNUMBER(SEARCH("3",'Procyclean 220'!F332)),EDATE(AB2330,3),DATEVALUE('Procyclean 220'!F332))))),""))</f>
        <v/>
      </c>
      <c r="AM2330" t="str">
        <f t="shared" ca="1" si="238"/>
        <v/>
      </c>
    </row>
    <row r="2331" spans="27:39" x14ac:dyDescent="0.3">
      <c r="AA2331" t="str">
        <f>IF(COUNTA('Procyclean 220'!C333,'Procyclean 220'!D333,'Procyclean 220'!E333)&gt;0,"220","")</f>
        <v/>
      </c>
      <c r="AB2331" t="str">
        <f>IFERROR(IF(ISNUMBER('Procyclean 220'!C333),'Procyclean 220'!C333,DATEVALUE('Procyclean 220'!C333)),"")</f>
        <v/>
      </c>
      <c r="AC2331" t="str">
        <f>IF(AA2331="","",'Procyclean 220'!D333)</f>
        <v/>
      </c>
      <c r="AD2331" t="str">
        <f>IF(AA2331="","",IFERROR(1*'Procyclean 220'!E333,IFERROR(_xludf.NUMBERVALUE('Procyclean 220'!E333,".",","),IFERROR(_xludf.NUMBERVALUE('Procyclean 220'!E333,",","."),0))))</f>
        <v/>
      </c>
      <c r="AE2331" t="str">
        <f>IF(AA2331="","",'Procyclean 220'!B333)</f>
        <v/>
      </c>
      <c r="AF2331">
        <f t="shared" si="233"/>
        <v>0</v>
      </c>
      <c r="AG2331" t="str">
        <f t="shared" si="234"/>
        <v/>
      </c>
      <c r="AH2331" t="str">
        <f t="shared" si="235"/>
        <v/>
      </c>
      <c r="AI2331">
        <f t="shared" si="236"/>
        <v>0</v>
      </c>
      <c r="AJ2331">
        <f t="shared" si="237"/>
        <v>0</v>
      </c>
      <c r="AK2331">
        <v>0</v>
      </c>
      <c r="AL2331" t="str">
        <f>IF(AA2331="","",IFERROR(IF(ISNUMBER('Procyclean 220'!F333),'Procyclean 220'!F333,IF(ISNUMBER(SEARCH("12",'Procyclean 220'!F333)),EDATE(AB2331,12),IF(ISNUMBER(SEARCH("6",'Procyclean 220'!F333)),EDATE(AB2331,6),IF(ISNUMBER(SEARCH("3",'Procyclean 220'!F333)),EDATE(AB2331,3),DATEVALUE('Procyclean 220'!F333))))),""))</f>
        <v/>
      </c>
      <c r="AM2331" t="str">
        <f t="shared" ca="1" si="238"/>
        <v/>
      </c>
    </row>
    <row r="2332" spans="27:39" x14ac:dyDescent="0.3">
      <c r="AA2332" t="str">
        <f>IF(COUNTA('Procyclean 220'!C334,'Procyclean 220'!D334,'Procyclean 220'!E334)&gt;0,"220","")</f>
        <v/>
      </c>
      <c r="AB2332" t="str">
        <f>IFERROR(IF(ISNUMBER('Procyclean 220'!C334),'Procyclean 220'!C334,DATEVALUE('Procyclean 220'!C334)),"")</f>
        <v/>
      </c>
      <c r="AC2332" t="str">
        <f>IF(AA2332="","",'Procyclean 220'!D334)</f>
        <v/>
      </c>
      <c r="AD2332" t="str">
        <f>IF(AA2332="","",IFERROR(1*'Procyclean 220'!E334,IFERROR(_xludf.NUMBERVALUE('Procyclean 220'!E334,".",","),IFERROR(_xludf.NUMBERVALUE('Procyclean 220'!E334,",","."),0))))</f>
        <v/>
      </c>
      <c r="AE2332" t="str">
        <f>IF(AA2332="","",'Procyclean 220'!B334)</f>
        <v/>
      </c>
      <c r="AF2332">
        <f t="shared" si="233"/>
        <v>0</v>
      </c>
      <c r="AG2332" t="str">
        <f t="shared" si="234"/>
        <v/>
      </c>
      <c r="AH2332" t="str">
        <f t="shared" si="235"/>
        <v/>
      </c>
      <c r="AI2332">
        <f t="shared" si="236"/>
        <v>0</v>
      </c>
      <c r="AJ2332">
        <f t="shared" si="237"/>
        <v>0</v>
      </c>
      <c r="AK2332">
        <v>0</v>
      </c>
      <c r="AL2332" t="str">
        <f>IF(AA2332="","",IFERROR(IF(ISNUMBER('Procyclean 220'!F334),'Procyclean 220'!F334,IF(ISNUMBER(SEARCH("12",'Procyclean 220'!F334)),EDATE(AB2332,12),IF(ISNUMBER(SEARCH("6",'Procyclean 220'!F334)),EDATE(AB2332,6),IF(ISNUMBER(SEARCH("3",'Procyclean 220'!F334)),EDATE(AB2332,3),DATEVALUE('Procyclean 220'!F334))))),""))</f>
        <v/>
      </c>
      <c r="AM2332" t="str">
        <f t="shared" ca="1" si="238"/>
        <v/>
      </c>
    </row>
    <row r="2333" spans="27:39" x14ac:dyDescent="0.3">
      <c r="AA2333" t="str">
        <f>IF(COUNTA('Procyclean 220'!C335,'Procyclean 220'!D335,'Procyclean 220'!E335)&gt;0,"220","")</f>
        <v/>
      </c>
      <c r="AB2333" t="str">
        <f>IFERROR(IF(ISNUMBER('Procyclean 220'!C335),'Procyclean 220'!C335,DATEVALUE('Procyclean 220'!C335)),"")</f>
        <v/>
      </c>
      <c r="AC2333" t="str">
        <f>IF(AA2333="","",'Procyclean 220'!D335)</f>
        <v/>
      </c>
      <c r="AD2333" t="str">
        <f>IF(AA2333="","",IFERROR(1*'Procyclean 220'!E335,IFERROR(_xludf.NUMBERVALUE('Procyclean 220'!E335,".",","),IFERROR(_xludf.NUMBERVALUE('Procyclean 220'!E335,",","."),0))))</f>
        <v/>
      </c>
      <c r="AE2333" t="str">
        <f>IF(AA2333="","",'Procyclean 220'!B335)</f>
        <v/>
      </c>
      <c r="AF2333">
        <f t="shared" si="233"/>
        <v>0</v>
      </c>
      <c r="AG2333" t="str">
        <f t="shared" si="234"/>
        <v/>
      </c>
      <c r="AH2333" t="str">
        <f t="shared" si="235"/>
        <v/>
      </c>
      <c r="AI2333">
        <f t="shared" si="236"/>
        <v>0</v>
      </c>
      <c r="AJ2333">
        <f t="shared" si="237"/>
        <v>0</v>
      </c>
      <c r="AK2333">
        <v>0</v>
      </c>
      <c r="AL2333" t="str">
        <f>IF(AA2333="","",IFERROR(IF(ISNUMBER('Procyclean 220'!F335),'Procyclean 220'!F335,IF(ISNUMBER(SEARCH("12",'Procyclean 220'!F335)),EDATE(AB2333,12),IF(ISNUMBER(SEARCH("6",'Procyclean 220'!F335)),EDATE(AB2333,6),IF(ISNUMBER(SEARCH("3",'Procyclean 220'!F335)),EDATE(AB2333,3),DATEVALUE('Procyclean 220'!F335))))),""))</f>
        <v/>
      </c>
      <c r="AM2333" t="str">
        <f t="shared" ca="1" si="238"/>
        <v/>
      </c>
    </row>
    <row r="2334" spans="27:39" x14ac:dyDescent="0.3">
      <c r="AA2334" t="str">
        <f>IF(COUNTA('Procyclean 220'!C336,'Procyclean 220'!D336,'Procyclean 220'!E336)&gt;0,"220","")</f>
        <v/>
      </c>
      <c r="AB2334" t="str">
        <f>IFERROR(IF(ISNUMBER('Procyclean 220'!C336),'Procyclean 220'!C336,DATEVALUE('Procyclean 220'!C336)),"")</f>
        <v/>
      </c>
      <c r="AC2334" t="str">
        <f>IF(AA2334="","",'Procyclean 220'!D336)</f>
        <v/>
      </c>
      <c r="AD2334" t="str">
        <f>IF(AA2334="","",IFERROR(1*'Procyclean 220'!E336,IFERROR(_xludf.NUMBERVALUE('Procyclean 220'!E336,".",","),IFERROR(_xludf.NUMBERVALUE('Procyclean 220'!E336,",","."),0))))</f>
        <v/>
      </c>
      <c r="AE2334" t="str">
        <f>IF(AA2334="","",'Procyclean 220'!B336)</f>
        <v/>
      </c>
      <c r="AF2334">
        <f t="shared" si="233"/>
        <v>0</v>
      </c>
      <c r="AG2334" t="str">
        <f t="shared" si="234"/>
        <v/>
      </c>
      <c r="AH2334" t="str">
        <f t="shared" si="235"/>
        <v/>
      </c>
      <c r="AI2334">
        <f t="shared" si="236"/>
        <v>0</v>
      </c>
      <c r="AJ2334">
        <f t="shared" si="237"/>
        <v>0</v>
      </c>
      <c r="AK2334">
        <v>0</v>
      </c>
      <c r="AL2334" t="str">
        <f>IF(AA2334="","",IFERROR(IF(ISNUMBER('Procyclean 220'!F336),'Procyclean 220'!F336,IF(ISNUMBER(SEARCH("12",'Procyclean 220'!F336)),EDATE(AB2334,12),IF(ISNUMBER(SEARCH("6",'Procyclean 220'!F336)),EDATE(AB2334,6),IF(ISNUMBER(SEARCH("3",'Procyclean 220'!F336)),EDATE(AB2334,3),DATEVALUE('Procyclean 220'!F336))))),""))</f>
        <v/>
      </c>
      <c r="AM2334" t="str">
        <f t="shared" ca="1" si="238"/>
        <v/>
      </c>
    </row>
    <row r="2335" spans="27:39" x14ac:dyDescent="0.3">
      <c r="AA2335" t="str">
        <f>IF(COUNTA('Procyclean 220'!C337,'Procyclean 220'!D337,'Procyclean 220'!E337)&gt;0,"220","")</f>
        <v/>
      </c>
      <c r="AB2335" t="str">
        <f>IFERROR(IF(ISNUMBER('Procyclean 220'!C337),'Procyclean 220'!C337,DATEVALUE('Procyclean 220'!C337)),"")</f>
        <v/>
      </c>
      <c r="AC2335" t="str">
        <f>IF(AA2335="","",'Procyclean 220'!D337)</f>
        <v/>
      </c>
      <c r="AD2335" t="str">
        <f>IF(AA2335="","",IFERROR(1*'Procyclean 220'!E337,IFERROR(_xludf.NUMBERVALUE('Procyclean 220'!E337,".",","),IFERROR(_xludf.NUMBERVALUE('Procyclean 220'!E337,",","."),0))))</f>
        <v/>
      </c>
      <c r="AE2335" t="str">
        <f>IF(AA2335="","",'Procyclean 220'!B337)</f>
        <v/>
      </c>
      <c r="AF2335">
        <f t="shared" si="233"/>
        <v>0</v>
      </c>
      <c r="AG2335" t="str">
        <f t="shared" si="234"/>
        <v/>
      </c>
      <c r="AH2335" t="str">
        <f t="shared" si="235"/>
        <v/>
      </c>
      <c r="AI2335">
        <f t="shared" si="236"/>
        <v>0</v>
      </c>
      <c r="AJ2335">
        <f t="shared" si="237"/>
        <v>0</v>
      </c>
      <c r="AK2335">
        <v>0</v>
      </c>
      <c r="AL2335" t="str">
        <f>IF(AA2335="","",IFERROR(IF(ISNUMBER('Procyclean 220'!F337),'Procyclean 220'!F337,IF(ISNUMBER(SEARCH("12",'Procyclean 220'!F337)),EDATE(AB2335,12),IF(ISNUMBER(SEARCH("6",'Procyclean 220'!F337)),EDATE(AB2335,6),IF(ISNUMBER(SEARCH("3",'Procyclean 220'!F337)),EDATE(AB2335,3),DATEVALUE('Procyclean 220'!F337))))),""))</f>
        <v/>
      </c>
      <c r="AM2335" t="str">
        <f t="shared" ca="1" si="238"/>
        <v/>
      </c>
    </row>
    <row r="2336" spans="27:39" x14ac:dyDescent="0.3">
      <c r="AA2336" t="str">
        <f>IF(COUNTA('Procyclean 220'!C338,'Procyclean 220'!D338,'Procyclean 220'!E338)&gt;0,"220","")</f>
        <v/>
      </c>
      <c r="AB2336" t="str">
        <f>IFERROR(IF(ISNUMBER('Procyclean 220'!C338),'Procyclean 220'!C338,DATEVALUE('Procyclean 220'!C338)),"")</f>
        <v/>
      </c>
      <c r="AC2336" t="str">
        <f>IF(AA2336="","",'Procyclean 220'!D338)</f>
        <v/>
      </c>
      <c r="AD2336" t="str">
        <f>IF(AA2336="","",IFERROR(1*'Procyclean 220'!E338,IFERROR(_xludf.NUMBERVALUE('Procyclean 220'!E338,".",","),IFERROR(_xludf.NUMBERVALUE('Procyclean 220'!E338,",","."),0))))</f>
        <v/>
      </c>
      <c r="AE2336" t="str">
        <f>IF(AA2336="","",'Procyclean 220'!B338)</f>
        <v/>
      </c>
      <c r="AF2336">
        <f t="shared" si="233"/>
        <v>0</v>
      </c>
      <c r="AG2336" t="str">
        <f t="shared" si="234"/>
        <v/>
      </c>
      <c r="AH2336" t="str">
        <f t="shared" si="235"/>
        <v/>
      </c>
      <c r="AI2336">
        <f t="shared" si="236"/>
        <v>0</v>
      </c>
      <c r="AJ2336">
        <f t="shared" si="237"/>
        <v>0</v>
      </c>
      <c r="AK2336">
        <v>0</v>
      </c>
      <c r="AL2336" t="str">
        <f>IF(AA2336="","",IFERROR(IF(ISNUMBER('Procyclean 220'!F338),'Procyclean 220'!F338,IF(ISNUMBER(SEARCH("12",'Procyclean 220'!F338)),EDATE(AB2336,12),IF(ISNUMBER(SEARCH("6",'Procyclean 220'!F338)),EDATE(AB2336,6),IF(ISNUMBER(SEARCH("3",'Procyclean 220'!F338)),EDATE(AB2336,3),DATEVALUE('Procyclean 220'!F338))))),""))</f>
        <v/>
      </c>
      <c r="AM2336" t="str">
        <f t="shared" ca="1" si="238"/>
        <v/>
      </c>
    </row>
    <row r="2337" spans="27:39" x14ac:dyDescent="0.3">
      <c r="AA2337" t="str">
        <f>IF(COUNTA('Procyclean 220'!C339,'Procyclean 220'!D339,'Procyclean 220'!E339)&gt;0,"220","")</f>
        <v/>
      </c>
      <c r="AB2337" t="str">
        <f>IFERROR(IF(ISNUMBER('Procyclean 220'!C339),'Procyclean 220'!C339,DATEVALUE('Procyclean 220'!C339)),"")</f>
        <v/>
      </c>
      <c r="AC2337" t="str">
        <f>IF(AA2337="","",'Procyclean 220'!D339)</f>
        <v/>
      </c>
      <c r="AD2337" t="str">
        <f>IF(AA2337="","",IFERROR(1*'Procyclean 220'!E339,IFERROR(_xludf.NUMBERVALUE('Procyclean 220'!E339,".",","),IFERROR(_xludf.NUMBERVALUE('Procyclean 220'!E339,",","."),0))))</f>
        <v/>
      </c>
      <c r="AE2337" t="str">
        <f>IF(AA2337="","",'Procyclean 220'!B339)</f>
        <v/>
      </c>
      <c r="AF2337">
        <f t="shared" si="233"/>
        <v>0</v>
      </c>
      <c r="AG2337" t="str">
        <f t="shared" si="234"/>
        <v/>
      </c>
      <c r="AH2337" t="str">
        <f t="shared" si="235"/>
        <v/>
      </c>
      <c r="AI2337">
        <f t="shared" si="236"/>
        <v>0</v>
      </c>
      <c r="AJ2337">
        <f t="shared" si="237"/>
        <v>0</v>
      </c>
      <c r="AK2337">
        <v>0</v>
      </c>
      <c r="AL2337" t="str">
        <f>IF(AA2337="","",IFERROR(IF(ISNUMBER('Procyclean 220'!F339),'Procyclean 220'!F339,IF(ISNUMBER(SEARCH("12",'Procyclean 220'!F339)),EDATE(AB2337,12),IF(ISNUMBER(SEARCH("6",'Procyclean 220'!F339)),EDATE(AB2337,6),IF(ISNUMBER(SEARCH("3",'Procyclean 220'!F339)),EDATE(AB2337,3),DATEVALUE('Procyclean 220'!F339))))),""))</f>
        <v/>
      </c>
      <c r="AM2337" t="str">
        <f t="shared" ca="1" si="238"/>
        <v/>
      </c>
    </row>
    <row r="2338" spans="27:39" x14ac:dyDescent="0.3">
      <c r="AA2338" t="str">
        <f>IF(COUNTA('Procyclean 220'!C340,'Procyclean 220'!D340,'Procyclean 220'!E340)&gt;0,"220","")</f>
        <v/>
      </c>
      <c r="AB2338" t="str">
        <f>IFERROR(IF(ISNUMBER('Procyclean 220'!C340),'Procyclean 220'!C340,DATEVALUE('Procyclean 220'!C340)),"")</f>
        <v/>
      </c>
      <c r="AC2338" t="str">
        <f>IF(AA2338="","",'Procyclean 220'!D340)</f>
        <v/>
      </c>
      <c r="AD2338" t="str">
        <f>IF(AA2338="","",IFERROR(1*'Procyclean 220'!E340,IFERROR(_xludf.NUMBERVALUE('Procyclean 220'!E340,".",","),IFERROR(_xludf.NUMBERVALUE('Procyclean 220'!E340,",","."),0))))</f>
        <v/>
      </c>
      <c r="AE2338" t="str">
        <f>IF(AA2338="","",'Procyclean 220'!B340)</f>
        <v/>
      </c>
      <c r="AF2338">
        <f t="shared" si="233"/>
        <v>0</v>
      </c>
      <c r="AG2338" t="str">
        <f t="shared" si="234"/>
        <v/>
      </c>
      <c r="AH2338" t="str">
        <f t="shared" si="235"/>
        <v/>
      </c>
      <c r="AI2338">
        <f t="shared" si="236"/>
        <v>0</v>
      </c>
      <c r="AJ2338">
        <f t="shared" si="237"/>
        <v>0</v>
      </c>
      <c r="AK2338">
        <v>0</v>
      </c>
      <c r="AL2338" t="str">
        <f>IF(AA2338="","",IFERROR(IF(ISNUMBER('Procyclean 220'!F340),'Procyclean 220'!F340,IF(ISNUMBER(SEARCH("12",'Procyclean 220'!F340)),EDATE(AB2338,12),IF(ISNUMBER(SEARCH("6",'Procyclean 220'!F340)),EDATE(AB2338,6),IF(ISNUMBER(SEARCH("3",'Procyclean 220'!F340)),EDATE(AB2338,3),DATEVALUE('Procyclean 220'!F340))))),""))</f>
        <v/>
      </c>
      <c r="AM2338" t="str">
        <f t="shared" ca="1" si="238"/>
        <v/>
      </c>
    </row>
    <row r="2339" spans="27:39" x14ac:dyDescent="0.3">
      <c r="AA2339" t="str">
        <f>IF(COUNTA('Procyclean 220'!C341,'Procyclean 220'!D341,'Procyclean 220'!E341)&gt;0,"220","")</f>
        <v/>
      </c>
      <c r="AB2339" t="str">
        <f>IFERROR(IF(ISNUMBER('Procyclean 220'!C341),'Procyclean 220'!C341,DATEVALUE('Procyclean 220'!C341)),"")</f>
        <v/>
      </c>
      <c r="AC2339" t="str">
        <f>IF(AA2339="","",'Procyclean 220'!D341)</f>
        <v/>
      </c>
      <c r="AD2339" t="str">
        <f>IF(AA2339="","",IFERROR(1*'Procyclean 220'!E341,IFERROR(_xludf.NUMBERVALUE('Procyclean 220'!E341,".",","),IFERROR(_xludf.NUMBERVALUE('Procyclean 220'!E341,",","."),0))))</f>
        <v/>
      </c>
      <c r="AE2339" t="str">
        <f>IF(AA2339="","",'Procyclean 220'!B341)</f>
        <v/>
      </c>
      <c r="AF2339">
        <f t="shared" si="233"/>
        <v>0</v>
      </c>
      <c r="AG2339" t="str">
        <f t="shared" si="234"/>
        <v/>
      </c>
      <c r="AH2339" t="str">
        <f t="shared" si="235"/>
        <v/>
      </c>
      <c r="AI2339">
        <f t="shared" si="236"/>
        <v>0</v>
      </c>
      <c r="AJ2339">
        <f t="shared" si="237"/>
        <v>0</v>
      </c>
      <c r="AK2339">
        <v>0</v>
      </c>
      <c r="AL2339" t="str">
        <f>IF(AA2339="","",IFERROR(IF(ISNUMBER('Procyclean 220'!F341),'Procyclean 220'!F341,IF(ISNUMBER(SEARCH("12",'Procyclean 220'!F341)),EDATE(AB2339,12),IF(ISNUMBER(SEARCH("6",'Procyclean 220'!F341)),EDATE(AB2339,6),IF(ISNUMBER(SEARCH("3",'Procyclean 220'!F341)),EDATE(AB2339,3),DATEVALUE('Procyclean 220'!F341))))),""))</f>
        <v/>
      </c>
      <c r="AM2339" t="str">
        <f t="shared" ca="1" si="238"/>
        <v/>
      </c>
    </row>
    <row r="2340" spans="27:39" x14ac:dyDescent="0.3">
      <c r="AA2340" t="str">
        <f>IF(COUNTA('Procyclean 220'!C342,'Procyclean 220'!D342,'Procyclean 220'!E342)&gt;0,"220","")</f>
        <v/>
      </c>
      <c r="AB2340" t="str">
        <f>IFERROR(IF(ISNUMBER('Procyclean 220'!C342),'Procyclean 220'!C342,DATEVALUE('Procyclean 220'!C342)),"")</f>
        <v/>
      </c>
      <c r="AC2340" t="str">
        <f>IF(AA2340="","",'Procyclean 220'!D342)</f>
        <v/>
      </c>
      <c r="AD2340" t="str">
        <f>IF(AA2340="","",IFERROR(1*'Procyclean 220'!E342,IFERROR(_xludf.NUMBERVALUE('Procyclean 220'!E342,".",","),IFERROR(_xludf.NUMBERVALUE('Procyclean 220'!E342,",","."),0))))</f>
        <v/>
      </c>
      <c r="AE2340" t="str">
        <f>IF(AA2340="","",'Procyclean 220'!B342)</f>
        <v/>
      </c>
      <c r="AF2340">
        <f t="shared" si="233"/>
        <v>0</v>
      </c>
      <c r="AG2340" t="str">
        <f t="shared" si="234"/>
        <v/>
      </c>
      <c r="AH2340" t="str">
        <f t="shared" si="235"/>
        <v/>
      </c>
      <c r="AI2340">
        <f t="shared" si="236"/>
        <v>0</v>
      </c>
      <c r="AJ2340">
        <f t="shared" si="237"/>
        <v>0</v>
      </c>
      <c r="AK2340">
        <v>0</v>
      </c>
      <c r="AL2340" t="str">
        <f>IF(AA2340="","",IFERROR(IF(ISNUMBER('Procyclean 220'!F342),'Procyclean 220'!F342,IF(ISNUMBER(SEARCH("12",'Procyclean 220'!F342)),EDATE(AB2340,12),IF(ISNUMBER(SEARCH("6",'Procyclean 220'!F342)),EDATE(AB2340,6),IF(ISNUMBER(SEARCH("3",'Procyclean 220'!F342)),EDATE(AB2340,3),DATEVALUE('Procyclean 220'!F342))))),""))</f>
        <v/>
      </c>
      <c r="AM2340" t="str">
        <f t="shared" ca="1" si="238"/>
        <v/>
      </c>
    </row>
    <row r="2341" spans="27:39" x14ac:dyDescent="0.3">
      <c r="AA2341" t="str">
        <f>IF(COUNTA('Procyclean 220'!C343,'Procyclean 220'!D343,'Procyclean 220'!E343)&gt;0,"220","")</f>
        <v/>
      </c>
      <c r="AB2341" t="str">
        <f>IFERROR(IF(ISNUMBER('Procyclean 220'!C343),'Procyclean 220'!C343,DATEVALUE('Procyclean 220'!C343)),"")</f>
        <v/>
      </c>
      <c r="AC2341" t="str">
        <f>IF(AA2341="","",'Procyclean 220'!D343)</f>
        <v/>
      </c>
      <c r="AD2341" t="str">
        <f>IF(AA2341="","",IFERROR(1*'Procyclean 220'!E343,IFERROR(_xludf.NUMBERVALUE('Procyclean 220'!E343,".",","),IFERROR(_xludf.NUMBERVALUE('Procyclean 220'!E343,",","."),0))))</f>
        <v/>
      </c>
      <c r="AE2341" t="str">
        <f>IF(AA2341="","",'Procyclean 220'!B343)</f>
        <v/>
      </c>
      <c r="AF2341">
        <f t="shared" si="233"/>
        <v>0</v>
      </c>
      <c r="AG2341" t="str">
        <f t="shared" si="234"/>
        <v/>
      </c>
      <c r="AH2341" t="str">
        <f t="shared" si="235"/>
        <v/>
      </c>
      <c r="AI2341">
        <f t="shared" si="236"/>
        <v>0</v>
      </c>
      <c r="AJ2341">
        <f t="shared" si="237"/>
        <v>0</v>
      </c>
      <c r="AK2341">
        <v>0</v>
      </c>
      <c r="AL2341" t="str">
        <f>IF(AA2341="","",IFERROR(IF(ISNUMBER('Procyclean 220'!F343),'Procyclean 220'!F343,IF(ISNUMBER(SEARCH("12",'Procyclean 220'!F343)),EDATE(AB2341,12),IF(ISNUMBER(SEARCH("6",'Procyclean 220'!F343)),EDATE(AB2341,6),IF(ISNUMBER(SEARCH("3",'Procyclean 220'!F343)),EDATE(AB2341,3),DATEVALUE('Procyclean 220'!F343))))),""))</f>
        <v/>
      </c>
      <c r="AM2341" t="str">
        <f t="shared" ca="1" si="238"/>
        <v/>
      </c>
    </row>
    <row r="2342" spans="27:39" x14ac:dyDescent="0.3">
      <c r="AA2342" t="str">
        <f>IF(COUNTA('Procyclean 220'!C344,'Procyclean 220'!D344,'Procyclean 220'!E344)&gt;0,"220","")</f>
        <v/>
      </c>
      <c r="AB2342" t="str">
        <f>IFERROR(IF(ISNUMBER('Procyclean 220'!C344),'Procyclean 220'!C344,DATEVALUE('Procyclean 220'!C344)),"")</f>
        <v/>
      </c>
      <c r="AC2342" t="str">
        <f>IF(AA2342="","",'Procyclean 220'!D344)</f>
        <v/>
      </c>
      <c r="AD2342" t="str">
        <f>IF(AA2342="","",IFERROR(1*'Procyclean 220'!E344,IFERROR(_xludf.NUMBERVALUE('Procyclean 220'!E344,".",","),IFERROR(_xludf.NUMBERVALUE('Procyclean 220'!E344,",","."),0))))</f>
        <v/>
      </c>
      <c r="AE2342" t="str">
        <f>IF(AA2342="","",'Procyclean 220'!B344)</f>
        <v/>
      </c>
      <c r="AF2342">
        <f t="shared" si="233"/>
        <v>0</v>
      </c>
      <c r="AG2342" t="str">
        <f t="shared" si="234"/>
        <v/>
      </c>
      <c r="AH2342" t="str">
        <f t="shared" si="235"/>
        <v/>
      </c>
      <c r="AI2342">
        <f t="shared" si="236"/>
        <v>0</v>
      </c>
      <c r="AJ2342">
        <f t="shared" si="237"/>
        <v>0</v>
      </c>
      <c r="AK2342">
        <v>0</v>
      </c>
      <c r="AL2342" t="str">
        <f>IF(AA2342="","",IFERROR(IF(ISNUMBER('Procyclean 220'!F344),'Procyclean 220'!F344,IF(ISNUMBER(SEARCH("12",'Procyclean 220'!F344)),EDATE(AB2342,12),IF(ISNUMBER(SEARCH("6",'Procyclean 220'!F344)),EDATE(AB2342,6),IF(ISNUMBER(SEARCH("3",'Procyclean 220'!F344)),EDATE(AB2342,3),DATEVALUE('Procyclean 220'!F344))))),""))</f>
        <v/>
      </c>
      <c r="AM2342" t="str">
        <f t="shared" ca="1" si="238"/>
        <v/>
      </c>
    </row>
    <row r="2343" spans="27:39" x14ac:dyDescent="0.3">
      <c r="AA2343" t="str">
        <f>IF(COUNTA('Procyclean 220'!C345,'Procyclean 220'!D345,'Procyclean 220'!E345)&gt;0,"220","")</f>
        <v/>
      </c>
      <c r="AB2343" t="str">
        <f>IFERROR(IF(ISNUMBER('Procyclean 220'!C345),'Procyclean 220'!C345,DATEVALUE('Procyclean 220'!C345)),"")</f>
        <v/>
      </c>
      <c r="AC2343" t="str">
        <f>IF(AA2343="","",'Procyclean 220'!D345)</f>
        <v/>
      </c>
      <c r="AD2343" t="str">
        <f>IF(AA2343="","",IFERROR(1*'Procyclean 220'!E345,IFERROR(_xludf.NUMBERVALUE('Procyclean 220'!E345,".",","),IFERROR(_xludf.NUMBERVALUE('Procyclean 220'!E345,",","."),0))))</f>
        <v/>
      </c>
      <c r="AE2343" t="str">
        <f>IF(AA2343="","",'Procyclean 220'!B345)</f>
        <v/>
      </c>
      <c r="AF2343">
        <f t="shared" si="233"/>
        <v>0</v>
      </c>
      <c r="AG2343" t="str">
        <f t="shared" si="234"/>
        <v/>
      </c>
      <c r="AH2343" t="str">
        <f t="shared" si="235"/>
        <v/>
      </c>
      <c r="AI2343">
        <f t="shared" si="236"/>
        <v>0</v>
      </c>
      <c r="AJ2343">
        <f t="shared" si="237"/>
        <v>0</v>
      </c>
      <c r="AK2343">
        <v>0</v>
      </c>
      <c r="AL2343" t="str">
        <f>IF(AA2343="","",IFERROR(IF(ISNUMBER('Procyclean 220'!F345),'Procyclean 220'!F345,IF(ISNUMBER(SEARCH("12",'Procyclean 220'!F345)),EDATE(AB2343,12),IF(ISNUMBER(SEARCH("6",'Procyclean 220'!F345)),EDATE(AB2343,6),IF(ISNUMBER(SEARCH("3",'Procyclean 220'!F345)),EDATE(AB2343,3),DATEVALUE('Procyclean 220'!F345))))),""))</f>
        <v/>
      </c>
      <c r="AM2343" t="str">
        <f t="shared" ca="1" si="238"/>
        <v/>
      </c>
    </row>
    <row r="2344" spans="27:39" x14ac:dyDescent="0.3">
      <c r="AA2344" t="str">
        <f>IF(COUNTA('Procyclean 220'!C346,'Procyclean 220'!D346,'Procyclean 220'!E346)&gt;0,"220","")</f>
        <v/>
      </c>
      <c r="AB2344" t="str">
        <f>IFERROR(IF(ISNUMBER('Procyclean 220'!C346),'Procyclean 220'!C346,DATEVALUE('Procyclean 220'!C346)),"")</f>
        <v/>
      </c>
      <c r="AC2344" t="str">
        <f>IF(AA2344="","",'Procyclean 220'!D346)</f>
        <v/>
      </c>
      <c r="AD2344" t="str">
        <f>IF(AA2344="","",IFERROR(1*'Procyclean 220'!E346,IFERROR(_xludf.NUMBERVALUE('Procyclean 220'!E346,".",","),IFERROR(_xludf.NUMBERVALUE('Procyclean 220'!E346,",","."),0))))</f>
        <v/>
      </c>
      <c r="AE2344" t="str">
        <f>IF(AA2344="","",'Procyclean 220'!B346)</f>
        <v/>
      </c>
      <c r="AF2344">
        <f t="shared" si="233"/>
        <v>0</v>
      </c>
      <c r="AG2344" t="str">
        <f t="shared" si="234"/>
        <v/>
      </c>
      <c r="AH2344" t="str">
        <f t="shared" si="235"/>
        <v/>
      </c>
      <c r="AI2344">
        <f t="shared" si="236"/>
        <v>0</v>
      </c>
      <c r="AJ2344">
        <f t="shared" si="237"/>
        <v>0</v>
      </c>
      <c r="AK2344">
        <v>0</v>
      </c>
      <c r="AL2344" t="str">
        <f>IF(AA2344="","",IFERROR(IF(ISNUMBER('Procyclean 220'!F346),'Procyclean 220'!F346,IF(ISNUMBER(SEARCH("12",'Procyclean 220'!F346)),EDATE(AB2344,12),IF(ISNUMBER(SEARCH("6",'Procyclean 220'!F346)),EDATE(AB2344,6),IF(ISNUMBER(SEARCH("3",'Procyclean 220'!F346)),EDATE(AB2344,3),DATEVALUE('Procyclean 220'!F346))))),""))</f>
        <v/>
      </c>
      <c r="AM2344" t="str">
        <f t="shared" ca="1" si="238"/>
        <v/>
      </c>
    </row>
    <row r="2345" spans="27:39" x14ac:dyDescent="0.3">
      <c r="AA2345" t="str">
        <f>IF(COUNTA('Procyclean 220'!C347,'Procyclean 220'!D347,'Procyclean 220'!E347)&gt;0,"220","")</f>
        <v/>
      </c>
      <c r="AB2345" t="str">
        <f>IFERROR(IF(ISNUMBER('Procyclean 220'!C347),'Procyclean 220'!C347,DATEVALUE('Procyclean 220'!C347)),"")</f>
        <v/>
      </c>
      <c r="AC2345" t="str">
        <f>IF(AA2345="","",'Procyclean 220'!D347)</f>
        <v/>
      </c>
      <c r="AD2345" t="str">
        <f>IF(AA2345="","",IFERROR(1*'Procyclean 220'!E347,IFERROR(_xludf.NUMBERVALUE('Procyclean 220'!E347,".",","),IFERROR(_xludf.NUMBERVALUE('Procyclean 220'!E347,",","."),0))))</f>
        <v/>
      </c>
      <c r="AE2345" t="str">
        <f>IF(AA2345="","",'Procyclean 220'!B347)</f>
        <v/>
      </c>
      <c r="AF2345">
        <f t="shared" si="233"/>
        <v>0</v>
      </c>
      <c r="AG2345" t="str">
        <f t="shared" si="234"/>
        <v/>
      </c>
      <c r="AH2345" t="str">
        <f t="shared" si="235"/>
        <v/>
      </c>
      <c r="AI2345">
        <f t="shared" si="236"/>
        <v>0</v>
      </c>
      <c r="AJ2345">
        <f t="shared" si="237"/>
        <v>0</v>
      </c>
      <c r="AK2345">
        <v>0</v>
      </c>
      <c r="AL2345" t="str">
        <f>IF(AA2345="","",IFERROR(IF(ISNUMBER('Procyclean 220'!F347),'Procyclean 220'!F347,IF(ISNUMBER(SEARCH("12",'Procyclean 220'!F347)),EDATE(AB2345,12),IF(ISNUMBER(SEARCH("6",'Procyclean 220'!F347)),EDATE(AB2345,6),IF(ISNUMBER(SEARCH("3",'Procyclean 220'!F347)),EDATE(AB2345,3),DATEVALUE('Procyclean 220'!F347))))),""))</f>
        <v/>
      </c>
      <c r="AM2345" t="str">
        <f t="shared" ca="1" si="238"/>
        <v/>
      </c>
    </row>
    <row r="2346" spans="27:39" x14ac:dyDescent="0.3">
      <c r="AA2346" t="str">
        <f>IF(COUNTA('Procyclean 220'!C348,'Procyclean 220'!D348,'Procyclean 220'!E348)&gt;0,"220","")</f>
        <v/>
      </c>
      <c r="AB2346" t="str">
        <f>IFERROR(IF(ISNUMBER('Procyclean 220'!C348),'Procyclean 220'!C348,DATEVALUE('Procyclean 220'!C348)),"")</f>
        <v/>
      </c>
      <c r="AC2346" t="str">
        <f>IF(AA2346="","",'Procyclean 220'!D348)</f>
        <v/>
      </c>
      <c r="AD2346" t="str">
        <f>IF(AA2346="","",IFERROR(1*'Procyclean 220'!E348,IFERROR(_xludf.NUMBERVALUE('Procyclean 220'!E348,".",","),IFERROR(_xludf.NUMBERVALUE('Procyclean 220'!E348,",","."),0))))</f>
        <v/>
      </c>
      <c r="AE2346" t="str">
        <f>IF(AA2346="","",'Procyclean 220'!B348)</f>
        <v/>
      </c>
      <c r="AF2346">
        <f t="shared" si="233"/>
        <v>0</v>
      </c>
      <c r="AG2346" t="str">
        <f t="shared" si="234"/>
        <v/>
      </c>
      <c r="AH2346" t="str">
        <f t="shared" si="235"/>
        <v/>
      </c>
      <c r="AI2346">
        <f t="shared" si="236"/>
        <v>0</v>
      </c>
      <c r="AJ2346">
        <f t="shared" si="237"/>
        <v>0</v>
      </c>
      <c r="AK2346">
        <v>0</v>
      </c>
      <c r="AL2346" t="str">
        <f>IF(AA2346="","",IFERROR(IF(ISNUMBER('Procyclean 220'!F348),'Procyclean 220'!F348,IF(ISNUMBER(SEARCH("12",'Procyclean 220'!F348)),EDATE(AB2346,12),IF(ISNUMBER(SEARCH("6",'Procyclean 220'!F348)),EDATE(AB2346,6),IF(ISNUMBER(SEARCH("3",'Procyclean 220'!F348)),EDATE(AB2346,3),DATEVALUE('Procyclean 220'!F348))))),""))</f>
        <v/>
      </c>
      <c r="AM2346" t="str">
        <f t="shared" ca="1" si="238"/>
        <v/>
      </c>
    </row>
    <row r="2347" spans="27:39" x14ac:dyDescent="0.3">
      <c r="AA2347" t="str">
        <f>IF(COUNTA('Procyclean 220'!C349,'Procyclean 220'!D349,'Procyclean 220'!E349)&gt;0,"220","")</f>
        <v/>
      </c>
      <c r="AB2347" t="str">
        <f>IFERROR(IF(ISNUMBER('Procyclean 220'!C349),'Procyclean 220'!C349,DATEVALUE('Procyclean 220'!C349)),"")</f>
        <v/>
      </c>
      <c r="AC2347" t="str">
        <f>IF(AA2347="","",'Procyclean 220'!D349)</f>
        <v/>
      </c>
      <c r="AD2347" t="str">
        <f>IF(AA2347="","",IFERROR(1*'Procyclean 220'!E349,IFERROR(_xludf.NUMBERVALUE('Procyclean 220'!E349,".",","),IFERROR(_xludf.NUMBERVALUE('Procyclean 220'!E349,",","."),0))))</f>
        <v/>
      </c>
      <c r="AE2347" t="str">
        <f>IF(AA2347="","",'Procyclean 220'!B349)</f>
        <v/>
      </c>
      <c r="AF2347">
        <f t="shared" si="233"/>
        <v>0</v>
      </c>
      <c r="AG2347" t="str">
        <f t="shared" si="234"/>
        <v/>
      </c>
      <c r="AH2347" t="str">
        <f t="shared" si="235"/>
        <v/>
      </c>
      <c r="AI2347">
        <f t="shared" si="236"/>
        <v>0</v>
      </c>
      <c r="AJ2347">
        <f t="shared" si="237"/>
        <v>0</v>
      </c>
      <c r="AK2347">
        <v>0</v>
      </c>
      <c r="AL2347" t="str">
        <f>IF(AA2347="","",IFERROR(IF(ISNUMBER('Procyclean 220'!F349),'Procyclean 220'!F349,IF(ISNUMBER(SEARCH("12",'Procyclean 220'!F349)),EDATE(AB2347,12),IF(ISNUMBER(SEARCH("6",'Procyclean 220'!F349)),EDATE(AB2347,6),IF(ISNUMBER(SEARCH("3",'Procyclean 220'!F349)),EDATE(AB2347,3),DATEVALUE('Procyclean 220'!F349))))),""))</f>
        <v/>
      </c>
      <c r="AM2347" t="str">
        <f t="shared" ca="1" si="238"/>
        <v/>
      </c>
    </row>
    <row r="2348" spans="27:39" x14ac:dyDescent="0.3">
      <c r="AA2348" t="str">
        <f>IF(COUNTA('Procyclean 220'!C350,'Procyclean 220'!D350,'Procyclean 220'!E350)&gt;0,"220","")</f>
        <v/>
      </c>
      <c r="AB2348" t="str">
        <f>IFERROR(IF(ISNUMBER('Procyclean 220'!C350),'Procyclean 220'!C350,DATEVALUE('Procyclean 220'!C350)),"")</f>
        <v/>
      </c>
      <c r="AC2348" t="str">
        <f>IF(AA2348="","",'Procyclean 220'!D350)</f>
        <v/>
      </c>
      <c r="AD2348" t="str">
        <f>IF(AA2348="","",IFERROR(1*'Procyclean 220'!E350,IFERROR(_xludf.NUMBERVALUE('Procyclean 220'!E350,".",","),IFERROR(_xludf.NUMBERVALUE('Procyclean 220'!E350,",","."),0))))</f>
        <v/>
      </c>
      <c r="AE2348" t="str">
        <f>IF(AA2348="","",'Procyclean 220'!B350)</f>
        <v/>
      </c>
      <c r="AF2348">
        <f t="shared" si="233"/>
        <v>0</v>
      </c>
      <c r="AG2348" t="str">
        <f t="shared" si="234"/>
        <v/>
      </c>
      <c r="AH2348" t="str">
        <f t="shared" si="235"/>
        <v/>
      </c>
      <c r="AI2348">
        <f t="shared" si="236"/>
        <v>0</v>
      </c>
      <c r="AJ2348">
        <f t="shared" si="237"/>
        <v>0</v>
      </c>
      <c r="AK2348">
        <v>0</v>
      </c>
      <c r="AL2348" t="str">
        <f>IF(AA2348="","",IFERROR(IF(ISNUMBER('Procyclean 220'!F350),'Procyclean 220'!F350,IF(ISNUMBER(SEARCH("12",'Procyclean 220'!F350)),EDATE(AB2348,12),IF(ISNUMBER(SEARCH("6",'Procyclean 220'!F350)),EDATE(AB2348,6),IF(ISNUMBER(SEARCH("3",'Procyclean 220'!F350)),EDATE(AB2348,3),DATEVALUE('Procyclean 220'!F350))))),""))</f>
        <v/>
      </c>
      <c r="AM2348" t="str">
        <f t="shared" ca="1" si="238"/>
        <v/>
      </c>
    </row>
    <row r="2349" spans="27:39" x14ac:dyDescent="0.3">
      <c r="AA2349" t="str">
        <f>IF(COUNTA('Procyclean 220'!C351,'Procyclean 220'!D351,'Procyclean 220'!E351)&gt;0,"220","")</f>
        <v/>
      </c>
      <c r="AB2349" t="str">
        <f>IFERROR(IF(ISNUMBER('Procyclean 220'!C351),'Procyclean 220'!C351,DATEVALUE('Procyclean 220'!C351)),"")</f>
        <v/>
      </c>
      <c r="AC2349" t="str">
        <f>IF(AA2349="","",'Procyclean 220'!D351)</f>
        <v/>
      </c>
      <c r="AD2349" t="str">
        <f>IF(AA2349="","",IFERROR(1*'Procyclean 220'!E351,IFERROR(_xludf.NUMBERVALUE('Procyclean 220'!E351,".",","),IFERROR(_xludf.NUMBERVALUE('Procyclean 220'!E351,",","."),0))))</f>
        <v/>
      </c>
      <c r="AE2349" t="str">
        <f>IF(AA2349="","",'Procyclean 220'!B351)</f>
        <v/>
      </c>
      <c r="AF2349">
        <f t="shared" si="233"/>
        <v>0</v>
      </c>
      <c r="AG2349" t="str">
        <f t="shared" si="234"/>
        <v/>
      </c>
      <c r="AH2349" t="str">
        <f t="shared" si="235"/>
        <v/>
      </c>
      <c r="AI2349">
        <f t="shared" si="236"/>
        <v>0</v>
      </c>
      <c r="AJ2349">
        <f t="shared" si="237"/>
        <v>0</v>
      </c>
      <c r="AK2349">
        <v>0</v>
      </c>
      <c r="AL2349" t="str">
        <f>IF(AA2349="","",IFERROR(IF(ISNUMBER('Procyclean 220'!F351),'Procyclean 220'!F351,IF(ISNUMBER(SEARCH("12",'Procyclean 220'!F351)),EDATE(AB2349,12),IF(ISNUMBER(SEARCH("6",'Procyclean 220'!F351)),EDATE(AB2349,6),IF(ISNUMBER(SEARCH("3",'Procyclean 220'!F351)),EDATE(AB2349,3),DATEVALUE('Procyclean 220'!F351))))),""))</f>
        <v/>
      </c>
      <c r="AM2349" t="str">
        <f t="shared" ca="1" si="238"/>
        <v/>
      </c>
    </row>
    <row r="2350" spans="27:39" x14ac:dyDescent="0.3">
      <c r="AA2350" t="str">
        <f>IF(COUNTA('Procyclean 220'!C352,'Procyclean 220'!D352,'Procyclean 220'!E352)&gt;0,"220","")</f>
        <v/>
      </c>
      <c r="AB2350" t="str">
        <f>IFERROR(IF(ISNUMBER('Procyclean 220'!C352),'Procyclean 220'!C352,DATEVALUE('Procyclean 220'!C352)),"")</f>
        <v/>
      </c>
      <c r="AC2350" t="str">
        <f>IF(AA2350="","",'Procyclean 220'!D352)</f>
        <v/>
      </c>
      <c r="AD2350" t="str">
        <f>IF(AA2350="","",IFERROR(1*'Procyclean 220'!E352,IFERROR(_xludf.NUMBERVALUE('Procyclean 220'!E352,".",","),IFERROR(_xludf.NUMBERVALUE('Procyclean 220'!E352,",","."),0))))</f>
        <v/>
      </c>
      <c r="AE2350" t="str">
        <f>IF(AA2350="","",'Procyclean 220'!B352)</f>
        <v/>
      </c>
      <c r="AF2350">
        <f t="shared" si="233"/>
        <v>0</v>
      </c>
      <c r="AG2350" t="str">
        <f t="shared" si="234"/>
        <v/>
      </c>
      <c r="AH2350" t="str">
        <f t="shared" si="235"/>
        <v/>
      </c>
      <c r="AI2350">
        <f t="shared" si="236"/>
        <v>0</v>
      </c>
      <c r="AJ2350">
        <f t="shared" si="237"/>
        <v>0</v>
      </c>
      <c r="AK2350">
        <v>0</v>
      </c>
      <c r="AL2350" t="str">
        <f>IF(AA2350="","",IFERROR(IF(ISNUMBER('Procyclean 220'!F352),'Procyclean 220'!F352,IF(ISNUMBER(SEARCH("12",'Procyclean 220'!F352)),EDATE(AB2350,12),IF(ISNUMBER(SEARCH("6",'Procyclean 220'!F352)),EDATE(AB2350,6),IF(ISNUMBER(SEARCH("3",'Procyclean 220'!F352)),EDATE(AB2350,3),DATEVALUE('Procyclean 220'!F352))))),""))</f>
        <v/>
      </c>
      <c r="AM2350" t="str">
        <f t="shared" ca="1" si="238"/>
        <v/>
      </c>
    </row>
    <row r="2351" spans="27:39" x14ac:dyDescent="0.3">
      <c r="AA2351" t="str">
        <f>IF(COUNTA('Procyclean 220'!C353,'Procyclean 220'!D353,'Procyclean 220'!E353)&gt;0,"220","")</f>
        <v/>
      </c>
      <c r="AB2351" t="str">
        <f>IFERROR(IF(ISNUMBER('Procyclean 220'!C353),'Procyclean 220'!C353,DATEVALUE('Procyclean 220'!C353)),"")</f>
        <v/>
      </c>
      <c r="AC2351" t="str">
        <f>IF(AA2351="","",'Procyclean 220'!D353)</f>
        <v/>
      </c>
      <c r="AD2351" t="str">
        <f>IF(AA2351="","",IFERROR(1*'Procyclean 220'!E353,IFERROR(_xludf.NUMBERVALUE('Procyclean 220'!E353,".",","),IFERROR(_xludf.NUMBERVALUE('Procyclean 220'!E353,",","."),0))))</f>
        <v/>
      </c>
      <c r="AE2351" t="str">
        <f>IF(AA2351="","",'Procyclean 220'!B353)</f>
        <v/>
      </c>
      <c r="AF2351">
        <f t="shared" si="233"/>
        <v>0</v>
      </c>
      <c r="AG2351" t="str">
        <f t="shared" si="234"/>
        <v/>
      </c>
      <c r="AH2351" t="str">
        <f t="shared" si="235"/>
        <v/>
      </c>
      <c r="AI2351">
        <f t="shared" si="236"/>
        <v>0</v>
      </c>
      <c r="AJ2351">
        <f t="shared" si="237"/>
        <v>0</v>
      </c>
      <c r="AK2351">
        <v>0</v>
      </c>
      <c r="AL2351" t="str">
        <f>IF(AA2351="","",IFERROR(IF(ISNUMBER('Procyclean 220'!F353),'Procyclean 220'!F353,IF(ISNUMBER(SEARCH("12",'Procyclean 220'!F353)),EDATE(AB2351,12),IF(ISNUMBER(SEARCH("6",'Procyclean 220'!F353)),EDATE(AB2351,6),IF(ISNUMBER(SEARCH("3",'Procyclean 220'!F353)),EDATE(AB2351,3),DATEVALUE('Procyclean 220'!F353))))),""))</f>
        <v/>
      </c>
      <c r="AM2351" t="str">
        <f t="shared" ca="1" si="238"/>
        <v/>
      </c>
    </row>
    <row r="2352" spans="27:39" x14ac:dyDescent="0.3">
      <c r="AA2352" t="str">
        <f>IF(COUNTA('Procyclean 220'!C354,'Procyclean 220'!D354,'Procyclean 220'!E354)&gt;0,"220","")</f>
        <v/>
      </c>
      <c r="AB2352" t="str">
        <f>IFERROR(IF(ISNUMBER('Procyclean 220'!C354),'Procyclean 220'!C354,DATEVALUE('Procyclean 220'!C354)),"")</f>
        <v/>
      </c>
      <c r="AC2352" t="str">
        <f>IF(AA2352="","",'Procyclean 220'!D354)</f>
        <v/>
      </c>
      <c r="AD2352" t="str">
        <f>IF(AA2352="","",IFERROR(1*'Procyclean 220'!E354,IFERROR(_xludf.NUMBERVALUE('Procyclean 220'!E354,".",","),IFERROR(_xludf.NUMBERVALUE('Procyclean 220'!E354,",","."),0))))</f>
        <v/>
      </c>
      <c r="AE2352" t="str">
        <f>IF(AA2352="","",'Procyclean 220'!B354)</f>
        <v/>
      </c>
      <c r="AF2352">
        <f t="shared" si="233"/>
        <v>0</v>
      </c>
      <c r="AG2352" t="str">
        <f t="shared" si="234"/>
        <v/>
      </c>
      <c r="AH2352" t="str">
        <f t="shared" si="235"/>
        <v/>
      </c>
      <c r="AI2352">
        <f t="shared" si="236"/>
        <v>0</v>
      </c>
      <c r="AJ2352">
        <f t="shared" si="237"/>
        <v>0</v>
      </c>
      <c r="AK2352">
        <v>0</v>
      </c>
      <c r="AL2352" t="str">
        <f>IF(AA2352="","",IFERROR(IF(ISNUMBER('Procyclean 220'!F354),'Procyclean 220'!F354,IF(ISNUMBER(SEARCH("12",'Procyclean 220'!F354)),EDATE(AB2352,12),IF(ISNUMBER(SEARCH("6",'Procyclean 220'!F354)),EDATE(AB2352,6),IF(ISNUMBER(SEARCH("3",'Procyclean 220'!F354)),EDATE(AB2352,3),DATEVALUE('Procyclean 220'!F354))))),""))</f>
        <v/>
      </c>
      <c r="AM2352" t="str">
        <f t="shared" ca="1" si="238"/>
        <v/>
      </c>
    </row>
    <row r="2353" spans="27:39" x14ac:dyDescent="0.3">
      <c r="AA2353" t="str">
        <f>IF(COUNTA('Procyclean 220'!C355,'Procyclean 220'!D355,'Procyclean 220'!E355)&gt;0,"220","")</f>
        <v/>
      </c>
      <c r="AB2353" t="str">
        <f>IFERROR(IF(ISNUMBER('Procyclean 220'!C355),'Procyclean 220'!C355,DATEVALUE('Procyclean 220'!C355)),"")</f>
        <v/>
      </c>
      <c r="AC2353" t="str">
        <f>IF(AA2353="","",'Procyclean 220'!D355)</f>
        <v/>
      </c>
      <c r="AD2353" t="str">
        <f>IF(AA2353="","",IFERROR(1*'Procyclean 220'!E355,IFERROR(_xludf.NUMBERVALUE('Procyclean 220'!E355,".",","),IFERROR(_xludf.NUMBERVALUE('Procyclean 220'!E355,",","."),0))))</f>
        <v/>
      </c>
      <c r="AE2353" t="str">
        <f>IF(AA2353="","",'Procyclean 220'!B355)</f>
        <v/>
      </c>
      <c r="AF2353">
        <f t="shared" si="233"/>
        <v>0</v>
      </c>
      <c r="AG2353" t="str">
        <f t="shared" si="234"/>
        <v/>
      </c>
      <c r="AH2353" t="str">
        <f t="shared" si="235"/>
        <v/>
      </c>
      <c r="AI2353">
        <f t="shared" si="236"/>
        <v>0</v>
      </c>
      <c r="AJ2353">
        <f t="shared" si="237"/>
        <v>0</v>
      </c>
      <c r="AK2353">
        <v>0</v>
      </c>
      <c r="AL2353" t="str">
        <f>IF(AA2353="","",IFERROR(IF(ISNUMBER('Procyclean 220'!F355),'Procyclean 220'!F355,IF(ISNUMBER(SEARCH("12",'Procyclean 220'!F355)),EDATE(AB2353,12),IF(ISNUMBER(SEARCH("6",'Procyclean 220'!F355)),EDATE(AB2353,6),IF(ISNUMBER(SEARCH("3",'Procyclean 220'!F355)),EDATE(AB2353,3),DATEVALUE('Procyclean 220'!F355))))),""))</f>
        <v/>
      </c>
      <c r="AM2353" t="str">
        <f t="shared" ca="1" si="238"/>
        <v/>
      </c>
    </row>
    <row r="2354" spans="27:39" x14ac:dyDescent="0.3">
      <c r="AA2354" t="str">
        <f>IF(COUNTA('Procyclean 220'!C356,'Procyclean 220'!D356,'Procyclean 220'!E356)&gt;0,"220","")</f>
        <v/>
      </c>
      <c r="AB2354" t="str">
        <f>IFERROR(IF(ISNUMBER('Procyclean 220'!C356),'Procyclean 220'!C356,DATEVALUE('Procyclean 220'!C356)),"")</f>
        <v/>
      </c>
      <c r="AC2354" t="str">
        <f>IF(AA2354="","",'Procyclean 220'!D356)</f>
        <v/>
      </c>
      <c r="AD2354" t="str">
        <f>IF(AA2354="","",IFERROR(1*'Procyclean 220'!E356,IFERROR(_xludf.NUMBERVALUE('Procyclean 220'!E356,".",","),IFERROR(_xludf.NUMBERVALUE('Procyclean 220'!E356,",","."),0))))</f>
        <v/>
      </c>
      <c r="AE2354" t="str">
        <f>IF(AA2354="","",'Procyclean 220'!B356)</f>
        <v/>
      </c>
      <c r="AF2354">
        <f t="shared" si="233"/>
        <v>0</v>
      </c>
      <c r="AG2354" t="str">
        <f t="shared" si="234"/>
        <v/>
      </c>
      <c r="AH2354" t="str">
        <f t="shared" si="235"/>
        <v/>
      </c>
      <c r="AI2354">
        <f t="shared" si="236"/>
        <v>0</v>
      </c>
      <c r="AJ2354">
        <f t="shared" si="237"/>
        <v>0</v>
      </c>
      <c r="AK2354">
        <v>0</v>
      </c>
      <c r="AL2354" t="str">
        <f>IF(AA2354="","",IFERROR(IF(ISNUMBER('Procyclean 220'!F356),'Procyclean 220'!F356,IF(ISNUMBER(SEARCH("12",'Procyclean 220'!F356)),EDATE(AB2354,12),IF(ISNUMBER(SEARCH("6",'Procyclean 220'!F356)),EDATE(AB2354,6),IF(ISNUMBER(SEARCH("3",'Procyclean 220'!F356)),EDATE(AB2354,3),DATEVALUE('Procyclean 220'!F356))))),""))</f>
        <v/>
      </c>
      <c r="AM2354" t="str">
        <f t="shared" ca="1" si="238"/>
        <v/>
      </c>
    </row>
    <row r="2355" spans="27:39" x14ac:dyDescent="0.3">
      <c r="AA2355" t="str">
        <f>IF(COUNTA('Procyclean 220'!C357,'Procyclean 220'!D357,'Procyclean 220'!E357)&gt;0,"220","")</f>
        <v/>
      </c>
      <c r="AB2355" t="str">
        <f>IFERROR(IF(ISNUMBER('Procyclean 220'!C357),'Procyclean 220'!C357,DATEVALUE('Procyclean 220'!C357)),"")</f>
        <v/>
      </c>
      <c r="AC2355" t="str">
        <f>IF(AA2355="","",'Procyclean 220'!D357)</f>
        <v/>
      </c>
      <c r="AD2355" t="str">
        <f>IF(AA2355="","",IFERROR(1*'Procyclean 220'!E357,IFERROR(_xludf.NUMBERVALUE('Procyclean 220'!E357,".",","),IFERROR(_xludf.NUMBERVALUE('Procyclean 220'!E357,",","."),0))))</f>
        <v/>
      </c>
      <c r="AE2355" t="str">
        <f>IF(AA2355="","",'Procyclean 220'!B357)</f>
        <v/>
      </c>
      <c r="AF2355">
        <f t="shared" si="233"/>
        <v>0</v>
      </c>
      <c r="AG2355" t="str">
        <f t="shared" si="234"/>
        <v/>
      </c>
      <c r="AH2355" t="str">
        <f t="shared" si="235"/>
        <v/>
      </c>
      <c r="AI2355">
        <f t="shared" si="236"/>
        <v>0</v>
      </c>
      <c r="AJ2355">
        <f t="shared" si="237"/>
        <v>0</v>
      </c>
      <c r="AK2355">
        <v>0</v>
      </c>
      <c r="AL2355" t="str">
        <f>IF(AA2355="","",IFERROR(IF(ISNUMBER('Procyclean 220'!F357),'Procyclean 220'!F357,IF(ISNUMBER(SEARCH("12",'Procyclean 220'!F357)),EDATE(AB2355,12),IF(ISNUMBER(SEARCH("6",'Procyclean 220'!F357)),EDATE(AB2355,6),IF(ISNUMBER(SEARCH("3",'Procyclean 220'!F357)),EDATE(AB2355,3),DATEVALUE('Procyclean 220'!F357))))),""))</f>
        <v/>
      </c>
      <c r="AM2355" t="str">
        <f t="shared" ca="1" si="238"/>
        <v/>
      </c>
    </row>
    <row r="2356" spans="27:39" x14ac:dyDescent="0.3">
      <c r="AA2356" t="str">
        <f>IF(COUNTA('Procyclean 220'!C358,'Procyclean 220'!D358,'Procyclean 220'!E358)&gt;0,"220","")</f>
        <v/>
      </c>
      <c r="AB2356" t="str">
        <f>IFERROR(IF(ISNUMBER('Procyclean 220'!C358),'Procyclean 220'!C358,DATEVALUE('Procyclean 220'!C358)),"")</f>
        <v/>
      </c>
      <c r="AC2356" t="str">
        <f>IF(AA2356="","",'Procyclean 220'!D358)</f>
        <v/>
      </c>
      <c r="AD2356" t="str">
        <f>IF(AA2356="","",IFERROR(1*'Procyclean 220'!E358,IFERROR(_xludf.NUMBERVALUE('Procyclean 220'!E358,".",","),IFERROR(_xludf.NUMBERVALUE('Procyclean 220'!E358,",","."),0))))</f>
        <v/>
      </c>
      <c r="AE2356" t="str">
        <f>IF(AA2356="","",'Procyclean 220'!B358)</f>
        <v/>
      </c>
      <c r="AF2356">
        <f t="shared" si="233"/>
        <v>0</v>
      </c>
      <c r="AG2356" t="str">
        <f t="shared" si="234"/>
        <v/>
      </c>
      <c r="AH2356" t="str">
        <f t="shared" si="235"/>
        <v/>
      </c>
      <c r="AI2356">
        <f t="shared" si="236"/>
        <v>0</v>
      </c>
      <c r="AJ2356">
        <f t="shared" si="237"/>
        <v>0</v>
      </c>
      <c r="AK2356">
        <v>0</v>
      </c>
      <c r="AL2356" t="str">
        <f>IF(AA2356="","",IFERROR(IF(ISNUMBER('Procyclean 220'!F358),'Procyclean 220'!F358,IF(ISNUMBER(SEARCH("12",'Procyclean 220'!F358)),EDATE(AB2356,12),IF(ISNUMBER(SEARCH("6",'Procyclean 220'!F358)),EDATE(AB2356,6),IF(ISNUMBER(SEARCH("3",'Procyclean 220'!F358)),EDATE(AB2356,3),DATEVALUE('Procyclean 220'!F358))))),""))</f>
        <v/>
      </c>
      <c r="AM2356" t="str">
        <f t="shared" ca="1" si="238"/>
        <v/>
      </c>
    </row>
    <row r="2357" spans="27:39" x14ac:dyDescent="0.3">
      <c r="AA2357" t="str">
        <f>IF(COUNTA('Procyclean 220'!C359,'Procyclean 220'!D359,'Procyclean 220'!E359)&gt;0,"220","")</f>
        <v/>
      </c>
      <c r="AB2357" t="str">
        <f>IFERROR(IF(ISNUMBER('Procyclean 220'!C359),'Procyclean 220'!C359,DATEVALUE('Procyclean 220'!C359)),"")</f>
        <v/>
      </c>
      <c r="AC2357" t="str">
        <f>IF(AA2357="","",'Procyclean 220'!D359)</f>
        <v/>
      </c>
      <c r="AD2357" t="str">
        <f>IF(AA2357="","",IFERROR(1*'Procyclean 220'!E359,IFERROR(_xludf.NUMBERVALUE('Procyclean 220'!E359,".",","),IFERROR(_xludf.NUMBERVALUE('Procyclean 220'!E359,",","."),0))))</f>
        <v/>
      </c>
      <c r="AE2357" t="str">
        <f>IF(AA2357="","",'Procyclean 220'!B359)</f>
        <v/>
      </c>
      <c r="AF2357">
        <f t="shared" si="233"/>
        <v>0</v>
      </c>
      <c r="AG2357" t="str">
        <f t="shared" si="234"/>
        <v/>
      </c>
      <c r="AH2357" t="str">
        <f t="shared" si="235"/>
        <v/>
      </c>
      <c r="AI2357">
        <f t="shared" si="236"/>
        <v>0</v>
      </c>
      <c r="AJ2357">
        <f t="shared" si="237"/>
        <v>0</v>
      </c>
      <c r="AK2357">
        <v>0</v>
      </c>
      <c r="AL2357" t="str">
        <f>IF(AA2357="","",IFERROR(IF(ISNUMBER('Procyclean 220'!F359),'Procyclean 220'!F359,IF(ISNUMBER(SEARCH("12",'Procyclean 220'!F359)),EDATE(AB2357,12),IF(ISNUMBER(SEARCH("6",'Procyclean 220'!F359)),EDATE(AB2357,6),IF(ISNUMBER(SEARCH("3",'Procyclean 220'!F359)),EDATE(AB2357,3),DATEVALUE('Procyclean 220'!F359))))),""))</f>
        <v/>
      </c>
      <c r="AM2357" t="str">
        <f t="shared" ca="1" si="238"/>
        <v/>
      </c>
    </row>
    <row r="2358" spans="27:39" x14ac:dyDescent="0.3">
      <c r="AA2358" t="str">
        <f>IF(COUNTA('Procyclean 220'!C360,'Procyclean 220'!D360,'Procyclean 220'!E360)&gt;0,"220","")</f>
        <v/>
      </c>
      <c r="AB2358" t="str">
        <f>IFERROR(IF(ISNUMBER('Procyclean 220'!C360),'Procyclean 220'!C360,DATEVALUE('Procyclean 220'!C360)),"")</f>
        <v/>
      </c>
      <c r="AC2358" t="str">
        <f>IF(AA2358="","",'Procyclean 220'!D360)</f>
        <v/>
      </c>
      <c r="AD2358" t="str">
        <f>IF(AA2358="","",IFERROR(1*'Procyclean 220'!E360,IFERROR(_xludf.NUMBERVALUE('Procyclean 220'!E360,".",","),IFERROR(_xludf.NUMBERVALUE('Procyclean 220'!E360,",","."),0))))</f>
        <v/>
      </c>
      <c r="AE2358" t="str">
        <f>IF(AA2358="","",'Procyclean 220'!B360)</f>
        <v/>
      </c>
      <c r="AF2358">
        <f t="shared" si="233"/>
        <v>0</v>
      </c>
      <c r="AG2358" t="str">
        <f t="shared" si="234"/>
        <v/>
      </c>
      <c r="AH2358" t="str">
        <f t="shared" si="235"/>
        <v/>
      </c>
      <c r="AI2358">
        <f t="shared" si="236"/>
        <v>0</v>
      </c>
      <c r="AJ2358">
        <f t="shared" si="237"/>
        <v>0</v>
      </c>
      <c r="AK2358">
        <v>0</v>
      </c>
      <c r="AL2358" t="str">
        <f>IF(AA2358="","",IFERROR(IF(ISNUMBER('Procyclean 220'!F360),'Procyclean 220'!F360,IF(ISNUMBER(SEARCH("12",'Procyclean 220'!F360)),EDATE(AB2358,12),IF(ISNUMBER(SEARCH("6",'Procyclean 220'!F360)),EDATE(AB2358,6),IF(ISNUMBER(SEARCH("3",'Procyclean 220'!F360)),EDATE(AB2358,3),DATEVALUE('Procyclean 220'!F360))))),""))</f>
        <v/>
      </c>
      <c r="AM2358" t="str">
        <f t="shared" ca="1" si="238"/>
        <v/>
      </c>
    </row>
    <row r="2359" spans="27:39" x14ac:dyDescent="0.3">
      <c r="AA2359" t="str">
        <f>IF(COUNTA('Procyclean 220'!C361,'Procyclean 220'!D361,'Procyclean 220'!E361)&gt;0,"220","")</f>
        <v/>
      </c>
      <c r="AB2359" t="str">
        <f>IFERROR(IF(ISNUMBER('Procyclean 220'!C361),'Procyclean 220'!C361,DATEVALUE('Procyclean 220'!C361)),"")</f>
        <v/>
      </c>
      <c r="AC2359" t="str">
        <f>IF(AA2359="","",'Procyclean 220'!D361)</f>
        <v/>
      </c>
      <c r="AD2359" t="str">
        <f>IF(AA2359="","",IFERROR(1*'Procyclean 220'!E361,IFERROR(_xludf.NUMBERVALUE('Procyclean 220'!E361,".",","),IFERROR(_xludf.NUMBERVALUE('Procyclean 220'!E361,",","."),0))))</f>
        <v/>
      </c>
      <c r="AE2359" t="str">
        <f>IF(AA2359="","",'Procyclean 220'!B361)</f>
        <v/>
      </c>
      <c r="AF2359">
        <f t="shared" si="233"/>
        <v>0</v>
      </c>
      <c r="AG2359" t="str">
        <f t="shared" si="234"/>
        <v/>
      </c>
      <c r="AH2359" t="str">
        <f t="shared" si="235"/>
        <v/>
      </c>
      <c r="AI2359">
        <f t="shared" si="236"/>
        <v>0</v>
      </c>
      <c r="AJ2359">
        <f t="shared" si="237"/>
        <v>0</v>
      </c>
      <c r="AK2359">
        <v>0</v>
      </c>
      <c r="AL2359" t="str">
        <f>IF(AA2359="","",IFERROR(IF(ISNUMBER('Procyclean 220'!F361),'Procyclean 220'!F361,IF(ISNUMBER(SEARCH("12",'Procyclean 220'!F361)),EDATE(AB2359,12),IF(ISNUMBER(SEARCH("6",'Procyclean 220'!F361)),EDATE(AB2359,6),IF(ISNUMBER(SEARCH("3",'Procyclean 220'!F361)),EDATE(AB2359,3),DATEVALUE('Procyclean 220'!F361))))),""))</f>
        <v/>
      </c>
      <c r="AM2359" t="str">
        <f t="shared" ca="1" si="238"/>
        <v/>
      </c>
    </row>
    <row r="2360" spans="27:39" x14ac:dyDescent="0.3">
      <c r="AA2360" t="str">
        <f>IF(COUNTA('Procyclean 220'!C362,'Procyclean 220'!D362,'Procyclean 220'!E362)&gt;0,"220","")</f>
        <v/>
      </c>
      <c r="AB2360" t="str">
        <f>IFERROR(IF(ISNUMBER('Procyclean 220'!C362),'Procyclean 220'!C362,DATEVALUE('Procyclean 220'!C362)),"")</f>
        <v/>
      </c>
      <c r="AC2360" t="str">
        <f>IF(AA2360="","",'Procyclean 220'!D362)</f>
        <v/>
      </c>
      <c r="AD2360" t="str">
        <f>IF(AA2360="","",IFERROR(1*'Procyclean 220'!E362,IFERROR(_xludf.NUMBERVALUE('Procyclean 220'!E362,".",","),IFERROR(_xludf.NUMBERVALUE('Procyclean 220'!E362,",","."),0))))</f>
        <v/>
      </c>
      <c r="AE2360" t="str">
        <f>IF(AA2360="","",'Procyclean 220'!B362)</f>
        <v/>
      </c>
      <c r="AF2360">
        <f t="shared" si="233"/>
        <v>0</v>
      </c>
      <c r="AG2360" t="str">
        <f t="shared" si="234"/>
        <v/>
      </c>
      <c r="AH2360" t="str">
        <f t="shared" si="235"/>
        <v/>
      </c>
      <c r="AI2360">
        <f t="shared" si="236"/>
        <v>0</v>
      </c>
      <c r="AJ2360">
        <f t="shared" si="237"/>
        <v>0</v>
      </c>
      <c r="AK2360">
        <v>0</v>
      </c>
      <c r="AL2360" t="str">
        <f>IF(AA2360="","",IFERROR(IF(ISNUMBER('Procyclean 220'!F362),'Procyclean 220'!F362,IF(ISNUMBER(SEARCH("12",'Procyclean 220'!F362)),EDATE(AB2360,12),IF(ISNUMBER(SEARCH("6",'Procyclean 220'!F362)),EDATE(AB2360,6),IF(ISNUMBER(SEARCH("3",'Procyclean 220'!F362)),EDATE(AB2360,3),DATEVALUE('Procyclean 220'!F362))))),""))</f>
        <v/>
      </c>
      <c r="AM2360" t="str">
        <f t="shared" ca="1" si="238"/>
        <v/>
      </c>
    </row>
    <row r="2361" spans="27:39" x14ac:dyDescent="0.3">
      <c r="AA2361" t="str">
        <f>IF(COUNTA('Procyclean 220'!C363,'Procyclean 220'!D363,'Procyclean 220'!E363)&gt;0,"220","")</f>
        <v/>
      </c>
      <c r="AB2361" t="str">
        <f>IFERROR(IF(ISNUMBER('Procyclean 220'!C363),'Procyclean 220'!C363,DATEVALUE('Procyclean 220'!C363)),"")</f>
        <v/>
      </c>
      <c r="AC2361" t="str">
        <f>IF(AA2361="","",'Procyclean 220'!D363)</f>
        <v/>
      </c>
      <c r="AD2361" t="str">
        <f>IF(AA2361="","",IFERROR(1*'Procyclean 220'!E363,IFERROR(_xludf.NUMBERVALUE('Procyclean 220'!E363,".",","),IFERROR(_xludf.NUMBERVALUE('Procyclean 220'!E363,",","."),0))))</f>
        <v/>
      </c>
      <c r="AE2361" t="str">
        <f>IF(AA2361="","",'Procyclean 220'!B363)</f>
        <v/>
      </c>
      <c r="AF2361">
        <f t="shared" si="233"/>
        <v>0</v>
      </c>
      <c r="AG2361" t="str">
        <f t="shared" si="234"/>
        <v/>
      </c>
      <c r="AH2361" t="str">
        <f t="shared" si="235"/>
        <v/>
      </c>
      <c r="AI2361">
        <f t="shared" si="236"/>
        <v>0</v>
      </c>
      <c r="AJ2361">
        <f t="shared" si="237"/>
        <v>0</v>
      </c>
      <c r="AK2361">
        <v>0</v>
      </c>
      <c r="AL2361" t="str">
        <f>IF(AA2361="","",IFERROR(IF(ISNUMBER('Procyclean 220'!F363),'Procyclean 220'!F363,IF(ISNUMBER(SEARCH("12",'Procyclean 220'!F363)),EDATE(AB2361,12),IF(ISNUMBER(SEARCH("6",'Procyclean 220'!F363)),EDATE(AB2361,6),IF(ISNUMBER(SEARCH("3",'Procyclean 220'!F363)),EDATE(AB2361,3),DATEVALUE('Procyclean 220'!F363))))),""))</f>
        <v/>
      </c>
      <c r="AM2361" t="str">
        <f t="shared" ca="1" si="238"/>
        <v/>
      </c>
    </row>
    <row r="2362" spans="27:39" x14ac:dyDescent="0.3">
      <c r="AA2362" t="str">
        <f>IF(COUNTA('Procyclean 220'!C364,'Procyclean 220'!D364,'Procyclean 220'!E364)&gt;0,"220","")</f>
        <v/>
      </c>
      <c r="AB2362" t="str">
        <f>IFERROR(IF(ISNUMBER('Procyclean 220'!C364),'Procyclean 220'!C364,DATEVALUE('Procyclean 220'!C364)),"")</f>
        <v/>
      </c>
      <c r="AC2362" t="str">
        <f>IF(AA2362="","",'Procyclean 220'!D364)</f>
        <v/>
      </c>
      <c r="AD2362" t="str">
        <f>IF(AA2362="","",IFERROR(1*'Procyclean 220'!E364,IFERROR(_xludf.NUMBERVALUE('Procyclean 220'!E364,".",","),IFERROR(_xludf.NUMBERVALUE('Procyclean 220'!E364,",","."),0))))</f>
        <v/>
      </c>
      <c r="AE2362" t="str">
        <f>IF(AA2362="","",'Procyclean 220'!B364)</f>
        <v/>
      </c>
      <c r="AF2362">
        <f t="shared" si="233"/>
        <v>0</v>
      </c>
      <c r="AG2362" t="str">
        <f t="shared" si="234"/>
        <v/>
      </c>
      <c r="AH2362" t="str">
        <f t="shared" si="235"/>
        <v/>
      </c>
      <c r="AI2362">
        <f t="shared" si="236"/>
        <v>0</v>
      </c>
      <c r="AJ2362">
        <f t="shared" si="237"/>
        <v>0</v>
      </c>
      <c r="AK2362">
        <v>0</v>
      </c>
      <c r="AL2362" t="str">
        <f>IF(AA2362="","",IFERROR(IF(ISNUMBER('Procyclean 220'!F364),'Procyclean 220'!F364,IF(ISNUMBER(SEARCH("12",'Procyclean 220'!F364)),EDATE(AB2362,12),IF(ISNUMBER(SEARCH("6",'Procyclean 220'!F364)),EDATE(AB2362,6),IF(ISNUMBER(SEARCH("3",'Procyclean 220'!F364)),EDATE(AB2362,3),DATEVALUE('Procyclean 220'!F364))))),""))</f>
        <v/>
      </c>
      <c r="AM2362" t="str">
        <f t="shared" ca="1" si="238"/>
        <v/>
      </c>
    </row>
    <row r="2363" spans="27:39" x14ac:dyDescent="0.3">
      <c r="AA2363" t="str">
        <f>IF(COUNTA('Procyclean 220'!C365,'Procyclean 220'!D365,'Procyclean 220'!E365)&gt;0,"220","")</f>
        <v/>
      </c>
      <c r="AB2363" t="str">
        <f>IFERROR(IF(ISNUMBER('Procyclean 220'!C365),'Procyclean 220'!C365,DATEVALUE('Procyclean 220'!C365)),"")</f>
        <v/>
      </c>
      <c r="AC2363" t="str">
        <f>IF(AA2363="","",'Procyclean 220'!D365)</f>
        <v/>
      </c>
      <c r="AD2363" t="str">
        <f>IF(AA2363="","",IFERROR(1*'Procyclean 220'!E365,IFERROR(_xludf.NUMBERVALUE('Procyclean 220'!E365,".",","),IFERROR(_xludf.NUMBERVALUE('Procyclean 220'!E365,",","."),0))))</f>
        <v/>
      </c>
      <c r="AE2363" t="str">
        <f>IF(AA2363="","",'Procyclean 220'!B365)</f>
        <v/>
      </c>
      <c r="AF2363">
        <f t="shared" si="233"/>
        <v>0</v>
      </c>
      <c r="AG2363" t="str">
        <f t="shared" si="234"/>
        <v/>
      </c>
      <c r="AH2363" t="str">
        <f t="shared" si="235"/>
        <v/>
      </c>
      <c r="AI2363">
        <f t="shared" si="236"/>
        <v>0</v>
      </c>
      <c r="AJ2363">
        <f t="shared" si="237"/>
        <v>0</v>
      </c>
      <c r="AK2363">
        <v>0</v>
      </c>
      <c r="AL2363" t="str">
        <f>IF(AA2363="","",IFERROR(IF(ISNUMBER('Procyclean 220'!F365),'Procyclean 220'!F365,IF(ISNUMBER(SEARCH("12",'Procyclean 220'!F365)),EDATE(AB2363,12),IF(ISNUMBER(SEARCH("6",'Procyclean 220'!F365)),EDATE(AB2363,6),IF(ISNUMBER(SEARCH("3",'Procyclean 220'!F365)),EDATE(AB2363,3),DATEVALUE('Procyclean 220'!F365))))),""))</f>
        <v/>
      </c>
      <c r="AM2363" t="str">
        <f t="shared" ca="1" si="238"/>
        <v/>
      </c>
    </row>
    <row r="2364" spans="27:39" x14ac:dyDescent="0.3">
      <c r="AA2364" t="str">
        <f>IF(COUNTA('Procyclean 220'!C366,'Procyclean 220'!D366,'Procyclean 220'!E366)&gt;0,"220","")</f>
        <v/>
      </c>
      <c r="AB2364" t="str">
        <f>IFERROR(IF(ISNUMBER('Procyclean 220'!C366),'Procyclean 220'!C366,DATEVALUE('Procyclean 220'!C366)),"")</f>
        <v/>
      </c>
      <c r="AC2364" t="str">
        <f>IF(AA2364="","",'Procyclean 220'!D366)</f>
        <v/>
      </c>
      <c r="AD2364" t="str">
        <f>IF(AA2364="","",IFERROR(1*'Procyclean 220'!E366,IFERROR(_xludf.NUMBERVALUE('Procyclean 220'!E366,".",","),IFERROR(_xludf.NUMBERVALUE('Procyclean 220'!E366,",","."),0))))</f>
        <v/>
      </c>
      <c r="AE2364" t="str">
        <f>IF(AA2364="","",'Procyclean 220'!B366)</f>
        <v/>
      </c>
      <c r="AF2364">
        <f t="shared" si="233"/>
        <v>0</v>
      </c>
      <c r="AG2364" t="str">
        <f t="shared" si="234"/>
        <v/>
      </c>
      <c r="AH2364" t="str">
        <f t="shared" si="235"/>
        <v/>
      </c>
      <c r="AI2364">
        <f t="shared" si="236"/>
        <v>0</v>
      </c>
      <c r="AJ2364">
        <f t="shared" si="237"/>
        <v>0</v>
      </c>
      <c r="AK2364">
        <v>0</v>
      </c>
      <c r="AL2364" t="str">
        <f>IF(AA2364="","",IFERROR(IF(ISNUMBER('Procyclean 220'!F366),'Procyclean 220'!F366,IF(ISNUMBER(SEARCH("12",'Procyclean 220'!F366)),EDATE(AB2364,12),IF(ISNUMBER(SEARCH("6",'Procyclean 220'!F366)),EDATE(AB2364,6),IF(ISNUMBER(SEARCH("3",'Procyclean 220'!F366)),EDATE(AB2364,3),DATEVALUE('Procyclean 220'!F366))))),""))</f>
        <v/>
      </c>
      <c r="AM2364" t="str">
        <f t="shared" ca="1" si="238"/>
        <v/>
      </c>
    </row>
    <row r="2365" spans="27:39" x14ac:dyDescent="0.3">
      <c r="AA2365" t="str">
        <f>IF(COUNTA('Procyclean 220'!C367,'Procyclean 220'!D367,'Procyclean 220'!E367)&gt;0,"220","")</f>
        <v/>
      </c>
      <c r="AB2365" t="str">
        <f>IFERROR(IF(ISNUMBER('Procyclean 220'!C367),'Procyclean 220'!C367,DATEVALUE('Procyclean 220'!C367)),"")</f>
        <v/>
      </c>
      <c r="AC2365" t="str">
        <f>IF(AA2365="","",'Procyclean 220'!D367)</f>
        <v/>
      </c>
      <c r="AD2365" t="str">
        <f>IF(AA2365="","",IFERROR(1*'Procyclean 220'!E367,IFERROR(_xludf.NUMBERVALUE('Procyclean 220'!E367,".",","),IFERROR(_xludf.NUMBERVALUE('Procyclean 220'!E367,",","."),0))))</f>
        <v/>
      </c>
      <c r="AE2365" t="str">
        <f>IF(AA2365="","",'Procyclean 220'!B367)</f>
        <v/>
      </c>
      <c r="AF2365">
        <f t="shared" si="233"/>
        <v>0</v>
      </c>
      <c r="AG2365" t="str">
        <f t="shared" si="234"/>
        <v/>
      </c>
      <c r="AH2365" t="str">
        <f t="shared" si="235"/>
        <v/>
      </c>
      <c r="AI2365">
        <f t="shared" si="236"/>
        <v>0</v>
      </c>
      <c r="AJ2365">
        <f t="shared" si="237"/>
        <v>0</v>
      </c>
      <c r="AK2365">
        <v>0</v>
      </c>
      <c r="AL2365" t="str">
        <f>IF(AA2365="","",IFERROR(IF(ISNUMBER('Procyclean 220'!F367),'Procyclean 220'!F367,IF(ISNUMBER(SEARCH("12",'Procyclean 220'!F367)),EDATE(AB2365,12),IF(ISNUMBER(SEARCH("6",'Procyclean 220'!F367)),EDATE(AB2365,6),IF(ISNUMBER(SEARCH("3",'Procyclean 220'!F367)),EDATE(AB2365,3),DATEVALUE('Procyclean 220'!F367))))),""))</f>
        <v/>
      </c>
      <c r="AM2365" t="str">
        <f t="shared" ca="1" si="238"/>
        <v/>
      </c>
    </row>
    <row r="2366" spans="27:39" x14ac:dyDescent="0.3">
      <c r="AA2366" t="str">
        <f>IF(COUNTA('Procyclean 220'!C368,'Procyclean 220'!D368,'Procyclean 220'!E368)&gt;0,"220","")</f>
        <v/>
      </c>
      <c r="AB2366" t="str">
        <f>IFERROR(IF(ISNUMBER('Procyclean 220'!C368),'Procyclean 220'!C368,DATEVALUE('Procyclean 220'!C368)),"")</f>
        <v/>
      </c>
      <c r="AC2366" t="str">
        <f>IF(AA2366="","",'Procyclean 220'!D368)</f>
        <v/>
      </c>
      <c r="AD2366" t="str">
        <f>IF(AA2366="","",IFERROR(1*'Procyclean 220'!E368,IFERROR(_xludf.NUMBERVALUE('Procyclean 220'!E368,".",","),IFERROR(_xludf.NUMBERVALUE('Procyclean 220'!E368,",","."),0))))</f>
        <v/>
      </c>
      <c r="AE2366" t="str">
        <f>IF(AA2366="","",'Procyclean 220'!B368)</f>
        <v/>
      </c>
      <c r="AF2366">
        <f t="shared" si="233"/>
        <v>0</v>
      </c>
      <c r="AG2366" t="str">
        <f t="shared" si="234"/>
        <v/>
      </c>
      <c r="AH2366" t="str">
        <f t="shared" si="235"/>
        <v/>
      </c>
      <c r="AI2366">
        <f t="shared" si="236"/>
        <v>0</v>
      </c>
      <c r="AJ2366">
        <f t="shared" si="237"/>
        <v>0</v>
      </c>
      <c r="AK2366">
        <v>0</v>
      </c>
      <c r="AL2366" t="str">
        <f>IF(AA2366="","",IFERROR(IF(ISNUMBER('Procyclean 220'!F368),'Procyclean 220'!F368,IF(ISNUMBER(SEARCH("12",'Procyclean 220'!F368)),EDATE(AB2366,12),IF(ISNUMBER(SEARCH("6",'Procyclean 220'!F368)),EDATE(AB2366,6),IF(ISNUMBER(SEARCH("3",'Procyclean 220'!F368)),EDATE(AB2366,3),DATEVALUE('Procyclean 220'!F368))))),""))</f>
        <v/>
      </c>
      <c r="AM2366" t="str">
        <f t="shared" ca="1" si="238"/>
        <v/>
      </c>
    </row>
    <row r="2367" spans="27:39" x14ac:dyDescent="0.3">
      <c r="AA2367" t="str">
        <f>IF(COUNTA('Procyclean 220'!C369,'Procyclean 220'!D369,'Procyclean 220'!E369)&gt;0,"220","")</f>
        <v/>
      </c>
      <c r="AB2367" t="str">
        <f>IFERROR(IF(ISNUMBER('Procyclean 220'!C369),'Procyclean 220'!C369,DATEVALUE('Procyclean 220'!C369)),"")</f>
        <v/>
      </c>
      <c r="AC2367" t="str">
        <f>IF(AA2367="","",'Procyclean 220'!D369)</f>
        <v/>
      </c>
      <c r="AD2367" t="str">
        <f>IF(AA2367="","",IFERROR(1*'Procyclean 220'!E369,IFERROR(_xludf.NUMBERVALUE('Procyclean 220'!E369,".",","),IFERROR(_xludf.NUMBERVALUE('Procyclean 220'!E369,",","."),0))))</f>
        <v/>
      </c>
      <c r="AE2367" t="str">
        <f>IF(AA2367="","",'Procyclean 220'!B369)</f>
        <v/>
      </c>
      <c r="AF2367">
        <f t="shared" si="233"/>
        <v>0</v>
      </c>
      <c r="AG2367" t="str">
        <f t="shared" si="234"/>
        <v/>
      </c>
      <c r="AH2367" t="str">
        <f t="shared" si="235"/>
        <v/>
      </c>
      <c r="AI2367">
        <f t="shared" si="236"/>
        <v>0</v>
      </c>
      <c r="AJ2367">
        <f t="shared" si="237"/>
        <v>0</v>
      </c>
      <c r="AK2367">
        <v>0</v>
      </c>
      <c r="AL2367" t="str">
        <f>IF(AA2367="","",IFERROR(IF(ISNUMBER('Procyclean 220'!F369),'Procyclean 220'!F369,IF(ISNUMBER(SEARCH("12",'Procyclean 220'!F369)),EDATE(AB2367,12),IF(ISNUMBER(SEARCH("6",'Procyclean 220'!F369)),EDATE(AB2367,6),IF(ISNUMBER(SEARCH("3",'Procyclean 220'!F369)),EDATE(AB2367,3),DATEVALUE('Procyclean 220'!F369))))),""))</f>
        <v/>
      </c>
      <c r="AM2367" t="str">
        <f t="shared" ca="1" si="238"/>
        <v/>
      </c>
    </row>
    <row r="2368" spans="27:39" x14ac:dyDescent="0.3">
      <c r="AA2368" t="str">
        <f>IF(COUNTA('Procyclean 220'!C370,'Procyclean 220'!D370,'Procyclean 220'!E370)&gt;0,"220","")</f>
        <v/>
      </c>
      <c r="AB2368" t="str">
        <f>IFERROR(IF(ISNUMBER('Procyclean 220'!C370),'Procyclean 220'!C370,DATEVALUE('Procyclean 220'!C370)),"")</f>
        <v/>
      </c>
      <c r="AC2368" t="str">
        <f>IF(AA2368="","",'Procyclean 220'!D370)</f>
        <v/>
      </c>
      <c r="AD2368" t="str">
        <f>IF(AA2368="","",IFERROR(1*'Procyclean 220'!E370,IFERROR(_xludf.NUMBERVALUE('Procyclean 220'!E370,".",","),IFERROR(_xludf.NUMBERVALUE('Procyclean 220'!E370,",","."),0))))</f>
        <v/>
      </c>
      <c r="AE2368" t="str">
        <f>IF(AA2368="","",'Procyclean 220'!B370)</f>
        <v/>
      </c>
      <c r="AF2368">
        <f t="shared" si="233"/>
        <v>0</v>
      </c>
      <c r="AG2368" t="str">
        <f t="shared" si="234"/>
        <v/>
      </c>
      <c r="AH2368" t="str">
        <f t="shared" si="235"/>
        <v/>
      </c>
      <c r="AI2368">
        <f t="shared" si="236"/>
        <v>0</v>
      </c>
      <c r="AJ2368">
        <f t="shared" si="237"/>
        <v>0</v>
      </c>
      <c r="AK2368">
        <v>0</v>
      </c>
      <c r="AL2368" t="str">
        <f>IF(AA2368="","",IFERROR(IF(ISNUMBER('Procyclean 220'!F370),'Procyclean 220'!F370,IF(ISNUMBER(SEARCH("12",'Procyclean 220'!F370)),EDATE(AB2368,12),IF(ISNUMBER(SEARCH("6",'Procyclean 220'!F370)),EDATE(AB2368,6),IF(ISNUMBER(SEARCH("3",'Procyclean 220'!F370)),EDATE(AB2368,3),DATEVALUE('Procyclean 220'!F370))))),""))</f>
        <v/>
      </c>
      <c r="AM2368" t="str">
        <f t="shared" ca="1" si="238"/>
        <v/>
      </c>
    </row>
    <row r="2369" spans="27:39" x14ac:dyDescent="0.3">
      <c r="AA2369" t="str">
        <f>IF(COUNTA('Procyclean 220'!C371,'Procyclean 220'!D371,'Procyclean 220'!E371)&gt;0,"220","")</f>
        <v/>
      </c>
      <c r="AB2369" t="str">
        <f>IFERROR(IF(ISNUMBER('Procyclean 220'!C371),'Procyclean 220'!C371,DATEVALUE('Procyclean 220'!C371)),"")</f>
        <v/>
      </c>
      <c r="AC2369" t="str">
        <f>IF(AA2369="","",'Procyclean 220'!D371)</f>
        <v/>
      </c>
      <c r="AD2369" t="str">
        <f>IF(AA2369="","",IFERROR(1*'Procyclean 220'!E371,IFERROR(_xludf.NUMBERVALUE('Procyclean 220'!E371,".",","),IFERROR(_xludf.NUMBERVALUE('Procyclean 220'!E371,",","."),0))))</f>
        <v/>
      </c>
      <c r="AE2369" t="str">
        <f>IF(AA2369="","",'Procyclean 220'!B371)</f>
        <v/>
      </c>
      <c r="AF2369">
        <f t="shared" si="233"/>
        <v>0</v>
      </c>
      <c r="AG2369" t="str">
        <f t="shared" si="234"/>
        <v/>
      </c>
      <c r="AH2369" t="str">
        <f t="shared" si="235"/>
        <v/>
      </c>
      <c r="AI2369">
        <f t="shared" si="236"/>
        <v>0</v>
      </c>
      <c r="AJ2369">
        <f t="shared" si="237"/>
        <v>0</v>
      </c>
      <c r="AK2369">
        <v>0</v>
      </c>
      <c r="AL2369" t="str">
        <f>IF(AA2369="","",IFERROR(IF(ISNUMBER('Procyclean 220'!F371),'Procyclean 220'!F371,IF(ISNUMBER(SEARCH("12",'Procyclean 220'!F371)),EDATE(AB2369,12),IF(ISNUMBER(SEARCH("6",'Procyclean 220'!F371)),EDATE(AB2369,6),IF(ISNUMBER(SEARCH("3",'Procyclean 220'!F371)),EDATE(AB2369,3),DATEVALUE('Procyclean 220'!F371))))),""))</f>
        <v/>
      </c>
      <c r="AM2369" t="str">
        <f t="shared" ca="1" si="238"/>
        <v/>
      </c>
    </row>
    <row r="2370" spans="27:39" x14ac:dyDescent="0.3">
      <c r="AA2370" t="str">
        <f>IF(COUNTA('Procyclean 220'!C372,'Procyclean 220'!D372,'Procyclean 220'!E372)&gt;0,"220","")</f>
        <v/>
      </c>
      <c r="AB2370" t="str">
        <f>IFERROR(IF(ISNUMBER('Procyclean 220'!C372),'Procyclean 220'!C372,DATEVALUE('Procyclean 220'!C372)),"")</f>
        <v/>
      </c>
      <c r="AC2370" t="str">
        <f>IF(AA2370="","",'Procyclean 220'!D372)</f>
        <v/>
      </c>
      <c r="AD2370" t="str">
        <f>IF(AA2370="","",IFERROR(1*'Procyclean 220'!E372,IFERROR(_xludf.NUMBERVALUE('Procyclean 220'!E372,".",","),IFERROR(_xludf.NUMBERVALUE('Procyclean 220'!E372,",","."),0))))</f>
        <v/>
      </c>
      <c r="AE2370" t="str">
        <f>IF(AA2370="","",'Procyclean 220'!B372)</f>
        <v/>
      </c>
      <c r="AF2370">
        <f t="shared" ref="AF2370:AF2433" si="239">IF(AA2370="",0,--AND(ISNUMBER(SEARCH("aprov",AE2370)),NOT(ISNUMBER(SEARCH("reprov",AE2370)))))</f>
        <v>0</v>
      </c>
      <c r="AG2370" t="str">
        <f t="shared" ref="AG2370:AG2433" si="240">IF(AB2370="","",YEAR(AB2370))</f>
        <v/>
      </c>
      <c r="AH2370" t="str">
        <f t="shared" ref="AH2370:AH2433" si="241">IF(AB2370="","",MONTH(AB2370))</f>
        <v/>
      </c>
      <c r="AI2370">
        <f t="shared" ref="AI2370:AI2433" si="242">IF(AB2370="",0,AB2370+ROW()/1000000)</f>
        <v>0</v>
      </c>
      <c r="AJ2370">
        <f t="shared" ref="AJ2370:AJ2433" si="243">--(AA2370&lt;&gt;"")</f>
        <v>0</v>
      </c>
      <c r="AK2370">
        <v>0</v>
      </c>
      <c r="AL2370" t="str">
        <f>IF(AA2370="","",IFERROR(IF(ISNUMBER('Procyclean 220'!F372),'Procyclean 220'!F372,IF(ISNUMBER(SEARCH("12",'Procyclean 220'!F372)),EDATE(AB2370,12),IF(ISNUMBER(SEARCH("6",'Procyclean 220'!F372)),EDATE(AB2370,6),IF(ISNUMBER(SEARCH("3",'Procyclean 220'!F372)),EDATE(AB2370,3),DATEVALUE('Procyclean 220'!F372))))),""))</f>
        <v/>
      </c>
      <c r="AM2370" t="str">
        <f t="shared" ref="AM2370:AM2433" ca="1" si="244">IF(AND(AJ2370=1,AL2370&lt;&gt;"",AL2370&gt;=TODAY(),AG2370=$W$3),AL2370+ROW()/1000000,"")</f>
        <v/>
      </c>
    </row>
    <row r="2371" spans="27:39" x14ac:dyDescent="0.3">
      <c r="AA2371" t="str">
        <f>IF(COUNTA('Procyclean 220'!C373,'Procyclean 220'!D373,'Procyclean 220'!E373)&gt;0,"220","")</f>
        <v/>
      </c>
      <c r="AB2371" t="str">
        <f>IFERROR(IF(ISNUMBER('Procyclean 220'!C373),'Procyclean 220'!C373,DATEVALUE('Procyclean 220'!C373)),"")</f>
        <v/>
      </c>
      <c r="AC2371" t="str">
        <f>IF(AA2371="","",'Procyclean 220'!D373)</f>
        <v/>
      </c>
      <c r="AD2371" t="str">
        <f>IF(AA2371="","",IFERROR(1*'Procyclean 220'!E373,IFERROR(_xludf.NUMBERVALUE('Procyclean 220'!E373,".",","),IFERROR(_xludf.NUMBERVALUE('Procyclean 220'!E373,",","."),0))))</f>
        <v/>
      </c>
      <c r="AE2371" t="str">
        <f>IF(AA2371="","",'Procyclean 220'!B373)</f>
        <v/>
      </c>
      <c r="AF2371">
        <f t="shared" si="239"/>
        <v>0</v>
      </c>
      <c r="AG2371" t="str">
        <f t="shared" si="240"/>
        <v/>
      </c>
      <c r="AH2371" t="str">
        <f t="shared" si="241"/>
        <v/>
      </c>
      <c r="AI2371">
        <f t="shared" si="242"/>
        <v>0</v>
      </c>
      <c r="AJ2371">
        <f t="shared" si="243"/>
        <v>0</v>
      </c>
      <c r="AK2371">
        <v>0</v>
      </c>
      <c r="AL2371" t="str">
        <f>IF(AA2371="","",IFERROR(IF(ISNUMBER('Procyclean 220'!F373),'Procyclean 220'!F373,IF(ISNUMBER(SEARCH("12",'Procyclean 220'!F373)),EDATE(AB2371,12),IF(ISNUMBER(SEARCH("6",'Procyclean 220'!F373)),EDATE(AB2371,6),IF(ISNUMBER(SEARCH("3",'Procyclean 220'!F373)),EDATE(AB2371,3),DATEVALUE('Procyclean 220'!F373))))),""))</f>
        <v/>
      </c>
      <c r="AM2371" t="str">
        <f t="shared" ca="1" si="244"/>
        <v/>
      </c>
    </row>
    <row r="2372" spans="27:39" x14ac:dyDescent="0.3">
      <c r="AA2372" t="str">
        <f>IF(COUNTA('Procyclean 220'!C374,'Procyclean 220'!D374,'Procyclean 220'!E374)&gt;0,"220","")</f>
        <v/>
      </c>
      <c r="AB2372" t="str">
        <f>IFERROR(IF(ISNUMBER('Procyclean 220'!C374),'Procyclean 220'!C374,DATEVALUE('Procyclean 220'!C374)),"")</f>
        <v/>
      </c>
      <c r="AC2372" t="str">
        <f>IF(AA2372="","",'Procyclean 220'!D374)</f>
        <v/>
      </c>
      <c r="AD2372" t="str">
        <f>IF(AA2372="","",IFERROR(1*'Procyclean 220'!E374,IFERROR(_xludf.NUMBERVALUE('Procyclean 220'!E374,".",","),IFERROR(_xludf.NUMBERVALUE('Procyclean 220'!E374,",","."),0))))</f>
        <v/>
      </c>
      <c r="AE2372" t="str">
        <f>IF(AA2372="","",'Procyclean 220'!B374)</f>
        <v/>
      </c>
      <c r="AF2372">
        <f t="shared" si="239"/>
        <v>0</v>
      </c>
      <c r="AG2372" t="str">
        <f t="shared" si="240"/>
        <v/>
      </c>
      <c r="AH2372" t="str">
        <f t="shared" si="241"/>
        <v/>
      </c>
      <c r="AI2372">
        <f t="shared" si="242"/>
        <v>0</v>
      </c>
      <c r="AJ2372">
        <f t="shared" si="243"/>
        <v>0</v>
      </c>
      <c r="AK2372">
        <v>0</v>
      </c>
      <c r="AL2372" t="str">
        <f>IF(AA2372="","",IFERROR(IF(ISNUMBER('Procyclean 220'!F374),'Procyclean 220'!F374,IF(ISNUMBER(SEARCH("12",'Procyclean 220'!F374)),EDATE(AB2372,12),IF(ISNUMBER(SEARCH("6",'Procyclean 220'!F374)),EDATE(AB2372,6),IF(ISNUMBER(SEARCH("3",'Procyclean 220'!F374)),EDATE(AB2372,3),DATEVALUE('Procyclean 220'!F374))))),""))</f>
        <v/>
      </c>
      <c r="AM2372" t="str">
        <f t="shared" ca="1" si="244"/>
        <v/>
      </c>
    </row>
    <row r="2373" spans="27:39" x14ac:dyDescent="0.3">
      <c r="AA2373" t="str">
        <f>IF(COUNTA('Procyclean 220'!C375,'Procyclean 220'!D375,'Procyclean 220'!E375)&gt;0,"220","")</f>
        <v/>
      </c>
      <c r="AB2373" t="str">
        <f>IFERROR(IF(ISNUMBER('Procyclean 220'!C375),'Procyclean 220'!C375,DATEVALUE('Procyclean 220'!C375)),"")</f>
        <v/>
      </c>
      <c r="AC2373" t="str">
        <f>IF(AA2373="","",'Procyclean 220'!D375)</f>
        <v/>
      </c>
      <c r="AD2373" t="str">
        <f>IF(AA2373="","",IFERROR(1*'Procyclean 220'!E375,IFERROR(_xludf.NUMBERVALUE('Procyclean 220'!E375,".",","),IFERROR(_xludf.NUMBERVALUE('Procyclean 220'!E375,",","."),0))))</f>
        <v/>
      </c>
      <c r="AE2373" t="str">
        <f>IF(AA2373="","",'Procyclean 220'!B375)</f>
        <v/>
      </c>
      <c r="AF2373">
        <f t="shared" si="239"/>
        <v>0</v>
      </c>
      <c r="AG2373" t="str">
        <f t="shared" si="240"/>
        <v/>
      </c>
      <c r="AH2373" t="str">
        <f t="shared" si="241"/>
        <v/>
      </c>
      <c r="AI2373">
        <f t="shared" si="242"/>
        <v>0</v>
      </c>
      <c r="AJ2373">
        <f t="shared" si="243"/>
        <v>0</v>
      </c>
      <c r="AK2373">
        <v>0</v>
      </c>
      <c r="AL2373" t="str">
        <f>IF(AA2373="","",IFERROR(IF(ISNUMBER('Procyclean 220'!F375),'Procyclean 220'!F375,IF(ISNUMBER(SEARCH("12",'Procyclean 220'!F375)),EDATE(AB2373,12),IF(ISNUMBER(SEARCH("6",'Procyclean 220'!F375)),EDATE(AB2373,6),IF(ISNUMBER(SEARCH("3",'Procyclean 220'!F375)),EDATE(AB2373,3),DATEVALUE('Procyclean 220'!F375))))),""))</f>
        <v/>
      </c>
      <c r="AM2373" t="str">
        <f t="shared" ca="1" si="244"/>
        <v/>
      </c>
    </row>
    <row r="2374" spans="27:39" x14ac:dyDescent="0.3">
      <c r="AA2374" t="str">
        <f>IF(COUNTA('Procyclean 220'!C376,'Procyclean 220'!D376,'Procyclean 220'!E376)&gt;0,"220","")</f>
        <v/>
      </c>
      <c r="AB2374" t="str">
        <f>IFERROR(IF(ISNUMBER('Procyclean 220'!C376),'Procyclean 220'!C376,DATEVALUE('Procyclean 220'!C376)),"")</f>
        <v/>
      </c>
      <c r="AC2374" t="str">
        <f>IF(AA2374="","",'Procyclean 220'!D376)</f>
        <v/>
      </c>
      <c r="AD2374" t="str">
        <f>IF(AA2374="","",IFERROR(1*'Procyclean 220'!E376,IFERROR(_xludf.NUMBERVALUE('Procyclean 220'!E376,".",","),IFERROR(_xludf.NUMBERVALUE('Procyclean 220'!E376,",","."),0))))</f>
        <v/>
      </c>
      <c r="AE2374" t="str">
        <f>IF(AA2374="","",'Procyclean 220'!B376)</f>
        <v/>
      </c>
      <c r="AF2374">
        <f t="shared" si="239"/>
        <v>0</v>
      </c>
      <c r="AG2374" t="str">
        <f t="shared" si="240"/>
        <v/>
      </c>
      <c r="AH2374" t="str">
        <f t="shared" si="241"/>
        <v/>
      </c>
      <c r="AI2374">
        <f t="shared" si="242"/>
        <v>0</v>
      </c>
      <c r="AJ2374">
        <f t="shared" si="243"/>
        <v>0</v>
      </c>
      <c r="AK2374">
        <v>0</v>
      </c>
      <c r="AL2374" t="str">
        <f>IF(AA2374="","",IFERROR(IF(ISNUMBER('Procyclean 220'!F376),'Procyclean 220'!F376,IF(ISNUMBER(SEARCH("12",'Procyclean 220'!F376)),EDATE(AB2374,12),IF(ISNUMBER(SEARCH("6",'Procyclean 220'!F376)),EDATE(AB2374,6),IF(ISNUMBER(SEARCH("3",'Procyclean 220'!F376)),EDATE(AB2374,3),DATEVALUE('Procyclean 220'!F376))))),""))</f>
        <v/>
      </c>
      <c r="AM2374" t="str">
        <f t="shared" ca="1" si="244"/>
        <v/>
      </c>
    </row>
    <row r="2375" spans="27:39" x14ac:dyDescent="0.3">
      <c r="AA2375" t="str">
        <f>IF(COUNTA('Procyclean 220'!C377,'Procyclean 220'!D377,'Procyclean 220'!E377)&gt;0,"220","")</f>
        <v/>
      </c>
      <c r="AB2375" t="str">
        <f>IFERROR(IF(ISNUMBER('Procyclean 220'!C377),'Procyclean 220'!C377,DATEVALUE('Procyclean 220'!C377)),"")</f>
        <v/>
      </c>
      <c r="AC2375" t="str">
        <f>IF(AA2375="","",'Procyclean 220'!D377)</f>
        <v/>
      </c>
      <c r="AD2375" t="str">
        <f>IF(AA2375="","",IFERROR(1*'Procyclean 220'!E377,IFERROR(_xludf.NUMBERVALUE('Procyclean 220'!E377,".",","),IFERROR(_xludf.NUMBERVALUE('Procyclean 220'!E377,",","."),0))))</f>
        <v/>
      </c>
      <c r="AE2375" t="str">
        <f>IF(AA2375="","",'Procyclean 220'!B377)</f>
        <v/>
      </c>
      <c r="AF2375">
        <f t="shared" si="239"/>
        <v>0</v>
      </c>
      <c r="AG2375" t="str">
        <f t="shared" si="240"/>
        <v/>
      </c>
      <c r="AH2375" t="str">
        <f t="shared" si="241"/>
        <v/>
      </c>
      <c r="AI2375">
        <f t="shared" si="242"/>
        <v>0</v>
      </c>
      <c r="AJ2375">
        <f t="shared" si="243"/>
        <v>0</v>
      </c>
      <c r="AK2375">
        <v>0</v>
      </c>
      <c r="AL2375" t="str">
        <f>IF(AA2375="","",IFERROR(IF(ISNUMBER('Procyclean 220'!F377),'Procyclean 220'!F377,IF(ISNUMBER(SEARCH("12",'Procyclean 220'!F377)),EDATE(AB2375,12),IF(ISNUMBER(SEARCH("6",'Procyclean 220'!F377)),EDATE(AB2375,6),IF(ISNUMBER(SEARCH("3",'Procyclean 220'!F377)),EDATE(AB2375,3),DATEVALUE('Procyclean 220'!F377))))),""))</f>
        <v/>
      </c>
      <c r="AM2375" t="str">
        <f t="shared" ca="1" si="244"/>
        <v/>
      </c>
    </row>
    <row r="2376" spans="27:39" x14ac:dyDescent="0.3">
      <c r="AA2376" t="str">
        <f>IF(COUNTA('Procyclean 220'!C378,'Procyclean 220'!D378,'Procyclean 220'!E378)&gt;0,"220","")</f>
        <v/>
      </c>
      <c r="AB2376" t="str">
        <f>IFERROR(IF(ISNUMBER('Procyclean 220'!C378),'Procyclean 220'!C378,DATEVALUE('Procyclean 220'!C378)),"")</f>
        <v/>
      </c>
      <c r="AC2376" t="str">
        <f>IF(AA2376="","",'Procyclean 220'!D378)</f>
        <v/>
      </c>
      <c r="AD2376" t="str">
        <f>IF(AA2376="","",IFERROR(1*'Procyclean 220'!E378,IFERROR(_xludf.NUMBERVALUE('Procyclean 220'!E378,".",","),IFERROR(_xludf.NUMBERVALUE('Procyclean 220'!E378,",","."),0))))</f>
        <v/>
      </c>
      <c r="AE2376" t="str">
        <f>IF(AA2376="","",'Procyclean 220'!B378)</f>
        <v/>
      </c>
      <c r="AF2376">
        <f t="shared" si="239"/>
        <v>0</v>
      </c>
      <c r="AG2376" t="str">
        <f t="shared" si="240"/>
        <v/>
      </c>
      <c r="AH2376" t="str">
        <f t="shared" si="241"/>
        <v/>
      </c>
      <c r="AI2376">
        <f t="shared" si="242"/>
        <v>0</v>
      </c>
      <c r="AJ2376">
        <f t="shared" si="243"/>
        <v>0</v>
      </c>
      <c r="AK2376">
        <v>0</v>
      </c>
      <c r="AL2376" t="str">
        <f>IF(AA2376="","",IFERROR(IF(ISNUMBER('Procyclean 220'!F378),'Procyclean 220'!F378,IF(ISNUMBER(SEARCH("12",'Procyclean 220'!F378)),EDATE(AB2376,12),IF(ISNUMBER(SEARCH("6",'Procyclean 220'!F378)),EDATE(AB2376,6),IF(ISNUMBER(SEARCH("3",'Procyclean 220'!F378)),EDATE(AB2376,3),DATEVALUE('Procyclean 220'!F378))))),""))</f>
        <v/>
      </c>
      <c r="AM2376" t="str">
        <f t="shared" ca="1" si="244"/>
        <v/>
      </c>
    </row>
    <row r="2377" spans="27:39" x14ac:dyDescent="0.3">
      <c r="AA2377" t="str">
        <f>IF(COUNTA('Procyclean 220'!C379,'Procyclean 220'!D379,'Procyclean 220'!E379)&gt;0,"220","")</f>
        <v/>
      </c>
      <c r="AB2377" t="str">
        <f>IFERROR(IF(ISNUMBER('Procyclean 220'!C379),'Procyclean 220'!C379,DATEVALUE('Procyclean 220'!C379)),"")</f>
        <v/>
      </c>
      <c r="AC2377" t="str">
        <f>IF(AA2377="","",'Procyclean 220'!D379)</f>
        <v/>
      </c>
      <c r="AD2377" t="str">
        <f>IF(AA2377="","",IFERROR(1*'Procyclean 220'!E379,IFERROR(_xludf.NUMBERVALUE('Procyclean 220'!E379,".",","),IFERROR(_xludf.NUMBERVALUE('Procyclean 220'!E379,",","."),0))))</f>
        <v/>
      </c>
      <c r="AE2377" t="str">
        <f>IF(AA2377="","",'Procyclean 220'!B379)</f>
        <v/>
      </c>
      <c r="AF2377">
        <f t="shared" si="239"/>
        <v>0</v>
      </c>
      <c r="AG2377" t="str">
        <f t="shared" si="240"/>
        <v/>
      </c>
      <c r="AH2377" t="str">
        <f t="shared" si="241"/>
        <v/>
      </c>
      <c r="AI2377">
        <f t="shared" si="242"/>
        <v>0</v>
      </c>
      <c r="AJ2377">
        <f t="shared" si="243"/>
        <v>0</v>
      </c>
      <c r="AK2377">
        <v>0</v>
      </c>
      <c r="AL2377" t="str">
        <f>IF(AA2377="","",IFERROR(IF(ISNUMBER('Procyclean 220'!F379),'Procyclean 220'!F379,IF(ISNUMBER(SEARCH("12",'Procyclean 220'!F379)),EDATE(AB2377,12),IF(ISNUMBER(SEARCH("6",'Procyclean 220'!F379)),EDATE(AB2377,6),IF(ISNUMBER(SEARCH("3",'Procyclean 220'!F379)),EDATE(AB2377,3),DATEVALUE('Procyclean 220'!F379))))),""))</f>
        <v/>
      </c>
      <c r="AM2377" t="str">
        <f t="shared" ca="1" si="244"/>
        <v/>
      </c>
    </row>
    <row r="2378" spans="27:39" x14ac:dyDescent="0.3">
      <c r="AA2378" t="str">
        <f>IF(COUNTA('Procyclean 220'!C380,'Procyclean 220'!D380,'Procyclean 220'!E380)&gt;0,"220","")</f>
        <v/>
      </c>
      <c r="AB2378" t="str">
        <f>IFERROR(IF(ISNUMBER('Procyclean 220'!C380),'Procyclean 220'!C380,DATEVALUE('Procyclean 220'!C380)),"")</f>
        <v/>
      </c>
      <c r="AC2378" t="str">
        <f>IF(AA2378="","",'Procyclean 220'!D380)</f>
        <v/>
      </c>
      <c r="AD2378" t="str">
        <f>IF(AA2378="","",IFERROR(1*'Procyclean 220'!E380,IFERROR(_xludf.NUMBERVALUE('Procyclean 220'!E380,".",","),IFERROR(_xludf.NUMBERVALUE('Procyclean 220'!E380,",","."),0))))</f>
        <v/>
      </c>
      <c r="AE2378" t="str">
        <f>IF(AA2378="","",'Procyclean 220'!B380)</f>
        <v/>
      </c>
      <c r="AF2378">
        <f t="shared" si="239"/>
        <v>0</v>
      </c>
      <c r="AG2378" t="str">
        <f t="shared" si="240"/>
        <v/>
      </c>
      <c r="AH2378" t="str">
        <f t="shared" si="241"/>
        <v/>
      </c>
      <c r="AI2378">
        <f t="shared" si="242"/>
        <v>0</v>
      </c>
      <c r="AJ2378">
        <f t="shared" si="243"/>
        <v>0</v>
      </c>
      <c r="AK2378">
        <v>0</v>
      </c>
      <c r="AL2378" t="str">
        <f>IF(AA2378="","",IFERROR(IF(ISNUMBER('Procyclean 220'!F380),'Procyclean 220'!F380,IF(ISNUMBER(SEARCH("12",'Procyclean 220'!F380)),EDATE(AB2378,12),IF(ISNUMBER(SEARCH("6",'Procyclean 220'!F380)),EDATE(AB2378,6),IF(ISNUMBER(SEARCH("3",'Procyclean 220'!F380)),EDATE(AB2378,3),DATEVALUE('Procyclean 220'!F380))))),""))</f>
        <v/>
      </c>
      <c r="AM2378" t="str">
        <f t="shared" ca="1" si="244"/>
        <v/>
      </c>
    </row>
    <row r="2379" spans="27:39" x14ac:dyDescent="0.3">
      <c r="AA2379" t="str">
        <f>IF(COUNTA('Procyclean 220'!C381,'Procyclean 220'!D381,'Procyclean 220'!E381)&gt;0,"220","")</f>
        <v/>
      </c>
      <c r="AB2379" t="str">
        <f>IFERROR(IF(ISNUMBER('Procyclean 220'!C381),'Procyclean 220'!C381,DATEVALUE('Procyclean 220'!C381)),"")</f>
        <v/>
      </c>
      <c r="AC2379" t="str">
        <f>IF(AA2379="","",'Procyclean 220'!D381)</f>
        <v/>
      </c>
      <c r="AD2379" t="str">
        <f>IF(AA2379="","",IFERROR(1*'Procyclean 220'!E381,IFERROR(_xludf.NUMBERVALUE('Procyclean 220'!E381,".",","),IFERROR(_xludf.NUMBERVALUE('Procyclean 220'!E381,",","."),0))))</f>
        <v/>
      </c>
      <c r="AE2379" t="str">
        <f>IF(AA2379="","",'Procyclean 220'!B381)</f>
        <v/>
      </c>
      <c r="AF2379">
        <f t="shared" si="239"/>
        <v>0</v>
      </c>
      <c r="AG2379" t="str">
        <f t="shared" si="240"/>
        <v/>
      </c>
      <c r="AH2379" t="str">
        <f t="shared" si="241"/>
        <v/>
      </c>
      <c r="AI2379">
        <f t="shared" si="242"/>
        <v>0</v>
      </c>
      <c r="AJ2379">
        <f t="shared" si="243"/>
        <v>0</v>
      </c>
      <c r="AK2379">
        <v>0</v>
      </c>
      <c r="AL2379" t="str">
        <f>IF(AA2379="","",IFERROR(IF(ISNUMBER('Procyclean 220'!F381),'Procyclean 220'!F381,IF(ISNUMBER(SEARCH("12",'Procyclean 220'!F381)),EDATE(AB2379,12),IF(ISNUMBER(SEARCH("6",'Procyclean 220'!F381)),EDATE(AB2379,6),IF(ISNUMBER(SEARCH("3",'Procyclean 220'!F381)),EDATE(AB2379,3),DATEVALUE('Procyclean 220'!F381))))),""))</f>
        <v/>
      </c>
      <c r="AM2379" t="str">
        <f t="shared" ca="1" si="244"/>
        <v/>
      </c>
    </row>
    <row r="2380" spans="27:39" x14ac:dyDescent="0.3">
      <c r="AA2380" t="str">
        <f>IF(COUNTA('Procyclean 220'!C382,'Procyclean 220'!D382,'Procyclean 220'!E382)&gt;0,"220","")</f>
        <v/>
      </c>
      <c r="AB2380" t="str">
        <f>IFERROR(IF(ISNUMBER('Procyclean 220'!C382),'Procyclean 220'!C382,DATEVALUE('Procyclean 220'!C382)),"")</f>
        <v/>
      </c>
      <c r="AC2380" t="str">
        <f>IF(AA2380="","",'Procyclean 220'!D382)</f>
        <v/>
      </c>
      <c r="AD2380" t="str">
        <f>IF(AA2380="","",IFERROR(1*'Procyclean 220'!E382,IFERROR(_xludf.NUMBERVALUE('Procyclean 220'!E382,".",","),IFERROR(_xludf.NUMBERVALUE('Procyclean 220'!E382,",","."),0))))</f>
        <v/>
      </c>
      <c r="AE2380" t="str">
        <f>IF(AA2380="","",'Procyclean 220'!B382)</f>
        <v/>
      </c>
      <c r="AF2380">
        <f t="shared" si="239"/>
        <v>0</v>
      </c>
      <c r="AG2380" t="str">
        <f t="shared" si="240"/>
        <v/>
      </c>
      <c r="AH2380" t="str">
        <f t="shared" si="241"/>
        <v/>
      </c>
      <c r="AI2380">
        <f t="shared" si="242"/>
        <v>0</v>
      </c>
      <c r="AJ2380">
        <f t="shared" si="243"/>
        <v>0</v>
      </c>
      <c r="AK2380">
        <v>0</v>
      </c>
      <c r="AL2380" t="str">
        <f>IF(AA2380="","",IFERROR(IF(ISNUMBER('Procyclean 220'!F382),'Procyclean 220'!F382,IF(ISNUMBER(SEARCH("12",'Procyclean 220'!F382)),EDATE(AB2380,12),IF(ISNUMBER(SEARCH("6",'Procyclean 220'!F382)),EDATE(AB2380,6),IF(ISNUMBER(SEARCH("3",'Procyclean 220'!F382)),EDATE(AB2380,3),DATEVALUE('Procyclean 220'!F382))))),""))</f>
        <v/>
      </c>
      <c r="AM2380" t="str">
        <f t="shared" ca="1" si="244"/>
        <v/>
      </c>
    </row>
    <row r="2381" spans="27:39" x14ac:dyDescent="0.3">
      <c r="AA2381" t="str">
        <f>IF(COUNTA('Procyclean 220'!C383,'Procyclean 220'!D383,'Procyclean 220'!E383)&gt;0,"220","")</f>
        <v/>
      </c>
      <c r="AB2381" t="str">
        <f>IFERROR(IF(ISNUMBER('Procyclean 220'!C383),'Procyclean 220'!C383,DATEVALUE('Procyclean 220'!C383)),"")</f>
        <v/>
      </c>
      <c r="AC2381" t="str">
        <f>IF(AA2381="","",'Procyclean 220'!D383)</f>
        <v/>
      </c>
      <c r="AD2381" t="str">
        <f>IF(AA2381="","",IFERROR(1*'Procyclean 220'!E383,IFERROR(_xludf.NUMBERVALUE('Procyclean 220'!E383,".",","),IFERROR(_xludf.NUMBERVALUE('Procyclean 220'!E383,",","."),0))))</f>
        <v/>
      </c>
      <c r="AE2381" t="str">
        <f>IF(AA2381="","",'Procyclean 220'!B383)</f>
        <v/>
      </c>
      <c r="AF2381">
        <f t="shared" si="239"/>
        <v>0</v>
      </c>
      <c r="AG2381" t="str">
        <f t="shared" si="240"/>
        <v/>
      </c>
      <c r="AH2381" t="str">
        <f t="shared" si="241"/>
        <v/>
      </c>
      <c r="AI2381">
        <f t="shared" si="242"/>
        <v>0</v>
      </c>
      <c r="AJ2381">
        <f t="shared" si="243"/>
        <v>0</v>
      </c>
      <c r="AK2381">
        <v>0</v>
      </c>
      <c r="AL2381" t="str">
        <f>IF(AA2381="","",IFERROR(IF(ISNUMBER('Procyclean 220'!F383),'Procyclean 220'!F383,IF(ISNUMBER(SEARCH("12",'Procyclean 220'!F383)),EDATE(AB2381,12),IF(ISNUMBER(SEARCH("6",'Procyclean 220'!F383)),EDATE(AB2381,6),IF(ISNUMBER(SEARCH("3",'Procyclean 220'!F383)),EDATE(AB2381,3),DATEVALUE('Procyclean 220'!F383))))),""))</f>
        <v/>
      </c>
      <c r="AM2381" t="str">
        <f t="shared" ca="1" si="244"/>
        <v/>
      </c>
    </row>
    <row r="2382" spans="27:39" x14ac:dyDescent="0.3">
      <c r="AA2382" t="str">
        <f>IF(COUNTA('Procyclean 220'!C384,'Procyclean 220'!D384,'Procyclean 220'!E384)&gt;0,"220","")</f>
        <v/>
      </c>
      <c r="AB2382" t="str">
        <f>IFERROR(IF(ISNUMBER('Procyclean 220'!C384),'Procyclean 220'!C384,DATEVALUE('Procyclean 220'!C384)),"")</f>
        <v/>
      </c>
      <c r="AC2382" t="str">
        <f>IF(AA2382="","",'Procyclean 220'!D384)</f>
        <v/>
      </c>
      <c r="AD2382" t="str">
        <f>IF(AA2382="","",IFERROR(1*'Procyclean 220'!E384,IFERROR(_xludf.NUMBERVALUE('Procyclean 220'!E384,".",","),IFERROR(_xludf.NUMBERVALUE('Procyclean 220'!E384,",","."),0))))</f>
        <v/>
      </c>
      <c r="AE2382" t="str">
        <f>IF(AA2382="","",'Procyclean 220'!B384)</f>
        <v/>
      </c>
      <c r="AF2382">
        <f t="shared" si="239"/>
        <v>0</v>
      </c>
      <c r="AG2382" t="str">
        <f t="shared" si="240"/>
        <v/>
      </c>
      <c r="AH2382" t="str">
        <f t="shared" si="241"/>
        <v/>
      </c>
      <c r="AI2382">
        <f t="shared" si="242"/>
        <v>0</v>
      </c>
      <c r="AJ2382">
        <f t="shared" si="243"/>
        <v>0</v>
      </c>
      <c r="AK2382">
        <v>0</v>
      </c>
      <c r="AL2382" t="str">
        <f>IF(AA2382="","",IFERROR(IF(ISNUMBER('Procyclean 220'!F384),'Procyclean 220'!F384,IF(ISNUMBER(SEARCH("12",'Procyclean 220'!F384)),EDATE(AB2382,12),IF(ISNUMBER(SEARCH("6",'Procyclean 220'!F384)),EDATE(AB2382,6),IF(ISNUMBER(SEARCH("3",'Procyclean 220'!F384)),EDATE(AB2382,3),DATEVALUE('Procyclean 220'!F384))))),""))</f>
        <v/>
      </c>
      <c r="AM2382" t="str">
        <f t="shared" ca="1" si="244"/>
        <v/>
      </c>
    </row>
    <row r="2383" spans="27:39" x14ac:dyDescent="0.3">
      <c r="AA2383" t="str">
        <f>IF(COUNTA('Procyclean 220'!C385,'Procyclean 220'!D385,'Procyclean 220'!E385)&gt;0,"220","")</f>
        <v/>
      </c>
      <c r="AB2383" t="str">
        <f>IFERROR(IF(ISNUMBER('Procyclean 220'!C385),'Procyclean 220'!C385,DATEVALUE('Procyclean 220'!C385)),"")</f>
        <v/>
      </c>
      <c r="AC2383" t="str">
        <f>IF(AA2383="","",'Procyclean 220'!D385)</f>
        <v/>
      </c>
      <c r="AD2383" t="str">
        <f>IF(AA2383="","",IFERROR(1*'Procyclean 220'!E385,IFERROR(_xludf.NUMBERVALUE('Procyclean 220'!E385,".",","),IFERROR(_xludf.NUMBERVALUE('Procyclean 220'!E385,",","."),0))))</f>
        <v/>
      </c>
      <c r="AE2383" t="str">
        <f>IF(AA2383="","",'Procyclean 220'!B385)</f>
        <v/>
      </c>
      <c r="AF2383">
        <f t="shared" si="239"/>
        <v>0</v>
      </c>
      <c r="AG2383" t="str">
        <f t="shared" si="240"/>
        <v/>
      </c>
      <c r="AH2383" t="str">
        <f t="shared" si="241"/>
        <v/>
      </c>
      <c r="AI2383">
        <f t="shared" si="242"/>
        <v>0</v>
      </c>
      <c r="AJ2383">
        <f t="shared" si="243"/>
        <v>0</v>
      </c>
      <c r="AK2383">
        <v>0</v>
      </c>
      <c r="AL2383" t="str">
        <f>IF(AA2383="","",IFERROR(IF(ISNUMBER('Procyclean 220'!F385),'Procyclean 220'!F385,IF(ISNUMBER(SEARCH("12",'Procyclean 220'!F385)),EDATE(AB2383,12),IF(ISNUMBER(SEARCH("6",'Procyclean 220'!F385)),EDATE(AB2383,6),IF(ISNUMBER(SEARCH("3",'Procyclean 220'!F385)),EDATE(AB2383,3),DATEVALUE('Procyclean 220'!F385))))),""))</f>
        <v/>
      </c>
      <c r="AM2383" t="str">
        <f t="shared" ca="1" si="244"/>
        <v/>
      </c>
    </row>
    <row r="2384" spans="27:39" x14ac:dyDescent="0.3">
      <c r="AA2384" t="str">
        <f>IF(COUNTA('Procyclean 220'!C386,'Procyclean 220'!D386,'Procyclean 220'!E386)&gt;0,"220","")</f>
        <v/>
      </c>
      <c r="AB2384" t="str">
        <f>IFERROR(IF(ISNUMBER('Procyclean 220'!C386),'Procyclean 220'!C386,DATEVALUE('Procyclean 220'!C386)),"")</f>
        <v/>
      </c>
      <c r="AC2384" t="str">
        <f>IF(AA2384="","",'Procyclean 220'!D386)</f>
        <v/>
      </c>
      <c r="AD2384" t="str">
        <f>IF(AA2384="","",IFERROR(1*'Procyclean 220'!E386,IFERROR(_xludf.NUMBERVALUE('Procyclean 220'!E386,".",","),IFERROR(_xludf.NUMBERVALUE('Procyclean 220'!E386,",","."),0))))</f>
        <v/>
      </c>
      <c r="AE2384" t="str">
        <f>IF(AA2384="","",'Procyclean 220'!B386)</f>
        <v/>
      </c>
      <c r="AF2384">
        <f t="shared" si="239"/>
        <v>0</v>
      </c>
      <c r="AG2384" t="str">
        <f t="shared" si="240"/>
        <v/>
      </c>
      <c r="AH2384" t="str">
        <f t="shared" si="241"/>
        <v/>
      </c>
      <c r="AI2384">
        <f t="shared" si="242"/>
        <v>0</v>
      </c>
      <c r="AJ2384">
        <f t="shared" si="243"/>
        <v>0</v>
      </c>
      <c r="AK2384">
        <v>0</v>
      </c>
      <c r="AL2384" t="str">
        <f>IF(AA2384="","",IFERROR(IF(ISNUMBER('Procyclean 220'!F386),'Procyclean 220'!F386,IF(ISNUMBER(SEARCH("12",'Procyclean 220'!F386)),EDATE(AB2384,12),IF(ISNUMBER(SEARCH("6",'Procyclean 220'!F386)),EDATE(AB2384,6),IF(ISNUMBER(SEARCH("3",'Procyclean 220'!F386)),EDATE(AB2384,3),DATEVALUE('Procyclean 220'!F386))))),""))</f>
        <v/>
      </c>
      <c r="AM2384" t="str">
        <f t="shared" ca="1" si="244"/>
        <v/>
      </c>
    </row>
    <row r="2385" spans="27:39" x14ac:dyDescent="0.3">
      <c r="AA2385" t="str">
        <f>IF(COUNTA('Procyclean 220'!C387,'Procyclean 220'!D387,'Procyclean 220'!E387)&gt;0,"220","")</f>
        <v/>
      </c>
      <c r="AB2385" t="str">
        <f>IFERROR(IF(ISNUMBER('Procyclean 220'!C387),'Procyclean 220'!C387,DATEVALUE('Procyclean 220'!C387)),"")</f>
        <v/>
      </c>
      <c r="AC2385" t="str">
        <f>IF(AA2385="","",'Procyclean 220'!D387)</f>
        <v/>
      </c>
      <c r="AD2385" t="str">
        <f>IF(AA2385="","",IFERROR(1*'Procyclean 220'!E387,IFERROR(_xludf.NUMBERVALUE('Procyclean 220'!E387,".",","),IFERROR(_xludf.NUMBERVALUE('Procyclean 220'!E387,",","."),0))))</f>
        <v/>
      </c>
      <c r="AE2385" t="str">
        <f>IF(AA2385="","",'Procyclean 220'!B387)</f>
        <v/>
      </c>
      <c r="AF2385">
        <f t="shared" si="239"/>
        <v>0</v>
      </c>
      <c r="AG2385" t="str">
        <f t="shared" si="240"/>
        <v/>
      </c>
      <c r="AH2385" t="str">
        <f t="shared" si="241"/>
        <v/>
      </c>
      <c r="AI2385">
        <f t="shared" si="242"/>
        <v>0</v>
      </c>
      <c r="AJ2385">
        <f t="shared" si="243"/>
        <v>0</v>
      </c>
      <c r="AK2385">
        <v>0</v>
      </c>
      <c r="AL2385" t="str">
        <f>IF(AA2385="","",IFERROR(IF(ISNUMBER('Procyclean 220'!F387),'Procyclean 220'!F387,IF(ISNUMBER(SEARCH("12",'Procyclean 220'!F387)),EDATE(AB2385,12),IF(ISNUMBER(SEARCH("6",'Procyclean 220'!F387)),EDATE(AB2385,6),IF(ISNUMBER(SEARCH("3",'Procyclean 220'!F387)),EDATE(AB2385,3),DATEVALUE('Procyclean 220'!F387))))),""))</f>
        <v/>
      </c>
      <c r="AM2385" t="str">
        <f t="shared" ca="1" si="244"/>
        <v/>
      </c>
    </row>
    <row r="2386" spans="27:39" x14ac:dyDescent="0.3">
      <c r="AA2386" t="str">
        <f>IF(COUNTA('Procyclean 220'!C388,'Procyclean 220'!D388,'Procyclean 220'!E388)&gt;0,"220","")</f>
        <v/>
      </c>
      <c r="AB2386" t="str">
        <f>IFERROR(IF(ISNUMBER('Procyclean 220'!C388),'Procyclean 220'!C388,DATEVALUE('Procyclean 220'!C388)),"")</f>
        <v/>
      </c>
      <c r="AC2386" t="str">
        <f>IF(AA2386="","",'Procyclean 220'!D388)</f>
        <v/>
      </c>
      <c r="AD2386" t="str">
        <f>IF(AA2386="","",IFERROR(1*'Procyclean 220'!E388,IFERROR(_xludf.NUMBERVALUE('Procyclean 220'!E388,".",","),IFERROR(_xludf.NUMBERVALUE('Procyclean 220'!E388,",","."),0))))</f>
        <v/>
      </c>
      <c r="AE2386" t="str">
        <f>IF(AA2386="","",'Procyclean 220'!B388)</f>
        <v/>
      </c>
      <c r="AF2386">
        <f t="shared" si="239"/>
        <v>0</v>
      </c>
      <c r="AG2386" t="str">
        <f t="shared" si="240"/>
        <v/>
      </c>
      <c r="AH2386" t="str">
        <f t="shared" si="241"/>
        <v/>
      </c>
      <c r="AI2386">
        <f t="shared" si="242"/>
        <v>0</v>
      </c>
      <c r="AJ2386">
        <f t="shared" si="243"/>
        <v>0</v>
      </c>
      <c r="AK2386">
        <v>0</v>
      </c>
      <c r="AL2386" t="str">
        <f>IF(AA2386="","",IFERROR(IF(ISNUMBER('Procyclean 220'!F388),'Procyclean 220'!F388,IF(ISNUMBER(SEARCH("12",'Procyclean 220'!F388)),EDATE(AB2386,12),IF(ISNUMBER(SEARCH("6",'Procyclean 220'!F388)),EDATE(AB2386,6),IF(ISNUMBER(SEARCH("3",'Procyclean 220'!F388)),EDATE(AB2386,3),DATEVALUE('Procyclean 220'!F388))))),""))</f>
        <v/>
      </c>
      <c r="AM2386" t="str">
        <f t="shared" ca="1" si="244"/>
        <v/>
      </c>
    </row>
    <row r="2387" spans="27:39" x14ac:dyDescent="0.3">
      <c r="AA2387" t="str">
        <f>IF(COUNTA('Procyclean 220'!C389,'Procyclean 220'!D389,'Procyclean 220'!E389)&gt;0,"220","")</f>
        <v/>
      </c>
      <c r="AB2387" t="str">
        <f>IFERROR(IF(ISNUMBER('Procyclean 220'!C389),'Procyclean 220'!C389,DATEVALUE('Procyclean 220'!C389)),"")</f>
        <v/>
      </c>
      <c r="AC2387" t="str">
        <f>IF(AA2387="","",'Procyclean 220'!D389)</f>
        <v/>
      </c>
      <c r="AD2387" t="str">
        <f>IF(AA2387="","",IFERROR(1*'Procyclean 220'!E389,IFERROR(_xludf.NUMBERVALUE('Procyclean 220'!E389,".",","),IFERROR(_xludf.NUMBERVALUE('Procyclean 220'!E389,",","."),0))))</f>
        <v/>
      </c>
      <c r="AE2387" t="str">
        <f>IF(AA2387="","",'Procyclean 220'!B389)</f>
        <v/>
      </c>
      <c r="AF2387">
        <f t="shared" si="239"/>
        <v>0</v>
      </c>
      <c r="AG2387" t="str">
        <f t="shared" si="240"/>
        <v/>
      </c>
      <c r="AH2387" t="str">
        <f t="shared" si="241"/>
        <v/>
      </c>
      <c r="AI2387">
        <f t="shared" si="242"/>
        <v>0</v>
      </c>
      <c r="AJ2387">
        <f t="shared" si="243"/>
        <v>0</v>
      </c>
      <c r="AK2387">
        <v>0</v>
      </c>
      <c r="AL2387" t="str">
        <f>IF(AA2387="","",IFERROR(IF(ISNUMBER('Procyclean 220'!F389),'Procyclean 220'!F389,IF(ISNUMBER(SEARCH("12",'Procyclean 220'!F389)),EDATE(AB2387,12),IF(ISNUMBER(SEARCH("6",'Procyclean 220'!F389)),EDATE(AB2387,6),IF(ISNUMBER(SEARCH("3",'Procyclean 220'!F389)),EDATE(AB2387,3),DATEVALUE('Procyclean 220'!F389))))),""))</f>
        <v/>
      </c>
      <c r="AM2387" t="str">
        <f t="shared" ca="1" si="244"/>
        <v/>
      </c>
    </row>
    <row r="2388" spans="27:39" x14ac:dyDescent="0.3">
      <c r="AA2388" t="str">
        <f>IF(COUNTA('Procyclean 220'!C390,'Procyclean 220'!D390,'Procyclean 220'!E390)&gt;0,"220","")</f>
        <v/>
      </c>
      <c r="AB2388" t="str">
        <f>IFERROR(IF(ISNUMBER('Procyclean 220'!C390),'Procyclean 220'!C390,DATEVALUE('Procyclean 220'!C390)),"")</f>
        <v/>
      </c>
      <c r="AC2388" t="str">
        <f>IF(AA2388="","",'Procyclean 220'!D390)</f>
        <v/>
      </c>
      <c r="AD2388" t="str">
        <f>IF(AA2388="","",IFERROR(1*'Procyclean 220'!E390,IFERROR(_xludf.NUMBERVALUE('Procyclean 220'!E390,".",","),IFERROR(_xludf.NUMBERVALUE('Procyclean 220'!E390,",","."),0))))</f>
        <v/>
      </c>
      <c r="AE2388" t="str">
        <f>IF(AA2388="","",'Procyclean 220'!B390)</f>
        <v/>
      </c>
      <c r="AF2388">
        <f t="shared" si="239"/>
        <v>0</v>
      </c>
      <c r="AG2388" t="str">
        <f t="shared" si="240"/>
        <v/>
      </c>
      <c r="AH2388" t="str">
        <f t="shared" si="241"/>
        <v/>
      </c>
      <c r="AI2388">
        <f t="shared" si="242"/>
        <v>0</v>
      </c>
      <c r="AJ2388">
        <f t="shared" si="243"/>
        <v>0</v>
      </c>
      <c r="AK2388">
        <v>0</v>
      </c>
      <c r="AL2388" t="str">
        <f>IF(AA2388="","",IFERROR(IF(ISNUMBER('Procyclean 220'!F390),'Procyclean 220'!F390,IF(ISNUMBER(SEARCH("12",'Procyclean 220'!F390)),EDATE(AB2388,12),IF(ISNUMBER(SEARCH("6",'Procyclean 220'!F390)),EDATE(AB2388,6),IF(ISNUMBER(SEARCH("3",'Procyclean 220'!F390)),EDATE(AB2388,3),DATEVALUE('Procyclean 220'!F390))))),""))</f>
        <v/>
      </c>
      <c r="AM2388" t="str">
        <f t="shared" ca="1" si="244"/>
        <v/>
      </c>
    </row>
    <row r="2389" spans="27:39" x14ac:dyDescent="0.3">
      <c r="AA2389" t="str">
        <f>IF(COUNTA('Procyclean 220'!C391,'Procyclean 220'!D391,'Procyclean 220'!E391)&gt;0,"220","")</f>
        <v/>
      </c>
      <c r="AB2389" t="str">
        <f>IFERROR(IF(ISNUMBER('Procyclean 220'!C391),'Procyclean 220'!C391,DATEVALUE('Procyclean 220'!C391)),"")</f>
        <v/>
      </c>
      <c r="AC2389" t="str">
        <f>IF(AA2389="","",'Procyclean 220'!D391)</f>
        <v/>
      </c>
      <c r="AD2389" t="str">
        <f>IF(AA2389="","",IFERROR(1*'Procyclean 220'!E391,IFERROR(_xludf.NUMBERVALUE('Procyclean 220'!E391,".",","),IFERROR(_xludf.NUMBERVALUE('Procyclean 220'!E391,",","."),0))))</f>
        <v/>
      </c>
      <c r="AE2389" t="str">
        <f>IF(AA2389="","",'Procyclean 220'!B391)</f>
        <v/>
      </c>
      <c r="AF2389">
        <f t="shared" si="239"/>
        <v>0</v>
      </c>
      <c r="AG2389" t="str">
        <f t="shared" si="240"/>
        <v/>
      </c>
      <c r="AH2389" t="str">
        <f t="shared" si="241"/>
        <v/>
      </c>
      <c r="AI2389">
        <f t="shared" si="242"/>
        <v>0</v>
      </c>
      <c r="AJ2389">
        <f t="shared" si="243"/>
        <v>0</v>
      </c>
      <c r="AK2389">
        <v>0</v>
      </c>
      <c r="AL2389" t="str">
        <f>IF(AA2389="","",IFERROR(IF(ISNUMBER('Procyclean 220'!F391),'Procyclean 220'!F391,IF(ISNUMBER(SEARCH("12",'Procyclean 220'!F391)),EDATE(AB2389,12),IF(ISNUMBER(SEARCH("6",'Procyclean 220'!F391)),EDATE(AB2389,6),IF(ISNUMBER(SEARCH("3",'Procyclean 220'!F391)),EDATE(AB2389,3),DATEVALUE('Procyclean 220'!F391))))),""))</f>
        <v/>
      </c>
      <c r="AM2389" t="str">
        <f t="shared" ca="1" si="244"/>
        <v/>
      </c>
    </row>
    <row r="2390" spans="27:39" x14ac:dyDescent="0.3">
      <c r="AA2390" t="str">
        <f>IF(COUNTA('Procyclean 220'!C392,'Procyclean 220'!D392,'Procyclean 220'!E392)&gt;0,"220","")</f>
        <v/>
      </c>
      <c r="AB2390" t="str">
        <f>IFERROR(IF(ISNUMBER('Procyclean 220'!C392),'Procyclean 220'!C392,DATEVALUE('Procyclean 220'!C392)),"")</f>
        <v/>
      </c>
      <c r="AC2390" t="str">
        <f>IF(AA2390="","",'Procyclean 220'!D392)</f>
        <v/>
      </c>
      <c r="AD2390" t="str">
        <f>IF(AA2390="","",IFERROR(1*'Procyclean 220'!E392,IFERROR(_xludf.NUMBERVALUE('Procyclean 220'!E392,".",","),IFERROR(_xludf.NUMBERVALUE('Procyclean 220'!E392,",","."),0))))</f>
        <v/>
      </c>
      <c r="AE2390" t="str">
        <f>IF(AA2390="","",'Procyclean 220'!B392)</f>
        <v/>
      </c>
      <c r="AF2390">
        <f t="shared" si="239"/>
        <v>0</v>
      </c>
      <c r="AG2390" t="str">
        <f t="shared" si="240"/>
        <v/>
      </c>
      <c r="AH2390" t="str">
        <f t="shared" si="241"/>
        <v/>
      </c>
      <c r="AI2390">
        <f t="shared" si="242"/>
        <v>0</v>
      </c>
      <c r="AJ2390">
        <f t="shared" si="243"/>
        <v>0</v>
      </c>
      <c r="AK2390">
        <v>0</v>
      </c>
      <c r="AL2390" t="str">
        <f>IF(AA2390="","",IFERROR(IF(ISNUMBER('Procyclean 220'!F392),'Procyclean 220'!F392,IF(ISNUMBER(SEARCH("12",'Procyclean 220'!F392)),EDATE(AB2390,12),IF(ISNUMBER(SEARCH("6",'Procyclean 220'!F392)),EDATE(AB2390,6),IF(ISNUMBER(SEARCH("3",'Procyclean 220'!F392)),EDATE(AB2390,3),DATEVALUE('Procyclean 220'!F392))))),""))</f>
        <v/>
      </c>
      <c r="AM2390" t="str">
        <f t="shared" ca="1" si="244"/>
        <v/>
      </c>
    </row>
    <row r="2391" spans="27:39" x14ac:dyDescent="0.3">
      <c r="AA2391" t="str">
        <f>IF(COUNTA('Procyclean 220'!C393,'Procyclean 220'!D393,'Procyclean 220'!E393)&gt;0,"220","")</f>
        <v/>
      </c>
      <c r="AB2391" t="str">
        <f>IFERROR(IF(ISNUMBER('Procyclean 220'!C393),'Procyclean 220'!C393,DATEVALUE('Procyclean 220'!C393)),"")</f>
        <v/>
      </c>
      <c r="AC2391" t="str">
        <f>IF(AA2391="","",'Procyclean 220'!D393)</f>
        <v/>
      </c>
      <c r="AD2391" t="str">
        <f>IF(AA2391="","",IFERROR(1*'Procyclean 220'!E393,IFERROR(_xludf.NUMBERVALUE('Procyclean 220'!E393,".",","),IFERROR(_xludf.NUMBERVALUE('Procyclean 220'!E393,",","."),0))))</f>
        <v/>
      </c>
      <c r="AE2391" t="str">
        <f>IF(AA2391="","",'Procyclean 220'!B393)</f>
        <v/>
      </c>
      <c r="AF2391">
        <f t="shared" si="239"/>
        <v>0</v>
      </c>
      <c r="AG2391" t="str">
        <f t="shared" si="240"/>
        <v/>
      </c>
      <c r="AH2391" t="str">
        <f t="shared" si="241"/>
        <v/>
      </c>
      <c r="AI2391">
        <f t="shared" si="242"/>
        <v>0</v>
      </c>
      <c r="AJ2391">
        <f t="shared" si="243"/>
        <v>0</v>
      </c>
      <c r="AK2391">
        <v>0</v>
      </c>
      <c r="AL2391" t="str">
        <f>IF(AA2391="","",IFERROR(IF(ISNUMBER('Procyclean 220'!F393),'Procyclean 220'!F393,IF(ISNUMBER(SEARCH("12",'Procyclean 220'!F393)),EDATE(AB2391,12),IF(ISNUMBER(SEARCH("6",'Procyclean 220'!F393)),EDATE(AB2391,6),IF(ISNUMBER(SEARCH("3",'Procyclean 220'!F393)),EDATE(AB2391,3),DATEVALUE('Procyclean 220'!F393))))),""))</f>
        <v/>
      </c>
      <c r="AM2391" t="str">
        <f t="shared" ca="1" si="244"/>
        <v/>
      </c>
    </row>
    <row r="2392" spans="27:39" x14ac:dyDescent="0.3">
      <c r="AA2392" t="str">
        <f>IF(COUNTA('Procyclean 220'!C394,'Procyclean 220'!D394,'Procyclean 220'!E394)&gt;0,"220","")</f>
        <v/>
      </c>
      <c r="AB2392" t="str">
        <f>IFERROR(IF(ISNUMBER('Procyclean 220'!C394),'Procyclean 220'!C394,DATEVALUE('Procyclean 220'!C394)),"")</f>
        <v/>
      </c>
      <c r="AC2392" t="str">
        <f>IF(AA2392="","",'Procyclean 220'!D394)</f>
        <v/>
      </c>
      <c r="AD2392" t="str">
        <f>IF(AA2392="","",IFERROR(1*'Procyclean 220'!E394,IFERROR(_xludf.NUMBERVALUE('Procyclean 220'!E394,".",","),IFERROR(_xludf.NUMBERVALUE('Procyclean 220'!E394,",","."),0))))</f>
        <v/>
      </c>
      <c r="AE2392" t="str">
        <f>IF(AA2392="","",'Procyclean 220'!B394)</f>
        <v/>
      </c>
      <c r="AF2392">
        <f t="shared" si="239"/>
        <v>0</v>
      </c>
      <c r="AG2392" t="str">
        <f t="shared" si="240"/>
        <v/>
      </c>
      <c r="AH2392" t="str">
        <f t="shared" si="241"/>
        <v/>
      </c>
      <c r="AI2392">
        <f t="shared" si="242"/>
        <v>0</v>
      </c>
      <c r="AJ2392">
        <f t="shared" si="243"/>
        <v>0</v>
      </c>
      <c r="AK2392">
        <v>0</v>
      </c>
      <c r="AL2392" t="str">
        <f>IF(AA2392="","",IFERROR(IF(ISNUMBER('Procyclean 220'!F394),'Procyclean 220'!F394,IF(ISNUMBER(SEARCH("12",'Procyclean 220'!F394)),EDATE(AB2392,12),IF(ISNUMBER(SEARCH("6",'Procyclean 220'!F394)),EDATE(AB2392,6),IF(ISNUMBER(SEARCH("3",'Procyclean 220'!F394)),EDATE(AB2392,3),DATEVALUE('Procyclean 220'!F394))))),""))</f>
        <v/>
      </c>
      <c r="AM2392" t="str">
        <f t="shared" ca="1" si="244"/>
        <v/>
      </c>
    </row>
    <row r="2393" spans="27:39" x14ac:dyDescent="0.3">
      <c r="AA2393" t="str">
        <f>IF(COUNTA('Procyclean 220'!C395,'Procyclean 220'!D395,'Procyclean 220'!E395)&gt;0,"220","")</f>
        <v/>
      </c>
      <c r="AB2393" t="str">
        <f>IFERROR(IF(ISNUMBER('Procyclean 220'!C395),'Procyclean 220'!C395,DATEVALUE('Procyclean 220'!C395)),"")</f>
        <v/>
      </c>
      <c r="AC2393" t="str">
        <f>IF(AA2393="","",'Procyclean 220'!D395)</f>
        <v/>
      </c>
      <c r="AD2393" t="str">
        <f>IF(AA2393="","",IFERROR(1*'Procyclean 220'!E395,IFERROR(_xludf.NUMBERVALUE('Procyclean 220'!E395,".",","),IFERROR(_xludf.NUMBERVALUE('Procyclean 220'!E395,",","."),0))))</f>
        <v/>
      </c>
      <c r="AE2393" t="str">
        <f>IF(AA2393="","",'Procyclean 220'!B395)</f>
        <v/>
      </c>
      <c r="AF2393">
        <f t="shared" si="239"/>
        <v>0</v>
      </c>
      <c r="AG2393" t="str">
        <f t="shared" si="240"/>
        <v/>
      </c>
      <c r="AH2393" t="str">
        <f t="shared" si="241"/>
        <v/>
      </c>
      <c r="AI2393">
        <f t="shared" si="242"/>
        <v>0</v>
      </c>
      <c r="AJ2393">
        <f t="shared" si="243"/>
        <v>0</v>
      </c>
      <c r="AK2393">
        <v>0</v>
      </c>
      <c r="AL2393" t="str">
        <f>IF(AA2393="","",IFERROR(IF(ISNUMBER('Procyclean 220'!F395),'Procyclean 220'!F395,IF(ISNUMBER(SEARCH("12",'Procyclean 220'!F395)),EDATE(AB2393,12),IF(ISNUMBER(SEARCH("6",'Procyclean 220'!F395)),EDATE(AB2393,6),IF(ISNUMBER(SEARCH("3",'Procyclean 220'!F395)),EDATE(AB2393,3),DATEVALUE('Procyclean 220'!F395))))),""))</f>
        <v/>
      </c>
      <c r="AM2393" t="str">
        <f t="shared" ca="1" si="244"/>
        <v/>
      </c>
    </row>
    <row r="2394" spans="27:39" x14ac:dyDescent="0.3">
      <c r="AA2394" t="str">
        <f>IF(COUNTA('Procyclean 220'!C396,'Procyclean 220'!D396,'Procyclean 220'!E396)&gt;0,"220","")</f>
        <v/>
      </c>
      <c r="AB2394" t="str">
        <f>IFERROR(IF(ISNUMBER('Procyclean 220'!C396),'Procyclean 220'!C396,DATEVALUE('Procyclean 220'!C396)),"")</f>
        <v/>
      </c>
      <c r="AC2394" t="str">
        <f>IF(AA2394="","",'Procyclean 220'!D396)</f>
        <v/>
      </c>
      <c r="AD2394" t="str">
        <f>IF(AA2394="","",IFERROR(1*'Procyclean 220'!E396,IFERROR(_xludf.NUMBERVALUE('Procyclean 220'!E396,".",","),IFERROR(_xludf.NUMBERVALUE('Procyclean 220'!E396,",","."),0))))</f>
        <v/>
      </c>
      <c r="AE2394" t="str">
        <f>IF(AA2394="","",'Procyclean 220'!B396)</f>
        <v/>
      </c>
      <c r="AF2394">
        <f t="shared" si="239"/>
        <v>0</v>
      </c>
      <c r="AG2394" t="str">
        <f t="shared" si="240"/>
        <v/>
      </c>
      <c r="AH2394" t="str">
        <f t="shared" si="241"/>
        <v/>
      </c>
      <c r="AI2394">
        <f t="shared" si="242"/>
        <v>0</v>
      </c>
      <c r="AJ2394">
        <f t="shared" si="243"/>
        <v>0</v>
      </c>
      <c r="AK2394">
        <v>0</v>
      </c>
      <c r="AL2394" t="str">
        <f>IF(AA2394="","",IFERROR(IF(ISNUMBER('Procyclean 220'!F396),'Procyclean 220'!F396,IF(ISNUMBER(SEARCH("12",'Procyclean 220'!F396)),EDATE(AB2394,12),IF(ISNUMBER(SEARCH("6",'Procyclean 220'!F396)),EDATE(AB2394,6),IF(ISNUMBER(SEARCH("3",'Procyclean 220'!F396)),EDATE(AB2394,3),DATEVALUE('Procyclean 220'!F396))))),""))</f>
        <v/>
      </c>
      <c r="AM2394" t="str">
        <f t="shared" ca="1" si="244"/>
        <v/>
      </c>
    </row>
    <row r="2395" spans="27:39" x14ac:dyDescent="0.3">
      <c r="AA2395" t="str">
        <f>IF(COUNTA('Procyclean 220'!C397,'Procyclean 220'!D397,'Procyclean 220'!E397)&gt;0,"220","")</f>
        <v/>
      </c>
      <c r="AB2395" t="str">
        <f>IFERROR(IF(ISNUMBER('Procyclean 220'!C397),'Procyclean 220'!C397,DATEVALUE('Procyclean 220'!C397)),"")</f>
        <v/>
      </c>
      <c r="AC2395" t="str">
        <f>IF(AA2395="","",'Procyclean 220'!D397)</f>
        <v/>
      </c>
      <c r="AD2395" t="str">
        <f>IF(AA2395="","",IFERROR(1*'Procyclean 220'!E397,IFERROR(_xludf.NUMBERVALUE('Procyclean 220'!E397,".",","),IFERROR(_xludf.NUMBERVALUE('Procyclean 220'!E397,",","."),0))))</f>
        <v/>
      </c>
      <c r="AE2395" t="str">
        <f>IF(AA2395="","",'Procyclean 220'!B397)</f>
        <v/>
      </c>
      <c r="AF2395">
        <f t="shared" si="239"/>
        <v>0</v>
      </c>
      <c r="AG2395" t="str">
        <f t="shared" si="240"/>
        <v/>
      </c>
      <c r="AH2395" t="str">
        <f t="shared" si="241"/>
        <v/>
      </c>
      <c r="AI2395">
        <f t="shared" si="242"/>
        <v>0</v>
      </c>
      <c r="AJ2395">
        <f t="shared" si="243"/>
        <v>0</v>
      </c>
      <c r="AK2395">
        <v>0</v>
      </c>
      <c r="AL2395" t="str">
        <f>IF(AA2395="","",IFERROR(IF(ISNUMBER('Procyclean 220'!F397),'Procyclean 220'!F397,IF(ISNUMBER(SEARCH("12",'Procyclean 220'!F397)),EDATE(AB2395,12),IF(ISNUMBER(SEARCH("6",'Procyclean 220'!F397)),EDATE(AB2395,6),IF(ISNUMBER(SEARCH("3",'Procyclean 220'!F397)),EDATE(AB2395,3),DATEVALUE('Procyclean 220'!F397))))),""))</f>
        <v/>
      </c>
      <c r="AM2395" t="str">
        <f t="shared" ca="1" si="244"/>
        <v/>
      </c>
    </row>
    <row r="2396" spans="27:39" x14ac:dyDescent="0.3">
      <c r="AA2396" t="str">
        <f>IF(COUNTA('Procyclean 220'!C398,'Procyclean 220'!D398,'Procyclean 220'!E398)&gt;0,"220","")</f>
        <v/>
      </c>
      <c r="AB2396" t="str">
        <f>IFERROR(IF(ISNUMBER('Procyclean 220'!C398),'Procyclean 220'!C398,DATEVALUE('Procyclean 220'!C398)),"")</f>
        <v/>
      </c>
      <c r="AC2396" t="str">
        <f>IF(AA2396="","",'Procyclean 220'!D398)</f>
        <v/>
      </c>
      <c r="AD2396" t="str">
        <f>IF(AA2396="","",IFERROR(1*'Procyclean 220'!E398,IFERROR(_xludf.NUMBERVALUE('Procyclean 220'!E398,".",","),IFERROR(_xludf.NUMBERVALUE('Procyclean 220'!E398,",","."),0))))</f>
        <v/>
      </c>
      <c r="AE2396" t="str">
        <f>IF(AA2396="","",'Procyclean 220'!B398)</f>
        <v/>
      </c>
      <c r="AF2396">
        <f t="shared" si="239"/>
        <v>0</v>
      </c>
      <c r="AG2396" t="str">
        <f t="shared" si="240"/>
        <v/>
      </c>
      <c r="AH2396" t="str">
        <f t="shared" si="241"/>
        <v/>
      </c>
      <c r="AI2396">
        <f t="shared" si="242"/>
        <v>0</v>
      </c>
      <c r="AJ2396">
        <f t="shared" si="243"/>
        <v>0</v>
      </c>
      <c r="AK2396">
        <v>0</v>
      </c>
      <c r="AL2396" t="str">
        <f>IF(AA2396="","",IFERROR(IF(ISNUMBER('Procyclean 220'!F398),'Procyclean 220'!F398,IF(ISNUMBER(SEARCH("12",'Procyclean 220'!F398)),EDATE(AB2396,12),IF(ISNUMBER(SEARCH("6",'Procyclean 220'!F398)),EDATE(AB2396,6),IF(ISNUMBER(SEARCH("3",'Procyclean 220'!F398)),EDATE(AB2396,3),DATEVALUE('Procyclean 220'!F398))))),""))</f>
        <v/>
      </c>
      <c r="AM2396" t="str">
        <f t="shared" ca="1" si="244"/>
        <v/>
      </c>
    </row>
    <row r="2397" spans="27:39" x14ac:dyDescent="0.3">
      <c r="AA2397" t="str">
        <f>IF(COUNTA('Procyclean 220'!C399,'Procyclean 220'!D399,'Procyclean 220'!E399)&gt;0,"220","")</f>
        <v/>
      </c>
      <c r="AB2397" t="str">
        <f>IFERROR(IF(ISNUMBER('Procyclean 220'!C399),'Procyclean 220'!C399,DATEVALUE('Procyclean 220'!C399)),"")</f>
        <v/>
      </c>
      <c r="AC2397" t="str">
        <f>IF(AA2397="","",'Procyclean 220'!D399)</f>
        <v/>
      </c>
      <c r="AD2397" t="str">
        <f>IF(AA2397="","",IFERROR(1*'Procyclean 220'!E399,IFERROR(_xludf.NUMBERVALUE('Procyclean 220'!E399,".",","),IFERROR(_xludf.NUMBERVALUE('Procyclean 220'!E399,",","."),0))))</f>
        <v/>
      </c>
      <c r="AE2397" t="str">
        <f>IF(AA2397="","",'Procyclean 220'!B399)</f>
        <v/>
      </c>
      <c r="AF2397">
        <f t="shared" si="239"/>
        <v>0</v>
      </c>
      <c r="AG2397" t="str">
        <f t="shared" si="240"/>
        <v/>
      </c>
      <c r="AH2397" t="str">
        <f t="shared" si="241"/>
        <v/>
      </c>
      <c r="AI2397">
        <f t="shared" si="242"/>
        <v>0</v>
      </c>
      <c r="AJ2397">
        <f t="shared" si="243"/>
        <v>0</v>
      </c>
      <c r="AK2397">
        <v>0</v>
      </c>
      <c r="AL2397" t="str">
        <f>IF(AA2397="","",IFERROR(IF(ISNUMBER('Procyclean 220'!F399),'Procyclean 220'!F399,IF(ISNUMBER(SEARCH("12",'Procyclean 220'!F399)),EDATE(AB2397,12),IF(ISNUMBER(SEARCH("6",'Procyclean 220'!F399)),EDATE(AB2397,6),IF(ISNUMBER(SEARCH("3",'Procyclean 220'!F399)),EDATE(AB2397,3),DATEVALUE('Procyclean 220'!F399))))),""))</f>
        <v/>
      </c>
      <c r="AM2397" t="str">
        <f t="shared" ca="1" si="244"/>
        <v/>
      </c>
    </row>
    <row r="2398" spans="27:39" x14ac:dyDescent="0.3">
      <c r="AA2398" t="str">
        <f>IF(COUNTA('Procyclean 220'!C400,'Procyclean 220'!D400,'Procyclean 220'!E400)&gt;0,"220","")</f>
        <v/>
      </c>
      <c r="AB2398" t="str">
        <f>IFERROR(IF(ISNUMBER('Procyclean 220'!C400),'Procyclean 220'!C400,DATEVALUE('Procyclean 220'!C400)),"")</f>
        <v/>
      </c>
      <c r="AC2398" t="str">
        <f>IF(AA2398="","",'Procyclean 220'!D400)</f>
        <v/>
      </c>
      <c r="AD2398" t="str">
        <f>IF(AA2398="","",IFERROR(1*'Procyclean 220'!E400,IFERROR(_xludf.NUMBERVALUE('Procyclean 220'!E400,".",","),IFERROR(_xludf.NUMBERVALUE('Procyclean 220'!E400,",","."),0))))</f>
        <v/>
      </c>
      <c r="AE2398" t="str">
        <f>IF(AA2398="","",'Procyclean 220'!B400)</f>
        <v/>
      </c>
      <c r="AF2398">
        <f t="shared" si="239"/>
        <v>0</v>
      </c>
      <c r="AG2398" t="str">
        <f t="shared" si="240"/>
        <v/>
      </c>
      <c r="AH2398" t="str">
        <f t="shared" si="241"/>
        <v/>
      </c>
      <c r="AI2398">
        <f t="shared" si="242"/>
        <v>0</v>
      </c>
      <c r="AJ2398">
        <f t="shared" si="243"/>
        <v>0</v>
      </c>
      <c r="AK2398">
        <v>0</v>
      </c>
      <c r="AL2398" t="str">
        <f>IF(AA2398="","",IFERROR(IF(ISNUMBER('Procyclean 220'!F400),'Procyclean 220'!F400,IF(ISNUMBER(SEARCH("12",'Procyclean 220'!F400)),EDATE(AB2398,12),IF(ISNUMBER(SEARCH("6",'Procyclean 220'!F400)),EDATE(AB2398,6),IF(ISNUMBER(SEARCH("3",'Procyclean 220'!F400)),EDATE(AB2398,3),DATEVALUE('Procyclean 220'!F400))))),""))</f>
        <v/>
      </c>
      <c r="AM2398" t="str">
        <f t="shared" ca="1" si="244"/>
        <v/>
      </c>
    </row>
    <row r="2399" spans="27:39" x14ac:dyDescent="0.3">
      <c r="AA2399" t="str">
        <f>IF(COUNTA('Procyclean 220'!C401,'Procyclean 220'!D401,'Procyclean 220'!E401)&gt;0,"220","")</f>
        <v/>
      </c>
      <c r="AB2399" t="str">
        <f>IFERROR(IF(ISNUMBER('Procyclean 220'!C401),'Procyclean 220'!C401,DATEVALUE('Procyclean 220'!C401)),"")</f>
        <v/>
      </c>
      <c r="AC2399" t="str">
        <f>IF(AA2399="","",'Procyclean 220'!D401)</f>
        <v/>
      </c>
      <c r="AD2399" t="str">
        <f>IF(AA2399="","",IFERROR(1*'Procyclean 220'!E401,IFERROR(_xludf.NUMBERVALUE('Procyclean 220'!E401,".",","),IFERROR(_xludf.NUMBERVALUE('Procyclean 220'!E401,",","."),0))))</f>
        <v/>
      </c>
      <c r="AE2399" t="str">
        <f>IF(AA2399="","",'Procyclean 220'!B401)</f>
        <v/>
      </c>
      <c r="AF2399">
        <f t="shared" si="239"/>
        <v>0</v>
      </c>
      <c r="AG2399" t="str">
        <f t="shared" si="240"/>
        <v/>
      </c>
      <c r="AH2399" t="str">
        <f t="shared" si="241"/>
        <v/>
      </c>
      <c r="AI2399">
        <f t="shared" si="242"/>
        <v>0</v>
      </c>
      <c r="AJ2399">
        <f t="shared" si="243"/>
        <v>0</v>
      </c>
      <c r="AK2399">
        <v>0</v>
      </c>
      <c r="AL2399" t="str">
        <f>IF(AA2399="","",IFERROR(IF(ISNUMBER('Procyclean 220'!F401),'Procyclean 220'!F401,IF(ISNUMBER(SEARCH("12",'Procyclean 220'!F401)),EDATE(AB2399,12),IF(ISNUMBER(SEARCH("6",'Procyclean 220'!F401)),EDATE(AB2399,6),IF(ISNUMBER(SEARCH("3",'Procyclean 220'!F401)),EDATE(AB2399,3),DATEVALUE('Procyclean 220'!F401))))),""))</f>
        <v/>
      </c>
      <c r="AM2399" t="str">
        <f t="shared" ca="1" si="244"/>
        <v/>
      </c>
    </row>
    <row r="2400" spans="27:39" x14ac:dyDescent="0.3">
      <c r="AA2400" t="str">
        <f>IF(COUNTA('Procyclean 220'!C402,'Procyclean 220'!D402,'Procyclean 220'!E402)&gt;0,"220","")</f>
        <v/>
      </c>
      <c r="AB2400" t="str">
        <f>IFERROR(IF(ISNUMBER('Procyclean 220'!C402),'Procyclean 220'!C402,DATEVALUE('Procyclean 220'!C402)),"")</f>
        <v/>
      </c>
      <c r="AC2400" t="str">
        <f>IF(AA2400="","",'Procyclean 220'!D402)</f>
        <v/>
      </c>
      <c r="AD2400" t="str">
        <f>IF(AA2400="","",IFERROR(1*'Procyclean 220'!E402,IFERROR(_xludf.NUMBERVALUE('Procyclean 220'!E402,".",","),IFERROR(_xludf.NUMBERVALUE('Procyclean 220'!E402,",","."),0))))</f>
        <v/>
      </c>
      <c r="AE2400" t="str">
        <f>IF(AA2400="","",'Procyclean 220'!B402)</f>
        <v/>
      </c>
      <c r="AF2400">
        <f t="shared" si="239"/>
        <v>0</v>
      </c>
      <c r="AG2400" t="str">
        <f t="shared" si="240"/>
        <v/>
      </c>
      <c r="AH2400" t="str">
        <f t="shared" si="241"/>
        <v/>
      </c>
      <c r="AI2400">
        <f t="shared" si="242"/>
        <v>0</v>
      </c>
      <c r="AJ2400">
        <f t="shared" si="243"/>
        <v>0</v>
      </c>
      <c r="AK2400">
        <v>0</v>
      </c>
      <c r="AL2400" t="str">
        <f>IF(AA2400="","",IFERROR(IF(ISNUMBER('Procyclean 220'!F402),'Procyclean 220'!F402,IF(ISNUMBER(SEARCH("12",'Procyclean 220'!F402)),EDATE(AB2400,12),IF(ISNUMBER(SEARCH("6",'Procyclean 220'!F402)),EDATE(AB2400,6),IF(ISNUMBER(SEARCH("3",'Procyclean 220'!F402)),EDATE(AB2400,3),DATEVALUE('Procyclean 220'!F402))))),""))</f>
        <v/>
      </c>
      <c r="AM2400" t="str">
        <f t="shared" ca="1" si="244"/>
        <v/>
      </c>
    </row>
    <row r="2401" spans="27:39" x14ac:dyDescent="0.3">
      <c r="AA2401" t="str">
        <f>IF(COUNTA('Procyclean 220'!C403,'Procyclean 220'!D403,'Procyclean 220'!E403)&gt;0,"220","")</f>
        <v/>
      </c>
      <c r="AB2401" t="str">
        <f>IFERROR(IF(ISNUMBER('Procyclean 220'!C403),'Procyclean 220'!C403,DATEVALUE('Procyclean 220'!C403)),"")</f>
        <v/>
      </c>
      <c r="AC2401" t="str">
        <f>IF(AA2401="","",'Procyclean 220'!D403)</f>
        <v/>
      </c>
      <c r="AD2401" t="str">
        <f>IF(AA2401="","",IFERROR(1*'Procyclean 220'!E403,IFERROR(_xludf.NUMBERVALUE('Procyclean 220'!E403,".",","),IFERROR(_xludf.NUMBERVALUE('Procyclean 220'!E403,",","."),0))))</f>
        <v/>
      </c>
      <c r="AE2401" t="str">
        <f>IF(AA2401="","",'Procyclean 220'!B403)</f>
        <v/>
      </c>
      <c r="AF2401">
        <f t="shared" si="239"/>
        <v>0</v>
      </c>
      <c r="AG2401" t="str">
        <f t="shared" si="240"/>
        <v/>
      </c>
      <c r="AH2401" t="str">
        <f t="shared" si="241"/>
        <v/>
      </c>
      <c r="AI2401">
        <f t="shared" si="242"/>
        <v>0</v>
      </c>
      <c r="AJ2401">
        <f t="shared" si="243"/>
        <v>0</v>
      </c>
      <c r="AK2401">
        <v>0</v>
      </c>
      <c r="AL2401" t="str">
        <f>IF(AA2401="","",IFERROR(IF(ISNUMBER('Procyclean 220'!F403),'Procyclean 220'!F403,IF(ISNUMBER(SEARCH("12",'Procyclean 220'!F403)),EDATE(AB2401,12),IF(ISNUMBER(SEARCH("6",'Procyclean 220'!F403)),EDATE(AB2401,6),IF(ISNUMBER(SEARCH("3",'Procyclean 220'!F403)),EDATE(AB2401,3),DATEVALUE('Procyclean 220'!F403))))),""))</f>
        <v/>
      </c>
      <c r="AM2401" t="str">
        <f t="shared" ca="1" si="244"/>
        <v/>
      </c>
    </row>
    <row r="2402" spans="27:39" x14ac:dyDescent="0.3">
      <c r="AA2402" t="str">
        <f>IF(COUNTA('Procyclean 220'!C404,'Procyclean 220'!D404,'Procyclean 220'!E404)&gt;0,"220","")</f>
        <v/>
      </c>
      <c r="AB2402" t="str">
        <f>IFERROR(IF(ISNUMBER('Procyclean 220'!C404),'Procyclean 220'!C404,DATEVALUE('Procyclean 220'!C404)),"")</f>
        <v/>
      </c>
      <c r="AC2402" t="str">
        <f>IF(AA2402="","",'Procyclean 220'!D404)</f>
        <v/>
      </c>
      <c r="AD2402" t="str">
        <f>IF(AA2402="","",IFERROR(1*'Procyclean 220'!E404,IFERROR(_xludf.NUMBERVALUE('Procyclean 220'!E404,".",","),IFERROR(_xludf.NUMBERVALUE('Procyclean 220'!E404,",","."),0))))</f>
        <v/>
      </c>
      <c r="AE2402" t="str">
        <f>IF(AA2402="","",'Procyclean 220'!B404)</f>
        <v/>
      </c>
      <c r="AF2402">
        <f t="shared" si="239"/>
        <v>0</v>
      </c>
      <c r="AG2402" t="str">
        <f t="shared" si="240"/>
        <v/>
      </c>
      <c r="AH2402" t="str">
        <f t="shared" si="241"/>
        <v/>
      </c>
      <c r="AI2402">
        <f t="shared" si="242"/>
        <v>0</v>
      </c>
      <c r="AJ2402">
        <f t="shared" si="243"/>
        <v>0</v>
      </c>
      <c r="AK2402">
        <v>0</v>
      </c>
      <c r="AL2402" t="str">
        <f>IF(AA2402="","",IFERROR(IF(ISNUMBER('Procyclean 220'!F404),'Procyclean 220'!F404,IF(ISNUMBER(SEARCH("12",'Procyclean 220'!F404)),EDATE(AB2402,12),IF(ISNUMBER(SEARCH("6",'Procyclean 220'!F404)),EDATE(AB2402,6),IF(ISNUMBER(SEARCH("3",'Procyclean 220'!F404)),EDATE(AB2402,3),DATEVALUE('Procyclean 220'!F404))))),""))</f>
        <v/>
      </c>
      <c r="AM2402" t="str">
        <f t="shared" ca="1" si="244"/>
        <v/>
      </c>
    </row>
    <row r="2403" spans="27:39" x14ac:dyDescent="0.3">
      <c r="AA2403" t="str">
        <f>IF(COUNTA('Procyclean 220'!C405,'Procyclean 220'!D405,'Procyclean 220'!E405)&gt;0,"220","")</f>
        <v/>
      </c>
      <c r="AB2403" t="str">
        <f>IFERROR(IF(ISNUMBER('Procyclean 220'!C405),'Procyclean 220'!C405,DATEVALUE('Procyclean 220'!C405)),"")</f>
        <v/>
      </c>
      <c r="AC2403" t="str">
        <f>IF(AA2403="","",'Procyclean 220'!D405)</f>
        <v/>
      </c>
      <c r="AD2403" t="str">
        <f>IF(AA2403="","",IFERROR(1*'Procyclean 220'!E405,IFERROR(_xludf.NUMBERVALUE('Procyclean 220'!E405,".",","),IFERROR(_xludf.NUMBERVALUE('Procyclean 220'!E405,",","."),0))))</f>
        <v/>
      </c>
      <c r="AE2403" t="str">
        <f>IF(AA2403="","",'Procyclean 220'!B405)</f>
        <v/>
      </c>
      <c r="AF2403">
        <f t="shared" si="239"/>
        <v>0</v>
      </c>
      <c r="AG2403" t="str">
        <f t="shared" si="240"/>
        <v/>
      </c>
      <c r="AH2403" t="str">
        <f t="shared" si="241"/>
        <v/>
      </c>
      <c r="AI2403">
        <f t="shared" si="242"/>
        <v>0</v>
      </c>
      <c r="AJ2403">
        <f t="shared" si="243"/>
        <v>0</v>
      </c>
      <c r="AK2403">
        <v>0</v>
      </c>
      <c r="AL2403" t="str">
        <f>IF(AA2403="","",IFERROR(IF(ISNUMBER('Procyclean 220'!F405),'Procyclean 220'!F405,IF(ISNUMBER(SEARCH("12",'Procyclean 220'!F405)),EDATE(AB2403,12),IF(ISNUMBER(SEARCH("6",'Procyclean 220'!F405)),EDATE(AB2403,6),IF(ISNUMBER(SEARCH("3",'Procyclean 220'!F405)),EDATE(AB2403,3),DATEVALUE('Procyclean 220'!F405))))),""))</f>
        <v/>
      </c>
      <c r="AM2403" t="str">
        <f t="shared" ca="1" si="244"/>
        <v/>
      </c>
    </row>
    <row r="2404" spans="27:39" x14ac:dyDescent="0.3">
      <c r="AA2404" t="str">
        <f>IF(COUNTA('Procyclean 220'!C406,'Procyclean 220'!D406,'Procyclean 220'!E406)&gt;0,"220","")</f>
        <v/>
      </c>
      <c r="AB2404" t="str">
        <f>IFERROR(IF(ISNUMBER('Procyclean 220'!C406),'Procyclean 220'!C406,DATEVALUE('Procyclean 220'!C406)),"")</f>
        <v/>
      </c>
      <c r="AC2404" t="str">
        <f>IF(AA2404="","",'Procyclean 220'!D406)</f>
        <v/>
      </c>
      <c r="AD2404" t="str">
        <f>IF(AA2404="","",IFERROR(1*'Procyclean 220'!E406,IFERROR(_xludf.NUMBERVALUE('Procyclean 220'!E406,".",","),IFERROR(_xludf.NUMBERVALUE('Procyclean 220'!E406,",","."),0))))</f>
        <v/>
      </c>
      <c r="AE2404" t="str">
        <f>IF(AA2404="","",'Procyclean 220'!B406)</f>
        <v/>
      </c>
      <c r="AF2404">
        <f t="shared" si="239"/>
        <v>0</v>
      </c>
      <c r="AG2404" t="str">
        <f t="shared" si="240"/>
        <v/>
      </c>
      <c r="AH2404" t="str">
        <f t="shared" si="241"/>
        <v/>
      </c>
      <c r="AI2404">
        <f t="shared" si="242"/>
        <v>0</v>
      </c>
      <c r="AJ2404">
        <f t="shared" si="243"/>
        <v>0</v>
      </c>
      <c r="AK2404">
        <v>0</v>
      </c>
      <c r="AL2404" t="str">
        <f>IF(AA2404="","",IFERROR(IF(ISNUMBER('Procyclean 220'!F406),'Procyclean 220'!F406,IF(ISNUMBER(SEARCH("12",'Procyclean 220'!F406)),EDATE(AB2404,12),IF(ISNUMBER(SEARCH("6",'Procyclean 220'!F406)),EDATE(AB2404,6),IF(ISNUMBER(SEARCH("3",'Procyclean 220'!F406)),EDATE(AB2404,3),DATEVALUE('Procyclean 220'!F406))))),""))</f>
        <v/>
      </c>
      <c r="AM2404" t="str">
        <f t="shared" ca="1" si="244"/>
        <v/>
      </c>
    </row>
    <row r="2405" spans="27:39" x14ac:dyDescent="0.3">
      <c r="AA2405" t="str">
        <f>IF(COUNTA('Procyclean 220'!C407,'Procyclean 220'!D407,'Procyclean 220'!E407)&gt;0,"220","")</f>
        <v/>
      </c>
      <c r="AB2405" t="str">
        <f>IFERROR(IF(ISNUMBER('Procyclean 220'!C407),'Procyclean 220'!C407,DATEVALUE('Procyclean 220'!C407)),"")</f>
        <v/>
      </c>
      <c r="AC2405" t="str">
        <f>IF(AA2405="","",'Procyclean 220'!D407)</f>
        <v/>
      </c>
      <c r="AD2405" t="str">
        <f>IF(AA2405="","",IFERROR(1*'Procyclean 220'!E407,IFERROR(_xludf.NUMBERVALUE('Procyclean 220'!E407,".",","),IFERROR(_xludf.NUMBERVALUE('Procyclean 220'!E407,",","."),0))))</f>
        <v/>
      </c>
      <c r="AE2405" t="str">
        <f>IF(AA2405="","",'Procyclean 220'!B407)</f>
        <v/>
      </c>
      <c r="AF2405">
        <f t="shared" si="239"/>
        <v>0</v>
      </c>
      <c r="AG2405" t="str">
        <f t="shared" si="240"/>
        <v/>
      </c>
      <c r="AH2405" t="str">
        <f t="shared" si="241"/>
        <v/>
      </c>
      <c r="AI2405">
        <f t="shared" si="242"/>
        <v>0</v>
      </c>
      <c r="AJ2405">
        <f t="shared" si="243"/>
        <v>0</v>
      </c>
      <c r="AK2405">
        <v>0</v>
      </c>
      <c r="AL2405" t="str">
        <f>IF(AA2405="","",IFERROR(IF(ISNUMBER('Procyclean 220'!F407),'Procyclean 220'!F407,IF(ISNUMBER(SEARCH("12",'Procyclean 220'!F407)),EDATE(AB2405,12),IF(ISNUMBER(SEARCH("6",'Procyclean 220'!F407)),EDATE(AB2405,6),IF(ISNUMBER(SEARCH("3",'Procyclean 220'!F407)),EDATE(AB2405,3),DATEVALUE('Procyclean 220'!F407))))),""))</f>
        <v/>
      </c>
      <c r="AM2405" t="str">
        <f t="shared" ca="1" si="244"/>
        <v/>
      </c>
    </row>
    <row r="2406" spans="27:39" x14ac:dyDescent="0.3">
      <c r="AA2406" t="str">
        <f>IF(COUNTA('Procyclean 220'!C408,'Procyclean 220'!D408,'Procyclean 220'!E408)&gt;0,"220","")</f>
        <v/>
      </c>
      <c r="AB2406" t="str">
        <f>IFERROR(IF(ISNUMBER('Procyclean 220'!C408),'Procyclean 220'!C408,DATEVALUE('Procyclean 220'!C408)),"")</f>
        <v/>
      </c>
      <c r="AC2406" t="str">
        <f>IF(AA2406="","",'Procyclean 220'!D408)</f>
        <v/>
      </c>
      <c r="AD2406" t="str">
        <f>IF(AA2406="","",IFERROR(1*'Procyclean 220'!E408,IFERROR(_xludf.NUMBERVALUE('Procyclean 220'!E408,".",","),IFERROR(_xludf.NUMBERVALUE('Procyclean 220'!E408,",","."),0))))</f>
        <v/>
      </c>
      <c r="AE2406" t="str">
        <f>IF(AA2406="","",'Procyclean 220'!B408)</f>
        <v/>
      </c>
      <c r="AF2406">
        <f t="shared" si="239"/>
        <v>0</v>
      </c>
      <c r="AG2406" t="str">
        <f t="shared" si="240"/>
        <v/>
      </c>
      <c r="AH2406" t="str">
        <f t="shared" si="241"/>
        <v/>
      </c>
      <c r="AI2406">
        <f t="shared" si="242"/>
        <v>0</v>
      </c>
      <c r="AJ2406">
        <f t="shared" si="243"/>
        <v>0</v>
      </c>
      <c r="AK2406">
        <v>0</v>
      </c>
      <c r="AL2406" t="str">
        <f>IF(AA2406="","",IFERROR(IF(ISNUMBER('Procyclean 220'!F408),'Procyclean 220'!F408,IF(ISNUMBER(SEARCH("12",'Procyclean 220'!F408)),EDATE(AB2406,12),IF(ISNUMBER(SEARCH("6",'Procyclean 220'!F408)),EDATE(AB2406,6),IF(ISNUMBER(SEARCH("3",'Procyclean 220'!F408)),EDATE(AB2406,3),DATEVALUE('Procyclean 220'!F408))))),""))</f>
        <v/>
      </c>
      <c r="AM2406" t="str">
        <f t="shared" ca="1" si="244"/>
        <v/>
      </c>
    </row>
    <row r="2407" spans="27:39" x14ac:dyDescent="0.3">
      <c r="AA2407" t="str">
        <f>IF(COUNTA('Procyclean 220'!C409,'Procyclean 220'!D409,'Procyclean 220'!E409)&gt;0,"220","")</f>
        <v/>
      </c>
      <c r="AB2407" t="str">
        <f>IFERROR(IF(ISNUMBER('Procyclean 220'!C409),'Procyclean 220'!C409,DATEVALUE('Procyclean 220'!C409)),"")</f>
        <v/>
      </c>
      <c r="AC2407" t="str">
        <f>IF(AA2407="","",'Procyclean 220'!D409)</f>
        <v/>
      </c>
      <c r="AD2407" t="str">
        <f>IF(AA2407="","",IFERROR(1*'Procyclean 220'!E409,IFERROR(_xludf.NUMBERVALUE('Procyclean 220'!E409,".",","),IFERROR(_xludf.NUMBERVALUE('Procyclean 220'!E409,",","."),0))))</f>
        <v/>
      </c>
      <c r="AE2407" t="str">
        <f>IF(AA2407="","",'Procyclean 220'!B409)</f>
        <v/>
      </c>
      <c r="AF2407">
        <f t="shared" si="239"/>
        <v>0</v>
      </c>
      <c r="AG2407" t="str">
        <f t="shared" si="240"/>
        <v/>
      </c>
      <c r="AH2407" t="str">
        <f t="shared" si="241"/>
        <v/>
      </c>
      <c r="AI2407">
        <f t="shared" si="242"/>
        <v>0</v>
      </c>
      <c r="AJ2407">
        <f t="shared" si="243"/>
        <v>0</v>
      </c>
      <c r="AK2407">
        <v>0</v>
      </c>
      <c r="AL2407" t="str">
        <f>IF(AA2407="","",IFERROR(IF(ISNUMBER('Procyclean 220'!F409),'Procyclean 220'!F409,IF(ISNUMBER(SEARCH("12",'Procyclean 220'!F409)),EDATE(AB2407,12),IF(ISNUMBER(SEARCH("6",'Procyclean 220'!F409)),EDATE(AB2407,6),IF(ISNUMBER(SEARCH("3",'Procyclean 220'!F409)),EDATE(AB2407,3),DATEVALUE('Procyclean 220'!F409))))),""))</f>
        <v/>
      </c>
      <c r="AM2407" t="str">
        <f t="shared" ca="1" si="244"/>
        <v/>
      </c>
    </row>
    <row r="2408" spans="27:39" x14ac:dyDescent="0.3">
      <c r="AA2408" t="str">
        <f>IF(COUNTA('Procyclean 220'!C410,'Procyclean 220'!D410,'Procyclean 220'!E410)&gt;0,"220","")</f>
        <v/>
      </c>
      <c r="AB2408" t="str">
        <f>IFERROR(IF(ISNUMBER('Procyclean 220'!C410),'Procyclean 220'!C410,DATEVALUE('Procyclean 220'!C410)),"")</f>
        <v/>
      </c>
      <c r="AC2408" t="str">
        <f>IF(AA2408="","",'Procyclean 220'!D410)</f>
        <v/>
      </c>
      <c r="AD2408" t="str">
        <f>IF(AA2408="","",IFERROR(1*'Procyclean 220'!E410,IFERROR(_xludf.NUMBERVALUE('Procyclean 220'!E410,".",","),IFERROR(_xludf.NUMBERVALUE('Procyclean 220'!E410,",","."),0))))</f>
        <v/>
      </c>
      <c r="AE2408" t="str">
        <f>IF(AA2408="","",'Procyclean 220'!B410)</f>
        <v/>
      </c>
      <c r="AF2408">
        <f t="shared" si="239"/>
        <v>0</v>
      </c>
      <c r="AG2408" t="str">
        <f t="shared" si="240"/>
        <v/>
      </c>
      <c r="AH2408" t="str">
        <f t="shared" si="241"/>
        <v/>
      </c>
      <c r="AI2408">
        <f t="shared" si="242"/>
        <v>0</v>
      </c>
      <c r="AJ2408">
        <f t="shared" si="243"/>
        <v>0</v>
      </c>
      <c r="AK2408">
        <v>0</v>
      </c>
      <c r="AL2408" t="str">
        <f>IF(AA2408="","",IFERROR(IF(ISNUMBER('Procyclean 220'!F410),'Procyclean 220'!F410,IF(ISNUMBER(SEARCH("12",'Procyclean 220'!F410)),EDATE(AB2408,12),IF(ISNUMBER(SEARCH("6",'Procyclean 220'!F410)),EDATE(AB2408,6),IF(ISNUMBER(SEARCH("3",'Procyclean 220'!F410)),EDATE(AB2408,3),DATEVALUE('Procyclean 220'!F410))))),""))</f>
        <v/>
      </c>
      <c r="AM2408" t="str">
        <f t="shared" ca="1" si="244"/>
        <v/>
      </c>
    </row>
    <row r="2409" spans="27:39" x14ac:dyDescent="0.3">
      <c r="AA2409" t="str">
        <f>IF(COUNTA('Procyclean 220'!C411,'Procyclean 220'!D411,'Procyclean 220'!E411)&gt;0,"220","")</f>
        <v/>
      </c>
      <c r="AB2409" t="str">
        <f>IFERROR(IF(ISNUMBER('Procyclean 220'!C411),'Procyclean 220'!C411,DATEVALUE('Procyclean 220'!C411)),"")</f>
        <v/>
      </c>
      <c r="AC2409" t="str">
        <f>IF(AA2409="","",'Procyclean 220'!D411)</f>
        <v/>
      </c>
      <c r="AD2409" t="str">
        <f>IF(AA2409="","",IFERROR(1*'Procyclean 220'!E411,IFERROR(_xludf.NUMBERVALUE('Procyclean 220'!E411,".",","),IFERROR(_xludf.NUMBERVALUE('Procyclean 220'!E411,",","."),0))))</f>
        <v/>
      </c>
      <c r="AE2409" t="str">
        <f>IF(AA2409="","",'Procyclean 220'!B411)</f>
        <v/>
      </c>
      <c r="AF2409">
        <f t="shared" si="239"/>
        <v>0</v>
      </c>
      <c r="AG2409" t="str">
        <f t="shared" si="240"/>
        <v/>
      </c>
      <c r="AH2409" t="str">
        <f t="shared" si="241"/>
        <v/>
      </c>
      <c r="AI2409">
        <f t="shared" si="242"/>
        <v>0</v>
      </c>
      <c r="AJ2409">
        <f t="shared" si="243"/>
        <v>0</v>
      </c>
      <c r="AK2409">
        <v>0</v>
      </c>
      <c r="AL2409" t="str">
        <f>IF(AA2409="","",IFERROR(IF(ISNUMBER('Procyclean 220'!F411),'Procyclean 220'!F411,IF(ISNUMBER(SEARCH("12",'Procyclean 220'!F411)),EDATE(AB2409,12),IF(ISNUMBER(SEARCH("6",'Procyclean 220'!F411)),EDATE(AB2409,6),IF(ISNUMBER(SEARCH("3",'Procyclean 220'!F411)),EDATE(AB2409,3),DATEVALUE('Procyclean 220'!F411))))),""))</f>
        <v/>
      </c>
      <c r="AM2409" t="str">
        <f t="shared" ca="1" si="244"/>
        <v/>
      </c>
    </row>
    <row r="2410" spans="27:39" x14ac:dyDescent="0.3">
      <c r="AA2410" t="str">
        <f>IF(COUNTA('Procyclean 220'!C412,'Procyclean 220'!D412,'Procyclean 220'!E412)&gt;0,"220","")</f>
        <v/>
      </c>
      <c r="AB2410" t="str">
        <f>IFERROR(IF(ISNUMBER('Procyclean 220'!C412),'Procyclean 220'!C412,DATEVALUE('Procyclean 220'!C412)),"")</f>
        <v/>
      </c>
      <c r="AC2410" t="str">
        <f>IF(AA2410="","",'Procyclean 220'!D412)</f>
        <v/>
      </c>
      <c r="AD2410" t="str">
        <f>IF(AA2410="","",IFERROR(1*'Procyclean 220'!E412,IFERROR(_xludf.NUMBERVALUE('Procyclean 220'!E412,".",","),IFERROR(_xludf.NUMBERVALUE('Procyclean 220'!E412,",","."),0))))</f>
        <v/>
      </c>
      <c r="AE2410" t="str">
        <f>IF(AA2410="","",'Procyclean 220'!B412)</f>
        <v/>
      </c>
      <c r="AF2410">
        <f t="shared" si="239"/>
        <v>0</v>
      </c>
      <c r="AG2410" t="str">
        <f t="shared" si="240"/>
        <v/>
      </c>
      <c r="AH2410" t="str">
        <f t="shared" si="241"/>
        <v/>
      </c>
      <c r="AI2410">
        <f t="shared" si="242"/>
        <v>0</v>
      </c>
      <c r="AJ2410">
        <f t="shared" si="243"/>
        <v>0</v>
      </c>
      <c r="AK2410">
        <v>0</v>
      </c>
      <c r="AL2410" t="str">
        <f>IF(AA2410="","",IFERROR(IF(ISNUMBER('Procyclean 220'!F412),'Procyclean 220'!F412,IF(ISNUMBER(SEARCH("12",'Procyclean 220'!F412)),EDATE(AB2410,12),IF(ISNUMBER(SEARCH("6",'Procyclean 220'!F412)),EDATE(AB2410,6),IF(ISNUMBER(SEARCH("3",'Procyclean 220'!F412)),EDATE(AB2410,3),DATEVALUE('Procyclean 220'!F412))))),""))</f>
        <v/>
      </c>
      <c r="AM2410" t="str">
        <f t="shared" ca="1" si="244"/>
        <v/>
      </c>
    </row>
    <row r="2411" spans="27:39" x14ac:dyDescent="0.3">
      <c r="AA2411" t="str">
        <f>IF(COUNTA('Procyclean 220'!C413,'Procyclean 220'!D413,'Procyclean 220'!E413)&gt;0,"220","")</f>
        <v/>
      </c>
      <c r="AB2411" t="str">
        <f>IFERROR(IF(ISNUMBER('Procyclean 220'!C413),'Procyclean 220'!C413,DATEVALUE('Procyclean 220'!C413)),"")</f>
        <v/>
      </c>
      <c r="AC2411" t="str">
        <f>IF(AA2411="","",'Procyclean 220'!D413)</f>
        <v/>
      </c>
      <c r="AD2411" t="str">
        <f>IF(AA2411="","",IFERROR(1*'Procyclean 220'!E413,IFERROR(_xludf.NUMBERVALUE('Procyclean 220'!E413,".",","),IFERROR(_xludf.NUMBERVALUE('Procyclean 220'!E413,",","."),0))))</f>
        <v/>
      </c>
      <c r="AE2411" t="str">
        <f>IF(AA2411="","",'Procyclean 220'!B413)</f>
        <v/>
      </c>
      <c r="AF2411">
        <f t="shared" si="239"/>
        <v>0</v>
      </c>
      <c r="AG2411" t="str">
        <f t="shared" si="240"/>
        <v/>
      </c>
      <c r="AH2411" t="str">
        <f t="shared" si="241"/>
        <v/>
      </c>
      <c r="AI2411">
        <f t="shared" si="242"/>
        <v>0</v>
      </c>
      <c r="AJ2411">
        <f t="shared" si="243"/>
        <v>0</v>
      </c>
      <c r="AK2411">
        <v>0</v>
      </c>
      <c r="AL2411" t="str">
        <f>IF(AA2411="","",IFERROR(IF(ISNUMBER('Procyclean 220'!F413),'Procyclean 220'!F413,IF(ISNUMBER(SEARCH("12",'Procyclean 220'!F413)),EDATE(AB2411,12),IF(ISNUMBER(SEARCH("6",'Procyclean 220'!F413)),EDATE(AB2411,6),IF(ISNUMBER(SEARCH("3",'Procyclean 220'!F413)),EDATE(AB2411,3),DATEVALUE('Procyclean 220'!F413))))),""))</f>
        <v/>
      </c>
      <c r="AM2411" t="str">
        <f t="shared" ca="1" si="244"/>
        <v/>
      </c>
    </row>
    <row r="2412" spans="27:39" x14ac:dyDescent="0.3">
      <c r="AA2412" t="str">
        <f>IF(COUNTA('Procyclean 220'!C414,'Procyclean 220'!D414,'Procyclean 220'!E414)&gt;0,"220","")</f>
        <v/>
      </c>
      <c r="AB2412" t="str">
        <f>IFERROR(IF(ISNUMBER('Procyclean 220'!C414),'Procyclean 220'!C414,DATEVALUE('Procyclean 220'!C414)),"")</f>
        <v/>
      </c>
      <c r="AC2412" t="str">
        <f>IF(AA2412="","",'Procyclean 220'!D414)</f>
        <v/>
      </c>
      <c r="AD2412" t="str">
        <f>IF(AA2412="","",IFERROR(1*'Procyclean 220'!E414,IFERROR(_xludf.NUMBERVALUE('Procyclean 220'!E414,".",","),IFERROR(_xludf.NUMBERVALUE('Procyclean 220'!E414,",","."),0))))</f>
        <v/>
      </c>
      <c r="AE2412" t="str">
        <f>IF(AA2412="","",'Procyclean 220'!B414)</f>
        <v/>
      </c>
      <c r="AF2412">
        <f t="shared" si="239"/>
        <v>0</v>
      </c>
      <c r="AG2412" t="str">
        <f t="shared" si="240"/>
        <v/>
      </c>
      <c r="AH2412" t="str">
        <f t="shared" si="241"/>
        <v/>
      </c>
      <c r="AI2412">
        <f t="shared" si="242"/>
        <v>0</v>
      </c>
      <c r="AJ2412">
        <f t="shared" si="243"/>
        <v>0</v>
      </c>
      <c r="AK2412">
        <v>0</v>
      </c>
      <c r="AL2412" t="str">
        <f>IF(AA2412="","",IFERROR(IF(ISNUMBER('Procyclean 220'!F414),'Procyclean 220'!F414,IF(ISNUMBER(SEARCH("12",'Procyclean 220'!F414)),EDATE(AB2412,12),IF(ISNUMBER(SEARCH("6",'Procyclean 220'!F414)),EDATE(AB2412,6),IF(ISNUMBER(SEARCH("3",'Procyclean 220'!F414)),EDATE(AB2412,3),DATEVALUE('Procyclean 220'!F414))))),""))</f>
        <v/>
      </c>
      <c r="AM2412" t="str">
        <f t="shared" ca="1" si="244"/>
        <v/>
      </c>
    </row>
    <row r="2413" spans="27:39" x14ac:dyDescent="0.3">
      <c r="AA2413" t="str">
        <f>IF(COUNTA('Procyclean 220'!C415,'Procyclean 220'!D415,'Procyclean 220'!E415)&gt;0,"220","")</f>
        <v/>
      </c>
      <c r="AB2413" t="str">
        <f>IFERROR(IF(ISNUMBER('Procyclean 220'!C415),'Procyclean 220'!C415,DATEVALUE('Procyclean 220'!C415)),"")</f>
        <v/>
      </c>
      <c r="AC2413" t="str">
        <f>IF(AA2413="","",'Procyclean 220'!D415)</f>
        <v/>
      </c>
      <c r="AD2413" t="str">
        <f>IF(AA2413="","",IFERROR(1*'Procyclean 220'!E415,IFERROR(_xludf.NUMBERVALUE('Procyclean 220'!E415,".",","),IFERROR(_xludf.NUMBERVALUE('Procyclean 220'!E415,",","."),0))))</f>
        <v/>
      </c>
      <c r="AE2413" t="str">
        <f>IF(AA2413="","",'Procyclean 220'!B415)</f>
        <v/>
      </c>
      <c r="AF2413">
        <f t="shared" si="239"/>
        <v>0</v>
      </c>
      <c r="AG2413" t="str">
        <f t="shared" si="240"/>
        <v/>
      </c>
      <c r="AH2413" t="str">
        <f t="shared" si="241"/>
        <v/>
      </c>
      <c r="AI2413">
        <f t="shared" si="242"/>
        <v>0</v>
      </c>
      <c r="AJ2413">
        <f t="shared" si="243"/>
        <v>0</v>
      </c>
      <c r="AK2413">
        <v>0</v>
      </c>
      <c r="AL2413" t="str">
        <f>IF(AA2413="","",IFERROR(IF(ISNUMBER('Procyclean 220'!F415),'Procyclean 220'!F415,IF(ISNUMBER(SEARCH("12",'Procyclean 220'!F415)),EDATE(AB2413,12),IF(ISNUMBER(SEARCH("6",'Procyclean 220'!F415)),EDATE(AB2413,6),IF(ISNUMBER(SEARCH("3",'Procyclean 220'!F415)),EDATE(AB2413,3),DATEVALUE('Procyclean 220'!F415))))),""))</f>
        <v/>
      </c>
      <c r="AM2413" t="str">
        <f t="shared" ca="1" si="244"/>
        <v/>
      </c>
    </row>
    <row r="2414" spans="27:39" x14ac:dyDescent="0.3">
      <c r="AA2414" t="str">
        <f>IF(COUNTA('Procyclean 220'!C416,'Procyclean 220'!D416,'Procyclean 220'!E416)&gt;0,"220","")</f>
        <v/>
      </c>
      <c r="AB2414" t="str">
        <f>IFERROR(IF(ISNUMBER('Procyclean 220'!C416),'Procyclean 220'!C416,DATEVALUE('Procyclean 220'!C416)),"")</f>
        <v/>
      </c>
      <c r="AC2414" t="str">
        <f>IF(AA2414="","",'Procyclean 220'!D416)</f>
        <v/>
      </c>
      <c r="AD2414" t="str">
        <f>IF(AA2414="","",IFERROR(1*'Procyclean 220'!E416,IFERROR(_xludf.NUMBERVALUE('Procyclean 220'!E416,".",","),IFERROR(_xludf.NUMBERVALUE('Procyclean 220'!E416,",","."),0))))</f>
        <v/>
      </c>
      <c r="AE2414" t="str">
        <f>IF(AA2414="","",'Procyclean 220'!B416)</f>
        <v/>
      </c>
      <c r="AF2414">
        <f t="shared" si="239"/>
        <v>0</v>
      </c>
      <c r="AG2414" t="str">
        <f t="shared" si="240"/>
        <v/>
      </c>
      <c r="AH2414" t="str">
        <f t="shared" si="241"/>
        <v/>
      </c>
      <c r="AI2414">
        <f t="shared" si="242"/>
        <v>0</v>
      </c>
      <c r="AJ2414">
        <f t="shared" si="243"/>
        <v>0</v>
      </c>
      <c r="AK2414">
        <v>0</v>
      </c>
      <c r="AL2414" t="str">
        <f>IF(AA2414="","",IFERROR(IF(ISNUMBER('Procyclean 220'!F416),'Procyclean 220'!F416,IF(ISNUMBER(SEARCH("12",'Procyclean 220'!F416)),EDATE(AB2414,12),IF(ISNUMBER(SEARCH("6",'Procyclean 220'!F416)),EDATE(AB2414,6),IF(ISNUMBER(SEARCH("3",'Procyclean 220'!F416)),EDATE(AB2414,3),DATEVALUE('Procyclean 220'!F416))))),""))</f>
        <v/>
      </c>
      <c r="AM2414" t="str">
        <f t="shared" ca="1" si="244"/>
        <v/>
      </c>
    </row>
    <row r="2415" spans="27:39" x14ac:dyDescent="0.3">
      <c r="AA2415" t="str">
        <f>IF(COUNTA('Procyclean 220'!C417,'Procyclean 220'!D417,'Procyclean 220'!E417)&gt;0,"220","")</f>
        <v/>
      </c>
      <c r="AB2415" t="str">
        <f>IFERROR(IF(ISNUMBER('Procyclean 220'!C417),'Procyclean 220'!C417,DATEVALUE('Procyclean 220'!C417)),"")</f>
        <v/>
      </c>
      <c r="AC2415" t="str">
        <f>IF(AA2415="","",'Procyclean 220'!D417)</f>
        <v/>
      </c>
      <c r="AD2415" t="str">
        <f>IF(AA2415="","",IFERROR(1*'Procyclean 220'!E417,IFERROR(_xludf.NUMBERVALUE('Procyclean 220'!E417,".",","),IFERROR(_xludf.NUMBERVALUE('Procyclean 220'!E417,",","."),0))))</f>
        <v/>
      </c>
      <c r="AE2415" t="str">
        <f>IF(AA2415="","",'Procyclean 220'!B417)</f>
        <v/>
      </c>
      <c r="AF2415">
        <f t="shared" si="239"/>
        <v>0</v>
      </c>
      <c r="AG2415" t="str">
        <f t="shared" si="240"/>
        <v/>
      </c>
      <c r="AH2415" t="str">
        <f t="shared" si="241"/>
        <v/>
      </c>
      <c r="AI2415">
        <f t="shared" si="242"/>
        <v>0</v>
      </c>
      <c r="AJ2415">
        <f t="shared" si="243"/>
        <v>0</v>
      </c>
      <c r="AK2415">
        <v>0</v>
      </c>
      <c r="AL2415" t="str">
        <f>IF(AA2415="","",IFERROR(IF(ISNUMBER('Procyclean 220'!F417),'Procyclean 220'!F417,IF(ISNUMBER(SEARCH("12",'Procyclean 220'!F417)),EDATE(AB2415,12),IF(ISNUMBER(SEARCH("6",'Procyclean 220'!F417)),EDATE(AB2415,6),IF(ISNUMBER(SEARCH("3",'Procyclean 220'!F417)),EDATE(AB2415,3),DATEVALUE('Procyclean 220'!F417))))),""))</f>
        <v/>
      </c>
      <c r="AM2415" t="str">
        <f t="shared" ca="1" si="244"/>
        <v/>
      </c>
    </row>
    <row r="2416" spans="27:39" x14ac:dyDescent="0.3">
      <c r="AA2416" t="str">
        <f>IF(COUNTA('Procyclean 220'!C418,'Procyclean 220'!D418,'Procyclean 220'!E418)&gt;0,"220","")</f>
        <v/>
      </c>
      <c r="AB2416" t="str">
        <f>IFERROR(IF(ISNUMBER('Procyclean 220'!C418),'Procyclean 220'!C418,DATEVALUE('Procyclean 220'!C418)),"")</f>
        <v/>
      </c>
      <c r="AC2416" t="str">
        <f>IF(AA2416="","",'Procyclean 220'!D418)</f>
        <v/>
      </c>
      <c r="AD2416" t="str">
        <f>IF(AA2416="","",IFERROR(1*'Procyclean 220'!E418,IFERROR(_xludf.NUMBERVALUE('Procyclean 220'!E418,".",","),IFERROR(_xludf.NUMBERVALUE('Procyclean 220'!E418,",","."),0))))</f>
        <v/>
      </c>
      <c r="AE2416" t="str">
        <f>IF(AA2416="","",'Procyclean 220'!B418)</f>
        <v/>
      </c>
      <c r="AF2416">
        <f t="shared" si="239"/>
        <v>0</v>
      </c>
      <c r="AG2416" t="str">
        <f t="shared" si="240"/>
        <v/>
      </c>
      <c r="AH2416" t="str">
        <f t="shared" si="241"/>
        <v/>
      </c>
      <c r="AI2416">
        <f t="shared" si="242"/>
        <v>0</v>
      </c>
      <c r="AJ2416">
        <f t="shared" si="243"/>
        <v>0</v>
      </c>
      <c r="AK2416">
        <v>0</v>
      </c>
      <c r="AL2416" t="str">
        <f>IF(AA2416="","",IFERROR(IF(ISNUMBER('Procyclean 220'!F418),'Procyclean 220'!F418,IF(ISNUMBER(SEARCH("12",'Procyclean 220'!F418)),EDATE(AB2416,12),IF(ISNUMBER(SEARCH("6",'Procyclean 220'!F418)),EDATE(AB2416,6),IF(ISNUMBER(SEARCH("3",'Procyclean 220'!F418)),EDATE(AB2416,3),DATEVALUE('Procyclean 220'!F418))))),""))</f>
        <v/>
      </c>
      <c r="AM2416" t="str">
        <f t="shared" ca="1" si="244"/>
        <v/>
      </c>
    </row>
    <row r="2417" spans="27:39" x14ac:dyDescent="0.3">
      <c r="AA2417" t="str">
        <f>IF(COUNTA('Procyclean 220'!C419,'Procyclean 220'!D419,'Procyclean 220'!E419)&gt;0,"220","")</f>
        <v/>
      </c>
      <c r="AB2417" t="str">
        <f>IFERROR(IF(ISNUMBER('Procyclean 220'!C419),'Procyclean 220'!C419,DATEVALUE('Procyclean 220'!C419)),"")</f>
        <v/>
      </c>
      <c r="AC2417" t="str">
        <f>IF(AA2417="","",'Procyclean 220'!D419)</f>
        <v/>
      </c>
      <c r="AD2417" t="str">
        <f>IF(AA2417="","",IFERROR(1*'Procyclean 220'!E419,IFERROR(_xludf.NUMBERVALUE('Procyclean 220'!E419,".",","),IFERROR(_xludf.NUMBERVALUE('Procyclean 220'!E419,",","."),0))))</f>
        <v/>
      </c>
      <c r="AE2417" t="str">
        <f>IF(AA2417="","",'Procyclean 220'!B419)</f>
        <v/>
      </c>
      <c r="AF2417">
        <f t="shared" si="239"/>
        <v>0</v>
      </c>
      <c r="AG2417" t="str">
        <f t="shared" si="240"/>
        <v/>
      </c>
      <c r="AH2417" t="str">
        <f t="shared" si="241"/>
        <v/>
      </c>
      <c r="AI2417">
        <f t="shared" si="242"/>
        <v>0</v>
      </c>
      <c r="AJ2417">
        <f t="shared" si="243"/>
        <v>0</v>
      </c>
      <c r="AK2417">
        <v>0</v>
      </c>
      <c r="AL2417" t="str">
        <f>IF(AA2417="","",IFERROR(IF(ISNUMBER('Procyclean 220'!F419),'Procyclean 220'!F419,IF(ISNUMBER(SEARCH("12",'Procyclean 220'!F419)),EDATE(AB2417,12),IF(ISNUMBER(SEARCH("6",'Procyclean 220'!F419)),EDATE(AB2417,6),IF(ISNUMBER(SEARCH("3",'Procyclean 220'!F419)),EDATE(AB2417,3),DATEVALUE('Procyclean 220'!F419))))),""))</f>
        <v/>
      </c>
      <c r="AM2417" t="str">
        <f t="shared" ca="1" si="244"/>
        <v/>
      </c>
    </row>
    <row r="2418" spans="27:39" x14ac:dyDescent="0.3">
      <c r="AA2418" t="str">
        <f>IF(COUNTA('Procyclean 220'!C420,'Procyclean 220'!D420,'Procyclean 220'!E420)&gt;0,"220","")</f>
        <v/>
      </c>
      <c r="AB2418" t="str">
        <f>IFERROR(IF(ISNUMBER('Procyclean 220'!C420),'Procyclean 220'!C420,DATEVALUE('Procyclean 220'!C420)),"")</f>
        <v/>
      </c>
      <c r="AC2418" t="str">
        <f>IF(AA2418="","",'Procyclean 220'!D420)</f>
        <v/>
      </c>
      <c r="AD2418" t="str">
        <f>IF(AA2418="","",IFERROR(1*'Procyclean 220'!E420,IFERROR(_xludf.NUMBERVALUE('Procyclean 220'!E420,".",","),IFERROR(_xludf.NUMBERVALUE('Procyclean 220'!E420,",","."),0))))</f>
        <v/>
      </c>
      <c r="AE2418" t="str">
        <f>IF(AA2418="","",'Procyclean 220'!B420)</f>
        <v/>
      </c>
      <c r="AF2418">
        <f t="shared" si="239"/>
        <v>0</v>
      </c>
      <c r="AG2418" t="str">
        <f t="shared" si="240"/>
        <v/>
      </c>
      <c r="AH2418" t="str">
        <f t="shared" si="241"/>
        <v/>
      </c>
      <c r="AI2418">
        <f t="shared" si="242"/>
        <v>0</v>
      </c>
      <c r="AJ2418">
        <f t="shared" si="243"/>
        <v>0</v>
      </c>
      <c r="AK2418">
        <v>0</v>
      </c>
      <c r="AL2418" t="str">
        <f>IF(AA2418="","",IFERROR(IF(ISNUMBER('Procyclean 220'!F420),'Procyclean 220'!F420,IF(ISNUMBER(SEARCH("12",'Procyclean 220'!F420)),EDATE(AB2418,12),IF(ISNUMBER(SEARCH("6",'Procyclean 220'!F420)),EDATE(AB2418,6),IF(ISNUMBER(SEARCH("3",'Procyclean 220'!F420)),EDATE(AB2418,3),DATEVALUE('Procyclean 220'!F420))))),""))</f>
        <v/>
      </c>
      <c r="AM2418" t="str">
        <f t="shared" ca="1" si="244"/>
        <v/>
      </c>
    </row>
    <row r="2419" spans="27:39" x14ac:dyDescent="0.3">
      <c r="AA2419" t="str">
        <f>IF(COUNTA('Procyclean 220'!C421,'Procyclean 220'!D421,'Procyclean 220'!E421)&gt;0,"220","")</f>
        <v/>
      </c>
      <c r="AB2419" t="str">
        <f>IFERROR(IF(ISNUMBER('Procyclean 220'!C421),'Procyclean 220'!C421,DATEVALUE('Procyclean 220'!C421)),"")</f>
        <v/>
      </c>
      <c r="AC2419" t="str">
        <f>IF(AA2419="","",'Procyclean 220'!D421)</f>
        <v/>
      </c>
      <c r="AD2419" t="str">
        <f>IF(AA2419="","",IFERROR(1*'Procyclean 220'!E421,IFERROR(_xludf.NUMBERVALUE('Procyclean 220'!E421,".",","),IFERROR(_xludf.NUMBERVALUE('Procyclean 220'!E421,",","."),0))))</f>
        <v/>
      </c>
      <c r="AE2419" t="str">
        <f>IF(AA2419="","",'Procyclean 220'!B421)</f>
        <v/>
      </c>
      <c r="AF2419">
        <f t="shared" si="239"/>
        <v>0</v>
      </c>
      <c r="AG2419" t="str">
        <f t="shared" si="240"/>
        <v/>
      </c>
      <c r="AH2419" t="str">
        <f t="shared" si="241"/>
        <v/>
      </c>
      <c r="AI2419">
        <f t="shared" si="242"/>
        <v>0</v>
      </c>
      <c r="AJ2419">
        <f t="shared" si="243"/>
        <v>0</v>
      </c>
      <c r="AK2419">
        <v>0</v>
      </c>
      <c r="AL2419" t="str">
        <f>IF(AA2419="","",IFERROR(IF(ISNUMBER('Procyclean 220'!F421),'Procyclean 220'!F421,IF(ISNUMBER(SEARCH("12",'Procyclean 220'!F421)),EDATE(AB2419,12),IF(ISNUMBER(SEARCH("6",'Procyclean 220'!F421)),EDATE(AB2419,6),IF(ISNUMBER(SEARCH("3",'Procyclean 220'!F421)),EDATE(AB2419,3),DATEVALUE('Procyclean 220'!F421))))),""))</f>
        <v/>
      </c>
      <c r="AM2419" t="str">
        <f t="shared" ca="1" si="244"/>
        <v/>
      </c>
    </row>
    <row r="2420" spans="27:39" x14ac:dyDescent="0.3">
      <c r="AA2420" t="str">
        <f>IF(COUNTA('Procyclean 220'!C422,'Procyclean 220'!D422,'Procyclean 220'!E422)&gt;0,"220","")</f>
        <v/>
      </c>
      <c r="AB2420" t="str">
        <f>IFERROR(IF(ISNUMBER('Procyclean 220'!C422),'Procyclean 220'!C422,DATEVALUE('Procyclean 220'!C422)),"")</f>
        <v/>
      </c>
      <c r="AC2420" t="str">
        <f>IF(AA2420="","",'Procyclean 220'!D422)</f>
        <v/>
      </c>
      <c r="AD2420" t="str">
        <f>IF(AA2420="","",IFERROR(1*'Procyclean 220'!E422,IFERROR(_xludf.NUMBERVALUE('Procyclean 220'!E422,".",","),IFERROR(_xludf.NUMBERVALUE('Procyclean 220'!E422,",","."),0))))</f>
        <v/>
      </c>
      <c r="AE2420" t="str">
        <f>IF(AA2420="","",'Procyclean 220'!B422)</f>
        <v/>
      </c>
      <c r="AF2420">
        <f t="shared" si="239"/>
        <v>0</v>
      </c>
      <c r="AG2420" t="str">
        <f t="shared" si="240"/>
        <v/>
      </c>
      <c r="AH2420" t="str">
        <f t="shared" si="241"/>
        <v/>
      </c>
      <c r="AI2420">
        <f t="shared" si="242"/>
        <v>0</v>
      </c>
      <c r="AJ2420">
        <f t="shared" si="243"/>
        <v>0</v>
      </c>
      <c r="AK2420">
        <v>0</v>
      </c>
      <c r="AL2420" t="str">
        <f>IF(AA2420="","",IFERROR(IF(ISNUMBER('Procyclean 220'!F422),'Procyclean 220'!F422,IF(ISNUMBER(SEARCH("12",'Procyclean 220'!F422)),EDATE(AB2420,12),IF(ISNUMBER(SEARCH("6",'Procyclean 220'!F422)),EDATE(AB2420,6),IF(ISNUMBER(SEARCH("3",'Procyclean 220'!F422)),EDATE(AB2420,3),DATEVALUE('Procyclean 220'!F422))))),""))</f>
        <v/>
      </c>
      <c r="AM2420" t="str">
        <f t="shared" ca="1" si="244"/>
        <v/>
      </c>
    </row>
    <row r="2421" spans="27:39" x14ac:dyDescent="0.3">
      <c r="AA2421" t="str">
        <f>IF(COUNTA('Procyclean 220'!C423,'Procyclean 220'!D423,'Procyclean 220'!E423)&gt;0,"220","")</f>
        <v/>
      </c>
      <c r="AB2421" t="str">
        <f>IFERROR(IF(ISNUMBER('Procyclean 220'!C423),'Procyclean 220'!C423,DATEVALUE('Procyclean 220'!C423)),"")</f>
        <v/>
      </c>
      <c r="AC2421" t="str">
        <f>IF(AA2421="","",'Procyclean 220'!D423)</f>
        <v/>
      </c>
      <c r="AD2421" t="str">
        <f>IF(AA2421="","",IFERROR(1*'Procyclean 220'!E423,IFERROR(_xludf.NUMBERVALUE('Procyclean 220'!E423,".",","),IFERROR(_xludf.NUMBERVALUE('Procyclean 220'!E423,",","."),0))))</f>
        <v/>
      </c>
      <c r="AE2421" t="str">
        <f>IF(AA2421="","",'Procyclean 220'!B423)</f>
        <v/>
      </c>
      <c r="AF2421">
        <f t="shared" si="239"/>
        <v>0</v>
      </c>
      <c r="AG2421" t="str">
        <f t="shared" si="240"/>
        <v/>
      </c>
      <c r="AH2421" t="str">
        <f t="shared" si="241"/>
        <v/>
      </c>
      <c r="AI2421">
        <f t="shared" si="242"/>
        <v>0</v>
      </c>
      <c r="AJ2421">
        <f t="shared" si="243"/>
        <v>0</v>
      </c>
      <c r="AK2421">
        <v>0</v>
      </c>
      <c r="AL2421" t="str">
        <f>IF(AA2421="","",IFERROR(IF(ISNUMBER('Procyclean 220'!F423),'Procyclean 220'!F423,IF(ISNUMBER(SEARCH("12",'Procyclean 220'!F423)),EDATE(AB2421,12),IF(ISNUMBER(SEARCH("6",'Procyclean 220'!F423)),EDATE(AB2421,6),IF(ISNUMBER(SEARCH("3",'Procyclean 220'!F423)),EDATE(AB2421,3),DATEVALUE('Procyclean 220'!F423))))),""))</f>
        <v/>
      </c>
      <c r="AM2421" t="str">
        <f t="shared" ca="1" si="244"/>
        <v/>
      </c>
    </row>
    <row r="2422" spans="27:39" x14ac:dyDescent="0.3">
      <c r="AA2422" t="str">
        <f>IF(COUNTA('Procyclean 220'!C424,'Procyclean 220'!D424,'Procyclean 220'!E424)&gt;0,"220","")</f>
        <v/>
      </c>
      <c r="AB2422" t="str">
        <f>IFERROR(IF(ISNUMBER('Procyclean 220'!C424),'Procyclean 220'!C424,DATEVALUE('Procyclean 220'!C424)),"")</f>
        <v/>
      </c>
      <c r="AC2422" t="str">
        <f>IF(AA2422="","",'Procyclean 220'!D424)</f>
        <v/>
      </c>
      <c r="AD2422" t="str">
        <f>IF(AA2422="","",IFERROR(1*'Procyclean 220'!E424,IFERROR(_xludf.NUMBERVALUE('Procyclean 220'!E424,".",","),IFERROR(_xludf.NUMBERVALUE('Procyclean 220'!E424,",","."),0))))</f>
        <v/>
      </c>
      <c r="AE2422" t="str">
        <f>IF(AA2422="","",'Procyclean 220'!B424)</f>
        <v/>
      </c>
      <c r="AF2422">
        <f t="shared" si="239"/>
        <v>0</v>
      </c>
      <c r="AG2422" t="str">
        <f t="shared" si="240"/>
        <v/>
      </c>
      <c r="AH2422" t="str">
        <f t="shared" si="241"/>
        <v/>
      </c>
      <c r="AI2422">
        <f t="shared" si="242"/>
        <v>0</v>
      </c>
      <c r="AJ2422">
        <f t="shared" si="243"/>
        <v>0</v>
      </c>
      <c r="AK2422">
        <v>0</v>
      </c>
      <c r="AL2422" t="str">
        <f>IF(AA2422="","",IFERROR(IF(ISNUMBER('Procyclean 220'!F424),'Procyclean 220'!F424,IF(ISNUMBER(SEARCH("12",'Procyclean 220'!F424)),EDATE(AB2422,12),IF(ISNUMBER(SEARCH("6",'Procyclean 220'!F424)),EDATE(AB2422,6),IF(ISNUMBER(SEARCH("3",'Procyclean 220'!F424)),EDATE(AB2422,3),DATEVALUE('Procyclean 220'!F424))))),""))</f>
        <v/>
      </c>
      <c r="AM2422" t="str">
        <f t="shared" ca="1" si="244"/>
        <v/>
      </c>
    </row>
    <row r="2423" spans="27:39" x14ac:dyDescent="0.3">
      <c r="AA2423" t="str">
        <f>IF(COUNTA('Procyclean 220'!C425,'Procyclean 220'!D425,'Procyclean 220'!E425)&gt;0,"220","")</f>
        <v/>
      </c>
      <c r="AB2423" t="str">
        <f>IFERROR(IF(ISNUMBER('Procyclean 220'!C425),'Procyclean 220'!C425,DATEVALUE('Procyclean 220'!C425)),"")</f>
        <v/>
      </c>
      <c r="AC2423" t="str">
        <f>IF(AA2423="","",'Procyclean 220'!D425)</f>
        <v/>
      </c>
      <c r="AD2423" t="str">
        <f>IF(AA2423="","",IFERROR(1*'Procyclean 220'!E425,IFERROR(_xludf.NUMBERVALUE('Procyclean 220'!E425,".",","),IFERROR(_xludf.NUMBERVALUE('Procyclean 220'!E425,",","."),0))))</f>
        <v/>
      </c>
      <c r="AE2423" t="str">
        <f>IF(AA2423="","",'Procyclean 220'!B425)</f>
        <v/>
      </c>
      <c r="AF2423">
        <f t="shared" si="239"/>
        <v>0</v>
      </c>
      <c r="AG2423" t="str">
        <f t="shared" si="240"/>
        <v/>
      </c>
      <c r="AH2423" t="str">
        <f t="shared" si="241"/>
        <v/>
      </c>
      <c r="AI2423">
        <f t="shared" si="242"/>
        <v>0</v>
      </c>
      <c r="AJ2423">
        <f t="shared" si="243"/>
        <v>0</v>
      </c>
      <c r="AK2423">
        <v>0</v>
      </c>
      <c r="AL2423" t="str">
        <f>IF(AA2423="","",IFERROR(IF(ISNUMBER('Procyclean 220'!F425),'Procyclean 220'!F425,IF(ISNUMBER(SEARCH("12",'Procyclean 220'!F425)),EDATE(AB2423,12),IF(ISNUMBER(SEARCH("6",'Procyclean 220'!F425)),EDATE(AB2423,6),IF(ISNUMBER(SEARCH("3",'Procyclean 220'!F425)),EDATE(AB2423,3),DATEVALUE('Procyclean 220'!F425))))),""))</f>
        <v/>
      </c>
      <c r="AM2423" t="str">
        <f t="shared" ca="1" si="244"/>
        <v/>
      </c>
    </row>
    <row r="2424" spans="27:39" x14ac:dyDescent="0.3">
      <c r="AA2424" t="str">
        <f>IF(COUNTA('Procyclean 220'!C426,'Procyclean 220'!D426,'Procyclean 220'!E426)&gt;0,"220","")</f>
        <v/>
      </c>
      <c r="AB2424" t="str">
        <f>IFERROR(IF(ISNUMBER('Procyclean 220'!C426),'Procyclean 220'!C426,DATEVALUE('Procyclean 220'!C426)),"")</f>
        <v/>
      </c>
      <c r="AC2424" t="str">
        <f>IF(AA2424="","",'Procyclean 220'!D426)</f>
        <v/>
      </c>
      <c r="AD2424" t="str">
        <f>IF(AA2424="","",IFERROR(1*'Procyclean 220'!E426,IFERROR(_xludf.NUMBERVALUE('Procyclean 220'!E426,".",","),IFERROR(_xludf.NUMBERVALUE('Procyclean 220'!E426,",","."),0))))</f>
        <v/>
      </c>
      <c r="AE2424" t="str">
        <f>IF(AA2424="","",'Procyclean 220'!B426)</f>
        <v/>
      </c>
      <c r="AF2424">
        <f t="shared" si="239"/>
        <v>0</v>
      </c>
      <c r="AG2424" t="str">
        <f t="shared" si="240"/>
        <v/>
      </c>
      <c r="AH2424" t="str">
        <f t="shared" si="241"/>
        <v/>
      </c>
      <c r="AI2424">
        <f t="shared" si="242"/>
        <v>0</v>
      </c>
      <c r="AJ2424">
        <f t="shared" si="243"/>
        <v>0</v>
      </c>
      <c r="AK2424">
        <v>0</v>
      </c>
      <c r="AL2424" t="str">
        <f>IF(AA2424="","",IFERROR(IF(ISNUMBER('Procyclean 220'!F426),'Procyclean 220'!F426,IF(ISNUMBER(SEARCH("12",'Procyclean 220'!F426)),EDATE(AB2424,12),IF(ISNUMBER(SEARCH("6",'Procyclean 220'!F426)),EDATE(AB2424,6),IF(ISNUMBER(SEARCH("3",'Procyclean 220'!F426)),EDATE(AB2424,3),DATEVALUE('Procyclean 220'!F426))))),""))</f>
        <v/>
      </c>
      <c r="AM2424" t="str">
        <f t="shared" ca="1" si="244"/>
        <v/>
      </c>
    </row>
    <row r="2425" spans="27:39" x14ac:dyDescent="0.3">
      <c r="AA2425" t="str">
        <f>IF(COUNTA('Procyclean 220'!C427,'Procyclean 220'!D427,'Procyclean 220'!E427)&gt;0,"220","")</f>
        <v/>
      </c>
      <c r="AB2425" t="str">
        <f>IFERROR(IF(ISNUMBER('Procyclean 220'!C427),'Procyclean 220'!C427,DATEVALUE('Procyclean 220'!C427)),"")</f>
        <v/>
      </c>
      <c r="AC2425" t="str">
        <f>IF(AA2425="","",'Procyclean 220'!D427)</f>
        <v/>
      </c>
      <c r="AD2425" t="str">
        <f>IF(AA2425="","",IFERROR(1*'Procyclean 220'!E427,IFERROR(_xludf.NUMBERVALUE('Procyclean 220'!E427,".",","),IFERROR(_xludf.NUMBERVALUE('Procyclean 220'!E427,",","."),0))))</f>
        <v/>
      </c>
      <c r="AE2425" t="str">
        <f>IF(AA2425="","",'Procyclean 220'!B427)</f>
        <v/>
      </c>
      <c r="AF2425">
        <f t="shared" si="239"/>
        <v>0</v>
      </c>
      <c r="AG2425" t="str">
        <f t="shared" si="240"/>
        <v/>
      </c>
      <c r="AH2425" t="str">
        <f t="shared" si="241"/>
        <v/>
      </c>
      <c r="AI2425">
        <f t="shared" si="242"/>
        <v>0</v>
      </c>
      <c r="AJ2425">
        <f t="shared" si="243"/>
        <v>0</v>
      </c>
      <c r="AK2425">
        <v>0</v>
      </c>
      <c r="AL2425" t="str">
        <f>IF(AA2425="","",IFERROR(IF(ISNUMBER('Procyclean 220'!F427),'Procyclean 220'!F427,IF(ISNUMBER(SEARCH("12",'Procyclean 220'!F427)),EDATE(AB2425,12),IF(ISNUMBER(SEARCH("6",'Procyclean 220'!F427)),EDATE(AB2425,6),IF(ISNUMBER(SEARCH("3",'Procyclean 220'!F427)),EDATE(AB2425,3),DATEVALUE('Procyclean 220'!F427))))),""))</f>
        <v/>
      </c>
      <c r="AM2425" t="str">
        <f t="shared" ca="1" si="244"/>
        <v/>
      </c>
    </row>
    <row r="2426" spans="27:39" x14ac:dyDescent="0.3">
      <c r="AA2426" t="str">
        <f>IF(COUNTA('Procyclean 220'!C428,'Procyclean 220'!D428,'Procyclean 220'!E428)&gt;0,"220","")</f>
        <v/>
      </c>
      <c r="AB2426" t="str">
        <f>IFERROR(IF(ISNUMBER('Procyclean 220'!C428),'Procyclean 220'!C428,DATEVALUE('Procyclean 220'!C428)),"")</f>
        <v/>
      </c>
      <c r="AC2426" t="str">
        <f>IF(AA2426="","",'Procyclean 220'!D428)</f>
        <v/>
      </c>
      <c r="AD2426" t="str">
        <f>IF(AA2426="","",IFERROR(1*'Procyclean 220'!E428,IFERROR(_xludf.NUMBERVALUE('Procyclean 220'!E428,".",","),IFERROR(_xludf.NUMBERVALUE('Procyclean 220'!E428,",","."),0))))</f>
        <v/>
      </c>
      <c r="AE2426" t="str">
        <f>IF(AA2426="","",'Procyclean 220'!B428)</f>
        <v/>
      </c>
      <c r="AF2426">
        <f t="shared" si="239"/>
        <v>0</v>
      </c>
      <c r="AG2426" t="str">
        <f t="shared" si="240"/>
        <v/>
      </c>
      <c r="AH2426" t="str">
        <f t="shared" si="241"/>
        <v/>
      </c>
      <c r="AI2426">
        <f t="shared" si="242"/>
        <v>0</v>
      </c>
      <c r="AJ2426">
        <f t="shared" si="243"/>
        <v>0</v>
      </c>
      <c r="AK2426">
        <v>0</v>
      </c>
      <c r="AL2426" t="str">
        <f>IF(AA2426="","",IFERROR(IF(ISNUMBER('Procyclean 220'!F428),'Procyclean 220'!F428,IF(ISNUMBER(SEARCH("12",'Procyclean 220'!F428)),EDATE(AB2426,12),IF(ISNUMBER(SEARCH("6",'Procyclean 220'!F428)),EDATE(AB2426,6),IF(ISNUMBER(SEARCH("3",'Procyclean 220'!F428)),EDATE(AB2426,3),DATEVALUE('Procyclean 220'!F428))))),""))</f>
        <v/>
      </c>
      <c r="AM2426" t="str">
        <f t="shared" ca="1" si="244"/>
        <v/>
      </c>
    </row>
    <row r="2427" spans="27:39" x14ac:dyDescent="0.3">
      <c r="AA2427" t="str">
        <f>IF(COUNTA('Procyclean 220'!C429,'Procyclean 220'!D429,'Procyclean 220'!E429)&gt;0,"220","")</f>
        <v/>
      </c>
      <c r="AB2427" t="str">
        <f>IFERROR(IF(ISNUMBER('Procyclean 220'!C429),'Procyclean 220'!C429,DATEVALUE('Procyclean 220'!C429)),"")</f>
        <v/>
      </c>
      <c r="AC2427" t="str">
        <f>IF(AA2427="","",'Procyclean 220'!D429)</f>
        <v/>
      </c>
      <c r="AD2427" t="str">
        <f>IF(AA2427="","",IFERROR(1*'Procyclean 220'!E429,IFERROR(_xludf.NUMBERVALUE('Procyclean 220'!E429,".",","),IFERROR(_xludf.NUMBERVALUE('Procyclean 220'!E429,",","."),0))))</f>
        <v/>
      </c>
      <c r="AE2427" t="str">
        <f>IF(AA2427="","",'Procyclean 220'!B429)</f>
        <v/>
      </c>
      <c r="AF2427">
        <f t="shared" si="239"/>
        <v>0</v>
      </c>
      <c r="AG2427" t="str">
        <f t="shared" si="240"/>
        <v/>
      </c>
      <c r="AH2427" t="str">
        <f t="shared" si="241"/>
        <v/>
      </c>
      <c r="AI2427">
        <f t="shared" si="242"/>
        <v>0</v>
      </c>
      <c r="AJ2427">
        <f t="shared" si="243"/>
        <v>0</v>
      </c>
      <c r="AK2427">
        <v>0</v>
      </c>
      <c r="AL2427" t="str">
        <f>IF(AA2427="","",IFERROR(IF(ISNUMBER('Procyclean 220'!F429),'Procyclean 220'!F429,IF(ISNUMBER(SEARCH("12",'Procyclean 220'!F429)),EDATE(AB2427,12),IF(ISNUMBER(SEARCH("6",'Procyclean 220'!F429)),EDATE(AB2427,6),IF(ISNUMBER(SEARCH("3",'Procyclean 220'!F429)),EDATE(AB2427,3),DATEVALUE('Procyclean 220'!F429))))),""))</f>
        <v/>
      </c>
      <c r="AM2427" t="str">
        <f t="shared" ca="1" si="244"/>
        <v/>
      </c>
    </row>
    <row r="2428" spans="27:39" x14ac:dyDescent="0.3">
      <c r="AA2428" t="str">
        <f>IF(COUNTA('Procyclean 220'!C430,'Procyclean 220'!D430,'Procyclean 220'!E430)&gt;0,"220","")</f>
        <v/>
      </c>
      <c r="AB2428" t="str">
        <f>IFERROR(IF(ISNUMBER('Procyclean 220'!C430),'Procyclean 220'!C430,DATEVALUE('Procyclean 220'!C430)),"")</f>
        <v/>
      </c>
      <c r="AC2428" t="str">
        <f>IF(AA2428="","",'Procyclean 220'!D430)</f>
        <v/>
      </c>
      <c r="AD2428" t="str">
        <f>IF(AA2428="","",IFERROR(1*'Procyclean 220'!E430,IFERROR(_xludf.NUMBERVALUE('Procyclean 220'!E430,".",","),IFERROR(_xludf.NUMBERVALUE('Procyclean 220'!E430,",","."),0))))</f>
        <v/>
      </c>
      <c r="AE2428" t="str">
        <f>IF(AA2428="","",'Procyclean 220'!B430)</f>
        <v/>
      </c>
      <c r="AF2428">
        <f t="shared" si="239"/>
        <v>0</v>
      </c>
      <c r="AG2428" t="str">
        <f t="shared" si="240"/>
        <v/>
      </c>
      <c r="AH2428" t="str">
        <f t="shared" si="241"/>
        <v/>
      </c>
      <c r="AI2428">
        <f t="shared" si="242"/>
        <v>0</v>
      </c>
      <c r="AJ2428">
        <f t="shared" si="243"/>
        <v>0</v>
      </c>
      <c r="AK2428">
        <v>0</v>
      </c>
      <c r="AL2428" t="str">
        <f>IF(AA2428="","",IFERROR(IF(ISNUMBER('Procyclean 220'!F430),'Procyclean 220'!F430,IF(ISNUMBER(SEARCH("12",'Procyclean 220'!F430)),EDATE(AB2428,12),IF(ISNUMBER(SEARCH("6",'Procyclean 220'!F430)),EDATE(AB2428,6),IF(ISNUMBER(SEARCH("3",'Procyclean 220'!F430)),EDATE(AB2428,3),DATEVALUE('Procyclean 220'!F430))))),""))</f>
        <v/>
      </c>
      <c r="AM2428" t="str">
        <f t="shared" ca="1" si="244"/>
        <v/>
      </c>
    </row>
    <row r="2429" spans="27:39" x14ac:dyDescent="0.3">
      <c r="AA2429" t="str">
        <f>IF(COUNTA('Procyclean 220'!C431,'Procyclean 220'!D431,'Procyclean 220'!E431)&gt;0,"220","")</f>
        <v/>
      </c>
      <c r="AB2429" t="str">
        <f>IFERROR(IF(ISNUMBER('Procyclean 220'!C431),'Procyclean 220'!C431,DATEVALUE('Procyclean 220'!C431)),"")</f>
        <v/>
      </c>
      <c r="AC2429" t="str">
        <f>IF(AA2429="","",'Procyclean 220'!D431)</f>
        <v/>
      </c>
      <c r="AD2429" t="str">
        <f>IF(AA2429="","",IFERROR(1*'Procyclean 220'!E431,IFERROR(_xludf.NUMBERVALUE('Procyclean 220'!E431,".",","),IFERROR(_xludf.NUMBERVALUE('Procyclean 220'!E431,",","."),0))))</f>
        <v/>
      </c>
      <c r="AE2429" t="str">
        <f>IF(AA2429="","",'Procyclean 220'!B431)</f>
        <v/>
      </c>
      <c r="AF2429">
        <f t="shared" si="239"/>
        <v>0</v>
      </c>
      <c r="AG2429" t="str">
        <f t="shared" si="240"/>
        <v/>
      </c>
      <c r="AH2429" t="str">
        <f t="shared" si="241"/>
        <v/>
      </c>
      <c r="AI2429">
        <f t="shared" si="242"/>
        <v>0</v>
      </c>
      <c r="AJ2429">
        <f t="shared" si="243"/>
        <v>0</v>
      </c>
      <c r="AK2429">
        <v>0</v>
      </c>
      <c r="AL2429" t="str">
        <f>IF(AA2429="","",IFERROR(IF(ISNUMBER('Procyclean 220'!F431),'Procyclean 220'!F431,IF(ISNUMBER(SEARCH("12",'Procyclean 220'!F431)),EDATE(AB2429,12),IF(ISNUMBER(SEARCH("6",'Procyclean 220'!F431)),EDATE(AB2429,6),IF(ISNUMBER(SEARCH("3",'Procyclean 220'!F431)),EDATE(AB2429,3),DATEVALUE('Procyclean 220'!F431))))),""))</f>
        <v/>
      </c>
      <c r="AM2429" t="str">
        <f t="shared" ca="1" si="244"/>
        <v/>
      </c>
    </row>
    <row r="2430" spans="27:39" x14ac:dyDescent="0.3">
      <c r="AA2430" t="str">
        <f>IF(COUNTA('Procyclean 220'!C432,'Procyclean 220'!D432,'Procyclean 220'!E432)&gt;0,"220","")</f>
        <v/>
      </c>
      <c r="AB2430" t="str">
        <f>IFERROR(IF(ISNUMBER('Procyclean 220'!C432),'Procyclean 220'!C432,DATEVALUE('Procyclean 220'!C432)),"")</f>
        <v/>
      </c>
      <c r="AC2430" t="str">
        <f>IF(AA2430="","",'Procyclean 220'!D432)</f>
        <v/>
      </c>
      <c r="AD2430" t="str">
        <f>IF(AA2430="","",IFERROR(1*'Procyclean 220'!E432,IFERROR(_xludf.NUMBERVALUE('Procyclean 220'!E432,".",","),IFERROR(_xludf.NUMBERVALUE('Procyclean 220'!E432,",","."),0))))</f>
        <v/>
      </c>
      <c r="AE2430" t="str">
        <f>IF(AA2430="","",'Procyclean 220'!B432)</f>
        <v/>
      </c>
      <c r="AF2430">
        <f t="shared" si="239"/>
        <v>0</v>
      </c>
      <c r="AG2430" t="str">
        <f t="shared" si="240"/>
        <v/>
      </c>
      <c r="AH2430" t="str">
        <f t="shared" si="241"/>
        <v/>
      </c>
      <c r="AI2430">
        <f t="shared" si="242"/>
        <v>0</v>
      </c>
      <c r="AJ2430">
        <f t="shared" si="243"/>
        <v>0</v>
      </c>
      <c r="AK2430">
        <v>0</v>
      </c>
      <c r="AL2430" t="str">
        <f>IF(AA2430="","",IFERROR(IF(ISNUMBER('Procyclean 220'!F432),'Procyclean 220'!F432,IF(ISNUMBER(SEARCH("12",'Procyclean 220'!F432)),EDATE(AB2430,12),IF(ISNUMBER(SEARCH("6",'Procyclean 220'!F432)),EDATE(AB2430,6),IF(ISNUMBER(SEARCH("3",'Procyclean 220'!F432)),EDATE(AB2430,3),DATEVALUE('Procyclean 220'!F432))))),""))</f>
        <v/>
      </c>
      <c r="AM2430" t="str">
        <f t="shared" ca="1" si="244"/>
        <v/>
      </c>
    </row>
    <row r="2431" spans="27:39" x14ac:dyDescent="0.3">
      <c r="AA2431" t="str">
        <f>IF(COUNTA('Procyclean 220'!C433,'Procyclean 220'!D433,'Procyclean 220'!E433)&gt;0,"220","")</f>
        <v/>
      </c>
      <c r="AB2431" t="str">
        <f>IFERROR(IF(ISNUMBER('Procyclean 220'!C433),'Procyclean 220'!C433,DATEVALUE('Procyclean 220'!C433)),"")</f>
        <v/>
      </c>
      <c r="AC2431" t="str">
        <f>IF(AA2431="","",'Procyclean 220'!D433)</f>
        <v/>
      </c>
      <c r="AD2431" t="str">
        <f>IF(AA2431="","",IFERROR(1*'Procyclean 220'!E433,IFERROR(_xludf.NUMBERVALUE('Procyclean 220'!E433,".",","),IFERROR(_xludf.NUMBERVALUE('Procyclean 220'!E433,",","."),0))))</f>
        <v/>
      </c>
      <c r="AE2431" t="str">
        <f>IF(AA2431="","",'Procyclean 220'!B433)</f>
        <v/>
      </c>
      <c r="AF2431">
        <f t="shared" si="239"/>
        <v>0</v>
      </c>
      <c r="AG2431" t="str">
        <f t="shared" si="240"/>
        <v/>
      </c>
      <c r="AH2431" t="str">
        <f t="shared" si="241"/>
        <v/>
      </c>
      <c r="AI2431">
        <f t="shared" si="242"/>
        <v>0</v>
      </c>
      <c r="AJ2431">
        <f t="shared" si="243"/>
        <v>0</v>
      </c>
      <c r="AK2431">
        <v>0</v>
      </c>
      <c r="AL2431" t="str">
        <f>IF(AA2431="","",IFERROR(IF(ISNUMBER('Procyclean 220'!F433),'Procyclean 220'!F433,IF(ISNUMBER(SEARCH("12",'Procyclean 220'!F433)),EDATE(AB2431,12),IF(ISNUMBER(SEARCH("6",'Procyclean 220'!F433)),EDATE(AB2431,6),IF(ISNUMBER(SEARCH("3",'Procyclean 220'!F433)),EDATE(AB2431,3),DATEVALUE('Procyclean 220'!F433))))),""))</f>
        <v/>
      </c>
      <c r="AM2431" t="str">
        <f t="shared" ca="1" si="244"/>
        <v/>
      </c>
    </row>
    <row r="2432" spans="27:39" x14ac:dyDescent="0.3">
      <c r="AA2432" t="str">
        <f>IF(COUNTA('Procyclean 220'!C434,'Procyclean 220'!D434,'Procyclean 220'!E434)&gt;0,"220","")</f>
        <v/>
      </c>
      <c r="AB2432" t="str">
        <f>IFERROR(IF(ISNUMBER('Procyclean 220'!C434),'Procyclean 220'!C434,DATEVALUE('Procyclean 220'!C434)),"")</f>
        <v/>
      </c>
      <c r="AC2432" t="str">
        <f>IF(AA2432="","",'Procyclean 220'!D434)</f>
        <v/>
      </c>
      <c r="AD2432" t="str">
        <f>IF(AA2432="","",IFERROR(1*'Procyclean 220'!E434,IFERROR(_xludf.NUMBERVALUE('Procyclean 220'!E434,".",","),IFERROR(_xludf.NUMBERVALUE('Procyclean 220'!E434,",","."),0))))</f>
        <v/>
      </c>
      <c r="AE2432" t="str">
        <f>IF(AA2432="","",'Procyclean 220'!B434)</f>
        <v/>
      </c>
      <c r="AF2432">
        <f t="shared" si="239"/>
        <v>0</v>
      </c>
      <c r="AG2432" t="str">
        <f t="shared" si="240"/>
        <v/>
      </c>
      <c r="AH2432" t="str">
        <f t="shared" si="241"/>
        <v/>
      </c>
      <c r="AI2432">
        <f t="shared" si="242"/>
        <v>0</v>
      </c>
      <c r="AJ2432">
        <f t="shared" si="243"/>
        <v>0</v>
      </c>
      <c r="AK2432">
        <v>0</v>
      </c>
      <c r="AL2432" t="str">
        <f>IF(AA2432="","",IFERROR(IF(ISNUMBER('Procyclean 220'!F434),'Procyclean 220'!F434,IF(ISNUMBER(SEARCH("12",'Procyclean 220'!F434)),EDATE(AB2432,12),IF(ISNUMBER(SEARCH("6",'Procyclean 220'!F434)),EDATE(AB2432,6),IF(ISNUMBER(SEARCH("3",'Procyclean 220'!F434)),EDATE(AB2432,3),DATEVALUE('Procyclean 220'!F434))))),""))</f>
        <v/>
      </c>
      <c r="AM2432" t="str">
        <f t="shared" ca="1" si="244"/>
        <v/>
      </c>
    </row>
    <row r="2433" spans="27:39" x14ac:dyDescent="0.3">
      <c r="AA2433" t="str">
        <f>IF(COUNTA('Procyclean 220'!C435,'Procyclean 220'!D435,'Procyclean 220'!E435)&gt;0,"220","")</f>
        <v/>
      </c>
      <c r="AB2433" t="str">
        <f>IFERROR(IF(ISNUMBER('Procyclean 220'!C435),'Procyclean 220'!C435,DATEVALUE('Procyclean 220'!C435)),"")</f>
        <v/>
      </c>
      <c r="AC2433" t="str">
        <f>IF(AA2433="","",'Procyclean 220'!D435)</f>
        <v/>
      </c>
      <c r="AD2433" t="str">
        <f>IF(AA2433="","",IFERROR(1*'Procyclean 220'!E435,IFERROR(_xludf.NUMBERVALUE('Procyclean 220'!E435,".",","),IFERROR(_xludf.NUMBERVALUE('Procyclean 220'!E435,",","."),0))))</f>
        <v/>
      </c>
      <c r="AE2433" t="str">
        <f>IF(AA2433="","",'Procyclean 220'!B435)</f>
        <v/>
      </c>
      <c r="AF2433">
        <f t="shared" si="239"/>
        <v>0</v>
      </c>
      <c r="AG2433" t="str">
        <f t="shared" si="240"/>
        <v/>
      </c>
      <c r="AH2433" t="str">
        <f t="shared" si="241"/>
        <v/>
      </c>
      <c r="AI2433">
        <f t="shared" si="242"/>
        <v>0</v>
      </c>
      <c r="AJ2433">
        <f t="shared" si="243"/>
        <v>0</v>
      </c>
      <c r="AK2433">
        <v>0</v>
      </c>
      <c r="AL2433" t="str">
        <f>IF(AA2433="","",IFERROR(IF(ISNUMBER('Procyclean 220'!F435),'Procyclean 220'!F435,IF(ISNUMBER(SEARCH("12",'Procyclean 220'!F435)),EDATE(AB2433,12),IF(ISNUMBER(SEARCH("6",'Procyclean 220'!F435)),EDATE(AB2433,6),IF(ISNUMBER(SEARCH("3",'Procyclean 220'!F435)),EDATE(AB2433,3),DATEVALUE('Procyclean 220'!F435))))),""))</f>
        <v/>
      </c>
      <c r="AM2433" t="str">
        <f t="shared" ca="1" si="244"/>
        <v/>
      </c>
    </row>
    <row r="2434" spans="27:39" x14ac:dyDescent="0.3">
      <c r="AA2434" t="str">
        <f>IF(COUNTA('Procyclean 220'!C436,'Procyclean 220'!D436,'Procyclean 220'!E436)&gt;0,"220","")</f>
        <v/>
      </c>
      <c r="AB2434" t="str">
        <f>IFERROR(IF(ISNUMBER('Procyclean 220'!C436),'Procyclean 220'!C436,DATEVALUE('Procyclean 220'!C436)),"")</f>
        <v/>
      </c>
      <c r="AC2434" t="str">
        <f>IF(AA2434="","",'Procyclean 220'!D436)</f>
        <v/>
      </c>
      <c r="AD2434" t="str">
        <f>IF(AA2434="","",IFERROR(1*'Procyclean 220'!E436,IFERROR(_xludf.NUMBERVALUE('Procyclean 220'!E436,".",","),IFERROR(_xludf.NUMBERVALUE('Procyclean 220'!E436,",","."),0))))</f>
        <v/>
      </c>
      <c r="AE2434" t="str">
        <f>IF(AA2434="","",'Procyclean 220'!B436)</f>
        <v/>
      </c>
      <c r="AF2434">
        <f t="shared" ref="AF2434:AF2497" si="245">IF(AA2434="",0,--AND(ISNUMBER(SEARCH("aprov",AE2434)),NOT(ISNUMBER(SEARCH("reprov",AE2434)))))</f>
        <v>0</v>
      </c>
      <c r="AG2434" t="str">
        <f t="shared" ref="AG2434:AG2497" si="246">IF(AB2434="","",YEAR(AB2434))</f>
        <v/>
      </c>
      <c r="AH2434" t="str">
        <f t="shared" ref="AH2434:AH2497" si="247">IF(AB2434="","",MONTH(AB2434))</f>
        <v/>
      </c>
      <c r="AI2434">
        <f t="shared" ref="AI2434:AI2497" si="248">IF(AB2434="",0,AB2434+ROW()/1000000)</f>
        <v>0</v>
      </c>
      <c r="AJ2434">
        <f t="shared" ref="AJ2434:AJ2497" si="249">--(AA2434&lt;&gt;"")</f>
        <v>0</v>
      </c>
      <c r="AK2434">
        <v>0</v>
      </c>
      <c r="AL2434" t="str">
        <f>IF(AA2434="","",IFERROR(IF(ISNUMBER('Procyclean 220'!F436),'Procyclean 220'!F436,IF(ISNUMBER(SEARCH("12",'Procyclean 220'!F436)),EDATE(AB2434,12),IF(ISNUMBER(SEARCH("6",'Procyclean 220'!F436)),EDATE(AB2434,6),IF(ISNUMBER(SEARCH("3",'Procyclean 220'!F436)),EDATE(AB2434,3),DATEVALUE('Procyclean 220'!F436))))),""))</f>
        <v/>
      </c>
      <c r="AM2434" t="str">
        <f t="shared" ref="AM2434:AM2497" ca="1" si="250">IF(AND(AJ2434=1,AL2434&lt;&gt;"",AL2434&gt;=TODAY(),AG2434=$W$3),AL2434+ROW()/1000000,"")</f>
        <v/>
      </c>
    </row>
    <row r="2435" spans="27:39" x14ac:dyDescent="0.3">
      <c r="AA2435" t="str">
        <f>IF(COUNTA('Procyclean 220'!C437,'Procyclean 220'!D437,'Procyclean 220'!E437)&gt;0,"220","")</f>
        <v/>
      </c>
      <c r="AB2435" t="str">
        <f>IFERROR(IF(ISNUMBER('Procyclean 220'!C437),'Procyclean 220'!C437,DATEVALUE('Procyclean 220'!C437)),"")</f>
        <v/>
      </c>
      <c r="AC2435" t="str">
        <f>IF(AA2435="","",'Procyclean 220'!D437)</f>
        <v/>
      </c>
      <c r="AD2435" t="str">
        <f>IF(AA2435="","",IFERROR(1*'Procyclean 220'!E437,IFERROR(_xludf.NUMBERVALUE('Procyclean 220'!E437,".",","),IFERROR(_xludf.NUMBERVALUE('Procyclean 220'!E437,",","."),0))))</f>
        <v/>
      </c>
      <c r="AE2435" t="str">
        <f>IF(AA2435="","",'Procyclean 220'!B437)</f>
        <v/>
      </c>
      <c r="AF2435">
        <f t="shared" si="245"/>
        <v>0</v>
      </c>
      <c r="AG2435" t="str">
        <f t="shared" si="246"/>
        <v/>
      </c>
      <c r="AH2435" t="str">
        <f t="shared" si="247"/>
        <v/>
      </c>
      <c r="AI2435">
        <f t="shared" si="248"/>
        <v>0</v>
      </c>
      <c r="AJ2435">
        <f t="shared" si="249"/>
        <v>0</v>
      </c>
      <c r="AK2435">
        <v>0</v>
      </c>
      <c r="AL2435" t="str">
        <f>IF(AA2435="","",IFERROR(IF(ISNUMBER('Procyclean 220'!F437),'Procyclean 220'!F437,IF(ISNUMBER(SEARCH("12",'Procyclean 220'!F437)),EDATE(AB2435,12),IF(ISNUMBER(SEARCH("6",'Procyclean 220'!F437)),EDATE(AB2435,6),IF(ISNUMBER(SEARCH("3",'Procyclean 220'!F437)),EDATE(AB2435,3),DATEVALUE('Procyclean 220'!F437))))),""))</f>
        <v/>
      </c>
      <c r="AM2435" t="str">
        <f t="shared" ca="1" si="250"/>
        <v/>
      </c>
    </row>
    <row r="2436" spans="27:39" x14ac:dyDescent="0.3">
      <c r="AA2436" t="str">
        <f>IF(COUNTA('Procyclean 220'!C438,'Procyclean 220'!D438,'Procyclean 220'!E438)&gt;0,"220","")</f>
        <v/>
      </c>
      <c r="AB2436" t="str">
        <f>IFERROR(IF(ISNUMBER('Procyclean 220'!C438),'Procyclean 220'!C438,DATEVALUE('Procyclean 220'!C438)),"")</f>
        <v/>
      </c>
      <c r="AC2436" t="str">
        <f>IF(AA2436="","",'Procyclean 220'!D438)</f>
        <v/>
      </c>
      <c r="AD2436" t="str">
        <f>IF(AA2436="","",IFERROR(1*'Procyclean 220'!E438,IFERROR(_xludf.NUMBERVALUE('Procyclean 220'!E438,".",","),IFERROR(_xludf.NUMBERVALUE('Procyclean 220'!E438,",","."),0))))</f>
        <v/>
      </c>
      <c r="AE2436" t="str">
        <f>IF(AA2436="","",'Procyclean 220'!B438)</f>
        <v/>
      </c>
      <c r="AF2436">
        <f t="shared" si="245"/>
        <v>0</v>
      </c>
      <c r="AG2436" t="str">
        <f t="shared" si="246"/>
        <v/>
      </c>
      <c r="AH2436" t="str">
        <f t="shared" si="247"/>
        <v/>
      </c>
      <c r="AI2436">
        <f t="shared" si="248"/>
        <v>0</v>
      </c>
      <c r="AJ2436">
        <f t="shared" si="249"/>
        <v>0</v>
      </c>
      <c r="AK2436">
        <v>0</v>
      </c>
      <c r="AL2436" t="str">
        <f>IF(AA2436="","",IFERROR(IF(ISNUMBER('Procyclean 220'!F438),'Procyclean 220'!F438,IF(ISNUMBER(SEARCH("12",'Procyclean 220'!F438)),EDATE(AB2436,12),IF(ISNUMBER(SEARCH("6",'Procyclean 220'!F438)),EDATE(AB2436,6),IF(ISNUMBER(SEARCH("3",'Procyclean 220'!F438)),EDATE(AB2436,3),DATEVALUE('Procyclean 220'!F438))))),""))</f>
        <v/>
      </c>
      <c r="AM2436" t="str">
        <f t="shared" ca="1" si="250"/>
        <v/>
      </c>
    </row>
    <row r="2437" spans="27:39" x14ac:dyDescent="0.3">
      <c r="AA2437" t="str">
        <f>IF(COUNTA('Procyclean 220'!C439,'Procyclean 220'!D439,'Procyclean 220'!E439)&gt;0,"220","")</f>
        <v/>
      </c>
      <c r="AB2437" t="str">
        <f>IFERROR(IF(ISNUMBER('Procyclean 220'!C439),'Procyclean 220'!C439,DATEVALUE('Procyclean 220'!C439)),"")</f>
        <v/>
      </c>
      <c r="AC2437" t="str">
        <f>IF(AA2437="","",'Procyclean 220'!D439)</f>
        <v/>
      </c>
      <c r="AD2437" t="str">
        <f>IF(AA2437="","",IFERROR(1*'Procyclean 220'!E439,IFERROR(_xludf.NUMBERVALUE('Procyclean 220'!E439,".",","),IFERROR(_xludf.NUMBERVALUE('Procyclean 220'!E439,",","."),0))))</f>
        <v/>
      </c>
      <c r="AE2437" t="str">
        <f>IF(AA2437="","",'Procyclean 220'!B439)</f>
        <v/>
      </c>
      <c r="AF2437">
        <f t="shared" si="245"/>
        <v>0</v>
      </c>
      <c r="AG2437" t="str">
        <f t="shared" si="246"/>
        <v/>
      </c>
      <c r="AH2437" t="str">
        <f t="shared" si="247"/>
        <v/>
      </c>
      <c r="AI2437">
        <f t="shared" si="248"/>
        <v>0</v>
      </c>
      <c r="AJ2437">
        <f t="shared" si="249"/>
        <v>0</v>
      </c>
      <c r="AK2437">
        <v>0</v>
      </c>
      <c r="AL2437" t="str">
        <f>IF(AA2437="","",IFERROR(IF(ISNUMBER('Procyclean 220'!F439),'Procyclean 220'!F439,IF(ISNUMBER(SEARCH("12",'Procyclean 220'!F439)),EDATE(AB2437,12),IF(ISNUMBER(SEARCH("6",'Procyclean 220'!F439)),EDATE(AB2437,6),IF(ISNUMBER(SEARCH("3",'Procyclean 220'!F439)),EDATE(AB2437,3),DATEVALUE('Procyclean 220'!F439))))),""))</f>
        <v/>
      </c>
      <c r="AM2437" t="str">
        <f t="shared" ca="1" si="250"/>
        <v/>
      </c>
    </row>
    <row r="2438" spans="27:39" x14ac:dyDescent="0.3">
      <c r="AA2438" t="str">
        <f>IF(COUNTA('Procyclean 220'!C440,'Procyclean 220'!D440,'Procyclean 220'!E440)&gt;0,"220","")</f>
        <v/>
      </c>
      <c r="AB2438" t="str">
        <f>IFERROR(IF(ISNUMBER('Procyclean 220'!C440),'Procyclean 220'!C440,DATEVALUE('Procyclean 220'!C440)),"")</f>
        <v/>
      </c>
      <c r="AC2438" t="str">
        <f>IF(AA2438="","",'Procyclean 220'!D440)</f>
        <v/>
      </c>
      <c r="AD2438" t="str">
        <f>IF(AA2438="","",IFERROR(1*'Procyclean 220'!E440,IFERROR(_xludf.NUMBERVALUE('Procyclean 220'!E440,".",","),IFERROR(_xludf.NUMBERVALUE('Procyclean 220'!E440,",","."),0))))</f>
        <v/>
      </c>
      <c r="AE2438" t="str">
        <f>IF(AA2438="","",'Procyclean 220'!B440)</f>
        <v/>
      </c>
      <c r="AF2438">
        <f t="shared" si="245"/>
        <v>0</v>
      </c>
      <c r="AG2438" t="str">
        <f t="shared" si="246"/>
        <v/>
      </c>
      <c r="AH2438" t="str">
        <f t="shared" si="247"/>
        <v/>
      </c>
      <c r="AI2438">
        <f t="shared" si="248"/>
        <v>0</v>
      </c>
      <c r="AJ2438">
        <f t="shared" si="249"/>
        <v>0</v>
      </c>
      <c r="AK2438">
        <v>0</v>
      </c>
      <c r="AL2438" t="str">
        <f>IF(AA2438="","",IFERROR(IF(ISNUMBER('Procyclean 220'!F440),'Procyclean 220'!F440,IF(ISNUMBER(SEARCH("12",'Procyclean 220'!F440)),EDATE(AB2438,12),IF(ISNUMBER(SEARCH("6",'Procyclean 220'!F440)),EDATE(AB2438,6),IF(ISNUMBER(SEARCH("3",'Procyclean 220'!F440)),EDATE(AB2438,3),DATEVALUE('Procyclean 220'!F440))))),""))</f>
        <v/>
      </c>
      <c r="AM2438" t="str">
        <f t="shared" ca="1" si="250"/>
        <v/>
      </c>
    </row>
    <row r="2439" spans="27:39" x14ac:dyDescent="0.3">
      <c r="AA2439" t="str">
        <f>IF(COUNTA('Procyclean 220'!C441,'Procyclean 220'!D441,'Procyclean 220'!E441)&gt;0,"220","")</f>
        <v/>
      </c>
      <c r="AB2439" t="str">
        <f>IFERROR(IF(ISNUMBER('Procyclean 220'!C441),'Procyclean 220'!C441,DATEVALUE('Procyclean 220'!C441)),"")</f>
        <v/>
      </c>
      <c r="AC2439" t="str">
        <f>IF(AA2439="","",'Procyclean 220'!D441)</f>
        <v/>
      </c>
      <c r="AD2439" t="str">
        <f>IF(AA2439="","",IFERROR(1*'Procyclean 220'!E441,IFERROR(_xludf.NUMBERVALUE('Procyclean 220'!E441,".",","),IFERROR(_xludf.NUMBERVALUE('Procyclean 220'!E441,",","."),0))))</f>
        <v/>
      </c>
      <c r="AE2439" t="str">
        <f>IF(AA2439="","",'Procyclean 220'!B441)</f>
        <v/>
      </c>
      <c r="AF2439">
        <f t="shared" si="245"/>
        <v>0</v>
      </c>
      <c r="AG2439" t="str">
        <f t="shared" si="246"/>
        <v/>
      </c>
      <c r="AH2439" t="str">
        <f t="shared" si="247"/>
        <v/>
      </c>
      <c r="AI2439">
        <f t="shared" si="248"/>
        <v>0</v>
      </c>
      <c r="AJ2439">
        <f t="shared" si="249"/>
        <v>0</v>
      </c>
      <c r="AK2439">
        <v>0</v>
      </c>
      <c r="AL2439" t="str">
        <f>IF(AA2439="","",IFERROR(IF(ISNUMBER('Procyclean 220'!F441),'Procyclean 220'!F441,IF(ISNUMBER(SEARCH("12",'Procyclean 220'!F441)),EDATE(AB2439,12),IF(ISNUMBER(SEARCH("6",'Procyclean 220'!F441)),EDATE(AB2439,6),IF(ISNUMBER(SEARCH("3",'Procyclean 220'!F441)),EDATE(AB2439,3),DATEVALUE('Procyclean 220'!F441))))),""))</f>
        <v/>
      </c>
      <c r="AM2439" t="str">
        <f t="shared" ca="1" si="250"/>
        <v/>
      </c>
    </row>
    <row r="2440" spans="27:39" x14ac:dyDescent="0.3">
      <c r="AA2440" t="str">
        <f>IF(COUNTA('Procyclean 220'!C442,'Procyclean 220'!D442,'Procyclean 220'!E442)&gt;0,"220","")</f>
        <v/>
      </c>
      <c r="AB2440" t="str">
        <f>IFERROR(IF(ISNUMBER('Procyclean 220'!C442),'Procyclean 220'!C442,DATEVALUE('Procyclean 220'!C442)),"")</f>
        <v/>
      </c>
      <c r="AC2440" t="str">
        <f>IF(AA2440="","",'Procyclean 220'!D442)</f>
        <v/>
      </c>
      <c r="AD2440" t="str">
        <f>IF(AA2440="","",IFERROR(1*'Procyclean 220'!E442,IFERROR(_xludf.NUMBERVALUE('Procyclean 220'!E442,".",","),IFERROR(_xludf.NUMBERVALUE('Procyclean 220'!E442,",","."),0))))</f>
        <v/>
      </c>
      <c r="AE2440" t="str">
        <f>IF(AA2440="","",'Procyclean 220'!B442)</f>
        <v/>
      </c>
      <c r="AF2440">
        <f t="shared" si="245"/>
        <v>0</v>
      </c>
      <c r="AG2440" t="str">
        <f t="shared" si="246"/>
        <v/>
      </c>
      <c r="AH2440" t="str">
        <f t="shared" si="247"/>
        <v/>
      </c>
      <c r="AI2440">
        <f t="shared" si="248"/>
        <v>0</v>
      </c>
      <c r="AJ2440">
        <f t="shared" si="249"/>
        <v>0</v>
      </c>
      <c r="AK2440">
        <v>0</v>
      </c>
      <c r="AL2440" t="str">
        <f>IF(AA2440="","",IFERROR(IF(ISNUMBER('Procyclean 220'!F442),'Procyclean 220'!F442,IF(ISNUMBER(SEARCH("12",'Procyclean 220'!F442)),EDATE(AB2440,12),IF(ISNUMBER(SEARCH("6",'Procyclean 220'!F442)),EDATE(AB2440,6),IF(ISNUMBER(SEARCH("3",'Procyclean 220'!F442)),EDATE(AB2440,3),DATEVALUE('Procyclean 220'!F442))))),""))</f>
        <v/>
      </c>
      <c r="AM2440" t="str">
        <f t="shared" ca="1" si="250"/>
        <v/>
      </c>
    </row>
    <row r="2441" spans="27:39" x14ac:dyDescent="0.3">
      <c r="AA2441" t="str">
        <f>IF(COUNTA('Procyclean 220'!C443,'Procyclean 220'!D443,'Procyclean 220'!E443)&gt;0,"220","")</f>
        <v/>
      </c>
      <c r="AB2441" t="str">
        <f>IFERROR(IF(ISNUMBER('Procyclean 220'!C443),'Procyclean 220'!C443,DATEVALUE('Procyclean 220'!C443)),"")</f>
        <v/>
      </c>
      <c r="AC2441" t="str">
        <f>IF(AA2441="","",'Procyclean 220'!D443)</f>
        <v/>
      </c>
      <c r="AD2441" t="str">
        <f>IF(AA2441="","",IFERROR(1*'Procyclean 220'!E443,IFERROR(_xludf.NUMBERVALUE('Procyclean 220'!E443,".",","),IFERROR(_xludf.NUMBERVALUE('Procyclean 220'!E443,",","."),0))))</f>
        <v/>
      </c>
      <c r="AE2441" t="str">
        <f>IF(AA2441="","",'Procyclean 220'!B443)</f>
        <v/>
      </c>
      <c r="AF2441">
        <f t="shared" si="245"/>
        <v>0</v>
      </c>
      <c r="AG2441" t="str">
        <f t="shared" si="246"/>
        <v/>
      </c>
      <c r="AH2441" t="str">
        <f t="shared" si="247"/>
        <v/>
      </c>
      <c r="AI2441">
        <f t="shared" si="248"/>
        <v>0</v>
      </c>
      <c r="AJ2441">
        <f t="shared" si="249"/>
        <v>0</v>
      </c>
      <c r="AK2441">
        <v>0</v>
      </c>
      <c r="AL2441" t="str">
        <f>IF(AA2441="","",IFERROR(IF(ISNUMBER('Procyclean 220'!F443),'Procyclean 220'!F443,IF(ISNUMBER(SEARCH("12",'Procyclean 220'!F443)),EDATE(AB2441,12),IF(ISNUMBER(SEARCH("6",'Procyclean 220'!F443)),EDATE(AB2441,6),IF(ISNUMBER(SEARCH("3",'Procyclean 220'!F443)),EDATE(AB2441,3),DATEVALUE('Procyclean 220'!F443))))),""))</f>
        <v/>
      </c>
      <c r="AM2441" t="str">
        <f t="shared" ca="1" si="250"/>
        <v/>
      </c>
    </row>
    <row r="2442" spans="27:39" x14ac:dyDescent="0.3">
      <c r="AA2442" t="str">
        <f>IF(COUNTA('Procyclean 220'!C444,'Procyclean 220'!D444,'Procyclean 220'!E444)&gt;0,"220","")</f>
        <v/>
      </c>
      <c r="AB2442" t="str">
        <f>IFERROR(IF(ISNUMBER('Procyclean 220'!C444),'Procyclean 220'!C444,DATEVALUE('Procyclean 220'!C444)),"")</f>
        <v/>
      </c>
      <c r="AC2442" t="str">
        <f>IF(AA2442="","",'Procyclean 220'!D444)</f>
        <v/>
      </c>
      <c r="AD2442" t="str">
        <f>IF(AA2442="","",IFERROR(1*'Procyclean 220'!E444,IFERROR(_xludf.NUMBERVALUE('Procyclean 220'!E444,".",","),IFERROR(_xludf.NUMBERVALUE('Procyclean 220'!E444,",","."),0))))</f>
        <v/>
      </c>
      <c r="AE2442" t="str">
        <f>IF(AA2442="","",'Procyclean 220'!B444)</f>
        <v/>
      </c>
      <c r="AF2442">
        <f t="shared" si="245"/>
        <v>0</v>
      </c>
      <c r="AG2442" t="str">
        <f t="shared" si="246"/>
        <v/>
      </c>
      <c r="AH2442" t="str">
        <f t="shared" si="247"/>
        <v/>
      </c>
      <c r="AI2442">
        <f t="shared" si="248"/>
        <v>0</v>
      </c>
      <c r="AJ2442">
        <f t="shared" si="249"/>
        <v>0</v>
      </c>
      <c r="AK2442">
        <v>0</v>
      </c>
      <c r="AL2442" t="str">
        <f>IF(AA2442="","",IFERROR(IF(ISNUMBER('Procyclean 220'!F444),'Procyclean 220'!F444,IF(ISNUMBER(SEARCH("12",'Procyclean 220'!F444)),EDATE(AB2442,12),IF(ISNUMBER(SEARCH("6",'Procyclean 220'!F444)),EDATE(AB2442,6),IF(ISNUMBER(SEARCH("3",'Procyclean 220'!F444)),EDATE(AB2442,3),DATEVALUE('Procyclean 220'!F444))))),""))</f>
        <v/>
      </c>
      <c r="AM2442" t="str">
        <f t="shared" ca="1" si="250"/>
        <v/>
      </c>
    </row>
    <row r="2443" spans="27:39" x14ac:dyDescent="0.3">
      <c r="AA2443" t="str">
        <f>IF(COUNTA('Procyclean 220'!C445,'Procyclean 220'!D445,'Procyclean 220'!E445)&gt;0,"220","")</f>
        <v/>
      </c>
      <c r="AB2443" t="str">
        <f>IFERROR(IF(ISNUMBER('Procyclean 220'!C445),'Procyclean 220'!C445,DATEVALUE('Procyclean 220'!C445)),"")</f>
        <v/>
      </c>
      <c r="AC2443" t="str">
        <f>IF(AA2443="","",'Procyclean 220'!D445)</f>
        <v/>
      </c>
      <c r="AD2443" t="str">
        <f>IF(AA2443="","",IFERROR(1*'Procyclean 220'!E445,IFERROR(_xludf.NUMBERVALUE('Procyclean 220'!E445,".",","),IFERROR(_xludf.NUMBERVALUE('Procyclean 220'!E445,",","."),0))))</f>
        <v/>
      </c>
      <c r="AE2443" t="str">
        <f>IF(AA2443="","",'Procyclean 220'!B445)</f>
        <v/>
      </c>
      <c r="AF2443">
        <f t="shared" si="245"/>
        <v>0</v>
      </c>
      <c r="AG2443" t="str">
        <f t="shared" si="246"/>
        <v/>
      </c>
      <c r="AH2443" t="str">
        <f t="shared" si="247"/>
        <v/>
      </c>
      <c r="AI2443">
        <f t="shared" si="248"/>
        <v>0</v>
      </c>
      <c r="AJ2443">
        <f t="shared" si="249"/>
        <v>0</v>
      </c>
      <c r="AK2443">
        <v>0</v>
      </c>
      <c r="AL2443" t="str">
        <f>IF(AA2443="","",IFERROR(IF(ISNUMBER('Procyclean 220'!F445),'Procyclean 220'!F445,IF(ISNUMBER(SEARCH("12",'Procyclean 220'!F445)),EDATE(AB2443,12),IF(ISNUMBER(SEARCH("6",'Procyclean 220'!F445)),EDATE(AB2443,6),IF(ISNUMBER(SEARCH("3",'Procyclean 220'!F445)),EDATE(AB2443,3),DATEVALUE('Procyclean 220'!F445))))),""))</f>
        <v/>
      </c>
      <c r="AM2443" t="str">
        <f t="shared" ca="1" si="250"/>
        <v/>
      </c>
    </row>
    <row r="2444" spans="27:39" x14ac:dyDescent="0.3">
      <c r="AA2444" t="str">
        <f>IF(COUNTA('Procyclean 220'!C446,'Procyclean 220'!D446,'Procyclean 220'!E446)&gt;0,"220","")</f>
        <v/>
      </c>
      <c r="AB2444" t="str">
        <f>IFERROR(IF(ISNUMBER('Procyclean 220'!C446),'Procyclean 220'!C446,DATEVALUE('Procyclean 220'!C446)),"")</f>
        <v/>
      </c>
      <c r="AC2444" t="str">
        <f>IF(AA2444="","",'Procyclean 220'!D446)</f>
        <v/>
      </c>
      <c r="AD2444" t="str">
        <f>IF(AA2444="","",IFERROR(1*'Procyclean 220'!E446,IFERROR(_xludf.NUMBERVALUE('Procyclean 220'!E446,".",","),IFERROR(_xludf.NUMBERVALUE('Procyclean 220'!E446,",","."),0))))</f>
        <v/>
      </c>
      <c r="AE2444" t="str">
        <f>IF(AA2444="","",'Procyclean 220'!B446)</f>
        <v/>
      </c>
      <c r="AF2444">
        <f t="shared" si="245"/>
        <v>0</v>
      </c>
      <c r="AG2444" t="str">
        <f t="shared" si="246"/>
        <v/>
      </c>
      <c r="AH2444" t="str">
        <f t="shared" si="247"/>
        <v/>
      </c>
      <c r="AI2444">
        <f t="shared" si="248"/>
        <v>0</v>
      </c>
      <c r="AJ2444">
        <f t="shared" si="249"/>
        <v>0</v>
      </c>
      <c r="AK2444">
        <v>0</v>
      </c>
      <c r="AL2444" t="str">
        <f>IF(AA2444="","",IFERROR(IF(ISNUMBER('Procyclean 220'!F446),'Procyclean 220'!F446,IF(ISNUMBER(SEARCH("12",'Procyclean 220'!F446)),EDATE(AB2444,12),IF(ISNUMBER(SEARCH("6",'Procyclean 220'!F446)),EDATE(AB2444,6),IF(ISNUMBER(SEARCH("3",'Procyclean 220'!F446)),EDATE(AB2444,3),DATEVALUE('Procyclean 220'!F446))))),""))</f>
        <v/>
      </c>
      <c r="AM2444" t="str">
        <f t="shared" ca="1" si="250"/>
        <v/>
      </c>
    </row>
    <row r="2445" spans="27:39" x14ac:dyDescent="0.3">
      <c r="AA2445" t="str">
        <f>IF(COUNTA('Procyclean 220'!C447,'Procyclean 220'!D447,'Procyclean 220'!E447)&gt;0,"220","")</f>
        <v/>
      </c>
      <c r="AB2445" t="str">
        <f>IFERROR(IF(ISNUMBER('Procyclean 220'!C447),'Procyclean 220'!C447,DATEVALUE('Procyclean 220'!C447)),"")</f>
        <v/>
      </c>
      <c r="AC2445" t="str">
        <f>IF(AA2445="","",'Procyclean 220'!D447)</f>
        <v/>
      </c>
      <c r="AD2445" t="str">
        <f>IF(AA2445="","",IFERROR(1*'Procyclean 220'!E447,IFERROR(_xludf.NUMBERVALUE('Procyclean 220'!E447,".",","),IFERROR(_xludf.NUMBERVALUE('Procyclean 220'!E447,",","."),0))))</f>
        <v/>
      </c>
      <c r="AE2445" t="str">
        <f>IF(AA2445="","",'Procyclean 220'!B447)</f>
        <v/>
      </c>
      <c r="AF2445">
        <f t="shared" si="245"/>
        <v>0</v>
      </c>
      <c r="AG2445" t="str">
        <f t="shared" si="246"/>
        <v/>
      </c>
      <c r="AH2445" t="str">
        <f t="shared" si="247"/>
        <v/>
      </c>
      <c r="AI2445">
        <f t="shared" si="248"/>
        <v>0</v>
      </c>
      <c r="AJ2445">
        <f t="shared" si="249"/>
        <v>0</v>
      </c>
      <c r="AK2445">
        <v>0</v>
      </c>
      <c r="AL2445" t="str">
        <f>IF(AA2445="","",IFERROR(IF(ISNUMBER('Procyclean 220'!F447),'Procyclean 220'!F447,IF(ISNUMBER(SEARCH("12",'Procyclean 220'!F447)),EDATE(AB2445,12),IF(ISNUMBER(SEARCH("6",'Procyclean 220'!F447)),EDATE(AB2445,6),IF(ISNUMBER(SEARCH("3",'Procyclean 220'!F447)),EDATE(AB2445,3),DATEVALUE('Procyclean 220'!F447))))),""))</f>
        <v/>
      </c>
      <c r="AM2445" t="str">
        <f t="shared" ca="1" si="250"/>
        <v/>
      </c>
    </row>
    <row r="2446" spans="27:39" x14ac:dyDescent="0.3">
      <c r="AA2446" t="str">
        <f>IF(COUNTA('Procyclean 220'!C448,'Procyclean 220'!D448,'Procyclean 220'!E448)&gt;0,"220","")</f>
        <v/>
      </c>
      <c r="AB2446" t="str">
        <f>IFERROR(IF(ISNUMBER('Procyclean 220'!C448),'Procyclean 220'!C448,DATEVALUE('Procyclean 220'!C448)),"")</f>
        <v/>
      </c>
      <c r="AC2446" t="str">
        <f>IF(AA2446="","",'Procyclean 220'!D448)</f>
        <v/>
      </c>
      <c r="AD2446" t="str">
        <f>IF(AA2446="","",IFERROR(1*'Procyclean 220'!E448,IFERROR(_xludf.NUMBERVALUE('Procyclean 220'!E448,".",","),IFERROR(_xludf.NUMBERVALUE('Procyclean 220'!E448,",","."),0))))</f>
        <v/>
      </c>
      <c r="AE2446" t="str">
        <f>IF(AA2446="","",'Procyclean 220'!B448)</f>
        <v/>
      </c>
      <c r="AF2446">
        <f t="shared" si="245"/>
        <v>0</v>
      </c>
      <c r="AG2446" t="str">
        <f t="shared" si="246"/>
        <v/>
      </c>
      <c r="AH2446" t="str">
        <f t="shared" si="247"/>
        <v/>
      </c>
      <c r="AI2446">
        <f t="shared" si="248"/>
        <v>0</v>
      </c>
      <c r="AJ2446">
        <f t="shared" si="249"/>
        <v>0</v>
      </c>
      <c r="AK2446">
        <v>0</v>
      </c>
      <c r="AL2446" t="str">
        <f>IF(AA2446="","",IFERROR(IF(ISNUMBER('Procyclean 220'!F448),'Procyclean 220'!F448,IF(ISNUMBER(SEARCH("12",'Procyclean 220'!F448)),EDATE(AB2446,12),IF(ISNUMBER(SEARCH("6",'Procyclean 220'!F448)),EDATE(AB2446,6),IF(ISNUMBER(SEARCH("3",'Procyclean 220'!F448)),EDATE(AB2446,3),DATEVALUE('Procyclean 220'!F448))))),""))</f>
        <v/>
      </c>
      <c r="AM2446" t="str">
        <f t="shared" ca="1" si="250"/>
        <v/>
      </c>
    </row>
    <row r="2447" spans="27:39" x14ac:dyDescent="0.3">
      <c r="AA2447" t="str">
        <f>IF(COUNTA('Procyclean 220'!C449,'Procyclean 220'!D449,'Procyclean 220'!E449)&gt;0,"220","")</f>
        <v/>
      </c>
      <c r="AB2447" t="str">
        <f>IFERROR(IF(ISNUMBER('Procyclean 220'!C449),'Procyclean 220'!C449,DATEVALUE('Procyclean 220'!C449)),"")</f>
        <v/>
      </c>
      <c r="AC2447" t="str">
        <f>IF(AA2447="","",'Procyclean 220'!D449)</f>
        <v/>
      </c>
      <c r="AD2447" t="str">
        <f>IF(AA2447="","",IFERROR(1*'Procyclean 220'!E449,IFERROR(_xludf.NUMBERVALUE('Procyclean 220'!E449,".",","),IFERROR(_xludf.NUMBERVALUE('Procyclean 220'!E449,",","."),0))))</f>
        <v/>
      </c>
      <c r="AE2447" t="str">
        <f>IF(AA2447="","",'Procyclean 220'!B449)</f>
        <v/>
      </c>
      <c r="AF2447">
        <f t="shared" si="245"/>
        <v>0</v>
      </c>
      <c r="AG2447" t="str">
        <f t="shared" si="246"/>
        <v/>
      </c>
      <c r="AH2447" t="str">
        <f t="shared" si="247"/>
        <v/>
      </c>
      <c r="AI2447">
        <f t="shared" si="248"/>
        <v>0</v>
      </c>
      <c r="AJ2447">
        <f t="shared" si="249"/>
        <v>0</v>
      </c>
      <c r="AK2447">
        <v>0</v>
      </c>
      <c r="AL2447" t="str">
        <f>IF(AA2447="","",IFERROR(IF(ISNUMBER('Procyclean 220'!F449),'Procyclean 220'!F449,IF(ISNUMBER(SEARCH("12",'Procyclean 220'!F449)),EDATE(AB2447,12),IF(ISNUMBER(SEARCH("6",'Procyclean 220'!F449)),EDATE(AB2447,6),IF(ISNUMBER(SEARCH("3",'Procyclean 220'!F449)),EDATE(AB2447,3),DATEVALUE('Procyclean 220'!F449))))),""))</f>
        <v/>
      </c>
      <c r="AM2447" t="str">
        <f t="shared" ca="1" si="250"/>
        <v/>
      </c>
    </row>
    <row r="2448" spans="27:39" x14ac:dyDescent="0.3">
      <c r="AA2448" t="str">
        <f>IF(COUNTA('Procyclean 220'!C450,'Procyclean 220'!D450,'Procyclean 220'!E450)&gt;0,"220","")</f>
        <v/>
      </c>
      <c r="AB2448" t="str">
        <f>IFERROR(IF(ISNUMBER('Procyclean 220'!C450),'Procyclean 220'!C450,DATEVALUE('Procyclean 220'!C450)),"")</f>
        <v/>
      </c>
      <c r="AC2448" t="str">
        <f>IF(AA2448="","",'Procyclean 220'!D450)</f>
        <v/>
      </c>
      <c r="AD2448" t="str">
        <f>IF(AA2448="","",IFERROR(1*'Procyclean 220'!E450,IFERROR(_xludf.NUMBERVALUE('Procyclean 220'!E450,".",","),IFERROR(_xludf.NUMBERVALUE('Procyclean 220'!E450,",","."),0))))</f>
        <v/>
      </c>
      <c r="AE2448" t="str">
        <f>IF(AA2448="","",'Procyclean 220'!B450)</f>
        <v/>
      </c>
      <c r="AF2448">
        <f t="shared" si="245"/>
        <v>0</v>
      </c>
      <c r="AG2448" t="str">
        <f t="shared" si="246"/>
        <v/>
      </c>
      <c r="AH2448" t="str">
        <f t="shared" si="247"/>
        <v/>
      </c>
      <c r="AI2448">
        <f t="shared" si="248"/>
        <v>0</v>
      </c>
      <c r="AJ2448">
        <f t="shared" si="249"/>
        <v>0</v>
      </c>
      <c r="AK2448">
        <v>0</v>
      </c>
      <c r="AL2448" t="str">
        <f>IF(AA2448="","",IFERROR(IF(ISNUMBER('Procyclean 220'!F450),'Procyclean 220'!F450,IF(ISNUMBER(SEARCH("12",'Procyclean 220'!F450)),EDATE(AB2448,12),IF(ISNUMBER(SEARCH("6",'Procyclean 220'!F450)),EDATE(AB2448,6),IF(ISNUMBER(SEARCH("3",'Procyclean 220'!F450)),EDATE(AB2448,3),DATEVALUE('Procyclean 220'!F450))))),""))</f>
        <v/>
      </c>
      <c r="AM2448" t="str">
        <f t="shared" ca="1" si="250"/>
        <v/>
      </c>
    </row>
    <row r="2449" spans="27:39" x14ac:dyDescent="0.3">
      <c r="AA2449" t="str">
        <f>IF(COUNTA('Procyclean 220'!C451,'Procyclean 220'!D451,'Procyclean 220'!E451)&gt;0,"220","")</f>
        <v/>
      </c>
      <c r="AB2449" t="str">
        <f>IFERROR(IF(ISNUMBER('Procyclean 220'!C451),'Procyclean 220'!C451,DATEVALUE('Procyclean 220'!C451)),"")</f>
        <v/>
      </c>
      <c r="AC2449" t="str">
        <f>IF(AA2449="","",'Procyclean 220'!D451)</f>
        <v/>
      </c>
      <c r="AD2449" t="str">
        <f>IF(AA2449="","",IFERROR(1*'Procyclean 220'!E451,IFERROR(_xludf.NUMBERVALUE('Procyclean 220'!E451,".",","),IFERROR(_xludf.NUMBERVALUE('Procyclean 220'!E451,",","."),0))))</f>
        <v/>
      </c>
      <c r="AE2449" t="str">
        <f>IF(AA2449="","",'Procyclean 220'!B451)</f>
        <v/>
      </c>
      <c r="AF2449">
        <f t="shared" si="245"/>
        <v>0</v>
      </c>
      <c r="AG2449" t="str">
        <f t="shared" si="246"/>
        <v/>
      </c>
      <c r="AH2449" t="str">
        <f t="shared" si="247"/>
        <v/>
      </c>
      <c r="AI2449">
        <f t="shared" si="248"/>
        <v>0</v>
      </c>
      <c r="AJ2449">
        <f t="shared" si="249"/>
        <v>0</v>
      </c>
      <c r="AK2449">
        <v>0</v>
      </c>
      <c r="AL2449" t="str">
        <f>IF(AA2449="","",IFERROR(IF(ISNUMBER('Procyclean 220'!F451),'Procyclean 220'!F451,IF(ISNUMBER(SEARCH("12",'Procyclean 220'!F451)),EDATE(AB2449,12),IF(ISNUMBER(SEARCH("6",'Procyclean 220'!F451)),EDATE(AB2449,6),IF(ISNUMBER(SEARCH("3",'Procyclean 220'!F451)),EDATE(AB2449,3),DATEVALUE('Procyclean 220'!F451))))),""))</f>
        <v/>
      </c>
      <c r="AM2449" t="str">
        <f t="shared" ca="1" si="250"/>
        <v/>
      </c>
    </row>
    <row r="2450" spans="27:39" x14ac:dyDescent="0.3">
      <c r="AA2450" t="str">
        <f>IF(COUNTA('Procyclean 220'!C452,'Procyclean 220'!D452,'Procyclean 220'!E452)&gt;0,"220","")</f>
        <v/>
      </c>
      <c r="AB2450" t="str">
        <f>IFERROR(IF(ISNUMBER('Procyclean 220'!C452),'Procyclean 220'!C452,DATEVALUE('Procyclean 220'!C452)),"")</f>
        <v/>
      </c>
      <c r="AC2450" t="str">
        <f>IF(AA2450="","",'Procyclean 220'!D452)</f>
        <v/>
      </c>
      <c r="AD2450" t="str">
        <f>IF(AA2450="","",IFERROR(1*'Procyclean 220'!E452,IFERROR(_xludf.NUMBERVALUE('Procyclean 220'!E452,".",","),IFERROR(_xludf.NUMBERVALUE('Procyclean 220'!E452,",","."),0))))</f>
        <v/>
      </c>
      <c r="AE2450" t="str">
        <f>IF(AA2450="","",'Procyclean 220'!B452)</f>
        <v/>
      </c>
      <c r="AF2450">
        <f t="shared" si="245"/>
        <v>0</v>
      </c>
      <c r="AG2450" t="str">
        <f t="shared" si="246"/>
        <v/>
      </c>
      <c r="AH2450" t="str">
        <f t="shared" si="247"/>
        <v/>
      </c>
      <c r="AI2450">
        <f t="shared" si="248"/>
        <v>0</v>
      </c>
      <c r="AJ2450">
        <f t="shared" si="249"/>
        <v>0</v>
      </c>
      <c r="AK2450">
        <v>0</v>
      </c>
      <c r="AL2450" t="str">
        <f>IF(AA2450="","",IFERROR(IF(ISNUMBER('Procyclean 220'!F452),'Procyclean 220'!F452,IF(ISNUMBER(SEARCH("12",'Procyclean 220'!F452)),EDATE(AB2450,12),IF(ISNUMBER(SEARCH("6",'Procyclean 220'!F452)),EDATE(AB2450,6),IF(ISNUMBER(SEARCH("3",'Procyclean 220'!F452)),EDATE(AB2450,3),DATEVALUE('Procyclean 220'!F452))))),""))</f>
        <v/>
      </c>
      <c r="AM2450" t="str">
        <f t="shared" ca="1" si="250"/>
        <v/>
      </c>
    </row>
    <row r="2451" spans="27:39" x14ac:dyDescent="0.3">
      <c r="AA2451" t="str">
        <f>IF(COUNTA('Procyclean 220'!C453,'Procyclean 220'!D453,'Procyclean 220'!E453)&gt;0,"220","")</f>
        <v/>
      </c>
      <c r="AB2451" t="str">
        <f>IFERROR(IF(ISNUMBER('Procyclean 220'!C453),'Procyclean 220'!C453,DATEVALUE('Procyclean 220'!C453)),"")</f>
        <v/>
      </c>
      <c r="AC2451" t="str">
        <f>IF(AA2451="","",'Procyclean 220'!D453)</f>
        <v/>
      </c>
      <c r="AD2451" t="str">
        <f>IF(AA2451="","",IFERROR(1*'Procyclean 220'!E453,IFERROR(_xludf.NUMBERVALUE('Procyclean 220'!E453,".",","),IFERROR(_xludf.NUMBERVALUE('Procyclean 220'!E453,",","."),0))))</f>
        <v/>
      </c>
      <c r="AE2451" t="str">
        <f>IF(AA2451="","",'Procyclean 220'!B453)</f>
        <v/>
      </c>
      <c r="AF2451">
        <f t="shared" si="245"/>
        <v>0</v>
      </c>
      <c r="AG2451" t="str">
        <f t="shared" si="246"/>
        <v/>
      </c>
      <c r="AH2451" t="str">
        <f t="shared" si="247"/>
        <v/>
      </c>
      <c r="AI2451">
        <f t="shared" si="248"/>
        <v>0</v>
      </c>
      <c r="AJ2451">
        <f t="shared" si="249"/>
        <v>0</v>
      </c>
      <c r="AK2451">
        <v>0</v>
      </c>
      <c r="AL2451" t="str">
        <f>IF(AA2451="","",IFERROR(IF(ISNUMBER('Procyclean 220'!F453),'Procyclean 220'!F453,IF(ISNUMBER(SEARCH("12",'Procyclean 220'!F453)),EDATE(AB2451,12),IF(ISNUMBER(SEARCH("6",'Procyclean 220'!F453)),EDATE(AB2451,6),IF(ISNUMBER(SEARCH("3",'Procyclean 220'!F453)),EDATE(AB2451,3),DATEVALUE('Procyclean 220'!F453))))),""))</f>
        <v/>
      </c>
      <c r="AM2451" t="str">
        <f t="shared" ca="1" si="250"/>
        <v/>
      </c>
    </row>
    <row r="2452" spans="27:39" x14ac:dyDescent="0.3">
      <c r="AA2452" t="str">
        <f>IF(COUNTA('Procyclean 220'!C454,'Procyclean 220'!D454,'Procyclean 220'!E454)&gt;0,"220","")</f>
        <v/>
      </c>
      <c r="AB2452" t="str">
        <f>IFERROR(IF(ISNUMBER('Procyclean 220'!C454),'Procyclean 220'!C454,DATEVALUE('Procyclean 220'!C454)),"")</f>
        <v/>
      </c>
      <c r="AC2452" t="str">
        <f>IF(AA2452="","",'Procyclean 220'!D454)</f>
        <v/>
      </c>
      <c r="AD2452" t="str">
        <f>IF(AA2452="","",IFERROR(1*'Procyclean 220'!E454,IFERROR(_xludf.NUMBERVALUE('Procyclean 220'!E454,".",","),IFERROR(_xludf.NUMBERVALUE('Procyclean 220'!E454,",","."),0))))</f>
        <v/>
      </c>
      <c r="AE2452" t="str">
        <f>IF(AA2452="","",'Procyclean 220'!B454)</f>
        <v/>
      </c>
      <c r="AF2452">
        <f t="shared" si="245"/>
        <v>0</v>
      </c>
      <c r="AG2452" t="str">
        <f t="shared" si="246"/>
        <v/>
      </c>
      <c r="AH2452" t="str">
        <f t="shared" si="247"/>
        <v/>
      </c>
      <c r="AI2452">
        <f t="shared" si="248"/>
        <v>0</v>
      </c>
      <c r="AJ2452">
        <f t="shared" si="249"/>
        <v>0</v>
      </c>
      <c r="AK2452">
        <v>0</v>
      </c>
      <c r="AL2452" t="str">
        <f>IF(AA2452="","",IFERROR(IF(ISNUMBER('Procyclean 220'!F454),'Procyclean 220'!F454,IF(ISNUMBER(SEARCH("12",'Procyclean 220'!F454)),EDATE(AB2452,12),IF(ISNUMBER(SEARCH("6",'Procyclean 220'!F454)),EDATE(AB2452,6),IF(ISNUMBER(SEARCH("3",'Procyclean 220'!F454)),EDATE(AB2452,3),DATEVALUE('Procyclean 220'!F454))))),""))</f>
        <v/>
      </c>
      <c r="AM2452" t="str">
        <f t="shared" ca="1" si="250"/>
        <v/>
      </c>
    </row>
    <row r="2453" spans="27:39" x14ac:dyDescent="0.3">
      <c r="AA2453" t="str">
        <f>IF(COUNTA('Procyclean 220'!C455,'Procyclean 220'!D455,'Procyclean 220'!E455)&gt;0,"220","")</f>
        <v/>
      </c>
      <c r="AB2453" t="str">
        <f>IFERROR(IF(ISNUMBER('Procyclean 220'!C455),'Procyclean 220'!C455,DATEVALUE('Procyclean 220'!C455)),"")</f>
        <v/>
      </c>
      <c r="AC2453" t="str">
        <f>IF(AA2453="","",'Procyclean 220'!D455)</f>
        <v/>
      </c>
      <c r="AD2453" t="str">
        <f>IF(AA2453="","",IFERROR(1*'Procyclean 220'!E455,IFERROR(_xludf.NUMBERVALUE('Procyclean 220'!E455,".",","),IFERROR(_xludf.NUMBERVALUE('Procyclean 220'!E455,",","."),0))))</f>
        <v/>
      </c>
      <c r="AE2453" t="str">
        <f>IF(AA2453="","",'Procyclean 220'!B455)</f>
        <v/>
      </c>
      <c r="AF2453">
        <f t="shared" si="245"/>
        <v>0</v>
      </c>
      <c r="AG2453" t="str">
        <f t="shared" si="246"/>
        <v/>
      </c>
      <c r="AH2453" t="str">
        <f t="shared" si="247"/>
        <v/>
      </c>
      <c r="AI2453">
        <f t="shared" si="248"/>
        <v>0</v>
      </c>
      <c r="AJ2453">
        <f t="shared" si="249"/>
        <v>0</v>
      </c>
      <c r="AK2453">
        <v>0</v>
      </c>
      <c r="AL2453" t="str">
        <f>IF(AA2453="","",IFERROR(IF(ISNUMBER('Procyclean 220'!F455),'Procyclean 220'!F455,IF(ISNUMBER(SEARCH("12",'Procyclean 220'!F455)),EDATE(AB2453,12),IF(ISNUMBER(SEARCH("6",'Procyclean 220'!F455)),EDATE(AB2453,6),IF(ISNUMBER(SEARCH("3",'Procyclean 220'!F455)),EDATE(AB2453,3),DATEVALUE('Procyclean 220'!F455))))),""))</f>
        <v/>
      </c>
      <c r="AM2453" t="str">
        <f t="shared" ca="1" si="250"/>
        <v/>
      </c>
    </row>
    <row r="2454" spans="27:39" x14ac:dyDescent="0.3">
      <c r="AA2454" t="str">
        <f>IF(COUNTA('Procyclean 220'!C456,'Procyclean 220'!D456,'Procyclean 220'!E456)&gt;0,"220","")</f>
        <v/>
      </c>
      <c r="AB2454" t="str">
        <f>IFERROR(IF(ISNUMBER('Procyclean 220'!C456),'Procyclean 220'!C456,DATEVALUE('Procyclean 220'!C456)),"")</f>
        <v/>
      </c>
      <c r="AC2454" t="str">
        <f>IF(AA2454="","",'Procyclean 220'!D456)</f>
        <v/>
      </c>
      <c r="AD2454" t="str">
        <f>IF(AA2454="","",IFERROR(1*'Procyclean 220'!E456,IFERROR(_xludf.NUMBERVALUE('Procyclean 220'!E456,".",","),IFERROR(_xludf.NUMBERVALUE('Procyclean 220'!E456,",","."),0))))</f>
        <v/>
      </c>
      <c r="AE2454" t="str">
        <f>IF(AA2454="","",'Procyclean 220'!B456)</f>
        <v/>
      </c>
      <c r="AF2454">
        <f t="shared" si="245"/>
        <v>0</v>
      </c>
      <c r="AG2454" t="str">
        <f t="shared" si="246"/>
        <v/>
      </c>
      <c r="AH2454" t="str">
        <f t="shared" si="247"/>
        <v/>
      </c>
      <c r="AI2454">
        <f t="shared" si="248"/>
        <v>0</v>
      </c>
      <c r="AJ2454">
        <f t="shared" si="249"/>
        <v>0</v>
      </c>
      <c r="AK2454">
        <v>0</v>
      </c>
      <c r="AL2454" t="str">
        <f>IF(AA2454="","",IFERROR(IF(ISNUMBER('Procyclean 220'!F456),'Procyclean 220'!F456,IF(ISNUMBER(SEARCH("12",'Procyclean 220'!F456)),EDATE(AB2454,12),IF(ISNUMBER(SEARCH("6",'Procyclean 220'!F456)),EDATE(AB2454,6),IF(ISNUMBER(SEARCH("3",'Procyclean 220'!F456)),EDATE(AB2454,3),DATEVALUE('Procyclean 220'!F456))))),""))</f>
        <v/>
      </c>
      <c r="AM2454" t="str">
        <f t="shared" ca="1" si="250"/>
        <v/>
      </c>
    </row>
    <row r="2455" spans="27:39" x14ac:dyDescent="0.3">
      <c r="AA2455" t="str">
        <f>IF(COUNTA('Procyclean 220'!C457,'Procyclean 220'!D457,'Procyclean 220'!E457)&gt;0,"220","")</f>
        <v/>
      </c>
      <c r="AB2455" t="str">
        <f>IFERROR(IF(ISNUMBER('Procyclean 220'!C457),'Procyclean 220'!C457,DATEVALUE('Procyclean 220'!C457)),"")</f>
        <v/>
      </c>
      <c r="AC2455" t="str">
        <f>IF(AA2455="","",'Procyclean 220'!D457)</f>
        <v/>
      </c>
      <c r="AD2455" t="str">
        <f>IF(AA2455="","",IFERROR(1*'Procyclean 220'!E457,IFERROR(_xludf.NUMBERVALUE('Procyclean 220'!E457,".",","),IFERROR(_xludf.NUMBERVALUE('Procyclean 220'!E457,",","."),0))))</f>
        <v/>
      </c>
      <c r="AE2455" t="str">
        <f>IF(AA2455="","",'Procyclean 220'!B457)</f>
        <v/>
      </c>
      <c r="AF2455">
        <f t="shared" si="245"/>
        <v>0</v>
      </c>
      <c r="AG2455" t="str">
        <f t="shared" si="246"/>
        <v/>
      </c>
      <c r="AH2455" t="str">
        <f t="shared" si="247"/>
        <v/>
      </c>
      <c r="AI2455">
        <f t="shared" si="248"/>
        <v>0</v>
      </c>
      <c r="AJ2455">
        <f t="shared" si="249"/>
        <v>0</v>
      </c>
      <c r="AK2455">
        <v>0</v>
      </c>
      <c r="AL2455" t="str">
        <f>IF(AA2455="","",IFERROR(IF(ISNUMBER('Procyclean 220'!F457),'Procyclean 220'!F457,IF(ISNUMBER(SEARCH("12",'Procyclean 220'!F457)),EDATE(AB2455,12),IF(ISNUMBER(SEARCH("6",'Procyclean 220'!F457)),EDATE(AB2455,6),IF(ISNUMBER(SEARCH("3",'Procyclean 220'!F457)),EDATE(AB2455,3),DATEVALUE('Procyclean 220'!F457))))),""))</f>
        <v/>
      </c>
      <c r="AM2455" t="str">
        <f t="shared" ca="1" si="250"/>
        <v/>
      </c>
    </row>
    <row r="2456" spans="27:39" x14ac:dyDescent="0.3">
      <c r="AA2456" t="str">
        <f>IF(COUNTA('Procyclean 220'!C458,'Procyclean 220'!D458,'Procyclean 220'!E458)&gt;0,"220","")</f>
        <v/>
      </c>
      <c r="AB2456" t="str">
        <f>IFERROR(IF(ISNUMBER('Procyclean 220'!C458),'Procyclean 220'!C458,DATEVALUE('Procyclean 220'!C458)),"")</f>
        <v/>
      </c>
      <c r="AC2456" t="str">
        <f>IF(AA2456="","",'Procyclean 220'!D458)</f>
        <v/>
      </c>
      <c r="AD2456" t="str">
        <f>IF(AA2456="","",IFERROR(1*'Procyclean 220'!E458,IFERROR(_xludf.NUMBERVALUE('Procyclean 220'!E458,".",","),IFERROR(_xludf.NUMBERVALUE('Procyclean 220'!E458,",","."),0))))</f>
        <v/>
      </c>
      <c r="AE2456" t="str">
        <f>IF(AA2456="","",'Procyclean 220'!B458)</f>
        <v/>
      </c>
      <c r="AF2456">
        <f t="shared" si="245"/>
        <v>0</v>
      </c>
      <c r="AG2456" t="str">
        <f t="shared" si="246"/>
        <v/>
      </c>
      <c r="AH2456" t="str">
        <f t="shared" si="247"/>
        <v/>
      </c>
      <c r="AI2456">
        <f t="shared" si="248"/>
        <v>0</v>
      </c>
      <c r="AJ2456">
        <f t="shared" si="249"/>
        <v>0</v>
      </c>
      <c r="AK2456">
        <v>0</v>
      </c>
      <c r="AL2456" t="str">
        <f>IF(AA2456="","",IFERROR(IF(ISNUMBER('Procyclean 220'!F458),'Procyclean 220'!F458,IF(ISNUMBER(SEARCH("12",'Procyclean 220'!F458)),EDATE(AB2456,12),IF(ISNUMBER(SEARCH("6",'Procyclean 220'!F458)),EDATE(AB2456,6),IF(ISNUMBER(SEARCH("3",'Procyclean 220'!F458)),EDATE(AB2456,3),DATEVALUE('Procyclean 220'!F458))))),""))</f>
        <v/>
      </c>
      <c r="AM2456" t="str">
        <f t="shared" ca="1" si="250"/>
        <v/>
      </c>
    </row>
    <row r="2457" spans="27:39" x14ac:dyDescent="0.3">
      <c r="AA2457" t="str">
        <f>IF(COUNTA('Procyclean 220'!C459,'Procyclean 220'!D459,'Procyclean 220'!E459)&gt;0,"220","")</f>
        <v/>
      </c>
      <c r="AB2457" t="str">
        <f>IFERROR(IF(ISNUMBER('Procyclean 220'!C459),'Procyclean 220'!C459,DATEVALUE('Procyclean 220'!C459)),"")</f>
        <v/>
      </c>
      <c r="AC2457" t="str">
        <f>IF(AA2457="","",'Procyclean 220'!D459)</f>
        <v/>
      </c>
      <c r="AD2457" t="str">
        <f>IF(AA2457="","",IFERROR(1*'Procyclean 220'!E459,IFERROR(_xludf.NUMBERVALUE('Procyclean 220'!E459,".",","),IFERROR(_xludf.NUMBERVALUE('Procyclean 220'!E459,",","."),0))))</f>
        <v/>
      </c>
      <c r="AE2457" t="str">
        <f>IF(AA2457="","",'Procyclean 220'!B459)</f>
        <v/>
      </c>
      <c r="AF2457">
        <f t="shared" si="245"/>
        <v>0</v>
      </c>
      <c r="AG2457" t="str">
        <f t="shared" si="246"/>
        <v/>
      </c>
      <c r="AH2457" t="str">
        <f t="shared" si="247"/>
        <v/>
      </c>
      <c r="AI2457">
        <f t="shared" si="248"/>
        <v>0</v>
      </c>
      <c r="AJ2457">
        <f t="shared" si="249"/>
        <v>0</v>
      </c>
      <c r="AK2457">
        <v>0</v>
      </c>
      <c r="AL2457" t="str">
        <f>IF(AA2457="","",IFERROR(IF(ISNUMBER('Procyclean 220'!F459),'Procyclean 220'!F459,IF(ISNUMBER(SEARCH("12",'Procyclean 220'!F459)),EDATE(AB2457,12),IF(ISNUMBER(SEARCH("6",'Procyclean 220'!F459)),EDATE(AB2457,6),IF(ISNUMBER(SEARCH("3",'Procyclean 220'!F459)),EDATE(AB2457,3),DATEVALUE('Procyclean 220'!F459))))),""))</f>
        <v/>
      </c>
      <c r="AM2457" t="str">
        <f t="shared" ca="1" si="250"/>
        <v/>
      </c>
    </row>
    <row r="2458" spans="27:39" x14ac:dyDescent="0.3">
      <c r="AA2458" t="str">
        <f>IF(COUNTA('Procyclean 220'!C460,'Procyclean 220'!D460,'Procyclean 220'!E460)&gt;0,"220","")</f>
        <v/>
      </c>
      <c r="AB2458" t="str">
        <f>IFERROR(IF(ISNUMBER('Procyclean 220'!C460),'Procyclean 220'!C460,DATEVALUE('Procyclean 220'!C460)),"")</f>
        <v/>
      </c>
      <c r="AC2458" t="str">
        <f>IF(AA2458="","",'Procyclean 220'!D460)</f>
        <v/>
      </c>
      <c r="AD2458" t="str">
        <f>IF(AA2458="","",IFERROR(1*'Procyclean 220'!E460,IFERROR(_xludf.NUMBERVALUE('Procyclean 220'!E460,".",","),IFERROR(_xludf.NUMBERVALUE('Procyclean 220'!E460,",","."),0))))</f>
        <v/>
      </c>
      <c r="AE2458" t="str">
        <f>IF(AA2458="","",'Procyclean 220'!B460)</f>
        <v/>
      </c>
      <c r="AF2458">
        <f t="shared" si="245"/>
        <v>0</v>
      </c>
      <c r="AG2458" t="str">
        <f t="shared" si="246"/>
        <v/>
      </c>
      <c r="AH2458" t="str">
        <f t="shared" si="247"/>
        <v/>
      </c>
      <c r="AI2458">
        <f t="shared" si="248"/>
        <v>0</v>
      </c>
      <c r="AJ2458">
        <f t="shared" si="249"/>
        <v>0</v>
      </c>
      <c r="AK2458">
        <v>0</v>
      </c>
      <c r="AL2458" t="str">
        <f>IF(AA2458="","",IFERROR(IF(ISNUMBER('Procyclean 220'!F460),'Procyclean 220'!F460,IF(ISNUMBER(SEARCH("12",'Procyclean 220'!F460)),EDATE(AB2458,12),IF(ISNUMBER(SEARCH("6",'Procyclean 220'!F460)),EDATE(AB2458,6),IF(ISNUMBER(SEARCH("3",'Procyclean 220'!F460)),EDATE(AB2458,3),DATEVALUE('Procyclean 220'!F460))))),""))</f>
        <v/>
      </c>
      <c r="AM2458" t="str">
        <f t="shared" ca="1" si="250"/>
        <v/>
      </c>
    </row>
    <row r="2459" spans="27:39" x14ac:dyDescent="0.3">
      <c r="AA2459" t="str">
        <f>IF(COUNTA('Procyclean 220'!C461,'Procyclean 220'!D461,'Procyclean 220'!E461)&gt;0,"220","")</f>
        <v/>
      </c>
      <c r="AB2459" t="str">
        <f>IFERROR(IF(ISNUMBER('Procyclean 220'!C461),'Procyclean 220'!C461,DATEVALUE('Procyclean 220'!C461)),"")</f>
        <v/>
      </c>
      <c r="AC2459" t="str">
        <f>IF(AA2459="","",'Procyclean 220'!D461)</f>
        <v/>
      </c>
      <c r="AD2459" t="str">
        <f>IF(AA2459="","",IFERROR(1*'Procyclean 220'!E461,IFERROR(_xludf.NUMBERVALUE('Procyclean 220'!E461,".",","),IFERROR(_xludf.NUMBERVALUE('Procyclean 220'!E461,",","."),0))))</f>
        <v/>
      </c>
      <c r="AE2459" t="str">
        <f>IF(AA2459="","",'Procyclean 220'!B461)</f>
        <v/>
      </c>
      <c r="AF2459">
        <f t="shared" si="245"/>
        <v>0</v>
      </c>
      <c r="AG2459" t="str">
        <f t="shared" si="246"/>
        <v/>
      </c>
      <c r="AH2459" t="str">
        <f t="shared" si="247"/>
        <v/>
      </c>
      <c r="AI2459">
        <f t="shared" si="248"/>
        <v>0</v>
      </c>
      <c r="AJ2459">
        <f t="shared" si="249"/>
        <v>0</v>
      </c>
      <c r="AK2459">
        <v>0</v>
      </c>
      <c r="AL2459" t="str">
        <f>IF(AA2459="","",IFERROR(IF(ISNUMBER('Procyclean 220'!F461),'Procyclean 220'!F461,IF(ISNUMBER(SEARCH("12",'Procyclean 220'!F461)),EDATE(AB2459,12),IF(ISNUMBER(SEARCH("6",'Procyclean 220'!F461)),EDATE(AB2459,6),IF(ISNUMBER(SEARCH("3",'Procyclean 220'!F461)),EDATE(AB2459,3),DATEVALUE('Procyclean 220'!F461))))),""))</f>
        <v/>
      </c>
      <c r="AM2459" t="str">
        <f t="shared" ca="1" si="250"/>
        <v/>
      </c>
    </row>
    <row r="2460" spans="27:39" x14ac:dyDescent="0.3">
      <c r="AA2460" t="str">
        <f>IF(COUNTA('Procyclean 220'!C462,'Procyclean 220'!D462,'Procyclean 220'!E462)&gt;0,"220","")</f>
        <v/>
      </c>
      <c r="AB2460" t="str">
        <f>IFERROR(IF(ISNUMBER('Procyclean 220'!C462),'Procyclean 220'!C462,DATEVALUE('Procyclean 220'!C462)),"")</f>
        <v/>
      </c>
      <c r="AC2460" t="str">
        <f>IF(AA2460="","",'Procyclean 220'!D462)</f>
        <v/>
      </c>
      <c r="AD2460" t="str">
        <f>IF(AA2460="","",IFERROR(1*'Procyclean 220'!E462,IFERROR(_xludf.NUMBERVALUE('Procyclean 220'!E462,".",","),IFERROR(_xludf.NUMBERVALUE('Procyclean 220'!E462,",","."),0))))</f>
        <v/>
      </c>
      <c r="AE2460" t="str">
        <f>IF(AA2460="","",'Procyclean 220'!B462)</f>
        <v/>
      </c>
      <c r="AF2460">
        <f t="shared" si="245"/>
        <v>0</v>
      </c>
      <c r="AG2460" t="str">
        <f t="shared" si="246"/>
        <v/>
      </c>
      <c r="AH2460" t="str">
        <f t="shared" si="247"/>
        <v/>
      </c>
      <c r="AI2460">
        <f t="shared" si="248"/>
        <v>0</v>
      </c>
      <c r="AJ2460">
        <f t="shared" si="249"/>
        <v>0</v>
      </c>
      <c r="AK2460">
        <v>0</v>
      </c>
      <c r="AL2460" t="str">
        <f>IF(AA2460="","",IFERROR(IF(ISNUMBER('Procyclean 220'!F462),'Procyclean 220'!F462,IF(ISNUMBER(SEARCH("12",'Procyclean 220'!F462)),EDATE(AB2460,12),IF(ISNUMBER(SEARCH("6",'Procyclean 220'!F462)),EDATE(AB2460,6),IF(ISNUMBER(SEARCH("3",'Procyclean 220'!F462)),EDATE(AB2460,3),DATEVALUE('Procyclean 220'!F462))))),""))</f>
        <v/>
      </c>
      <c r="AM2460" t="str">
        <f t="shared" ca="1" si="250"/>
        <v/>
      </c>
    </row>
    <row r="2461" spans="27:39" x14ac:dyDescent="0.3">
      <c r="AA2461" t="str">
        <f>IF(COUNTA('Procyclean 220'!C463,'Procyclean 220'!D463,'Procyclean 220'!E463)&gt;0,"220","")</f>
        <v/>
      </c>
      <c r="AB2461" t="str">
        <f>IFERROR(IF(ISNUMBER('Procyclean 220'!C463),'Procyclean 220'!C463,DATEVALUE('Procyclean 220'!C463)),"")</f>
        <v/>
      </c>
      <c r="AC2461" t="str">
        <f>IF(AA2461="","",'Procyclean 220'!D463)</f>
        <v/>
      </c>
      <c r="AD2461" t="str">
        <f>IF(AA2461="","",IFERROR(1*'Procyclean 220'!E463,IFERROR(_xludf.NUMBERVALUE('Procyclean 220'!E463,".",","),IFERROR(_xludf.NUMBERVALUE('Procyclean 220'!E463,",","."),0))))</f>
        <v/>
      </c>
      <c r="AE2461" t="str">
        <f>IF(AA2461="","",'Procyclean 220'!B463)</f>
        <v/>
      </c>
      <c r="AF2461">
        <f t="shared" si="245"/>
        <v>0</v>
      </c>
      <c r="AG2461" t="str">
        <f t="shared" si="246"/>
        <v/>
      </c>
      <c r="AH2461" t="str">
        <f t="shared" si="247"/>
        <v/>
      </c>
      <c r="AI2461">
        <f t="shared" si="248"/>
        <v>0</v>
      </c>
      <c r="AJ2461">
        <f t="shared" si="249"/>
        <v>0</v>
      </c>
      <c r="AK2461">
        <v>0</v>
      </c>
      <c r="AL2461" t="str">
        <f>IF(AA2461="","",IFERROR(IF(ISNUMBER('Procyclean 220'!F463),'Procyclean 220'!F463,IF(ISNUMBER(SEARCH("12",'Procyclean 220'!F463)),EDATE(AB2461,12),IF(ISNUMBER(SEARCH("6",'Procyclean 220'!F463)),EDATE(AB2461,6),IF(ISNUMBER(SEARCH("3",'Procyclean 220'!F463)),EDATE(AB2461,3),DATEVALUE('Procyclean 220'!F463))))),""))</f>
        <v/>
      </c>
      <c r="AM2461" t="str">
        <f t="shared" ca="1" si="250"/>
        <v/>
      </c>
    </row>
    <row r="2462" spans="27:39" x14ac:dyDescent="0.3">
      <c r="AA2462" t="str">
        <f>IF(COUNTA('Procyclean 220'!C464,'Procyclean 220'!D464,'Procyclean 220'!E464)&gt;0,"220","")</f>
        <v/>
      </c>
      <c r="AB2462" t="str">
        <f>IFERROR(IF(ISNUMBER('Procyclean 220'!C464),'Procyclean 220'!C464,DATEVALUE('Procyclean 220'!C464)),"")</f>
        <v/>
      </c>
      <c r="AC2462" t="str">
        <f>IF(AA2462="","",'Procyclean 220'!D464)</f>
        <v/>
      </c>
      <c r="AD2462" t="str">
        <f>IF(AA2462="","",IFERROR(1*'Procyclean 220'!E464,IFERROR(_xludf.NUMBERVALUE('Procyclean 220'!E464,".",","),IFERROR(_xludf.NUMBERVALUE('Procyclean 220'!E464,",","."),0))))</f>
        <v/>
      </c>
      <c r="AE2462" t="str">
        <f>IF(AA2462="","",'Procyclean 220'!B464)</f>
        <v/>
      </c>
      <c r="AF2462">
        <f t="shared" si="245"/>
        <v>0</v>
      </c>
      <c r="AG2462" t="str">
        <f t="shared" si="246"/>
        <v/>
      </c>
      <c r="AH2462" t="str">
        <f t="shared" si="247"/>
        <v/>
      </c>
      <c r="AI2462">
        <f t="shared" si="248"/>
        <v>0</v>
      </c>
      <c r="AJ2462">
        <f t="shared" si="249"/>
        <v>0</v>
      </c>
      <c r="AK2462">
        <v>0</v>
      </c>
      <c r="AL2462" t="str">
        <f>IF(AA2462="","",IFERROR(IF(ISNUMBER('Procyclean 220'!F464),'Procyclean 220'!F464,IF(ISNUMBER(SEARCH("12",'Procyclean 220'!F464)),EDATE(AB2462,12),IF(ISNUMBER(SEARCH("6",'Procyclean 220'!F464)),EDATE(AB2462,6),IF(ISNUMBER(SEARCH("3",'Procyclean 220'!F464)),EDATE(AB2462,3),DATEVALUE('Procyclean 220'!F464))))),""))</f>
        <v/>
      </c>
      <c r="AM2462" t="str">
        <f t="shared" ca="1" si="250"/>
        <v/>
      </c>
    </row>
    <row r="2463" spans="27:39" x14ac:dyDescent="0.3">
      <c r="AA2463" t="str">
        <f>IF(COUNTA('Procyclean 220'!C465,'Procyclean 220'!D465,'Procyclean 220'!E465)&gt;0,"220","")</f>
        <v/>
      </c>
      <c r="AB2463" t="str">
        <f>IFERROR(IF(ISNUMBER('Procyclean 220'!C465),'Procyclean 220'!C465,DATEVALUE('Procyclean 220'!C465)),"")</f>
        <v/>
      </c>
      <c r="AC2463" t="str">
        <f>IF(AA2463="","",'Procyclean 220'!D465)</f>
        <v/>
      </c>
      <c r="AD2463" t="str">
        <f>IF(AA2463="","",IFERROR(1*'Procyclean 220'!E465,IFERROR(_xludf.NUMBERVALUE('Procyclean 220'!E465,".",","),IFERROR(_xludf.NUMBERVALUE('Procyclean 220'!E465,",","."),0))))</f>
        <v/>
      </c>
      <c r="AE2463" t="str">
        <f>IF(AA2463="","",'Procyclean 220'!B465)</f>
        <v/>
      </c>
      <c r="AF2463">
        <f t="shared" si="245"/>
        <v>0</v>
      </c>
      <c r="AG2463" t="str">
        <f t="shared" si="246"/>
        <v/>
      </c>
      <c r="AH2463" t="str">
        <f t="shared" si="247"/>
        <v/>
      </c>
      <c r="AI2463">
        <f t="shared" si="248"/>
        <v>0</v>
      </c>
      <c r="AJ2463">
        <f t="shared" si="249"/>
        <v>0</v>
      </c>
      <c r="AK2463">
        <v>0</v>
      </c>
      <c r="AL2463" t="str">
        <f>IF(AA2463="","",IFERROR(IF(ISNUMBER('Procyclean 220'!F465),'Procyclean 220'!F465,IF(ISNUMBER(SEARCH("12",'Procyclean 220'!F465)),EDATE(AB2463,12),IF(ISNUMBER(SEARCH("6",'Procyclean 220'!F465)),EDATE(AB2463,6),IF(ISNUMBER(SEARCH("3",'Procyclean 220'!F465)),EDATE(AB2463,3),DATEVALUE('Procyclean 220'!F465))))),""))</f>
        <v/>
      </c>
      <c r="AM2463" t="str">
        <f t="shared" ca="1" si="250"/>
        <v/>
      </c>
    </row>
    <row r="2464" spans="27:39" x14ac:dyDescent="0.3">
      <c r="AA2464" t="str">
        <f>IF(COUNTA('Procyclean 220'!C466,'Procyclean 220'!D466,'Procyclean 220'!E466)&gt;0,"220","")</f>
        <v/>
      </c>
      <c r="AB2464" t="str">
        <f>IFERROR(IF(ISNUMBER('Procyclean 220'!C466),'Procyclean 220'!C466,DATEVALUE('Procyclean 220'!C466)),"")</f>
        <v/>
      </c>
      <c r="AC2464" t="str">
        <f>IF(AA2464="","",'Procyclean 220'!D466)</f>
        <v/>
      </c>
      <c r="AD2464" t="str">
        <f>IF(AA2464="","",IFERROR(1*'Procyclean 220'!E466,IFERROR(_xludf.NUMBERVALUE('Procyclean 220'!E466,".",","),IFERROR(_xludf.NUMBERVALUE('Procyclean 220'!E466,",","."),0))))</f>
        <v/>
      </c>
      <c r="AE2464" t="str">
        <f>IF(AA2464="","",'Procyclean 220'!B466)</f>
        <v/>
      </c>
      <c r="AF2464">
        <f t="shared" si="245"/>
        <v>0</v>
      </c>
      <c r="AG2464" t="str">
        <f t="shared" si="246"/>
        <v/>
      </c>
      <c r="AH2464" t="str">
        <f t="shared" si="247"/>
        <v/>
      </c>
      <c r="AI2464">
        <f t="shared" si="248"/>
        <v>0</v>
      </c>
      <c r="AJ2464">
        <f t="shared" si="249"/>
        <v>0</v>
      </c>
      <c r="AK2464">
        <v>0</v>
      </c>
      <c r="AL2464" t="str">
        <f>IF(AA2464="","",IFERROR(IF(ISNUMBER('Procyclean 220'!F466),'Procyclean 220'!F466,IF(ISNUMBER(SEARCH("12",'Procyclean 220'!F466)),EDATE(AB2464,12),IF(ISNUMBER(SEARCH("6",'Procyclean 220'!F466)),EDATE(AB2464,6),IF(ISNUMBER(SEARCH("3",'Procyclean 220'!F466)),EDATE(AB2464,3),DATEVALUE('Procyclean 220'!F466))))),""))</f>
        <v/>
      </c>
      <c r="AM2464" t="str">
        <f t="shared" ca="1" si="250"/>
        <v/>
      </c>
    </row>
    <row r="2465" spans="27:39" x14ac:dyDescent="0.3">
      <c r="AA2465" t="str">
        <f>IF(COUNTA('Procyclean 220'!C467,'Procyclean 220'!D467,'Procyclean 220'!E467)&gt;0,"220","")</f>
        <v/>
      </c>
      <c r="AB2465" t="str">
        <f>IFERROR(IF(ISNUMBER('Procyclean 220'!C467),'Procyclean 220'!C467,DATEVALUE('Procyclean 220'!C467)),"")</f>
        <v/>
      </c>
      <c r="AC2465" t="str">
        <f>IF(AA2465="","",'Procyclean 220'!D467)</f>
        <v/>
      </c>
      <c r="AD2465" t="str">
        <f>IF(AA2465="","",IFERROR(1*'Procyclean 220'!E467,IFERROR(_xludf.NUMBERVALUE('Procyclean 220'!E467,".",","),IFERROR(_xludf.NUMBERVALUE('Procyclean 220'!E467,",","."),0))))</f>
        <v/>
      </c>
      <c r="AE2465" t="str">
        <f>IF(AA2465="","",'Procyclean 220'!B467)</f>
        <v/>
      </c>
      <c r="AF2465">
        <f t="shared" si="245"/>
        <v>0</v>
      </c>
      <c r="AG2465" t="str">
        <f t="shared" si="246"/>
        <v/>
      </c>
      <c r="AH2465" t="str">
        <f t="shared" si="247"/>
        <v/>
      </c>
      <c r="AI2465">
        <f t="shared" si="248"/>
        <v>0</v>
      </c>
      <c r="AJ2465">
        <f t="shared" si="249"/>
        <v>0</v>
      </c>
      <c r="AK2465">
        <v>0</v>
      </c>
      <c r="AL2465" t="str">
        <f>IF(AA2465="","",IFERROR(IF(ISNUMBER('Procyclean 220'!F467),'Procyclean 220'!F467,IF(ISNUMBER(SEARCH("12",'Procyclean 220'!F467)),EDATE(AB2465,12),IF(ISNUMBER(SEARCH("6",'Procyclean 220'!F467)),EDATE(AB2465,6),IF(ISNUMBER(SEARCH("3",'Procyclean 220'!F467)),EDATE(AB2465,3),DATEVALUE('Procyclean 220'!F467))))),""))</f>
        <v/>
      </c>
      <c r="AM2465" t="str">
        <f t="shared" ca="1" si="250"/>
        <v/>
      </c>
    </row>
    <row r="2466" spans="27:39" x14ac:dyDescent="0.3">
      <c r="AA2466" t="str">
        <f>IF(COUNTA('Procyclean 220'!C468,'Procyclean 220'!D468,'Procyclean 220'!E468)&gt;0,"220","")</f>
        <v/>
      </c>
      <c r="AB2466" t="str">
        <f>IFERROR(IF(ISNUMBER('Procyclean 220'!C468),'Procyclean 220'!C468,DATEVALUE('Procyclean 220'!C468)),"")</f>
        <v/>
      </c>
      <c r="AC2466" t="str">
        <f>IF(AA2466="","",'Procyclean 220'!D468)</f>
        <v/>
      </c>
      <c r="AD2466" t="str">
        <f>IF(AA2466="","",IFERROR(1*'Procyclean 220'!E468,IFERROR(_xludf.NUMBERVALUE('Procyclean 220'!E468,".",","),IFERROR(_xludf.NUMBERVALUE('Procyclean 220'!E468,",","."),0))))</f>
        <v/>
      </c>
      <c r="AE2466" t="str">
        <f>IF(AA2466="","",'Procyclean 220'!B468)</f>
        <v/>
      </c>
      <c r="AF2466">
        <f t="shared" si="245"/>
        <v>0</v>
      </c>
      <c r="AG2466" t="str">
        <f t="shared" si="246"/>
        <v/>
      </c>
      <c r="AH2466" t="str">
        <f t="shared" si="247"/>
        <v/>
      </c>
      <c r="AI2466">
        <f t="shared" si="248"/>
        <v>0</v>
      </c>
      <c r="AJ2466">
        <f t="shared" si="249"/>
        <v>0</v>
      </c>
      <c r="AK2466">
        <v>0</v>
      </c>
      <c r="AL2466" t="str">
        <f>IF(AA2466="","",IFERROR(IF(ISNUMBER('Procyclean 220'!F468),'Procyclean 220'!F468,IF(ISNUMBER(SEARCH("12",'Procyclean 220'!F468)),EDATE(AB2466,12),IF(ISNUMBER(SEARCH("6",'Procyclean 220'!F468)),EDATE(AB2466,6),IF(ISNUMBER(SEARCH("3",'Procyclean 220'!F468)),EDATE(AB2466,3),DATEVALUE('Procyclean 220'!F468))))),""))</f>
        <v/>
      </c>
      <c r="AM2466" t="str">
        <f t="shared" ca="1" si="250"/>
        <v/>
      </c>
    </row>
    <row r="2467" spans="27:39" x14ac:dyDescent="0.3">
      <c r="AA2467" t="str">
        <f>IF(COUNTA('Procyclean 220'!C469,'Procyclean 220'!D469,'Procyclean 220'!E469)&gt;0,"220","")</f>
        <v/>
      </c>
      <c r="AB2467" t="str">
        <f>IFERROR(IF(ISNUMBER('Procyclean 220'!C469),'Procyclean 220'!C469,DATEVALUE('Procyclean 220'!C469)),"")</f>
        <v/>
      </c>
      <c r="AC2467" t="str">
        <f>IF(AA2467="","",'Procyclean 220'!D469)</f>
        <v/>
      </c>
      <c r="AD2467" t="str">
        <f>IF(AA2467="","",IFERROR(1*'Procyclean 220'!E469,IFERROR(_xludf.NUMBERVALUE('Procyclean 220'!E469,".",","),IFERROR(_xludf.NUMBERVALUE('Procyclean 220'!E469,",","."),0))))</f>
        <v/>
      </c>
      <c r="AE2467" t="str">
        <f>IF(AA2467="","",'Procyclean 220'!B469)</f>
        <v/>
      </c>
      <c r="AF2467">
        <f t="shared" si="245"/>
        <v>0</v>
      </c>
      <c r="AG2467" t="str">
        <f t="shared" si="246"/>
        <v/>
      </c>
      <c r="AH2467" t="str">
        <f t="shared" si="247"/>
        <v/>
      </c>
      <c r="AI2467">
        <f t="shared" si="248"/>
        <v>0</v>
      </c>
      <c r="AJ2467">
        <f t="shared" si="249"/>
        <v>0</v>
      </c>
      <c r="AK2467">
        <v>0</v>
      </c>
      <c r="AL2467" t="str">
        <f>IF(AA2467="","",IFERROR(IF(ISNUMBER('Procyclean 220'!F469),'Procyclean 220'!F469,IF(ISNUMBER(SEARCH("12",'Procyclean 220'!F469)),EDATE(AB2467,12),IF(ISNUMBER(SEARCH("6",'Procyclean 220'!F469)),EDATE(AB2467,6),IF(ISNUMBER(SEARCH("3",'Procyclean 220'!F469)),EDATE(AB2467,3),DATEVALUE('Procyclean 220'!F469))))),""))</f>
        <v/>
      </c>
      <c r="AM2467" t="str">
        <f t="shared" ca="1" si="250"/>
        <v/>
      </c>
    </row>
    <row r="2468" spans="27:39" x14ac:dyDescent="0.3">
      <c r="AA2468" t="str">
        <f>IF(COUNTA('Procyclean 220'!C470,'Procyclean 220'!D470,'Procyclean 220'!E470)&gt;0,"220","")</f>
        <v/>
      </c>
      <c r="AB2468" t="str">
        <f>IFERROR(IF(ISNUMBER('Procyclean 220'!C470),'Procyclean 220'!C470,DATEVALUE('Procyclean 220'!C470)),"")</f>
        <v/>
      </c>
      <c r="AC2468" t="str">
        <f>IF(AA2468="","",'Procyclean 220'!D470)</f>
        <v/>
      </c>
      <c r="AD2468" t="str">
        <f>IF(AA2468="","",IFERROR(1*'Procyclean 220'!E470,IFERROR(_xludf.NUMBERVALUE('Procyclean 220'!E470,".",","),IFERROR(_xludf.NUMBERVALUE('Procyclean 220'!E470,",","."),0))))</f>
        <v/>
      </c>
      <c r="AE2468" t="str">
        <f>IF(AA2468="","",'Procyclean 220'!B470)</f>
        <v/>
      </c>
      <c r="AF2468">
        <f t="shared" si="245"/>
        <v>0</v>
      </c>
      <c r="AG2468" t="str">
        <f t="shared" si="246"/>
        <v/>
      </c>
      <c r="AH2468" t="str">
        <f t="shared" si="247"/>
        <v/>
      </c>
      <c r="AI2468">
        <f t="shared" si="248"/>
        <v>0</v>
      </c>
      <c r="AJ2468">
        <f t="shared" si="249"/>
        <v>0</v>
      </c>
      <c r="AK2468">
        <v>0</v>
      </c>
      <c r="AL2468" t="str">
        <f>IF(AA2468="","",IFERROR(IF(ISNUMBER('Procyclean 220'!F470),'Procyclean 220'!F470,IF(ISNUMBER(SEARCH("12",'Procyclean 220'!F470)),EDATE(AB2468,12),IF(ISNUMBER(SEARCH("6",'Procyclean 220'!F470)),EDATE(AB2468,6),IF(ISNUMBER(SEARCH("3",'Procyclean 220'!F470)),EDATE(AB2468,3),DATEVALUE('Procyclean 220'!F470))))),""))</f>
        <v/>
      </c>
      <c r="AM2468" t="str">
        <f t="shared" ca="1" si="250"/>
        <v/>
      </c>
    </row>
    <row r="2469" spans="27:39" x14ac:dyDescent="0.3">
      <c r="AA2469" t="str">
        <f>IF(COUNTA('Procyclean 220'!C471,'Procyclean 220'!D471,'Procyclean 220'!E471)&gt;0,"220","")</f>
        <v/>
      </c>
      <c r="AB2469" t="str">
        <f>IFERROR(IF(ISNUMBER('Procyclean 220'!C471),'Procyclean 220'!C471,DATEVALUE('Procyclean 220'!C471)),"")</f>
        <v/>
      </c>
      <c r="AC2469" t="str">
        <f>IF(AA2469="","",'Procyclean 220'!D471)</f>
        <v/>
      </c>
      <c r="AD2469" t="str">
        <f>IF(AA2469="","",IFERROR(1*'Procyclean 220'!E471,IFERROR(_xludf.NUMBERVALUE('Procyclean 220'!E471,".",","),IFERROR(_xludf.NUMBERVALUE('Procyclean 220'!E471,",","."),0))))</f>
        <v/>
      </c>
      <c r="AE2469" t="str">
        <f>IF(AA2469="","",'Procyclean 220'!B471)</f>
        <v/>
      </c>
      <c r="AF2469">
        <f t="shared" si="245"/>
        <v>0</v>
      </c>
      <c r="AG2469" t="str">
        <f t="shared" si="246"/>
        <v/>
      </c>
      <c r="AH2469" t="str">
        <f t="shared" si="247"/>
        <v/>
      </c>
      <c r="AI2469">
        <f t="shared" si="248"/>
        <v>0</v>
      </c>
      <c r="AJ2469">
        <f t="shared" si="249"/>
        <v>0</v>
      </c>
      <c r="AK2469">
        <v>0</v>
      </c>
      <c r="AL2469" t="str">
        <f>IF(AA2469="","",IFERROR(IF(ISNUMBER('Procyclean 220'!F471),'Procyclean 220'!F471,IF(ISNUMBER(SEARCH("12",'Procyclean 220'!F471)),EDATE(AB2469,12),IF(ISNUMBER(SEARCH("6",'Procyclean 220'!F471)),EDATE(AB2469,6),IF(ISNUMBER(SEARCH("3",'Procyclean 220'!F471)),EDATE(AB2469,3),DATEVALUE('Procyclean 220'!F471))))),""))</f>
        <v/>
      </c>
      <c r="AM2469" t="str">
        <f t="shared" ca="1" si="250"/>
        <v/>
      </c>
    </row>
    <row r="2470" spans="27:39" x14ac:dyDescent="0.3">
      <c r="AA2470" t="str">
        <f>IF(COUNTA('Procyclean 220'!C472,'Procyclean 220'!D472,'Procyclean 220'!E472)&gt;0,"220","")</f>
        <v/>
      </c>
      <c r="AB2470" t="str">
        <f>IFERROR(IF(ISNUMBER('Procyclean 220'!C472),'Procyclean 220'!C472,DATEVALUE('Procyclean 220'!C472)),"")</f>
        <v/>
      </c>
      <c r="AC2470" t="str">
        <f>IF(AA2470="","",'Procyclean 220'!D472)</f>
        <v/>
      </c>
      <c r="AD2470" t="str">
        <f>IF(AA2470="","",IFERROR(1*'Procyclean 220'!E472,IFERROR(_xludf.NUMBERVALUE('Procyclean 220'!E472,".",","),IFERROR(_xludf.NUMBERVALUE('Procyclean 220'!E472,",","."),0))))</f>
        <v/>
      </c>
      <c r="AE2470" t="str">
        <f>IF(AA2470="","",'Procyclean 220'!B472)</f>
        <v/>
      </c>
      <c r="AF2470">
        <f t="shared" si="245"/>
        <v>0</v>
      </c>
      <c r="AG2470" t="str">
        <f t="shared" si="246"/>
        <v/>
      </c>
      <c r="AH2470" t="str">
        <f t="shared" si="247"/>
        <v/>
      </c>
      <c r="AI2470">
        <f t="shared" si="248"/>
        <v>0</v>
      </c>
      <c r="AJ2470">
        <f t="shared" si="249"/>
        <v>0</v>
      </c>
      <c r="AK2470">
        <v>0</v>
      </c>
      <c r="AL2470" t="str">
        <f>IF(AA2470="","",IFERROR(IF(ISNUMBER('Procyclean 220'!F472),'Procyclean 220'!F472,IF(ISNUMBER(SEARCH("12",'Procyclean 220'!F472)),EDATE(AB2470,12),IF(ISNUMBER(SEARCH("6",'Procyclean 220'!F472)),EDATE(AB2470,6),IF(ISNUMBER(SEARCH("3",'Procyclean 220'!F472)),EDATE(AB2470,3),DATEVALUE('Procyclean 220'!F472))))),""))</f>
        <v/>
      </c>
      <c r="AM2470" t="str">
        <f t="shared" ca="1" si="250"/>
        <v/>
      </c>
    </row>
    <row r="2471" spans="27:39" x14ac:dyDescent="0.3">
      <c r="AA2471" t="str">
        <f>IF(COUNTA('Procyclean 220'!C473,'Procyclean 220'!D473,'Procyclean 220'!E473)&gt;0,"220","")</f>
        <v/>
      </c>
      <c r="AB2471" t="str">
        <f>IFERROR(IF(ISNUMBER('Procyclean 220'!C473),'Procyclean 220'!C473,DATEVALUE('Procyclean 220'!C473)),"")</f>
        <v/>
      </c>
      <c r="AC2471" t="str">
        <f>IF(AA2471="","",'Procyclean 220'!D473)</f>
        <v/>
      </c>
      <c r="AD2471" t="str">
        <f>IF(AA2471="","",IFERROR(1*'Procyclean 220'!E473,IFERROR(_xludf.NUMBERVALUE('Procyclean 220'!E473,".",","),IFERROR(_xludf.NUMBERVALUE('Procyclean 220'!E473,",","."),0))))</f>
        <v/>
      </c>
      <c r="AE2471" t="str">
        <f>IF(AA2471="","",'Procyclean 220'!B473)</f>
        <v/>
      </c>
      <c r="AF2471">
        <f t="shared" si="245"/>
        <v>0</v>
      </c>
      <c r="AG2471" t="str">
        <f t="shared" si="246"/>
        <v/>
      </c>
      <c r="AH2471" t="str">
        <f t="shared" si="247"/>
        <v/>
      </c>
      <c r="AI2471">
        <f t="shared" si="248"/>
        <v>0</v>
      </c>
      <c r="AJ2471">
        <f t="shared" si="249"/>
        <v>0</v>
      </c>
      <c r="AK2471">
        <v>0</v>
      </c>
      <c r="AL2471" t="str">
        <f>IF(AA2471="","",IFERROR(IF(ISNUMBER('Procyclean 220'!F473),'Procyclean 220'!F473,IF(ISNUMBER(SEARCH("12",'Procyclean 220'!F473)),EDATE(AB2471,12),IF(ISNUMBER(SEARCH("6",'Procyclean 220'!F473)),EDATE(AB2471,6),IF(ISNUMBER(SEARCH("3",'Procyclean 220'!F473)),EDATE(AB2471,3),DATEVALUE('Procyclean 220'!F473))))),""))</f>
        <v/>
      </c>
      <c r="AM2471" t="str">
        <f t="shared" ca="1" si="250"/>
        <v/>
      </c>
    </row>
    <row r="2472" spans="27:39" x14ac:dyDescent="0.3">
      <c r="AA2472" t="str">
        <f>IF(COUNTA('Procyclean 220'!C474,'Procyclean 220'!D474,'Procyclean 220'!E474)&gt;0,"220","")</f>
        <v/>
      </c>
      <c r="AB2472" t="str">
        <f>IFERROR(IF(ISNUMBER('Procyclean 220'!C474),'Procyclean 220'!C474,DATEVALUE('Procyclean 220'!C474)),"")</f>
        <v/>
      </c>
      <c r="AC2472" t="str">
        <f>IF(AA2472="","",'Procyclean 220'!D474)</f>
        <v/>
      </c>
      <c r="AD2472" t="str">
        <f>IF(AA2472="","",IFERROR(1*'Procyclean 220'!E474,IFERROR(_xludf.NUMBERVALUE('Procyclean 220'!E474,".",","),IFERROR(_xludf.NUMBERVALUE('Procyclean 220'!E474,",","."),0))))</f>
        <v/>
      </c>
      <c r="AE2472" t="str">
        <f>IF(AA2472="","",'Procyclean 220'!B474)</f>
        <v/>
      </c>
      <c r="AF2472">
        <f t="shared" si="245"/>
        <v>0</v>
      </c>
      <c r="AG2472" t="str">
        <f t="shared" si="246"/>
        <v/>
      </c>
      <c r="AH2472" t="str">
        <f t="shared" si="247"/>
        <v/>
      </c>
      <c r="AI2472">
        <f t="shared" si="248"/>
        <v>0</v>
      </c>
      <c r="AJ2472">
        <f t="shared" si="249"/>
        <v>0</v>
      </c>
      <c r="AK2472">
        <v>0</v>
      </c>
      <c r="AL2472" t="str">
        <f>IF(AA2472="","",IFERROR(IF(ISNUMBER('Procyclean 220'!F474),'Procyclean 220'!F474,IF(ISNUMBER(SEARCH("12",'Procyclean 220'!F474)),EDATE(AB2472,12),IF(ISNUMBER(SEARCH("6",'Procyclean 220'!F474)),EDATE(AB2472,6),IF(ISNUMBER(SEARCH("3",'Procyclean 220'!F474)),EDATE(AB2472,3),DATEVALUE('Procyclean 220'!F474))))),""))</f>
        <v/>
      </c>
      <c r="AM2472" t="str">
        <f t="shared" ca="1" si="250"/>
        <v/>
      </c>
    </row>
    <row r="2473" spans="27:39" x14ac:dyDescent="0.3">
      <c r="AA2473" t="str">
        <f>IF(COUNTA('Procyclean 220'!C475,'Procyclean 220'!D475,'Procyclean 220'!E475)&gt;0,"220","")</f>
        <v/>
      </c>
      <c r="AB2473" t="str">
        <f>IFERROR(IF(ISNUMBER('Procyclean 220'!C475),'Procyclean 220'!C475,DATEVALUE('Procyclean 220'!C475)),"")</f>
        <v/>
      </c>
      <c r="AC2473" t="str">
        <f>IF(AA2473="","",'Procyclean 220'!D475)</f>
        <v/>
      </c>
      <c r="AD2473" t="str">
        <f>IF(AA2473="","",IFERROR(1*'Procyclean 220'!E475,IFERROR(_xludf.NUMBERVALUE('Procyclean 220'!E475,".",","),IFERROR(_xludf.NUMBERVALUE('Procyclean 220'!E475,",","."),0))))</f>
        <v/>
      </c>
      <c r="AE2473" t="str">
        <f>IF(AA2473="","",'Procyclean 220'!B475)</f>
        <v/>
      </c>
      <c r="AF2473">
        <f t="shared" si="245"/>
        <v>0</v>
      </c>
      <c r="AG2473" t="str">
        <f t="shared" si="246"/>
        <v/>
      </c>
      <c r="AH2473" t="str">
        <f t="shared" si="247"/>
        <v/>
      </c>
      <c r="AI2473">
        <f t="shared" si="248"/>
        <v>0</v>
      </c>
      <c r="AJ2473">
        <f t="shared" si="249"/>
        <v>0</v>
      </c>
      <c r="AK2473">
        <v>0</v>
      </c>
      <c r="AL2473" t="str">
        <f>IF(AA2473="","",IFERROR(IF(ISNUMBER('Procyclean 220'!F475),'Procyclean 220'!F475,IF(ISNUMBER(SEARCH("12",'Procyclean 220'!F475)),EDATE(AB2473,12),IF(ISNUMBER(SEARCH("6",'Procyclean 220'!F475)),EDATE(AB2473,6),IF(ISNUMBER(SEARCH("3",'Procyclean 220'!F475)),EDATE(AB2473,3),DATEVALUE('Procyclean 220'!F475))))),""))</f>
        <v/>
      </c>
      <c r="AM2473" t="str">
        <f t="shared" ca="1" si="250"/>
        <v/>
      </c>
    </row>
    <row r="2474" spans="27:39" x14ac:dyDescent="0.3">
      <c r="AA2474" t="str">
        <f>IF(COUNTA('Procyclean 220'!C476,'Procyclean 220'!D476,'Procyclean 220'!E476)&gt;0,"220","")</f>
        <v/>
      </c>
      <c r="AB2474" t="str">
        <f>IFERROR(IF(ISNUMBER('Procyclean 220'!C476),'Procyclean 220'!C476,DATEVALUE('Procyclean 220'!C476)),"")</f>
        <v/>
      </c>
      <c r="AC2474" t="str">
        <f>IF(AA2474="","",'Procyclean 220'!D476)</f>
        <v/>
      </c>
      <c r="AD2474" t="str">
        <f>IF(AA2474="","",IFERROR(1*'Procyclean 220'!E476,IFERROR(_xludf.NUMBERVALUE('Procyclean 220'!E476,".",","),IFERROR(_xludf.NUMBERVALUE('Procyclean 220'!E476,",","."),0))))</f>
        <v/>
      </c>
      <c r="AE2474" t="str">
        <f>IF(AA2474="","",'Procyclean 220'!B476)</f>
        <v/>
      </c>
      <c r="AF2474">
        <f t="shared" si="245"/>
        <v>0</v>
      </c>
      <c r="AG2474" t="str">
        <f t="shared" si="246"/>
        <v/>
      </c>
      <c r="AH2474" t="str">
        <f t="shared" si="247"/>
        <v/>
      </c>
      <c r="AI2474">
        <f t="shared" si="248"/>
        <v>0</v>
      </c>
      <c r="AJ2474">
        <f t="shared" si="249"/>
        <v>0</v>
      </c>
      <c r="AK2474">
        <v>0</v>
      </c>
      <c r="AL2474" t="str">
        <f>IF(AA2474="","",IFERROR(IF(ISNUMBER('Procyclean 220'!F476),'Procyclean 220'!F476,IF(ISNUMBER(SEARCH("12",'Procyclean 220'!F476)),EDATE(AB2474,12),IF(ISNUMBER(SEARCH("6",'Procyclean 220'!F476)),EDATE(AB2474,6),IF(ISNUMBER(SEARCH("3",'Procyclean 220'!F476)),EDATE(AB2474,3),DATEVALUE('Procyclean 220'!F476))))),""))</f>
        <v/>
      </c>
      <c r="AM2474" t="str">
        <f t="shared" ca="1" si="250"/>
        <v/>
      </c>
    </row>
    <row r="2475" spans="27:39" x14ac:dyDescent="0.3">
      <c r="AA2475" t="str">
        <f>IF(COUNTA('Procyclean 220'!C477,'Procyclean 220'!D477,'Procyclean 220'!E477)&gt;0,"220","")</f>
        <v/>
      </c>
      <c r="AB2475" t="str">
        <f>IFERROR(IF(ISNUMBER('Procyclean 220'!C477),'Procyclean 220'!C477,DATEVALUE('Procyclean 220'!C477)),"")</f>
        <v/>
      </c>
      <c r="AC2475" t="str">
        <f>IF(AA2475="","",'Procyclean 220'!D477)</f>
        <v/>
      </c>
      <c r="AD2475" t="str">
        <f>IF(AA2475="","",IFERROR(1*'Procyclean 220'!E477,IFERROR(_xludf.NUMBERVALUE('Procyclean 220'!E477,".",","),IFERROR(_xludf.NUMBERVALUE('Procyclean 220'!E477,",","."),0))))</f>
        <v/>
      </c>
      <c r="AE2475" t="str">
        <f>IF(AA2475="","",'Procyclean 220'!B477)</f>
        <v/>
      </c>
      <c r="AF2475">
        <f t="shared" si="245"/>
        <v>0</v>
      </c>
      <c r="AG2475" t="str">
        <f t="shared" si="246"/>
        <v/>
      </c>
      <c r="AH2475" t="str">
        <f t="shared" si="247"/>
        <v/>
      </c>
      <c r="AI2475">
        <f t="shared" si="248"/>
        <v>0</v>
      </c>
      <c r="AJ2475">
        <f t="shared" si="249"/>
        <v>0</v>
      </c>
      <c r="AK2475">
        <v>0</v>
      </c>
      <c r="AL2475" t="str">
        <f>IF(AA2475="","",IFERROR(IF(ISNUMBER('Procyclean 220'!F477),'Procyclean 220'!F477,IF(ISNUMBER(SEARCH("12",'Procyclean 220'!F477)),EDATE(AB2475,12),IF(ISNUMBER(SEARCH("6",'Procyclean 220'!F477)),EDATE(AB2475,6),IF(ISNUMBER(SEARCH("3",'Procyclean 220'!F477)),EDATE(AB2475,3),DATEVALUE('Procyclean 220'!F477))))),""))</f>
        <v/>
      </c>
      <c r="AM2475" t="str">
        <f t="shared" ca="1" si="250"/>
        <v/>
      </c>
    </row>
    <row r="2476" spans="27:39" x14ac:dyDescent="0.3">
      <c r="AA2476" t="str">
        <f>IF(COUNTA('Procyclean 220'!C478,'Procyclean 220'!D478,'Procyclean 220'!E478)&gt;0,"220","")</f>
        <v/>
      </c>
      <c r="AB2476" t="str">
        <f>IFERROR(IF(ISNUMBER('Procyclean 220'!C478),'Procyclean 220'!C478,DATEVALUE('Procyclean 220'!C478)),"")</f>
        <v/>
      </c>
      <c r="AC2476" t="str">
        <f>IF(AA2476="","",'Procyclean 220'!D478)</f>
        <v/>
      </c>
      <c r="AD2476" t="str">
        <f>IF(AA2476="","",IFERROR(1*'Procyclean 220'!E478,IFERROR(_xludf.NUMBERVALUE('Procyclean 220'!E478,".",","),IFERROR(_xludf.NUMBERVALUE('Procyclean 220'!E478,",","."),0))))</f>
        <v/>
      </c>
      <c r="AE2476" t="str">
        <f>IF(AA2476="","",'Procyclean 220'!B478)</f>
        <v/>
      </c>
      <c r="AF2476">
        <f t="shared" si="245"/>
        <v>0</v>
      </c>
      <c r="AG2476" t="str">
        <f t="shared" si="246"/>
        <v/>
      </c>
      <c r="AH2476" t="str">
        <f t="shared" si="247"/>
        <v/>
      </c>
      <c r="AI2476">
        <f t="shared" si="248"/>
        <v>0</v>
      </c>
      <c r="AJ2476">
        <f t="shared" si="249"/>
        <v>0</v>
      </c>
      <c r="AK2476">
        <v>0</v>
      </c>
      <c r="AL2476" t="str">
        <f>IF(AA2476="","",IFERROR(IF(ISNUMBER('Procyclean 220'!F478),'Procyclean 220'!F478,IF(ISNUMBER(SEARCH("12",'Procyclean 220'!F478)),EDATE(AB2476,12),IF(ISNUMBER(SEARCH("6",'Procyclean 220'!F478)),EDATE(AB2476,6),IF(ISNUMBER(SEARCH("3",'Procyclean 220'!F478)),EDATE(AB2476,3),DATEVALUE('Procyclean 220'!F478))))),""))</f>
        <v/>
      </c>
      <c r="AM2476" t="str">
        <f t="shared" ca="1" si="250"/>
        <v/>
      </c>
    </row>
    <row r="2477" spans="27:39" x14ac:dyDescent="0.3">
      <c r="AA2477" t="str">
        <f>IF(COUNTA('Procyclean 220'!C479,'Procyclean 220'!D479,'Procyclean 220'!E479)&gt;0,"220","")</f>
        <v/>
      </c>
      <c r="AB2477" t="str">
        <f>IFERROR(IF(ISNUMBER('Procyclean 220'!C479),'Procyclean 220'!C479,DATEVALUE('Procyclean 220'!C479)),"")</f>
        <v/>
      </c>
      <c r="AC2477" t="str">
        <f>IF(AA2477="","",'Procyclean 220'!D479)</f>
        <v/>
      </c>
      <c r="AD2477" t="str">
        <f>IF(AA2477="","",IFERROR(1*'Procyclean 220'!E479,IFERROR(_xludf.NUMBERVALUE('Procyclean 220'!E479,".",","),IFERROR(_xludf.NUMBERVALUE('Procyclean 220'!E479,",","."),0))))</f>
        <v/>
      </c>
      <c r="AE2477" t="str">
        <f>IF(AA2477="","",'Procyclean 220'!B479)</f>
        <v/>
      </c>
      <c r="AF2477">
        <f t="shared" si="245"/>
        <v>0</v>
      </c>
      <c r="AG2477" t="str">
        <f t="shared" si="246"/>
        <v/>
      </c>
      <c r="AH2477" t="str">
        <f t="shared" si="247"/>
        <v/>
      </c>
      <c r="AI2477">
        <f t="shared" si="248"/>
        <v>0</v>
      </c>
      <c r="AJ2477">
        <f t="shared" si="249"/>
        <v>0</v>
      </c>
      <c r="AK2477">
        <v>0</v>
      </c>
      <c r="AL2477" t="str">
        <f>IF(AA2477="","",IFERROR(IF(ISNUMBER('Procyclean 220'!F479),'Procyclean 220'!F479,IF(ISNUMBER(SEARCH("12",'Procyclean 220'!F479)),EDATE(AB2477,12),IF(ISNUMBER(SEARCH("6",'Procyclean 220'!F479)),EDATE(AB2477,6),IF(ISNUMBER(SEARCH("3",'Procyclean 220'!F479)),EDATE(AB2477,3),DATEVALUE('Procyclean 220'!F479))))),""))</f>
        <v/>
      </c>
      <c r="AM2477" t="str">
        <f t="shared" ca="1" si="250"/>
        <v/>
      </c>
    </row>
    <row r="2478" spans="27:39" x14ac:dyDescent="0.3">
      <c r="AA2478" t="str">
        <f>IF(COUNTA('Procyclean 220'!C480,'Procyclean 220'!D480,'Procyclean 220'!E480)&gt;0,"220","")</f>
        <v/>
      </c>
      <c r="AB2478" t="str">
        <f>IFERROR(IF(ISNUMBER('Procyclean 220'!C480),'Procyclean 220'!C480,DATEVALUE('Procyclean 220'!C480)),"")</f>
        <v/>
      </c>
      <c r="AC2478" t="str">
        <f>IF(AA2478="","",'Procyclean 220'!D480)</f>
        <v/>
      </c>
      <c r="AD2478" t="str">
        <f>IF(AA2478="","",IFERROR(1*'Procyclean 220'!E480,IFERROR(_xludf.NUMBERVALUE('Procyclean 220'!E480,".",","),IFERROR(_xludf.NUMBERVALUE('Procyclean 220'!E480,",","."),0))))</f>
        <v/>
      </c>
      <c r="AE2478" t="str">
        <f>IF(AA2478="","",'Procyclean 220'!B480)</f>
        <v/>
      </c>
      <c r="AF2478">
        <f t="shared" si="245"/>
        <v>0</v>
      </c>
      <c r="AG2478" t="str">
        <f t="shared" si="246"/>
        <v/>
      </c>
      <c r="AH2478" t="str">
        <f t="shared" si="247"/>
        <v/>
      </c>
      <c r="AI2478">
        <f t="shared" si="248"/>
        <v>0</v>
      </c>
      <c r="AJ2478">
        <f t="shared" si="249"/>
        <v>0</v>
      </c>
      <c r="AK2478">
        <v>0</v>
      </c>
      <c r="AL2478" t="str">
        <f>IF(AA2478="","",IFERROR(IF(ISNUMBER('Procyclean 220'!F480),'Procyclean 220'!F480,IF(ISNUMBER(SEARCH("12",'Procyclean 220'!F480)),EDATE(AB2478,12),IF(ISNUMBER(SEARCH("6",'Procyclean 220'!F480)),EDATE(AB2478,6),IF(ISNUMBER(SEARCH("3",'Procyclean 220'!F480)),EDATE(AB2478,3),DATEVALUE('Procyclean 220'!F480))))),""))</f>
        <v/>
      </c>
      <c r="AM2478" t="str">
        <f t="shared" ca="1" si="250"/>
        <v/>
      </c>
    </row>
    <row r="2479" spans="27:39" x14ac:dyDescent="0.3">
      <c r="AA2479" t="str">
        <f>IF(COUNTA('Procyclean 220'!C481,'Procyclean 220'!D481,'Procyclean 220'!E481)&gt;0,"220","")</f>
        <v/>
      </c>
      <c r="AB2479" t="str">
        <f>IFERROR(IF(ISNUMBER('Procyclean 220'!C481),'Procyclean 220'!C481,DATEVALUE('Procyclean 220'!C481)),"")</f>
        <v/>
      </c>
      <c r="AC2479" t="str">
        <f>IF(AA2479="","",'Procyclean 220'!D481)</f>
        <v/>
      </c>
      <c r="AD2479" t="str">
        <f>IF(AA2479="","",IFERROR(1*'Procyclean 220'!E481,IFERROR(_xludf.NUMBERVALUE('Procyclean 220'!E481,".",","),IFERROR(_xludf.NUMBERVALUE('Procyclean 220'!E481,",","."),0))))</f>
        <v/>
      </c>
      <c r="AE2479" t="str">
        <f>IF(AA2479="","",'Procyclean 220'!B481)</f>
        <v/>
      </c>
      <c r="AF2479">
        <f t="shared" si="245"/>
        <v>0</v>
      </c>
      <c r="AG2479" t="str">
        <f t="shared" si="246"/>
        <v/>
      </c>
      <c r="AH2479" t="str">
        <f t="shared" si="247"/>
        <v/>
      </c>
      <c r="AI2479">
        <f t="shared" si="248"/>
        <v>0</v>
      </c>
      <c r="AJ2479">
        <f t="shared" si="249"/>
        <v>0</v>
      </c>
      <c r="AK2479">
        <v>0</v>
      </c>
      <c r="AL2479" t="str">
        <f>IF(AA2479="","",IFERROR(IF(ISNUMBER('Procyclean 220'!F481),'Procyclean 220'!F481,IF(ISNUMBER(SEARCH("12",'Procyclean 220'!F481)),EDATE(AB2479,12),IF(ISNUMBER(SEARCH("6",'Procyclean 220'!F481)),EDATE(AB2479,6),IF(ISNUMBER(SEARCH("3",'Procyclean 220'!F481)),EDATE(AB2479,3),DATEVALUE('Procyclean 220'!F481))))),""))</f>
        <v/>
      </c>
      <c r="AM2479" t="str">
        <f t="shared" ca="1" si="250"/>
        <v/>
      </c>
    </row>
    <row r="2480" spans="27:39" x14ac:dyDescent="0.3">
      <c r="AA2480" t="str">
        <f>IF(COUNTA('Procyclean 220'!C482,'Procyclean 220'!D482,'Procyclean 220'!E482)&gt;0,"220","")</f>
        <v/>
      </c>
      <c r="AB2480" t="str">
        <f>IFERROR(IF(ISNUMBER('Procyclean 220'!C482),'Procyclean 220'!C482,DATEVALUE('Procyclean 220'!C482)),"")</f>
        <v/>
      </c>
      <c r="AC2480" t="str">
        <f>IF(AA2480="","",'Procyclean 220'!D482)</f>
        <v/>
      </c>
      <c r="AD2480" t="str">
        <f>IF(AA2480="","",IFERROR(1*'Procyclean 220'!E482,IFERROR(_xludf.NUMBERVALUE('Procyclean 220'!E482,".",","),IFERROR(_xludf.NUMBERVALUE('Procyclean 220'!E482,",","."),0))))</f>
        <v/>
      </c>
      <c r="AE2480" t="str">
        <f>IF(AA2480="","",'Procyclean 220'!B482)</f>
        <v/>
      </c>
      <c r="AF2480">
        <f t="shared" si="245"/>
        <v>0</v>
      </c>
      <c r="AG2480" t="str">
        <f t="shared" si="246"/>
        <v/>
      </c>
      <c r="AH2480" t="str">
        <f t="shared" si="247"/>
        <v/>
      </c>
      <c r="AI2480">
        <f t="shared" si="248"/>
        <v>0</v>
      </c>
      <c r="AJ2480">
        <f t="shared" si="249"/>
        <v>0</v>
      </c>
      <c r="AK2480">
        <v>0</v>
      </c>
      <c r="AL2480" t="str">
        <f>IF(AA2480="","",IFERROR(IF(ISNUMBER('Procyclean 220'!F482),'Procyclean 220'!F482,IF(ISNUMBER(SEARCH("12",'Procyclean 220'!F482)),EDATE(AB2480,12),IF(ISNUMBER(SEARCH("6",'Procyclean 220'!F482)),EDATE(AB2480,6),IF(ISNUMBER(SEARCH("3",'Procyclean 220'!F482)),EDATE(AB2480,3),DATEVALUE('Procyclean 220'!F482))))),""))</f>
        <v/>
      </c>
      <c r="AM2480" t="str">
        <f t="shared" ca="1" si="250"/>
        <v/>
      </c>
    </row>
    <row r="2481" spans="27:39" x14ac:dyDescent="0.3">
      <c r="AA2481" t="str">
        <f>IF(COUNTA('Procyclean 220'!C483,'Procyclean 220'!D483,'Procyclean 220'!E483)&gt;0,"220","")</f>
        <v/>
      </c>
      <c r="AB2481" t="str">
        <f>IFERROR(IF(ISNUMBER('Procyclean 220'!C483),'Procyclean 220'!C483,DATEVALUE('Procyclean 220'!C483)),"")</f>
        <v/>
      </c>
      <c r="AC2481" t="str">
        <f>IF(AA2481="","",'Procyclean 220'!D483)</f>
        <v/>
      </c>
      <c r="AD2481" t="str">
        <f>IF(AA2481="","",IFERROR(1*'Procyclean 220'!E483,IFERROR(_xludf.NUMBERVALUE('Procyclean 220'!E483,".",","),IFERROR(_xludf.NUMBERVALUE('Procyclean 220'!E483,",","."),0))))</f>
        <v/>
      </c>
      <c r="AE2481" t="str">
        <f>IF(AA2481="","",'Procyclean 220'!B483)</f>
        <v/>
      </c>
      <c r="AF2481">
        <f t="shared" si="245"/>
        <v>0</v>
      </c>
      <c r="AG2481" t="str">
        <f t="shared" si="246"/>
        <v/>
      </c>
      <c r="AH2481" t="str">
        <f t="shared" si="247"/>
        <v/>
      </c>
      <c r="AI2481">
        <f t="shared" si="248"/>
        <v>0</v>
      </c>
      <c r="AJ2481">
        <f t="shared" si="249"/>
        <v>0</v>
      </c>
      <c r="AK2481">
        <v>0</v>
      </c>
      <c r="AL2481" t="str">
        <f>IF(AA2481="","",IFERROR(IF(ISNUMBER('Procyclean 220'!F483),'Procyclean 220'!F483,IF(ISNUMBER(SEARCH("12",'Procyclean 220'!F483)),EDATE(AB2481,12),IF(ISNUMBER(SEARCH("6",'Procyclean 220'!F483)),EDATE(AB2481,6),IF(ISNUMBER(SEARCH("3",'Procyclean 220'!F483)),EDATE(AB2481,3),DATEVALUE('Procyclean 220'!F483))))),""))</f>
        <v/>
      </c>
      <c r="AM2481" t="str">
        <f t="shared" ca="1" si="250"/>
        <v/>
      </c>
    </row>
    <row r="2482" spans="27:39" x14ac:dyDescent="0.3">
      <c r="AA2482" t="str">
        <f>IF(COUNTA('Procyclean 220'!C484,'Procyclean 220'!D484,'Procyclean 220'!E484)&gt;0,"220","")</f>
        <v/>
      </c>
      <c r="AB2482" t="str">
        <f>IFERROR(IF(ISNUMBER('Procyclean 220'!C484),'Procyclean 220'!C484,DATEVALUE('Procyclean 220'!C484)),"")</f>
        <v/>
      </c>
      <c r="AC2482" t="str">
        <f>IF(AA2482="","",'Procyclean 220'!D484)</f>
        <v/>
      </c>
      <c r="AD2482" t="str">
        <f>IF(AA2482="","",IFERROR(1*'Procyclean 220'!E484,IFERROR(_xludf.NUMBERVALUE('Procyclean 220'!E484,".",","),IFERROR(_xludf.NUMBERVALUE('Procyclean 220'!E484,",","."),0))))</f>
        <v/>
      </c>
      <c r="AE2482" t="str">
        <f>IF(AA2482="","",'Procyclean 220'!B484)</f>
        <v/>
      </c>
      <c r="AF2482">
        <f t="shared" si="245"/>
        <v>0</v>
      </c>
      <c r="AG2482" t="str">
        <f t="shared" si="246"/>
        <v/>
      </c>
      <c r="AH2482" t="str">
        <f t="shared" si="247"/>
        <v/>
      </c>
      <c r="AI2482">
        <f t="shared" si="248"/>
        <v>0</v>
      </c>
      <c r="AJ2482">
        <f t="shared" si="249"/>
        <v>0</v>
      </c>
      <c r="AK2482">
        <v>0</v>
      </c>
      <c r="AL2482" t="str">
        <f>IF(AA2482="","",IFERROR(IF(ISNUMBER('Procyclean 220'!F484),'Procyclean 220'!F484,IF(ISNUMBER(SEARCH("12",'Procyclean 220'!F484)),EDATE(AB2482,12),IF(ISNUMBER(SEARCH("6",'Procyclean 220'!F484)),EDATE(AB2482,6),IF(ISNUMBER(SEARCH("3",'Procyclean 220'!F484)),EDATE(AB2482,3),DATEVALUE('Procyclean 220'!F484))))),""))</f>
        <v/>
      </c>
      <c r="AM2482" t="str">
        <f t="shared" ca="1" si="250"/>
        <v/>
      </c>
    </row>
    <row r="2483" spans="27:39" x14ac:dyDescent="0.3">
      <c r="AA2483" t="str">
        <f>IF(COUNTA('Procyclean 220'!C485,'Procyclean 220'!D485,'Procyclean 220'!E485)&gt;0,"220","")</f>
        <v/>
      </c>
      <c r="AB2483" t="str">
        <f>IFERROR(IF(ISNUMBER('Procyclean 220'!C485),'Procyclean 220'!C485,DATEVALUE('Procyclean 220'!C485)),"")</f>
        <v/>
      </c>
      <c r="AC2483" t="str">
        <f>IF(AA2483="","",'Procyclean 220'!D485)</f>
        <v/>
      </c>
      <c r="AD2483" t="str">
        <f>IF(AA2483="","",IFERROR(1*'Procyclean 220'!E485,IFERROR(_xludf.NUMBERVALUE('Procyclean 220'!E485,".",","),IFERROR(_xludf.NUMBERVALUE('Procyclean 220'!E485,",","."),0))))</f>
        <v/>
      </c>
      <c r="AE2483" t="str">
        <f>IF(AA2483="","",'Procyclean 220'!B485)</f>
        <v/>
      </c>
      <c r="AF2483">
        <f t="shared" si="245"/>
        <v>0</v>
      </c>
      <c r="AG2483" t="str">
        <f t="shared" si="246"/>
        <v/>
      </c>
      <c r="AH2483" t="str">
        <f t="shared" si="247"/>
        <v/>
      </c>
      <c r="AI2483">
        <f t="shared" si="248"/>
        <v>0</v>
      </c>
      <c r="AJ2483">
        <f t="shared" si="249"/>
        <v>0</v>
      </c>
      <c r="AK2483">
        <v>0</v>
      </c>
      <c r="AL2483" t="str">
        <f>IF(AA2483="","",IFERROR(IF(ISNUMBER('Procyclean 220'!F485),'Procyclean 220'!F485,IF(ISNUMBER(SEARCH("12",'Procyclean 220'!F485)),EDATE(AB2483,12),IF(ISNUMBER(SEARCH("6",'Procyclean 220'!F485)),EDATE(AB2483,6),IF(ISNUMBER(SEARCH("3",'Procyclean 220'!F485)),EDATE(AB2483,3),DATEVALUE('Procyclean 220'!F485))))),""))</f>
        <v/>
      </c>
      <c r="AM2483" t="str">
        <f t="shared" ca="1" si="250"/>
        <v/>
      </c>
    </row>
    <row r="2484" spans="27:39" x14ac:dyDescent="0.3">
      <c r="AA2484" t="str">
        <f>IF(COUNTA('Procyclean 220'!C486,'Procyclean 220'!D486,'Procyclean 220'!E486)&gt;0,"220","")</f>
        <v/>
      </c>
      <c r="AB2484" t="str">
        <f>IFERROR(IF(ISNUMBER('Procyclean 220'!C486),'Procyclean 220'!C486,DATEVALUE('Procyclean 220'!C486)),"")</f>
        <v/>
      </c>
      <c r="AC2484" t="str">
        <f>IF(AA2484="","",'Procyclean 220'!D486)</f>
        <v/>
      </c>
      <c r="AD2484" t="str">
        <f>IF(AA2484="","",IFERROR(1*'Procyclean 220'!E486,IFERROR(_xludf.NUMBERVALUE('Procyclean 220'!E486,".",","),IFERROR(_xludf.NUMBERVALUE('Procyclean 220'!E486,",","."),0))))</f>
        <v/>
      </c>
      <c r="AE2484" t="str">
        <f>IF(AA2484="","",'Procyclean 220'!B486)</f>
        <v/>
      </c>
      <c r="AF2484">
        <f t="shared" si="245"/>
        <v>0</v>
      </c>
      <c r="AG2484" t="str">
        <f t="shared" si="246"/>
        <v/>
      </c>
      <c r="AH2484" t="str">
        <f t="shared" si="247"/>
        <v/>
      </c>
      <c r="AI2484">
        <f t="shared" si="248"/>
        <v>0</v>
      </c>
      <c r="AJ2484">
        <f t="shared" si="249"/>
        <v>0</v>
      </c>
      <c r="AK2484">
        <v>0</v>
      </c>
      <c r="AL2484" t="str">
        <f>IF(AA2484="","",IFERROR(IF(ISNUMBER('Procyclean 220'!F486),'Procyclean 220'!F486,IF(ISNUMBER(SEARCH("12",'Procyclean 220'!F486)),EDATE(AB2484,12),IF(ISNUMBER(SEARCH("6",'Procyclean 220'!F486)),EDATE(AB2484,6),IF(ISNUMBER(SEARCH("3",'Procyclean 220'!F486)),EDATE(AB2484,3),DATEVALUE('Procyclean 220'!F486))))),""))</f>
        <v/>
      </c>
      <c r="AM2484" t="str">
        <f t="shared" ca="1" si="250"/>
        <v/>
      </c>
    </row>
    <row r="2485" spans="27:39" x14ac:dyDescent="0.3">
      <c r="AA2485" t="str">
        <f>IF(COUNTA('Procyclean 220'!C487,'Procyclean 220'!D487,'Procyclean 220'!E487)&gt;0,"220","")</f>
        <v/>
      </c>
      <c r="AB2485" t="str">
        <f>IFERROR(IF(ISNUMBER('Procyclean 220'!C487),'Procyclean 220'!C487,DATEVALUE('Procyclean 220'!C487)),"")</f>
        <v/>
      </c>
      <c r="AC2485" t="str">
        <f>IF(AA2485="","",'Procyclean 220'!D487)</f>
        <v/>
      </c>
      <c r="AD2485" t="str">
        <f>IF(AA2485="","",IFERROR(1*'Procyclean 220'!E487,IFERROR(_xludf.NUMBERVALUE('Procyclean 220'!E487,".",","),IFERROR(_xludf.NUMBERVALUE('Procyclean 220'!E487,",","."),0))))</f>
        <v/>
      </c>
      <c r="AE2485" t="str">
        <f>IF(AA2485="","",'Procyclean 220'!B487)</f>
        <v/>
      </c>
      <c r="AF2485">
        <f t="shared" si="245"/>
        <v>0</v>
      </c>
      <c r="AG2485" t="str">
        <f t="shared" si="246"/>
        <v/>
      </c>
      <c r="AH2485" t="str">
        <f t="shared" si="247"/>
        <v/>
      </c>
      <c r="AI2485">
        <f t="shared" si="248"/>
        <v>0</v>
      </c>
      <c r="AJ2485">
        <f t="shared" si="249"/>
        <v>0</v>
      </c>
      <c r="AK2485">
        <v>0</v>
      </c>
      <c r="AL2485" t="str">
        <f>IF(AA2485="","",IFERROR(IF(ISNUMBER('Procyclean 220'!F487),'Procyclean 220'!F487,IF(ISNUMBER(SEARCH("12",'Procyclean 220'!F487)),EDATE(AB2485,12),IF(ISNUMBER(SEARCH("6",'Procyclean 220'!F487)),EDATE(AB2485,6),IF(ISNUMBER(SEARCH("3",'Procyclean 220'!F487)),EDATE(AB2485,3),DATEVALUE('Procyclean 220'!F487))))),""))</f>
        <v/>
      </c>
      <c r="AM2485" t="str">
        <f t="shared" ca="1" si="250"/>
        <v/>
      </c>
    </row>
    <row r="2486" spans="27:39" x14ac:dyDescent="0.3">
      <c r="AA2486" t="str">
        <f>IF(COUNTA('Procyclean 220'!C488,'Procyclean 220'!D488,'Procyclean 220'!E488)&gt;0,"220","")</f>
        <v/>
      </c>
      <c r="AB2486" t="str">
        <f>IFERROR(IF(ISNUMBER('Procyclean 220'!C488),'Procyclean 220'!C488,DATEVALUE('Procyclean 220'!C488)),"")</f>
        <v/>
      </c>
      <c r="AC2486" t="str">
        <f>IF(AA2486="","",'Procyclean 220'!D488)</f>
        <v/>
      </c>
      <c r="AD2486" t="str">
        <f>IF(AA2486="","",IFERROR(1*'Procyclean 220'!E488,IFERROR(_xludf.NUMBERVALUE('Procyclean 220'!E488,".",","),IFERROR(_xludf.NUMBERVALUE('Procyclean 220'!E488,",","."),0))))</f>
        <v/>
      </c>
      <c r="AE2486" t="str">
        <f>IF(AA2486="","",'Procyclean 220'!B488)</f>
        <v/>
      </c>
      <c r="AF2486">
        <f t="shared" si="245"/>
        <v>0</v>
      </c>
      <c r="AG2486" t="str">
        <f t="shared" si="246"/>
        <v/>
      </c>
      <c r="AH2486" t="str">
        <f t="shared" si="247"/>
        <v/>
      </c>
      <c r="AI2486">
        <f t="shared" si="248"/>
        <v>0</v>
      </c>
      <c r="AJ2486">
        <f t="shared" si="249"/>
        <v>0</v>
      </c>
      <c r="AK2486">
        <v>0</v>
      </c>
      <c r="AL2486" t="str">
        <f>IF(AA2486="","",IFERROR(IF(ISNUMBER('Procyclean 220'!F488),'Procyclean 220'!F488,IF(ISNUMBER(SEARCH("12",'Procyclean 220'!F488)),EDATE(AB2486,12),IF(ISNUMBER(SEARCH("6",'Procyclean 220'!F488)),EDATE(AB2486,6),IF(ISNUMBER(SEARCH("3",'Procyclean 220'!F488)),EDATE(AB2486,3),DATEVALUE('Procyclean 220'!F488))))),""))</f>
        <v/>
      </c>
      <c r="AM2486" t="str">
        <f t="shared" ca="1" si="250"/>
        <v/>
      </c>
    </row>
    <row r="2487" spans="27:39" x14ac:dyDescent="0.3">
      <c r="AA2487" t="str">
        <f>IF(COUNTA('Procyclean 220'!C489,'Procyclean 220'!D489,'Procyclean 220'!E489)&gt;0,"220","")</f>
        <v/>
      </c>
      <c r="AB2487" t="str">
        <f>IFERROR(IF(ISNUMBER('Procyclean 220'!C489),'Procyclean 220'!C489,DATEVALUE('Procyclean 220'!C489)),"")</f>
        <v/>
      </c>
      <c r="AC2487" t="str">
        <f>IF(AA2487="","",'Procyclean 220'!D489)</f>
        <v/>
      </c>
      <c r="AD2487" t="str">
        <f>IF(AA2487="","",IFERROR(1*'Procyclean 220'!E489,IFERROR(_xludf.NUMBERVALUE('Procyclean 220'!E489,".",","),IFERROR(_xludf.NUMBERVALUE('Procyclean 220'!E489,",","."),0))))</f>
        <v/>
      </c>
      <c r="AE2487" t="str">
        <f>IF(AA2487="","",'Procyclean 220'!B489)</f>
        <v/>
      </c>
      <c r="AF2487">
        <f t="shared" si="245"/>
        <v>0</v>
      </c>
      <c r="AG2487" t="str">
        <f t="shared" si="246"/>
        <v/>
      </c>
      <c r="AH2487" t="str">
        <f t="shared" si="247"/>
        <v/>
      </c>
      <c r="AI2487">
        <f t="shared" si="248"/>
        <v>0</v>
      </c>
      <c r="AJ2487">
        <f t="shared" si="249"/>
        <v>0</v>
      </c>
      <c r="AK2487">
        <v>0</v>
      </c>
      <c r="AL2487" t="str">
        <f>IF(AA2487="","",IFERROR(IF(ISNUMBER('Procyclean 220'!F489),'Procyclean 220'!F489,IF(ISNUMBER(SEARCH("12",'Procyclean 220'!F489)),EDATE(AB2487,12),IF(ISNUMBER(SEARCH("6",'Procyclean 220'!F489)),EDATE(AB2487,6),IF(ISNUMBER(SEARCH("3",'Procyclean 220'!F489)),EDATE(AB2487,3),DATEVALUE('Procyclean 220'!F489))))),""))</f>
        <v/>
      </c>
      <c r="AM2487" t="str">
        <f t="shared" ca="1" si="250"/>
        <v/>
      </c>
    </row>
    <row r="2488" spans="27:39" x14ac:dyDescent="0.3">
      <c r="AA2488" t="str">
        <f>IF(COUNTA('Procyclean 220'!C490,'Procyclean 220'!D490,'Procyclean 220'!E490)&gt;0,"220","")</f>
        <v/>
      </c>
      <c r="AB2488" t="str">
        <f>IFERROR(IF(ISNUMBER('Procyclean 220'!C490),'Procyclean 220'!C490,DATEVALUE('Procyclean 220'!C490)),"")</f>
        <v/>
      </c>
      <c r="AC2488" t="str">
        <f>IF(AA2488="","",'Procyclean 220'!D490)</f>
        <v/>
      </c>
      <c r="AD2488" t="str">
        <f>IF(AA2488="","",IFERROR(1*'Procyclean 220'!E490,IFERROR(_xludf.NUMBERVALUE('Procyclean 220'!E490,".",","),IFERROR(_xludf.NUMBERVALUE('Procyclean 220'!E490,",","."),0))))</f>
        <v/>
      </c>
      <c r="AE2488" t="str">
        <f>IF(AA2488="","",'Procyclean 220'!B490)</f>
        <v/>
      </c>
      <c r="AF2488">
        <f t="shared" si="245"/>
        <v>0</v>
      </c>
      <c r="AG2488" t="str">
        <f t="shared" si="246"/>
        <v/>
      </c>
      <c r="AH2488" t="str">
        <f t="shared" si="247"/>
        <v/>
      </c>
      <c r="AI2488">
        <f t="shared" si="248"/>
        <v>0</v>
      </c>
      <c r="AJ2488">
        <f t="shared" si="249"/>
        <v>0</v>
      </c>
      <c r="AK2488">
        <v>0</v>
      </c>
      <c r="AL2488" t="str">
        <f>IF(AA2488="","",IFERROR(IF(ISNUMBER('Procyclean 220'!F490),'Procyclean 220'!F490,IF(ISNUMBER(SEARCH("12",'Procyclean 220'!F490)),EDATE(AB2488,12),IF(ISNUMBER(SEARCH("6",'Procyclean 220'!F490)),EDATE(AB2488,6),IF(ISNUMBER(SEARCH("3",'Procyclean 220'!F490)),EDATE(AB2488,3),DATEVALUE('Procyclean 220'!F490))))),""))</f>
        <v/>
      </c>
      <c r="AM2488" t="str">
        <f t="shared" ca="1" si="250"/>
        <v/>
      </c>
    </row>
    <row r="2489" spans="27:39" x14ac:dyDescent="0.3">
      <c r="AA2489" t="str">
        <f>IF(COUNTA('Procyclean 220'!C491,'Procyclean 220'!D491,'Procyclean 220'!E491)&gt;0,"220","")</f>
        <v/>
      </c>
      <c r="AB2489" t="str">
        <f>IFERROR(IF(ISNUMBER('Procyclean 220'!C491),'Procyclean 220'!C491,DATEVALUE('Procyclean 220'!C491)),"")</f>
        <v/>
      </c>
      <c r="AC2489" t="str">
        <f>IF(AA2489="","",'Procyclean 220'!D491)</f>
        <v/>
      </c>
      <c r="AD2489" t="str">
        <f>IF(AA2489="","",IFERROR(1*'Procyclean 220'!E491,IFERROR(_xludf.NUMBERVALUE('Procyclean 220'!E491,".",","),IFERROR(_xludf.NUMBERVALUE('Procyclean 220'!E491,",","."),0))))</f>
        <v/>
      </c>
      <c r="AE2489" t="str">
        <f>IF(AA2489="","",'Procyclean 220'!B491)</f>
        <v/>
      </c>
      <c r="AF2489">
        <f t="shared" si="245"/>
        <v>0</v>
      </c>
      <c r="AG2489" t="str">
        <f t="shared" si="246"/>
        <v/>
      </c>
      <c r="AH2489" t="str">
        <f t="shared" si="247"/>
        <v/>
      </c>
      <c r="AI2489">
        <f t="shared" si="248"/>
        <v>0</v>
      </c>
      <c r="AJ2489">
        <f t="shared" si="249"/>
        <v>0</v>
      </c>
      <c r="AK2489">
        <v>0</v>
      </c>
      <c r="AL2489" t="str">
        <f>IF(AA2489="","",IFERROR(IF(ISNUMBER('Procyclean 220'!F491),'Procyclean 220'!F491,IF(ISNUMBER(SEARCH("12",'Procyclean 220'!F491)),EDATE(AB2489,12),IF(ISNUMBER(SEARCH("6",'Procyclean 220'!F491)),EDATE(AB2489,6),IF(ISNUMBER(SEARCH("3",'Procyclean 220'!F491)),EDATE(AB2489,3),DATEVALUE('Procyclean 220'!F491))))),""))</f>
        <v/>
      </c>
      <c r="AM2489" t="str">
        <f t="shared" ca="1" si="250"/>
        <v/>
      </c>
    </row>
    <row r="2490" spans="27:39" x14ac:dyDescent="0.3">
      <c r="AA2490" t="str">
        <f>IF(COUNTA('Procyclean 220'!C492,'Procyclean 220'!D492,'Procyclean 220'!E492)&gt;0,"220","")</f>
        <v/>
      </c>
      <c r="AB2490" t="str">
        <f>IFERROR(IF(ISNUMBER('Procyclean 220'!C492),'Procyclean 220'!C492,DATEVALUE('Procyclean 220'!C492)),"")</f>
        <v/>
      </c>
      <c r="AC2490" t="str">
        <f>IF(AA2490="","",'Procyclean 220'!D492)</f>
        <v/>
      </c>
      <c r="AD2490" t="str">
        <f>IF(AA2490="","",IFERROR(1*'Procyclean 220'!E492,IFERROR(_xludf.NUMBERVALUE('Procyclean 220'!E492,".",","),IFERROR(_xludf.NUMBERVALUE('Procyclean 220'!E492,",","."),0))))</f>
        <v/>
      </c>
      <c r="AE2490" t="str">
        <f>IF(AA2490="","",'Procyclean 220'!B492)</f>
        <v/>
      </c>
      <c r="AF2490">
        <f t="shared" si="245"/>
        <v>0</v>
      </c>
      <c r="AG2490" t="str">
        <f t="shared" si="246"/>
        <v/>
      </c>
      <c r="AH2490" t="str">
        <f t="shared" si="247"/>
        <v/>
      </c>
      <c r="AI2490">
        <f t="shared" si="248"/>
        <v>0</v>
      </c>
      <c r="AJ2490">
        <f t="shared" si="249"/>
        <v>0</v>
      </c>
      <c r="AK2490">
        <v>0</v>
      </c>
      <c r="AL2490" t="str">
        <f>IF(AA2490="","",IFERROR(IF(ISNUMBER('Procyclean 220'!F492),'Procyclean 220'!F492,IF(ISNUMBER(SEARCH("12",'Procyclean 220'!F492)),EDATE(AB2490,12),IF(ISNUMBER(SEARCH("6",'Procyclean 220'!F492)),EDATE(AB2490,6),IF(ISNUMBER(SEARCH("3",'Procyclean 220'!F492)),EDATE(AB2490,3),DATEVALUE('Procyclean 220'!F492))))),""))</f>
        <v/>
      </c>
      <c r="AM2490" t="str">
        <f t="shared" ca="1" si="250"/>
        <v/>
      </c>
    </row>
    <row r="2491" spans="27:39" x14ac:dyDescent="0.3">
      <c r="AA2491" t="str">
        <f>IF(COUNTA('Procyclean 220'!C493,'Procyclean 220'!D493,'Procyclean 220'!E493)&gt;0,"220","")</f>
        <v/>
      </c>
      <c r="AB2491" t="str">
        <f>IFERROR(IF(ISNUMBER('Procyclean 220'!C493),'Procyclean 220'!C493,DATEVALUE('Procyclean 220'!C493)),"")</f>
        <v/>
      </c>
      <c r="AC2491" t="str">
        <f>IF(AA2491="","",'Procyclean 220'!D493)</f>
        <v/>
      </c>
      <c r="AD2491" t="str">
        <f>IF(AA2491="","",IFERROR(1*'Procyclean 220'!E493,IFERROR(_xludf.NUMBERVALUE('Procyclean 220'!E493,".",","),IFERROR(_xludf.NUMBERVALUE('Procyclean 220'!E493,",","."),0))))</f>
        <v/>
      </c>
      <c r="AE2491" t="str">
        <f>IF(AA2491="","",'Procyclean 220'!B493)</f>
        <v/>
      </c>
      <c r="AF2491">
        <f t="shared" si="245"/>
        <v>0</v>
      </c>
      <c r="AG2491" t="str">
        <f t="shared" si="246"/>
        <v/>
      </c>
      <c r="AH2491" t="str">
        <f t="shared" si="247"/>
        <v/>
      </c>
      <c r="AI2491">
        <f t="shared" si="248"/>
        <v>0</v>
      </c>
      <c r="AJ2491">
        <f t="shared" si="249"/>
        <v>0</v>
      </c>
      <c r="AK2491">
        <v>0</v>
      </c>
      <c r="AL2491" t="str">
        <f>IF(AA2491="","",IFERROR(IF(ISNUMBER('Procyclean 220'!F493),'Procyclean 220'!F493,IF(ISNUMBER(SEARCH("12",'Procyclean 220'!F493)),EDATE(AB2491,12),IF(ISNUMBER(SEARCH("6",'Procyclean 220'!F493)),EDATE(AB2491,6),IF(ISNUMBER(SEARCH("3",'Procyclean 220'!F493)),EDATE(AB2491,3),DATEVALUE('Procyclean 220'!F493))))),""))</f>
        <v/>
      </c>
      <c r="AM2491" t="str">
        <f t="shared" ca="1" si="250"/>
        <v/>
      </c>
    </row>
    <row r="2492" spans="27:39" x14ac:dyDescent="0.3">
      <c r="AA2492" t="str">
        <f>IF(COUNTA('Procyclean 220'!C494,'Procyclean 220'!D494,'Procyclean 220'!E494)&gt;0,"220","")</f>
        <v/>
      </c>
      <c r="AB2492" t="str">
        <f>IFERROR(IF(ISNUMBER('Procyclean 220'!C494),'Procyclean 220'!C494,DATEVALUE('Procyclean 220'!C494)),"")</f>
        <v/>
      </c>
      <c r="AC2492" t="str">
        <f>IF(AA2492="","",'Procyclean 220'!D494)</f>
        <v/>
      </c>
      <c r="AD2492" t="str">
        <f>IF(AA2492="","",IFERROR(1*'Procyclean 220'!E494,IFERROR(_xludf.NUMBERVALUE('Procyclean 220'!E494,".",","),IFERROR(_xludf.NUMBERVALUE('Procyclean 220'!E494,",","."),0))))</f>
        <v/>
      </c>
      <c r="AE2492" t="str">
        <f>IF(AA2492="","",'Procyclean 220'!B494)</f>
        <v/>
      </c>
      <c r="AF2492">
        <f t="shared" si="245"/>
        <v>0</v>
      </c>
      <c r="AG2492" t="str">
        <f t="shared" si="246"/>
        <v/>
      </c>
      <c r="AH2492" t="str">
        <f t="shared" si="247"/>
        <v/>
      </c>
      <c r="AI2492">
        <f t="shared" si="248"/>
        <v>0</v>
      </c>
      <c r="AJ2492">
        <f t="shared" si="249"/>
        <v>0</v>
      </c>
      <c r="AK2492">
        <v>0</v>
      </c>
      <c r="AL2492" t="str">
        <f>IF(AA2492="","",IFERROR(IF(ISNUMBER('Procyclean 220'!F494),'Procyclean 220'!F494,IF(ISNUMBER(SEARCH("12",'Procyclean 220'!F494)),EDATE(AB2492,12),IF(ISNUMBER(SEARCH("6",'Procyclean 220'!F494)),EDATE(AB2492,6),IF(ISNUMBER(SEARCH("3",'Procyclean 220'!F494)),EDATE(AB2492,3),DATEVALUE('Procyclean 220'!F494))))),""))</f>
        <v/>
      </c>
      <c r="AM2492" t="str">
        <f t="shared" ca="1" si="250"/>
        <v/>
      </c>
    </row>
    <row r="2493" spans="27:39" x14ac:dyDescent="0.3">
      <c r="AA2493" t="str">
        <f>IF(COUNTA('Procyclean 220'!C495,'Procyclean 220'!D495,'Procyclean 220'!E495)&gt;0,"220","")</f>
        <v/>
      </c>
      <c r="AB2493" t="str">
        <f>IFERROR(IF(ISNUMBER('Procyclean 220'!C495),'Procyclean 220'!C495,DATEVALUE('Procyclean 220'!C495)),"")</f>
        <v/>
      </c>
      <c r="AC2493" t="str">
        <f>IF(AA2493="","",'Procyclean 220'!D495)</f>
        <v/>
      </c>
      <c r="AD2493" t="str">
        <f>IF(AA2493="","",IFERROR(1*'Procyclean 220'!E495,IFERROR(_xludf.NUMBERVALUE('Procyclean 220'!E495,".",","),IFERROR(_xludf.NUMBERVALUE('Procyclean 220'!E495,",","."),0))))</f>
        <v/>
      </c>
      <c r="AE2493" t="str">
        <f>IF(AA2493="","",'Procyclean 220'!B495)</f>
        <v/>
      </c>
      <c r="AF2493">
        <f t="shared" si="245"/>
        <v>0</v>
      </c>
      <c r="AG2493" t="str">
        <f t="shared" si="246"/>
        <v/>
      </c>
      <c r="AH2493" t="str">
        <f t="shared" si="247"/>
        <v/>
      </c>
      <c r="AI2493">
        <f t="shared" si="248"/>
        <v>0</v>
      </c>
      <c r="AJ2493">
        <f t="shared" si="249"/>
        <v>0</v>
      </c>
      <c r="AK2493">
        <v>0</v>
      </c>
      <c r="AL2493" t="str">
        <f>IF(AA2493="","",IFERROR(IF(ISNUMBER('Procyclean 220'!F495),'Procyclean 220'!F495,IF(ISNUMBER(SEARCH("12",'Procyclean 220'!F495)),EDATE(AB2493,12),IF(ISNUMBER(SEARCH("6",'Procyclean 220'!F495)),EDATE(AB2493,6),IF(ISNUMBER(SEARCH("3",'Procyclean 220'!F495)),EDATE(AB2493,3),DATEVALUE('Procyclean 220'!F495))))),""))</f>
        <v/>
      </c>
      <c r="AM2493" t="str">
        <f t="shared" ca="1" si="250"/>
        <v/>
      </c>
    </row>
    <row r="2494" spans="27:39" x14ac:dyDescent="0.3">
      <c r="AA2494" t="str">
        <f>IF(COUNTA('Procyclean 220'!C496,'Procyclean 220'!D496,'Procyclean 220'!E496)&gt;0,"220","")</f>
        <v/>
      </c>
      <c r="AB2494" t="str">
        <f>IFERROR(IF(ISNUMBER('Procyclean 220'!C496),'Procyclean 220'!C496,DATEVALUE('Procyclean 220'!C496)),"")</f>
        <v/>
      </c>
      <c r="AC2494" t="str">
        <f>IF(AA2494="","",'Procyclean 220'!D496)</f>
        <v/>
      </c>
      <c r="AD2494" t="str">
        <f>IF(AA2494="","",IFERROR(1*'Procyclean 220'!E496,IFERROR(_xludf.NUMBERVALUE('Procyclean 220'!E496,".",","),IFERROR(_xludf.NUMBERVALUE('Procyclean 220'!E496,",","."),0))))</f>
        <v/>
      </c>
      <c r="AE2494" t="str">
        <f>IF(AA2494="","",'Procyclean 220'!B496)</f>
        <v/>
      </c>
      <c r="AF2494">
        <f t="shared" si="245"/>
        <v>0</v>
      </c>
      <c r="AG2494" t="str">
        <f t="shared" si="246"/>
        <v/>
      </c>
      <c r="AH2494" t="str">
        <f t="shared" si="247"/>
        <v/>
      </c>
      <c r="AI2494">
        <f t="shared" si="248"/>
        <v>0</v>
      </c>
      <c r="AJ2494">
        <f t="shared" si="249"/>
        <v>0</v>
      </c>
      <c r="AK2494">
        <v>0</v>
      </c>
      <c r="AL2494" t="str">
        <f>IF(AA2494="","",IFERROR(IF(ISNUMBER('Procyclean 220'!F496),'Procyclean 220'!F496,IF(ISNUMBER(SEARCH("12",'Procyclean 220'!F496)),EDATE(AB2494,12),IF(ISNUMBER(SEARCH("6",'Procyclean 220'!F496)),EDATE(AB2494,6),IF(ISNUMBER(SEARCH("3",'Procyclean 220'!F496)),EDATE(AB2494,3),DATEVALUE('Procyclean 220'!F496))))),""))</f>
        <v/>
      </c>
      <c r="AM2494" t="str">
        <f t="shared" ca="1" si="250"/>
        <v/>
      </c>
    </row>
    <row r="2495" spans="27:39" x14ac:dyDescent="0.3">
      <c r="AA2495" t="str">
        <f>IF(COUNTA('Procyclean 220'!C497,'Procyclean 220'!D497,'Procyclean 220'!E497)&gt;0,"220","")</f>
        <v/>
      </c>
      <c r="AB2495" t="str">
        <f>IFERROR(IF(ISNUMBER('Procyclean 220'!C497),'Procyclean 220'!C497,DATEVALUE('Procyclean 220'!C497)),"")</f>
        <v/>
      </c>
      <c r="AC2495" t="str">
        <f>IF(AA2495="","",'Procyclean 220'!D497)</f>
        <v/>
      </c>
      <c r="AD2495" t="str">
        <f>IF(AA2495="","",IFERROR(1*'Procyclean 220'!E497,IFERROR(_xludf.NUMBERVALUE('Procyclean 220'!E497,".",","),IFERROR(_xludf.NUMBERVALUE('Procyclean 220'!E497,",","."),0))))</f>
        <v/>
      </c>
      <c r="AE2495" t="str">
        <f>IF(AA2495="","",'Procyclean 220'!B497)</f>
        <v/>
      </c>
      <c r="AF2495">
        <f t="shared" si="245"/>
        <v>0</v>
      </c>
      <c r="AG2495" t="str">
        <f t="shared" si="246"/>
        <v/>
      </c>
      <c r="AH2495" t="str">
        <f t="shared" si="247"/>
        <v/>
      </c>
      <c r="AI2495">
        <f t="shared" si="248"/>
        <v>0</v>
      </c>
      <c r="AJ2495">
        <f t="shared" si="249"/>
        <v>0</v>
      </c>
      <c r="AK2495">
        <v>0</v>
      </c>
      <c r="AL2495" t="str">
        <f>IF(AA2495="","",IFERROR(IF(ISNUMBER('Procyclean 220'!F497),'Procyclean 220'!F497,IF(ISNUMBER(SEARCH("12",'Procyclean 220'!F497)),EDATE(AB2495,12),IF(ISNUMBER(SEARCH("6",'Procyclean 220'!F497)),EDATE(AB2495,6),IF(ISNUMBER(SEARCH("3",'Procyclean 220'!F497)),EDATE(AB2495,3),DATEVALUE('Procyclean 220'!F497))))),""))</f>
        <v/>
      </c>
      <c r="AM2495" t="str">
        <f t="shared" ca="1" si="250"/>
        <v/>
      </c>
    </row>
    <row r="2496" spans="27:39" x14ac:dyDescent="0.3">
      <c r="AA2496" t="str">
        <f>IF(COUNTA('Procyclean 220'!C498,'Procyclean 220'!D498,'Procyclean 220'!E498)&gt;0,"220","")</f>
        <v/>
      </c>
      <c r="AB2496" t="str">
        <f>IFERROR(IF(ISNUMBER('Procyclean 220'!C498),'Procyclean 220'!C498,DATEVALUE('Procyclean 220'!C498)),"")</f>
        <v/>
      </c>
      <c r="AC2496" t="str">
        <f>IF(AA2496="","",'Procyclean 220'!D498)</f>
        <v/>
      </c>
      <c r="AD2496" t="str">
        <f>IF(AA2496="","",IFERROR(1*'Procyclean 220'!E498,IFERROR(_xludf.NUMBERVALUE('Procyclean 220'!E498,".",","),IFERROR(_xludf.NUMBERVALUE('Procyclean 220'!E498,",","."),0))))</f>
        <v/>
      </c>
      <c r="AE2496" t="str">
        <f>IF(AA2496="","",'Procyclean 220'!B498)</f>
        <v/>
      </c>
      <c r="AF2496">
        <f t="shared" si="245"/>
        <v>0</v>
      </c>
      <c r="AG2496" t="str">
        <f t="shared" si="246"/>
        <v/>
      </c>
      <c r="AH2496" t="str">
        <f t="shared" si="247"/>
        <v/>
      </c>
      <c r="AI2496">
        <f t="shared" si="248"/>
        <v>0</v>
      </c>
      <c r="AJ2496">
        <f t="shared" si="249"/>
        <v>0</v>
      </c>
      <c r="AK2496">
        <v>0</v>
      </c>
      <c r="AL2496" t="str">
        <f>IF(AA2496="","",IFERROR(IF(ISNUMBER('Procyclean 220'!F498),'Procyclean 220'!F498,IF(ISNUMBER(SEARCH("12",'Procyclean 220'!F498)),EDATE(AB2496,12),IF(ISNUMBER(SEARCH("6",'Procyclean 220'!F498)),EDATE(AB2496,6),IF(ISNUMBER(SEARCH("3",'Procyclean 220'!F498)),EDATE(AB2496,3),DATEVALUE('Procyclean 220'!F498))))),""))</f>
        <v/>
      </c>
      <c r="AM2496" t="str">
        <f t="shared" ca="1" si="250"/>
        <v/>
      </c>
    </row>
    <row r="2497" spans="27:39" x14ac:dyDescent="0.3">
      <c r="AA2497" t="str">
        <f>IF(COUNTA('Procyclean 220'!C499,'Procyclean 220'!D499,'Procyclean 220'!E499)&gt;0,"220","")</f>
        <v/>
      </c>
      <c r="AB2497" t="str">
        <f>IFERROR(IF(ISNUMBER('Procyclean 220'!C499),'Procyclean 220'!C499,DATEVALUE('Procyclean 220'!C499)),"")</f>
        <v/>
      </c>
      <c r="AC2497" t="str">
        <f>IF(AA2497="","",'Procyclean 220'!D499)</f>
        <v/>
      </c>
      <c r="AD2497" t="str">
        <f>IF(AA2497="","",IFERROR(1*'Procyclean 220'!E499,IFERROR(_xludf.NUMBERVALUE('Procyclean 220'!E499,".",","),IFERROR(_xludf.NUMBERVALUE('Procyclean 220'!E499,",","."),0))))</f>
        <v/>
      </c>
      <c r="AE2497" t="str">
        <f>IF(AA2497="","",'Procyclean 220'!B499)</f>
        <v/>
      </c>
      <c r="AF2497">
        <f t="shared" si="245"/>
        <v>0</v>
      </c>
      <c r="AG2497" t="str">
        <f t="shared" si="246"/>
        <v/>
      </c>
      <c r="AH2497" t="str">
        <f t="shared" si="247"/>
        <v/>
      </c>
      <c r="AI2497">
        <f t="shared" si="248"/>
        <v>0</v>
      </c>
      <c r="AJ2497">
        <f t="shared" si="249"/>
        <v>0</v>
      </c>
      <c r="AK2497">
        <v>0</v>
      </c>
      <c r="AL2497" t="str">
        <f>IF(AA2497="","",IFERROR(IF(ISNUMBER('Procyclean 220'!F499),'Procyclean 220'!F499,IF(ISNUMBER(SEARCH("12",'Procyclean 220'!F499)),EDATE(AB2497,12),IF(ISNUMBER(SEARCH("6",'Procyclean 220'!F499)),EDATE(AB2497,6),IF(ISNUMBER(SEARCH("3",'Procyclean 220'!F499)),EDATE(AB2497,3),DATEVALUE('Procyclean 220'!F499))))),""))</f>
        <v/>
      </c>
      <c r="AM2497" t="str">
        <f t="shared" ca="1" si="250"/>
        <v/>
      </c>
    </row>
    <row r="2498" spans="27:39" x14ac:dyDescent="0.3">
      <c r="AA2498" t="str">
        <f>IF(COUNTA('Procyclean 220'!C500,'Procyclean 220'!D500,'Procyclean 220'!E500)&gt;0,"220","")</f>
        <v/>
      </c>
      <c r="AB2498" t="str">
        <f>IFERROR(IF(ISNUMBER('Procyclean 220'!C500),'Procyclean 220'!C500,DATEVALUE('Procyclean 220'!C500)),"")</f>
        <v/>
      </c>
      <c r="AC2498" t="str">
        <f>IF(AA2498="","",'Procyclean 220'!D500)</f>
        <v/>
      </c>
      <c r="AD2498" t="str">
        <f>IF(AA2498="","",IFERROR(1*'Procyclean 220'!E500,IFERROR(_xludf.NUMBERVALUE('Procyclean 220'!E500,".",","),IFERROR(_xludf.NUMBERVALUE('Procyclean 220'!E500,",","."),0))))</f>
        <v/>
      </c>
      <c r="AE2498" t="str">
        <f>IF(AA2498="","",'Procyclean 220'!B500)</f>
        <v/>
      </c>
      <c r="AF2498">
        <f t="shared" ref="AF2498:AF2561" si="251">IF(AA2498="",0,--AND(ISNUMBER(SEARCH("aprov",AE2498)),NOT(ISNUMBER(SEARCH("reprov",AE2498)))))</f>
        <v>0</v>
      </c>
      <c r="AG2498" t="str">
        <f t="shared" ref="AG2498:AG2561" si="252">IF(AB2498="","",YEAR(AB2498))</f>
        <v/>
      </c>
      <c r="AH2498" t="str">
        <f t="shared" ref="AH2498:AH2561" si="253">IF(AB2498="","",MONTH(AB2498))</f>
        <v/>
      </c>
      <c r="AI2498">
        <f t="shared" ref="AI2498:AI2561" si="254">IF(AB2498="",0,AB2498+ROW()/1000000)</f>
        <v>0</v>
      </c>
      <c r="AJ2498">
        <f t="shared" ref="AJ2498:AJ2561" si="255">--(AA2498&lt;&gt;"")</f>
        <v>0</v>
      </c>
      <c r="AK2498">
        <v>0</v>
      </c>
      <c r="AL2498" t="str">
        <f>IF(AA2498="","",IFERROR(IF(ISNUMBER('Procyclean 220'!F500),'Procyclean 220'!F500,IF(ISNUMBER(SEARCH("12",'Procyclean 220'!F500)),EDATE(AB2498,12),IF(ISNUMBER(SEARCH("6",'Procyclean 220'!F500)),EDATE(AB2498,6),IF(ISNUMBER(SEARCH("3",'Procyclean 220'!F500)),EDATE(AB2498,3),DATEVALUE('Procyclean 220'!F500))))),""))</f>
        <v/>
      </c>
      <c r="AM2498" t="str">
        <f t="shared" ref="AM2498:AM2561" ca="1" si="256">IF(AND(AJ2498=1,AL2498&lt;&gt;"",AL2498&gt;=TODAY(),AG2498=$W$3),AL2498+ROW()/1000000,"")</f>
        <v/>
      </c>
    </row>
    <row r="2499" spans="27:39" x14ac:dyDescent="0.3">
      <c r="AA2499" t="str">
        <f>IF(COUNTA('Procyclean 220'!C501,'Procyclean 220'!D501,'Procyclean 220'!E501)&gt;0,"220","")</f>
        <v/>
      </c>
      <c r="AB2499" t="str">
        <f>IFERROR(IF(ISNUMBER('Procyclean 220'!C501),'Procyclean 220'!C501,DATEVALUE('Procyclean 220'!C501)),"")</f>
        <v/>
      </c>
      <c r="AC2499" t="str">
        <f>IF(AA2499="","",'Procyclean 220'!D501)</f>
        <v/>
      </c>
      <c r="AD2499" t="str">
        <f>IF(AA2499="","",IFERROR(1*'Procyclean 220'!E501,IFERROR(_xludf.NUMBERVALUE('Procyclean 220'!E501,".",","),IFERROR(_xludf.NUMBERVALUE('Procyclean 220'!E501,",","."),0))))</f>
        <v/>
      </c>
      <c r="AE2499" t="str">
        <f>IF(AA2499="","",'Procyclean 220'!B501)</f>
        <v/>
      </c>
      <c r="AF2499">
        <f t="shared" si="251"/>
        <v>0</v>
      </c>
      <c r="AG2499" t="str">
        <f t="shared" si="252"/>
        <v/>
      </c>
      <c r="AH2499" t="str">
        <f t="shared" si="253"/>
        <v/>
      </c>
      <c r="AI2499">
        <f t="shared" si="254"/>
        <v>0</v>
      </c>
      <c r="AJ2499">
        <f t="shared" si="255"/>
        <v>0</v>
      </c>
      <c r="AK2499">
        <v>0</v>
      </c>
      <c r="AL2499" t="str">
        <f>IF(AA2499="","",IFERROR(IF(ISNUMBER('Procyclean 220'!F501),'Procyclean 220'!F501,IF(ISNUMBER(SEARCH("12",'Procyclean 220'!F501)),EDATE(AB2499,12),IF(ISNUMBER(SEARCH("6",'Procyclean 220'!F501)),EDATE(AB2499,6),IF(ISNUMBER(SEARCH("3",'Procyclean 220'!F501)),EDATE(AB2499,3),DATEVALUE('Procyclean 220'!F501))))),""))</f>
        <v/>
      </c>
      <c r="AM2499" t="str">
        <f t="shared" ca="1" si="256"/>
        <v/>
      </c>
    </row>
    <row r="2500" spans="27:39" x14ac:dyDescent="0.3">
      <c r="AA2500" t="str">
        <f>IF(COUNTA('Procyclean 220'!C502,'Procyclean 220'!D502,'Procyclean 220'!E502)&gt;0,"220","")</f>
        <v/>
      </c>
      <c r="AB2500" t="str">
        <f>IFERROR(IF(ISNUMBER('Procyclean 220'!C502),'Procyclean 220'!C502,DATEVALUE('Procyclean 220'!C502)),"")</f>
        <v/>
      </c>
      <c r="AC2500" t="str">
        <f>IF(AA2500="","",'Procyclean 220'!D502)</f>
        <v/>
      </c>
      <c r="AD2500" t="str">
        <f>IF(AA2500="","",IFERROR(1*'Procyclean 220'!E502,IFERROR(_xludf.NUMBERVALUE('Procyclean 220'!E502,".",","),IFERROR(_xludf.NUMBERVALUE('Procyclean 220'!E502,",","."),0))))</f>
        <v/>
      </c>
      <c r="AE2500" t="str">
        <f>IF(AA2500="","",'Procyclean 220'!B502)</f>
        <v/>
      </c>
      <c r="AF2500">
        <f t="shared" si="251"/>
        <v>0</v>
      </c>
      <c r="AG2500" t="str">
        <f t="shared" si="252"/>
        <v/>
      </c>
      <c r="AH2500" t="str">
        <f t="shared" si="253"/>
        <v/>
      </c>
      <c r="AI2500">
        <f t="shared" si="254"/>
        <v>0</v>
      </c>
      <c r="AJ2500">
        <f t="shared" si="255"/>
        <v>0</v>
      </c>
      <c r="AK2500">
        <v>0</v>
      </c>
      <c r="AL2500" t="str">
        <f>IF(AA2500="","",IFERROR(IF(ISNUMBER('Procyclean 220'!F502),'Procyclean 220'!F502,IF(ISNUMBER(SEARCH("12",'Procyclean 220'!F502)),EDATE(AB2500,12),IF(ISNUMBER(SEARCH("6",'Procyclean 220'!F502)),EDATE(AB2500,6),IF(ISNUMBER(SEARCH("3",'Procyclean 220'!F502)),EDATE(AB2500,3),DATEVALUE('Procyclean 220'!F502))))),""))</f>
        <v/>
      </c>
      <c r="AM2500" t="str">
        <f t="shared" ca="1" si="256"/>
        <v/>
      </c>
    </row>
    <row r="2501" spans="27:39" x14ac:dyDescent="0.3">
      <c r="AA2501" t="str">
        <f>IF(COUNTA('Procyclean 220'!C503,'Procyclean 220'!D503,'Procyclean 220'!E503)&gt;0,"220","")</f>
        <v/>
      </c>
      <c r="AB2501" t="str">
        <f>IFERROR(IF(ISNUMBER('Procyclean 220'!C503),'Procyclean 220'!C503,DATEVALUE('Procyclean 220'!C503)),"")</f>
        <v/>
      </c>
      <c r="AC2501" t="str">
        <f>IF(AA2501="","",'Procyclean 220'!D503)</f>
        <v/>
      </c>
      <c r="AD2501" t="str">
        <f>IF(AA2501="","",IFERROR(1*'Procyclean 220'!E503,IFERROR(_xludf.NUMBERVALUE('Procyclean 220'!E503,".",","),IFERROR(_xludf.NUMBERVALUE('Procyclean 220'!E503,",","."),0))))</f>
        <v/>
      </c>
      <c r="AE2501" t="str">
        <f>IF(AA2501="","",'Procyclean 220'!B503)</f>
        <v/>
      </c>
      <c r="AF2501">
        <f t="shared" si="251"/>
        <v>0</v>
      </c>
      <c r="AG2501" t="str">
        <f t="shared" si="252"/>
        <v/>
      </c>
      <c r="AH2501" t="str">
        <f t="shared" si="253"/>
        <v/>
      </c>
      <c r="AI2501">
        <f t="shared" si="254"/>
        <v>0</v>
      </c>
      <c r="AJ2501">
        <f t="shared" si="255"/>
        <v>0</v>
      </c>
      <c r="AK2501">
        <v>0</v>
      </c>
      <c r="AL2501" t="str">
        <f>IF(AA2501="","",IFERROR(IF(ISNUMBER('Procyclean 220'!F503),'Procyclean 220'!F503,IF(ISNUMBER(SEARCH("12",'Procyclean 220'!F503)),EDATE(AB2501,12),IF(ISNUMBER(SEARCH("6",'Procyclean 220'!F503)),EDATE(AB2501,6),IF(ISNUMBER(SEARCH("3",'Procyclean 220'!F503)),EDATE(AB2501,3),DATEVALUE('Procyclean 220'!F503))))),""))</f>
        <v/>
      </c>
      <c r="AM2501" t="str">
        <f t="shared" ca="1" si="256"/>
        <v/>
      </c>
    </row>
    <row r="2502" spans="27:39" x14ac:dyDescent="0.3">
      <c r="AA2502" t="str">
        <f>IF(COUNTA('Procyclean 520'!C4,'Procyclean 520'!D4,'Procyclean 520'!E4)&gt;0,"520","")</f>
        <v>520</v>
      </c>
      <c r="AB2502">
        <f>IFERROR(IF(ISNUMBER('Procyclean 520'!C4),'Procyclean 520'!C4,DATEVALUE('Procyclean 520'!C4)),"")</f>
        <v>45300</v>
      </c>
      <c r="AC2502" t="str">
        <f>IF(AA2502="","",'Procyclean 520'!D4)</f>
        <v>8135/24</v>
      </c>
      <c r="AD2502">
        <f>IF(AA2502="","",IFERROR(1*'Procyclean 520'!E4,IFERROR(_xludf.NUMBERVALUE('Procyclean 520'!E4,".",","),IFERROR(_xludf.NUMBERVALUE('Procyclean 520'!E4,",","."),0))))</f>
        <v>200</v>
      </c>
      <c r="AE2502" t="str">
        <f>IF(AA2502="","",'Procyclean 520'!B4)</f>
        <v>Aprovado</v>
      </c>
      <c r="AF2502">
        <f t="shared" si="251"/>
        <v>1</v>
      </c>
      <c r="AG2502">
        <f t="shared" si="252"/>
        <v>2024</v>
      </c>
      <c r="AH2502">
        <f t="shared" si="253"/>
        <v>1</v>
      </c>
      <c r="AI2502">
        <f t="shared" si="254"/>
        <v>45300.002502000003</v>
      </c>
      <c r="AJ2502">
        <f t="shared" si="255"/>
        <v>1</v>
      </c>
      <c r="AK2502">
        <v>0</v>
      </c>
      <c r="AL2502">
        <f>IF(AA2502="","",IFERROR(IF(ISNUMBER('Procyclean 520'!F4),'Procyclean 520'!F4,IF(ISNUMBER(SEARCH("12",'Procyclean 520'!F4)),EDATE(AB2502,12),IF(ISNUMBER(SEARCH("6",'Procyclean 520'!F4)),EDATE(AB2502,6),IF(ISNUMBER(SEARCH("3",'Procyclean 520'!F4)),EDATE(AB2502,3),DATEVALUE('Procyclean 520'!F4))))),""))</f>
        <v>45666</v>
      </c>
      <c r="AM2502" t="str">
        <f t="shared" ca="1" si="256"/>
        <v/>
      </c>
    </row>
    <row r="2503" spans="27:39" x14ac:dyDescent="0.3">
      <c r="AA2503" t="str">
        <f>IF(COUNTA('Procyclean 520'!C5,'Procyclean 520'!D5,'Procyclean 520'!E5)&gt;0,"520","")</f>
        <v>520</v>
      </c>
      <c r="AB2503">
        <f>IFERROR(IF(ISNUMBER('Procyclean 520'!C5),'Procyclean 520'!C5,DATEVALUE('Procyclean 520'!C5)),"")</f>
        <v>45478</v>
      </c>
      <c r="AC2503" t="str">
        <f>IF(AA2503="","",'Procyclean 520'!D5)</f>
        <v>8526/24</v>
      </c>
      <c r="AD2503">
        <f>IF(AA2503="","",IFERROR(1*'Procyclean 520'!E5,IFERROR(_xludf.NUMBERVALUE('Procyclean 520'!E5,".",","),IFERROR(_xludf.NUMBERVALUE('Procyclean 520'!E5,",","."),0))))</f>
        <v>200</v>
      </c>
      <c r="AE2503" t="str">
        <f>IF(AA2503="","",'Procyclean 520'!B5)</f>
        <v>Aprovado</v>
      </c>
      <c r="AF2503">
        <f t="shared" si="251"/>
        <v>1</v>
      </c>
      <c r="AG2503">
        <f t="shared" si="252"/>
        <v>2024</v>
      </c>
      <c r="AH2503">
        <f t="shared" si="253"/>
        <v>7</v>
      </c>
      <c r="AI2503">
        <f t="shared" si="254"/>
        <v>45478.002503000003</v>
      </c>
      <c r="AJ2503">
        <f t="shared" si="255"/>
        <v>1</v>
      </c>
      <c r="AK2503">
        <v>0</v>
      </c>
      <c r="AL2503">
        <f>IF(AA2503="","",IFERROR(IF(ISNUMBER('Procyclean 520'!F5),'Procyclean 520'!F5,IF(ISNUMBER(SEARCH("12",'Procyclean 520'!F5)),EDATE(AB2503,12),IF(ISNUMBER(SEARCH("6",'Procyclean 520'!F5)),EDATE(AB2503,6),IF(ISNUMBER(SEARCH("3",'Procyclean 520'!F5)),EDATE(AB2503,3),DATEVALUE('Procyclean 520'!F5))))),""))</f>
        <v>45843</v>
      </c>
      <c r="AM2503" t="str">
        <f t="shared" ca="1" si="256"/>
        <v/>
      </c>
    </row>
    <row r="2504" spans="27:39" x14ac:dyDescent="0.3">
      <c r="AA2504" t="str">
        <f>IF(COUNTA('Procyclean 520'!C6,'Procyclean 520'!D6,'Procyclean 520'!E6)&gt;0,"520","")</f>
        <v>520</v>
      </c>
      <c r="AB2504">
        <f>IFERROR(IF(ISNUMBER('Procyclean 520'!C6),'Procyclean 520'!C6,DATEVALUE('Procyclean 520'!C6)),"")</f>
        <v>45741</v>
      </c>
      <c r="AC2504" t="str">
        <f>IF(AA2504="","",'Procyclean 520'!D6)</f>
        <v>9065/25</v>
      </c>
      <c r="AD2504">
        <f>IF(AA2504="","",IFERROR(1*'Procyclean 520'!E6,IFERROR(_xludf.NUMBERVALUE('Procyclean 520'!E6,".",","),IFERROR(_xludf.NUMBERVALUE('Procyclean 520'!E6,",","."),0))))</f>
        <v>125</v>
      </c>
      <c r="AE2504" t="str">
        <f>IF(AA2504="","",'Procyclean 520'!B6)</f>
        <v>Aprovado</v>
      </c>
      <c r="AF2504">
        <f t="shared" si="251"/>
        <v>1</v>
      </c>
      <c r="AG2504">
        <f t="shared" si="252"/>
        <v>2025</v>
      </c>
      <c r="AH2504">
        <f t="shared" si="253"/>
        <v>3</v>
      </c>
      <c r="AI2504">
        <f t="shared" si="254"/>
        <v>45741.002503999996</v>
      </c>
      <c r="AJ2504">
        <f t="shared" si="255"/>
        <v>1</v>
      </c>
      <c r="AK2504">
        <v>0</v>
      </c>
      <c r="AL2504">
        <f>IF(AA2504="","",IFERROR(IF(ISNUMBER('Procyclean 520'!F6),'Procyclean 520'!F6,IF(ISNUMBER(SEARCH("12",'Procyclean 520'!F6)),EDATE(AB2504,12),IF(ISNUMBER(SEARCH("6",'Procyclean 520'!F6)),EDATE(AB2504,6),IF(ISNUMBER(SEARCH("3",'Procyclean 520'!F6)),EDATE(AB2504,3),DATEVALUE('Procyclean 520'!F6))))),""))</f>
        <v>46106</v>
      </c>
      <c r="AM2504" t="str">
        <f t="shared" ca="1" si="256"/>
        <v/>
      </c>
    </row>
    <row r="2505" spans="27:39" x14ac:dyDescent="0.3">
      <c r="AA2505" t="str">
        <f>IF(COUNTA('Procyclean 520'!C7,'Procyclean 520'!D7,'Procyclean 520'!E7)&gt;0,"520","")</f>
        <v>520</v>
      </c>
      <c r="AB2505">
        <f>IFERROR(IF(ISNUMBER('Procyclean 520'!C7),'Procyclean 520'!C7,DATEVALUE('Procyclean 520'!C7)),"")</f>
        <v>45839</v>
      </c>
      <c r="AC2505" t="str">
        <f>IF(AA2505="","",'Procyclean 520'!D7)</f>
        <v>9247/25</v>
      </c>
      <c r="AD2505">
        <f>IF(AA2505="","",IFERROR(1*'Procyclean 520'!E7,IFERROR(_xludf.NUMBERVALUE('Procyclean 520'!E7,".",","),IFERROR(_xludf.NUMBERVALUE('Procyclean 520'!E7,",","."),0))))</f>
        <v>150</v>
      </c>
      <c r="AE2505" t="str">
        <f>IF(AA2505="","",'Procyclean 520'!B7)</f>
        <v>Aprovado</v>
      </c>
      <c r="AF2505">
        <f t="shared" si="251"/>
        <v>1</v>
      </c>
      <c r="AG2505">
        <f t="shared" si="252"/>
        <v>2025</v>
      </c>
      <c r="AH2505">
        <f t="shared" si="253"/>
        <v>7</v>
      </c>
      <c r="AI2505">
        <f t="shared" si="254"/>
        <v>45839.002504999997</v>
      </c>
      <c r="AJ2505">
        <f t="shared" si="255"/>
        <v>1</v>
      </c>
      <c r="AK2505">
        <v>0</v>
      </c>
      <c r="AL2505">
        <f>IF(AA2505="","",IFERROR(IF(ISNUMBER('Procyclean 520'!F7),'Procyclean 520'!F7,IF(ISNUMBER(SEARCH("12",'Procyclean 520'!F7)),EDATE(AB2505,12),IF(ISNUMBER(SEARCH("6",'Procyclean 520'!F7)),EDATE(AB2505,6),IF(ISNUMBER(SEARCH("3",'Procyclean 520'!F7)),EDATE(AB2505,3),DATEVALUE('Procyclean 520'!F7))))),""))</f>
        <v>46204</v>
      </c>
      <c r="AM2505">
        <f t="shared" ca="1" si="256"/>
        <v>46204.002504999997</v>
      </c>
    </row>
    <row r="2506" spans="27:39" x14ac:dyDescent="0.3">
      <c r="AA2506" t="str">
        <f>IF(COUNTA('Procyclean 520'!C8,'Procyclean 520'!D8,'Procyclean 520'!E8)&gt;0,"520","")</f>
        <v>520</v>
      </c>
      <c r="AB2506">
        <f>IFERROR(IF(ISNUMBER('Procyclean 520'!C8),'Procyclean 520'!C8,DATEVALUE('Procyclean 520'!C8)),"")</f>
        <v>45966</v>
      </c>
      <c r="AC2506" t="str">
        <f>IF(AA2506="","",'Procyclean 520'!D8)</f>
        <v>9521/25</v>
      </c>
      <c r="AD2506">
        <f>IF(AA2506="","",IFERROR(1*'Procyclean 520'!E8,IFERROR(_xludf.NUMBERVALUE('Procyclean 520'!E8,".",","),IFERROR(_xludf.NUMBERVALUE('Procyclean 520'!E8,",","."),0))))</f>
        <v>125</v>
      </c>
      <c r="AE2506" t="str">
        <f>IF(AA2506="","",'Procyclean 520'!B8)</f>
        <v>Aprovado</v>
      </c>
      <c r="AF2506">
        <f t="shared" si="251"/>
        <v>1</v>
      </c>
      <c r="AG2506">
        <f t="shared" si="252"/>
        <v>2025</v>
      </c>
      <c r="AH2506">
        <f t="shared" si="253"/>
        <v>11</v>
      </c>
      <c r="AI2506">
        <f t="shared" si="254"/>
        <v>45966.002505999997</v>
      </c>
      <c r="AJ2506">
        <f t="shared" si="255"/>
        <v>1</v>
      </c>
      <c r="AK2506">
        <v>0</v>
      </c>
      <c r="AL2506">
        <f>IF(AA2506="","",IFERROR(IF(ISNUMBER('Procyclean 520'!F8),'Procyclean 520'!F8,IF(ISNUMBER(SEARCH("12",'Procyclean 520'!F8)),EDATE(AB2506,12),IF(ISNUMBER(SEARCH("6",'Procyclean 520'!F8)),EDATE(AB2506,6),IF(ISNUMBER(SEARCH("3",'Procyclean 520'!F8)),EDATE(AB2506,3),DATEVALUE('Procyclean 520'!F8))))),""))</f>
        <v>46331</v>
      </c>
      <c r="AM2506">
        <f t="shared" ca="1" si="256"/>
        <v>46331.002505999997</v>
      </c>
    </row>
    <row r="2507" spans="27:39" x14ac:dyDescent="0.3">
      <c r="AA2507" t="str">
        <f>IF(COUNTA('Procyclean 520'!C9,'Procyclean 520'!D9,'Procyclean 520'!E9)&gt;0,"520","")</f>
        <v>520</v>
      </c>
      <c r="AB2507">
        <f>IFERROR(IF(ISNUMBER('Procyclean 520'!C9),'Procyclean 520'!C9,DATEVALUE('Procyclean 520'!C9)),"")</f>
        <v>46062</v>
      </c>
      <c r="AC2507" t="str">
        <f>IF(AA2507="","",'Procyclean 520'!D9)</f>
        <v>9707/26</v>
      </c>
      <c r="AD2507">
        <f>IF(AA2507="","",IFERROR(1*'Procyclean 520'!E9,IFERROR(_xludf.NUMBERVALUE('Procyclean 520'!E9,".",","),IFERROR(_xludf.NUMBERVALUE('Procyclean 520'!E9,",","."),0))))</f>
        <v>125</v>
      </c>
      <c r="AE2507" t="str">
        <f>IF(AA2507="","",'Procyclean 520'!B9)</f>
        <v>Aprovado</v>
      </c>
      <c r="AF2507">
        <f t="shared" si="251"/>
        <v>1</v>
      </c>
      <c r="AG2507">
        <f t="shared" si="252"/>
        <v>2026</v>
      </c>
      <c r="AH2507">
        <f t="shared" si="253"/>
        <v>2</v>
      </c>
      <c r="AI2507">
        <f t="shared" si="254"/>
        <v>46062.002506999997</v>
      </c>
      <c r="AJ2507">
        <f t="shared" si="255"/>
        <v>1</v>
      </c>
      <c r="AK2507">
        <v>0</v>
      </c>
      <c r="AL2507">
        <f>IF(AA2507="","",IFERROR(IF(ISNUMBER('Procyclean 520'!F9),'Procyclean 520'!F9,IF(ISNUMBER(SEARCH("12",'Procyclean 520'!F9)),EDATE(AB2507,12),IF(ISNUMBER(SEARCH("6",'Procyclean 520'!F9)),EDATE(AB2507,6),IF(ISNUMBER(SEARCH("3",'Procyclean 520'!F9)),EDATE(AB2507,3),DATEVALUE('Procyclean 520'!F9))))),""))</f>
        <v>46427</v>
      </c>
      <c r="AM2507" t="str">
        <f t="shared" ca="1" si="256"/>
        <v/>
      </c>
    </row>
    <row r="2508" spans="27:39" x14ac:dyDescent="0.3">
      <c r="AA2508" t="str">
        <f>IF(COUNTA('Procyclean 520'!C10,'Procyclean 520'!D10,'Procyclean 520'!E10)&gt;0,"520","")</f>
        <v>520</v>
      </c>
      <c r="AB2508">
        <f>IFERROR(IF(ISNUMBER('Procyclean 520'!C10),'Procyclean 520'!C10,DATEVALUE('Procyclean 520'!C10)),"")</f>
        <v>46141</v>
      </c>
      <c r="AC2508" t="str">
        <f>IF(AA2508="","",'Procyclean 520'!D10)</f>
        <v>9883/26</v>
      </c>
      <c r="AD2508">
        <f>IF(AA2508="","",IFERROR(1*'Procyclean 520'!E10,IFERROR(_xludf.NUMBERVALUE('Procyclean 520'!E10,".",","),IFERROR(_xludf.NUMBERVALUE('Procyclean 520'!E10,",","."),0))))</f>
        <v>75</v>
      </c>
      <c r="AE2508" t="str">
        <f>IF(AA2508="","",'Procyclean 520'!B10)</f>
        <v>Aprovado</v>
      </c>
      <c r="AF2508">
        <f t="shared" si="251"/>
        <v>1</v>
      </c>
      <c r="AG2508">
        <f t="shared" si="252"/>
        <v>2026</v>
      </c>
      <c r="AH2508">
        <f t="shared" si="253"/>
        <v>4</v>
      </c>
      <c r="AI2508">
        <f t="shared" si="254"/>
        <v>46141.002507999998</v>
      </c>
      <c r="AJ2508">
        <f t="shared" si="255"/>
        <v>1</v>
      </c>
      <c r="AK2508">
        <v>0</v>
      </c>
      <c r="AL2508">
        <f>IF(AA2508="","",IFERROR(IF(ISNUMBER('Procyclean 520'!F10),'Procyclean 520'!F10,IF(ISNUMBER(SEARCH("12",'Procyclean 520'!F10)),EDATE(AB2508,12),IF(ISNUMBER(SEARCH("6",'Procyclean 520'!F10)),EDATE(AB2508,6),IF(ISNUMBER(SEARCH("3",'Procyclean 520'!F10)),EDATE(AB2508,3),DATEVALUE('Procyclean 520'!F10))))),""))</f>
        <v>46506</v>
      </c>
      <c r="AM2508" t="str">
        <f t="shared" ca="1" si="256"/>
        <v/>
      </c>
    </row>
    <row r="2509" spans="27:39" x14ac:dyDescent="0.3">
      <c r="AA2509" t="str">
        <f>IF(COUNTA('Procyclean 520'!C11,'Procyclean 520'!D11,'Procyclean 520'!E11)&gt;0,"520","")</f>
        <v/>
      </c>
      <c r="AB2509" t="str">
        <f>IFERROR(IF(ISNUMBER('Procyclean 520'!C11),'Procyclean 520'!C11,DATEVALUE('Procyclean 520'!C11)),"")</f>
        <v/>
      </c>
      <c r="AC2509" t="str">
        <f>IF(AA2509="","",'Procyclean 520'!D11)</f>
        <v/>
      </c>
      <c r="AD2509" t="str">
        <f>IF(AA2509="","",IFERROR(1*'Procyclean 520'!E11,IFERROR(_xludf.NUMBERVALUE('Procyclean 520'!E11,".",","),IFERROR(_xludf.NUMBERVALUE('Procyclean 520'!E11,",","."),0))))</f>
        <v/>
      </c>
      <c r="AE2509" t="str">
        <f>IF(AA2509="","",'Procyclean 520'!B11)</f>
        <v/>
      </c>
      <c r="AF2509">
        <f t="shared" si="251"/>
        <v>0</v>
      </c>
      <c r="AG2509" t="str">
        <f t="shared" si="252"/>
        <v/>
      </c>
      <c r="AH2509" t="str">
        <f t="shared" si="253"/>
        <v/>
      </c>
      <c r="AI2509">
        <f t="shared" si="254"/>
        <v>0</v>
      </c>
      <c r="AJ2509">
        <f t="shared" si="255"/>
        <v>0</v>
      </c>
      <c r="AK2509">
        <v>0</v>
      </c>
      <c r="AL2509" t="str">
        <f>IF(AA2509="","",IFERROR(IF(ISNUMBER('Procyclean 520'!F11),'Procyclean 520'!F11,IF(ISNUMBER(SEARCH("12",'Procyclean 520'!F11)),EDATE(AB2509,12),IF(ISNUMBER(SEARCH("6",'Procyclean 520'!F11)),EDATE(AB2509,6),IF(ISNUMBER(SEARCH("3",'Procyclean 520'!F11)),EDATE(AB2509,3),DATEVALUE('Procyclean 520'!F11))))),""))</f>
        <v/>
      </c>
      <c r="AM2509" t="str">
        <f t="shared" ca="1" si="256"/>
        <v/>
      </c>
    </row>
    <row r="2510" spans="27:39" x14ac:dyDescent="0.3">
      <c r="AA2510" t="str">
        <f>IF(COUNTA('Procyclean 520'!C12,'Procyclean 520'!D12,'Procyclean 520'!E12)&gt;0,"520","")</f>
        <v/>
      </c>
      <c r="AB2510" t="str">
        <f>IFERROR(IF(ISNUMBER('Procyclean 520'!C12),'Procyclean 520'!C12,DATEVALUE('Procyclean 520'!C12)),"")</f>
        <v/>
      </c>
      <c r="AC2510" t="str">
        <f>IF(AA2510="","",'Procyclean 520'!D12)</f>
        <v/>
      </c>
      <c r="AD2510" t="str">
        <f>IF(AA2510="","",IFERROR(1*'Procyclean 520'!E12,IFERROR(_xludf.NUMBERVALUE('Procyclean 520'!E12,".",","),IFERROR(_xludf.NUMBERVALUE('Procyclean 520'!E12,",","."),0))))</f>
        <v/>
      </c>
      <c r="AE2510" t="str">
        <f>IF(AA2510="","",'Procyclean 520'!B12)</f>
        <v/>
      </c>
      <c r="AF2510">
        <f t="shared" si="251"/>
        <v>0</v>
      </c>
      <c r="AG2510" t="str">
        <f t="shared" si="252"/>
        <v/>
      </c>
      <c r="AH2510" t="str">
        <f t="shared" si="253"/>
        <v/>
      </c>
      <c r="AI2510">
        <f t="shared" si="254"/>
        <v>0</v>
      </c>
      <c r="AJ2510">
        <f t="shared" si="255"/>
        <v>0</v>
      </c>
      <c r="AK2510">
        <v>0</v>
      </c>
      <c r="AL2510" t="str">
        <f>IF(AA2510="","",IFERROR(IF(ISNUMBER('Procyclean 520'!F12),'Procyclean 520'!F12,IF(ISNUMBER(SEARCH("12",'Procyclean 520'!F12)),EDATE(AB2510,12),IF(ISNUMBER(SEARCH("6",'Procyclean 520'!F12)),EDATE(AB2510,6),IF(ISNUMBER(SEARCH("3",'Procyclean 520'!F12)),EDATE(AB2510,3),DATEVALUE('Procyclean 520'!F12))))),""))</f>
        <v/>
      </c>
      <c r="AM2510" t="str">
        <f t="shared" ca="1" si="256"/>
        <v/>
      </c>
    </row>
    <row r="2511" spans="27:39" x14ac:dyDescent="0.3">
      <c r="AA2511" t="str">
        <f>IF(COUNTA('Procyclean 520'!C13,'Procyclean 520'!D13,'Procyclean 520'!E13)&gt;0,"520","")</f>
        <v/>
      </c>
      <c r="AB2511" t="str">
        <f>IFERROR(IF(ISNUMBER('Procyclean 520'!C13),'Procyclean 520'!C13,DATEVALUE('Procyclean 520'!C13)),"")</f>
        <v/>
      </c>
      <c r="AC2511" t="str">
        <f>IF(AA2511="","",'Procyclean 520'!D13)</f>
        <v/>
      </c>
      <c r="AD2511" t="str">
        <f>IF(AA2511="","",IFERROR(1*'Procyclean 520'!E13,IFERROR(_xludf.NUMBERVALUE('Procyclean 520'!E13,".",","),IFERROR(_xludf.NUMBERVALUE('Procyclean 520'!E13,",","."),0))))</f>
        <v/>
      </c>
      <c r="AE2511" t="str">
        <f>IF(AA2511="","",'Procyclean 520'!B13)</f>
        <v/>
      </c>
      <c r="AF2511">
        <f t="shared" si="251"/>
        <v>0</v>
      </c>
      <c r="AG2511" t="str">
        <f t="shared" si="252"/>
        <v/>
      </c>
      <c r="AH2511" t="str">
        <f t="shared" si="253"/>
        <v/>
      </c>
      <c r="AI2511">
        <f t="shared" si="254"/>
        <v>0</v>
      </c>
      <c r="AJ2511">
        <f t="shared" si="255"/>
        <v>0</v>
      </c>
      <c r="AK2511">
        <v>0</v>
      </c>
      <c r="AL2511" t="str">
        <f>IF(AA2511="","",IFERROR(IF(ISNUMBER('Procyclean 520'!F13),'Procyclean 520'!F13,IF(ISNUMBER(SEARCH("12",'Procyclean 520'!F13)),EDATE(AB2511,12),IF(ISNUMBER(SEARCH("6",'Procyclean 520'!F13)),EDATE(AB2511,6),IF(ISNUMBER(SEARCH("3",'Procyclean 520'!F13)),EDATE(AB2511,3),DATEVALUE('Procyclean 520'!F13))))),""))</f>
        <v/>
      </c>
      <c r="AM2511" t="str">
        <f t="shared" ca="1" si="256"/>
        <v/>
      </c>
    </row>
    <row r="2512" spans="27:39" x14ac:dyDescent="0.3">
      <c r="AA2512" t="str">
        <f>IF(COUNTA('Procyclean 520'!C14,'Procyclean 520'!D14,'Procyclean 520'!E14)&gt;0,"520","")</f>
        <v/>
      </c>
      <c r="AB2512" t="str">
        <f>IFERROR(IF(ISNUMBER('Procyclean 520'!C14),'Procyclean 520'!C14,DATEVALUE('Procyclean 520'!C14)),"")</f>
        <v/>
      </c>
      <c r="AC2512" t="str">
        <f>IF(AA2512="","",'Procyclean 520'!D14)</f>
        <v/>
      </c>
      <c r="AD2512" t="str">
        <f>IF(AA2512="","",IFERROR(1*'Procyclean 520'!E14,IFERROR(_xludf.NUMBERVALUE('Procyclean 520'!E14,".",","),IFERROR(_xludf.NUMBERVALUE('Procyclean 520'!E14,",","."),0))))</f>
        <v/>
      </c>
      <c r="AE2512" t="str">
        <f>IF(AA2512="","",'Procyclean 520'!B14)</f>
        <v/>
      </c>
      <c r="AF2512">
        <f t="shared" si="251"/>
        <v>0</v>
      </c>
      <c r="AG2512" t="str">
        <f t="shared" si="252"/>
        <v/>
      </c>
      <c r="AH2512" t="str">
        <f t="shared" si="253"/>
        <v/>
      </c>
      <c r="AI2512">
        <f t="shared" si="254"/>
        <v>0</v>
      </c>
      <c r="AJ2512">
        <f t="shared" si="255"/>
        <v>0</v>
      </c>
      <c r="AK2512">
        <v>0</v>
      </c>
      <c r="AL2512" t="str">
        <f>IF(AA2512="","",IFERROR(IF(ISNUMBER('Procyclean 520'!F14),'Procyclean 520'!F14,IF(ISNUMBER(SEARCH("12",'Procyclean 520'!F14)),EDATE(AB2512,12),IF(ISNUMBER(SEARCH("6",'Procyclean 520'!F14)),EDATE(AB2512,6),IF(ISNUMBER(SEARCH("3",'Procyclean 520'!F14)),EDATE(AB2512,3),DATEVALUE('Procyclean 520'!F14))))),""))</f>
        <v/>
      </c>
      <c r="AM2512" t="str">
        <f t="shared" ca="1" si="256"/>
        <v/>
      </c>
    </row>
    <row r="2513" spans="27:39" x14ac:dyDescent="0.3">
      <c r="AA2513" t="str">
        <f>IF(COUNTA('Procyclean 520'!C15,'Procyclean 520'!D15,'Procyclean 520'!E15)&gt;0,"520","")</f>
        <v/>
      </c>
      <c r="AB2513" t="str">
        <f>IFERROR(IF(ISNUMBER('Procyclean 520'!C15),'Procyclean 520'!C15,DATEVALUE('Procyclean 520'!C15)),"")</f>
        <v/>
      </c>
      <c r="AC2513" t="str">
        <f>IF(AA2513="","",'Procyclean 520'!D15)</f>
        <v/>
      </c>
      <c r="AD2513" t="str">
        <f>IF(AA2513="","",IFERROR(1*'Procyclean 520'!E15,IFERROR(_xludf.NUMBERVALUE('Procyclean 520'!E15,".",","),IFERROR(_xludf.NUMBERVALUE('Procyclean 520'!E15,",","."),0))))</f>
        <v/>
      </c>
      <c r="AE2513" t="str">
        <f>IF(AA2513="","",'Procyclean 520'!B15)</f>
        <v/>
      </c>
      <c r="AF2513">
        <f t="shared" si="251"/>
        <v>0</v>
      </c>
      <c r="AG2513" t="str">
        <f t="shared" si="252"/>
        <v/>
      </c>
      <c r="AH2513" t="str">
        <f t="shared" si="253"/>
        <v/>
      </c>
      <c r="AI2513">
        <f t="shared" si="254"/>
        <v>0</v>
      </c>
      <c r="AJ2513">
        <f t="shared" si="255"/>
        <v>0</v>
      </c>
      <c r="AK2513">
        <v>0</v>
      </c>
      <c r="AL2513" t="str">
        <f>IF(AA2513="","",IFERROR(IF(ISNUMBER('Procyclean 520'!F15),'Procyclean 520'!F15,IF(ISNUMBER(SEARCH("12",'Procyclean 520'!F15)),EDATE(AB2513,12),IF(ISNUMBER(SEARCH("6",'Procyclean 520'!F15)),EDATE(AB2513,6),IF(ISNUMBER(SEARCH("3",'Procyclean 520'!F15)),EDATE(AB2513,3),DATEVALUE('Procyclean 520'!F15))))),""))</f>
        <v/>
      </c>
      <c r="AM2513" t="str">
        <f t="shared" ca="1" si="256"/>
        <v/>
      </c>
    </row>
    <row r="2514" spans="27:39" x14ac:dyDescent="0.3">
      <c r="AA2514" t="str">
        <f>IF(COUNTA('Procyclean 520'!C16,'Procyclean 520'!D16,'Procyclean 520'!E16)&gt;0,"520","")</f>
        <v/>
      </c>
      <c r="AB2514" t="str">
        <f>IFERROR(IF(ISNUMBER('Procyclean 520'!C16),'Procyclean 520'!C16,DATEVALUE('Procyclean 520'!C16)),"")</f>
        <v/>
      </c>
      <c r="AC2514" t="str">
        <f>IF(AA2514="","",'Procyclean 520'!D16)</f>
        <v/>
      </c>
      <c r="AD2514" t="str">
        <f>IF(AA2514="","",IFERROR(1*'Procyclean 520'!E16,IFERROR(_xludf.NUMBERVALUE('Procyclean 520'!E16,".",","),IFERROR(_xludf.NUMBERVALUE('Procyclean 520'!E16,",","."),0))))</f>
        <v/>
      </c>
      <c r="AE2514" t="str">
        <f>IF(AA2514="","",'Procyclean 520'!B16)</f>
        <v/>
      </c>
      <c r="AF2514">
        <f t="shared" si="251"/>
        <v>0</v>
      </c>
      <c r="AG2514" t="str">
        <f t="shared" si="252"/>
        <v/>
      </c>
      <c r="AH2514" t="str">
        <f t="shared" si="253"/>
        <v/>
      </c>
      <c r="AI2514">
        <f t="shared" si="254"/>
        <v>0</v>
      </c>
      <c r="AJ2514">
        <f t="shared" si="255"/>
        <v>0</v>
      </c>
      <c r="AK2514">
        <v>0</v>
      </c>
      <c r="AL2514" t="str">
        <f>IF(AA2514="","",IFERROR(IF(ISNUMBER('Procyclean 520'!F16),'Procyclean 520'!F16,IF(ISNUMBER(SEARCH("12",'Procyclean 520'!F16)),EDATE(AB2514,12),IF(ISNUMBER(SEARCH("6",'Procyclean 520'!F16)),EDATE(AB2514,6),IF(ISNUMBER(SEARCH("3",'Procyclean 520'!F16)),EDATE(AB2514,3),DATEVALUE('Procyclean 520'!F16))))),""))</f>
        <v/>
      </c>
      <c r="AM2514" t="str">
        <f t="shared" ca="1" si="256"/>
        <v/>
      </c>
    </row>
    <row r="2515" spans="27:39" x14ac:dyDescent="0.3">
      <c r="AA2515" t="str">
        <f>IF(COUNTA('Procyclean 520'!C17,'Procyclean 520'!D17,'Procyclean 520'!E17)&gt;0,"520","")</f>
        <v/>
      </c>
      <c r="AB2515" t="str">
        <f>IFERROR(IF(ISNUMBER('Procyclean 520'!C17),'Procyclean 520'!C17,DATEVALUE('Procyclean 520'!C17)),"")</f>
        <v/>
      </c>
      <c r="AC2515" t="str">
        <f>IF(AA2515="","",'Procyclean 520'!D17)</f>
        <v/>
      </c>
      <c r="AD2515" t="str">
        <f>IF(AA2515="","",IFERROR(1*'Procyclean 520'!E17,IFERROR(_xludf.NUMBERVALUE('Procyclean 520'!E17,".",","),IFERROR(_xludf.NUMBERVALUE('Procyclean 520'!E17,",","."),0))))</f>
        <v/>
      </c>
      <c r="AE2515" t="str">
        <f>IF(AA2515="","",'Procyclean 520'!B17)</f>
        <v/>
      </c>
      <c r="AF2515">
        <f t="shared" si="251"/>
        <v>0</v>
      </c>
      <c r="AG2515" t="str">
        <f t="shared" si="252"/>
        <v/>
      </c>
      <c r="AH2515" t="str">
        <f t="shared" si="253"/>
        <v/>
      </c>
      <c r="AI2515">
        <f t="shared" si="254"/>
        <v>0</v>
      </c>
      <c r="AJ2515">
        <f t="shared" si="255"/>
        <v>0</v>
      </c>
      <c r="AK2515">
        <v>0</v>
      </c>
      <c r="AL2515" t="str">
        <f>IF(AA2515="","",IFERROR(IF(ISNUMBER('Procyclean 520'!F17),'Procyclean 520'!F17,IF(ISNUMBER(SEARCH("12",'Procyclean 520'!F17)),EDATE(AB2515,12),IF(ISNUMBER(SEARCH("6",'Procyclean 520'!F17)),EDATE(AB2515,6),IF(ISNUMBER(SEARCH("3",'Procyclean 520'!F17)),EDATE(AB2515,3),DATEVALUE('Procyclean 520'!F17))))),""))</f>
        <v/>
      </c>
      <c r="AM2515" t="str">
        <f t="shared" ca="1" si="256"/>
        <v/>
      </c>
    </row>
    <row r="2516" spans="27:39" x14ac:dyDescent="0.3">
      <c r="AA2516" t="str">
        <f>IF(COUNTA('Procyclean 520'!C18,'Procyclean 520'!D18,'Procyclean 520'!E18)&gt;0,"520","")</f>
        <v/>
      </c>
      <c r="AB2516" t="str">
        <f>IFERROR(IF(ISNUMBER('Procyclean 520'!C18),'Procyclean 520'!C18,DATEVALUE('Procyclean 520'!C18)),"")</f>
        <v/>
      </c>
      <c r="AC2516" t="str">
        <f>IF(AA2516="","",'Procyclean 520'!D18)</f>
        <v/>
      </c>
      <c r="AD2516" t="str">
        <f>IF(AA2516="","",IFERROR(1*'Procyclean 520'!E18,IFERROR(_xludf.NUMBERVALUE('Procyclean 520'!E18,".",","),IFERROR(_xludf.NUMBERVALUE('Procyclean 520'!E18,",","."),0))))</f>
        <v/>
      </c>
      <c r="AE2516" t="str">
        <f>IF(AA2516="","",'Procyclean 520'!B18)</f>
        <v/>
      </c>
      <c r="AF2516">
        <f t="shared" si="251"/>
        <v>0</v>
      </c>
      <c r="AG2516" t="str">
        <f t="shared" si="252"/>
        <v/>
      </c>
      <c r="AH2516" t="str">
        <f t="shared" si="253"/>
        <v/>
      </c>
      <c r="AI2516">
        <f t="shared" si="254"/>
        <v>0</v>
      </c>
      <c r="AJ2516">
        <f t="shared" si="255"/>
        <v>0</v>
      </c>
      <c r="AK2516">
        <v>0</v>
      </c>
      <c r="AL2516" t="str">
        <f>IF(AA2516="","",IFERROR(IF(ISNUMBER('Procyclean 520'!F18),'Procyclean 520'!F18,IF(ISNUMBER(SEARCH("12",'Procyclean 520'!F18)),EDATE(AB2516,12),IF(ISNUMBER(SEARCH("6",'Procyclean 520'!F18)),EDATE(AB2516,6),IF(ISNUMBER(SEARCH("3",'Procyclean 520'!F18)),EDATE(AB2516,3),DATEVALUE('Procyclean 520'!F18))))),""))</f>
        <v/>
      </c>
      <c r="AM2516" t="str">
        <f t="shared" ca="1" si="256"/>
        <v/>
      </c>
    </row>
    <row r="2517" spans="27:39" x14ac:dyDescent="0.3">
      <c r="AA2517" t="str">
        <f>IF(COUNTA('Procyclean 520'!C19,'Procyclean 520'!D19,'Procyclean 520'!E19)&gt;0,"520","")</f>
        <v/>
      </c>
      <c r="AB2517" t="str">
        <f>IFERROR(IF(ISNUMBER('Procyclean 520'!C19),'Procyclean 520'!C19,DATEVALUE('Procyclean 520'!C19)),"")</f>
        <v/>
      </c>
      <c r="AC2517" t="str">
        <f>IF(AA2517="","",'Procyclean 520'!D19)</f>
        <v/>
      </c>
      <c r="AD2517" t="str">
        <f>IF(AA2517="","",IFERROR(1*'Procyclean 520'!E19,IFERROR(_xludf.NUMBERVALUE('Procyclean 520'!E19,".",","),IFERROR(_xludf.NUMBERVALUE('Procyclean 520'!E19,",","."),0))))</f>
        <v/>
      </c>
      <c r="AE2517" t="str">
        <f>IF(AA2517="","",'Procyclean 520'!B19)</f>
        <v/>
      </c>
      <c r="AF2517">
        <f t="shared" si="251"/>
        <v>0</v>
      </c>
      <c r="AG2517" t="str">
        <f t="shared" si="252"/>
        <v/>
      </c>
      <c r="AH2517" t="str">
        <f t="shared" si="253"/>
        <v/>
      </c>
      <c r="AI2517">
        <f t="shared" si="254"/>
        <v>0</v>
      </c>
      <c r="AJ2517">
        <f t="shared" si="255"/>
        <v>0</v>
      </c>
      <c r="AK2517">
        <v>0</v>
      </c>
      <c r="AL2517" t="str">
        <f>IF(AA2517="","",IFERROR(IF(ISNUMBER('Procyclean 520'!F19),'Procyclean 520'!F19,IF(ISNUMBER(SEARCH("12",'Procyclean 520'!F19)),EDATE(AB2517,12),IF(ISNUMBER(SEARCH("6",'Procyclean 520'!F19)),EDATE(AB2517,6),IF(ISNUMBER(SEARCH("3",'Procyclean 520'!F19)),EDATE(AB2517,3),DATEVALUE('Procyclean 520'!F19))))),""))</f>
        <v/>
      </c>
      <c r="AM2517" t="str">
        <f t="shared" ca="1" si="256"/>
        <v/>
      </c>
    </row>
    <row r="2518" spans="27:39" x14ac:dyDescent="0.3">
      <c r="AA2518" t="str">
        <f>IF(COUNTA('Procyclean 520'!C20,'Procyclean 520'!D20,'Procyclean 520'!E20)&gt;0,"520","")</f>
        <v/>
      </c>
      <c r="AB2518" t="str">
        <f>IFERROR(IF(ISNUMBER('Procyclean 520'!C20),'Procyclean 520'!C20,DATEVALUE('Procyclean 520'!C20)),"")</f>
        <v/>
      </c>
      <c r="AC2518" t="str">
        <f>IF(AA2518="","",'Procyclean 520'!D20)</f>
        <v/>
      </c>
      <c r="AD2518" t="str">
        <f>IF(AA2518="","",IFERROR(1*'Procyclean 520'!E20,IFERROR(_xludf.NUMBERVALUE('Procyclean 520'!E20,".",","),IFERROR(_xludf.NUMBERVALUE('Procyclean 520'!E20,",","."),0))))</f>
        <v/>
      </c>
      <c r="AE2518" t="str">
        <f>IF(AA2518="","",'Procyclean 520'!B20)</f>
        <v/>
      </c>
      <c r="AF2518">
        <f t="shared" si="251"/>
        <v>0</v>
      </c>
      <c r="AG2518" t="str">
        <f t="shared" si="252"/>
        <v/>
      </c>
      <c r="AH2518" t="str">
        <f t="shared" si="253"/>
        <v/>
      </c>
      <c r="AI2518">
        <f t="shared" si="254"/>
        <v>0</v>
      </c>
      <c r="AJ2518">
        <f t="shared" si="255"/>
        <v>0</v>
      </c>
      <c r="AK2518">
        <v>0</v>
      </c>
      <c r="AL2518" t="str">
        <f>IF(AA2518="","",IFERROR(IF(ISNUMBER('Procyclean 520'!F20),'Procyclean 520'!F20,IF(ISNUMBER(SEARCH("12",'Procyclean 520'!F20)),EDATE(AB2518,12),IF(ISNUMBER(SEARCH("6",'Procyclean 520'!F20)),EDATE(AB2518,6),IF(ISNUMBER(SEARCH("3",'Procyclean 520'!F20)),EDATE(AB2518,3),DATEVALUE('Procyclean 520'!F20))))),""))</f>
        <v/>
      </c>
      <c r="AM2518" t="str">
        <f t="shared" ca="1" si="256"/>
        <v/>
      </c>
    </row>
    <row r="2519" spans="27:39" x14ac:dyDescent="0.3">
      <c r="AA2519" t="str">
        <f>IF(COUNTA('Procyclean 520'!C21,'Procyclean 520'!D21,'Procyclean 520'!E21)&gt;0,"520","")</f>
        <v/>
      </c>
      <c r="AB2519" t="str">
        <f>IFERROR(IF(ISNUMBER('Procyclean 520'!C21),'Procyclean 520'!C21,DATEVALUE('Procyclean 520'!C21)),"")</f>
        <v/>
      </c>
      <c r="AC2519" t="str">
        <f>IF(AA2519="","",'Procyclean 520'!D21)</f>
        <v/>
      </c>
      <c r="AD2519" t="str">
        <f>IF(AA2519="","",IFERROR(1*'Procyclean 520'!E21,IFERROR(_xludf.NUMBERVALUE('Procyclean 520'!E21,".",","),IFERROR(_xludf.NUMBERVALUE('Procyclean 520'!E21,",","."),0))))</f>
        <v/>
      </c>
      <c r="AE2519" t="str">
        <f>IF(AA2519="","",'Procyclean 520'!B21)</f>
        <v/>
      </c>
      <c r="AF2519">
        <f t="shared" si="251"/>
        <v>0</v>
      </c>
      <c r="AG2519" t="str">
        <f t="shared" si="252"/>
        <v/>
      </c>
      <c r="AH2519" t="str">
        <f t="shared" si="253"/>
        <v/>
      </c>
      <c r="AI2519">
        <f t="shared" si="254"/>
        <v>0</v>
      </c>
      <c r="AJ2519">
        <f t="shared" si="255"/>
        <v>0</v>
      </c>
      <c r="AK2519">
        <v>0</v>
      </c>
      <c r="AL2519" t="str">
        <f>IF(AA2519="","",IFERROR(IF(ISNUMBER('Procyclean 520'!F21),'Procyclean 520'!F21,IF(ISNUMBER(SEARCH("12",'Procyclean 520'!F21)),EDATE(AB2519,12),IF(ISNUMBER(SEARCH("6",'Procyclean 520'!F21)),EDATE(AB2519,6),IF(ISNUMBER(SEARCH("3",'Procyclean 520'!F21)),EDATE(AB2519,3),DATEVALUE('Procyclean 520'!F21))))),""))</f>
        <v/>
      </c>
      <c r="AM2519" t="str">
        <f t="shared" ca="1" si="256"/>
        <v/>
      </c>
    </row>
    <row r="2520" spans="27:39" x14ac:dyDescent="0.3">
      <c r="AA2520" t="str">
        <f>IF(COUNTA('Procyclean 520'!C22,'Procyclean 520'!D22,'Procyclean 520'!E22)&gt;0,"520","")</f>
        <v/>
      </c>
      <c r="AB2520" t="str">
        <f>IFERROR(IF(ISNUMBER('Procyclean 520'!C22),'Procyclean 520'!C22,DATEVALUE('Procyclean 520'!C22)),"")</f>
        <v/>
      </c>
      <c r="AC2520" t="str">
        <f>IF(AA2520="","",'Procyclean 520'!D22)</f>
        <v/>
      </c>
      <c r="AD2520" t="str">
        <f>IF(AA2520="","",IFERROR(1*'Procyclean 520'!E22,IFERROR(_xludf.NUMBERVALUE('Procyclean 520'!E22,".",","),IFERROR(_xludf.NUMBERVALUE('Procyclean 520'!E22,",","."),0))))</f>
        <v/>
      </c>
      <c r="AE2520" t="str">
        <f>IF(AA2520="","",'Procyclean 520'!B22)</f>
        <v/>
      </c>
      <c r="AF2520">
        <f t="shared" si="251"/>
        <v>0</v>
      </c>
      <c r="AG2520" t="str">
        <f t="shared" si="252"/>
        <v/>
      </c>
      <c r="AH2520" t="str">
        <f t="shared" si="253"/>
        <v/>
      </c>
      <c r="AI2520">
        <f t="shared" si="254"/>
        <v>0</v>
      </c>
      <c r="AJ2520">
        <f t="shared" si="255"/>
        <v>0</v>
      </c>
      <c r="AK2520">
        <v>0</v>
      </c>
      <c r="AL2520" t="str">
        <f>IF(AA2520="","",IFERROR(IF(ISNUMBER('Procyclean 520'!F22),'Procyclean 520'!F22,IF(ISNUMBER(SEARCH("12",'Procyclean 520'!F22)),EDATE(AB2520,12),IF(ISNUMBER(SEARCH("6",'Procyclean 520'!F22)),EDATE(AB2520,6),IF(ISNUMBER(SEARCH("3",'Procyclean 520'!F22)),EDATE(AB2520,3),DATEVALUE('Procyclean 520'!F22))))),""))</f>
        <v/>
      </c>
      <c r="AM2520" t="str">
        <f t="shared" ca="1" si="256"/>
        <v/>
      </c>
    </row>
    <row r="2521" spans="27:39" x14ac:dyDescent="0.3">
      <c r="AA2521" t="str">
        <f>IF(COUNTA('Procyclean 520'!C23,'Procyclean 520'!D23,'Procyclean 520'!E23)&gt;0,"520","")</f>
        <v/>
      </c>
      <c r="AB2521" t="str">
        <f>IFERROR(IF(ISNUMBER('Procyclean 520'!C23),'Procyclean 520'!C23,DATEVALUE('Procyclean 520'!C23)),"")</f>
        <v/>
      </c>
      <c r="AC2521" t="str">
        <f>IF(AA2521="","",'Procyclean 520'!D23)</f>
        <v/>
      </c>
      <c r="AD2521" t="str">
        <f>IF(AA2521="","",IFERROR(1*'Procyclean 520'!E23,IFERROR(_xludf.NUMBERVALUE('Procyclean 520'!E23,".",","),IFERROR(_xludf.NUMBERVALUE('Procyclean 520'!E23,",","."),0))))</f>
        <v/>
      </c>
      <c r="AE2521" t="str">
        <f>IF(AA2521="","",'Procyclean 520'!B23)</f>
        <v/>
      </c>
      <c r="AF2521">
        <f t="shared" si="251"/>
        <v>0</v>
      </c>
      <c r="AG2521" t="str">
        <f t="shared" si="252"/>
        <v/>
      </c>
      <c r="AH2521" t="str">
        <f t="shared" si="253"/>
        <v/>
      </c>
      <c r="AI2521">
        <f t="shared" si="254"/>
        <v>0</v>
      </c>
      <c r="AJ2521">
        <f t="shared" si="255"/>
        <v>0</v>
      </c>
      <c r="AK2521">
        <v>0</v>
      </c>
      <c r="AL2521" t="str">
        <f>IF(AA2521="","",IFERROR(IF(ISNUMBER('Procyclean 520'!F23),'Procyclean 520'!F23,IF(ISNUMBER(SEARCH("12",'Procyclean 520'!F23)),EDATE(AB2521,12),IF(ISNUMBER(SEARCH("6",'Procyclean 520'!F23)),EDATE(AB2521,6),IF(ISNUMBER(SEARCH("3",'Procyclean 520'!F23)),EDATE(AB2521,3),DATEVALUE('Procyclean 520'!F23))))),""))</f>
        <v/>
      </c>
      <c r="AM2521" t="str">
        <f t="shared" ca="1" si="256"/>
        <v/>
      </c>
    </row>
    <row r="2522" spans="27:39" x14ac:dyDescent="0.3">
      <c r="AA2522" t="str">
        <f>IF(COUNTA('Procyclean 520'!C24,'Procyclean 520'!D24,'Procyclean 520'!E24)&gt;0,"520","")</f>
        <v/>
      </c>
      <c r="AB2522" t="str">
        <f>IFERROR(IF(ISNUMBER('Procyclean 520'!C24),'Procyclean 520'!C24,DATEVALUE('Procyclean 520'!C24)),"")</f>
        <v/>
      </c>
      <c r="AC2522" t="str">
        <f>IF(AA2522="","",'Procyclean 520'!D24)</f>
        <v/>
      </c>
      <c r="AD2522" t="str">
        <f>IF(AA2522="","",IFERROR(1*'Procyclean 520'!E24,IFERROR(_xludf.NUMBERVALUE('Procyclean 520'!E24,".",","),IFERROR(_xludf.NUMBERVALUE('Procyclean 520'!E24,",","."),0))))</f>
        <v/>
      </c>
      <c r="AE2522" t="str">
        <f>IF(AA2522="","",'Procyclean 520'!B24)</f>
        <v/>
      </c>
      <c r="AF2522">
        <f t="shared" si="251"/>
        <v>0</v>
      </c>
      <c r="AG2522" t="str">
        <f t="shared" si="252"/>
        <v/>
      </c>
      <c r="AH2522" t="str">
        <f t="shared" si="253"/>
        <v/>
      </c>
      <c r="AI2522">
        <f t="shared" si="254"/>
        <v>0</v>
      </c>
      <c r="AJ2522">
        <f t="shared" si="255"/>
        <v>0</v>
      </c>
      <c r="AK2522">
        <v>0</v>
      </c>
      <c r="AL2522" t="str">
        <f>IF(AA2522="","",IFERROR(IF(ISNUMBER('Procyclean 520'!F24),'Procyclean 520'!F24,IF(ISNUMBER(SEARCH("12",'Procyclean 520'!F24)),EDATE(AB2522,12),IF(ISNUMBER(SEARCH("6",'Procyclean 520'!F24)),EDATE(AB2522,6),IF(ISNUMBER(SEARCH("3",'Procyclean 520'!F24)),EDATE(AB2522,3),DATEVALUE('Procyclean 520'!F24))))),""))</f>
        <v/>
      </c>
      <c r="AM2522" t="str">
        <f t="shared" ca="1" si="256"/>
        <v/>
      </c>
    </row>
    <row r="2523" spans="27:39" x14ac:dyDescent="0.3">
      <c r="AA2523" t="str">
        <f>IF(COUNTA('Procyclean 520'!C25,'Procyclean 520'!D25,'Procyclean 520'!E25)&gt;0,"520","")</f>
        <v/>
      </c>
      <c r="AB2523" t="str">
        <f>IFERROR(IF(ISNUMBER('Procyclean 520'!C25),'Procyclean 520'!C25,DATEVALUE('Procyclean 520'!C25)),"")</f>
        <v/>
      </c>
      <c r="AC2523" t="str">
        <f>IF(AA2523="","",'Procyclean 520'!D25)</f>
        <v/>
      </c>
      <c r="AD2523" t="str">
        <f>IF(AA2523="","",IFERROR(1*'Procyclean 520'!E25,IFERROR(_xludf.NUMBERVALUE('Procyclean 520'!E25,".",","),IFERROR(_xludf.NUMBERVALUE('Procyclean 520'!E25,",","."),0))))</f>
        <v/>
      </c>
      <c r="AE2523" t="str">
        <f>IF(AA2523="","",'Procyclean 520'!B25)</f>
        <v/>
      </c>
      <c r="AF2523">
        <f t="shared" si="251"/>
        <v>0</v>
      </c>
      <c r="AG2523" t="str">
        <f t="shared" si="252"/>
        <v/>
      </c>
      <c r="AH2523" t="str">
        <f t="shared" si="253"/>
        <v/>
      </c>
      <c r="AI2523">
        <f t="shared" si="254"/>
        <v>0</v>
      </c>
      <c r="AJ2523">
        <f t="shared" si="255"/>
        <v>0</v>
      </c>
      <c r="AK2523">
        <v>0</v>
      </c>
      <c r="AL2523" t="str">
        <f>IF(AA2523="","",IFERROR(IF(ISNUMBER('Procyclean 520'!F25),'Procyclean 520'!F25,IF(ISNUMBER(SEARCH("12",'Procyclean 520'!F25)),EDATE(AB2523,12),IF(ISNUMBER(SEARCH("6",'Procyclean 520'!F25)),EDATE(AB2523,6),IF(ISNUMBER(SEARCH("3",'Procyclean 520'!F25)),EDATE(AB2523,3),DATEVALUE('Procyclean 520'!F25))))),""))</f>
        <v/>
      </c>
      <c r="AM2523" t="str">
        <f t="shared" ca="1" si="256"/>
        <v/>
      </c>
    </row>
    <row r="2524" spans="27:39" x14ac:dyDescent="0.3">
      <c r="AA2524" t="str">
        <f>IF(COUNTA('Procyclean 520'!C26,'Procyclean 520'!D26,'Procyclean 520'!E26)&gt;0,"520","")</f>
        <v/>
      </c>
      <c r="AB2524" t="str">
        <f>IFERROR(IF(ISNUMBER('Procyclean 520'!C26),'Procyclean 520'!C26,DATEVALUE('Procyclean 520'!C26)),"")</f>
        <v/>
      </c>
      <c r="AC2524" t="str">
        <f>IF(AA2524="","",'Procyclean 520'!D26)</f>
        <v/>
      </c>
      <c r="AD2524" t="str">
        <f>IF(AA2524="","",IFERROR(1*'Procyclean 520'!E26,IFERROR(_xludf.NUMBERVALUE('Procyclean 520'!E26,".",","),IFERROR(_xludf.NUMBERVALUE('Procyclean 520'!E26,",","."),0))))</f>
        <v/>
      </c>
      <c r="AE2524" t="str">
        <f>IF(AA2524="","",'Procyclean 520'!B26)</f>
        <v/>
      </c>
      <c r="AF2524">
        <f t="shared" si="251"/>
        <v>0</v>
      </c>
      <c r="AG2524" t="str">
        <f t="shared" si="252"/>
        <v/>
      </c>
      <c r="AH2524" t="str">
        <f t="shared" si="253"/>
        <v/>
      </c>
      <c r="AI2524">
        <f t="shared" si="254"/>
        <v>0</v>
      </c>
      <c r="AJ2524">
        <f t="shared" si="255"/>
        <v>0</v>
      </c>
      <c r="AK2524">
        <v>0</v>
      </c>
      <c r="AL2524" t="str">
        <f>IF(AA2524="","",IFERROR(IF(ISNUMBER('Procyclean 520'!F26),'Procyclean 520'!F26,IF(ISNUMBER(SEARCH("12",'Procyclean 520'!F26)),EDATE(AB2524,12),IF(ISNUMBER(SEARCH("6",'Procyclean 520'!F26)),EDATE(AB2524,6),IF(ISNUMBER(SEARCH("3",'Procyclean 520'!F26)),EDATE(AB2524,3),DATEVALUE('Procyclean 520'!F26))))),""))</f>
        <v/>
      </c>
      <c r="AM2524" t="str">
        <f t="shared" ca="1" si="256"/>
        <v/>
      </c>
    </row>
    <row r="2525" spans="27:39" x14ac:dyDescent="0.3">
      <c r="AA2525" t="str">
        <f>IF(COUNTA('Procyclean 520'!C27,'Procyclean 520'!D27,'Procyclean 520'!E27)&gt;0,"520","")</f>
        <v/>
      </c>
      <c r="AB2525" t="str">
        <f>IFERROR(IF(ISNUMBER('Procyclean 520'!C27),'Procyclean 520'!C27,DATEVALUE('Procyclean 520'!C27)),"")</f>
        <v/>
      </c>
      <c r="AC2525" t="str">
        <f>IF(AA2525="","",'Procyclean 520'!D27)</f>
        <v/>
      </c>
      <c r="AD2525" t="str">
        <f>IF(AA2525="","",IFERROR(1*'Procyclean 520'!E27,IFERROR(_xludf.NUMBERVALUE('Procyclean 520'!E27,".",","),IFERROR(_xludf.NUMBERVALUE('Procyclean 520'!E27,",","."),0))))</f>
        <v/>
      </c>
      <c r="AE2525" t="str">
        <f>IF(AA2525="","",'Procyclean 520'!B27)</f>
        <v/>
      </c>
      <c r="AF2525">
        <f t="shared" si="251"/>
        <v>0</v>
      </c>
      <c r="AG2525" t="str">
        <f t="shared" si="252"/>
        <v/>
      </c>
      <c r="AH2525" t="str">
        <f t="shared" si="253"/>
        <v/>
      </c>
      <c r="AI2525">
        <f t="shared" si="254"/>
        <v>0</v>
      </c>
      <c r="AJ2525">
        <f t="shared" si="255"/>
        <v>0</v>
      </c>
      <c r="AK2525">
        <v>0</v>
      </c>
      <c r="AL2525" t="str">
        <f>IF(AA2525="","",IFERROR(IF(ISNUMBER('Procyclean 520'!F27),'Procyclean 520'!F27,IF(ISNUMBER(SEARCH("12",'Procyclean 520'!F27)),EDATE(AB2525,12),IF(ISNUMBER(SEARCH("6",'Procyclean 520'!F27)),EDATE(AB2525,6),IF(ISNUMBER(SEARCH("3",'Procyclean 520'!F27)),EDATE(AB2525,3),DATEVALUE('Procyclean 520'!F27))))),""))</f>
        <v/>
      </c>
      <c r="AM2525" t="str">
        <f t="shared" ca="1" si="256"/>
        <v/>
      </c>
    </row>
    <row r="2526" spans="27:39" x14ac:dyDescent="0.3">
      <c r="AA2526" t="str">
        <f>IF(COUNTA('Procyclean 520'!C28,'Procyclean 520'!D28,'Procyclean 520'!E28)&gt;0,"520","")</f>
        <v/>
      </c>
      <c r="AB2526" t="str">
        <f>IFERROR(IF(ISNUMBER('Procyclean 520'!C28),'Procyclean 520'!C28,DATEVALUE('Procyclean 520'!C28)),"")</f>
        <v/>
      </c>
      <c r="AC2526" t="str">
        <f>IF(AA2526="","",'Procyclean 520'!D28)</f>
        <v/>
      </c>
      <c r="AD2526" t="str">
        <f>IF(AA2526="","",IFERROR(1*'Procyclean 520'!E28,IFERROR(_xludf.NUMBERVALUE('Procyclean 520'!E28,".",","),IFERROR(_xludf.NUMBERVALUE('Procyclean 520'!E28,",","."),0))))</f>
        <v/>
      </c>
      <c r="AE2526" t="str">
        <f>IF(AA2526="","",'Procyclean 520'!B28)</f>
        <v/>
      </c>
      <c r="AF2526">
        <f t="shared" si="251"/>
        <v>0</v>
      </c>
      <c r="AG2526" t="str">
        <f t="shared" si="252"/>
        <v/>
      </c>
      <c r="AH2526" t="str">
        <f t="shared" si="253"/>
        <v/>
      </c>
      <c r="AI2526">
        <f t="shared" si="254"/>
        <v>0</v>
      </c>
      <c r="AJ2526">
        <f t="shared" si="255"/>
        <v>0</v>
      </c>
      <c r="AK2526">
        <v>0</v>
      </c>
      <c r="AL2526" t="str">
        <f>IF(AA2526="","",IFERROR(IF(ISNUMBER('Procyclean 520'!F28),'Procyclean 520'!F28,IF(ISNUMBER(SEARCH("12",'Procyclean 520'!F28)),EDATE(AB2526,12),IF(ISNUMBER(SEARCH("6",'Procyclean 520'!F28)),EDATE(AB2526,6),IF(ISNUMBER(SEARCH("3",'Procyclean 520'!F28)),EDATE(AB2526,3),DATEVALUE('Procyclean 520'!F28))))),""))</f>
        <v/>
      </c>
      <c r="AM2526" t="str">
        <f t="shared" ca="1" si="256"/>
        <v/>
      </c>
    </row>
    <row r="2527" spans="27:39" x14ac:dyDescent="0.3">
      <c r="AA2527" t="str">
        <f>IF(COUNTA('Procyclean 520'!C29,'Procyclean 520'!D29,'Procyclean 520'!E29)&gt;0,"520","")</f>
        <v/>
      </c>
      <c r="AB2527" t="str">
        <f>IFERROR(IF(ISNUMBER('Procyclean 520'!C29),'Procyclean 520'!C29,DATEVALUE('Procyclean 520'!C29)),"")</f>
        <v/>
      </c>
      <c r="AC2527" t="str">
        <f>IF(AA2527="","",'Procyclean 520'!D29)</f>
        <v/>
      </c>
      <c r="AD2527" t="str">
        <f>IF(AA2527="","",IFERROR(1*'Procyclean 520'!E29,IFERROR(_xludf.NUMBERVALUE('Procyclean 520'!E29,".",","),IFERROR(_xludf.NUMBERVALUE('Procyclean 520'!E29,",","."),0))))</f>
        <v/>
      </c>
      <c r="AE2527" t="str">
        <f>IF(AA2527="","",'Procyclean 520'!B29)</f>
        <v/>
      </c>
      <c r="AF2527">
        <f t="shared" si="251"/>
        <v>0</v>
      </c>
      <c r="AG2527" t="str">
        <f t="shared" si="252"/>
        <v/>
      </c>
      <c r="AH2527" t="str">
        <f t="shared" si="253"/>
        <v/>
      </c>
      <c r="AI2527">
        <f t="shared" si="254"/>
        <v>0</v>
      </c>
      <c r="AJ2527">
        <f t="shared" si="255"/>
        <v>0</v>
      </c>
      <c r="AK2527">
        <v>0</v>
      </c>
      <c r="AL2527" t="str">
        <f>IF(AA2527="","",IFERROR(IF(ISNUMBER('Procyclean 520'!F29),'Procyclean 520'!F29,IF(ISNUMBER(SEARCH("12",'Procyclean 520'!F29)),EDATE(AB2527,12),IF(ISNUMBER(SEARCH("6",'Procyclean 520'!F29)),EDATE(AB2527,6),IF(ISNUMBER(SEARCH("3",'Procyclean 520'!F29)),EDATE(AB2527,3),DATEVALUE('Procyclean 520'!F29))))),""))</f>
        <v/>
      </c>
      <c r="AM2527" t="str">
        <f t="shared" ca="1" si="256"/>
        <v/>
      </c>
    </row>
    <row r="2528" spans="27:39" x14ac:dyDescent="0.3">
      <c r="AA2528" t="str">
        <f>IF(COUNTA('Procyclean 520'!C30,'Procyclean 520'!D30,'Procyclean 520'!E30)&gt;0,"520","")</f>
        <v/>
      </c>
      <c r="AB2528" t="str">
        <f>IFERROR(IF(ISNUMBER('Procyclean 520'!C30),'Procyclean 520'!C30,DATEVALUE('Procyclean 520'!C30)),"")</f>
        <v/>
      </c>
      <c r="AC2528" t="str">
        <f>IF(AA2528="","",'Procyclean 520'!D30)</f>
        <v/>
      </c>
      <c r="AD2528" t="str">
        <f>IF(AA2528="","",IFERROR(1*'Procyclean 520'!E30,IFERROR(_xludf.NUMBERVALUE('Procyclean 520'!E30,".",","),IFERROR(_xludf.NUMBERVALUE('Procyclean 520'!E30,",","."),0))))</f>
        <v/>
      </c>
      <c r="AE2528" t="str">
        <f>IF(AA2528="","",'Procyclean 520'!B30)</f>
        <v/>
      </c>
      <c r="AF2528">
        <f t="shared" si="251"/>
        <v>0</v>
      </c>
      <c r="AG2528" t="str">
        <f t="shared" si="252"/>
        <v/>
      </c>
      <c r="AH2528" t="str">
        <f t="shared" si="253"/>
        <v/>
      </c>
      <c r="AI2528">
        <f t="shared" si="254"/>
        <v>0</v>
      </c>
      <c r="AJ2528">
        <f t="shared" si="255"/>
        <v>0</v>
      </c>
      <c r="AK2528">
        <v>0</v>
      </c>
      <c r="AL2528" t="str">
        <f>IF(AA2528="","",IFERROR(IF(ISNUMBER('Procyclean 520'!F30),'Procyclean 520'!F30,IF(ISNUMBER(SEARCH("12",'Procyclean 520'!F30)),EDATE(AB2528,12),IF(ISNUMBER(SEARCH("6",'Procyclean 520'!F30)),EDATE(AB2528,6),IF(ISNUMBER(SEARCH("3",'Procyclean 520'!F30)),EDATE(AB2528,3),DATEVALUE('Procyclean 520'!F30))))),""))</f>
        <v/>
      </c>
      <c r="AM2528" t="str">
        <f t="shared" ca="1" si="256"/>
        <v/>
      </c>
    </row>
    <row r="2529" spans="27:39" x14ac:dyDescent="0.3">
      <c r="AA2529" t="str">
        <f>IF(COUNTA('Procyclean 520'!C31,'Procyclean 520'!D31,'Procyclean 520'!E31)&gt;0,"520","")</f>
        <v/>
      </c>
      <c r="AB2529" t="str">
        <f>IFERROR(IF(ISNUMBER('Procyclean 520'!C31),'Procyclean 520'!C31,DATEVALUE('Procyclean 520'!C31)),"")</f>
        <v/>
      </c>
      <c r="AC2529" t="str">
        <f>IF(AA2529="","",'Procyclean 520'!D31)</f>
        <v/>
      </c>
      <c r="AD2529" t="str">
        <f>IF(AA2529="","",IFERROR(1*'Procyclean 520'!E31,IFERROR(_xludf.NUMBERVALUE('Procyclean 520'!E31,".",","),IFERROR(_xludf.NUMBERVALUE('Procyclean 520'!E31,",","."),0))))</f>
        <v/>
      </c>
      <c r="AE2529" t="str">
        <f>IF(AA2529="","",'Procyclean 520'!B31)</f>
        <v/>
      </c>
      <c r="AF2529">
        <f t="shared" si="251"/>
        <v>0</v>
      </c>
      <c r="AG2529" t="str">
        <f t="shared" si="252"/>
        <v/>
      </c>
      <c r="AH2529" t="str">
        <f t="shared" si="253"/>
        <v/>
      </c>
      <c r="AI2529">
        <f t="shared" si="254"/>
        <v>0</v>
      </c>
      <c r="AJ2529">
        <f t="shared" si="255"/>
        <v>0</v>
      </c>
      <c r="AK2529">
        <v>0</v>
      </c>
      <c r="AL2529" t="str">
        <f>IF(AA2529="","",IFERROR(IF(ISNUMBER('Procyclean 520'!F31),'Procyclean 520'!F31,IF(ISNUMBER(SEARCH("12",'Procyclean 520'!F31)),EDATE(AB2529,12),IF(ISNUMBER(SEARCH("6",'Procyclean 520'!F31)),EDATE(AB2529,6),IF(ISNUMBER(SEARCH("3",'Procyclean 520'!F31)),EDATE(AB2529,3),DATEVALUE('Procyclean 520'!F31))))),""))</f>
        <v/>
      </c>
      <c r="AM2529" t="str">
        <f t="shared" ca="1" si="256"/>
        <v/>
      </c>
    </row>
    <row r="2530" spans="27:39" x14ac:dyDescent="0.3">
      <c r="AA2530" t="str">
        <f>IF(COUNTA('Procyclean 520'!C32,'Procyclean 520'!D32,'Procyclean 520'!E32)&gt;0,"520","")</f>
        <v/>
      </c>
      <c r="AB2530" t="str">
        <f>IFERROR(IF(ISNUMBER('Procyclean 520'!C32),'Procyclean 520'!C32,DATEVALUE('Procyclean 520'!C32)),"")</f>
        <v/>
      </c>
      <c r="AC2530" t="str">
        <f>IF(AA2530="","",'Procyclean 520'!D32)</f>
        <v/>
      </c>
      <c r="AD2530" t="str">
        <f>IF(AA2530="","",IFERROR(1*'Procyclean 520'!E32,IFERROR(_xludf.NUMBERVALUE('Procyclean 520'!E32,".",","),IFERROR(_xludf.NUMBERVALUE('Procyclean 520'!E32,",","."),0))))</f>
        <v/>
      </c>
      <c r="AE2530" t="str">
        <f>IF(AA2530="","",'Procyclean 520'!B32)</f>
        <v/>
      </c>
      <c r="AF2530">
        <f t="shared" si="251"/>
        <v>0</v>
      </c>
      <c r="AG2530" t="str">
        <f t="shared" si="252"/>
        <v/>
      </c>
      <c r="AH2530" t="str">
        <f t="shared" si="253"/>
        <v/>
      </c>
      <c r="AI2530">
        <f t="shared" si="254"/>
        <v>0</v>
      </c>
      <c r="AJ2530">
        <f t="shared" si="255"/>
        <v>0</v>
      </c>
      <c r="AK2530">
        <v>0</v>
      </c>
      <c r="AL2530" t="str">
        <f>IF(AA2530="","",IFERROR(IF(ISNUMBER('Procyclean 520'!F32),'Procyclean 520'!F32,IF(ISNUMBER(SEARCH("12",'Procyclean 520'!F32)),EDATE(AB2530,12),IF(ISNUMBER(SEARCH("6",'Procyclean 520'!F32)),EDATE(AB2530,6),IF(ISNUMBER(SEARCH("3",'Procyclean 520'!F32)),EDATE(AB2530,3),DATEVALUE('Procyclean 520'!F32))))),""))</f>
        <v/>
      </c>
      <c r="AM2530" t="str">
        <f t="shared" ca="1" si="256"/>
        <v/>
      </c>
    </row>
    <row r="2531" spans="27:39" x14ac:dyDescent="0.3">
      <c r="AA2531" t="str">
        <f>IF(COUNTA('Procyclean 520'!C33,'Procyclean 520'!D33,'Procyclean 520'!E33)&gt;0,"520","")</f>
        <v/>
      </c>
      <c r="AB2531" t="str">
        <f>IFERROR(IF(ISNUMBER('Procyclean 520'!C33),'Procyclean 520'!C33,DATEVALUE('Procyclean 520'!C33)),"")</f>
        <v/>
      </c>
      <c r="AC2531" t="str">
        <f>IF(AA2531="","",'Procyclean 520'!D33)</f>
        <v/>
      </c>
      <c r="AD2531" t="str">
        <f>IF(AA2531="","",IFERROR(1*'Procyclean 520'!E33,IFERROR(_xludf.NUMBERVALUE('Procyclean 520'!E33,".",","),IFERROR(_xludf.NUMBERVALUE('Procyclean 520'!E33,",","."),0))))</f>
        <v/>
      </c>
      <c r="AE2531" t="str">
        <f>IF(AA2531="","",'Procyclean 520'!B33)</f>
        <v/>
      </c>
      <c r="AF2531">
        <f t="shared" si="251"/>
        <v>0</v>
      </c>
      <c r="AG2531" t="str">
        <f t="shared" si="252"/>
        <v/>
      </c>
      <c r="AH2531" t="str">
        <f t="shared" si="253"/>
        <v/>
      </c>
      <c r="AI2531">
        <f t="shared" si="254"/>
        <v>0</v>
      </c>
      <c r="AJ2531">
        <f t="shared" si="255"/>
        <v>0</v>
      </c>
      <c r="AK2531">
        <v>0</v>
      </c>
      <c r="AL2531" t="str">
        <f>IF(AA2531="","",IFERROR(IF(ISNUMBER('Procyclean 520'!F33),'Procyclean 520'!F33,IF(ISNUMBER(SEARCH("12",'Procyclean 520'!F33)),EDATE(AB2531,12),IF(ISNUMBER(SEARCH("6",'Procyclean 520'!F33)),EDATE(AB2531,6),IF(ISNUMBER(SEARCH("3",'Procyclean 520'!F33)),EDATE(AB2531,3),DATEVALUE('Procyclean 520'!F33))))),""))</f>
        <v/>
      </c>
      <c r="AM2531" t="str">
        <f t="shared" ca="1" si="256"/>
        <v/>
      </c>
    </row>
    <row r="2532" spans="27:39" x14ac:dyDescent="0.3">
      <c r="AA2532" t="str">
        <f>IF(COUNTA('Procyclean 520'!C34,'Procyclean 520'!D34,'Procyclean 520'!E34)&gt;0,"520","")</f>
        <v/>
      </c>
      <c r="AB2532" t="str">
        <f>IFERROR(IF(ISNUMBER('Procyclean 520'!C34),'Procyclean 520'!C34,DATEVALUE('Procyclean 520'!C34)),"")</f>
        <v/>
      </c>
      <c r="AC2532" t="str">
        <f>IF(AA2532="","",'Procyclean 520'!D34)</f>
        <v/>
      </c>
      <c r="AD2532" t="str">
        <f>IF(AA2532="","",IFERROR(1*'Procyclean 520'!E34,IFERROR(_xludf.NUMBERVALUE('Procyclean 520'!E34,".",","),IFERROR(_xludf.NUMBERVALUE('Procyclean 520'!E34,",","."),0))))</f>
        <v/>
      </c>
      <c r="AE2532" t="str">
        <f>IF(AA2532="","",'Procyclean 520'!B34)</f>
        <v/>
      </c>
      <c r="AF2532">
        <f t="shared" si="251"/>
        <v>0</v>
      </c>
      <c r="AG2532" t="str">
        <f t="shared" si="252"/>
        <v/>
      </c>
      <c r="AH2532" t="str">
        <f t="shared" si="253"/>
        <v/>
      </c>
      <c r="AI2532">
        <f t="shared" si="254"/>
        <v>0</v>
      </c>
      <c r="AJ2532">
        <f t="shared" si="255"/>
        <v>0</v>
      </c>
      <c r="AK2532">
        <v>0</v>
      </c>
      <c r="AL2532" t="str">
        <f>IF(AA2532="","",IFERROR(IF(ISNUMBER('Procyclean 520'!F34),'Procyclean 520'!F34,IF(ISNUMBER(SEARCH("12",'Procyclean 520'!F34)),EDATE(AB2532,12),IF(ISNUMBER(SEARCH("6",'Procyclean 520'!F34)),EDATE(AB2532,6),IF(ISNUMBER(SEARCH("3",'Procyclean 520'!F34)),EDATE(AB2532,3),DATEVALUE('Procyclean 520'!F34))))),""))</f>
        <v/>
      </c>
      <c r="AM2532" t="str">
        <f t="shared" ca="1" si="256"/>
        <v/>
      </c>
    </row>
    <row r="2533" spans="27:39" x14ac:dyDescent="0.3">
      <c r="AA2533" t="str">
        <f>IF(COUNTA('Procyclean 520'!C35,'Procyclean 520'!D35,'Procyclean 520'!E35)&gt;0,"520","")</f>
        <v/>
      </c>
      <c r="AB2533" t="str">
        <f>IFERROR(IF(ISNUMBER('Procyclean 520'!C35),'Procyclean 520'!C35,DATEVALUE('Procyclean 520'!C35)),"")</f>
        <v/>
      </c>
      <c r="AC2533" t="str">
        <f>IF(AA2533="","",'Procyclean 520'!D35)</f>
        <v/>
      </c>
      <c r="AD2533" t="str">
        <f>IF(AA2533="","",IFERROR(1*'Procyclean 520'!E35,IFERROR(_xludf.NUMBERVALUE('Procyclean 520'!E35,".",","),IFERROR(_xludf.NUMBERVALUE('Procyclean 520'!E35,",","."),0))))</f>
        <v/>
      </c>
      <c r="AE2533" t="str">
        <f>IF(AA2533="","",'Procyclean 520'!B35)</f>
        <v/>
      </c>
      <c r="AF2533">
        <f t="shared" si="251"/>
        <v>0</v>
      </c>
      <c r="AG2533" t="str">
        <f t="shared" si="252"/>
        <v/>
      </c>
      <c r="AH2533" t="str">
        <f t="shared" si="253"/>
        <v/>
      </c>
      <c r="AI2533">
        <f t="shared" si="254"/>
        <v>0</v>
      </c>
      <c r="AJ2533">
        <f t="shared" si="255"/>
        <v>0</v>
      </c>
      <c r="AK2533">
        <v>0</v>
      </c>
      <c r="AL2533" t="str">
        <f>IF(AA2533="","",IFERROR(IF(ISNUMBER('Procyclean 520'!F35),'Procyclean 520'!F35,IF(ISNUMBER(SEARCH("12",'Procyclean 520'!F35)),EDATE(AB2533,12),IF(ISNUMBER(SEARCH("6",'Procyclean 520'!F35)),EDATE(AB2533,6),IF(ISNUMBER(SEARCH("3",'Procyclean 520'!F35)),EDATE(AB2533,3),DATEVALUE('Procyclean 520'!F35))))),""))</f>
        <v/>
      </c>
      <c r="AM2533" t="str">
        <f t="shared" ca="1" si="256"/>
        <v/>
      </c>
    </row>
    <row r="2534" spans="27:39" x14ac:dyDescent="0.3">
      <c r="AA2534" t="str">
        <f>IF(COUNTA('Procyclean 520'!C36,'Procyclean 520'!D36,'Procyclean 520'!E36)&gt;0,"520","")</f>
        <v/>
      </c>
      <c r="AB2534" t="str">
        <f>IFERROR(IF(ISNUMBER('Procyclean 520'!C36),'Procyclean 520'!C36,DATEVALUE('Procyclean 520'!C36)),"")</f>
        <v/>
      </c>
      <c r="AC2534" t="str">
        <f>IF(AA2534="","",'Procyclean 520'!D36)</f>
        <v/>
      </c>
      <c r="AD2534" t="str">
        <f>IF(AA2534="","",IFERROR(1*'Procyclean 520'!E36,IFERROR(_xludf.NUMBERVALUE('Procyclean 520'!E36,".",","),IFERROR(_xludf.NUMBERVALUE('Procyclean 520'!E36,",","."),0))))</f>
        <v/>
      </c>
      <c r="AE2534" t="str">
        <f>IF(AA2534="","",'Procyclean 520'!B36)</f>
        <v/>
      </c>
      <c r="AF2534">
        <f t="shared" si="251"/>
        <v>0</v>
      </c>
      <c r="AG2534" t="str">
        <f t="shared" si="252"/>
        <v/>
      </c>
      <c r="AH2534" t="str">
        <f t="shared" si="253"/>
        <v/>
      </c>
      <c r="AI2534">
        <f t="shared" si="254"/>
        <v>0</v>
      </c>
      <c r="AJ2534">
        <f t="shared" si="255"/>
        <v>0</v>
      </c>
      <c r="AK2534">
        <v>0</v>
      </c>
      <c r="AL2534" t="str">
        <f>IF(AA2534="","",IFERROR(IF(ISNUMBER('Procyclean 520'!F36),'Procyclean 520'!F36,IF(ISNUMBER(SEARCH("12",'Procyclean 520'!F36)),EDATE(AB2534,12),IF(ISNUMBER(SEARCH("6",'Procyclean 520'!F36)),EDATE(AB2534,6),IF(ISNUMBER(SEARCH("3",'Procyclean 520'!F36)),EDATE(AB2534,3),DATEVALUE('Procyclean 520'!F36))))),""))</f>
        <v/>
      </c>
      <c r="AM2534" t="str">
        <f t="shared" ca="1" si="256"/>
        <v/>
      </c>
    </row>
    <row r="2535" spans="27:39" x14ac:dyDescent="0.3">
      <c r="AA2535" t="str">
        <f>IF(COUNTA('Procyclean 520'!C37,'Procyclean 520'!D37,'Procyclean 520'!E37)&gt;0,"520","")</f>
        <v/>
      </c>
      <c r="AB2535" t="str">
        <f>IFERROR(IF(ISNUMBER('Procyclean 520'!C37),'Procyclean 520'!C37,DATEVALUE('Procyclean 520'!C37)),"")</f>
        <v/>
      </c>
      <c r="AC2535" t="str">
        <f>IF(AA2535="","",'Procyclean 520'!D37)</f>
        <v/>
      </c>
      <c r="AD2535" t="str">
        <f>IF(AA2535="","",IFERROR(1*'Procyclean 520'!E37,IFERROR(_xludf.NUMBERVALUE('Procyclean 520'!E37,".",","),IFERROR(_xludf.NUMBERVALUE('Procyclean 520'!E37,",","."),0))))</f>
        <v/>
      </c>
      <c r="AE2535" t="str">
        <f>IF(AA2535="","",'Procyclean 520'!B37)</f>
        <v/>
      </c>
      <c r="AF2535">
        <f t="shared" si="251"/>
        <v>0</v>
      </c>
      <c r="AG2535" t="str">
        <f t="shared" si="252"/>
        <v/>
      </c>
      <c r="AH2535" t="str">
        <f t="shared" si="253"/>
        <v/>
      </c>
      <c r="AI2535">
        <f t="shared" si="254"/>
        <v>0</v>
      </c>
      <c r="AJ2535">
        <f t="shared" si="255"/>
        <v>0</v>
      </c>
      <c r="AK2535">
        <v>0</v>
      </c>
      <c r="AL2535" t="str">
        <f>IF(AA2535="","",IFERROR(IF(ISNUMBER('Procyclean 520'!F37),'Procyclean 520'!F37,IF(ISNUMBER(SEARCH("12",'Procyclean 520'!F37)),EDATE(AB2535,12),IF(ISNUMBER(SEARCH("6",'Procyclean 520'!F37)),EDATE(AB2535,6),IF(ISNUMBER(SEARCH("3",'Procyclean 520'!F37)),EDATE(AB2535,3),DATEVALUE('Procyclean 520'!F37))))),""))</f>
        <v/>
      </c>
      <c r="AM2535" t="str">
        <f t="shared" ca="1" si="256"/>
        <v/>
      </c>
    </row>
    <row r="2536" spans="27:39" x14ac:dyDescent="0.3">
      <c r="AA2536" t="str">
        <f>IF(COUNTA('Procyclean 520'!C38,'Procyclean 520'!D38,'Procyclean 520'!E38)&gt;0,"520","")</f>
        <v/>
      </c>
      <c r="AB2536" t="str">
        <f>IFERROR(IF(ISNUMBER('Procyclean 520'!C38),'Procyclean 520'!C38,DATEVALUE('Procyclean 520'!C38)),"")</f>
        <v/>
      </c>
      <c r="AC2536" t="str">
        <f>IF(AA2536="","",'Procyclean 520'!D38)</f>
        <v/>
      </c>
      <c r="AD2536" t="str">
        <f>IF(AA2536="","",IFERROR(1*'Procyclean 520'!E38,IFERROR(_xludf.NUMBERVALUE('Procyclean 520'!E38,".",","),IFERROR(_xludf.NUMBERVALUE('Procyclean 520'!E38,",","."),0))))</f>
        <v/>
      </c>
      <c r="AE2536" t="str">
        <f>IF(AA2536="","",'Procyclean 520'!B38)</f>
        <v/>
      </c>
      <c r="AF2536">
        <f t="shared" si="251"/>
        <v>0</v>
      </c>
      <c r="AG2536" t="str">
        <f t="shared" si="252"/>
        <v/>
      </c>
      <c r="AH2536" t="str">
        <f t="shared" si="253"/>
        <v/>
      </c>
      <c r="AI2536">
        <f t="shared" si="254"/>
        <v>0</v>
      </c>
      <c r="AJ2536">
        <f t="shared" si="255"/>
        <v>0</v>
      </c>
      <c r="AK2536">
        <v>0</v>
      </c>
      <c r="AL2536" t="str">
        <f>IF(AA2536="","",IFERROR(IF(ISNUMBER('Procyclean 520'!F38),'Procyclean 520'!F38,IF(ISNUMBER(SEARCH("12",'Procyclean 520'!F38)),EDATE(AB2536,12),IF(ISNUMBER(SEARCH("6",'Procyclean 520'!F38)),EDATE(AB2536,6),IF(ISNUMBER(SEARCH("3",'Procyclean 520'!F38)),EDATE(AB2536,3),DATEVALUE('Procyclean 520'!F38))))),""))</f>
        <v/>
      </c>
      <c r="AM2536" t="str">
        <f t="shared" ca="1" si="256"/>
        <v/>
      </c>
    </row>
    <row r="2537" spans="27:39" x14ac:dyDescent="0.3">
      <c r="AA2537" t="str">
        <f>IF(COUNTA('Procyclean 520'!C39,'Procyclean 520'!D39,'Procyclean 520'!E39)&gt;0,"520","")</f>
        <v/>
      </c>
      <c r="AB2537" t="str">
        <f>IFERROR(IF(ISNUMBER('Procyclean 520'!C39),'Procyclean 520'!C39,DATEVALUE('Procyclean 520'!C39)),"")</f>
        <v/>
      </c>
      <c r="AC2537" t="str">
        <f>IF(AA2537="","",'Procyclean 520'!D39)</f>
        <v/>
      </c>
      <c r="AD2537" t="str">
        <f>IF(AA2537="","",IFERROR(1*'Procyclean 520'!E39,IFERROR(_xludf.NUMBERVALUE('Procyclean 520'!E39,".",","),IFERROR(_xludf.NUMBERVALUE('Procyclean 520'!E39,",","."),0))))</f>
        <v/>
      </c>
      <c r="AE2537" t="str">
        <f>IF(AA2537="","",'Procyclean 520'!B39)</f>
        <v/>
      </c>
      <c r="AF2537">
        <f t="shared" si="251"/>
        <v>0</v>
      </c>
      <c r="AG2537" t="str">
        <f t="shared" si="252"/>
        <v/>
      </c>
      <c r="AH2537" t="str">
        <f t="shared" si="253"/>
        <v/>
      </c>
      <c r="AI2537">
        <f t="shared" si="254"/>
        <v>0</v>
      </c>
      <c r="AJ2537">
        <f t="shared" si="255"/>
        <v>0</v>
      </c>
      <c r="AK2537">
        <v>0</v>
      </c>
      <c r="AL2537" t="str">
        <f>IF(AA2537="","",IFERROR(IF(ISNUMBER('Procyclean 520'!F39),'Procyclean 520'!F39,IF(ISNUMBER(SEARCH("12",'Procyclean 520'!F39)),EDATE(AB2537,12),IF(ISNUMBER(SEARCH("6",'Procyclean 520'!F39)),EDATE(AB2537,6),IF(ISNUMBER(SEARCH("3",'Procyclean 520'!F39)),EDATE(AB2537,3),DATEVALUE('Procyclean 520'!F39))))),""))</f>
        <v/>
      </c>
      <c r="AM2537" t="str">
        <f t="shared" ca="1" si="256"/>
        <v/>
      </c>
    </row>
    <row r="2538" spans="27:39" x14ac:dyDescent="0.3">
      <c r="AA2538" t="str">
        <f>IF(COUNTA('Procyclean 520'!C40,'Procyclean 520'!D40,'Procyclean 520'!E40)&gt;0,"520","")</f>
        <v/>
      </c>
      <c r="AB2538" t="str">
        <f>IFERROR(IF(ISNUMBER('Procyclean 520'!C40),'Procyclean 520'!C40,DATEVALUE('Procyclean 520'!C40)),"")</f>
        <v/>
      </c>
      <c r="AC2538" t="str">
        <f>IF(AA2538="","",'Procyclean 520'!D40)</f>
        <v/>
      </c>
      <c r="AD2538" t="str">
        <f>IF(AA2538="","",IFERROR(1*'Procyclean 520'!E40,IFERROR(_xludf.NUMBERVALUE('Procyclean 520'!E40,".",","),IFERROR(_xludf.NUMBERVALUE('Procyclean 520'!E40,",","."),0))))</f>
        <v/>
      </c>
      <c r="AE2538" t="str">
        <f>IF(AA2538="","",'Procyclean 520'!B40)</f>
        <v/>
      </c>
      <c r="AF2538">
        <f t="shared" si="251"/>
        <v>0</v>
      </c>
      <c r="AG2538" t="str">
        <f t="shared" si="252"/>
        <v/>
      </c>
      <c r="AH2538" t="str">
        <f t="shared" si="253"/>
        <v/>
      </c>
      <c r="AI2538">
        <f t="shared" si="254"/>
        <v>0</v>
      </c>
      <c r="AJ2538">
        <f t="shared" si="255"/>
        <v>0</v>
      </c>
      <c r="AK2538">
        <v>0</v>
      </c>
      <c r="AL2538" t="str">
        <f>IF(AA2538="","",IFERROR(IF(ISNUMBER('Procyclean 520'!F40),'Procyclean 520'!F40,IF(ISNUMBER(SEARCH("12",'Procyclean 520'!F40)),EDATE(AB2538,12),IF(ISNUMBER(SEARCH("6",'Procyclean 520'!F40)),EDATE(AB2538,6),IF(ISNUMBER(SEARCH("3",'Procyclean 520'!F40)),EDATE(AB2538,3),DATEVALUE('Procyclean 520'!F40))))),""))</f>
        <v/>
      </c>
      <c r="AM2538" t="str">
        <f t="shared" ca="1" si="256"/>
        <v/>
      </c>
    </row>
    <row r="2539" spans="27:39" x14ac:dyDescent="0.3">
      <c r="AA2539" t="str">
        <f>IF(COUNTA('Procyclean 520'!C41,'Procyclean 520'!D41,'Procyclean 520'!E41)&gt;0,"520","")</f>
        <v/>
      </c>
      <c r="AB2539" t="str">
        <f>IFERROR(IF(ISNUMBER('Procyclean 520'!C41),'Procyclean 520'!C41,DATEVALUE('Procyclean 520'!C41)),"")</f>
        <v/>
      </c>
      <c r="AC2539" t="str">
        <f>IF(AA2539="","",'Procyclean 520'!D41)</f>
        <v/>
      </c>
      <c r="AD2539" t="str">
        <f>IF(AA2539="","",IFERROR(1*'Procyclean 520'!E41,IFERROR(_xludf.NUMBERVALUE('Procyclean 520'!E41,".",","),IFERROR(_xludf.NUMBERVALUE('Procyclean 520'!E41,",","."),0))))</f>
        <v/>
      </c>
      <c r="AE2539" t="str">
        <f>IF(AA2539="","",'Procyclean 520'!B41)</f>
        <v/>
      </c>
      <c r="AF2539">
        <f t="shared" si="251"/>
        <v>0</v>
      </c>
      <c r="AG2539" t="str">
        <f t="shared" si="252"/>
        <v/>
      </c>
      <c r="AH2539" t="str">
        <f t="shared" si="253"/>
        <v/>
      </c>
      <c r="AI2539">
        <f t="shared" si="254"/>
        <v>0</v>
      </c>
      <c r="AJ2539">
        <f t="shared" si="255"/>
        <v>0</v>
      </c>
      <c r="AK2539">
        <v>0</v>
      </c>
      <c r="AL2539" t="str">
        <f>IF(AA2539="","",IFERROR(IF(ISNUMBER('Procyclean 520'!F41),'Procyclean 520'!F41,IF(ISNUMBER(SEARCH("12",'Procyclean 520'!F41)),EDATE(AB2539,12),IF(ISNUMBER(SEARCH("6",'Procyclean 520'!F41)),EDATE(AB2539,6),IF(ISNUMBER(SEARCH("3",'Procyclean 520'!F41)),EDATE(AB2539,3),DATEVALUE('Procyclean 520'!F41))))),""))</f>
        <v/>
      </c>
      <c r="AM2539" t="str">
        <f t="shared" ca="1" si="256"/>
        <v/>
      </c>
    </row>
    <row r="2540" spans="27:39" x14ac:dyDescent="0.3">
      <c r="AA2540" t="str">
        <f>IF(COUNTA('Procyclean 520'!C42,'Procyclean 520'!D42,'Procyclean 520'!E42)&gt;0,"520","")</f>
        <v/>
      </c>
      <c r="AB2540" t="str">
        <f>IFERROR(IF(ISNUMBER('Procyclean 520'!C42),'Procyclean 520'!C42,DATEVALUE('Procyclean 520'!C42)),"")</f>
        <v/>
      </c>
      <c r="AC2540" t="str">
        <f>IF(AA2540="","",'Procyclean 520'!D42)</f>
        <v/>
      </c>
      <c r="AD2540" t="str">
        <f>IF(AA2540="","",IFERROR(1*'Procyclean 520'!E42,IFERROR(_xludf.NUMBERVALUE('Procyclean 520'!E42,".",","),IFERROR(_xludf.NUMBERVALUE('Procyclean 520'!E42,",","."),0))))</f>
        <v/>
      </c>
      <c r="AE2540" t="str">
        <f>IF(AA2540="","",'Procyclean 520'!B42)</f>
        <v/>
      </c>
      <c r="AF2540">
        <f t="shared" si="251"/>
        <v>0</v>
      </c>
      <c r="AG2540" t="str">
        <f t="shared" si="252"/>
        <v/>
      </c>
      <c r="AH2540" t="str">
        <f t="shared" si="253"/>
        <v/>
      </c>
      <c r="AI2540">
        <f t="shared" si="254"/>
        <v>0</v>
      </c>
      <c r="AJ2540">
        <f t="shared" si="255"/>
        <v>0</v>
      </c>
      <c r="AK2540">
        <v>0</v>
      </c>
      <c r="AL2540" t="str">
        <f>IF(AA2540="","",IFERROR(IF(ISNUMBER('Procyclean 520'!F42),'Procyclean 520'!F42,IF(ISNUMBER(SEARCH("12",'Procyclean 520'!F42)),EDATE(AB2540,12),IF(ISNUMBER(SEARCH("6",'Procyclean 520'!F42)),EDATE(AB2540,6),IF(ISNUMBER(SEARCH("3",'Procyclean 520'!F42)),EDATE(AB2540,3),DATEVALUE('Procyclean 520'!F42))))),""))</f>
        <v/>
      </c>
      <c r="AM2540" t="str">
        <f t="shared" ca="1" si="256"/>
        <v/>
      </c>
    </row>
    <row r="2541" spans="27:39" x14ac:dyDescent="0.3">
      <c r="AA2541" t="str">
        <f>IF(COUNTA('Procyclean 520'!C43,'Procyclean 520'!D43,'Procyclean 520'!E43)&gt;0,"520","")</f>
        <v/>
      </c>
      <c r="AB2541" t="str">
        <f>IFERROR(IF(ISNUMBER('Procyclean 520'!C43),'Procyclean 520'!C43,DATEVALUE('Procyclean 520'!C43)),"")</f>
        <v/>
      </c>
      <c r="AC2541" t="str">
        <f>IF(AA2541="","",'Procyclean 520'!D43)</f>
        <v/>
      </c>
      <c r="AD2541" t="str">
        <f>IF(AA2541="","",IFERROR(1*'Procyclean 520'!E43,IFERROR(_xludf.NUMBERVALUE('Procyclean 520'!E43,".",","),IFERROR(_xludf.NUMBERVALUE('Procyclean 520'!E43,",","."),0))))</f>
        <v/>
      </c>
      <c r="AE2541" t="str">
        <f>IF(AA2541="","",'Procyclean 520'!B43)</f>
        <v/>
      </c>
      <c r="AF2541">
        <f t="shared" si="251"/>
        <v>0</v>
      </c>
      <c r="AG2541" t="str">
        <f t="shared" si="252"/>
        <v/>
      </c>
      <c r="AH2541" t="str">
        <f t="shared" si="253"/>
        <v/>
      </c>
      <c r="AI2541">
        <f t="shared" si="254"/>
        <v>0</v>
      </c>
      <c r="AJ2541">
        <f t="shared" si="255"/>
        <v>0</v>
      </c>
      <c r="AK2541">
        <v>0</v>
      </c>
      <c r="AL2541" t="str">
        <f>IF(AA2541="","",IFERROR(IF(ISNUMBER('Procyclean 520'!F43),'Procyclean 520'!F43,IF(ISNUMBER(SEARCH("12",'Procyclean 520'!F43)),EDATE(AB2541,12),IF(ISNUMBER(SEARCH("6",'Procyclean 520'!F43)),EDATE(AB2541,6),IF(ISNUMBER(SEARCH("3",'Procyclean 520'!F43)),EDATE(AB2541,3),DATEVALUE('Procyclean 520'!F43))))),""))</f>
        <v/>
      </c>
      <c r="AM2541" t="str">
        <f t="shared" ca="1" si="256"/>
        <v/>
      </c>
    </row>
    <row r="2542" spans="27:39" x14ac:dyDescent="0.3">
      <c r="AA2542" t="str">
        <f>IF(COUNTA('Procyclean 520'!C44,'Procyclean 520'!D44,'Procyclean 520'!E44)&gt;0,"520","")</f>
        <v/>
      </c>
      <c r="AB2542" t="str">
        <f>IFERROR(IF(ISNUMBER('Procyclean 520'!C44),'Procyclean 520'!C44,DATEVALUE('Procyclean 520'!C44)),"")</f>
        <v/>
      </c>
      <c r="AC2542" t="str">
        <f>IF(AA2542="","",'Procyclean 520'!D44)</f>
        <v/>
      </c>
      <c r="AD2542" t="str">
        <f>IF(AA2542="","",IFERROR(1*'Procyclean 520'!E44,IFERROR(_xludf.NUMBERVALUE('Procyclean 520'!E44,".",","),IFERROR(_xludf.NUMBERVALUE('Procyclean 520'!E44,",","."),0))))</f>
        <v/>
      </c>
      <c r="AE2542" t="str">
        <f>IF(AA2542="","",'Procyclean 520'!B44)</f>
        <v/>
      </c>
      <c r="AF2542">
        <f t="shared" si="251"/>
        <v>0</v>
      </c>
      <c r="AG2542" t="str">
        <f t="shared" si="252"/>
        <v/>
      </c>
      <c r="AH2542" t="str">
        <f t="shared" si="253"/>
        <v/>
      </c>
      <c r="AI2542">
        <f t="shared" si="254"/>
        <v>0</v>
      </c>
      <c r="AJ2542">
        <f t="shared" si="255"/>
        <v>0</v>
      </c>
      <c r="AK2542">
        <v>0</v>
      </c>
      <c r="AL2542" t="str">
        <f>IF(AA2542="","",IFERROR(IF(ISNUMBER('Procyclean 520'!F44),'Procyclean 520'!F44,IF(ISNUMBER(SEARCH("12",'Procyclean 520'!F44)),EDATE(AB2542,12),IF(ISNUMBER(SEARCH("6",'Procyclean 520'!F44)),EDATE(AB2542,6),IF(ISNUMBER(SEARCH("3",'Procyclean 520'!F44)),EDATE(AB2542,3),DATEVALUE('Procyclean 520'!F44))))),""))</f>
        <v/>
      </c>
      <c r="AM2542" t="str">
        <f t="shared" ca="1" si="256"/>
        <v/>
      </c>
    </row>
    <row r="2543" spans="27:39" x14ac:dyDescent="0.3">
      <c r="AA2543" t="str">
        <f>IF(COUNTA('Procyclean 520'!C45,'Procyclean 520'!D45,'Procyclean 520'!E45)&gt;0,"520","")</f>
        <v/>
      </c>
      <c r="AB2543" t="str">
        <f>IFERROR(IF(ISNUMBER('Procyclean 520'!C45),'Procyclean 520'!C45,DATEVALUE('Procyclean 520'!C45)),"")</f>
        <v/>
      </c>
      <c r="AC2543" t="str">
        <f>IF(AA2543="","",'Procyclean 520'!D45)</f>
        <v/>
      </c>
      <c r="AD2543" t="str">
        <f>IF(AA2543="","",IFERROR(1*'Procyclean 520'!E45,IFERROR(_xludf.NUMBERVALUE('Procyclean 520'!E45,".",","),IFERROR(_xludf.NUMBERVALUE('Procyclean 520'!E45,",","."),0))))</f>
        <v/>
      </c>
      <c r="AE2543" t="str">
        <f>IF(AA2543="","",'Procyclean 520'!B45)</f>
        <v/>
      </c>
      <c r="AF2543">
        <f t="shared" si="251"/>
        <v>0</v>
      </c>
      <c r="AG2543" t="str">
        <f t="shared" si="252"/>
        <v/>
      </c>
      <c r="AH2543" t="str">
        <f t="shared" si="253"/>
        <v/>
      </c>
      <c r="AI2543">
        <f t="shared" si="254"/>
        <v>0</v>
      </c>
      <c r="AJ2543">
        <f t="shared" si="255"/>
        <v>0</v>
      </c>
      <c r="AK2543">
        <v>0</v>
      </c>
      <c r="AL2543" t="str">
        <f>IF(AA2543="","",IFERROR(IF(ISNUMBER('Procyclean 520'!F45),'Procyclean 520'!F45,IF(ISNUMBER(SEARCH("12",'Procyclean 520'!F45)),EDATE(AB2543,12),IF(ISNUMBER(SEARCH("6",'Procyclean 520'!F45)),EDATE(AB2543,6),IF(ISNUMBER(SEARCH("3",'Procyclean 520'!F45)),EDATE(AB2543,3),DATEVALUE('Procyclean 520'!F45))))),""))</f>
        <v/>
      </c>
      <c r="AM2543" t="str">
        <f t="shared" ca="1" si="256"/>
        <v/>
      </c>
    </row>
    <row r="2544" spans="27:39" x14ac:dyDescent="0.3">
      <c r="AA2544" t="str">
        <f>IF(COUNTA('Procyclean 520'!C46,'Procyclean 520'!D46,'Procyclean 520'!E46)&gt;0,"520","")</f>
        <v/>
      </c>
      <c r="AB2544" t="str">
        <f>IFERROR(IF(ISNUMBER('Procyclean 520'!C46),'Procyclean 520'!C46,DATEVALUE('Procyclean 520'!C46)),"")</f>
        <v/>
      </c>
      <c r="AC2544" t="str">
        <f>IF(AA2544="","",'Procyclean 520'!D46)</f>
        <v/>
      </c>
      <c r="AD2544" t="str">
        <f>IF(AA2544="","",IFERROR(1*'Procyclean 520'!E46,IFERROR(_xludf.NUMBERVALUE('Procyclean 520'!E46,".",","),IFERROR(_xludf.NUMBERVALUE('Procyclean 520'!E46,",","."),0))))</f>
        <v/>
      </c>
      <c r="AE2544" t="str">
        <f>IF(AA2544="","",'Procyclean 520'!B46)</f>
        <v/>
      </c>
      <c r="AF2544">
        <f t="shared" si="251"/>
        <v>0</v>
      </c>
      <c r="AG2544" t="str">
        <f t="shared" si="252"/>
        <v/>
      </c>
      <c r="AH2544" t="str">
        <f t="shared" si="253"/>
        <v/>
      </c>
      <c r="AI2544">
        <f t="shared" si="254"/>
        <v>0</v>
      </c>
      <c r="AJ2544">
        <f t="shared" si="255"/>
        <v>0</v>
      </c>
      <c r="AK2544">
        <v>0</v>
      </c>
      <c r="AL2544" t="str">
        <f>IF(AA2544="","",IFERROR(IF(ISNUMBER('Procyclean 520'!F46),'Procyclean 520'!F46,IF(ISNUMBER(SEARCH("12",'Procyclean 520'!F46)),EDATE(AB2544,12),IF(ISNUMBER(SEARCH("6",'Procyclean 520'!F46)),EDATE(AB2544,6),IF(ISNUMBER(SEARCH("3",'Procyclean 520'!F46)),EDATE(AB2544,3),DATEVALUE('Procyclean 520'!F46))))),""))</f>
        <v/>
      </c>
      <c r="AM2544" t="str">
        <f t="shared" ca="1" si="256"/>
        <v/>
      </c>
    </row>
    <row r="2545" spans="27:39" x14ac:dyDescent="0.3">
      <c r="AA2545" t="str">
        <f>IF(COUNTA('Procyclean 520'!C47,'Procyclean 520'!D47,'Procyclean 520'!E47)&gt;0,"520","")</f>
        <v/>
      </c>
      <c r="AB2545" t="str">
        <f>IFERROR(IF(ISNUMBER('Procyclean 520'!C47),'Procyclean 520'!C47,DATEVALUE('Procyclean 520'!C47)),"")</f>
        <v/>
      </c>
      <c r="AC2545" t="str">
        <f>IF(AA2545="","",'Procyclean 520'!D47)</f>
        <v/>
      </c>
      <c r="AD2545" t="str">
        <f>IF(AA2545="","",IFERROR(1*'Procyclean 520'!E47,IFERROR(_xludf.NUMBERVALUE('Procyclean 520'!E47,".",","),IFERROR(_xludf.NUMBERVALUE('Procyclean 520'!E47,",","."),0))))</f>
        <v/>
      </c>
      <c r="AE2545" t="str">
        <f>IF(AA2545="","",'Procyclean 520'!B47)</f>
        <v/>
      </c>
      <c r="AF2545">
        <f t="shared" si="251"/>
        <v>0</v>
      </c>
      <c r="AG2545" t="str">
        <f t="shared" si="252"/>
        <v/>
      </c>
      <c r="AH2545" t="str">
        <f t="shared" si="253"/>
        <v/>
      </c>
      <c r="AI2545">
        <f t="shared" si="254"/>
        <v>0</v>
      </c>
      <c r="AJ2545">
        <f t="shared" si="255"/>
        <v>0</v>
      </c>
      <c r="AK2545">
        <v>0</v>
      </c>
      <c r="AL2545" t="str">
        <f>IF(AA2545="","",IFERROR(IF(ISNUMBER('Procyclean 520'!F47),'Procyclean 520'!F47,IF(ISNUMBER(SEARCH("12",'Procyclean 520'!F47)),EDATE(AB2545,12),IF(ISNUMBER(SEARCH("6",'Procyclean 520'!F47)),EDATE(AB2545,6),IF(ISNUMBER(SEARCH("3",'Procyclean 520'!F47)),EDATE(AB2545,3),DATEVALUE('Procyclean 520'!F47))))),""))</f>
        <v/>
      </c>
      <c r="AM2545" t="str">
        <f t="shared" ca="1" si="256"/>
        <v/>
      </c>
    </row>
    <row r="2546" spans="27:39" x14ac:dyDescent="0.3">
      <c r="AA2546" t="str">
        <f>IF(COUNTA('Procyclean 520'!C48,'Procyclean 520'!D48,'Procyclean 520'!E48)&gt;0,"520","")</f>
        <v/>
      </c>
      <c r="AB2546" t="str">
        <f>IFERROR(IF(ISNUMBER('Procyclean 520'!C48),'Procyclean 520'!C48,DATEVALUE('Procyclean 520'!C48)),"")</f>
        <v/>
      </c>
      <c r="AC2546" t="str">
        <f>IF(AA2546="","",'Procyclean 520'!D48)</f>
        <v/>
      </c>
      <c r="AD2546" t="str">
        <f>IF(AA2546="","",IFERROR(1*'Procyclean 520'!E48,IFERROR(_xludf.NUMBERVALUE('Procyclean 520'!E48,".",","),IFERROR(_xludf.NUMBERVALUE('Procyclean 520'!E48,",","."),0))))</f>
        <v/>
      </c>
      <c r="AE2546" t="str">
        <f>IF(AA2546="","",'Procyclean 520'!B48)</f>
        <v/>
      </c>
      <c r="AF2546">
        <f t="shared" si="251"/>
        <v>0</v>
      </c>
      <c r="AG2546" t="str">
        <f t="shared" si="252"/>
        <v/>
      </c>
      <c r="AH2546" t="str">
        <f t="shared" si="253"/>
        <v/>
      </c>
      <c r="AI2546">
        <f t="shared" si="254"/>
        <v>0</v>
      </c>
      <c r="AJ2546">
        <f t="shared" si="255"/>
        <v>0</v>
      </c>
      <c r="AK2546">
        <v>0</v>
      </c>
      <c r="AL2546" t="str">
        <f>IF(AA2546="","",IFERROR(IF(ISNUMBER('Procyclean 520'!F48),'Procyclean 520'!F48,IF(ISNUMBER(SEARCH("12",'Procyclean 520'!F48)),EDATE(AB2546,12),IF(ISNUMBER(SEARCH("6",'Procyclean 520'!F48)),EDATE(AB2546,6),IF(ISNUMBER(SEARCH("3",'Procyclean 520'!F48)),EDATE(AB2546,3),DATEVALUE('Procyclean 520'!F48))))),""))</f>
        <v/>
      </c>
      <c r="AM2546" t="str">
        <f t="shared" ca="1" si="256"/>
        <v/>
      </c>
    </row>
    <row r="2547" spans="27:39" x14ac:dyDescent="0.3">
      <c r="AA2547" t="str">
        <f>IF(COUNTA('Procyclean 520'!C49,'Procyclean 520'!D49,'Procyclean 520'!E49)&gt;0,"520","")</f>
        <v/>
      </c>
      <c r="AB2547" t="str">
        <f>IFERROR(IF(ISNUMBER('Procyclean 520'!C49),'Procyclean 520'!C49,DATEVALUE('Procyclean 520'!C49)),"")</f>
        <v/>
      </c>
      <c r="AC2547" t="str">
        <f>IF(AA2547="","",'Procyclean 520'!D49)</f>
        <v/>
      </c>
      <c r="AD2547" t="str">
        <f>IF(AA2547="","",IFERROR(1*'Procyclean 520'!E49,IFERROR(_xludf.NUMBERVALUE('Procyclean 520'!E49,".",","),IFERROR(_xludf.NUMBERVALUE('Procyclean 520'!E49,",","."),0))))</f>
        <v/>
      </c>
      <c r="AE2547" t="str">
        <f>IF(AA2547="","",'Procyclean 520'!B49)</f>
        <v/>
      </c>
      <c r="AF2547">
        <f t="shared" si="251"/>
        <v>0</v>
      </c>
      <c r="AG2547" t="str">
        <f t="shared" si="252"/>
        <v/>
      </c>
      <c r="AH2547" t="str">
        <f t="shared" si="253"/>
        <v/>
      </c>
      <c r="AI2547">
        <f t="shared" si="254"/>
        <v>0</v>
      </c>
      <c r="AJ2547">
        <f t="shared" si="255"/>
        <v>0</v>
      </c>
      <c r="AK2547">
        <v>0</v>
      </c>
      <c r="AL2547" t="str">
        <f>IF(AA2547="","",IFERROR(IF(ISNUMBER('Procyclean 520'!F49),'Procyclean 520'!F49,IF(ISNUMBER(SEARCH("12",'Procyclean 520'!F49)),EDATE(AB2547,12),IF(ISNUMBER(SEARCH("6",'Procyclean 520'!F49)),EDATE(AB2547,6),IF(ISNUMBER(SEARCH("3",'Procyclean 520'!F49)),EDATE(AB2547,3),DATEVALUE('Procyclean 520'!F49))))),""))</f>
        <v/>
      </c>
      <c r="AM2547" t="str">
        <f t="shared" ca="1" si="256"/>
        <v/>
      </c>
    </row>
    <row r="2548" spans="27:39" x14ac:dyDescent="0.3">
      <c r="AA2548" t="str">
        <f>IF(COUNTA('Procyclean 520'!C50,'Procyclean 520'!D50,'Procyclean 520'!E50)&gt;0,"520","")</f>
        <v/>
      </c>
      <c r="AB2548" t="str">
        <f>IFERROR(IF(ISNUMBER('Procyclean 520'!C50),'Procyclean 520'!C50,DATEVALUE('Procyclean 520'!C50)),"")</f>
        <v/>
      </c>
      <c r="AC2548" t="str">
        <f>IF(AA2548="","",'Procyclean 520'!D50)</f>
        <v/>
      </c>
      <c r="AD2548" t="str">
        <f>IF(AA2548="","",IFERROR(1*'Procyclean 520'!E50,IFERROR(_xludf.NUMBERVALUE('Procyclean 520'!E50,".",","),IFERROR(_xludf.NUMBERVALUE('Procyclean 520'!E50,",","."),0))))</f>
        <v/>
      </c>
      <c r="AE2548" t="str">
        <f>IF(AA2548="","",'Procyclean 520'!B50)</f>
        <v/>
      </c>
      <c r="AF2548">
        <f t="shared" si="251"/>
        <v>0</v>
      </c>
      <c r="AG2548" t="str">
        <f t="shared" si="252"/>
        <v/>
      </c>
      <c r="AH2548" t="str">
        <f t="shared" si="253"/>
        <v/>
      </c>
      <c r="AI2548">
        <f t="shared" si="254"/>
        <v>0</v>
      </c>
      <c r="AJ2548">
        <f t="shared" si="255"/>
        <v>0</v>
      </c>
      <c r="AK2548">
        <v>0</v>
      </c>
      <c r="AL2548" t="str">
        <f>IF(AA2548="","",IFERROR(IF(ISNUMBER('Procyclean 520'!F50),'Procyclean 520'!F50,IF(ISNUMBER(SEARCH("12",'Procyclean 520'!F50)),EDATE(AB2548,12),IF(ISNUMBER(SEARCH("6",'Procyclean 520'!F50)),EDATE(AB2548,6),IF(ISNUMBER(SEARCH("3",'Procyclean 520'!F50)),EDATE(AB2548,3),DATEVALUE('Procyclean 520'!F50))))),""))</f>
        <v/>
      </c>
      <c r="AM2548" t="str">
        <f t="shared" ca="1" si="256"/>
        <v/>
      </c>
    </row>
    <row r="2549" spans="27:39" x14ac:dyDescent="0.3">
      <c r="AA2549" t="str">
        <f>IF(COUNTA('Procyclean 520'!C51,'Procyclean 520'!D51,'Procyclean 520'!E51)&gt;0,"520","")</f>
        <v/>
      </c>
      <c r="AB2549" t="str">
        <f>IFERROR(IF(ISNUMBER('Procyclean 520'!C51),'Procyclean 520'!C51,DATEVALUE('Procyclean 520'!C51)),"")</f>
        <v/>
      </c>
      <c r="AC2549" t="str">
        <f>IF(AA2549="","",'Procyclean 520'!D51)</f>
        <v/>
      </c>
      <c r="AD2549" t="str">
        <f>IF(AA2549="","",IFERROR(1*'Procyclean 520'!E51,IFERROR(_xludf.NUMBERVALUE('Procyclean 520'!E51,".",","),IFERROR(_xludf.NUMBERVALUE('Procyclean 520'!E51,",","."),0))))</f>
        <v/>
      </c>
      <c r="AE2549" t="str">
        <f>IF(AA2549="","",'Procyclean 520'!B51)</f>
        <v/>
      </c>
      <c r="AF2549">
        <f t="shared" si="251"/>
        <v>0</v>
      </c>
      <c r="AG2549" t="str">
        <f t="shared" si="252"/>
        <v/>
      </c>
      <c r="AH2549" t="str">
        <f t="shared" si="253"/>
        <v/>
      </c>
      <c r="AI2549">
        <f t="shared" si="254"/>
        <v>0</v>
      </c>
      <c r="AJ2549">
        <f t="shared" si="255"/>
        <v>0</v>
      </c>
      <c r="AK2549">
        <v>0</v>
      </c>
      <c r="AL2549" t="str">
        <f>IF(AA2549="","",IFERROR(IF(ISNUMBER('Procyclean 520'!F51),'Procyclean 520'!F51,IF(ISNUMBER(SEARCH("12",'Procyclean 520'!F51)),EDATE(AB2549,12),IF(ISNUMBER(SEARCH("6",'Procyclean 520'!F51)),EDATE(AB2549,6),IF(ISNUMBER(SEARCH("3",'Procyclean 520'!F51)),EDATE(AB2549,3),DATEVALUE('Procyclean 520'!F51))))),""))</f>
        <v/>
      </c>
      <c r="AM2549" t="str">
        <f t="shared" ca="1" si="256"/>
        <v/>
      </c>
    </row>
    <row r="2550" spans="27:39" x14ac:dyDescent="0.3">
      <c r="AA2550" t="str">
        <f>IF(COUNTA('Procyclean 520'!C52,'Procyclean 520'!D52,'Procyclean 520'!E52)&gt;0,"520","")</f>
        <v/>
      </c>
      <c r="AB2550" t="str">
        <f>IFERROR(IF(ISNUMBER('Procyclean 520'!C52),'Procyclean 520'!C52,DATEVALUE('Procyclean 520'!C52)),"")</f>
        <v/>
      </c>
      <c r="AC2550" t="str">
        <f>IF(AA2550="","",'Procyclean 520'!D52)</f>
        <v/>
      </c>
      <c r="AD2550" t="str">
        <f>IF(AA2550="","",IFERROR(1*'Procyclean 520'!E52,IFERROR(_xludf.NUMBERVALUE('Procyclean 520'!E52,".",","),IFERROR(_xludf.NUMBERVALUE('Procyclean 520'!E52,",","."),0))))</f>
        <v/>
      </c>
      <c r="AE2550" t="str">
        <f>IF(AA2550="","",'Procyclean 520'!B52)</f>
        <v/>
      </c>
      <c r="AF2550">
        <f t="shared" si="251"/>
        <v>0</v>
      </c>
      <c r="AG2550" t="str">
        <f t="shared" si="252"/>
        <v/>
      </c>
      <c r="AH2550" t="str">
        <f t="shared" si="253"/>
        <v/>
      </c>
      <c r="AI2550">
        <f t="shared" si="254"/>
        <v>0</v>
      </c>
      <c r="AJ2550">
        <f t="shared" si="255"/>
        <v>0</v>
      </c>
      <c r="AK2550">
        <v>0</v>
      </c>
      <c r="AL2550" t="str">
        <f>IF(AA2550="","",IFERROR(IF(ISNUMBER('Procyclean 520'!F52),'Procyclean 520'!F52,IF(ISNUMBER(SEARCH("12",'Procyclean 520'!F52)),EDATE(AB2550,12),IF(ISNUMBER(SEARCH("6",'Procyclean 520'!F52)),EDATE(AB2550,6),IF(ISNUMBER(SEARCH("3",'Procyclean 520'!F52)),EDATE(AB2550,3),DATEVALUE('Procyclean 520'!F52))))),""))</f>
        <v/>
      </c>
      <c r="AM2550" t="str">
        <f t="shared" ca="1" si="256"/>
        <v/>
      </c>
    </row>
    <row r="2551" spans="27:39" x14ac:dyDescent="0.3">
      <c r="AA2551" t="str">
        <f>IF(COUNTA('Procyclean 520'!C53,'Procyclean 520'!D53,'Procyclean 520'!E53)&gt;0,"520","")</f>
        <v/>
      </c>
      <c r="AB2551" t="str">
        <f>IFERROR(IF(ISNUMBER('Procyclean 520'!C53),'Procyclean 520'!C53,DATEVALUE('Procyclean 520'!C53)),"")</f>
        <v/>
      </c>
      <c r="AC2551" t="str">
        <f>IF(AA2551="","",'Procyclean 520'!D53)</f>
        <v/>
      </c>
      <c r="AD2551" t="str">
        <f>IF(AA2551="","",IFERROR(1*'Procyclean 520'!E53,IFERROR(_xludf.NUMBERVALUE('Procyclean 520'!E53,".",","),IFERROR(_xludf.NUMBERVALUE('Procyclean 520'!E53,",","."),0))))</f>
        <v/>
      </c>
      <c r="AE2551" t="str">
        <f>IF(AA2551="","",'Procyclean 520'!B53)</f>
        <v/>
      </c>
      <c r="AF2551">
        <f t="shared" si="251"/>
        <v>0</v>
      </c>
      <c r="AG2551" t="str">
        <f t="shared" si="252"/>
        <v/>
      </c>
      <c r="AH2551" t="str">
        <f t="shared" si="253"/>
        <v/>
      </c>
      <c r="AI2551">
        <f t="shared" si="254"/>
        <v>0</v>
      </c>
      <c r="AJ2551">
        <f t="shared" si="255"/>
        <v>0</v>
      </c>
      <c r="AK2551">
        <v>0</v>
      </c>
      <c r="AL2551" t="str">
        <f>IF(AA2551="","",IFERROR(IF(ISNUMBER('Procyclean 520'!F53),'Procyclean 520'!F53,IF(ISNUMBER(SEARCH("12",'Procyclean 520'!F53)),EDATE(AB2551,12),IF(ISNUMBER(SEARCH("6",'Procyclean 520'!F53)),EDATE(AB2551,6),IF(ISNUMBER(SEARCH("3",'Procyclean 520'!F53)),EDATE(AB2551,3),DATEVALUE('Procyclean 520'!F53))))),""))</f>
        <v/>
      </c>
      <c r="AM2551" t="str">
        <f t="shared" ca="1" si="256"/>
        <v/>
      </c>
    </row>
    <row r="2552" spans="27:39" x14ac:dyDescent="0.3">
      <c r="AA2552" t="str">
        <f>IF(COUNTA('Procyclean 520'!C54,'Procyclean 520'!D54,'Procyclean 520'!E54)&gt;0,"520","")</f>
        <v/>
      </c>
      <c r="AB2552" t="str">
        <f>IFERROR(IF(ISNUMBER('Procyclean 520'!C54),'Procyclean 520'!C54,DATEVALUE('Procyclean 520'!C54)),"")</f>
        <v/>
      </c>
      <c r="AC2552" t="str">
        <f>IF(AA2552="","",'Procyclean 520'!D54)</f>
        <v/>
      </c>
      <c r="AD2552" t="str">
        <f>IF(AA2552="","",IFERROR(1*'Procyclean 520'!E54,IFERROR(_xludf.NUMBERVALUE('Procyclean 520'!E54,".",","),IFERROR(_xludf.NUMBERVALUE('Procyclean 520'!E54,",","."),0))))</f>
        <v/>
      </c>
      <c r="AE2552" t="str">
        <f>IF(AA2552="","",'Procyclean 520'!B54)</f>
        <v/>
      </c>
      <c r="AF2552">
        <f t="shared" si="251"/>
        <v>0</v>
      </c>
      <c r="AG2552" t="str">
        <f t="shared" si="252"/>
        <v/>
      </c>
      <c r="AH2552" t="str">
        <f t="shared" si="253"/>
        <v/>
      </c>
      <c r="AI2552">
        <f t="shared" si="254"/>
        <v>0</v>
      </c>
      <c r="AJ2552">
        <f t="shared" si="255"/>
        <v>0</v>
      </c>
      <c r="AK2552">
        <v>0</v>
      </c>
      <c r="AL2552" t="str">
        <f>IF(AA2552="","",IFERROR(IF(ISNUMBER('Procyclean 520'!F54),'Procyclean 520'!F54,IF(ISNUMBER(SEARCH("12",'Procyclean 520'!F54)),EDATE(AB2552,12),IF(ISNUMBER(SEARCH("6",'Procyclean 520'!F54)),EDATE(AB2552,6),IF(ISNUMBER(SEARCH("3",'Procyclean 520'!F54)),EDATE(AB2552,3),DATEVALUE('Procyclean 520'!F54))))),""))</f>
        <v/>
      </c>
      <c r="AM2552" t="str">
        <f t="shared" ca="1" si="256"/>
        <v/>
      </c>
    </row>
    <row r="2553" spans="27:39" x14ac:dyDescent="0.3">
      <c r="AA2553" t="str">
        <f>IF(COUNTA('Procyclean 520'!C55,'Procyclean 520'!D55,'Procyclean 520'!E55)&gt;0,"520","")</f>
        <v/>
      </c>
      <c r="AB2553" t="str">
        <f>IFERROR(IF(ISNUMBER('Procyclean 520'!C55),'Procyclean 520'!C55,DATEVALUE('Procyclean 520'!C55)),"")</f>
        <v/>
      </c>
      <c r="AC2553" t="str">
        <f>IF(AA2553="","",'Procyclean 520'!D55)</f>
        <v/>
      </c>
      <c r="AD2553" t="str">
        <f>IF(AA2553="","",IFERROR(1*'Procyclean 520'!E55,IFERROR(_xludf.NUMBERVALUE('Procyclean 520'!E55,".",","),IFERROR(_xludf.NUMBERVALUE('Procyclean 520'!E55,",","."),0))))</f>
        <v/>
      </c>
      <c r="AE2553" t="str">
        <f>IF(AA2553="","",'Procyclean 520'!B55)</f>
        <v/>
      </c>
      <c r="AF2553">
        <f t="shared" si="251"/>
        <v>0</v>
      </c>
      <c r="AG2553" t="str">
        <f t="shared" si="252"/>
        <v/>
      </c>
      <c r="AH2553" t="str">
        <f t="shared" si="253"/>
        <v/>
      </c>
      <c r="AI2553">
        <f t="shared" si="254"/>
        <v>0</v>
      </c>
      <c r="AJ2553">
        <f t="shared" si="255"/>
        <v>0</v>
      </c>
      <c r="AK2553">
        <v>0</v>
      </c>
      <c r="AL2553" t="str">
        <f>IF(AA2553="","",IFERROR(IF(ISNUMBER('Procyclean 520'!F55),'Procyclean 520'!F55,IF(ISNUMBER(SEARCH("12",'Procyclean 520'!F55)),EDATE(AB2553,12),IF(ISNUMBER(SEARCH("6",'Procyclean 520'!F55)),EDATE(AB2553,6),IF(ISNUMBER(SEARCH("3",'Procyclean 520'!F55)),EDATE(AB2553,3),DATEVALUE('Procyclean 520'!F55))))),""))</f>
        <v/>
      </c>
      <c r="AM2553" t="str">
        <f t="shared" ca="1" si="256"/>
        <v/>
      </c>
    </row>
    <row r="2554" spans="27:39" x14ac:dyDescent="0.3">
      <c r="AA2554" t="str">
        <f>IF(COUNTA('Procyclean 520'!C56,'Procyclean 520'!D56,'Procyclean 520'!E56)&gt;0,"520","")</f>
        <v/>
      </c>
      <c r="AB2554" t="str">
        <f>IFERROR(IF(ISNUMBER('Procyclean 520'!C56),'Procyclean 520'!C56,DATEVALUE('Procyclean 520'!C56)),"")</f>
        <v/>
      </c>
      <c r="AC2554" t="str">
        <f>IF(AA2554="","",'Procyclean 520'!D56)</f>
        <v/>
      </c>
      <c r="AD2554" t="str">
        <f>IF(AA2554="","",IFERROR(1*'Procyclean 520'!E56,IFERROR(_xludf.NUMBERVALUE('Procyclean 520'!E56,".",","),IFERROR(_xludf.NUMBERVALUE('Procyclean 520'!E56,",","."),0))))</f>
        <v/>
      </c>
      <c r="AE2554" t="str">
        <f>IF(AA2554="","",'Procyclean 520'!B56)</f>
        <v/>
      </c>
      <c r="AF2554">
        <f t="shared" si="251"/>
        <v>0</v>
      </c>
      <c r="AG2554" t="str">
        <f t="shared" si="252"/>
        <v/>
      </c>
      <c r="AH2554" t="str">
        <f t="shared" si="253"/>
        <v/>
      </c>
      <c r="AI2554">
        <f t="shared" si="254"/>
        <v>0</v>
      </c>
      <c r="AJ2554">
        <f t="shared" si="255"/>
        <v>0</v>
      </c>
      <c r="AK2554">
        <v>0</v>
      </c>
      <c r="AL2554" t="str">
        <f>IF(AA2554="","",IFERROR(IF(ISNUMBER('Procyclean 520'!F56),'Procyclean 520'!F56,IF(ISNUMBER(SEARCH("12",'Procyclean 520'!F56)),EDATE(AB2554,12),IF(ISNUMBER(SEARCH("6",'Procyclean 520'!F56)),EDATE(AB2554,6),IF(ISNUMBER(SEARCH("3",'Procyclean 520'!F56)),EDATE(AB2554,3),DATEVALUE('Procyclean 520'!F56))))),""))</f>
        <v/>
      </c>
      <c r="AM2554" t="str">
        <f t="shared" ca="1" si="256"/>
        <v/>
      </c>
    </row>
    <row r="2555" spans="27:39" x14ac:dyDescent="0.3">
      <c r="AA2555" t="str">
        <f>IF(COUNTA('Procyclean 520'!C57,'Procyclean 520'!D57,'Procyclean 520'!E57)&gt;0,"520","")</f>
        <v/>
      </c>
      <c r="AB2555" t="str">
        <f>IFERROR(IF(ISNUMBER('Procyclean 520'!C57),'Procyclean 520'!C57,DATEVALUE('Procyclean 520'!C57)),"")</f>
        <v/>
      </c>
      <c r="AC2555" t="str">
        <f>IF(AA2555="","",'Procyclean 520'!D57)</f>
        <v/>
      </c>
      <c r="AD2555" t="str">
        <f>IF(AA2555="","",IFERROR(1*'Procyclean 520'!E57,IFERROR(_xludf.NUMBERVALUE('Procyclean 520'!E57,".",","),IFERROR(_xludf.NUMBERVALUE('Procyclean 520'!E57,",","."),0))))</f>
        <v/>
      </c>
      <c r="AE2555" t="str">
        <f>IF(AA2555="","",'Procyclean 520'!B57)</f>
        <v/>
      </c>
      <c r="AF2555">
        <f t="shared" si="251"/>
        <v>0</v>
      </c>
      <c r="AG2555" t="str">
        <f t="shared" si="252"/>
        <v/>
      </c>
      <c r="AH2555" t="str">
        <f t="shared" si="253"/>
        <v/>
      </c>
      <c r="AI2555">
        <f t="shared" si="254"/>
        <v>0</v>
      </c>
      <c r="AJ2555">
        <f t="shared" si="255"/>
        <v>0</v>
      </c>
      <c r="AK2555">
        <v>0</v>
      </c>
      <c r="AL2555" t="str">
        <f>IF(AA2555="","",IFERROR(IF(ISNUMBER('Procyclean 520'!F57),'Procyclean 520'!F57,IF(ISNUMBER(SEARCH("12",'Procyclean 520'!F57)),EDATE(AB2555,12),IF(ISNUMBER(SEARCH("6",'Procyclean 520'!F57)),EDATE(AB2555,6),IF(ISNUMBER(SEARCH("3",'Procyclean 520'!F57)),EDATE(AB2555,3),DATEVALUE('Procyclean 520'!F57))))),""))</f>
        <v/>
      </c>
      <c r="AM2555" t="str">
        <f t="shared" ca="1" si="256"/>
        <v/>
      </c>
    </row>
    <row r="2556" spans="27:39" x14ac:dyDescent="0.3">
      <c r="AA2556" t="str">
        <f>IF(COUNTA('Procyclean 520'!C58,'Procyclean 520'!D58,'Procyclean 520'!E58)&gt;0,"520","")</f>
        <v/>
      </c>
      <c r="AB2556" t="str">
        <f>IFERROR(IF(ISNUMBER('Procyclean 520'!C58),'Procyclean 520'!C58,DATEVALUE('Procyclean 520'!C58)),"")</f>
        <v/>
      </c>
      <c r="AC2556" t="str">
        <f>IF(AA2556="","",'Procyclean 520'!D58)</f>
        <v/>
      </c>
      <c r="AD2556" t="str">
        <f>IF(AA2556="","",IFERROR(1*'Procyclean 520'!E58,IFERROR(_xludf.NUMBERVALUE('Procyclean 520'!E58,".",","),IFERROR(_xludf.NUMBERVALUE('Procyclean 520'!E58,",","."),0))))</f>
        <v/>
      </c>
      <c r="AE2556" t="str">
        <f>IF(AA2556="","",'Procyclean 520'!B58)</f>
        <v/>
      </c>
      <c r="AF2556">
        <f t="shared" si="251"/>
        <v>0</v>
      </c>
      <c r="AG2556" t="str">
        <f t="shared" si="252"/>
        <v/>
      </c>
      <c r="AH2556" t="str">
        <f t="shared" si="253"/>
        <v/>
      </c>
      <c r="AI2556">
        <f t="shared" si="254"/>
        <v>0</v>
      </c>
      <c r="AJ2556">
        <f t="shared" si="255"/>
        <v>0</v>
      </c>
      <c r="AK2556">
        <v>0</v>
      </c>
      <c r="AL2556" t="str">
        <f>IF(AA2556="","",IFERROR(IF(ISNUMBER('Procyclean 520'!F58),'Procyclean 520'!F58,IF(ISNUMBER(SEARCH("12",'Procyclean 520'!F58)),EDATE(AB2556,12),IF(ISNUMBER(SEARCH("6",'Procyclean 520'!F58)),EDATE(AB2556,6),IF(ISNUMBER(SEARCH("3",'Procyclean 520'!F58)),EDATE(AB2556,3),DATEVALUE('Procyclean 520'!F58))))),""))</f>
        <v/>
      </c>
      <c r="AM2556" t="str">
        <f t="shared" ca="1" si="256"/>
        <v/>
      </c>
    </row>
    <row r="2557" spans="27:39" x14ac:dyDescent="0.3">
      <c r="AA2557" t="str">
        <f>IF(COUNTA('Procyclean 520'!C59,'Procyclean 520'!D59,'Procyclean 520'!E59)&gt;0,"520","")</f>
        <v/>
      </c>
      <c r="AB2557" t="str">
        <f>IFERROR(IF(ISNUMBER('Procyclean 520'!C59),'Procyclean 520'!C59,DATEVALUE('Procyclean 520'!C59)),"")</f>
        <v/>
      </c>
      <c r="AC2557" t="str">
        <f>IF(AA2557="","",'Procyclean 520'!D59)</f>
        <v/>
      </c>
      <c r="AD2557" t="str">
        <f>IF(AA2557="","",IFERROR(1*'Procyclean 520'!E59,IFERROR(_xludf.NUMBERVALUE('Procyclean 520'!E59,".",","),IFERROR(_xludf.NUMBERVALUE('Procyclean 520'!E59,",","."),0))))</f>
        <v/>
      </c>
      <c r="AE2557" t="str">
        <f>IF(AA2557="","",'Procyclean 520'!B59)</f>
        <v/>
      </c>
      <c r="AF2557">
        <f t="shared" si="251"/>
        <v>0</v>
      </c>
      <c r="AG2557" t="str">
        <f t="shared" si="252"/>
        <v/>
      </c>
      <c r="AH2557" t="str">
        <f t="shared" si="253"/>
        <v/>
      </c>
      <c r="AI2557">
        <f t="shared" si="254"/>
        <v>0</v>
      </c>
      <c r="AJ2557">
        <f t="shared" si="255"/>
        <v>0</v>
      </c>
      <c r="AK2557">
        <v>0</v>
      </c>
      <c r="AL2557" t="str">
        <f>IF(AA2557="","",IFERROR(IF(ISNUMBER('Procyclean 520'!F59),'Procyclean 520'!F59,IF(ISNUMBER(SEARCH("12",'Procyclean 520'!F59)),EDATE(AB2557,12),IF(ISNUMBER(SEARCH("6",'Procyclean 520'!F59)),EDATE(AB2557,6),IF(ISNUMBER(SEARCH("3",'Procyclean 520'!F59)),EDATE(AB2557,3),DATEVALUE('Procyclean 520'!F59))))),""))</f>
        <v/>
      </c>
      <c r="AM2557" t="str">
        <f t="shared" ca="1" si="256"/>
        <v/>
      </c>
    </row>
    <row r="2558" spans="27:39" x14ac:dyDescent="0.3">
      <c r="AA2558" t="str">
        <f>IF(COUNTA('Procyclean 520'!C60,'Procyclean 520'!D60,'Procyclean 520'!E60)&gt;0,"520","")</f>
        <v/>
      </c>
      <c r="AB2558" t="str">
        <f>IFERROR(IF(ISNUMBER('Procyclean 520'!C60),'Procyclean 520'!C60,DATEVALUE('Procyclean 520'!C60)),"")</f>
        <v/>
      </c>
      <c r="AC2558" t="str">
        <f>IF(AA2558="","",'Procyclean 520'!D60)</f>
        <v/>
      </c>
      <c r="AD2558" t="str">
        <f>IF(AA2558="","",IFERROR(1*'Procyclean 520'!E60,IFERROR(_xludf.NUMBERVALUE('Procyclean 520'!E60,".",","),IFERROR(_xludf.NUMBERVALUE('Procyclean 520'!E60,",","."),0))))</f>
        <v/>
      </c>
      <c r="AE2558" t="str">
        <f>IF(AA2558="","",'Procyclean 520'!B60)</f>
        <v/>
      </c>
      <c r="AF2558">
        <f t="shared" si="251"/>
        <v>0</v>
      </c>
      <c r="AG2558" t="str">
        <f t="shared" si="252"/>
        <v/>
      </c>
      <c r="AH2558" t="str">
        <f t="shared" si="253"/>
        <v/>
      </c>
      <c r="AI2558">
        <f t="shared" si="254"/>
        <v>0</v>
      </c>
      <c r="AJ2558">
        <f t="shared" si="255"/>
        <v>0</v>
      </c>
      <c r="AK2558">
        <v>0</v>
      </c>
      <c r="AL2558" t="str">
        <f>IF(AA2558="","",IFERROR(IF(ISNUMBER('Procyclean 520'!F60),'Procyclean 520'!F60,IF(ISNUMBER(SEARCH("12",'Procyclean 520'!F60)),EDATE(AB2558,12),IF(ISNUMBER(SEARCH("6",'Procyclean 520'!F60)),EDATE(AB2558,6),IF(ISNUMBER(SEARCH("3",'Procyclean 520'!F60)),EDATE(AB2558,3),DATEVALUE('Procyclean 520'!F60))))),""))</f>
        <v/>
      </c>
      <c r="AM2558" t="str">
        <f t="shared" ca="1" si="256"/>
        <v/>
      </c>
    </row>
    <row r="2559" spans="27:39" x14ac:dyDescent="0.3">
      <c r="AA2559" t="str">
        <f>IF(COUNTA('Procyclean 520'!C61,'Procyclean 520'!D61,'Procyclean 520'!E61)&gt;0,"520","")</f>
        <v/>
      </c>
      <c r="AB2559" t="str">
        <f>IFERROR(IF(ISNUMBER('Procyclean 520'!C61),'Procyclean 520'!C61,DATEVALUE('Procyclean 520'!C61)),"")</f>
        <v/>
      </c>
      <c r="AC2559" t="str">
        <f>IF(AA2559="","",'Procyclean 520'!D61)</f>
        <v/>
      </c>
      <c r="AD2559" t="str">
        <f>IF(AA2559="","",IFERROR(1*'Procyclean 520'!E61,IFERROR(_xludf.NUMBERVALUE('Procyclean 520'!E61,".",","),IFERROR(_xludf.NUMBERVALUE('Procyclean 520'!E61,",","."),0))))</f>
        <v/>
      </c>
      <c r="AE2559" t="str">
        <f>IF(AA2559="","",'Procyclean 520'!B61)</f>
        <v/>
      </c>
      <c r="AF2559">
        <f t="shared" si="251"/>
        <v>0</v>
      </c>
      <c r="AG2559" t="str">
        <f t="shared" si="252"/>
        <v/>
      </c>
      <c r="AH2559" t="str">
        <f t="shared" si="253"/>
        <v/>
      </c>
      <c r="AI2559">
        <f t="shared" si="254"/>
        <v>0</v>
      </c>
      <c r="AJ2559">
        <f t="shared" si="255"/>
        <v>0</v>
      </c>
      <c r="AK2559">
        <v>0</v>
      </c>
      <c r="AL2559" t="str">
        <f>IF(AA2559="","",IFERROR(IF(ISNUMBER('Procyclean 520'!F61),'Procyclean 520'!F61,IF(ISNUMBER(SEARCH("12",'Procyclean 520'!F61)),EDATE(AB2559,12),IF(ISNUMBER(SEARCH("6",'Procyclean 520'!F61)),EDATE(AB2559,6),IF(ISNUMBER(SEARCH("3",'Procyclean 520'!F61)),EDATE(AB2559,3),DATEVALUE('Procyclean 520'!F61))))),""))</f>
        <v/>
      </c>
      <c r="AM2559" t="str">
        <f t="shared" ca="1" si="256"/>
        <v/>
      </c>
    </row>
    <row r="2560" spans="27:39" x14ac:dyDescent="0.3">
      <c r="AA2560" t="str">
        <f>IF(COUNTA('Procyclean 520'!C62,'Procyclean 520'!D62,'Procyclean 520'!E62)&gt;0,"520","")</f>
        <v/>
      </c>
      <c r="AB2560" t="str">
        <f>IFERROR(IF(ISNUMBER('Procyclean 520'!C62),'Procyclean 520'!C62,DATEVALUE('Procyclean 520'!C62)),"")</f>
        <v/>
      </c>
      <c r="AC2560" t="str">
        <f>IF(AA2560="","",'Procyclean 520'!D62)</f>
        <v/>
      </c>
      <c r="AD2560" t="str">
        <f>IF(AA2560="","",IFERROR(1*'Procyclean 520'!E62,IFERROR(_xludf.NUMBERVALUE('Procyclean 520'!E62,".",","),IFERROR(_xludf.NUMBERVALUE('Procyclean 520'!E62,",","."),0))))</f>
        <v/>
      </c>
      <c r="AE2560" t="str">
        <f>IF(AA2560="","",'Procyclean 520'!B62)</f>
        <v/>
      </c>
      <c r="AF2560">
        <f t="shared" si="251"/>
        <v>0</v>
      </c>
      <c r="AG2560" t="str">
        <f t="shared" si="252"/>
        <v/>
      </c>
      <c r="AH2560" t="str">
        <f t="shared" si="253"/>
        <v/>
      </c>
      <c r="AI2560">
        <f t="shared" si="254"/>
        <v>0</v>
      </c>
      <c r="AJ2560">
        <f t="shared" si="255"/>
        <v>0</v>
      </c>
      <c r="AK2560">
        <v>0</v>
      </c>
      <c r="AL2560" t="str">
        <f>IF(AA2560="","",IFERROR(IF(ISNUMBER('Procyclean 520'!F62),'Procyclean 520'!F62,IF(ISNUMBER(SEARCH("12",'Procyclean 520'!F62)),EDATE(AB2560,12),IF(ISNUMBER(SEARCH("6",'Procyclean 520'!F62)),EDATE(AB2560,6),IF(ISNUMBER(SEARCH("3",'Procyclean 520'!F62)),EDATE(AB2560,3),DATEVALUE('Procyclean 520'!F62))))),""))</f>
        <v/>
      </c>
      <c r="AM2560" t="str">
        <f t="shared" ca="1" si="256"/>
        <v/>
      </c>
    </row>
    <row r="2561" spans="27:39" x14ac:dyDescent="0.3">
      <c r="AA2561" t="str">
        <f>IF(COUNTA('Procyclean 520'!C63,'Procyclean 520'!D63,'Procyclean 520'!E63)&gt;0,"520","")</f>
        <v/>
      </c>
      <c r="AB2561" t="str">
        <f>IFERROR(IF(ISNUMBER('Procyclean 520'!C63),'Procyclean 520'!C63,DATEVALUE('Procyclean 520'!C63)),"")</f>
        <v/>
      </c>
      <c r="AC2561" t="str">
        <f>IF(AA2561="","",'Procyclean 520'!D63)</f>
        <v/>
      </c>
      <c r="AD2561" t="str">
        <f>IF(AA2561="","",IFERROR(1*'Procyclean 520'!E63,IFERROR(_xludf.NUMBERVALUE('Procyclean 520'!E63,".",","),IFERROR(_xludf.NUMBERVALUE('Procyclean 520'!E63,",","."),0))))</f>
        <v/>
      </c>
      <c r="AE2561" t="str">
        <f>IF(AA2561="","",'Procyclean 520'!B63)</f>
        <v/>
      </c>
      <c r="AF2561">
        <f t="shared" si="251"/>
        <v>0</v>
      </c>
      <c r="AG2561" t="str">
        <f t="shared" si="252"/>
        <v/>
      </c>
      <c r="AH2561" t="str">
        <f t="shared" si="253"/>
        <v/>
      </c>
      <c r="AI2561">
        <f t="shared" si="254"/>
        <v>0</v>
      </c>
      <c r="AJ2561">
        <f t="shared" si="255"/>
        <v>0</v>
      </c>
      <c r="AK2561">
        <v>0</v>
      </c>
      <c r="AL2561" t="str">
        <f>IF(AA2561="","",IFERROR(IF(ISNUMBER('Procyclean 520'!F63),'Procyclean 520'!F63,IF(ISNUMBER(SEARCH("12",'Procyclean 520'!F63)),EDATE(AB2561,12),IF(ISNUMBER(SEARCH("6",'Procyclean 520'!F63)),EDATE(AB2561,6),IF(ISNUMBER(SEARCH("3",'Procyclean 520'!F63)),EDATE(AB2561,3),DATEVALUE('Procyclean 520'!F63))))),""))</f>
        <v/>
      </c>
      <c r="AM2561" t="str">
        <f t="shared" ca="1" si="256"/>
        <v/>
      </c>
    </row>
    <row r="2562" spans="27:39" x14ac:dyDescent="0.3">
      <c r="AA2562" t="str">
        <f>IF(COUNTA('Procyclean 520'!C64,'Procyclean 520'!D64,'Procyclean 520'!E64)&gt;0,"520","")</f>
        <v/>
      </c>
      <c r="AB2562" t="str">
        <f>IFERROR(IF(ISNUMBER('Procyclean 520'!C64),'Procyclean 520'!C64,DATEVALUE('Procyclean 520'!C64)),"")</f>
        <v/>
      </c>
      <c r="AC2562" t="str">
        <f>IF(AA2562="","",'Procyclean 520'!D64)</f>
        <v/>
      </c>
      <c r="AD2562" t="str">
        <f>IF(AA2562="","",IFERROR(1*'Procyclean 520'!E64,IFERROR(_xludf.NUMBERVALUE('Procyclean 520'!E64,".",","),IFERROR(_xludf.NUMBERVALUE('Procyclean 520'!E64,",","."),0))))</f>
        <v/>
      </c>
      <c r="AE2562" t="str">
        <f>IF(AA2562="","",'Procyclean 520'!B64)</f>
        <v/>
      </c>
      <c r="AF2562">
        <f t="shared" ref="AF2562:AF2625" si="257">IF(AA2562="",0,--AND(ISNUMBER(SEARCH("aprov",AE2562)),NOT(ISNUMBER(SEARCH("reprov",AE2562)))))</f>
        <v>0</v>
      </c>
      <c r="AG2562" t="str">
        <f t="shared" ref="AG2562:AG2625" si="258">IF(AB2562="","",YEAR(AB2562))</f>
        <v/>
      </c>
      <c r="AH2562" t="str">
        <f t="shared" ref="AH2562:AH2625" si="259">IF(AB2562="","",MONTH(AB2562))</f>
        <v/>
      </c>
      <c r="AI2562">
        <f t="shared" ref="AI2562:AI2625" si="260">IF(AB2562="",0,AB2562+ROW()/1000000)</f>
        <v>0</v>
      </c>
      <c r="AJ2562">
        <f t="shared" ref="AJ2562:AJ2625" si="261">--(AA2562&lt;&gt;"")</f>
        <v>0</v>
      </c>
      <c r="AK2562">
        <v>0</v>
      </c>
      <c r="AL2562" t="str">
        <f>IF(AA2562="","",IFERROR(IF(ISNUMBER('Procyclean 520'!F64),'Procyclean 520'!F64,IF(ISNUMBER(SEARCH("12",'Procyclean 520'!F64)),EDATE(AB2562,12),IF(ISNUMBER(SEARCH("6",'Procyclean 520'!F64)),EDATE(AB2562,6),IF(ISNUMBER(SEARCH("3",'Procyclean 520'!F64)),EDATE(AB2562,3),DATEVALUE('Procyclean 520'!F64))))),""))</f>
        <v/>
      </c>
      <c r="AM2562" t="str">
        <f t="shared" ref="AM2562:AM2625" ca="1" si="262">IF(AND(AJ2562=1,AL2562&lt;&gt;"",AL2562&gt;=TODAY(),AG2562=$W$3),AL2562+ROW()/1000000,"")</f>
        <v/>
      </c>
    </row>
    <row r="2563" spans="27:39" x14ac:dyDescent="0.3">
      <c r="AA2563" t="str">
        <f>IF(COUNTA('Procyclean 520'!C65,'Procyclean 520'!D65,'Procyclean 520'!E65)&gt;0,"520","")</f>
        <v/>
      </c>
      <c r="AB2563" t="str">
        <f>IFERROR(IF(ISNUMBER('Procyclean 520'!C65),'Procyclean 520'!C65,DATEVALUE('Procyclean 520'!C65)),"")</f>
        <v/>
      </c>
      <c r="AC2563" t="str">
        <f>IF(AA2563="","",'Procyclean 520'!D65)</f>
        <v/>
      </c>
      <c r="AD2563" t="str">
        <f>IF(AA2563="","",IFERROR(1*'Procyclean 520'!E65,IFERROR(_xludf.NUMBERVALUE('Procyclean 520'!E65,".",","),IFERROR(_xludf.NUMBERVALUE('Procyclean 520'!E65,",","."),0))))</f>
        <v/>
      </c>
      <c r="AE2563" t="str">
        <f>IF(AA2563="","",'Procyclean 520'!B65)</f>
        <v/>
      </c>
      <c r="AF2563">
        <f t="shared" si="257"/>
        <v>0</v>
      </c>
      <c r="AG2563" t="str">
        <f t="shared" si="258"/>
        <v/>
      </c>
      <c r="AH2563" t="str">
        <f t="shared" si="259"/>
        <v/>
      </c>
      <c r="AI2563">
        <f t="shared" si="260"/>
        <v>0</v>
      </c>
      <c r="AJ2563">
        <f t="shared" si="261"/>
        <v>0</v>
      </c>
      <c r="AK2563">
        <v>0</v>
      </c>
      <c r="AL2563" t="str">
        <f>IF(AA2563="","",IFERROR(IF(ISNUMBER('Procyclean 520'!F65),'Procyclean 520'!F65,IF(ISNUMBER(SEARCH("12",'Procyclean 520'!F65)),EDATE(AB2563,12),IF(ISNUMBER(SEARCH("6",'Procyclean 520'!F65)),EDATE(AB2563,6),IF(ISNUMBER(SEARCH("3",'Procyclean 520'!F65)),EDATE(AB2563,3),DATEVALUE('Procyclean 520'!F65))))),""))</f>
        <v/>
      </c>
      <c r="AM2563" t="str">
        <f t="shared" ca="1" si="262"/>
        <v/>
      </c>
    </row>
    <row r="2564" spans="27:39" x14ac:dyDescent="0.3">
      <c r="AA2564" t="str">
        <f>IF(COUNTA('Procyclean 520'!C66,'Procyclean 520'!D66,'Procyclean 520'!E66)&gt;0,"520","")</f>
        <v/>
      </c>
      <c r="AB2564" t="str">
        <f>IFERROR(IF(ISNUMBER('Procyclean 520'!C66),'Procyclean 520'!C66,DATEVALUE('Procyclean 520'!C66)),"")</f>
        <v/>
      </c>
      <c r="AC2564" t="str">
        <f>IF(AA2564="","",'Procyclean 520'!D66)</f>
        <v/>
      </c>
      <c r="AD2564" t="str">
        <f>IF(AA2564="","",IFERROR(1*'Procyclean 520'!E66,IFERROR(_xludf.NUMBERVALUE('Procyclean 520'!E66,".",","),IFERROR(_xludf.NUMBERVALUE('Procyclean 520'!E66,",","."),0))))</f>
        <v/>
      </c>
      <c r="AE2564" t="str">
        <f>IF(AA2564="","",'Procyclean 520'!B66)</f>
        <v/>
      </c>
      <c r="AF2564">
        <f t="shared" si="257"/>
        <v>0</v>
      </c>
      <c r="AG2564" t="str">
        <f t="shared" si="258"/>
        <v/>
      </c>
      <c r="AH2564" t="str">
        <f t="shared" si="259"/>
        <v/>
      </c>
      <c r="AI2564">
        <f t="shared" si="260"/>
        <v>0</v>
      </c>
      <c r="AJ2564">
        <f t="shared" si="261"/>
        <v>0</v>
      </c>
      <c r="AK2564">
        <v>0</v>
      </c>
      <c r="AL2564" t="str">
        <f>IF(AA2564="","",IFERROR(IF(ISNUMBER('Procyclean 520'!F66),'Procyclean 520'!F66,IF(ISNUMBER(SEARCH("12",'Procyclean 520'!F66)),EDATE(AB2564,12),IF(ISNUMBER(SEARCH("6",'Procyclean 520'!F66)),EDATE(AB2564,6),IF(ISNUMBER(SEARCH("3",'Procyclean 520'!F66)),EDATE(AB2564,3),DATEVALUE('Procyclean 520'!F66))))),""))</f>
        <v/>
      </c>
      <c r="AM2564" t="str">
        <f t="shared" ca="1" si="262"/>
        <v/>
      </c>
    </row>
    <row r="2565" spans="27:39" x14ac:dyDescent="0.3">
      <c r="AA2565" t="str">
        <f>IF(COUNTA('Procyclean 520'!C67,'Procyclean 520'!D67,'Procyclean 520'!E67)&gt;0,"520","")</f>
        <v/>
      </c>
      <c r="AB2565" t="str">
        <f>IFERROR(IF(ISNUMBER('Procyclean 520'!C67),'Procyclean 520'!C67,DATEVALUE('Procyclean 520'!C67)),"")</f>
        <v/>
      </c>
      <c r="AC2565" t="str">
        <f>IF(AA2565="","",'Procyclean 520'!D67)</f>
        <v/>
      </c>
      <c r="AD2565" t="str">
        <f>IF(AA2565="","",IFERROR(1*'Procyclean 520'!E67,IFERROR(_xludf.NUMBERVALUE('Procyclean 520'!E67,".",","),IFERROR(_xludf.NUMBERVALUE('Procyclean 520'!E67,",","."),0))))</f>
        <v/>
      </c>
      <c r="AE2565" t="str">
        <f>IF(AA2565="","",'Procyclean 520'!B67)</f>
        <v/>
      </c>
      <c r="AF2565">
        <f t="shared" si="257"/>
        <v>0</v>
      </c>
      <c r="AG2565" t="str">
        <f t="shared" si="258"/>
        <v/>
      </c>
      <c r="AH2565" t="str">
        <f t="shared" si="259"/>
        <v/>
      </c>
      <c r="AI2565">
        <f t="shared" si="260"/>
        <v>0</v>
      </c>
      <c r="AJ2565">
        <f t="shared" si="261"/>
        <v>0</v>
      </c>
      <c r="AK2565">
        <v>0</v>
      </c>
      <c r="AL2565" t="str">
        <f>IF(AA2565="","",IFERROR(IF(ISNUMBER('Procyclean 520'!F67),'Procyclean 520'!F67,IF(ISNUMBER(SEARCH("12",'Procyclean 520'!F67)),EDATE(AB2565,12),IF(ISNUMBER(SEARCH("6",'Procyclean 520'!F67)),EDATE(AB2565,6),IF(ISNUMBER(SEARCH("3",'Procyclean 520'!F67)),EDATE(AB2565,3),DATEVALUE('Procyclean 520'!F67))))),""))</f>
        <v/>
      </c>
      <c r="AM2565" t="str">
        <f t="shared" ca="1" si="262"/>
        <v/>
      </c>
    </row>
    <row r="2566" spans="27:39" x14ac:dyDescent="0.3">
      <c r="AA2566" t="str">
        <f>IF(COUNTA('Procyclean 520'!C68,'Procyclean 520'!D68,'Procyclean 520'!E68)&gt;0,"520","")</f>
        <v/>
      </c>
      <c r="AB2566" t="str">
        <f>IFERROR(IF(ISNUMBER('Procyclean 520'!C68),'Procyclean 520'!C68,DATEVALUE('Procyclean 520'!C68)),"")</f>
        <v/>
      </c>
      <c r="AC2566" t="str">
        <f>IF(AA2566="","",'Procyclean 520'!D68)</f>
        <v/>
      </c>
      <c r="AD2566" t="str">
        <f>IF(AA2566="","",IFERROR(1*'Procyclean 520'!E68,IFERROR(_xludf.NUMBERVALUE('Procyclean 520'!E68,".",","),IFERROR(_xludf.NUMBERVALUE('Procyclean 520'!E68,",","."),0))))</f>
        <v/>
      </c>
      <c r="AE2566" t="str">
        <f>IF(AA2566="","",'Procyclean 520'!B68)</f>
        <v/>
      </c>
      <c r="AF2566">
        <f t="shared" si="257"/>
        <v>0</v>
      </c>
      <c r="AG2566" t="str">
        <f t="shared" si="258"/>
        <v/>
      </c>
      <c r="AH2566" t="str">
        <f t="shared" si="259"/>
        <v/>
      </c>
      <c r="AI2566">
        <f t="shared" si="260"/>
        <v>0</v>
      </c>
      <c r="AJ2566">
        <f t="shared" si="261"/>
        <v>0</v>
      </c>
      <c r="AK2566">
        <v>0</v>
      </c>
      <c r="AL2566" t="str">
        <f>IF(AA2566="","",IFERROR(IF(ISNUMBER('Procyclean 520'!F68),'Procyclean 520'!F68,IF(ISNUMBER(SEARCH("12",'Procyclean 520'!F68)),EDATE(AB2566,12),IF(ISNUMBER(SEARCH("6",'Procyclean 520'!F68)),EDATE(AB2566,6),IF(ISNUMBER(SEARCH("3",'Procyclean 520'!F68)),EDATE(AB2566,3),DATEVALUE('Procyclean 520'!F68))))),""))</f>
        <v/>
      </c>
      <c r="AM2566" t="str">
        <f t="shared" ca="1" si="262"/>
        <v/>
      </c>
    </row>
    <row r="2567" spans="27:39" x14ac:dyDescent="0.3">
      <c r="AA2567" t="str">
        <f>IF(COUNTA('Procyclean 520'!C69,'Procyclean 520'!D69,'Procyclean 520'!E69)&gt;0,"520","")</f>
        <v/>
      </c>
      <c r="AB2567" t="str">
        <f>IFERROR(IF(ISNUMBER('Procyclean 520'!C69),'Procyclean 520'!C69,DATEVALUE('Procyclean 520'!C69)),"")</f>
        <v/>
      </c>
      <c r="AC2567" t="str">
        <f>IF(AA2567="","",'Procyclean 520'!D69)</f>
        <v/>
      </c>
      <c r="AD2567" t="str">
        <f>IF(AA2567="","",IFERROR(1*'Procyclean 520'!E69,IFERROR(_xludf.NUMBERVALUE('Procyclean 520'!E69,".",","),IFERROR(_xludf.NUMBERVALUE('Procyclean 520'!E69,",","."),0))))</f>
        <v/>
      </c>
      <c r="AE2567" t="str">
        <f>IF(AA2567="","",'Procyclean 520'!B69)</f>
        <v/>
      </c>
      <c r="AF2567">
        <f t="shared" si="257"/>
        <v>0</v>
      </c>
      <c r="AG2567" t="str">
        <f t="shared" si="258"/>
        <v/>
      </c>
      <c r="AH2567" t="str">
        <f t="shared" si="259"/>
        <v/>
      </c>
      <c r="AI2567">
        <f t="shared" si="260"/>
        <v>0</v>
      </c>
      <c r="AJ2567">
        <f t="shared" si="261"/>
        <v>0</v>
      </c>
      <c r="AK2567">
        <v>0</v>
      </c>
      <c r="AL2567" t="str">
        <f>IF(AA2567="","",IFERROR(IF(ISNUMBER('Procyclean 520'!F69),'Procyclean 520'!F69,IF(ISNUMBER(SEARCH("12",'Procyclean 520'!F69)),EDATE(AB2567,12),IF(ISNUMBER(SEARCH("6",'Procyclean 520'!F69)),EDATE(AB2567,6),IF(ISNUMBER(SEARCH("3",'Procyclean 520'!F69)),EDATE(AB2567,3),DATEVALUE('Procyclean 520'!F69))))),""))</f>
        <v/>
      </c>
      <c r="AM2567" t="str">
        <f t="shared" ca="1" si="262"/>
        <v/>
      </c>
    </row>
    <row r="2568" spans="27:39" x14ac:dyDescent="0.3">
      <c r="AA2568" t="str">
        <f>IF(COUNTA('Procyclean 520'!C70,'Procyclean 520'!D70,'Procyclean 520'!E70)&gt;0,"520","")</f>
        <v/>
      </c>
      <c r="AB2568" t="str">
        <f>IFERROR(IF(ISNUMBER('Procyclean 520'!C70),'Procyclean 520'!C70,DATEVALUE('Procyclean 520'!C70)),"")</f>
        <v/>
      </c>
      <c r="AC2568" t="str">
        <f>IF(AA2568="","",'Procyclean 520'!D70)</f>
        <v/>
      </c>
      <c r="AD2568" t="str">
        <f>IF(AA2568="","",IFERROR(1*'Procyclean 520'!E70,IFERROR(_xludf.NUMBERVALUE('Procyclean 520'!E70,".",","),IFERROR(_xludf.NUMBERVALUE('Procyclean 520'!E70,",","."),0))))</f>
        <v/>
      </c>
      <c r="AE2568" t="str">
        <f>IF(AA2568="","",'Procyclean 520'!B70)</f>
        <v/>
      </c>
      <c r="AF2568">
        <f t="shared" si="257"/>
        <v>0</v>
      </c>
      <c r="AG2568" t="str">
        <f t="shared" si="258"/>
        <v/>
      </c>
      <c r="AH2568" t="str">
        <f t="shared" si="259"/>
        <v/>
      </c>
      <c r="AI2568">
        <f t="shared" si="260"/>
        <v>0</v>
      </c>
      <c r="AJ2568">
        <f t="shared" si="261"/>
        <v>0</v>
      </c>
      <c r="AK2568">
        <v>0</v>
      </c>
      <c r="AL2568" t="str">
        <f>IF(AA2568="","",IFERROR(IF(ISNUMBER('Procyclean 520'!F70),'Procyclean 520'!F70,IF(ISNUMBER(SEARCH("12",'Procyclean 520'!F70)),EDATE(AB2568,12),IF(ISNUMBER(SEARCH("6",'Procyclean 520'!F70)),EDATE(AB2568,6),IF(ISNUMBER(SEARCH("3",'Procyclean 520'!F70)),EDATE(AB2568,3),DATEVALUE('Procyclean 520'!F70))))),""))</f>
        <v/>
      </c>
      <c r="AM2568" t="str">
        <f t="shared" ca="1" si="262"/>
        <v/>
      </c>
    </row>
    <row r="2569" spans="27:39" x14ac:dyDescent="0.3">
      <c r="AA2569" t="str">
        <f>IF(COUNTA('Procyclean 520'!C71,'Procyclean 520'!D71,'Procyclean 520'!E71)&gt;0,"520","")</f>
        <v/>
      </c>
      <c r="AB2569" t="str">
        <f>IFERROR(IF(ISNUMBER('Procyclean 520'!C71),'Procyclean 520'!C71,DATEVALUE('Procyclean 520'!C71)),"")</f>
        <v/>
      </c>
      <c r="AC2569" t="str">
        <f>IF(AA2569="","",'Procyclean 520'!D71)</f>
        <v/>
      </c>
      <c r="AD2569" t="str">
        <f>IF(AA2569="","",IFERROR(1*'Procyclean 520'!E71,IFERROR(_xludf.NUMBERVALUE('Procyclean 520'!E71,".",","),IFERROR(_xludf.NUMBERVALUE('Procyclean 520'!E71,",","."),0))))</f>
        <v/>
      </c>
      <c r="AE2569" t="str">
        <f>IF(AA2569="","",'Procyclean 520'!B71)</f>
        <v/>
      </c>
      <c r="AF2569">
        <f t="shared" si="257"/>
        <v>0</v>
      </c>
      <c r="AG2569" t="str">
        <f t="shared" si="258"/>
        <v/>
      </c>
      <c r="AH2569" t="str">
        <f t="shared" si="259"/>
        <v/>
      </c>
      <c r="AI2569">
        <f t="shared" si="260"/>
        <v>0</v>
      </c>
      <c r="AJ2569">
        <f t="shared" si="261"/>
        <v>0</v>
      </c>
      <c r="AK2569">
        <v>0</v>
      </c>
      <c r="AL2569" t="str">
        <f>IF(AA2569="","",IFERROR(IF(ISNUMBER('Procyclean 520'!F71),'Procyclean 520'!F71,IF(ISNUMBER(SEARCH("12",'Procyclean 520'!F71)),EDATE(AB2569,12),IF(ISNUMBER(SEARCH("6",'Procyclean 520'!F71)),EDATE(AB2569,6),IF(ISNUMBER(SEARCH("3",'Procyclean 520'!F71)),EDATE(AB2569,3),DATEVALUE('Procyclean 520'!F71))))),""))</f>
        <v/>
      </c>
      <c r="AM2569" t="str">
        <f t="shared" ca="1" si="262"/>
        <v/>
      </c>
    </row>
    <row r="2570" spans="27:39" x14ac:dyDescent="0.3">
      <c r="AA2570" t="str">
        <f>IF(COUNTA('Procyclean 520'!C72,'Procyclean 520'!D72,'Procyclean 520'!E72)&gt;0,"520","")</f>
        <v/>
      </c>
      <c r="AB2570" t="str">
        <f>IFERROR(IF(ISNUMBER('Procyclean 520'!C72),'Procyclean 520'!C72,DATEVALUE('Procyclean 520'!C72)),"")</f>
        <v/>
      </c>
      <c r="AC2570" t="str">
        <f>IF(AA2570="","",'Procyclean 520'!D72)</f>
        <v/>
      </c>
      <c r="AD2570" t="str">
        <f>IF(AA2570="","",IFERROR(1*'Procyclean 520'!E72,IFERROR(_xludf.NUMBERVALUE('Procyclean 520'!E72,".",","),IFERROR(_xludf.NUMBERVALUE('Procyclean 520'!E72,",","."),0))))</f>
        <v/>
      </c>
      <c r="AE2570" t="str">
        <f>IF(AA2570="","",'Procyclean 520'!B72)</f>
        <v/>
      </c>
      <c r="AF2570">
        <f t="shared" si="257"/>
        <v>0</v>
      </c>
      <c r="AG2570" t="str">
        <f t="shared" si="258"/>
        <v/>
      </c>
      <c r="AH2570" t="str">
        <f t="shared" si="259"/>
        <v/>
      </c>
      <c r="AI2570">
        <f t="shared" si="260"/>
        <v>0</v>
      </c>
      <c r="AJ2570">
        <f t="shared" si="261"/>
        <v>0</v>
      </c>
      <c r="AK2570">
        <v>0</v>
      </c>
      <c r="AL2570" t="str">
        <f>IF(AA2570="","",IFERROR(IF(ISNUMBER('Procyclean 520'!F72),'Procyclean 520'!F72,IF(ISNUMBER(SEARCH("12",'Procyclean 520'!F72)),EDATE(AB2570,12),IF(ISNUMBER(SEARCH("6",'Procyclean 520'!F72)),EDATE(AB2570,6),IF(ISNUMBER(SEARCH("3",'Procyclean 520'!F72)),EDATE(AB2570,3),DATEVALUE('Procyclean 520'!F72))))),""))</f>
        <v/>
      </c>
      <c r="AM2570" t="str">
        <f t="shared" ca="1" si="262"/>
        <v/>
      </c>
    </row>
    <row r="2571" spans="27:39" x14ac:dyDescent="0.3">
      <c r="AA2571" t="str">
        <f>IF(COUNTA('Procyclean 520'!C73,'Procyclean 520'!D73,'Procyclean 520'!E73)&gt;0,"520","")</f>
        <v/>
      </c>
      <c r="AB2571" t="str">
        <f>IFERROR(IF(ISNUMBER('Procyclean 520'!C73),'Procyclean 520'!C73,DATEVALUE('Procyclean 520'!C73)),"")</f>
        <v/>
      </c>
      <c r="AC2571" t="str">
        <f>IF(AA2571="","",'Procyclean 520'!D73)</f>
        <v/>
      </c>
      <c r="AD2571" t="str">
        <f>IF(AA2571="","",IFERROR(1*'Procyclean 520'!E73,IFERROR(_xludf.NUMBERVALUE('Procyclean 520'!E73,".",","),IFERROR(_xludf.NUMBERVALUE('Procyclean 520'!E73,",","."),0))))</f>
        <v/>
      </c>
      <c r="AE2571" t="str">
        <f>IF(AA2571="","",'Procyclean 520'!B73)</f>
        <v/>
      </c>
      <c r="AF2571">
        <f t="shared" si="257"/>
        <v>0</v>
      </c>
      <c r="AG2571" t="str">
        <f t="shared" si="258"/>
        <v/>
      </c>
      <c r="AH2571" t="str">
        <f t="shared" si="259"/>
        <v/>
      </c>
      <c r="AI2571">
        <f t="shared" si="260"/>
        <v>0</v>
      </c>
      <c r="AJ2571">
        <f t="shared" si="261"/>
        <v>0</v>
      </c>
      <c r="AK2571">
        <v>0</v>
      </c>
      <c r="AL2571" t="str">
        <f>IF(AA2571="","",IFERROR(IF(ISNUMBER('Procyclean 520'!F73),'Procyclean 520'!F73,IF(ISNUMBER(SEARCH("12",'Procyclean 520'!F73)),EDATE(AB2571,12),IF(ISNUMBER(SEARCH("6",'Procyclean 520'!F73)),EDATE(AB2571,6),IF(ISNUMBER(SEARCH("3",'Procyclean 520'!F73)),EDATE(AB2571,3),DATEVALUE('Procyclean 520'!F73))))),""))</f>
        <v/>
      </c>
      <c r="AM2571" t="str">
        <f t="shared" ca="1" si="262"/>
        <v/>
      </c>
    </row>
    <row r="2572" spans="27:39" x14ac:dyDescent="0.3">
      <c r="AA2572" t="str">
        <f>IF(COUNTA('Procyclean 520'!C74,'Procyclean 520'!D74,'Procyclean 520'!E74)&gt;0,"520","")</f>
        <v/>
      </c>
      <c r="AB2572" t="str">
        <f>IFERROR(IF(ISNUMBER('Procyclean 520'!C74),'Procyclean 520'!C74,DATEVALUE('Procyclean 520'!C74)),"")</f>
        <v/>
      </c>
      <c r="AC2572" t="str">
        <f>IF(AA2572="","",'Procyclean 520'!D74)</f>
        <v/>
      </c>
      <c r="AD2572" t="str">
        <f>IF(AA2572="","",IFERROR(1*'Procyclean 520'!E74,IFERROR(_xludf.NUMBERVALUE('Procyclean 520'!E74,".",","),IFERROR(_xludf.NUMBERVALUE('Procyclean 520'!E74,",","."),0))))</f>
        <v/>
      </c>
      <c r="AE2572" t="str">
        <f>IF(AA2572="","",'Procyclean 520'!B74)</f>
        <v/>
      </c>
      <c r="AF2572">
        <f t="shared" si="257"/>
        <v>0</v>
      </c>
      <c r="AG2572" t="str">
        <f t="shared" si="258"/>
        <v/>
      </c>
      <c r="AH2572" t="str">
        <f t="shared" si="259"/>
        <v/>
      </c>
      <c r="AI2572">
        <f t="shared" si="260"/>
        <v>0</v>
      </c>
      <c r="AJ2572">
        <f t="shared" si="261"/>
        <v>0</v>
      </c>
      <c r="AK2572">
        <v>0</v>
      </c>
      <c r="AL2572" t="str">
        <f>IF(AA2572="","",IFERROR(IF(ISNUMBER('Procyclean 520'!F74),'Procyclean 520'!F74,IF(ISNUMBER(SEARCH("12",'Procyclean 520'!F74)),EDATE(AB2572,12),IF(ISNUMBER(SEARCH("6",'Procyclean 520'!F74)),EDATE(AB2572,6),IF(ISNUMBER(SEARCH("3",'Procyclean 520'!F74)),EDATE(AB2572,3),DATEVALUE('Procyclean 520'!F74))))),""))</f>
        <v/>
      </c>
      <c r="AM2572" t="str">
        <f t="shared" ca="1" si="262"/>
        <v/>
      </c>
    </row>
    <row r="2573" spans="27:39" x14ac:dyDescent="0.3">
      <c r="AA2573" t="str">
        <f>IF(COUNTA('Procyclean 520'!C75,'Procyclean 520'!D75,'Procyclean 520'!E75)&gt;0,"520","")</f>
        <v/>
      </c>
      <c r="AB2573" t="str">
        <f>IFERROR(IF(ISNUMBER('Procyclean 520'!C75),'Procyclean 520'!C75,DATEVALUE('Procyclean 520'!C75)),"")</f>
        <v/>
      </c>
      <c r="AC2573" t="str">
        <f>IF(AA2573="","",'Procyclean 520'!D75)</f>
        <v/>
      </c>
      <c r="AD2573" t="str">
        <f>IF(AA2573="","",IFERROR(1*'Procyclean 520'!E75,IFERROR(_xludf.NUMBERVALUE('Procyclean 520'!E75,".",","),IFERROR(_xludf.NUMBERVALUE('Procyclean 520'!E75,",","."),0))))</f>
        <v/>
      </c>
      <c r="AE2573" t="str">
        <f>IF(AA2573="","",'Procyclean 520'!B75)</f>
        <v/>
      </c>
      <c r="AF2573">
        <f t="shared" si="257"/>
        <v>0</v>
      </c>
      <c r="AG2573" t="str">
        <f t="shared" si="258"/>
        <v/>
      </c>
      <c r="AH2573" t="str">
        <f t="shared" si="259"/>
        <v/>
      </c>
      <c r="AI2573">
        <f t="shared" si="260"/>
        <v>0</v>
      </c>
      <c r="AJ2573">
        <f t="shared" si="261"/>
        <v>0</v>
      </c>
      <c r="AK2573">
        <v>0</v>
      </c>
      <c r="AL2573" t="str">
        <f>IF(AA2573="","",IFERROR(IF(ISNUMBER('Procyclean 520'!F75),'Procyclean 520'!F75,IF(ISNUMBER(SEARCH("12",'Procyclean 520'!F75)),EDATE(AB2573,12),IF(ISNUMBER(SEARCH("6",'Procyclean 520'!F75)),EDATE(AB2573,6),IF(ISNUMBER(SEARCH("3",'Procyclean 520'!F75)),EDATE(AB2573,3),DATEVALUE('Procyclean 520'!F75))))),""))</f>
        <v/>
      </c>
      <c r="AM2573" t="str">
        <f t="shared" ca="1" si="262"/>
        <v/>
      </c>
    </row>
    <row r="2574" spans="27:39" x14ac:dyDescent="0.3">
      <c r="AA2574" t="str">
        <f>IF(COUNTA('Procyclean 520'!C76,'Procyclean 520'!D76,'Procyclean 520'!E76)&gt;0,"520","")</f>
        <v/>
      </c>
      <c r="AB2574" t="str">
        <f>IFERROR(IF(ISNUMBER('Procyclean 520'!C76),'Procyclean 520'!C76,DATEVALUE('Procyclean 520'!C76)),"")</f>
        <v/>
      </c>
      <c r="AC2574" t="str">
        <f>IF(AA2574="","",'Procyclean 520'!D76)</f>
        <v/>
      </c>
      <c r="AD2574" t="str">
        <f>IF(AA2574="","",IFERROR(1*'Procyclean 520'!E76,IFERROR(_xludf.NUMBERVALUE('Procyclean 520'!E76,".",","),IFERROR(_xludf.NUMBERVALUE('Procyclean 520'!E76,",","."),0))))</f>
        <v/>
      </c>
      <c r="AE2574" t="str">
        <f>IF(AA2574="","",'Procyclean 520'!B76)</f>
        <v/>
      </c>
      <c r="AF2574">
        <f t="shared" si="257"/>
        <v>0</v>
      </c>
      <c r="AG2574" t="str">
        <f t="shared" si="258"/>
        <v/>
      </c>
      <c r="AH2574" t="str">
        <f t="shared" si="259"/>
        <v/>
      </c>
      <c r="AI2574">
        <f t="shared" si="260"/>
        <v>0</v>
      </c>
      <c r="AJ2574">
        <f t="shared" si="261"/>
        <v>0</v>
      </c>
      <c r="AK2574">
        <v>0</v>
      </c>
      <c r="AL2574" t="str">
        <f>IF(AA2574="","",IFERROR(IF(ISNUMBER('Procyclean 520'!F76),'Procyclean 520'!F76,IF(ISNUMBER(SEARCH("12",'Procyclean 520'!F76)),EDATE(AB2574,12),IF(ISNUMBER(SEARCH("6",'Procyclean 520'!F76)),EDATE(AB2574,6),IF(ISNUMBER(SEARCH("3",'Procyclean 520'!F76)),EDATE(AB2574,3),DATEVALUE('Procyclean 520'!F76))))),""))</f>
        <v/>
      </c>
      <c r="AM2574" t="str">
        <f t="shared" ca="1" si="262"/>
        <v/>
      </c>
    </row>
    <row r="2575" spans="27:39" x14ac:dyDescent="0.3">
      <c r="AA2575" t="str">
        <f>IF(COUNTA('Procyclean 520'!C77,'Procyclean 520'!D77,'Procyclean 520'!E77)&gt;0,"520","")</f>
        <v/>
      </c>
      <c r="AB2575" t="str">
        <f>IFERROR(IF(ISNUMBER('Procyclean 520'!C77),'Procyclean 520'!C77,DATEVALUE('Procyclean 520'!C77)),"")</f>
        <v/>
      </c>
      <c r="AC2575" t="str">
        <f>IF(AA2575="","",'Procyclean 520'!D77)</f>
        <v/>
      </c>
      <c r="AD2575" t="str">
        <f>IF(AA2575="","",IFERROR(1*'Procyclean 520'!E77,IFERROR(_xludf.NUMBERVALUE('Procyclean 520'!E77,".",","),IFERROR(_xludf.NUMBERVALUE('Procyclean 520'!E77,",","."),0))))</f>
        <v/>
      </c>
      <c r="AE2575" t="str">
        <f>IF(AA2575="","",'Procyclean 520'!B77)</f>
        <v/>
      </c>
      <c r="AF2575">
        <f t="shared" si="257"/>
        <v>0</v>
      </c>
      <c r="AG2575" t="str">
        <f t="shared" si="258"/>
        <v/>
      </c>
      <c r="AH2575" t="str">
        <f t="shared" si="259"/>
        <v/>
      </c>
      <c r="AI2575">
        <f t="shared" si="260"/>
        <v>0</v>
      </c>
      <c r="AJ2575">
        <f t="shared" si="261"/>
        <v>0</v>
      </c>
      <c r="AK2575">
        <v>0</v>
      </c>
      <c r="AL2575" t="str">
        <f>IF(AA2575="","",IFERROR(IF(ISNUMBER('Procyclean 520'!F77),'Procyclean 520'!F77,IF(ISNUMBER(SEARCH("12",'Procyclean 520'!F77)),EDATE(AB2575,12),IF(ISNUMBER(SEARCH("6",'Procyclean 520'!F77)),EDATE(AB2575,6),IF(ISNUMBER(SEARCH("3",'Procyclean 520'!F77)),EDATE(AB2575,3),DATEVALUE('Procyclean 520'!F77))))),""))</f>
        <v/>
      </c>
      <c r="AM2575" t="str">
        <f t="shared" ca="1" si="262"/>
        <v/>
      </c>
    </row>
    <row r="2576" spans="27:39" x14ac:dyDescent="0.3">
      <c r="AA2576" t="str">
        <f>IF(COUNTA('Procyclean 520'!C78,'Procyclean 520'!D78,'Procyclean 520'!E78)&gt;0,"520","")</f>
        <v/>
      </c>
      <c r="AB2576" t="str">
        <f>IFERROR(IF(ISNUMBER('Procyclean 520'!C78),'Procyclean 520'!C78,DATEVALUE('Procyclean 520'!C78)),"")</f>
        <v/>
      </c>
      <c r="AC2576" t="str">
        <f>IF(AA2576="","",'Procyclean 520'!D78)</f>
        <v/>
      </c>
      <c r="AD2576" t="str">
        <f>IF(AA2576="","",IFERROR(1*'Procyclean 520'!E78,IFERROR(_xludf.NUMBERVALUE('Procyclean 520'!E78,".",","),IFERROR(_xludf.NUMBERVALUE('Procyclean 520'!E78,",","."),0))))</f>
        <v/>
      </c>
      <c r="AE2576" t="str">
        <f>IF(AA2576="","",'Procyclean 520'!B78)</f>
        <v/>
      </c>
      <c r="AF2576">
        <f t="shared" si="257"/>
        <v>0</v>
      </c>
      <c r="AG2576" t="str">
        <f t="shared" si="258"/>
        <v/>
      </c>
      <c r="AH2576" t="str">
        <f t="shared" si="259"/>
        <v/>
      </c>
      <c r="AI2576">
        <f t="shared" si="260"/>
        <v>0</v>
      </c>
      <c r="AJ2576">
        <f t="shared" si="261"/>
        <v>0</v>
      </c>
      <c r="AK2576">
        <v>0</v>
      </c>
      <c r="AL2576" t="str">
        <f>IF(AA2576="","",IFERROR(IF(ISNUMBER('Procyclean 520'!F78),'Procyclean 520'!F78,IF(ISNUMBER(SEARCH("12",'Procyclean 520'!F78)),EDATE(AB2576,12),IF(ISNUMBER(SEARCH("6",'Procyclean 520'!F78)),EDATE(AB2576,6),IF(ISNUMBER(SEARCH("3",'Procyclean 520'!F78)),EDATE(AB2576,3),DATEVALUE('Procyclean 520'!F78))))),""))</f>
        <v/>
      </c>
      <c r="AM2576" t="str">
        <f t="shared" ca="1" si="262"/>
        <v/>
      </c>
    </row>
    <row r="2577" spans="27:39" x14ac:dyDescent="0.3">
      <c r="AA2577" t="str">
        <f>IF(COUNTA('Procyclean 520'!C79,'Procyclean 520'!D79,'Procyclean 520'!E79)&gt;0,"520","")</f>
        <v/>
      </c>
      <c r="AB2577" t="str">
        <f>IFERROR(IF(ISNUMBER('Procyclean 520'!C79),'Procyclean 520'!C79,DATEVALUE('Procyclean 520'!C79)),"")</f>
        <v/>
      </c>
      <c r="AC2577" t="str">
        <f>IF(AA2577="","",'Procyclean 520'!D79)</f>
        <v/>
      </c>
      <c r="AD2577" t="str">
        <f>IF(AA2577="","",IFERROR(1*'Procyclean 520'!E79,IFERROR(_xludf.NUMBERVALUE('Procyclean 520'!E79,".",","),IFERROR(_xludf.NUMBERVALUE('Procyclean 520'!E79,",","."),0))))</f>
        <v/>
      </c>
      <c r="AE2577" t="str">
        <f>IF(AA2577="","",'Procyclean 520'!B79)</f>
        <v/>
      </c>
      <c r="AF2577">
        <f t="shared" si="257"/>
        <v>0</v>
      </c>
      <c r="AG2577" t="str">
        <f t="shared" si="258"/>
        <v/>
      </c>
      <c r="AH2577" t="str">
        <f t="shared" si="259"/>
        <v/>
      </c>
      <c r="AI2577">
        <f t="shared" si="260"/>
        <v>0</v>
      </c>
      <c r="AJ2577">
        <f t="shared" si="261"/>
        <v>0</v>
      </c>
      <c r="AK2577">
        <v>0</v>
      </c>
      <c r="AL2577" t="str">
        <f>IF(AA2577="","",IFERROR(IF(ISNUMBER('Procyclean 520'!F79),'Procyclean 520'!F79,IF(ISNUMBER(SEARCH("12",'Procyclean 520'!F79)),EDATE(AB2577,12),IF(ISNUMBER(SEARCH("6",'Procyclean 520'!F79)),EDATE(AB2577,6),IF(ISNUMBER(SEARCH("3",'Procyclean 520'!F79)),EDATE(AB2577,3),DATEVALUE('Procyclean 520'!F79))))),""))</f>
        <v/>
      </c>
      <c r="AM2577" t="str">
        <f t="shared" ca="1" si="262"/>
        <v/>
      </c>
    </row>
    <row r="2578" spans="27:39" x14ac:dyDescent="0.3">
      <c r="AA2578" t="str">
        <f>IF(COUNTA('Procyclean 520'!C80,'Procyclean 520'!D80,'Procyclean 520'!E80)&gt;0,"520","")</f>
        <v/>
      </c>
      <c r="AB2578" t="str">
        <f>IFERROR(IF(ISNUMBER('Procyclean 520'!C80),'Procyclean 520'!C80,DATEVALUE('Procyclean 520'!C80)),"")</f>
        <v/>
      </c>
      <c r="AC2578" t="str">
        <f>IF(AA2578="","",'Procyclean 520'!D80)</f>
        <v/>
      </c>
      <c r="AD2578" t="str">
        <f>IF(AA2578="","",IFERROR(1*'Procyclean 520'!E80,IFERROR(_xludf.NUMBERVALUE('Procyclean 520'!E80,".",","),IFERROR(_xludf.NUMBERVALUE('Procyclean 520'!E80,",","."),0))))</f>
        <v/>
      </c>
      <c r="AE2578" t="str">
        <f>IF(AA2578="","",'Procyclean 520'!B80)</f>
        <v/>
      </c>
      <c r="AF2578">
        <f t="shared" si="257"/>
        <v>0</v>
      </c>
      <c r="AG2578" t="str">
        <f t="shared" si="258"/>
        <v/>
      </c>
      <c r="AH2578" t="str">
        <f t="shared" si="259"/>
        <v/>
      </c>
      <c r="AI2578">
        <f t="shared" si="260"/>
        <v>0</v>
      </c>
      <c r="AJ2578">
        <f t="shared" si="261"/>
        <v>0</v>
      </c>
      <c r="AK2578">
        <v>0</v>
      </c>
      <c r="AL2578" t="str">
        <f>IF(AA2578="","",IFERROR(IF(ISNUMBER('Procyclean 520'!F80),'Procyclean 520'!F80,IF(ISNUMBER(SEARCH("12",'Procyclean 520'!F80)),EDATE(AB2578,12),IF(ISNUMBER(SEARCH("6",'Procyclean 520'!F80)),EDATE(AB2578,6),IF(ISNUMBER(SEARCH("3",'Procyclean 520'!F80)),EDATE(AB2578,3),DATEVALUE('Procyclean 520'!F80))))),""))</f>
        <v/>
      </c>
      <c r="AM2578" t="str">
        <f t="shared" ca="1" si="262"/>
        <v/>
      </c>
    </row>
    <row r="2579" spans="27:39" x14ac:dyDescent="0.3">
      <c r="AA2579" t="str">
        <f>IF(COUNTA('Procyclean 520'!C81,'Procyclean 520'!D81,'Procyclean 520'!E81)&gt;0,"520","")</f>
        <v/>
      </c>
      <c r="AB2579" t="str">
        <f>IFERROR(IF(ISNUMBER('Procyclean 520'!C81),'Procyclean 520'!C81,DATEVALUE('Procyclean 520'!C81)),"")</f>
        <v/>
      </c>
      <c r="AC2579" t="str">
        <f>IF(AA2579="","",'Procyclean 520'!D81)</f>
        <v/>
      </c>
      <c r="AD2579" t="str">
        <f>IF(AA2579="","",IFERROR(1*'Procyclean 520'!E81,IFERROR(_xludf.NUMBERVALUE('Procyclean 520'!E81,".",","),IFERROR(_xludf.NUMBERVALUE('Procyclean 520'!E81,",","."),0))))</f>
        <v/>
      </c>
      <c r="AE2579" t="str">
        <f>IF(AA2579="","",'Procyclean 520'!B81)</f>
        <v/>
      </c>
      <c r="AF2579">
        <f t="shared" si="257"/>
        <v>0</v>
      </c>
      <c r="AG2579" t="str">
        <f t="shared" si="258"/>
        <v/>
      </c>
      <c r="AH2579" t="str">
        <f t="shared" si="259"/>
        <v/>
      </c>
      <c r="AI2579">
        <f t="shared" si="260"/>
        <v>0</v>
      </c>
      <c r="AJ2579">
        <f t="shared" si="261"/>
        <v>0</v>
      </c>
      <c r="AK2579">
        <v>0</v>
      </c>
      <c r="AL2579" t="str">
        <f>IF(AA2579="","",IFERROR(IF(ISNUMBER('Procyclean 520'!F81),'Procyclean 520'!F81,IF(ISNUMBER(SEARCH("12",'Procyclean 520'!F81)),EDATE(AB2579,12),IF(ISNUMBER(SEARCH("6",'Procyclean 520'!F81)),EDATE(AB2579,6),IF(ISNUMBER(SEARCH("3",'Procyclean 520'!F81)),EDATE(AB2579,3),DATEVALUE('Procyclean 520'!F81))))),""))</f>
        <v/>
      </c>
      <c r="AM2579" t="str">
        <f t="shared" ca="1" si="262"/>
        <v/>
      </c>
    </row>
    <row r="2580" spans="27:39" x14ac:dyDescent="0.3">
      <c r="AA2580" t="str">
        <f>IF(COUNTA('Procyclean 520'!C82,'Procyclean 520'!D82,'Procyclean 520'!E82)&gt;0,"520","")</f>
        <v/>
      </c>
      <c r="AB2580" t="str">
        <f>IFERROR(IF(ISNUMBER('Procyclean 520'!C82),'Procyclean 520'!C82,DATEVALUE('Procyclean 520'!C82)),"")</f>
        <v/>
      </c>
      <c r="AC2580" t="str">
        <f>IF(AA2580="","",'Procyclean 520'!D82)</f>
        <v/>
      </c>
      <c r="AD2580" t="str">
        <f>IF(AA2580="","",IFERROR(1*'Procyclean 520'!E82,IFERROR(_xludf.NUMBERVALUE('Procyclean 520'!E82,".",","),IFERROR(_xludf.NUMBERVALUE('Procyclean 520'!E82,",","."),0))))</f>
        <v/>
      </c>
      <c r="AE2580" t="str">
        <f>IF(AA2580="","",'Procyclean 520'!B82)</f>
        <v/>
      </c>
      <c r="AF2580">
        <f t="shared" si="257"/>
        <v>0</v>
      </c>
      <c r="AG2580" t="str">
        <f t="shared" si="258"/>
        <v/>
      </c>
      <c r="AH2580" t="str">
        <f t="shared" si="259"/>
        <v/>
      </c>
      <c r="AI2580">
        <f t="shared" si="260"/>
        <v>0</v>
      </c>
      <c r="AJ2580">
        <f t="shared" si="261"/>
        <v>0</v>
      </c>
      <c r="AK2580">
        <v>0</v>
      </c>
      <c r="AL2580" t="str">
        <f>IF(AA2580="","",IFERROR(IF(ISNUMBER('Procyclean 520'!F82),'Procyclean 520'!F82,IF(ISNUMBER(SEARCH("12",'Procyclean 520'!F82)),EDATE(AB2580,12),IF(ISNUMBER(SEARCH("6",'Procyclean 520'!F82)),EDATE(AB2580,6),IF(ISNUMBER(SEARCH("3",'Procyclean 520'!F82)),EDATE(AB2580,3),DATEVALUE('Procyclean 520'!F82))))),""))</f>
        <v/>
      </c>
      <c r="AM2580" t="str">
        <f t="shared" ca="1" si="262"/>
        <v/>
      </c>
    </row>
    <row r="2581" spans="27:39" x14ac:dyDescent="0.3">
      <c r="AA2581" t="str">
        <f>IF(COUNTA('Procyclean 520'!C83,'Procyclean 520'!D83,'Procyclean 520'!E83)&gt;0,"520","")</f>
        <v/>
      </c>
      <c r="AB2581" t="str">
        <f>IFERROR(IF(ISNUMBER('Procyclean 520'!C83),'Procyclean 520'!C83,DATEVALUE('Procyclean 520'!C83)),"")</f>
        <v/>
      </c>
      <c r="AC2581" t="str">
        <f>IF(AA2581="","",'Procyclean 520'!D83)</f>
        <v/>
      </c>
      <c r="AD2581" t="str">
        <f>IF(AA2581="","",IFERROR(1*'Procyclean 520'!E83,IFERROR(_xludf.NUMBERVALUE('Procyclean 520'!E83,".",","),IFERROR(_xludf.NUMBERVALUE('Procyclean 520'!E83,",","."),0))))</f>
        <v/>
      </c>
      <c r="AE2581" t="str">
        <f>IF(AA2581="","",'Procyclean 520'!B83)</f>
        <v/>
      </c>
      <c r="AF2581">
        <f t="shared" si="257"/>
        <v>0</v>
      </c>
      <c r="AG2581" t="str">
        <f t="shared" si="258"/>
        <v/>
      </c>
      <c r="AH2581" t="str">
        <f t="shared" si="259"/>
        <v/>
      </c>
      <c r="AI2581">
        <f t="shared" si="260"/>
        <v>0</v>
      </c>
      <c r="AJ2581">
        <f t="shared" si="261"/>
        <v>0</v>
      </c>
      <c r="AK2581">
        <v>0</v>
      </c>
      <c r="AL2581" t="str">
        <f>IF(AA2581="","",IFERROR(IF(ISNUMBER('Procyclean 520'!F83),'Procyclean 520'!F83,IF(ISNUMBER(SEARCH("12",'Procyclean 520'!F83)),EDATE(AB2581,12),IF(ISNUMBER(SEARCH("6",'Procyclean 520'!F83)),EDATE(AB2581,6),IF(ISNUMBER(SEARCH("3",'Procyclean 520'!F83)),EDATE(AB2581,3),DATEVALUE('Procyclean 520'!F83))))),""))</f>
        <v/>
      </c>
      <c r="AM2581" t="str">
        <f t="shared" ca="1" si="262"/>
        <v/>
      </c>
    </row>
    <row r="2582" spans="27:39" x14ac:dyDescent="0.3">
      <c r="AA2582" t="str">
        <f>IF(COUNTA('Procyclean 520'!C84,'Procyclean 520'!D84,'Procyclean 520'!E84)&gt;0,"520","")</f>
        <v/>
      </c>
      <c r="AB2582" t="str">
        <f>IFERROR(IF(ISNUMBER('Procyclean 520'!C84),'Procyclean 520'!C84,DATEVALUE('Procyclean 520'!C84)),"")</f>
        <v/>
      </c>
      <c r="AC2582" t="str">
        <f>IF(AA2582="","",'Procyclean 520'!D84)</f>
        <v/>
      </c>
      <c r="AD2582" t="str">
        <f>IF(AA2582="","",IFERROR(1*'Procyclean 520'!E84,IFERROR(_xludf.NUMBERVALUE('Procyclean 520'!E84,".",","),IFERROR(_xludf.NUMBERVALUE('Procyclean 520'!E84,",","."),0))))</f>
        <v/>
      </c>
      <c r="AE2582" t="str">
        <f>IF(AA2582="","",'Procyclean 520'!B84)</f>
        <v/>
      </c>
      <c r="AF2582">
        <f t="shared" si="257"/>
        <v>0</v>
      </c>
      <c r="AG2582" t="str">
        <f t="shared" si="258"/>
        <v/>
      </c>
      <c r="AH2582" t="str">
        <f t="shared" si="259"/>
        <v/>
      </c>
      <c r="AI2582">
        <f t="shared" si="260"/>
        <v>0</v>
      </c>
      <c r="AJ2582">
        <f t="shared" si="261"/>
        <v>0</v>
      </c>
      <c r="AK2582">
        <v>0</v>
      </c>
      <c r="AL2582" t="str">
        <f>IF(AA2582="","",IFERROR(IF(ISNUMBER('Procyclean 520'!F84),'Procyclean 520'!F84,IF(ISNUMBER(SEARCH("12",'Procyclean 520'!F84)),EDATE(AB2582,12),IF(ISNUMBER(SEARCH("6",'Procyclean 520'!F84)),EDATE(AB2582,6),IF(ISNUMBER(SEARCH("3",'Procyclean 520'!F84)),EDATE(AB2582,3),DATEVALUE('Procyclean 520'!F84))))),""))</f>
        <v/>
      </c>
      <c r="AM2582" t="str">
        <f t="shared" ca="1" si="262"/>
        <v/>
      </c>
    </row>
    <row r="2583" spans="27:39" x14ac:dyDescent="0.3">
      <c r="AA2583" t="str">
        <f>IF(COUNTA('Procyclean 520'!C85,'Procyclean 520'!D85,'Procyclean 520'!E85)&gt;0,"520","")</f>
        <v/>
      </c>
      <c r="AB2583" t="str">
        <f>IFERROR(IF(ISNUMBER('Procyclean 520'!C85),'Procyclean 520'!C85,DATEVALUE('Procyclean 520'!C85)),"")</f>
        <v/>
      </c>
      <c r="AC2583" t="str">
        <f>IF(AA2583="","",'Procyclean 520'!D85)</f>
        <v/>
      </c>
      <c r="AD2583" t="str">
        <f>IF(AA2583="","",IFERROR(1*'Procyclean 520'!E85,IFERROR(_xludf.NUMBERVALUE('Procyclean 520'!E85,".",","),IFERROR(_xludf.NUMBERVALUE('Procyclean 520'!E85,",","."),0))))</f>
        <v/>
      </c>
      <c r="AE2583" t="str">
        <f>IF(AA2583="","",'Procyclean 520'!B85)</f>
        <v/>
      </c>
      <c r="AF2583">
        <f t="shared" si="257"/>
        <v>0</v>
      </c>
      <c r="AG2583" t="str">
        <f t="shared" si="258"/>
        <v/>
      </c>
      <c r="AH2583" t="str">
        <f t="shared" si="259"/>
        <v/>
      </c>
      <c r="AI2583">
        <f t="shared" si="260"/>
        <v>0</v>
      </c>
      <c r="AJ2583">
        <f t="shared" si="261"/>
        <v>0</v>
      </c>
      <c r="AK2583">
        <v>0</v>
      </c>
      <c r="AL2583" t="str">
        <f>IF(AA2583="","",IFERROR(IF(ISNUMBER('Procyclean 520'!F85),'Procyclean 520'!F85,IF(ISNUMBER(SEARCH("12",'Procyclean 520'!F85)),EDATE(AB2583,12),IF(ISNUMBER(SEARCH("6",'Procyclean 520'!F85)),EDATE(AB2583,6),IF(ISNUMBER(SEARCH("3",'Procyclean 520'!F85)),EDATE(AB2583,3),DATEVALUE('Procyclean 520'!F85))))),""))</f>
        <v/>
      </c>
      <c r="AM2583" t="str">
        <f t="shared" ca="1" si="262"/>
        <v/>
      </c>
    </row>
    <row r="2584" spans="27:39" x14ac:dyDescent="0.3">
      <c r="AA2584" t="str">
        <f>IF(COUNTA('Procyclean 520'!C86,'Procyclean 520'!D86,'Procyclean 520'!E86)&gt;0,"520","")</f>
        <v/>
      </c>
      <c r="AB2584" t="str">
        <f>IFERROR(IF(ISNUMBER('Procyclean 520'!C86),'Procyclean 520'!C86,DATEVALUE('Procyclean 520'!C86)),"")</f>
        <v/>
      </c>
      <c r="AC2584" t="str">
        <f>IF(AA2584="","",'Procyclean 520'!D86)</f>
        <v/>
      </c>
      <c r="AD2584" t="str">
        <f>IF(AA2584="","",IFERROR(1*'Procyclean 520'!E86,IFERROR(_xludf.NUMBERVALUE('Procyclean 520'!E86,".",","),IFERROR(_xludf.NUMBERVALUE('Procyclean 520'!E86,",","."),0))))</f>
        <v/>
      </c>
      <c r="AE2584" t="str">
        <f>IF(AA2584="","",'Procyclean 520'!B86)</f>
        <v/>
      </c>
      <c r="AF2584">
        <f t="shared" si="257"/>
        <v>0</v>
      </c>
      <c r="AG2584" t="str">
        <f t="shared" si="258"/>
        <v/>
      </c>
      <c r="AH2584" t="str">
        <f t="shared" si="259"/>
        <v/>
      </c>
      <c r="AI2584">
        <f t="shared" si="260"/>
        <v>0</v>
      </c>
      <c r="AJ2584">
        <f t="shared" si="261"/>
        <v>0</v>
      </c>
      <c r="AK2584">
        <v>0</v>
      </c>
      <c r="AL2584" t="str">
        <f>IF(AA2584="","",IFERROR(IF(ISNUMBER('Procyclean 520'!F86),'Procyclean 520'!F86,IF(ISNUMBER(SEARCH("12",'Procyclean 520'!F86)),EDATE(AB2584,12),IF(ISNUMBER(SEARCH("6",'Procyclean 520'!F86)),EDATE(AB2584,6),IF(ISNUMBER(SEARCH("3",'Procyclean 520'!F86)),EDATE(AB2584,3),DATEVALUE('Procyclean 520'!F86))))),""))</f>
        <v/>
      </c>
      <c r="AM2584" t="str">
        <f t="shared" ca="1" si="262"/>
        <v/>
      </c>
    </row>
    <row r="2585" spans="27:39" x14ac:dyDescent="0.3">
      <c r="AA2585" t="str">
        <f>IF(COUNTA('Procyclean 520'!C87,'Procyclean 520'!D87,'Procyclean 520'!E87)&gt;0,"520","")</f>
        <v/>
      </c>
      <c r="AB2585" t="str">
        <f>IFERROR(IF(ISNUMBER('Procyclean 520'!C87),'Procyclean 520'!C87,DATEVALUE('Procyclean 520'!C87)),"")</f>
        <v/>
      </c>
      <c r="AC2585" t="str">
        <f>IF(AA2585="","",'Procyclean 520'!D87)</f>
        <v/>
      </c>
      <c r="AD2585" t="str">
        <f>IF(AA2585="","",IFERROR(1*'Procyclean 520'!E87,IFERROR(_xludf.NUMBERVALUE('Procyclean 520'!E87,".",","),IFERROR(_xludf.NUMBERVALUE('Procyclean 520'!E87,",","."),0))))</f>
        <v/>
      </c>
      <c r="AE2585" t="str">
        <f>IF(AA2585="","",'Procyclean 520'!B87)</f>
        <v/>
      </c>
      <c r="AF2585">
        <f t="shared" si="257"/>
        <v>0</v>
      </c>
      <c r="AG2585" t="str">
        <f t="shared" si="258"/>
        <v/>
      </c>
      <c r="AH2585" t="str">
        <f t="shared" si="259"/>
        <v/>
      </c>
      <c r="AI2585">
        <f t="shared" si="260"/>
        <v>0</v>
      </c>
      <c r="AJ2585">
        <f t="shared" si="261"/>
        <v>0</v>
      </c>
      <c r="AK2585">
        <v>0</v>
      </c>
      <c r="AL2585" t="str">
        <f>IF(AA2585="","",IFERROR(IF(ISNUMBER('Procyclean 520'!F87),'Procyclean 520'!F87,IF(ISNUMBER(SEARCH("12",'Procyclean 520'!F87)),EDATE(AB2585,12),IF(ISNUMBER(SEARCH("6",'Procyclean 520'!F87)),EDATE(AB2585,6),IF(ISNUMBER(SEARCH("3",'Procyclean 520'!F87)),EDATE(AB2585,3),DATEVALUE('Procyclean 520'!F87))))),""))</f>
        <v/>
      </c>
      <c r="AM2585" t="str">
        <f t="shared" ca="1" si="262"/>
        <v/>
      </c>
    </row>
    <row r="2586" spans="27:39" x14ac:dyDescent="0.3">
      <c r="AA2586" t="str">
        <f>IF(COUNTA('Procyclean 520'!C88,'Procyclean 520'!D88,'Procyclean 520'!E88)&gt;0,"520","")</f>
        <v/>
      </c>
      <c r="AB2586" t="str">
        <f>IFERROR(IF(ISNUMBER('Procyclean 520'!C88),'Procyclean 520'!C88,DATEVALUE('Procyclean 520'!C88)),"")</f>
        <v/>
      </c>
      <c r="AC2586" t="str">
        <f>IF(AA2586="","",'Procyclean 520'!D88)</f>
        <v/>
      </c>
      <c r="AD2586" t="str">
        <f>IF(AA2586="","",IFERROR(1*'Procyclean 520'!E88,IFERROR(_xludf.NUMBERVALUE('Procyclean 520'!E88,".",","),IFERROR(_xludf.NUMBERVALUE('Procyclean 520'!E88,",","."),0))))</f>
        <v/>
      </c>
      <c r="AE2586" t="str">
        <f>IF(AA2586="","",'Procyclean 520'!B88)</f>
        <v/>
      </c>
      <c r="AF2586">
        <f t="shared" si="257"/>
        <v>0</v>
      </c>
      <c r="AG2586" t="str">
        <f t="shared" si="258"/>
        <v/>
      </c>
      <c r="AH2586" t="str">
        <f t="shared" si="259"/>
        <v/>
      </c>
      <c r="AI2586">
        <f t="shared" si="260"/>
        <v>0</v>
      </c>
      <c r="AJ2586">
        <f t="shared" si="261"/>
        <v>0</v>
      </c>
      <c r="AK2586">
        <v>0</v>
      </c>
      <c r="AL2586" t="str">
        <f>IF(AA2586="","",IFERROR(IF(ISNUMBER('Procyclean 520'!F88),'Procyclean 520'!F88,IF(ISNUMBER(SEARCH("12",'Procyclean 520'!F88)),EDATE(AB2586,12),IF(ISNUMBER(SEARCH("6",'Procyclean 520'!F88)),EDATE(AB2586,6),IF(ISNUMBER(SEARCH("3",'Procyclean 520'!F88)),EDATE(AB2586,3),DATEVALUE('Procyclean 520'!F88))))),""))</f>
        <v/>
      </c>
      <c r="AM2586" t="str">
        <f t="shared" ca="1" si="262"/>
        <v/>
      </c>
    </row>
    <row r="2587" spans="27:39" x14ac:dyDescent="0.3">
      <c r="AA2587" t="str">
        <f>IF(COUNTA('Procyclean 520'!C89,'Procyclean 520'!D89,'Procyclean 520'!E89)&gt;0,"520","")</f>
        <v/>
      </c>
      <c r="AB2587" t="str">
        <f>IFERROR(IF(ISNUMBER('Procyclean 520'!C89),'Procyclean 520'!C89,DATEVALUE('Procyclean 520'!C89)),"")</f>
        <v/>
      </c>
      <c r="AC2587" t="str">
        <f>IF(AA2587="","",'Procyclean 520'!D89)</f>
        <v/>
      </c>
      <c r="AD2587" t="str">
        <f>IF(AA2587="","",IFERROR(1*'Procyclean 520'!E89,IFERROR(_xludf.NUMBERVALUE('Procyclean 520'!E89,".",","),IFERROR(_xludf.NUMBERVALUE('Procyclean 520'!E89,",","."),0))))</f>
        <v/>
      </c>
      <c r="AE2587" t="str">
        <f>IF(AA2587="","",'Procyclean 520'!B89)</f>
        <v/>
      </c>
      <c r="AF2587">
        <f t="shared" si="257"/>
        <v>0</v>
      </c>
      <c r="AG2587" t="str">
        <f t="shared" si="258"/>
        <v/>
      </c>
      <c r="AH2587" t="str">
        <f t="shared" si="259"/>
        <v/>
      </c>
      <c r="AI2587">
        <f t="shared" si="260"/>
        <v>0</v>
      </c>
      <c r="AJ2587">
        <f t="shared" si="261"/>
        <v>0</v>
      </c>
      <c r="AK2587">
        <v>0</v>
      </c>
      <c r="AL2587" t="str">
        <f>IF(AA2587="","",IFERROR(IF(ISNUMBER('Procyclean 520'!F89),'Procyclean 520'!F89,IF(ISNUMBER(SEARCH("12",'Procyclean 520'!F89)),EDATE(AB2587,12),IF(ISNUMBER(SEARCH("6",'Procyclean 520'!F89)),EDATE(AB2587,6),IF(ISNUMBER(SEARCH("3",'Procyclean 520'!F89)),EDATE(AB2587,3),DATEVALUE('Procyclean 520'!F89))))),""))</f>
        <v/>
      </c>
      <c r="AM2587" t="str">
        <f t="shared" ca="1" si="262"/>
        <v/>
      </c>
    </row>
    <row r="2588" spans="27:39" x14ac:dyDescent="0.3">
      <c r="AA2588" t="str">
        <f>IF(COUNTA('Procyclean 520'!C90,'Procyclean 520'!D90,'Procyclean 520'!E90)&gt;0,"520","")</f>
        <v/>
      </c>
      <c r="AB2588" t="str">
        <f>IFERROR(IF(ISNUMBER('Procyclean 520'!C90),'Procyclean 520'!C90,DATEVALUE('Procyclean 520'!C90)),"")</f>
        <v/>
      </c>
      <c r="AC2588" t="str">
        <f>IF(AA2588="","",'Procyclean 520'!D90)</f>
        <v/>
      </c>
      <c r="AD2588" t="str">
        <f>IF(AA2588="","",IFERROR(1*'Procyclean 520'!E90,IFERROR(_xludf.NUMBERVALUE('Procyclean 520'!E90,".",","),IFERROR(_xludf.NUMBERVALUE('Procyclean 520'!E90,",","."),0))))</f>
        <v/>
      </c>
      <c r="AE2588" t="str">
        <f>IF(AA2588="","",'Procyclean 520'!B90)</f>
        <v/>
      </c>
      <c r="AF2588">
        <f t="shared" si="257"/>
        <v>0</v>
      </c>
      <c r="AG2588" t="str">
        <f t="shared" si="258"/>
        <v/>
      </c>
      <c r="AH2588" t="str">
        <f t="shared" si="259"/>
        <v/>
      </c>
      <c r="AI2588">
        <f t="shared" si="260"/>
        <v>0</v>
      </c>
      <c r="AJ2588">
        <f t="shared" si="261"/>
        <v>0</v>
      </c>
      <c r="AK2588">
        <v>0</v>
      </c>
      <c r="AL2588" t="str">
        <f>IF(AA2588="","",IFERROR(IF(ISNUMBER('Procyclean 520'!F90),'Procyclean 520'!F90,IF(ISNUMBER(SEARCH("12",'Procyclean 520'!F90)),EDATE(AB2588,12),IF(ISNUMBER(SEARCH("6",'Procyclean 520'!F90)),EDATE(AB2588,6),IF(ISNUMBER(SEARCH("3",'Procyclean 520'!F90)),EDATE(AB2588,3),DATEVALUE('Procyclean 520'!F90))))),""))</f>
        <v/>
      </c>
      <c r="AM2588" t="str">
        <f t="shared" ca="1" si="262"/>
        <v/>
      </c>
    </row>
    <row r="2589" spans="27:39" x14ac:dyDescent="0.3">
      <c r="AA2589" t="str">
        <f>IF(COUNTA('Procyclean 520'!C91,'Procyclean 520'!D91,'Procyclean 520'!E91)&gt;0,"520","")</f>
        <v/>
      </c>
      <c r="AB2589" t="str">
        <f>IFERROR(IF(ISNUMBER('Procyclean 520'!C91),'Procyclean 520'!C91,DATEVALUE('Procyclean 520'!C91)),"")</f>
        <v/>
      </c>
      <c r="AC2589" t="str">
        <f>IF(AA2589="","",'Procyclean 520'!D91)</f>
        <v/>
      </c>
      <c r="AD2589" t="str">
        <f>IF(AA2589="","",IFERROR(1*'Procyclean 520'!E91,IFERROR(_xludf.NUMBERVALUE('Procyclean 520'!E91,".",","),IFERROR(_xludf.NUMBERVALUE('Procyclean 520'!E91,",","."),0))))</f>
        <v/>
      </c>
      <c r="AE2589" t="str">
        <f>IF(AA2589="","",'Procyclean 520'!B91)</f>
        <v/>
      </c>
      <c r="AF2589">
        <f t="shared" si="257"/>
        <v>0</v>
      </c>
      <c r="AG2589" t="str">
        <f t="shared" si="258"/>
        <v/>
      </c>
      <c r="AH2589" t="str">
        <f t="shared" si="259"/>
        <v/>
      </c>
      <c r="AI2589">
        <f t="shared" si="260"/>
        <v>0</v>
      </c>
      <c r="AJ2589">
        <f t="shared" si="261"/>
        <v>0</v>
      </c>
      <c r="AK2589">
        <v>0</v>
      </c>
      <c r="AL2589" t="str">
        <f>IF(AA2589="","",IFERROR(IF(ISNUMBER('Procyclean 520'!F91),'Procyclean 520'!F91,IF(ISNUMBER(SEARCH("12",'Procyclean 520'!F91)),EDATE(AB2589,12),IF(ISNUMBER(SEARCH("6",'Procyclean 520'!F91)),EDATE(AB2589,6),IF(ISNUMBER(SEARCH("3",'Procyclean 520'!F91)),EDATE(AB2589,3),DATEVALUE('Procyclean 520'!F91))))),""))</f>
        <v/>
      </c>
      <c r="AM2589" t="str">
        <f t="shared" ca="1" si="262"/>
        <v/>
      </c>
    </row>
    <row r="2590" spans="27:39" x14ac:dyDescent="0.3">
      <c r="AA2590" t="str">
        <f>IF(COUNTA('Procyclean 520'!C92,'Procyclean 520'!D92,'Procyclean 520'!E92)&gt;0,"520","")</f>
        <v/>
      </c>
      <c r="AB2590" t="str">
        <f>IFERROR(IF(ISNUMBER('Procyclean 520'!C92),'Procyclean 520'!C92,DATEVALUE('Procyclean 520'!C92)),"")</f>
        <v/>
      </c>
      <c r="AC2590" t="str">
        <f>IF(AA2590="","",'Procyclean 520'!D92)</f>
        <v/>
      </c>
      <c r="AD2590" t="str">
        <f>IF(AA2590="","",IFERROR(1*'Procyclean 520'!E92,IFERROR(_xludf.NUMBERVALUE('Procyclean 520'!E92,".",","),IFERROR(_xludf.NUMBERVALUE('Procyclean 520'!E92,",","."),0))))</f>
        <v/>
      </c>
      <c r="AE2590" t="str">
        <f>IF(AA2590="","",'Procyclean 520'!B92)</f>
        <v/>
      </c>
      <c r="AF2590">
        <f t="shared" si="257"/>
        <v>0</v>
      </c>
      <c r="AG2590" t="str">
        <f t="shared" si="258"/>
        <v/>
      </c>
      <c r="AH2590" t="str">
        <f t="shared" si="259"/>
        <v/>
      </c>
      <c r="AI2590">
        <f t="shared" si="260"/>
        <v>0</v>
      </c>
      <c r="AJ2590">
        <f t="shared" si="261"/>
        <v>0</v>
      </c>
      <c r="AK2590">
        <v>0</v>
      </c>
      <c r="AL2590" t="str">
        <f>IF(AA2590="","",IFERROR(IF(ISNUMBER('Procyclean 520'!F92),'Procyclean 520'!F92,IF(ISNUMBER(SEARCH("12",'Procyclean 520'!F92)),EDATE(AB2590,12),IF(ISNUMBER(SEARCH("6",'Procyclean 520'!F92)),EDATE(AB2590,6),IF(ISNUMBER(SEARCH("3",'Procyclean 520'!F92)),EDATE(AB2590,3),DATEVALUE('Procyclean 520'!F92))))),""))</f>
        <v/>
      </c>
      <c r="AM2590" t="str">
        <f t="shared" ca="1" si="262"/>
        <v/>
      </c>
    </row>
    <row r="2591" spans="27:39" x14ac:dyDescent="0.3">
      <c r="AA2591" t="str">
        <f>IF(COUNTA('Procyclean 520'!C93,'Procyclean 520'!D93,'Procyclean 520'!E93)&gt;0,"520","")</f>
        <v/>
      </c>
      <c r="AB2591" t="str">
        <f>IFERROR(IF(ISNUMBER('Procyclean 520'!C93),'Procyclean 520'!C93,DATEVALUE('Procyclean 520'!C93)),"")</f>
        <v/>
      </c>
      <c r="AC2591" t="str">
        <f>IF(AA2591="","",'Procyclean 520'!D93)</f>
        <v/>
      </c>
      <c r="AD2591" t="str">
        <f>IF(AA2591="","",IFERROR(1*'Procyclean 520'!E93,IFERROR(_xludf.NUMBERVALUE('Procyclean 520'!E93,".",","),IFERROR(_xludf.NUMBERVALUE('Procyclean 520'!E93,",","."),0))))</f>
        <v/>
      </c>
      <c r="AE2591" t="str">
        <f>IF(AA2591="","",'Procyclean 520'!B93)</f>
        <v/>
      </c>
      <c r="AF2591">
        <f t="shared" si="257"/>
        <v>0</v>
      </c>
      <c r="AG2591" t="str">
        <f t="shared" si="258"/>
        <v/>
      </c>
      <c r="AH2591" t="str">
        <f t="shared" si="259"/>
        <v/>
      </c>
      <c r="AI2591">
        <f t="shared" si="260"/>
        <v>0</v>
      </c>
      <c r="AJ2591">
        <f t="shared" si="261"/>
        <v>0</v>
      </c>
      <c r="AK2591">
        <v>0</v>
      </c>
      <c r="AL2591" t="str">
        <f>IF(AA2591="","",IFERROR(IF(ISNUMBER('Procyclean 520'!F93),'Procyclean 520'!F93,IF(ISNUMBER(SEARCH("12",'Procyclean 520'!F93)),EDATE(AB2591,12),IF(ISNUMBER(SEARCH("6",'Procyclean 520'!F93)),EDATE(AB2591,6),IF(ISNUMBER(SEARCH("3",'Procyclean 520'!F93)),EDATE(AB2591,3),DATEVALUE('Procyclean 520'!F93))))),""))</f>
        <v/>
      </c>
      <c r="AM2591" t="str">
        <f t="shared" ca="1" si="262"/>
        <v/>
      </c>
    </row>
    <row r="2592" spans="27:39" x14ac:dyDescent="0.3">
      <c r="AA2592" t="str">
        <f>IF(COUNTA('Procyclean 520'!C94,'Procyclean 520'!D94,'Procyclean 520'!E94)&gt;0,"520","")</f>
        <v/>
      </c>
      <c r="AB2592" t="str">
        <f>IFERROR(IF(ISNUMBER('Procyclean 520'!C94),'Procyclean 520'!C94,DATEVALUE('Procyclean 520'!C94)),"")</f>
        <v/>
      </c>
      <c r="AC2592" t="str">
        <f>IF(AA2592="","",'Procyclean 520'!D94)</f>
        <v/>
      </c>
      <c r="AD2592" t="str">
        <f>IF(AA2592="","",IFERROR(1*'Procyclean 520'!E94,IFERROR(_xludf.NUMBERVALUE('Procyclean 520'!E94,".",","),IFERROR(_xludf.NUMBERVALUE('Procyclean 520'!E94,",","."),0))))</f>
        <v/>
      </c>
      <c r="AE2592" t="str">
        <f>IF(AA2592="","",'Procyclean 520'!B94)</f>
        <v/>
      </c>
      <c r="AF2592">
        <f t="shared" si="257"/>
        <v>0</v>
      </c>
      <c r="AG2592" t="str">
        <f t="shared" si="258"/>
        <v/>
      </c>
      <c r="AH2592" t="str">
        <f t="shared" si="259"/>
        <v/>
      </c>
      <c r="AI2592">
        <f t="shared" si="260"/>
        <v>0</v>
      </c>
      <c r="AJ2592">
        <f t="shared" si="261"/>
        <v>0</v>
      </c>
      <c r="AK2592">
        <v>0</v>
      </c>
      <c r="AL2592" t="str">
        <f>IF(AA2592="","",IFERROR(IF(ISNUMBER('Procyclean 520'!F94),'Procyclean 520'!F94,IF(ISNUMBER(SEARCH("12",'Procyclean 520'!F94)),EDATE(AB2592,12),IF(ISNUMBER(SEARCH("6",'Procyclean 520'!F94)),EDATE(AB2592,6),IF(ISNUMBER(SEARCH("3",'Procyclean 520'!F94)),EDATE(AB2592,3),DATEVALUE('Procyclean 520'!F94))))),""))</f>
        <v/>
      </c>
      <c r="AM2592" t="str">
        <f t="shared" ca="1" si="262"/>
        <v/>
      </c>
    </row>
    <row r="2593" spans="27:39" x14ac:dyDescent="0.3">
      <c r="AA2593" t="str">
        <f>IF(COUNTA('Procyclean 520'!C95,'Procyclean 520'!D95,'Procyclean 520'!E95)&gt;0,"520","")</f>
        <v/>
      </c>
      <c r="AB2593" t="str">
        <f>IFERROR(IF(ISNUMBER('Procyclean 520'!C95),'Procyclean 520'!C95,DATEVALUE('Procyclean 520'!C95)),"")</f>
        <v/>
      </c>
      <c r="AC2593" t="str">
        <f>IF(AA2593="","",'Procyclean 520'!D95)</f>
        <v/>
      </c>
      <c r="AD2593" t="str">
        <f>IF(AA2593="","",IFERROR(1*'Procyclean 520'!E95,IFERROR(_xludf.NUMBERVALUE('Procyclean 520'!E95,".",","),IFERROR(_xludf.NUMBERVALUE('Procyclean 520'!E95,",","."),0))))</f>
        <v/>
      </c>
      <c r="AE2593" t="str">
        <f>IF(AA2593="","",'Procyclean 520'!B95)</f>
        <v/>
      </c>
      <c r="AF2593">
        <f t="shared" si="257"/>
        <v>0</v>
      </c>
      <c r="AG2593" t="str">
        <f t="shared" si="258"/>
        <v/>
      </c>
      <c r="AH2593" t="str">
        <f t="shared" si="259"/>
        <v/>
      </c>
      <c r="AI2593">
        <f t="shared" si="260"/>
        <v>0</v>
      </c>
      <c r="AJ2593">
        <f t="shared" si="261"/>
        <v>0</v>
      </c>
      <c r="AK2593">
        <v>0</v>
      </c>
      <c r="AL2593" t="str">
        <f>IF(AA2593="","",IFERROR(IF(ISNUMBER('Procyclean 520'!F95),'Procyclean 520'!F95,IF(ISNUMBER(SEARCH("12",'Procyclean 520'!F95)),EDATE(AB2593,12),IF(ISNUMBER(SEARCH("6",'Procyclean 520'!F95)),EDATE(AB2593,6),IF(ISNUMBER(SEARCH("3",'Procyclean 520'!F95)),EDATE(AB2593,3),DATEVALUE('Procyclean 520'!F95))))),""))</f>
        <v/>
      </c>
      <c r="AM2593" t="str">
        <f t="shared" ca="1" si="262"/>
        <v/>
      </c>
    </row>
    <row r="2594" spans="27:39" x14ac:dyDescent="0.3">
      <c r="AA2594" t="str">
        <f>IF(COUNTA('Procyclean 520'!C96,'Procyclean 520'!D96,'Procyclean 520'!E96)&gt;0,"520","")</f>
        <v/>
      </c>
      <c r="AB2594" t="str">
        <f>IFERROR(IF(ISNUMBER('Procyclean 520'!C96),'Procyclean 520'!C96,DATEVALUE('Procyclean 520'!C96)),"")</f>
        <v/>
      </c>
      <c r="AC2594" t="str">
        <f>IF(AA2594="","",'Procyclean 520'!D96)</f>
        <v/>
      </c>
      <c r="AD2594" t="str">
        <f>IF(AA2594="","",IFERROR(1*'Procyclean 520'!E96,IFERROR(_xludf.NUMBERVALUE('Procyclean 520'!E96,".",","),IFERROR(_xludf.NUMBERVALUE('Procyclean 520'!E96,",","."),0))))</f>
        <v/>
      </c>
      <c r="AE2594" t="str">
        <f>IF(AA2594="","",'Procyclean 520'!B96)</f>
        <v/>
      </c>
      <c r="AF2594">
        <f t="shared" si="257"/>
        <v>0</v>
      </c>
      <c r="AG2594" t="str">
        <f t="shared" si="258"/>
        <v/>
      </c>
      <c r="AH2594" t="str">
        <f t="shared" si="259"/>
        <v/>
      </c>
      <c r="AI2594">
        <f t="shared" si="260"/>
        <v>0</v>
      </c>
      <c r="AJ2594">
        <f t="shared" si="261"/>
        <v>0</v>
      </c>
      <c r="AK2594">
        <v>0</v>
      </c>
      <c r="AL2594" t="str">
        <f>IF(AA2594="","",IFERROR(IF(ISNUMBER('Procyclean 520'!F96),'Procyclean 520'!F96,IF(ISNUMBER(SEARCH("12",'Procyclean 520'!F96)),EDATE(AB2594,12),IF(ISNUMBER(SEARCH("6",'Procyclean 520'!F96)),EDATE(AB2594,6),IF(ISNUMBER(SEARCH("3",'Procyclean 520'!F96)),EDATE(AB2594,3),DATEVALUE('Procyclean 520'!F96))))),""))</f>
        <v/>
      </c>
      <c r="AM2594" t="str">
        <f t="shared" ca="1" si="262"/>
        <v/>
      </c>
    </row>
    <row r="2595" spans="27:39" x14ac:dyDescent="0.3">
      <c r="AA2595" t="str">
        <f>IF(COUNTA('Procyclean 520'!C97,'Procyclean 520'!D97,'Procyclean 520'!E97)&gt;0,"520","")</f>
        <v/>
      </c>
      <c r="AB2595" t="str">
        <f>IFERROR(IF(ISNUMBER('Procyclean 520'!C97),'Procyclean 520'!C97,DATEVALUE('Procyclean 520'!C97)),"")</f>
        <v/>
      </c>
      <c r="AC2595" t="str">
        <f>IF(AA2595="","",'Procyclean 520'!D97)</f>
        <v/>
      </c>
      <c r="AD2595" t="str">
        <f>IF(AA2595="","",IFERROR(1*'Procyclean 520'!E97,IFERROR(_xludf.NUMBERVALUE('Procyclean 520'!E97,".",","),IFERROR(_xludf.NUMBERVALUE('Procyclean 520'!E97,",","."),0))))</f>
        <v/>
      </c>
      <c r="AE2595" t="str">
        <f>IF(AA2595="","",'Procyclean 520'!B97)</f>
        <v/>
      </c>
      <c r="AF2595">
        <f t="shared" si="257"/>
        <v>0</v>
      </c>
      <c r="AG2595" t="str">
        <f t="shared" si="258"/>
        <v/>
      </c>
      <c r="AH2595" t="str">
        <f t="shared" si="259"/>
        <v/>
      </c>
      <c r="AI2595">
        <f t="shared" si="260"/>
        <v>0</v>
      </c>
      <c r="AJ2595">
        <f t="shared" si="261"/>
        <v>0</v>
      </c>
      <c r="AK2595">
        <v>0</v>
      </c>
      <c r="AL2595" t="str">
        <f>IF(AA2595="","",IFERROR(IF(ISNUMBER('Procyclean 520'!F97),'Procyclean 520'!F97,IF(ISNUMBER(SEARCH("12",'Procyclean 520'!F97)),EDATE(AB2595,12),IF(ISNUMBER(SEARCH("6",'Procyclean 520'!F97)),EDATE(AB2595,6),IF(ISNUMBER(SEARCH("3",'Procyclean 520'!F97)),EDATE(AB2595,3),DATEVALUE('Procyclean 520'!F97))))),""))</f>
        <v/>
      </c>
      <c r="AM2595" t="str">
        <f t="shared" ca="1" si="262"/>
        <v/>
      </c>
    </row>
    <row r="2596" spans="27:39" x14ac:dyDescent="0.3">
      <c r="AA2596" t="str">
        <f>IF(COUNTA('Procyclean 520'!C98,'Procyclean 520'!D98,'Procyclean 520'!E98)&gt;0,"520","")</f>
        <v/>
      </c>
      <c r="AB2596" t="str">
        <f>IFERROR(IF(ISNUMBER('Procyclean 520'!C98),'Procyclean 520'!C98,DATEVALUE('Procyclean 520'!C98)),"")</f>
        <v/>
      </c>
      <c r="AC2596" t="str">
        <f>IF(AA2596="","",'Procyclean 520'!D98)</f>
        <v/>
      </c>
      <c r="AD2596" t="str">
        <f>IF(AA2596="","",IFERROR(1*'Procyclean 520'!E98,IFERROR(_xludf.NUMBERVALUE('Procyclean 520'!E98,".",","),IFERROR(_xludf.NUMBERVALUE('Procyclean 520'!E98,",","."),0))))</f>
        <v/>
      </c>
      <c r="AE2596" t="str">
        <f>IF(AA2596="","",'Procyclean 520'!B98)</f>
        <v/>
      </c>
      <c r="AF2596">
        <f t="shared" si="257"/>
        <v>0</v>
      </c>
      <c r="AG2596" t="str">
        <f t="shared" si="258"/>
        <v/>
      </c>
      <c r="AH2596" t="str">
        <f t="shared" si="259"/>
        <v/>
      </c>
      <c r="AI2596">
        <f t="shared" si="260"/>
        <v>0</v>
      </c>
      <c r="AJ2596">
        <f t="shared" si="261"/>
        <v>0</v>
      </c>
      <c r="AK2596">
        <v>0</v>
      </c>
      <c r="AL2596" t="str">
        <f>IF(AA2596="","",IFERROR(IF(ISNUMBER('Procyclean 520'!F98),'Procyclean 520'!F98,IF(ISNUMBER(SEARCH("12",'Procyclean 520'!F98)),EDATE(AB2596,12),IF(ISNUMBER(SEARCH("6",'Procyclean 520'!F98)),EDATE(AB2596,6),IF(ISNUMBER(SEARCH("3",'Procyclean 520'!F98)),EDATE(AB2596,3),DATEVALUE('Procyclean 520'!F98))))),""))</f>
        <v/>
      </c>
      <c r="AM2596" t="str">
        <f t="shared" ca="1" si="262"/>
        <v/>
      </c>
    </row>
    <row r="2597" spans="27:39" x14ac:dyDescent="0.3">
      <c r="AA2597" t="str">
        <f>IF(COUNTA('Procyclean 520'!C99,'Procyclean 520'!D99,'Procyclean 520'!E99)&gt;0,"520","")</f>
        <v/>
      </c>
      <c r="AB2597" t="str">
        <f>IFERROR(IF(ISNUMBER('Procyclean 520'!C99),'Procyclean 520'!C99,DATEVALUE('Procyclean 520'!C99)),"")</f>
        <v/>
      </c>
      <c r="AC2597" t="str">
        <f>IF(AA2597="","",'Procyclean 520'!D99)</f>
        <v/>
      </c>
      <c r="AD2597" t="str">
        <f>IF(AA2597="","",IFERROR(1*'Procyclean 520'!E99,IFERROR(_xludf.NUMBERVALUE('Procyclean 520'!E99,".",","),IFERROR(_xludf.NUMBERVALUE('Procyclean 520'!E99,",","."),0))))</f>
        <v/>
      </c>
      <c r="AE2597" t="str">
        <f>IF(AA2597="","",'Procyclean 520'!B99)</f>
        <v/>
      </c>
      <c r="AF2597">
        <f t="shared" si="257"/>
        <v>0</v>
      </c>
      <c r="AG2597" t="str">
        <f t="shared" si="258"/>
        <v/>
      </c>
      <c r="AH2597" t="str">
        <f t="shared" si="259"/>
        <v/>
      </c>
      <c r="AI2597">
        <f t="shared" si="260"/>
        <v>0</v>
      </c>
      <c r="AJ2597">
        <f t="shared" si="261"/>
        <v>0</v>
      </c>
      <c r="AK2597">
        <v>0</v>
      </c>
      <c r="AL2597" t="str">
        <f>IF(AA2597="","",IFERROR(IF(ISNUMBER('Procyclean 520'!F99),'Procyclean 520'!F99,IF(ISNUMBER(SEARCH("12",'Procyclean 520'!F99)),EDATE(AB2597,12),IF(ISNUMBER(SEARCH("6",'Procyclean 520'!F99)),EDATE(AB2597,6),IF(ISNUMBER(SEARCH("3",'Procyclean 520'!F99)),EDATE(AB2597,3),DATEVALUE('Procyclean 520'!F99))))),""))</f>
        <v/>
      </c>
      <c r="AM2597" t="str">
        <f t="shared" ca="1" si="262"/>
        <v/>
      </c>
    </row>
    <row r="2598" spans="27:39" x14ac:dyDescent="0.3">
      <c r="AA2598" t="str">
        <f>IF(COUNTA('Procyclean 520'!C100,'Procyclean 520'!D100,'Procyclean 520'!E100)&gt;0,"520","")</f>
        <v/>
      </c>
      <c r="AB2598" t="str">
        <f>IFERROR(IF(ISNUMBER('Procyclean 520'!C100),'Procyclean 520'!C100,DATEVALUE('Procyclean 520'!C100)),"")</f>
        <v/>
      </c>
      <c r="AC2598" t="str">
        <f>IF(AA2598="","",'Procyclean 520'!D100)</f>
        <v/>
      </c>
      <c r="AD2598" t="str">
        <f>IF(AA2598="","",IFERROR(1*'Procyclean 520'!E100,IFERROR(_xludf.NUMBERVALUE('Procyclean 520'!E100,".",","),IFERROR(_xludf.NUMBERVALUE('Procyclean 520'!E100,",","."),0))))</f>
        <v/>
      </c>
      <c r="AE2598" t="str">
        <f>IF(AA2598="","",'Procyclean 520'!B100)</f>
        <v/>
      </c>
      <c r="AF2598">
        <f t="shared" si="257"/>
        <v>0</v>
      </c>
      <c r="AG2598" t="str">
        <f t="shared" si="258"/>
        <v/>
      </c>
      <c r="AH2598" t="str">
        <f t="shared" si="259"/>
        <v/>
      </c>
      <c r="AI2598">
        <f t="shared" si="260"/>
        <v>0</v>
      </c>
      <c r="AJ2598">
        <f t="shared" si="261"/>
        <v>0</v>
      </c>
      <c r="AK2598">
        <v>0</v>
      </c>
      <c r="AL2598" t="str">
        <f>IF(AA2598="","",IFERROR(IF(ISNUMBER('Procyclean 520'!F100),'Procyclean 520'!F100,IF(ISNUMBER(SEARCH("12",'Procyclean 520'!F100)),EDATE(AB2598,12),IF(ISNUMBER(SEARCH("6",'Procyclean 520'!F100)),EDATE(AB2598,6),IF(ISNUMBER(SEARCH("3",'Procyclean 520'!F100)),EDATE(AB2598,3),DATEVALUE('Procyclean 520'!F100))))),""))</f>
        <v/>
      </c>
      <c r="AM2598" t="str">
        <f t="shared" ca="1" si="262"/>
        <v/>
      </c>
    </row>
    <row r="2599" spans="27:39" x14ac:dyDescent="0.3">
      <c r="AA2599" t="str">
        <f>IF(COUNTA('Procyclean 520'!C101,'Procyclean 520'!D101,'Procyclean 520'!E101)&gt;0,"520","")</f>
        <v/>
      </c>
      <c r="AB2599" t="str">
        <f>IFERROR(IF(ISNUMBER('Procyclean 520'!C101),'Procyclean 520'!C101,DATEVALUE('Procyclean 520'!C101)),"")</f>
        <v/>
      </c>
      <c r="AC2599" t="str">
        <f>IF(AA2599="","",'Procyclean 520'!D101)</f>
        <v/>
      </c>
      <c r="AD2599" t="str">
        <f>IF(AA2599="","",IFERROR(1*'Procyclean 520'!E101,IFERROR(_xludf.NUMBERVALUE('Procyclean 520'!E101,".",","),IFERROR(_xludf.NUMBERVALUE('Procyclean 520'!E101,",","."),0))))</f>
        <v/>
      </c>
      <c r="AE2599" t="str">
        <f>IF(AA2599="","",'Procyclean 520'!B101)</f>
        <v/>
      </c>
      <c r="AF2599">
        <f t="shared" si="257"/>
        <v>0</v>
      </c>
      <c r="AG2599" t="str">
        <f t="shared" si="258"/>
        <v/>
      </c>
      <c r="AH2599" t="str">
        <f t="shared" si="259"/>
        <v/>
      </c>
      <c r="AI2599">
        <f t="shared" si="260"/>
        <v>0</v>
      </c>
      <c r="AJ2599">
        <f t="shared" si="261"/>
        <v>0</v>
      </c>
      <c r="AK2599">
        <v>0</v>
      </c>
      <c r="AL2599" t="str">
        <f>IF(AA2599="","",IFERROR(IF(ISNUMBER('Procyclean 520'!F101),'Procyclean 520'!F101,IF(ISNUMBER(SEARCH("12",'Procyclean 520'!F101)),EDATE(AB2599,12),IF(ISNUMBER(SEARCH("6",'Procyclean 520'!F101)),EDATE(AB2599,6),IF(ISNUMBER(SEARCH("3",'Procyclean 520'!F101)),EDATE(AB2599,3),DATEVALUE('Procyclean 520'!F101))))),""))</f>
        <v/>
      </c>
      <c r="AM2599" t="str">
        <f t="shared" ca="1" si="262"/>
        <v/>
      </c>
    </row>
    <row r="2600" spans="27:39" x14ac:dyDescent="0.3">
      <c r="AA2600" t="str">
        <f>IF(COUNTA('Procyclean 520'!C102,'Procyclean 520'!D102,'Procyclean 520'!E102)&gt;0,"520","")</f>
        <v/>
      </c>
      <c r="AB2600" t="str">
        <f>IFERROR(IF(ISNUMBER('Procyclean 520'!C102),'Procyclean 520'!C102,DATEVALUE('Procyclean 520'!C102)),"")</f>
        <v/>
      </c>
      <c r="AC2600" t="str">
        <f>IF(AA2600="","",'Procyclean 520'!D102)</f>
        <v/>
      </c>
      <c r="AD2600" t="str">
        <f>IF(AA2600="","",IFERROR(1*'Procyclean 520'!E102,IFERROR(_xludf.NUMBERVALUE('Procyclean 520'!E102,".",","),IFERROR(_xludf.NUMBERVALUE('Procyclean 520'!E102,",","."),0))))</f>
        <v/>
      </c>
      <c r="AE2600" t="str">
        <f>IF(AA2600="","",'Procyclean 520'!B102)</f>
        <v/>
      </c>
      <c r="AF2600">
        <f t="shared" si="257"/>
        <v>0</v>
      </c>
      <c r="AG2600" t="str">
        <f t="shared" si="258"/>
        <v/>
      </c>
      <c r="AH2600" t="str">
        <f t="shared" si="259"/>
        <v/>
      </c>
      <c r="AI2600">
        <f t="shared" si="260"/>
        <v>0</v>
      </c>
      <c r="AJ2600">
        <f t="shared" si="261"/>
        <v>0</v>
      </c>
      <c r="AK2600">
        <v>0</v>
      </c>
      <c r="AL2600" t="str">
        <f>IF(AA2600="","",IFERROR(IF(ISNUMBER('Procyclean 520'!F102),'Procyclean 520'!F102,IF(ISNUMBER(SEARCH("12",'Procyclean 520'!F102)),EDATE(AB2600,12),IF(ISNUMBER(SEARCH("6",'Procyclean 520'!F102)),EDATE(AB2600,6),IF(ISNUMBER(SEARCH("3",'Procyclean 520'!F102)),EDATE(AB2600,3),DATEVALUE('Procyclean 520'!F102))))),""))</f>
        <v/>
      </c>
      <c r="AM2600" t="str">
        <f t="shared" ca="1" si="262"/>
        <v/>
      </c>
    </row>
    <row r="2601" spans="27:39" x14ac:dyDescent="0.3">
      <c r="AA2601" t="str">
        <f>IF(COUNTA('Procyclean 520'!C103,'Procyclean 520'!D103,'Procyclean 520'!E103)&gt;0,"520","")</f>
        <v/>
      </c>
      <c r="AB2601" t="str">
        <f>IFERROR(IF(ISNUMBER('Procyclean 520'!C103),'Procyclean 520'!C103,DATEVALUE('Procyclean 520'!C103)),"")</f>
        <v/>
      </c>
      <c r="AC2601" t="str">
        <f>IF(AA2601="","",'Procyclean 520'!D103)</f>
        <v/>
      </c>
      <c r="AD2601" t="str">
        <f>IF(AA2601="","",IFERROR(1*'Procyclean 520'!E103,IFERROR(_xludf.NUMBERVALUE('Procyclean 520'!E103,".",","),IFERROR(_xludf.NUMBERVALUE('Procyclean 520'!E103,",","."),0))))</f>
        <v/>
      </c>
      <c r="AE2601" t="str">
        <f>IF(AA2601="","",'Procyclean 520'!B103)</f>
        <v/>
      </c>
      <c r="AF2601">
        <f t="shared" si="257"/>
        <v>0</v>
      </c>
      <c r="AG2601" t="str">
        <f t="shared" si="258"/>
        <v/>
      </c>
      <c r="AH2601" t="str">
        <f t="shared" si="259"/>
        <v/>
      </c>
      <c r="AI2601">
        <f t="shared" si="260"/>
        <v>0</v>
      </c>
      <c r="AJ2601">
        <f t="shared" si="261"/>
        <v>0</v>
      </c>
      <c r="AK2601">
        <v>0</v>
      </c>
      <c r="AL2601" t="str">
        <f>IF(AA2601="","",IFERROR(IF(ISNUMBER('Procyclean 520'!F103),'Procyclean 520'!F103,IF(ISNUMBER(SEARCH("12",'Procyclean 520'!F103)),EDATE(AB2601,12),IF(ISNUMBER(SEARCH("6",'Procyclean 520'!F103)),EDATE(AB2601,6),IF(ISNUMBER(SEARCH("3",'Procyclean 520'!F103)),EDATE(AB2601,3),DATEVALUE('Procyclean 520'!F103))))),""))</f>
        <v/>
      </c>
      <c r="AM2601" t="str">
        <f t="shared" ca="1" si="262"/>
        <v/>
      </c>
    </row>
    <row r="2602" spans="27:39" x14ac:dyDescent="0.3">
      <c r="AA2602" t="str">
        <f>IF(COUNTA('Procyclean 520'!C104,'Procyclean 520'!D104,'Procyclean 520'!E104)&gt;0,"520","")</f>
        <v/>
      </c>
      <c r="AB2602" t="str">
        <f>IFERROR(IF(ISNUMBER('Procyclean 520'!C104),'Procyclean 520'!C104,DATEVALUE('Procyclean 520'!C104)),"")</f>
        <v/>
      </c>
      <c r="AC2602" t="str">
        <f>IF(AA2602="","",'Procyclean 520'!D104)</f>
        <v/>
      </c>
      <c r="AD2602" t="str">
        <f>IF(AA2602="","",IFERROR(1*'Procyclean 520'!E104,IFERROR(_xludf.NUMBERVALUE('Procyclean 520'!E104,".",","),IFERROR(_xludf.NUMBERVALUE('Procyclean 520'!E104,",","."),0))))</f>
        <v/>
      </c>
      <c r="AE2602" t="str">
        <f>IF(AA2602="","",'Procyclean 520'!B104)</f>
        <v/>
      </c>
      <c r="AF2602">
        <f t="shared" si="257"/>
        <v>0</v>
      </c>
      <c r="AG2602" t="str">
        <f t="shared" si="258"/>
        <v/>
      </c>
      <c r="AH2602" t="str">
        <f t="shared" si="259"/>
        <v/>
      </c>
      <c r="AI2602">
        <f t="shared" si="260"/>
        <v>0</v>
      </c>
      <c r="AJ2602">
        <f t="shared" si="261"/>
        <v>0</v>
      </c>
      <c r="AK2602">
        <v>0</v>
      </c>
      <c r="AL2602" t="str">
        <f>IF(AA2602="","",IFERROR(IF(ISNUMBER('Procyclean 520'!F104),'Procyclean 520'!F104,IF(ISNUMBER(SEARCH("12",'Procyclean 520'!F104)),EDATE(AB2602,12),IF(ISNUMBER(SEARCH("6",'Procyclean 520'!F104)),EDATE(AB2602,6),IF(ISNUMBER(SEARCH("3",'Procyclean 520'!F104)),EDATE(AB2602,3),DATEVALUE('Procyclean 520'!F104))))),""))</f>
        <v/>
      </c>
      <c r="AM2602" t="str">
        <f t="shared" ca="1" si="262"/>
        <v/>
      </c>
    </row>
    <row r="2603" spans="27:39" x14ac:dyDescent="0.3">
      <c r="AA2603" t="str">
        <f>IF(COUNTA('Procyclean 520'!C105,'Procyclean 520'!D105,'Procyclean 520'!E105)&gt;0,"520","")</f>
        <v/>
      </c>
      <c r="AB2603" t="str">
        <f>IFERROR(IF(ISNUMBER('Procyclean 520'!C105),'Procyclean 520'!C105,DATEVALUE('Procyclean 520'!C105)),"")</f>
        <v/>
      </c>
      <c r="AC2603" t="str">
        <f>IF(AA2603="","",'Procyclean 520'!D105)</f>
        <v/>
      </c>
      <c r="AD2603" t="str">
        <f>IF(AA2603="","",IFERROR(1*'Procyclean 520'!E105,IFERROR(_xludf.NUMBERVALUE('Procyclean 520'!E105,".",","),IFERROR(_xludf.NUMBERVALUE('Procyclean 520'!E105,",","."),0))))</f>
        <v/>
      </c>
      <c r="AE2603" t="str">
        <f>IF(AA2603="","",'Procyclean 520'!B105)</f>
        <v/>
      </c>
      <c r="AF2603">
        <f t="shared" si="257"/>
        <v>0</v>
      </c>
      <c r="AG2603" t="str">
        <f t="shared" si="258"/>
        <v/>
      </c>
      <c r="AH2603" t="str">
        <f t="shared" si="259"/>
        <v/>
      </c>
      <c r="AI2603">
        <f t="shared" si="260"/>
        <v>0</v>
      </c>
      <c r="AJ2603">
        <f t="shared" si="261"/>
        <v>0</v>
      </c>
      <c r="AK2603">
        <v>0</v>
      </c>
      <c r="AL2603" t="str">
        <f>IF(AA2603="","",IFERROR(IF(ISNUMBER('Procyclean 520'!F105),'Procyclean 520'!F105,IF(ISNUMBER(SEARCH("12",'Procyclean 520'!F105)),EDATE(AB2603,12),IF(ISNUMBER(SEARCH("6",'Procyclean 520'!F105)),EDATE(AB2603,6),IF(ISNUMBER(SEARCH("3",'Procyclean 520'!F105)),EDATE(AB2603,3),DATEVALUE('Procyclean 520'!F105))))),""))</f>
        <v/>
      </c>
      <c r="AM2603" t="str">
        <f t="shared" ca="1" si="262"/>
        <v/>
      </c>
    </row>
    <row r="2604" spans="27:39" x14ac:dyDescent="0.3">
      <c r="AA2604" t="str">
        <f>IF(COUNTA('Procyclean 520'!C106,'Procyclean 520'!D106,'Procyclean 520'!E106)&gt;0,"520","")</f>
        <v/>
      </c>
      <c r="AB2604" t="str">
        <f>IFERROR(IF(ISNUMBER('Procyclean 520'!C106),'Procyclean 520'!C106,DATEVALUE('Procyclean 520'!C106)),"")</f>
        <v/>
      </c>
      <c r="AC2604" t="str">
        <f>IF(AA2604="","",'Procyclean 520'!D106)</f>
        <v/>
      </c>
      <c r="AD2604" t="str">
        <f>IF(AA2604="","",IFERROR(1*'Procyclean 520'!E106,IFERROR(_xludf.NUMBERVALUE('Procyclean 520'!E106,".",","),IFERROR(_xludf.NUMBERVALUE('Procyclean 520'!E106,",","."),0))))</f>
        <v/>
      </c>
      <c r="AE2604" t="str">
        <f>IF(AA2604="","",'Procyclean 520'!B106)</f>
        <v/>
      </c>
      <c r="AF2604">
        <f t="shared" si="257"/>
        <v>0</v>
      </c>
      <c r="AG2604" t="str">
        <f t="shared" si="258"/>
        <v/>
      </c>
      <c r="AH2604" t="str">
        <f t="shared" si="259"/>
        <v/>
      </c>
      <c r="AI2604">
        <f t="shared" si="260"/>
        <v>0</v>
      </c>
      <c r="AJ2604">
        <f t="shared" si="261"/>
        <v>0</v>
      </c>
      <c r="AK2604">
        <v>0</v>
      </c>
      <c r="AL2604" t="str">
        <f>IF(AA2604="","",IFERROR(IF(ISNUMBER('Procyclean 520'!F106),'Procyclean 520'!F106,IF(ISNUMBER(SEARCH("12",'Procyclean 520'!F106)),EDATE(AB2604,12),IF(ISNUMBER(SEARCH("6",'Procyclean 520'!F106)),EDATE(AB2604,6),IF(ISNUMBER(SEARCH("3",'Procyclean 520'!F106)),EDATE(AB2604,3),DATEVALUE('Procyclean 520'!F106))))),""))</f>
        <v/>
      </c>
      <c r="AM2604" t="str">
        <f t="shared" ca="1" si="262"/>
        <v/>
      </c>
    </row>
    <row r="2605" spans="27:39" x14ac:dyDescent="0.3">
      <c r="AA2605" t="str">
        <f>IF(COUNTA('Procyclean 520'!C107,'Procyclean 520'!D107,'Procyclean 520'!E107)&gt;0,"520","")</f>
        <v/>
      </c>
      <c r="AB2605" t="str">
        <f>IFERROR(IF(ISNUMBER('Procyclean 520'!C107),'Procyclean 520'!C107,DATEVALUE('Procyclean 520'!C107)),"")</f>
        <v/>
      </c>
      <c r="AC2605" t="str">
        <f>IF(AA2605="","",'Procyclean 520'!D107)</f>
        <v/>
      </c>
      <c r="AD2605" t="str">
        <f>IF(AA2605="","",IFERROR(1*'Procyclean 520'!E107,IFERROR(_xludf.NUMBERVALUE('Procyclean 520'!E107,".",","),IFERROR(_xludf.NUMBERVALUE('Procyclean 520'!E107,",","."),0))))</f>
        <v/>
      </c>
      <c r="AE2605" t="str">
        <f>IF(AA2605="","",'Procyclean 520'!B107)</f>
        <v/>
      </c>
      <c r="AF2605">
        <f t="shared" si="257"/>
        <v>0</v>
      </c>
      <c r="AG2605" t="str">
        <f t="shared" si="258"/>
        <v/>
      </c>
      <c r="AH2605" t="str">
        <f t="shared" si="259"/>
        <v/>
      </c>
      <c r="AI2605">
        <f t="shared" si="260"/>
        <v>0</v>
      </c>
      <c r="AJ2605">
        <f t="shared" si="261"/>
        <v>0</v>
      </c>
      <c r="AK2605">
        <v>0</v>
      </c>
      <c r="AL2605" t="str">
        <f>IF(AA2605="","",IFERROR(IF(ISNUMBER('Procyclean 520'!F107),'Procyclean 520'!F107,IF(ISNUMBER(SEARCH("12",'Procyclean 520'!F107)),EDATE(AB2605,12),IF(ISNUMBER(SEARCH("6",'Procyclean 520'!F107)),EDATE(AB2605,6),IF(ISNUMBER(SEARCH("3",'Procyclean 520'!F107)),EDATE(AB2605,3),DATEVALUE('Procyclean 520'!F107))))),""))</f>
        <v/>
      </c>
      <c r="AM2605" t="str">
        <f t="shared" ca="1" si="262"/>
        <v/>
      </c>
    </row>
    <row r="2606" spans="27:39" x14ac:dyDescent="0.3">
      <c r="AA2606" t="str">
        <f>IF(COUNTA('Procyclean 520'!C108,'Procyclean 520'!D108,'Procyclean 520'!E108)&gt;0,"520","")</f>
        <v/>
      </c>
      <c r="AB2606" t="str">
        <f>IFERROR(IF(ISNUMBER('Procyclean 520'!C108),'Procyclean 520'!C108,DATEVALUE('Procyclean 520'!C108)),"")</f>
        <v/>
      </c>
      <c r="AC2606" t="str">
        <f>IF(AA2606="","",'Procyclean 520'!D108)</f>
        <v/>
      </c>
      <c r="AD2606" t="str">
        <f>IF(AA2606="","",IFERROR(1*'Procyclean 520'!E108,IFERROR(_xludf.NUMBERVALUE('Procyclean 520'!E108,".",","),IFERROR(_xludf.NUMBERVALUE('Procyclean 520'!E108,",","."),0))))</f>
        <v/>
      </c>
      <c r="AE2606" t="str">
        <f>IF(AA2606="","",'Procyclean 520'!B108)</f>
        <v/>
      </c>
      <c r="AF2606">
        <f t="shared" si="257"/>
        <v>0</v>
      </c>
      <c r="AG2606" t="str">
        <f t="shared" si="258"/>
        <v/>
      </c>
      <c r="AH2606" t="str">
        <f t="shared" si="259"/>
        <v/>
      </c>
      <c r="AI2606">
        <f t="shared" si="260"/>
        <v>0</v>
      </c>
      <c r="AJ2606">
        <f t="shared" si="261"/>
        <v>0</v>
      </c>
      <c r="AK2606">
        <v>0</v>
      </c>
      <c r="AL2606" t="str">
        <f>IF(AA2606="","",IFERROR(IF(ISNUMBER('Procyclean 520'!F108),'Procyclean 520'!F108,IF(ISNUMBER(SEARCH("12",'Procyclean 520'!F108)),EDATE(AB2606,12),IF(ISNUMBER(SEARCH("6",'Procyclean 520'!F108)),EDATE(AB2606,6),IF(ISNUMBER(SEARCH("3",'Procyclean 520'!F108)),EDATE(AB2606,3),DATEVALUE('Procyclean 520'!F108))))),""))</f>
        <v/>
      </c>
      <c r="AM2606" t="str">
        <f t="shared" ca="1" si="262"/>
        <v/>
      </c>
    </row>
    <row r="2607" spans="27:39" x14ac:dyDescent="0.3">
      <c r="AA2607" t="str">
        <f>IF(COUNTA('Procyclean 520'!C109,'Procyclean 520'!D109,'Procyclean 520'!E109)&gt;0,"520","")</f>
        <v/>
      </c>
      <c r="AB2607" t="str">
        <f>IFERROR(IF(ISNUMBER('Procyclean 520'!C109),'Procyclean 520'!C109,DATEVALUE('Procyclean 520'!C109)),"")</f>
        <v/>
      </c>
      <c r="AC2607" t="str">
        <f>IF(AA2607="","",'Procyclean 520'!D109)</f>
        <v/>
      </c>
      <c r="AD2607" t="str">
        <f>IF(AA2607="","",IFERROR(1*'Procyclean 520'!E109,IFERROR(_xludf.NUMBERVALUE('Procyclean 520'!E109,".",","),IFERROR(_xludf.NUMBERVALUE('Procyclean 520'!E109,",","."),0))))</f>
        <v/>
      </c>
      <c r="AE2607" t="str">
        <f>IF(AA2607="","",'Procyclean 520'!B109)</f>
        <v/>
      </c>
      <c r="AF2607">
        <f t="shared" si="257"/>
        <v>0</v>
      </c>
      <c r="AG2607" t="str">
        <f t="shared" si="258"/>
        <v/>
      </c>
      <c r="AH2607" t="str">
        <f t="shared" si="259"/>
        <v/>
      </c>
      <c r="AI2607">
        <f t="shared" si="260"/>
        <v>0</v>
      </c>
      <c r="AJ2607">
        <f t="shared" si="261"/>
        <v>0</v>
      </c>
      <c r="AK2607">
        <v>0</v>
      </c>
      <c r="AL2607" t="str">
        <f>IF(AA2607="","",IFERROR(IF(ISNUMBER('Procyclean 520'!F109),'Procyclean 520'!F109,IF(ISNUMBER(SEARCH("12",'Procyclean 520'!F109)),EDATE(AB2607,12),IF(ISNUMBER(SEARCH("6",'Procyclean 520'!F109)),EDATE(AB2607,6),IF(ISNUMBER(SEARCH("3",'Procyclean 520'!F109)),EDATE(AB2607,3),DATEVALUE('Procyclean 520'!F109))))),""))</f>
        <v/>
      </c>
      <c r="AM2607" t="str">
        <f t="shared" ca="1" si="262"/>
        <v/>
      </c>
    </row>
    <row r="2608" spans="27:39" x14ac:dyDescent="0.3">
      <c r="AA2608" t="str">
        <f>IF(COUNTA('Procyclean 520'!C110,'Procyclean 520'!D110,'Procyclean 520'!E110)&gt;0,"520","")</f>
        <v/>
      </c>
      <c r="AB2608" t="str">
        <f>IFERROR(IF(ISNUMBER('Procyclean 520'!C110),'Procyclean 520'!C110,DATEVALUE('Procyclean 520'!C110)),"")</f>
        <v/>
      </c>
      <c r="AC2608" t="str">
        <f>IF(AA2608="","",'Procyclean 520'!D110)</f>
        <v/>
      </c>
      <c r="AD2608" t="str">
        <f>IF(AA2608="","",IFERROR(1*'Procyclean 520'!E110,IFERROR(_xludf.NUMBERVALUE('Procyclean 520'!E110,".",","),IFERROR(_xludf.NUMBERVALUE('Procyclean 520'!E110,",","."),0))))</f>
        <v/>
      </c>
      <c r="AE2608" t="str">
        <f>IF(AA2608="","",'Procyclean 520'!B110)</f>
        <v/>
      </c>
      <c r="AF2608">
        <f t="shared" si="257"/>
        <v>0</v>
      </c>
      <c r="AG2608" t="str">
        <f t="shared" si="258"/>
        <v/>
      </c>
      <c r="AH2608" t="str">
        <f t="shared" si="259"/>
        <v/>
      </c>
      <c r="AI2608">
        <f t="shared" si="260"/>
        <v>0</v>
      </c>
      <c r="AJ2608">
        <f t="shared" si="261"/>
        <v>0</v>
      </c>
      <c r="AK2608">
        <v>0</v>
      </c>
      <c r="AL2608" t="str">
        <f>IF(AA2608="","",IFERROR(IF(ISNUMBER('Procyclean 520'!F110),'Procyclean 520'!F110,IF(ISNUMBER(SEARCH("12",'Procyclean 520'!F110)),EDATE(AB2608,12),IF(ISNUMBER(SEARCH("6",'Procyclean 520'!F110)),EDATE(AB2608,6),IF(ISNUMBER(SEARCH("3",'Procyclean 520'!F110)),EDATE(AB2608,3),DATEVALUE('Procyclean 520'!F110))))),""))</f>
        <v/>
      </c>
      <c r="AM2608" t="str">
        <f t="shared" ca="1" si="262"/>
        <v/>
      </c>
    </row>
    <row r="2609" spans="27:39" x14ac:dyDescent="0.3">
      <c r="AA2609" t="str">
        <f>IF(COUNTA('Procyclean 520'!C111,'Procyclean 520'!D111,'Procyclean 520'!E111)&gt;0,"520","")</f>
        <v/>
      </c>
      <c r="AB2609" t="str">
        <f>IFERROR(IF(ISNUMBER('Procyclean 520'!C111),'Procyclean 520'!C111,DATEVALUE('Procyclean 520'!C111)),"")</f>
        <v/>
      </c>
      <c r="AC2609" t="str">
        <f>IF(AA2609="","",'Procyclean 520'!D111)</f>
        <v/>
      </c>
      <c r="AD2609" t="str">
        <f>IF(AA2609="","",IFERROR(1*'Procyclean 520'!E111,IFERROR(_xludf.NUMBERVALUE('Procyclean 520'!E111,".",","),IFERROR(_xludf.NUMBERVALUE('Procyclean 520'!E111,",","."),0))))</f>
        <v/>
      </c>
      <c r="AE2609" t="str">
        <f>IF(AA2609="","",'Procyclean 520'!B111)</f>
        <v/>
      </c>
      <c r="AF2609">
        <f t="shared" si="257"/>
        <v>0</v>
      </c>
      <c r="AG2609" t="str">
        <f t="shared" si="258"/>
        <v/>
      </c>
      <c r="AH2609" t="str">
        <f t="shared" si="259"/>
        <v/>
      </c>
      <c r="AI2609">
        <f t="shared" si="260"/>
        <v>0</v>
      </c>
      <c r="AJ2609">
        <f t="shared" si="261"/>
        <v>0</v>
      </c>
      <c r="AK2609">
        <v>0</v>
      </c>
      <c r="AL2609" t="str">
        <f>IF(AA2609="","",IFERROR(IF(ISNUMBER('Procyclean 520'!F111),'Procyclean 520'!F111,IF(ISNUMBER(SEARCH("12",'Procyclean 520'!F111)),EDATE(AB2609,12),IF(ISNUMBER(SEARCH("6",'Procyclean 520'!F111)),EDATE(AB2609,6),IF(ISNUMBER(SEARCH("3",'Procyclean 520'!F111)),EDATE(AB2609,3),DATEVALUE('Procyclean 520'!F111))))),""))</f>
        <v/>
      </c>
      <c r="AM2609" t="str">
        <f t="shared" ca="1" si="262"/>
        <v/>
      </c>
    </row>
    <row r="2610" spans="27:39" x14ac:dyDescent="0.3">
      <c r="AA2610" t="str">
        <f>IF(COUNTA('Procyclean 520'!C112,'Procyclean 520'!D112,'Procyclean 520'!E112)&gt;0,"520","")</f>
        <v/>
      </c>
      <c r="AB2610" t="str">
        <f>IFERROR(IF(ISNUMBER('Procyclean 520'!C112),'Procyclean 520'!C112,DATEVALUE('Procyclean 520'!C112)),"")</f>
        <v/>
      </c>
      <c r="AC2610" t="str">
        <f>IF(AA2610="","",'Procyclean 520'!D112)</f>
        <v/>
      </c>
      <c r="AD2610" t="str">
        <f>IF(AA2610="","",IFERROR(1*'Procyclean 520'!E112,IFERROR(_xludf.NUMBERVALUE('Procyclean 520'!E112,".",","),IFERROR(_xludf.NUMBERVALUE('Procyclean 520'!E112,",","."),0))))</f>
        <v/>
      </c>
      <c r="AE2610" t="str">
        <f>IF(AA2610="","",'Procyclean 520'!B112)</f>
        <v/>
      </c>
      <c r="AF2610">
        <f t="shared" si="257"/>
        <v>0</v>
      </c>
      <c r="AG2610" t="str">
        <f t="shared" si="258"/>
        <v/>
      </c>
      <c r="AH2610" t="str">
        <f t="shared" si="259"/>
        <v/>
      </c>
      <c r="AI2610">
        <f t="shared" si="260"/>
        <v>0</v>
      </c>
      <c r="AJ2610">
        <f t="shared" si="261"/>
        <v>0</v>
      </c>
      <c r="AK2610">
        <v>0</v>
      </c>
      <c r="AL2610" t="str">
        <f>IF(AA2610="","",IFERROR(IF(ISNUMBER('Procyclean 520'!F112),'Procyclean 520'!F112,IF(ISNUMBER(SEARCH("12",'Procyclean 520'!F112)),EDATE(AB2610,12),IF(ISNUMBER(SEARCH("6",'Procyclean 520'!F112)),EDATE(AB2610,6),IF(ISNUMBER(SEARCH("3",'Procyclean 520'!F112)),EDATE(AB2610,3),DATEVALUE('Procyclean 520'!F112))))),""))</f>
        <v/>
      </c>
      <c r="AM2610" t="str">
        <f t="shared" ca="1" si="262"/>
        <v/>
      </c>
    </row>
    <row r="2611" spans="27:39" x14ac:dyDescent="0.3">
      <c r="AA2611" t="str">
        <f>IF(COUNTA('Procyclean 520'!C113,'Procyclean 520'!D113,'Procyclean 520'!E113)&gt;0,"520","")</f>
        <v/>
      </c>
      <c r="AB2611" t="str">
        <f>IFERROR(IF(ISNUMBER('Procyclean 520'!C113),'Procyclean 520'!C113,DATEVALUE('Procyclean 520'!C113)),"")</f>
        <v/>
      </c>
      <c r="AC2611" t="str">
        <f>IF(AA2611="","",'Procyclean 520'!D113)</f>
        <v/>
      </c>
      <c r="AD2611" t="str">
        <f>IF(AA2611="","",IFERROR(1*'Procyclean 520'!E113,IFERROR(_xludf.NUMBERVALUE('Procyclean 520'!E113,".",","),IFERROR(_xludf.NUMBERVALUE('Procyclean 520'!E113,",","."),0))))</f>
        <v/>
      </c>
      <c r="AE2611" t="str">
        <f>IF(AA2611="","",'Procyclean 520'!B113)</f>
        <v/>
      </c>
      <c r="AF2611">
        <f t="shared" si="257"/>
        <v>0</v>
      </c>
      <c r="AG2611" t="str">
        <f t="shared" si="258"/>
        <v/>
      </c>
      <c r="AH2611" t="str">
        <f t="shared" si="259"/>
        <v/>
      </c>
      <c r="AI2611">
        <f t="shared" si="260"/>
        <v>0</v>
      </c>
      <c r="AJ2611">
        <f t="shared" si="261"/>
        <v>0</v>
      </c>
      <c r="AK2611">
        <v>0</v>
      </c>
      <c r="AL2611" t="str">
        <f>IF(AA2611="","",IFERROR(IF(ISNUMBER('Procyclean 520'!F113),'Procyclean 520'!F113,IF(ISNUMBER(SEARCH("12",'Procyclean 520'!F113)),EDATE(AB2611,12),IF(ISNUMBER(SEARCH("6",'Procyclean 520'!F113)),EDATE(AB2611,6),IF(ISNUMBER(SEARCH("3",'Procyclean 520'!F113)),EDATE(AB2611,3),DATEVALUE('Procyclean 520'!F113))))),""))</f>
        <v/>
      </c>
      <c r="AM2611" t="str">
        <f t="shared" ca="1" si="262"/>
        <v/>
      </c>
    </row>
    <row r="2612" spans="27:39" x14ac:dyDescent="0.3">
      <c r="AA2612" t="str">
        <f>IF(COUNTA('Procyclean 520'!C114,'Procyclean 520'!D114,'Procyclean 520'!E114)&gt;0,"520","")</f>
        <v/>
      </c>
      <c r="AB2612" t="str">
        <f>IFERROR(IF(ISNUMBER('Procyclean 520'!C114),'Procyclean 520'!C114,DATEVALUE('Procyclean 520'!C114)),"")</f>
        <v/>
      </c>
      <c r="AC2612" t="str">
        <f>IF(AA2612="","",'Procyclean 520'!D114)</f>
        <v/>
      </c>
      <c r="AD2612" t="str">
        <f>IF(AA2612="","",IFERROR(1*'Procyclean 520'!E114,IFERROR(_xludf.NUMBERVALUE('Procyclean 520'!E114,".",","),IFERROR(_xludf.NUMBERVALUE('Procyclean 520'!E114,",","."),0))))</f>
        <v/>
      </c>
      <c r="AE2612" t="str">
        <f>IF(AA2612="","",'Procyclean 520'!B114)</f>
        <v/>
      </c>
      <c r="AF2612">
        <f t="shared" si="257"/>
        <v>0</v>
      </c>
      <c r="AG2612" t="str">
        <f t="shared" si="258"/>
        <v/>
      </c>
      <c r="AH2612" t="str">
        <f t="shared" si="259"/>
        <v/>
      </c>
      <c r="AI2612">
        <f t="shared" si="260"/>
        <v>0</v>
      </c>
      <c r="AJ2612">
        <f t="shared" si="261"/>
        <v>0</v>
      </c>
      <c r="AK2612">
        <v>0</v>
      </c>
      <c r="AL2612" t="str">
        <f>IF(AA2612="","",IFERROR(IF(ISNUMBER('Procyclean 520'!F114),'Procyclean 520'!F114,IF(ISNUMBER(SEARCH("12",'Procyclean 520'!F114)),EDATE(AB2612,12),IF(ISNUMBER(SEARCH("6",'Procyclean 520'!F114)),EDATE(AB2612,6),IF(ISNUMBER(SEARCH("3",'Procyclean 520'!F114)),EDATE(AB2612,3),DATEVALUE('Procyclean 520'!F114))))),""))</f>
        <v/>
      </c>
      <c r="AM2612" t="str">
        <f t="shared" ca="1" si="262"/>
        <v/>
      </c>
    </row>
    <row r="2613" spans="27:39" x14ac:dyDescent="0.3">
      <c r="AA2613" t="str">
        <f>IF(COUNTA('Procyclean 520'!C115,'Procyclean 520'!D115,'Procyclean 520'!E115)&gt;0,"520","")</f>
        <v/>
      </c>
      <c r="AB2613" t="str">
        <f>IFERROR(IF(ISNUMBER('Procyclean 520'!C115),'Procyclean 520'!C115,DATEVALUE('Procyclean 520'!C115)),"")</f>
        <v/>
      </c>
      <c r="AC2613" t="str">
        <f>IF(AA2613="","",'Procyclean 520'!D115)</f>
        <v/>
      </c>
      <c r="AD2613" t="str">
        <f>IF(AA2613="","",IFERROR(1*'Procyclean 520'!E115,IFERROR(_xludf.NUMBERVALUE('Procyclean 520'!E115,".",","),IFERROR(_xludf.NUMBERVALUE('Procyclean 520'!E115,",","."),0))))</f>
        <v/>
      </c>
      <c r="AE2613" t="str">
        <f>IF(AA2613="","",'Procyclean 520'!B115)</f>
        <v/>
      </c>
      <c r="AF2613">
        <f t="shared" si="257"/>
        <v>0</v>
      </c>
      <c r="AG2613" t="str">
        <f t="shared" si="258"/>
        <v/>
      </c>
      <c r="AH2613" t="str">
        <f t="shared" si="259"/>
        <v/>
      </c>
      <c r="AI2613">
        <f t="shared" si="260"/>
        <v>0</v>
      </c>
      <c r="AJ2613">
        <f t="shared" si="261"/>
        <v>0</v>
      </c>
      <c r="AK2613">
        <v>0</v>
      </c>
      <c r="AL2613" t="str">
        <f>IF(AA2613="","",IFERROR(IF(ISNUMBER('Procyclean 520'!F115),'Procyclean 520'!F115,IF(ISNUMBER(SEARCH("12",'Procyclean 520'!F115)),EDATE(AB2613,12),IF(ISNUMBER(SEARCH("6",'Procyclean 520'!F115)),EDATE(AB2613,6),IF(ISNUMBER(SEARCH("3",'Procyclean 520'!F115)),EDATE(AB2613,3),DATEVALUE('Procyclean 520'!F115))))),""))</f>
        <v/>
      </c>
      <c r="AM2613" t="str">
        <f t="shared" ca="1" si="262"/>
        <v/>
      </c>
    </row>
    <row r="2614" spans="27:39" x14ac:dyDescent="0.3">
      <c r="AA2614" t="str">
        <f>IF(COUNTA('Procyclean 520'!C116,'Procyclean 520'!D116,'Procyclean 520'!E116)&gt;0,"520","")</f>
        <v/>
      </c>
      <c r="AB2614" t="str">
        <f>IFERROR(IF(ISNUMBER('Procyclean 520'!C116),'Procyclean 520'!C116,DATEVALUE('Procyclean 520'!C116)),"")</f>
        <v/>
      </c>
      <c r="AC2614" t="str">
        <f>IF(AA2614="","",'Procyclean 520'!D116)</f>
        <v/>
      </c>
      <c r="AD2614" t="str">
        <f>IF(AA2614="","",IFERROR(1*'Procyclean 520'!E116,IFERROR(_xludf.NUMBERVALUE('Procyclean 520'!E116,".",","),IFERROR(_xludf.NUMBERVALUE('Procyclean 520'!E116,",","."),0))))</f>
        <v/>
      </c>
      <c r="AE2614" t="str">
        <f>IF(AA2614="","",'Procyclean 520'!B116)</f>
        <v/>
      </c>
      <c r="AF2614">
        <f t="shared" si="257"/>
        <v>0</v>
      </c>
      <c r="AG2614" t="str">
        <f t="shared" si="258"/>
        <v/>
      </c>
      <c r="AH2614" t="str">
        <f t="shared" si="259"/>
        <v/>
      </c>
      <c r="AI2614">
        <f t="shared" si="260"/>
        <v>0</v>
      </c>
      <c r="AJ2614">
        <f t="shared" si="261"/>
        <v>0</v>
      </c>
      <c r="AK2614">
        <v>0</v>
      </c>
      <c r="AL2614" t="str">
        <f>IF(AA2614="","",IFERROR(IF(ISNUMBER('Procyclean 520'!F116),'Procyclean 520'!F116,IF(ISNUMBER(SEARCH("12",'Procyclean 520'!F116)),EDATE(AB2614,12),IF(ISNUMBER(SEARCH("6",'Procyclean 520'!F116)),EDATE(AB2614,6),IF(ISNUMBER(SEARCH("3",'Procyclean 520'!F116)),EDATE(AB2614,3),DATEVALUE('Procyclean 520'!F116))))),""))</f>
        <v/>
      </c>
      <c r="AM2614" t="str">
        <f t="shared" ca="1" si="262"/>
        <v/>
      </c>
    </row>
    <row r="2615" spans="27:39" x14ac:dyDescent="0.3">
      <c r="AA2615" t="str">
        <f>IF(COUNTA('Procyclean 520'!C117,'Procyclean 520'!D117,'Procyclean 520'!E117)&gt;0,"520","")</f>
        <v/>
      </c>
      <c r="AB2615" t="str">
        <f>IFERROR(IF(ISNUMBER('Procyclean 520'!C117),'Procyclean 520'!C117,DATEVALUE('Procyclean 520'!C117)),"")</f>
        <v/>
      </c>
      <c r="AC2615" t="str">
        <f>IF(AA2615="","",'Procyclean 520'!D117)</f>
        <v/>
      </c>
      <c r="AD2615" t="str">
        <f>IF(AA2615="","",IFERROR(1*'Procyclean 520'!E117,IFERROR(_xludf.NUMBERVALUE('Procyclean 520'!E117,".",","),IFERROR(_xludf.NUMBERVALUE('Procyclean 520'!E117,",","."),0))))</f>
        <v/>
      </c>
      <c r="AE2615" t="str">
        <f>IF(AA2615="","",'Procyclean 520'!B117)</f>
        <v/>
      </c>
      <c r="AF2615">
        <f t="shared" si="257"/>
        <v>0</v>
      </c>
      <c r="AG2615" t="str">
        <f t="shared" si="258"/>
        <v/>
      </c>
      <c r="AH2615" t="str">
        <f t="shared" si="259"/>
        <v/>
      </c>
      <c r="AI2615">
        <f t="shared" si="260"/>
        <v>0</v>
      </c>
      <c r="AJ2615">
        <f t="shared" si="261"/>
        <v>0</v>
      </c>
      <c r="AK2615">
        <v>0</v>
      </c>
      <c r="AL2615" t="str">
        <f>IF(AA2615="","",IFERROR(IF(ISNUMBER('Procyclean 520'!F117),'Procyclean 520'!F117,IF(ISNUMBER(SEARCH("12",'Procyclean 520'!F117)),EDATE(AB2615,12),IF(ISNUMBER(SEARCH("6",'Procyclean 520'!F117)),EDATE(AB2615,6),IF(ISNUMBER(SEARCH("3",'Procyclean 520'!F117)),EDATE(AB2615,3),DATEVALUE('Procyclean 520'!F117))))),""))</f>
        <v/>
      </c>
      <c r="AM2615" t="str">
        <f t="shared" ca="1" si="262"/>
        <v/>
      </c>
    </row>
    <row r="2616" spans="27:39" x14ac:dyDescent="0.3">
      <c r="AA2616" t="str">
        <f>IF(COUNTA('Procyclean 520'!C118,'Procyclean 520'!D118,'Procyclean 520'!E118)&gt;0,"520","")</f>
        <v/>
      </c>
      <c r="AB2616" t="str">
        <f>IFERROR(IF(ISNUMBER('Procyclean 520'!C118),'Procyclean 520'!C118,DATEVALUE('Procyclean 520'!C118)),"")</f>
        <v/>
      </c>
      <c r="AC2616" t="str">
        <f>IF(AA2616="","",'Procyclean 520'!D118)</f>
        <v/>
      </c>
      <c r="AD2616" t="str">
        <f>IF(AA2616="","",IFERROR(1*'Procyclean 520'!E118,IFERROR(_xludf.NUMBERVALUE('Procyclean 520'!E118,".",","),IFERROR(_xludf.NUMBERVALUE('Procyclean 520'!E118,",","."),0))))</f>
        <v/>
      </c>
      <c r="AE2616" t="str">
        <f>IF(AA2616="","",'Procyclean 520'!B118)</f>
        <v/>
      </c>
      <c r="AF2616">
        <f t="shared" si="257"/>
        <v>0</v>
      </c>
      <c r="AG2616" t="str">
        <f t="shared" si="258"/>
        <v/>
      </c>
      <c r="AH2616" t="str">
        <f t="shared" si="259"/>
        <v/>
      </c>
      <c r="AI2616">
        <f t="shared" si="260"/>
        <v>0</v>
      </c>
      <c r="AJ2616">
        <f t="shared" si="261"/>
        <v>0</v>
      </c>
      <c r="AK2616">
        <v>0</v>
      </c>
      <c r="AL2616" t="str">
        <f>IF(AA2616="","",IFERROR(IF(ISNUMBER('Procyclean 520'!F118),'Procyclean 520'!F118,IF(ISNUMBER(SEARCH("12",'Procyclean 520'!F118)),EDATE(AB2616,12),IF(ISNUMBER(SEARCH("6",'Procyclean 520'!F118)),EDATE(AB2616,6),IF(ISNUMBER(SEARCH("3",'Procyclean 520'!F118)),EDATE(AB2616,3),DATEVALUE('Procyclean 520'!F118))))),""))</f>
        <v/>
      </c>
      <c r="AM2616" t="str">
        <f t="shared" ca="1" si="262"/>
        <v/>
      </c>
    </row>
    <row r="2617" spans="27:39" x14ac:dyDescent="0.3">
      <c r="AA2617" t="str">
        <f>IF(COUNTA('Procyclean 520'!C119,'Procyclean 520'!D119,'Procyclean 520'!E119)&gt;0,"520","")</f>
        <v/>
      </c>
      <c r="AB2617" t="str">
        <f>IFERROR(IF(ISNUMBER('Procyclean 520'!C119),'Procyclean 520'!C119,DATEVALUE('Procyclean 520'!C119)),"")</f>
        <v/>
      </c>
      <c r="AC2617" t="str">
        <f>IF(AA2617="","",'Procyclean 520'!D119)</f>
        <v/>
      </c>
      <c r="AD2617" t="str">
        <f>IF(AA2617="","",IFERROR(1*'Procyclean 520'!E119,IFERROR(_xludf.NUMBERVALUE('Procyclean 520'!E119,".",","),IFERROR(_xludf.NUMBERVALUE('Procyclean 520'!E119,",","."),0))))</f>
        <v/>
      </c>
      <c r="AE2617" t="str">
        <f>IF(AA2617="","",'Procyclean 520'!B119)</f>
        <v/>
      </c>
      <c r="AF2617">
        <f t="shared" si="257"/>
        <v>0</v>
      </c>
      <c r="AG2617" t="str">
        <f t="shared" si="258"/>
        <v/>
      </c>
      <c r="AH2617" t="str">
        <f t="shared" si="259"/>
        <v/>
      </c>
      <c r="AI2617">
        <f t="shared" si="260"/>
        <v>0</v>
      </c>
      <c r="AJ2617">
        <f t="shared" si="261"/>
        <v>0</v>
      </c>
      <c r="AK2617">
        <v>0</v>
      </c>
      <c r="AL2617" t="str">
        <f>IF(AA2617="","",IFERROR(IF(ISNUMBER('Procyclean 520'!F119),'Procyclean 520'!F119,IF(ISNUMBER(SEARCH("12",'Procyclean 520'!F119)),EDATE(AB2617,12),IF(ISNUMBER(SEARCH("6",'Procyclean 520'!F119)),EDATE(AB2617,6),IF(ISNUMBER(SEARCH("3",'Procyclean 520'!F119)),EDATE(AB2617,3),DATEVALUE('Procyclean 520'!F119))))),""))</f>
        <v/>
      </c>
      <c r="AM2617" t="str">
        <f t="shared" ca="1" si="262"/>
        <v/>
      </c>
    </row>
    <row r="2618" spans="27:39" x14ac:dyDescent="0.3">
      <c r="AA2618" t="str">
        <f>IF(COUNTA('Procyclean 520'!C120,'Procyclean 520'!D120,'Procyclean 520'!E120)&gt;0,"520","")</f>
        <v/>
      </c>
      <c r="AB2618" t="str">
        <f>IFERROR(IF(ISNUMBER('Procyclean 520'!C120),'Procyclean 520'!C120,DATEVALUE('Procyclean 520'!C120)),"")</f>
        <v/>
      </c>
      <c r="AC2618" t="str">
        <f>IF(AA2618="","",'Procyclean 520'!D120)</f>
        <v/>
      </c>
      <c r="AD2618" t="str">
        <f>IF(AA2618="","",IFERROR(1*'Procyclean 520'!E120,IFERROR(_xludf.NUMBERVALUE('Procyclean 520'!E120,".",","),IFERROR(_xludf.NUMBERVALUE('Procyclean 520'!E120,",","."),0))))</f>
        <v/>
      </c>
      <c r="AE2618" t="str">
        <f>IF(AA2618="","",'Procyclean 520'!B120)</f>
        <v/>
      </c>
      <c r="AF2618">
        <f t="shared" si="257"/>
        <v>0</v>
      </c>
      <c r="AG2618" t="str">
        <f t="shared" si="258"/>
        <v/>
      </c>
      <c r="AH2618" t="str">
        <f t="shared" si="259"/>
        <v/>
      </c>
      <c r="AI2618">
        <f t="shared" si="260"/>
        <v>0</v>
      </c>
      <c r="AJ2618">
        <f t="shared" si="261"/>
        <v>0</v>
      </c>
      <c r="AK2618">
        <v>0</v>
      </c>
      <c r="AL2618" t="str">
        <f>IF(AA2618="","",IFERROR(IF(ISNUMBER('Procyclean 520'!F120),'Procyclean 520'!F120,IF(ISNUMBER(SEARCH("12",'Procyclean 520'!F120)),EDATE(AB2618,12),IF(ISNUMBER(SEARCH("6",'Procyclean 520'!F120)),EDATE(AB2618,6),IF(ISNUMBER(SEARCH("3",'Procyclean 520'!F120)),EDATE(AB2618,3),DATEVALUE('Procyclean 520'!F120))))),""))</f>
        <v/>
      </c>
      <c r="AM2618" t="str">
        <f t="shared" ca="1" si="262"/>
        <v/>
      </c>
    </row>
    <row r="2619" spans="27:39" x14ac:dyDescent="0.3">
      <c r="AA2619" t="str">
        <f>IF(COUNTA('Procyclean 520'!C121,'Procyclean 520'!D121,'Procyclean 520'!E121)&gt;0,"520","")</f>
        <v/>
      </c>
      <c r="AB2619" t="str">
        <f>IFERROR(IF(ISNUMBER('Procyclean 520'!C121),'Procyclean 520'!C121,DATEVALUE('Procyclean 520'!C121)),"")</f>
        <v/>
      </c>
      <c r="AC2619" t="str">
        <f>IF(AA2619="","",'Procyclean 520'!D121)</f>
        <v/>
      </c>
      <c r="AD2619" t="str">
        <f>IF(AA2619="","",IFERROR(1*'Procyclean 520'!E121,IFERROR(_xludf.NUMBERVALUE('Procyclean 520'!E121,".",","),IFERROR(_xludf.NUMBERVALUE('Procyclean 520'!E121,",","."),0))))</f>
        <v/>
      </c>
      <c r="AE2619" t="str">
        <f>IF(AA2619="","",'Procyclean 520'!B121)</f>
        <v/>
      </c>
      <c r="AF2619">
        <f t="shared" si="257"/>
        <v>0</v>
      </c>
      <c r="AG2619" t="str">
        <f t="shared" si="258"/>
        <v/>
      </c>
      <c r="AH2619" t="str">
        <f t="shared" si="259"/>
        <v/>
      </c>
      <c r="AI2619">
        <f t="shared" si="260"/>
        <v>0</v>
      </c>
      <c r="AJ2619">
        <f t="shared" si="261"/>
        <v>0</v>
      </c>
      <c r="AK2619">
        <v>0</v>
      </c>
      <c r="AL2619" t="str">
        <f>IF(AA2619="","",IFERROR(IF(ISNUMBER('Procyclean 520'!F121),'Procyclean 520'!F121,IF(ISNUMBER(SEARCH("12",'Procyclean 520'!F121)),EDATE(AB2619,12),IF(ISNUMBER(SEARCH("6",'Procyclean 520'!F121)),EDATE(AB2619,6),IF(ISNUMBER(SEARCH("3",'Procyclean 520'!F121)),EDATE(AB2619,3),DATEVALUE('Procyclean 520'!F121))))),""))</f>
        <v/>
      </c>
      <c r="AM2619" t="str">
        <f t="shared" ca="1" si="262"/>
        <v/>
      </c>
    </row>
    <row r="2620" spans="27:39" x14ac:dyDescent="0.3">
      <c r="AA2620" t="str">
        <f>IF(COUNTA('Procyclean 520'!C122,'Procyclean 520'!D122,'Procyclean 520'!E122)&gt;0,"520","")</f>
        <v/>
      </c>
      <c r="AB2620" t="str">
        <f>IFERROR(IF(ISNUMBER('Procyclean 520'!C122),'Procyclean 520'!C122,DATEVALUE('Procyclean 520'!C122)),"")</f>
        <v/>
      </c>
      <c r="AC2620" t="str">
        <f>IF(AA2620="","",'Procyclean 520'!D122)</f>
        <v/>
      </c>
      <c r="AD2620" t="str">
        <f>IF(AA2620="","",IFERROR(1*'Procyclean 520'!E122,IFERROR(_xludf.NUMBERVALUE('Procyclean 520'!E122,".",","),IFERROR(_xludf.NUMBERVALUE('Procyclean 520'!E122,",","."),0))))</f>
        <v/>
      </c>
      <c r="AE2620" t="str">
        <f>IF(AA2620="","",'Procyclean 520'!B122)</f>
        <v/>
      </c>
      <c r="AF2620">
        <f t="shared" si="257"/>
        <v>0</v>
      </c>
      <c r="AG2620" t="str">
        <f t="shared" si="258"/>
        <v/>
      </c>
      <c r="AH2620" t="str">
        <f t="shared" si="259"/>
        <v/>
      </c>
      <c r="AI2620">
        <f t="shared" si="260"/>
        <v>0</v>
      </c>
      <c r="AJ2620">
        <f t="shared" si="261"/>
        <v>0</v>
      </c>
      <c r="AK2620">
        <v>0</v>
      </c>
      <c r="AL2620" t="str">
        <f>IF(AA2620="","",IFERROR(IF(ISNUMBER('Procyclean 520'!F122),'Procyclean 520'!F122,IF(ISNUMBER(SEARCH("12",'Procyclean 520'!F122)),EDATE(AB2620,12),IF(ISNUMBER(SEARCH("6",'Procyclean 520'!F122)),EDATE(AB2620,6),IF(ISNUMBER(SEARCH("3",'Procyclean 520'!F122)),EDATE(AB2620,3),DATEVALUE('Procyclean 520'!F122))))),""))</f>
        <v/>
      </c>
      <c r="AM2620" t="str">
        <f t="shared" ca="1" si="262"/>
        <v/>
      </c>
    </row>
    <row r="2621" spans="27:39" x14ac:dyDescent="0.3">
      <c r="AA2621" t="str">
        <f>IF(COUNTA('Procyclean 520'!C123,'Procyclean 520'!D123,'Procyclean 520'!E123)&gt;0,"520","")</f>
        <v/>
      </c>
      <c r="AB2621" t="str">
        <f>IFERROR(IF(ISNUMBER('Procyclean 520'!C123),'Procyclean 520'!C123,DATEVALUE('Procyclean 520'!C123)),"")</f>
        <v/>
      </c>
      <c r="AC2621" t="str">
        <f>IF(AA2621="","",'Procyclean 520'!D123)</f>
        <v/>
      </c>
      <c r="AD2621" t="str">
        <f>IF(AA2621="","",IFERROR(1*'Procyclean 520'!E123,IFERROR(_xludf.NUMBERVALUE('Procyclean 520'!E123,".",","),IFERROR(_xludf.NUMBERVALUE('Procyclean 520'!E123,",","."),0))))</f>
        <v/>
      </c>
      <c r="AE2621" t="str">
        <f>IF(AA2621="","",'Procyclean 520'!B123)</f>
        <v/>
      </c>
      <c r="AF2621">
        <f t="shared" si="257"/>
        <v>0</v>
      </c>
      <c r="AG2621" t="str">
        <f t="shared" si="258"/>
        <v/>
      </c>
      <c r="AH2621" t="str">
        <f t="shared" si="259"/>
        <v/>
      </c>
      <c r="AI2621">
        <f t="shared" si="260"/>
        <v>0</v>
      </c>
      <c r="AJ2621">
        <f t="shared" si="261"/>
        <v>0</v>
      </c>
      <c r="AK2621">
        <v>0</v>
      </c>
      <c r="AL2621" t="str">
        <f>IF(AA2621="","",IFERROR(IF(ISNUMBER('Procyclean 520'!F123),'Procyclean 520'!F123,IF(ISNUMBER(SEARCH("12",'Procyclean 520'!F123)),EDATE(AB2621,12),IF(ISNUMBER(SEARCH("6",'Procyclean 520'!F123)),EDATE(AB2621,6),IF(ISNUMBER(SEARCH("3",'Procyclean 520'!F123)),EDATE(AB2621,3),DATEVALUE('Procyclean 520'!F123))))),""))</f>
        <v/>
      </c>
      <c r="AM2621" t="str">
        <f t="shared" ca="1" si="262"/>
        <v/>
      </c>
    </row>
    <row r="2622" spans="27:39" x14ac:dyDescent="0.3">
      <c r="AA2622" t="str">
        <f>IF(COUNTA('Procyclean 520'!C124,'Procyclean 520'!D124,'Procyclean 520'!E124)&gt;0,"520","")</f>
        <v/>
      </c>
      <c r="AB2622" t="str">
        <f>IFERROR(IF(ISNUMBER('Procyclean 520'!C124),'Procyclean 520'!C124,DATEVALUE('Procyclean 520'!C124)),"")</f>
        <v/>
      </c>
      <c r="AC2622" t="str">
        <f>IF(AA2622="","",'Procyclean 520'!D124)</f>
        <v/>
      </c>
      <c r="AD2622" t="str">
        <f>IF(AA2622="","",IFERROR(1*'Procyclean 520'!E124,IFERROR(_xludf.NUMBERVALUE('Procyclean 520'!E124,".",","),IFERROR(_xludf.NUMBERVALUE('Procyclean 520'!E124,",","."),0))))</f>
        <v/>
      </c>
      <c r="AE2622" t="str">
        <f>IF(AA2622="","",'Procyclean 520'!B124)</f>
        <v/>
      </c>
      <c r="AF2622">
        <f t="shared" si="257"/>
        <v>0</v>
      </c>
      <c r="AG2622" t="str">
        <f t="shared" si="258"/>
        <v/>
      </c>
      <c r="AH2622" t="str">
        <f t="shared" si="259"/>
        <v/>
      </c>
      <c r="AI2622">
        <f t="shared" si="260"/>
        <v>0</v>
      </c>
      <c r="AJ2622">
        <f t="shared" si="261"/>
        <v>0</v>
      </c>
      <c r="AK2622">
        <v>0</v>
      </c>
      <c r="AL2622" t="str">
        <f>IF(AA2622="","",IFERROR(IF(ISNUMBER('Procyclean 520'!F124),'Procyclean 520'!F124,IF(ISNUMBER(SEARCH("12",'Procyclean 520'!F124)),EDATE(AB2622,12),IF(ISNUMBER(SEARCH("6",'Procyclean 520'!F124)),EDATE(AB2622,6),IF(ISNUMBER(SEARCH("3",'Procyclean 520'!F124)),EDATE(AB2622,3),DATEVALUE('Procyclean 520'!F124))))),""))</f>
        <v/>
      </c>
      <c r="AM2622" t="str">
        <f t="shared" ca="1" si="262"/>
        <v/>
      </c>
    </row>
    <row r="2623" spans="27:39" x14ac:dyDescent="0.3">
      <c r="AA2623" t="str">
        <f>IF(COUNTA('Procyclean 520'!C125,'Procyclean 520'!D125,'Procyclean 520'!E125)&gt;0,"520","")</f>
        <v/>
      </c>
      <c r="AB2623" t="str">
        <f>IFERROR(IF(ISNUMBER('Procyclean 520'!C125),'Procyclean 520'!C125,DATEVALUE('Procyclean 520'!C125)),"")</f>
        <v/>
      </c>
      <c r="AC2623" t="str">
        <f>IF(AA2623="","",'Procyclean 520'!D125)</f>
        <v/>
      </c>
      <c r="AD2623" t="str">
        <f>IF(AA2623="","",IFERROR(1*'Procyclean 520'!E125,IFERROR(_xludf.NUMBERVALUE('Procyclean 520'!E125,".",","),IFERROR(_xludf.NUMBERVALUE('Procyclean 520'!E125,",","."),0))))</f>
        <v/>
      </c>
      <c r="AE2623" t="str">
        <f>IF(AA2623="","",'Procyclean 520'!B125)</f>
        <v/>
      </c>
      <c r="AF2623">
        <f t="shared" si="257"/>
        <v>0</v>
      </c>
      <c r="AG2623" t="str">
        <f t="shared" si="258"/>
        <v/>
      </c>
      <c r="AH2623" t="str">
        <f t="shared" si="259"/>
        <v/>
      </c>
      <c r="AI2623">
        <f t="shared" si="260"/>
        <v>0</v>
      </c>
      <c r="AJ2623">
        <f t="shared" si="261"/>
        <v>0</v>
      </c>
      <c r="AK2623">
        <v>0</v>
      </c>
      <c r="AL2623" t="str">
        <f>IF(AA2623="","",IFERROR(IF(ISNUMBER('Procyclean 520'!F125),'Procyclean 520'!F125,IF(ISNUMBER(SEARCH("12",'Procyclean 520'!F125)),EDATE(AB2623,12),IF(ISNUMBER(SEARCH("6",'Procyclean 520'!F125)),EDATE(AB2623,6),IF(ISNUMBER(SEARCH("3",'Procyclean 520'!F125)),EDATE(AB2623,3),DATEVALUE('Procyclean 520'!F125))))),""))</f>
        <v/>
      </c>
      <c r="AM2623" t="str">
        <f t="shared" ca="1" si="262"/>
        <v/>
      </c>
    </row>
    <row r="2624" spans="27:39" x14ac:dyDescent="0.3">
      <c r="AA2624" t="str">
        <f>IF(COUNTA('Procyclean 520'!C126,'Procyclean 520'!D126,'Procyclean 520'!E126)&gt;0,"520","")</f>
        <v/>
      </c>
      <c r="AB2624" t="str">
        <f>IFERROR(IF(ISNUMBER('Procyclean 520'!C126),'Procyclean 520'!C126,DATEVALUE('Procyclean 520'!C126)),"")</f>
        <v/>
      </c>
      <c r="AC2624" t="str">
        <f>IF(AA2624="","",'Procyclean 520'!D126)</f>
        <v/>
      </c>
      <c r="AD2624" t="str">
        <f>IF(AA2624="","",IFERROR(1*'Procyclean 520'!E126,IFERROR(_xludf.NUMBERVALUE('Procyclean 520'!E126,".",","),IFERROR(_xludf.NUMBERVALUE('Procyclean 520'!E126,",","."),0))))</f>
        <v/>
      </c>
      <c r="AE2624" t="str">
        <f>IF(AA2624="","",'Procyclean 520'!B126)</f>
        <v/>
      </c>
      <c r="AF2624">
        <f t="shared" si="257"/>
        <v>0</v>
      </c>
      <c r="AG2624" t="str">
        <f t="shared" si="258"/>
        <v/>
      </c>
      <c r="AH2624" t="str">
        <f t="shared" si="259"/>
        <v/>
      </c>
      <c r="AI2624">
        <f t="shared" si="260"/>
        <v>0</v>
      </c>
      <c r="AJ2624">
        <f t="shared" si="261"/>
        <v>0</v>
      </c>
      <c r="AK2624">
        <v>0</v>
      </c>
      <c r="AL2624" t="str">
        <f>IF(AA2624="","",IFERROR(IF(ISNUMBER('Procyclean 520'!F126),'Procyclean 520'!F126,IF(ISNUMBER(SEARCH("12",'Procyclean 520'!F126)),EDATE(AB2624,12),IF(ISNUMBER(SEARCH("6",'Procyclean 520'!F126)),EDATE(AB2624,6),IF(ISNUMBER(SEARCH("3",'Procyclean 520'!F126)),EDATE(AB2624,3),DATEVALUE('Procyclean 520'!F126))))),""))</f>
        <v/>
      </c>
      <c r="AM2624" t="str">
        <f t="shared" ca="1" si="262"/>
        <v/>
      </c>
    </row>
    <row r="2625" spans="27:39" x14ac:dyDescent="0.3">
      <c r="AA2625" t="str">
        <f>IF(COUNTA('Procyclean 520'!C127,'Procyclean 520'!D127,'Procyclean 520'!E127)&gt;0,"520","")</f>
        <v/>
      </c>
      <c r="AB2625" t="str">
        <f>IFERROR(IF(ISNUMBER('Procyclean 520'!C127),'Procyclean 520'!C127,DATEVALUE('Procyclean 520'!C127)),"")</f>
        <v/>
      </c>
      <c r="AC2625" t="str">
        <f>IF(AA2625="","",'Procyclean 520'!D127)</f>
        <v/>
      </c>
      <c r="AD2625" t="str">
        <f>IF(AA2625="","",IFERROR(1*'Procyclean 520'!E127,IFERROR(_xludf.NUMBERVALUE('Procyclean 520'!E127,".",","),IFERROR(_xludf.NUMBERVALUE('Procyclean 520'!E127,",","."),0))))</f>
        <v/>
      </c>
      <c r="AE2625" t="str">
        <f>IF(AA2625="","",'Procyclean 520'!B127)</f>
        <v/>
      </c>
      <c r="AF2625">
        <f t="shared" si="257"/>
        <v>0</v>
      </c>
      <c r="AG2625" t="str">
        <f t="shared" si="258"/>
        <v/>
      </c>
      <c r="AH2625" t="str">
        <f t="shared" si="259"/>
        <v/>
      </c>
      <c r="AI2625">
        <f t="shared" si="260"/>
        <v>0</v>
      </c>
      <c r="AJ2625">
        <f t="shared" si="261"/>
        <v>0</v>
      </c>
      <c r="AK2625">
        <v>0</v>
      </c>
      <c r="AL2625" t="str">
        <f>IF(AA2625="","",IFERROR(IF(ISNUMBER('Procyclean 520'!F127),'Procyclean 520'!F127,IF(ISNUMBER(SEARCH("12",'Procyclean 520'!F127)),EDATE(AB2625,12),IF(ISNUMBER(SEARCH("6",'Procyclean 520'!F127)),EDATE(AB2625,6),IF(ISNUMBER(SEARCH("3",'Procyclean 520'!F127)),EDATE(AB2625,3),DATEVALUE('Procyclean 520'!F127))))),""))</f>
        <v/>
      </c>
      <c r="AM2625" t="str">
        <f t="shared" ca="1" si="262"/>
        <v/>
      </c>
    </row>
    <row r="2626" spans="27:39" x14ac:dyDescent="0.3">
      <c r="AA2626" t="str">
        <f>IF(COUNTA('Procyclean 520'!C128,'Procyclean 520'!D128,'Procyclean 520'!E128)&gt;0,"520","")</f>
        <v/>
      </c>
      <c r="AB2626" t="str">
        <f>IFERROR(IF(ISNUMBER('Procyclean 520'!C128),'Procyclean 520'!C128,DATEVALUE('Procyclean 520'!C128)),"")</f>
        <v/>
      </c>
      <c r="AC2626" t="str">
        <f>IF(AA2626="","",'Procyclean 520'!D128)</f>
        <v/>
      </c>
      <c r="AD2626" t="str">
        <f>IF(AA2626="","",IFERROR(1*'Procyclean 520'!E128,IFERROR(_xludf.NUMBERVALUE('Procyclean 520'!E128,".",","),IFERROR(_xludf.NUMBERVALUE('Procyclean 520'!E128,",","."),0))))</f>
        <v/>
      </c>
      <c r="AE2626" t="str">
        <f>IF(AA2626="","",'Procyclean 520'!B128)</f>
        <v/>
      </c>
      <c r="AF2626">
        <f t="shared" ref="AF2626:AF2689" si="263">IF(AA2626="",0,--AND(ISNUMBER(SEARCH("aprov",AE2626)),NOT(ISNUMBER(SEARCH("reprov",AE2626)))))</f>
        <v>0</v>
      </c>
      <c r="AG2626" t="str">
        <f t="shared" ref="AG2626:AG2689" si="264">IF(AB2626="","",YEAR(AB2626))</f>
        <v/>
      </c>
      <c r="AH2626" t="str">
        <f t="shared" ref="AH2626:AH2689" si="265">IF(AB2626="","",MONTH(AB2626))</f>
        <v/>
      </c>
      <c r="AI2626">
        <f t="shared" ref="AI2626:AI2689" si="266">IF(AB2626="",0,AB2626+ROW()/1000000)</f>
        <v>0</v>
      </c>
      <c r="AJ2626">
        <f t="shared" ref="AJ2626:AJ2689" si="267">--(AA2626&lt;&gt;"")</f>
        <v>0</v>
      </c>
      <c r="AK2626">
        <v>0</v>
      </c>
      <c r="AL2626" t="str">
        <f>IF(AA2626="","",IFERROR(IF(ISNUMBER('Procyclean 520'!F128),'Procyclean 520'!F128,IF(ISNUMBER(SEARCH("12",'Procyclean 520'!F128)),EDATE(AB2626,12),IF(ISNUMBER(SEARCH("6",'Procyclean 520'!F128)),EDATE(AB2626,6),IF(ISNUMBER(SEARCH("3",'Procyclean 520'!F128)),EDATE(AB2626,3),DATEVALUE('Procyclean 520'!F128))))),""))</f>
        <v/>
      </c>
      <c r="AM2626" t="str">
        <f t="shared" ref="AM2626:AM2689" ca="1" si="268">IF(AND(AJ2626=1,AL2626&lt;&gt;"",AL2626&gt;=TODAY(),AG2626=$W$3),AL2626+ROW()/1000000,"")</f>
        <v/>
      </c>
    </row>
    <row r="2627" spans="27:39" x14ac:dyDescent="0.3">
      <c r="AA2627" t="str">
        <f>IF(COUNTA('Procyclean 520'!C129,'Procyclean 520'!D129,'Procyclean 520'!E129)&gt;0,"520","")</f>
        <v/>
      </c>
      <c r="AB2627" t="str">
        <f>IFERROR(IF(ISNUMBER('Procyclean 520'!C129),'Procyclean 520'!C129,DATEVALUE('Procyclean 520'!C129)),"")</f>
        <v/>
      </c>
      <c r="AC2627" t="str">
        <f>IF(AA2627="","",'Procyclean 520'!D129)</f>
        <v/>
      </c>
      <c r="AD2627" t="str">
        <f>IF(AA2627="","",IFERROR(1*'Procyclean 520'!E129,IFERROR(_xludf.NUMBERVALUE('Procyclean 520'!E129,".",","),IFERROR(_xludf.NUMBERVALUE('Procyclean 520'!E129,",","."),0))))</f>
        <v/>
      </c>
      <c r="AE2627" t="str">
        <f>IF(AA2627="","",'Procyclean 520'!B129)</f>
        <v/>
      </c>
      <c r="AF2627">
        <f t="shared" si="263"/>
        <v>0</v>
      </c>
      <c r="AG2627" t="str">
        <f t="shared" si="264"/>
        <v/>
      </c>
      <c r="AH2627" t="str">
        <f t="shared" si="265"/>
        <v/>
      </c>
      <c r="AI2627">
        <f t="shared" si="266"/>
        <v>0</v>
      </c>
      <c r="AJ2627">
        <f t="shared" si="267"/>
        <v>0</v>
      </c>
      <c r="AK2627">
        <v>0</v>
      </c>
      <c r="AL2627" t="str">
        <f>IF(AA2627="","",IFERROR(IF(ISNUMBER('Procyclean 520'!F129),'Procyclean 520'!F129,IF(ISNUMBER(SEARCH("12",'Procyclean 520'!F129)),EDATE(AB2627,12),IF(ISNUMBER(SEARCH("6",'Procyclean 520'!F129)),EDATE(AB2627,6),IF(ISNUMBER(SEARCH("3",'Procyclean 520'!F129)),EDATE(AB2627,3),DATEVALUE('Procyclean 520'!F129))))),""))</f>
        <v/>
      </c>
      <c r="AM2627" t="str">
        <f t="shared" ca="1" si="268"/>
        <v/>
      </c>
    </row>
    <row r="2628" spans="27:39" x14ac:dyDescent="0.3">
      <c r="AA2628" t="str">
        <f>IF(COUNTA('Procyclean 520'!C130,'Procyclean 520'!D130,'Procyclean 520'!E130)&gt;0,"520","")</f>
        <v/>
      </c>
      <c r="AB2628" t="str">
        <f>IFERROR(IF(ISNUMBER('Procyclean 520'!C130),'Procyclean 520'!C130,DATEVALUE('Procyclean 520'!C130)),"")</f>
        <v/>
      </c>
      <c r="AC2628" t="str">
        <f>IF(AA2628="","",'Procyclean 520'!D130)</f>
        <v/>
      </c>
      <c r="AD2628" t="str">
        <f>IF(AA2628="","",IFERROR(1*'Procyclean 520'!E130,IFERROR(_xludf.NUMBERVALUE('Procyclean 520'!E130,".",","),IFERROR(_xludf.NUMBERVALUE('Procyclean 520'!E130,",","."),0))))</f>
        <v/>
      </c>
      <c r="AE2628" t="str">
        <f>IF(AA2628="","",'Procyclean 520'!B130)</f>
        <v/>
      </c>
      <c r="AF2628">
        <f t="shared" si="263"/>
        <v>0</v>
      </c>
      <c r="AG2628" t="str">
        <f t="shared" si="264"/>
        <v/>
      </c>
      <c r="AH2628" t="str">
        <f t="shared" si="265"/>
        <v/>
      </c>
      <c r="AI2628">
        <f t="shared" si="266"/>
        <v>0</v>
      </c>
      <c r="AJ2628">
        <f t="shared" si="267"/>
        <v>0</v>
      </c>
      <c r="AK2628">
        <v>0</v>
      </c>
      <c r="AL2628" t="str">
        <f>IF(AA2628="","",IFERROR(IF(ISNUMBER('Procyclean 520'!F130),'Procyclean 520'!F130,IF(ISNUMBER(SEARCH("12",'Procyclean 520'!F130)),EDATE(AB2628,12),IF(ISNUMBER(SEARCH("6",'Procyclean 520'!F130)),EDATE(AB2628,6),IF(ISNUMBER(SEARCH("3",'Procyclean 520'!F130)),EDATE(AB2628,3),DATEVALUE('Procyclean 520'!F130))))),""))</f>
        <v/>
      </c>
      <c r="AM2628" t="str">
        <f t="shared" ca="1" si="268"/>
        <v/>
      </c>
    </row>
    <row r="2629" spans="27:39" x14ac:dyDescent="0.3">
      <c r="AA2629" t="str">
        <f>IF(COUNTA('Procyclean 520'!C131,'Procyclean 520'!D131,'Procyclean 520'!E131)&gt;0,"520","")</f>
        <v/>
      </c>
      <c r="AB2629" t="str">
        <f>IFERROR(IF(ISNUMBER('Procyclean 520'!C131),'Procyclean 520'!C131,DATEVALUE('Procyclean 520'!C131)),"")</f>
        <v/>
      </c>
      <c r="AC2629" t="str">
        <f>IF(AA2629="","",'Procyclean 520'!D131)</f>
        <v/>
      </c>
      <c r="AD2629" t="str">
        <f>IF(AA2629="","",IFERROR(1*'Procyclean 520'!E131,IFERROR(_xludf.NUMBERVALUE('Procyclean 520'!E131,".",","),IFERROR(_xludf.NUMBERVALUE('Procyclean 520'!E131,",","."),0))))</f>
        <v/>
      </c>
      <c r="AE2629" t="str">
        <f>IF(AA2629="","",'Procyclean 520'!B131)</f>
        <v/>
      </c>
      <c r="AF2629">
        <f t="shared" si="263"/>
        <v>0</v>
      </c>
      <c r="AG2629" t="str">
        <f t="shared" si="264"/>
        <v/>
      </c>
      <c r="AH2629" t="str">
        <f t="shared" si="265"/>
        <v/>
      </c>
      <c r="AI2629">
        <f t="shared" si="266"/>
        <v>0</v>
      </c>
      <c r="AJ2629">
        <f t="shared" si="267"/>
        <v>0</v>
      </c>
      <c r="AK2629">
        <v>0</v>
      </c>
      <c r="AL2629" t="str">
        <f>IF(AA2629="","",IFERROR(IF(ISNUMBER('Procyclean 520'!F131),'Procyclean 520'!F131,IF(ISNUMBER(SEARCH("12",'Procyclean 520'!F131)),EDATE(AB2629,12),IF(ISNUMBER(SEARCH("6",'Procyclean 520'!F131)),EDATE(AB2629,6),IF(ISNUMBER(SEARCH("3",'Procyclean 520'!F131)),EDATE(AB2629,3),DATEVALUE('Procyclean 520'!F131))))),""))</f>
        <v/>
      </c>
      <c r="AM2629" t="str">
        <f t="shared" ca="1" si="268"/>
        <v/>
      </c>
    </row>
    <row r="2630" spans="27:39" x14ac:dyDescent="0.3">
      <c r="AA2630" t="str">
        <f>IF(COUNTA('Procyclean 520'!C132,'Procyclean 520'!D132,'Procyclean 520'!E132)&gt;0,"520","")</f>
        <v/>
      </c>
      <c r="AB2630" t="str">
        <f>IFERROR(IF(ISNUMBER('Procyclean 520'!C132),'Procyclean 520'!C132,DATEVALUE('Procyclean 520'!C132)),"")</f>
        <v/>
      </c>
      <c r="AC2630" t="str">
        <f>IF(AA2630="","",'Procyclean 520'!D132)</f>
        <v/>
      </c>
      <c r="AD2630" t="str">
        <f>IF(AA2630="","",IFERROR(1*'Procyclean 520'!E132,IFERROR(_xludf.NUMBERVALUE('Procyclean 520'!E132,".",","),IFERROR(_xludf.NUMBERVALUE('Procyclean 520'!E132,",","."),0))))</f>
        <v/>
      </c>
      <c r="AE2630" t="str">
        <f>IF(AA2630="","",'Procyclean 520'!B132)</f>
        <v/>
      </c>
      <c r="AF2630">
        <f t="shared" si="263"/>
        <v>0</v>
      </c>
      <c r="AG2630" t="str">
        <f t="shared" si="264"/>
        <v/>
      </c>
      <c r="AH2630" t="str">
        <f t="shared" si="265"/>
        <v/>
      </c>
      <c r="AI2630">
        <f t="shared" si="266"/>
        <v>0</v>
      </c>
      <c r="AJ2630">
        <f t="shared" si="267"/>
        <v>0</v>
      </c>
      <c r="AK2630">
        <v>0</v>
      </c>
      <c r="AL2630" t="str">
        <f>IF(AA2630="","",IFERROR(IF(ISNUMBER('Procyclean 520'!F132),'Procyclean 520'!F132,IF(ISNUMBER(SEARCH("12",'Procyclean 520'!F132)),EDATE(AB2630,12),IF(ISNUMBER(SEARCH("6",'Procyclean 520'!F132)),EDATE(AB2630,6),IF(ISNUMBER(SEARCH("3",'Procyclean 520'!F132)),EDATE(AB2630,3),DATEVALUE('Procyclean 520'!F132))))),""))</f>
        <v/>
      </c>
      <c r="AM2630" t="str">
        <f t="shared" ca="1" si="268"/>
        <v/>
      </c>
    </row>
    <row r="2631" spans="27:39" x14ac:dyDescent="0.3">
      <c r="AA2631" t="str">
        <f>IF(COUNTA('Procyclean 520'!C133,'Procyclean 520'!D133,'Procyclean 520'!E133)&gt;0,"520","")</f>
        <v/>
      </c>
      <c r="AB2631" t="str">
        <f>IFERROR(IF(ISNUMBER('Procyclean 520'!C133),'Procyclean 520'!C133,DATEVALUE('Procyclean 520'!C133)),"")</f>
        <v/>
      </c>
      <c r="AC2631" t="str">
        <f>IF(AA2631="","",'Procyclean 520'!D133)</f>
        <v/>
      </c>
      <c r="AD2631" t="str">
        <f>IF(AA2631="","",IFERROR(1*'Procyclean 520'!E133,IFERROR(_xludf.NUMBERVALUE('Procyclean 520'!E133,".",","),IFERROR(_xludf.NUMBERVALUE('Procyclean 520'!E133,",","."),0))))</f>
        <v/>
      </c>
      <c r="AE2631" t="str">
        <f>IF(AA2631="","",'Procyclean 520'!B133)</f>
        <v/>
      </c>
      <c r="AF2631">
        <f t="shared" si="263"/>
        <v>0</v>
      </c>
      <c r="AG2631" t="str">
        <f t="shared" si="264"/>
        <v/>
      </c>
      <c r="AH2631" t="str">
        <f t="shared" si="265"/>
        <v/>
      </c>
      <c r="AI2631">
        <f t="shared" si="266"/>
        <v>0</v>
      </c>
      <c r="AJ2631">
        <f t="shared" si="267"/>
        <v>0</v>
      </c>
      <c r="AK2631">
        <v>0</v>
      </c>
      <c r="AL2631" t="str">
        <f>IF(AA2631="","",IFERROR(IF(ISNUMBER('Procyclean 520'!F133),'Procyclean 520'!F133,IF(ISNUMBER(SEARCH("12",'Procyclean 520'!F133)),EDATE(AB2631,12),IF(ISNUMBER(SEARCH("6",'Procyclean 520'!F133)),EDATE(AB2631,6),IF(ISNUMBER(SEARCH("3",'Procyclean 520'!F133)),EDATE(AB2631,3),DATEVALUE('Procyclean 520'!F133))))),""))</f>
        <v/>
      </c>
      <c r="AM2631" t="str">
        <f t="shared" ca="1" si="268"/>
        <v/>
      </c>
    </row>
    <row r="2632" spans="27:39" x14ac:dyDescent="0.3">
      <c r="AA2632" t="str">
        <f>IF(COUNTA('Procyclean 520'!C134,'Procyclean 520'!D134,'Procyclean 520'!E134)&gt;0,"520","")</f>
        <v/>
      </c>
      <c r="AB2632" t="str">
        <f>IFERROR(IF(ISNUMBER('Procyclean 520'!C134),'Procyclean 520'!C134,DATEVALUE('Procyclean 520'!C134)),"")</f>
        <v/>
      </c>
      <c r="AC2632" t="str">
        <f>IF(AA2632="","",'Procyclean 520'!D134)</f>
        <v/>
      </c>
      <c r="AD2632" t="str">
        <f>IF(AA2632="","",IFERROR(1*'Procyclean 520'!E134,IFERROR(_xludf.NUMBERVALUE('Procyclean 520'!E134,".",","),IFERROR(_xludf.NUMBERVALUE('Procyclean 520'!E134,",","."),0))))</f>
        <v/>
      </c>
      <c r="AE2632" t="str">
        <f>IF(AA2632="","",'Procyclean 520'!B134)</f>
        <v/>
      </c>
      <c r="AF2632">
        <f t="shared" si="263"/>
        <v>0</v>
      </c>
      <c r="AG2632" t="str">
        <f t="shared" si="264"/>
        <v/>
      </c>
      <c r="AH2632" t="str">
        <f t="shared" si="265"/>
        <v/>
      </c>
      <c r="AI2632">
        <f t="shared" si="266"/>
        <v>0</v>
      </c>
      <c r="AJ2632">
        <f t="shared" si="267"/>
        <v>0</v>
      </c>
      <c r="AK2632">
        <v>0</v>
      </c>
      <c r="AL2632" t="str">
        <f>IF(AA2632="","",IFERROR(IF(ISNUMBER('Procyclean 520'!F134),'Procyclean 520'!F134,IF(ISNUMBER(SEARCH("12",'Procyclean 520'!F134)),EDATE(AB2632,12),IF(ISNUMBER(SEARCH("6",'Procyclean 520'!F134)),EDATE(AB2632,6),IF(ISNUMBER(SEARCH("3",'Procyclean 520'!F134)),EDATE(AB2632,3),DATEVALUE('Procyclean 520'!F134))))),""))</f>
        <v/>
      </c>
      <c r="AM2632" t="str">
        <f t="shared" ca="1" si="268"/>
        <v/>
      </c>
    </row>
    <row r="2633" spans="27:39" x14ac:dyDescent="0.3">
      <c r="AA2633" t="str">
        <f>IF(COUNTA('Procyclean 520'!C135,'Procyclean 520'!D135,'Procyclean 520'!E135)&gt;0,"520","")</f>
        <v/>
      </c>
      <c r="AB2633" t="str">
        <f>IFERROR(IF(ISNUMBER('Procyclean 520'!C135),'Procyclean 520'!C135,DATEVALUE('Procyclean 520'!C135)),"")</f>
        <v/>
      </c>
      <c r="AC2633" t="str">
        <f>IF(AA2633="","",'Procyclean 520'!D135)</f>
        <v/>
      </c>
      <c r="AD2633" t="str">
        <f>IF(AA2633="","",IFERROR(1*'Procyclean 520'!E135,IFERROR(_xludf.NUMBERVALUE('Procyclean 520'!E135,".",","),IFERROR(_xludf.NUMBERVALUE('Procyclean 520'!E135,",","."),0))))</f>
        <v/>
      </c>
      <c r="AE2633" t="str">
        <f>IF(AA2633="","",'Procyclean 520'!B135)</f>
        <v/>
      </c>
      <c r="AF2633">
        <f t="shared" si="263"/>
        <v>0</v>
      </c>
      <c r="AG2633" t="str">
        <f t="shared" si="264"/>
        <v/>
      </c>
      <c r="AH2633" t="str">
        <f t="shared" si="265"/>
        <v/>
      </c>
      <c r="AI2633">
        <f t="shared" si="266"/>
        <v>0</v>
      </c>
      <c r="AJ2633">
        <f t="shared" si="267"/>
        <v>0</v>
      </c>
      <c r="AK2633">
        <v>0</v>
      </c>
      <c r="AL2633" t="str">
        <f>IF(AA2633="","",IFERROR(IF(ISNUMBER('Procyclean 520'!F135),'Procyclean 520'!F135,IF(ISNUMBER(SEARCH("12",'Procyclean 520'!F135)),EDATE(AB2633,12),IF(ISNUMBER(SEARCH("6",'Procyclean 520'!F135)),EDATE(AB2633,6),IF(ISNUMBER(SEARCH("3",'Procyclean 520'!F135)),EDATE(AB2633,3),DATEVALUE('Procyclean 520'!F135))))),""))</f>
        <v/>
      </c>
      <c r="AM2633" t="str">
        <f t="shared" ca="1" si="268"/>
        <v/>
      </c>
    </row>
    <row r="2634" spans="27:39" x14ac:dyDescent="0.3">
      <c r="AA2634" t="str">
        <f>IF(COUNTA('Procyclean 520'!C136,'Procyclean 520'!D136,'Procyclean 520'!E136)&gt;0,"520","")</f>
        <v/>
      </c>
      <c r="AB2634" t="str">
        <f>IFERROR(IF(ISNUMBER('Procyclean 520'!C136),'Procyclean 520'!C136,DATEVALUE('Procyclean 520'!C136)),"")</f>
        <v/>
      </c>
      <c r="AC2634" t="str">
        <f>IF(AA2634="","",'Procyclean 520'!D136)</f>
        <v/>
      </c>
      <c r="AD2634" t="str">
        <f>IF(AA2634="","",IFERROR(1*'Procyclean 520'!E136,IFERROR(_xludf.NUMBERVALUE('Procyclean 520'!E136,".",","),IFERROR(_xludf.NUMBERVALUE('Procyclean 520'!E136,",","."),0))))</f>
        <v/>
      </c>
      <c r="AE2634" t="str">
        <f>IF(AA2634="","",'Procyclean 520'!B136)</f>
        <v/>
      </c>
      <c r="AF2634">
        <f t="shared" si="263"/>
        <v>0</v>
      </c>
      <c r="AG2634" t="str">
        <f t="shared" si="264"/>
        <v/>
      </c>
      <c r="AH2634" t="str">
        <f t="shared" si="265"/>
        <v/>
      </c>
      <c r="AI2634">
        <f t="shared" si="266"/>
        <v>0</v>
      </c>
      <c r="AJ2634">
        <f t="shared" si="267"/>
        <v>0</v>
      </c>
      <c r="AK2634">
        <v>0</v>
      </c>
      <c r="AL2634" t="str">
        <f>IF(AA2634="","",IFERROR(IF(ISNUMBER('Procyclean 520'!F136),'Procyclean 520'!F136,IF(ISNUMBER(SEARCH("12",'Procyclean 520'!F136)),EDATE(AB2634,12),IF(ISNUMBER(SEARCH("6",'Procyclean 520'!F136)),EDATE(AB2634,6),IF(ISNUMBER(SEARCH("3",'Procyclean 520'!F136)),EDATE(AB2634,3),DATEVALUE('Procyclean 520'!F136))))),""))</f>
        <v/>
      </c>
      <c r="AM2634" t="str">
        <f t="shared" ca="1" si="268"/>
        <v/>
      </c>
    </row>
    <row r="2635" spans="27:39" x14ac:dyDescent="0.3">
      <c r="AA2635" t="str">
        <f>IF(COUNTA('Procyclean 520'!C137,'Procyclean 520'!D137,'Procyclean 520'!E137)&gt;0,"520","")</f>
        <v/>
      </c>
      <c r="AB2635" t="str">
        <f>IFERROR(IF(ISNUMBER('Procyclean 520'!C137),'Procyclean 520'!C137,DATEVALUE('Procyclean 520'!C137)),"")</f>
        <v/>
      </c>
      <c r="AC2635" t="str">
        <f>IF(AA2635="","",'Procyclean 520'!D137)</f>
        <v/>
      </c>
      <c r="AD2635" t="str">
        <f>IF(AA2635="","",IFERROR(1*'Procyclean 520'!E137,IFERROR(_xludf.NUMBERVALUE('Procyclean 520'!E137,".",","),IFERROR(_xludf.NUMBERVALUE('Procyclean 520'!E137,",","."),0))))</f>
        <v/>
      </c>
      <c r="AE2635" t="str">
        <f>IF(AA2635="","",'Procyclean 520'!B137)</f>
        <v/>
      </c>
      <c r="AF2635">
        <f t="shared" si="263"/>
        <v>0</v>
      </c>
      <c r="AG2635" t="str">
        <f t="shared" si="264"/>
        <v/>
      </c>
      <c r="AH2635" t="str">
        <f t="shared" si="265"/>
        <v/>
      </c>
      <c r="AI2635">
        <f t="shared" si="266"/>
        <v>0</v>
      </c>
      <c r="AJ2635">
        <f t="shared" si="267"/>
        <v>0</v>
      </c>
      <c r="AK2635">
        <v>0</v>
      </c>
      <c r="AL2635" t="str">
        <f>IF(AA2635="","",IFERROR(IF(ISNUMBER('Procyclean 520'!F137),'Procyclean 520'!F137,IF(ISNUMBER(SEARCH("12",'Procyclean 520'!F137)),EDATE(AB2635,12),IF(ISNUMBER(SEARCH("6",'Procyclean 520'!F137)),EDATE(AB2635,6),IF(ISNUMBER(SEARCH("3",'Procyclean 520'!F137)),EDATE(AB2635,3),DATEVALUE('Procyclean 520'!F137))))),""))</f>
        <v/>
      </c>
      <c r="AM2635" t="str">
        <f t="shared" ca="1" si="268"/>
        <v/>
      </c>
    </row>
    <row r="2636" spans="27:39" x14ac:dyDescent="0.3">
      <c r="AA2636" t="str">
        <f>IF(COUNTA('Procyclean 520'!C138,'Procyclean 520'!D138,'Procyclean 520'!E138)&gt;0,"520","")</f>
        <v/>
      </c>
      <c r="AB2636" t="str">
        <f>IFERROR(IF(ISNUMBER('Procyclean 520'!C138),'Procyclean 520'!C138,DATEVALUE('Procyclean 520'!C138)),"")</f>
        <v/>
      </c>
      <c r="AC2636" t="str">
        <f>IF(AA2636="","",'Procyclean 520'!D138)</f>
        <v/>
      </c>
      <c r="AD2636" t="str">
        <f>IF(AA2636="","",IFERROR(1*'Procyclean 520'!E138,IFERROR(_xludf.NUMBERVALUE('Procyclean 520'!E138,".",","),IFERROR(_xludf.NUMBERVALUE('Procyclean 520'!E138,",","."),0))))</f>
        <v/>
      </c>
      <c r="AE2636" t="str">
        <f>IF(AA2636="","",'Procyclean 520'!B138)</f>
        <v/>
      </c>
      <c r="AF2636">
        <f t="shared" si="263"/>
        <v>0</v>
      </c>
      <c r="AG2636" t="str">
        <f t="shared" si="264"/>
        <v/>
      </c>
      <c r="AH2636" t="str">
        <f t="shared" si="265"/>
        <v/>
      </c>
      <c r="AI2636">
        <f t="shared" si="266"/>
        <v>0</v>
      </c>
      <c r="AJ2636">
        <f t="shared" si="267"/>
        <v>0</v>
      </c>
      <c r="AK2636">
        <v>0</v>
      </c>
      <c r="AL2636" t="str">
        <f>IF(AA2636="","",IFERROR(IF(ISNUMBER('Procyclean 520'!F138),'Procyclean 520'!F138,IF(ISNUMBER(SEARCH("12",'Procyclean 520'!F138)),EDATE(AB2636,12),IF(ISNUMBER(SEARCH("6",'Procyclean 520'!F138)),EDATE(AB2636,6),IF(ISNUMBER(SEARCH("3",'Procyclean 520'!F138)),EDATE(AB2636,3),DATEVALUE('Procyclean 520'!F138))))),""))</f>
        <v/>
      </c>
      <c r="AM2636" t="str">
        <f t="shared" ca="1" si="268"/>
        <v/>
      </c>
    </row>
    <row r="2637" spans="27:39" x14ac:dyDescent="0.3">
      <c r="AA2637" t="str">
        <f>IF(COUNTA('Procyclean 520'!C139,'Procyclean 520'!D139,'Procyclean 520'!E139)&gt;0,"520","")</f>
        <v/>
      </c>
      <c r="AB2637" t="str">
        <f>IFERROR(IF(ISNUMBER('Procyclean 520'!C139),'Procyclean 520'!C139,DATEVALUE('Procyclean 520'!C139)),"")</f>
        <v/>
      </c>
      <c r="AC2637" t="str">
        <f>IF(AA2637="","",'Procyclean 520'!D139)</f>
        <v/>
      </c>
      <c r="AD2637" t="str">
        <f>IF(AA2637="","",IFERROR(1*'Procyclean 520'!E139,IFERROR(_xludf.NUMBERVALUE('Procyclean 520'!E139,".",","),IFERROR(_xludf.NUMBERVALUE('Procyclean 520'!E139,",","."),0))))</f>
        <v/>
      </c>
      <c r="AE2637" t="str">
        <f>IF(AA2637="","",'Procyclean 520'!B139)</f>
        <v/>
      </c>
      <c r="AF2637">
        <f t="shared" si="263"/>
        <v>0</v>
      </c>
      <c r="AG2637" t="str">
        <f t="shared" si="264"/>
        <v/>
      </c>
      <c r="AH2637" t="str">
        <f t="shared" si="265"/>
        <v/>
      </c>
      <c r="AI2637">
        <f t="shared" si="266"/>
        <v>0</v>
      </c>
      <c r="AJ2637">
        <f t="shared" si="267"/>
        <v>0</v>
      </c>
      <c r="AK2637">
        <v>0</v>
      </c>
      <c r="AL2637" t="str">
        <f>IF(AA2637="","",IFERROR(IF(ISNUMBER('Procyclean 520'!F139),'Procyclean 520'!F139,IF(ISNUMBER(SEARCH("12",'Procyclean 520'!F139)),EDATE(AB2637,12),IF(ISNUMBER(SEARCH("6",'Procyclean 520'!F139)),EDATE(AB2637,6),IF(ISNUMBER(SEARCH("3",'Procyclean 520'!F139)),EDATE(AB2637,3),DATEVALUE('Procyclean 520'!F139))))),""))</f>
        <v/>
      </c>
      <c r="AM2637" t="str">
        <f t="shared" ca="1" si="268"/>
        <v/>
      </c>
    </row>
    <row r="2638" spans="27:39" x14ac:dyDescent="0.3">
      <c r="AA2638" t="str">
        <f>IF(COUNTA('Procyclean 520'!C140,'Procyclean 520'!D140,'Procyclean 520'!E140)&gt;0,"520","")</f>
        <v/>
      </c>
      <c r="AB2638" t="str">
        <f>IFERROR(IF(ISNUMBER('Procyclean 520'!C140),'Procyclean 520'!C140,DATEVALUE('Procyclean 520'!C140)),"")</f>
        <v/>
      </c>
      <c r="AC2638" t="str">
        <f>IF(AA2638="","",'Procyclean 520'!D140)</f>
        <v/>
      </c>
      <c r="AD2638" t="str">
        <f>IF(AA2638="","",IFERROR(1*'Procyclean 520'!E140,IFERROR(_xludf.NUMBERVALUE('Procyclean 520'!E140,".",","),IFERROR(_xludf.NUMBERVALUE('Procyclean 520'!E140,",","."),0))))</f>
        <v/>
      </c>
      <c r="AE2638" t="str">
        <f>IF(AA2638="","",'Procyclean 520'!B140)</f>
        <v/>
      </c>
      <c r="AF2638">
        <f t="shared" si="263"/>
        <v>0</v>
      </c>
      <c r="AG2638" t="str">
        <f t="shared" si="264"/>
        <v/>
      </c>
      <c r="AH2638" t="str">
        <f t="shared" si="265"/>
        <v/>
      </c>
      <c r="AI2638">
        <f t="shared" si="266"/>
        <v>0</v>
      </c>
      <c r="AJ2638">
        <f t="shared" si="267"/>
        <v>0</v>
      </c>
      <c r="AK2638">
        <v>0</v>
      </c>
      <c r="AL2638" t="str">
        <f>IF(AA2638="","",IFERROR(IF(ISNUMBER('Procyclean 520'!F140),'Procyclean 520'!F140,IF(ISNUMBER(SEARCH("12",'Procyclean 520'!F140)),EDATE(AB2638,12),IF(ISNUMBER(SEARCH("6",'Procyclean 520'!F140)),EDATE(AB2638,6),IF(ISNUMBER(SEARCH("3",'Procyclean 520'!F140)),EDATE(AB2638,3),DATEVALUE('Procyclean 520'!F140))))),""))</f>
        <v/>
      </c>
      <c r="AM2638" t="str">
        <f t="shared" ca="1" si="268"/>
        <v/>
      </c>
    </row>
    <row r="2639" spans="27:39" x14ac:dyDescent="0.3">
      <c r="AA2639" t="str">
        <f>IF(COUNTA('Procyclean 520'!C141,'Procyclean 520'!D141,'Procyclean 520'!E141)&gt;0,"520","")</f>
        <v/>
      </c>
      <c r="AB2639" t="str">
        <f>IFERROR(IF(ISNUMBER('Procyclean 520'!C141),'Procyclean 520'!C141,DATEVALUE('Procyclean 520'!C141)),"")</f>
        <v/>
      </c>
      <c r="AC2639" t="str">
        <f>IF(AA2639="","",'Procyclean 520'!D141)</f>
        <v/>
      </c>
      <c r="AD2639" t="str">
        <f>IF(AA2639="","",IFERROR(1*'Procyclean 520'!E141,IFERROR(_xludf.NUMBERVALUE('Procyclean 520'!E141,".",","),IFERROR(_xludf.NUMBERVALUE('Procyclean 520'!E141,",","."),0))))</f>
        <v/>
      </c>
      <c r="AE2639" t="str">
        <f>IF(AA2639="","",'Procyclean 520'!B141)</f>
        <v/>
      </c>
      <c r="AF2639">
        <f t="shared" si="263"/>
        <v>0</v>
      </c>
      <c r="AG2639" t="str">
        <f t="shared" si="264"/>
        <v/>
      </c>
      <c r="AH2639" t="str">
        <f t="shared" si="265"/>
        <v/>
      </c>
      <c r="AI2639">
        <f t="shared" si="266"/>
        <v>0</v>
      </c>
      <c r="AJ2639">
        <f t="shared" si="267"/>
        <v>0</v>
      </c>
      <c r="AK2639">
        <v>0</v>
      </c>
      <c r="AL2639" t="str">
        <f>IF(AA2639="","",IFERROR(IF(ISNUMBER('Procyclean 520'!F141),'Procyclean 520'!F141,IF(ISNUMBER(SEARCH("12",'Procyclean 520'!F141)),EDATE(AB2639,12),IF(ISNUMBER(SEARCH("6",'Procyclean 520'!F141)),EDATE(AB2639,6),IF(ISNUMBER(SEARCH("3",'Procyclean 520'!F141)),EDATE(AB2639,3),DATEVALUE('Procyclean 520'!F141))))),""))</f>
        <v/>
      </c>
      <c r="AM2639" t="str">
        <f t="shared" ca="1" si="268"/>
        <v/>
      </c>
    </row>
    <row r="2640" spans="27:39" x14ac:dyDescent="0.3">
      <c r="AA2640" t="str">
        <f>IF(COUNTA('Procyclean 520'!C142,'Procyclean 520'!D142,'Procyclean 520'!E142)&gt;0,"520","")</f>
        <v/>
      </c>
      <c r="AB2640" t="str">
        <f>IFERROR(IF(ISNUMBER('Procyclean 520'!C142),'Procyclean 520'!C142,DATEVALUE('Procyclean 520'!C142)),"")</f>
        <v/>
      </c>
      <c r="AC2640" t="str">
        <f>IF(AA2640="","",'Procyclean 520'!D142)</f>
        <v/>
      </c>
      <c r="AD2640" t="str">
        <f>IF(AA2640="","",IFERROR(1*'Procyclean 520'!E142,IFERROR(_xludf.NUMBERVALUE('Procyclean 520'!E142,".",","),IFERROR(_xludf.NUMBERVALUE('Procyclean 520'!E142,",","."),0))))</f>
        <v/>
      </c>
      <c r="AE2640" t="str">
        <f>IF(AA2640="","",'Procyclean 520'!B142)</f>
        <v/>
      </c>
      <c r="AF2640">
        <f t="shared" si="263"/>
        <v>0</v>
      </c>
      <c r="AG2640" t="str">
        <f t="shared" si="264"/>
        <v/>
      </c>
      <c r="AH2640" t="str">
        <f t="shared" si="265"/>
        <v/>
      </c>
      <c r="AI2640">
        <f t="shared" si="266"/>
        <v>0</v>
      </c>
      <c r="AJ2640">
        <f t="shared" si="267"/>
        <v>0</v>
      </c>
      <c r="AK2640">
        <v>0</v>
      </c>
      <c r="AL2640" t="str">
        <f>IF(AA2640="","",IFERROR(IF(ISNUMBER('Procyclean 520'!F142),'Procyclean 520'!F142,IF(ISNUMBER(SEARCH("12",'Procyclean 520'!F142)),EDATE(AB2640,12),IF(ISNUMBER(SEARCH("6",'Procyclean 520'!F142)),EDATE(AB2640,6),IF(ISNUMBER(SEARCH("3",'Procyclean 520'!F142)),EDATE(AB2640,3),DATEVALUE('Procyclean 520'!F142))))),""))</f>
        <v/>
      </c>
      <c r="AM2640" t="str">
        <f t="shared" ca="1" si="268"/>
        <v/>
      </c>
    </row>
    <row r="2641" spans="27:39" x14ac:dyDescent="0.3">
      <c r="AA2641" t="str">
        <f>IF(COUNTA('Procyclean 520'!C143,'Procyclean 520'!D143,'Procyclean 520'!E143)&gt;0,"520","")</f>
        <v/>
      </c>
      <c r="AB2641" t="str">
        <f>IFERROR(IF(ISNUMBER('Procyclean 520'!C143),'Procyclean 520'!C143,DATEVALUE('Procyclean 520'!C143)),"")</f>
        <v/>
      </c>
      <c r="AC2641" t="str">
        <f>IF(AA2641="","",'Procyclean 520'!D143)</f>
        <v/>
      </c>
      <c r="AD2641" t="str">
        <f>IF(AA2641="","",IFERROR(1*'Procyclean 520'!E143,IFERROR(_xludf.NUMBERVALUE('Procyclean 520'!E143,".",","),IFERROR(_xludf.NUMBERVALUE('Procyclean 520'!E143,",","."),0))))</f>
        <v/>
      </c>
      <c r="AE2641" t="str">
        <f>IF(AA2641="","",'Procyclean 520'!B143)</f>
        <v/>
      </c>
      <c r="AF2641">
        <f t="shared" si="263"/>
        <v>0</v>
      </c>
      <c r="AG2641" t="str">
        <f t="shared" si="264"/>
        <v/>
      </c>
      <c r="AH2641" t="str">
        <f t="shared" si="265"/>
        <v/>
      </c>
      <c r="AI2641">
        <f t="shared" si="266"/>
        <v>0</v>
      </c>
      <c r="AJ2641">
        <f t="shared" si="267"/>
        <v>0</v>
      </c>
      <c r="AK2641">
        <v>0</v>
      </c>
      <c r="AL2641" t="str">
        <f>IF(AA2641="","",IFERROR(IF(ISNUMBER('Procyclean 520'!F143),'Procyclean 520'!F143,IF(ISNUMBER(SEARCH("12",'Procyclean 520'!F143)),EDATE(AB2641,12),IF(ISNUMBER(SEARCH("6",'Procyclean 520'!F143)),EDATE(AB2641,6),IF(ISNUMBER(SEARCH("3",'Procyclean 520'!F143)),EDATE(AB2641,3),DATEVALUE('Procyclean 520'!F143))))),""))</f>
        <v/>
      </c>
      <c r="AM2641" t="str">
        <f t="shared" ca="1" si="268"/>
        <v/>
      </c>
    </row>
    <row r="2642" spans="27:39" x14ac:dyDescent="0.3">
      <c r="AA2642" t="str">
        <f>IF(COUNTA('Procyclean 520'!C144,'Procyclean 520'!D144,'Procyclean 520'!E144)&gt;0,"520","")</f>
        <v/>
      </c>
      <c r="AB2642" t="str">
        <f>IFERROR(IF(ISNUMBER('Procyclean 520'!C144),'Procyclean 520'!C144,DATEVALUE('Procyclean 520'!C144)),"")</f>
        <v/>
      </c>
      <c r="AC2642" t="str">
        <f>IF(AA2642="","",'Procyclean 520'!D144)</f>
        <v/>
      </c>
      <c r="AD2642" t="str">
        <f>IF(AA2642="","",IFERROR(1*'Procyclean 520'!E144,IFERROR(_xludf.NUMBERVALUE('Procyclean 520'!E144,".",","),IFERROR(_xludf.NUMBERVALUE('Procyclean 520'!E144,",","."),0))))</f>
        <v/>
      </c>
      <c r="AE2642" t="str">
        <f>IF(AA2642="","",'Procyclean 520'!B144)</f>
        <v/>
      </c>
      <c r="AF2642">
        <f t="shared" si="263"/>
        <v>0</v>
      </c>
      <c r="AG2642" t="str">
        <f t="shared" si="264"/>
        <v/>
      </c>
      <c r="AH2642" t="str">
        <f t="shared" si="265"/>
        <v/>
      </c>
      <c r="AI2642">
        <f t="shared" si="266"/>
        <v>0</v>
      </c>
      <c r="AJ2642">
        <f t="shared" si="267"/>
        <v>0</v>
      </c>
      <c r="AK2642">
        <v>0</v>
      </c>
      <c r="AL2642" t="str">
        <f>IF(AA2642="","",IFERROR(IF(ISNUMBER('Procyclean 520'!F144),'Procyclean 520'!F144,IF(ISNUMBER(SEARCH("12",'Procyclean 520'!F144)),EDATE(AB2642,12),IF(ISNUMBER(SEARCH("6",'Procyclean 520'!F144)),EDATE(AB2642,6),IF(ISNUMBER(SEARCH("3",'Procyclean 520'!F144)),EDATE(AB2642,3),DATEVALUE('Procyclean 520'!F144))))),""))</f>
        <v/>
      </c>
      <c r="AM2642" t="str">
        <f t="shared" ca="1" si="268"/>
        <v/>
      </c>
    </row>
    <row r="2643" spans="27:39" x14ac:dyDescent="0.3">
      <c r="AA2643" t="str">
        <f>IF(COUNTA('Procyclean 520'!C145,'Procyclean 520'!D145,'Procyclean 520'!E145)&gt;0,"520","")</f>
        <v/>
      </c>
      <c r="AB2643" t="str">
        <f>IFERROR(IF(ISNUMBER('Procyclean 520'!C145),'Procyclean 520'!C145,DATEVALUE('Procyclean 520'!C145)),"")</f>
        <v/>
      </c>
      <c r="AC2643" t="str">
        <f>IF(AA2643="","",'Procyclean 520'!D145)</f>
        <v/>
      </c>
      <c r="AD2643" t="str">
        <f>IF(AA2643="","",IFERROR(1*'Procyclean 520'!E145,IFERROR(_xludf.NUMBERVALUE('Procyclean 520'!E145,".",","),IFERROR(_xludf.NUMBERVALUE('Procyclean 520'!E145,",","."),0))))</f>
        <v/>
      </c>
      <c r="AE2643" t="str">
        <f>IF(AA2643="","",'Procyclean 520'!B145)</f>
        <v/>
      </c>
      <c r="AF2643">
        <f t="shared" si="263"/>
        <v>0</v>
      </c>
      <c r="AG2643" t="str">
        <f t="shared" si="264"/>
        <v/>
      </c>
      <c r="AH2643" t="str">
        <f t="shared" si="265"/>
        <v/>
      </c>
      <c r="AI2643">
        <f t="shared" si="266"/>
        <v>0</v>
      </c>
      <c r="AJ2643">
        <f t="shared" si="267"/>
        <v>0</v>
      </c>
      <c r="AK2643">
        <v>0</v>
      </c>
      <c r="AL2643" t="str">
        <f>IF(AA2643="","",IFERROR(IF(ISNUMBER('Procyclean 520'!F145),'Procyclean 520'!F145,IF(ISNUMBER(SEARCH("12",'Procyclean 520'!F145)),EDATE(AB2643,12),IF(ISNUMBER(SEARCH("6",'Procyclean 520'!F145)),EDATE(AB2643,6),IF(ISNUMBER(SEARCH("3",'Procyclean 520'!F145)),EDATE(AB2643,3),DATEVALUE('Procyclean 520'!F145))))),""))</f>
        <v/>
      </c>
      <c r="AM2643" t="str">
        <f t="shared" ca="1" si="268"/>
        <v/>
      </c>
    </row>
    <row r="2644" spans="27:39" x14ac:dyDescent="0.3">
      <c r="AA2644" t="str">
        <f>IF(COUNTA('Procyclean 520'!C146,'Procyclean 520'!D146,'Procyclean 520'!E146)&gt;0,"520","")</f>
        <v/>
      </c>
      <c r="AB2644" t="str">
        <f>IFERROR(IF(ISNUMBER('Procyclean 520'!C146),'Procyclean 520'!C146,DATEVALUE('Procyclean 520'!C146)),"")</f>
        <v/>
      </c>
      <c r="AC2644" t="str">
        <f>IF(AA2644="","",'Procyclean 520'!D146)</f>
        <v/>
      </c>
      <c r="AD2644" t="str">
        <f>IF(AA2644="","",IFERROR(1*'Procyclean 520'!E146,IFERROR(_xludf.NUMBERVALUE('Procyclean 520'!E146,".",","),IFERROR(_xludf.NUMBERVALUE('Procyclean 520'!E146,",","."),0))))</f>
        <v/>
      </c>
      <c r="AE2644" t="str">
        <f>IF(AA2644="","",'Procyclean 520'!B146)</f>
        <v/>
      </c>
      <c r="AF2644">
        <f t="shared" si="263"/>
        <v>0</v>
      </c>
      <c r="AG2644" t="str">
        <f t="shared" si="264"/>
        <v/>
      </c>
      <c r="AH2644" t="str">
        <f t="shared" si="265"/>
        <v/>
      </c>
      <c r="AI2644">
        <f t="shared" si="266"/>
        <v>0</v>
      </c>
      <c r="AJ2644">
        <f t="shared" si="267"/>
        <v>0</v>
      </c>
      <c r="AK2644">
        <v>0</v>
      </c>
      <c r="AL2644" t="str">
        <f>IF(AA2644="","",IFERROR(IF(ISNUMBER('Procyclean 520'!F146),'Procyclean 520'!F146,IF(ISNUMBER(SEARCH("12",'Procyclean 520'!F146)),EDATE(AB2644,12),IF(ISNUMBER(SEARCH("6",'Procyclean 520'!F146)),EDATE(AB2644,6),IF(ISNUMBER(SEARCH("3",'Procyclean 520'!F146)),EDATE(AB2644,3),DATEVALUE('Procyclean 520'!F146))))),""))</f>
        <v/>
      </c>
      <c r="AM2644" t="str">
        <f t="shared" ca="1" si="268"/>
        <v/>
      </c>
    </row>
    <row r="2645" spans="27:39" x14ac:dyDescent="0.3">
      <c r="AA2645" t="str">
        <f>IF(COUNTA('Procyclean 520'!C147,'Procyclean 520'!D147,'Procyclean 520'!E147)&gt;0,"520","")</f>
        <v/>
      </c>
      <c r="AB2645" t="str">
        <f>IFERROR(IF(ISNUMBER('Procyclean 520'!C147),'Procyclean 520'!C147,DATEVALUE('Procyclean 520'!C147)),"")</f>
        <v/>
      </c>
      <c r="AC2645" t="str">
        <f>IF(AA2645="","",'Procyclean 520'!D147)</f>
        <v/>
      </c>
      <c r="AD2645" t="str">
        <f>IF(AA2645="","",IFERROR(1*'Procyclean 520'!E147,IFERROR(_xludf.NUMBERVALUE('Procyclean 520'!E147,".",","),IFERROR(_xludf.NUMBERVALUE('Procyclean 520'!E147,",","."),0))))</f>
        <v/>
      </c>
      <c r="AE2645" t="str">
        <f>IF(AA2645="","",'Procyclean 520'!B147)</f>
        <v/>
      </c>
      <c r="AF2645">
        <f t="shared" si="263"/>
        <v>0</v>
      </c>
      <c r="AG2645" t="str">
        <f t="shared" si="264"/>
        <v/>
      </c>
      <c r="AH2645" t="str">
        <f t="shared" si="265"/>
        <v/>
      </c>
      <c r="AI2645">
        <f t="shared" si="266"/>
        <v>0</v>
      </c>
      <c r="AJ2645">
        <f t="shared" si="267"/>
        <v>0</v>
      </c>
      <c r="AK2645">
        <v>0</v>
      </c>
      <c r="AL2645" t="str">
        <f>IF(AA2645="","",IFERROR(IF(ISNUMBER('Procyclean 520'!F147),'Procyclean 520'!F147,IF(ISNUMBER(SEARCH("12",'Procyclean 520'!F147)),EDATE(AB2645,12),IF(ISNUMBER(SEARCH("6",'Procyclean 520'!F147)),EDATE(AB2645,6),IF(ISNUMBER(SEARCH("3",'Procyclean 520'!F147)),EDATE(AB2645,3),DATEVALUE('Procyclean 520'!F147))))),""))</f>
        <v/>
      </c>
      <c r="AM2645" t="str">
        <f t="shared" ca="1" si="268"/>
        <v/>
      </c>
    </row>
    <row r="2646" spans="27:39" x14ac:dyDescent="0.3">
      <c r="AA2646" t="str">
        <f>IF(COUNTA('Procyclean 520'!C148,'Procyclean 520'!D148,'Procyclean 520'!E148)&gt;0,"520","")</f>
        <v/>
      </c>
      <c r="AB2646" t="str">
        <f>IFERROR(IF(ISNUMBER('Procyclean 520'!C148),'Procyclean 520'!C148,DATEVALUE('Procyclean 520'!C148)),"")</f>
        <v/>
      </c>
      <c r="AC2646" t="str">
        <f>IF(AA2646="","",'Procyclean 520'!D148)</f>
        <v/>
      </c>
      <c r="AD2646" t="str">
        <f>IF(AA2646="","",IFERROR(1*'Procyclean 520'!E148,IFERROR(_xludf.NUMBERVALUE('Procyclean 520'!E148,".",","),IFERROR(_xludf.NUMBERVALUE('Procyclean 520'!E148,",","."),0))))</f>
        <v/>
      </c>
      <c r="AE2646" t="str">
        <f>IF(AA2646="","",'Procyclean 520'!B148)</f>
        <v/>
      </c>
      <c r="AF2646">
        <f t="shared" si="263"/>
        <v>0</v>
      </c>
      <c r="AG2646" t="str">
        <f t="shared" si="264"/>
        <v/>
      </c>
      <c r="AH2646" t="str">
        <f t="shared" si="265"/>
        <v/>
      </c>
      <c r="AI2646">
        <f t="shared" si="266"/>
        <v>0</v>
      </c>
      <c r="AJ2646">
        <f t="shared" si="267"/>
        <v>0</v>
      </c>
      <c r="AK2646">
        <v>0</v>
      </c>
      <c r="AL2646" t="str">
        <f>IF(AA2646="","",IFERROR(IF(ISNUMBER('Procyclean 520'!F148),'Procyclean 520'!F148,IF(ISNUMBER(SEARCH("12",'Procyclean 520'!F148)),EDATE(AB2646,12),IF(ISNUMBER(SEARCH("6",'Procyclean 520'!F148)),EDATE(AB2646,6),IF(ISNUMBER(SEARCH("3",'Procyclean 520'!F148)),EDATE(AB2646,3),DATEVALUE('Procyclean 520'!F148))))),""))</f>
        <v/>
      </c>
      <c r="AM2646" t="str">
        <f t="shared" ca="1" si="268"/>
        <v/>
      </c>
    </row>
    <row r="2647" spans="27:39" x14ac:dyDescent="0.3">
      <c r="AA2647" t="str">
        <f>IF(COUNTA('Procyclean 520'!C149,'Procyclean 520'!D149,'Procyclean 520'!E149)&gt;0,"520","")</f>
        <v/>
      </c>
      <c r="AB2647" t="str">
        <f>IFERROR(IF(ISNUMBER('Procyclean 520'!C149),'Procyclean 520'!C149,DATEVALUE('Procyclean 520'!C149)),"")</f>
        <v/>
      </c>
      <c r="AC2647" t="str">
        <f>IF(AA2647="","",'Procyclean 520'!D149)</f>
        <v/>
      </c>
      <c r="AD2647" t="str">
        <f>IF(AA2647="","",IFERROR(1*'Procyclean 520'!E149,IFERROR(_xludf.NUMBERVALUE('Procyclean 520'!E149,".",","),IFERROR(_xludf.NUMBERVALUE('Procyclean 520'!E149,",","."),0))))</f>
        <v/>
      </c>
      <c r="AE2647" t="str">
        <f>IF(AA2647="","",'Procyclean 520'!B149)</f>
        <v/>
      </c>
      <c r="AF2647">
        <f t="shared" si="263"/>
        <v>0</v>
      </c>
      <c r="AG2647" t="str">
        <f t="shared" si="264"/>
        <v/>
      </c>
      <c r="AH2647" t="str">
        <f t="shared" si="265"/>
        <v/>
      </c>
      <c r="AI2647">
        <f t="shared" si="266"/>
        <v>0</v>
      </c>
      <c r="AJ2647">
        <f t="shared" si="267"/>
        <v>0</v>
      </c>
      <c r="AK2647">
        <v>0</v>
      </c>
      <c r="AL2647" t="str">
        <f>IF(AA2647="","",IFERROR(IF(ISNUMBER('Procyclean 520'!F149),'Procyclean 520'!F149,IF(ISNUMBER(SEARCH("12",'Procyclean 520'!F149)),EDATE(AB2647,12),IF(ISNUMBER(SEARCH("6",'Procyclean 520'!F149)),EDATE(AB2647,6),IF(ISNUMBER(SEARCH("3",'Procyclean 520'!F149)),EDATE(AB2647,3),DATEVALUE('Procyclean 520'!F149))))),""))</f>
        <v/>
      </c>
      <c r="AM2647" t="str">
        <f t="shared" ca="1" si="268"/>
        <v/>
      </c>
    </row>
    <row r="2648" spans="27:39" x14ac:dyDescent="0.3">
      <c r="AA2648" t="str">
        <f>IF(COUNTA('Procyclean 520'!C150,'Procyclean 520'!D150,'Procyclean 520'!E150)&gt;0,"520","")</f>
        <v/>
      </c>
      <c r="AB2648" t="str">
        <f>IFERROR(IF(ISNUMBER('Procyclean 520'!C150),'Procyclean 520'!C150,DATEVALUE('Procyclean 520'!C150)),"")</f>
        <v/>
      </c>
      <c r="AC2648" t="str">
        <f>IF(AA2648="","",'Procyclean 520'!D150)</f>
        <v/>
      </c>
      <c r="AD2648" t="str">
        <f>IF(AA2648="","",IFERROR(1*'Procyclean 520'!E150,IFERROR(_xludf.NUMBERVALUE('Procyclean 520'!E150,".",","),IFERROR(_xludf.NUMBERVALUE('Procyclean 520'!E150,",","."),0))))</f>
        <v/>
      </c>
      <c r="AE2648" t="str">
        <f>IF(AA2648="","",'Procyclean 520'!B150)</f>
        <v/>
      </c>
      <c r="AF2648">
        <f t="shared" si="263"/>
        <v>0</v>
      </c>
      <c r="AG2648" t="str">
        <f t="shared" si="264"/>
        <v/>
      </c>
      <c r="AH2648" t="str">
        <f t="shared" si="265"/>
        <v/>
      </c>
      <c r="AI2648">
        <f t="shared" si="266"/>
        <v>0</v>
      </c>
      <c r="AJ2648">
        <f t="shared" si="267"/>
        <v>0</v>
      </c>
      <c r="AK2648">
        <v>0</v>
      </c>
      <c r="AL2648" t="str">
        <f>IF(AA2648="","",IFERROR(IF(ISNUMBER('Procyclean 520'!F150),'Procyclean 520'!F150,IF(ISNUMBER(SEARCH("12",'Procyclean 520'!F150)),EDATE(AB2648,12),IF(ISNUMBER(SEARCH("6",'Procyclean 520'!F150)),EDATE(AB2648,6),IF(ISNUMBER(SEARCH("3",'Procyclean 520'!F150)),EDATE(AB2648,3),DATEVALUE('Procyclean 520'!F150))))),""))</f>
        <v/>
      </c>
      <c r="AM2648" t="str">
        <f t="shared" ca="1" si="268"/>
        <v/>
      </c>
    </row>
    <row r="2649" spans="27:39" x14ac:dyDescent="0.3">
      <c r="AA2649" t="str">
        <f>IF(COUNTA('Procyclean 520'!C151,'Procyclean 520'!D151,'Procyclean 520'!E151)&gt;0,"520","")</f>
        <v/>
      </c>
      <c r="AB2649" t="str">
        <f>IFERROR(IF(ISNUMBER('Procyclean 520'!C151),'Procyclean 520'!C151,DATEVALUE('Procyclean 520'!C151)),"")</f>
        <v/>
      </c>
      <c r="AC2649" t="str">
        <f>IF(AA2649="","",'Procyclean 520'!D151)</f>
        <v/>
      </c>
      <c r="AD2649" t="str">
        <f>IF(AA2649="","",IFERROR(1*'Procyclean 520'!E151,IFERROR(_xludf.NUMBERVALUE('Procyclean 520'!E151,".",","),IFERROR(_xludf.NUMBERVALUE('Procyclean 520'!E151,",","."),0))))</f>
        <v/>
      </c>
      <c r="AE2649" t="str">
        <f>IF(AA2649="","",'Procyclean 520'!B151)</f>
        <v/>
      </c>
      <c r="AF2649">
        <f t="shared" si="263"/>
        <v>0</v>
      </c>
      <c r="AG2649" t="str">
        <f t="shared" si="264"/>
        <v/>
      </c>
      <c r="AH2649" t="str">
        <f t="shared" si="265"/>
        <v/>
      </c>
      <c r="AI2649">
        <f t="shared" si="266"/>
        <v>0</v>
      </c>
      <c r="AJ2649">
        <f t="shared" si="267"/>
        <v>0</v>
      </c>
      <c r="AK2649">
        <v>0</v>
      </c>
      <c r="AL2649" t="str">
        <f>IF(AA2649="","",IFERROR(IF(ISNUMBER('Procyclean 520'!F151),'Procyclean 520'!F151,IF(ISNUMBER(SEARCH("12",'Procyclean 520'!F151)),EDATE(AB2649,12),IF(ISNUMBER(SEARCH("6",'Procyclean 520'!F151)),EDATE(AB2649,6),IF(ISNUMBER(SEARCH("3",'Procyclean 520'!F151)),EDATE(AB2649,3),DATEVALUE('Procyclean 520'!F151))))),""))</f>
        <v/>
      </c>
      <c r="AM2649" t="str">
        <f t="shared" ca="1" si="268"/>
        <v/>
      </c>
    </row>
    <row r="2650" spans="27:39" x14ac:dyDescent="0.3">
      <c r="AA2650" t="str">
        <f>IF(COUNTA('Procyclean 520'!C152,'Procyclean 520'!D152,'Procyclean 520'!E152)&gt;0,"520","")</f>
        <v/>
      </c>
      <c r="AB2650" t="str">
        <f>IFERROR(IF(ISNUMBER('Procyclean 520'!C152),'Procyclean 520'!C152,DATEVALUE('Procyclean 520'!C152)),"")</f>
        <v/>
      </c>
      <c r="AC2650" t="str">
        <f>IF(AA2650="","",'Procyclean 520'!D152)</f>
        <v/>
      </c>
      <c r="AD2650" t="str">
        <f>IF(AA2650="","",IFERROR(1*'Procyclean 520'!E152,IFERROR(_xludf.NUMBERVALUE('Procyclean 520'!E152,".",","),IFERROR(_xludf.NUMBERVALUE('Procyclean 520'!E152,",","."),0))))</f>
        <v/>
      </c>
      <c r="AE2650" t="str">
        <f>IF(AA2650="","",'Procyclean 520'!B152)</f>
        <v/>
      </c>
      <c r="AF2650">
        <f t="shared" si="263"/>
        <v>0</v>
      </c>
      <c r="AG2650" t="str">
        <f t="shared" si="264"/>
        <v/>
      </c>
      <c r="AH2650" t="str">
        <f t="shared" si="265"/>
        <v/>
      </c>
      <c r="AI2650">
        <f t="shared" si="266"/>
        <v>0</v>
      </c>
      <c r="AJ2650">
        <f t="shared" si="267"/>
        <v>0</v>
      </c>
      <c r="AK2650">
        <v>0</v>
      </c>
      <c r="AL2650" t="str">
        <f>IF(AA2650="","",IFERROR(IF(ISNUMBER('Procyclean 520'!F152),'Procyclean 520'!F152,IF(ISNUMBER(SEARCH("12",'Procyclean 520'!F152)),EDATE(AB2650,12),IF(ISNUMBER(SEARCH("6",'Procyclean 520'!F152)),EDATE(AB2650,6),IF(ISNUMBER(SEARCH("3",'Procyclean 520'!F152)),EDATE(AB2650,3),DATEVALUE('Procyclean 520'!F152))))),""))</f>
        <v/>
      </c>
      <c r="AM2650" t="str">
        <f t="shared" ca="1" si="268"/>
        <v/>
      </c>
    </row>
    <row r="2651" spans="27:39" x14ac:dyDescent="0.3">
      <c r="AA2651" t="str">
        <f>IF(COUNTA('Procyclean 520'!C153,'Procyclean 520'!D153,'Procyclean 520'!E153)&gt;0,"520","")</f>
        <v/>
      </c>
      <c r="AB2651" t="str">
        <f>IFERROR(IF(ISNUMBER('Procyclean 520'!C153),'Procyclean 520'!C153,DATEVALUE('Procyclean 520'!C153)),"")</f>
        <v/>
      </c>
      <c r="AC2651" t="str">
        <f>IF(AA2651="","",'Procyclean 520'!D153)</f>
        <v/>
      </c>
      <c r="AD2651" t="str">
        <f>IF(AA2651="","",IFERROR(1*'Procyclean 520'!E153,IFERROR(_xludf.NUMBERVALUE('Procyclean 520'!E153,".",","),IFERROR(_xludf.NUMBERVALUE('Procyclean 520'!E153,",","."),0))))</f>
        <v/>
      </c>
      <c r="AE2651" t="str">
        <f>IF(AA2651="","",'Procyclean 520'!B153)</f>
        <v/>
      </c>
      <c r="AF2651">
        <f t="shared" si="263"/>
        <v>0</v>
      </c>
      <c r="AG2651" t="str">
        <f t="shared" si="264"/>
        <v/>
      </c>
      <c r="AH2651" t="str">
        <f t="shared" si="265"/>
        <v/>
      </c>
      <c r="AI2651">
        <f t="shared" si="266"/>
        <v>0</v>
      </c>
      <c r="AJ2651">
        <f t="shared" si="267"/>
        <v>0</v>
      </c>
      <c r="AK2651">
        <v>0</v>
      </c>
      <c r="AL2651" t="str">
        <f>IF(AA2651="","",IFERROR(IF(ISNUMBER('Procyclean 520'!F153),'Procyclean 520'!F153,IF(ISNUMBER(SEARCH("12",'Procyclean 520'!F153)),EDATE(AB2651,12),IF(ISNUMBER(SEARCH("6",'Procyclean 520'!F153)),EDATE(AB2651,6),IF(ISNUMBER(SEARCH("3",'Procyclean 520'!F153)),EDATE(AB2651,3),DATEVALUE('Procyclean 520'!F153))))),""))</f>
        <v/>
      </c>
      <c r="AM2651" t="str">
        <f t="shared" ca="1" si="268"/>
        <v/>
      </c>
    </row>
    <row r="2652" spans="27:39" x14ac:dyDescent="0.3">
      <c r="AA2652" t="str">
        <f>IF(COUNTA('Procyclean 520'!C154,'Procyclean 520'!D154,'Procyclean 520'!E154)&gt;0,"520","")</f>
        <v/>
      </c>
      <c r="AB2652" t="str">
        <f>IFERROR(IF(ISNUMBER('Procyclean 520'!C154),'Procyclean 520'!C154,DATEVALUE('Procyclean 520'!C154)),"")</f>
        <v/>
      </c>
      <c r="AC2652" t="str">
        <f>IF(AA2652="","",'Procyclean 520'!D154)</f>
        <v/>
      </c>
      <c r="AD2652" t="str">
        <f>IF(AA2652="","",IFERROR(1*'Procyclean 520'!E154,IFERROR(_xludf.NUMBERVALUE('Procyclean 520'!E154,".",","),IFERROR(_xludf.NUMBERVALUE('Procyclean 520'!E154,",","."),0))))</f>
        <v/>
      </c>
      <c r="AE2652" t="str">
        <f>IF(AA2652="","",'Procyclean 520'!B154)</f>
        <v/>
      </c>
      <c r="AF2652">
        <f t="shared" si="263"/>
        <v>0</v>
      </c>
      <c r="AG2652" t="str">
        <f t="shared" si="264"/>
        <v/>
      </c>
      <c r="AH2652" t="str">
        <f t="shared" si="265"/>
        <v/>
      </c>
      <c r="AI2652">
        <f t="shared" si="266"/>
        <v>0</v>
      </c>
      <c r="AJ2652">
        <f t="shared" si="267"/>
        <v>0</v>
      </c>
      <c r="AK2652">
        <v>0</v>
      </c>
      <c r="AL2652" t="str">
        <f>IF(AA2652="","",IFERROR(IF(ISNUMBER('Procyclean 520'!F154),'Procyclean 520'!F154,IF(ISNUMBER(SEARCH("12",'Procyclean 520'!F154)),EDATE(AB2652,12),IF(ISNUMBER(SEARCH("6",'Procyclean 520'!F154)),EDATE(AB2652,6),IF(ISNUMBER(SEARCH("3",'Procyclean 520'!F154)),EDATE(AB2652,3),DATEVALUE('Procyclean 520'!F154))))),""))</f>
        <v/>
      </c>
      <c r="AM2652" t="str">
        <f t="shared" ca="1" si="268"/>
        <v/>
      </c>
    </row>
    <row r="2653" spans="27:39" x14ac:dyDescent="0.3">
      <c r="AA2653" t="str">
        <f>IF(COUNTA('Procyclean 520'!C155,'Procyclean 520'!D155,'Procyclean 520'!E155)&gt;0,"520","")</f>
        <v/>
      </c>
      <c r="AB2653" t="str">
        <f>IFERROR(IF(ISNUMBER('Procyclean 520'!C155),'Procyclean 520'!C155,DATEVALUE('Procyclean 520'!C155)),"")</f>
        <v/>
      </c>
      <c r="AC2653" t="str">
        <f>IF(AA2653="","",'Procyclean 520'!D155)</f>
        <v/>
      </c>
      <c r="AD2653" t="str">
        <f>IF(AA2653="","",IFERROR(1*'Procyclean 520'!E155,IFERROR(_xludf.NUMBERVALUE('Procyclean 520'!E155,".",","),IFERROR(_xludf.NUMBERVALUE('Procyclean 520'!E155,",","."),0))))</f>
        <v/>
      </c>
      <c r="AE2653" t="str">
        <f>IF(AA2653="","",'Procyclean 520'!B155)</f>
        <v/>
      </c>
      <c r="AF2653">
        <f t="shared" si="263"/>
        <v>0</v>
      </c>
      <c r="AG2653" t="str">
        <f t="shared" si="264"/>
        <v/>
      </c>
      <c r="AH2653" t="str">
        <f t="shared" si="265"/>
        <v/>
      </c>
      <c r="AI2653">
        <f t="shared" si="266"/>
        <v>0</v>
      </c>
      <c r="AJ2653">
        <f t="shared" si="267"/>
        <v>0</v>
      </c>
      <c r="AK2653">
        <v>0</v>
      </c>
      <c r="AL2653" t="str">
        <f>IF(AA2653="","",IFERROR(IF(ISNUMBER('Procyclean 520'!F155),'Procyclean 520'!F155,IF(ISNUMBER(SEARCH("12",'Procyclean 520'!F155)),EDATE(AB2653,12),IF(ISNUMBER(SEARCH("6",'Procyclean 520'!F155)),EDATE(AB2653,6),IF(ISNUMBER(SEARCH("3",'Procyclean 520'!F155)),EDATE(AB2653,3),DATEVALUE('Procyclean 520'!F155))))),""))</f>
        <v/>
      </c>
      <c r="AM2653" t="str">
        <f t="shared" ca="1" si="268"/>
        <v/>
      </c>
    </row>
    <row r="2654" spans="27:39" x14ac:dyDescent="0.3">
      <c r="AA2654" t="str">
        <f>IF(COUNTA('Procyclean 520'!C156,'Procyclean 520'!D156,'Procyclean 520'!E156)&gt;0,"520","")</f>
        <v/>
      </c>
      <c r="AB2654" t="str">
        <f>IFERROR(IF(ISNUMBER('Procyclean 520'!C156),'Procyclean 520'!C156,DATEVALUE('Procyclean 520'!C156)),"")</f>
        <v/>
      </c>
      <c r="AC2654" t="str">
        <f>IF(AA2654="","",'Procyclean 520'!D156)</f>
        <v/>
      </c>
      <c r="AD2654" t="str">
        <f>IF(AA2654="","",IFERROR(1*'Procyclean 520'!E156,IFERROR(_xludf.NUMBERVALUE('Procyclean 520'!E156,".",","),IFERROR(_xludf.NUMBERVALUE('Procyclean 520'!E156,",","."),0))))</f>
        <v/>
      </c>
      <c r="AE2654" t="str">
        <f>IF(AA2654="","",'Procyclean 520'!B156)</f>
        <v/>
      </c>
      <c r="AF2654">
        <f t="shared" si="263"/>
        <v>0</v>
      </c>
      <c r="AG2654" t="str">
        <f t="shared" si="264"/>
        <v/>
      </c>
      <c r="AH2654" t="str">
        <f t="shared" si="265"/>
        <v/>
      </c>
      <c r="AI2654">
        <f t="shared" si="266"/>
        <v>0</v>
      </c>
      <c r="AJ2654">
        <f t="shared" si="267"/>
        <v>0</v>
      </c>
      <c r="AK2654">
        <v>0</v>
      </c>
      <c r="AL2654" t="str">
        <f>IF(AA2654="","",IFERROR(IF(ISNUMBER('Procyclean 520'!F156),'Procyclean 520'!F156,IF(ISNUMBER(SEARCH("12",'Procyclean 520'!F156)),EDATE(AB2654,12),IF(ISNUMBER(SEARCH("6",'Procyclean 520'!F156)),EDATE(AB2654,6),IF(ISNUMBER(SEARCH("3",'Procyclean 520'!F156)),EDATE(AB2654,3),DATEVALUE('Procyclean 520'!F156))))),""))</f>
        <v/>
      </c>
      <c r="AM2654" t="str">
        <f t="shared" ca="1" si="268"/>
        <v/>
      </c>
    </row>
    <row r="2655" spans="27:39" x14ac:dyDescent="0.3">
      <c r="AA2655" t="str">
        <f>IF(COUNTA('Procyclean 520'!C157,'Procyclean 520'!D157,'Procyclean 520'!E157)&gt;0,"520","")</f>
        <v/>
      </c>
      <c r="AB2655" t="str">
        <f>IFERROR(IF(ISNUMBER('Procyclean 520'!C157),'Procyclean 520'!C157,DATEVALUE('Procyclean 520'!C157)),"")</f>
        <v/>
      </c>
      <c r="AC2655" t="str">
        <f>IF(AA2655="","",'Procyclean 520'!D157)</f>
        <v/>
      </c>
      <c r="AD2655" t="str">
        <f>IF(AA2655="","",IFERROR(1*'Procyclean 520'!E157,IFERROR(_xludf.NUMBERVALUE('Procyclean 520'!E157,".",","),IFERROR(_xludf.NUMBERVALUE('Procyclean 520'!E157,",","."),0))))</f>
        <v/>
      </c>
      <c r="AE2655" t="str">
        <f>IF(AA2655="","",'Procyclean 520'!B157)</f>
        <v/>
      </c>
      <c r="AF2655">
        <f t="shared" si="263"/>
        <v>0</v>
      </c>
      <c r="AG2655" t="str">
        <f t="shared" si="264"/>
        <v/>
      </c>
      <c r="AH2655" t="str">
        <f t="shared" si="265"/>
        <v/>
      </c>
      <c r="AI2655">
        <f t="shared" si="266"/>
        <v>0</v>
      </c>
      <c r="AJ2655">
        <f t="shared" si="267"/>
        <v>0</v>
      </c>
      <c r="AK2655">
        <v>0</v>
      </c>
      <c r="AL2655" t="str">
        <f>IF(AA2655="","",IFERROR(IF(ISNUMBER('Procyclean 520'!F157),'Procyclean 520'!F157,IF(ISNUMBER(SEARCH("12",'Procyclean 520'!F157)),EDATE(AB2655,12),IF(ISNUMBER(SEARCH("6",'Procyclean 520'!F157)),EDATE(AB2655,6),IF(ISNUMBER(SEARCH("3",'Procyclean 520'!F157)),EDATE(AB2655,3),DATEVALUE('Procyclean 520'!F157))))),""))</f>
        <v/>
      </c>
      <c r="AM2655" t="str">
        <f t="shared" ca="1" si="268"/>
        <v/>
      </c>
    </row>
    <row r="2656" spans="27:39" x14ac:dyDescent="0.3">
      <c r="AA2656" t="str">
        <f>IF(COUNTA('Procyclean 520'!C158,'Procyclean 520'!D158,'Procyclean 520'!E158)&gt;0,"520","")</f>
        <v/>
      </c>
      <c r="AB2656" t="str">
        <f>IFERROR(IF(ISNUMBER('Procyclean 520'!C158),'Procyclean 520'!C158,DATEVALUE('Procyclean 520'!C158)),"")</f>
        <v/>
      </c>
      <c r="AC2656" t="str">
        <f>IF(AA2656="","",'Procyclean 520'!D158)</f>
        <v/>
      </c>
      <c r="AD2656" t="str">
        <f>IF(AA2656="","",IFERROR(1*'Procyclean 520'!E158,IFERROR(_xludf.NUMBERVALUE('Procyclean 520'!E158,".",","),IFERROR(_xludf.NUMBERVALUE('Procyclean 520'!E158,",","."),0))))</f>
        <v/>
      </c>
      <c r="AE2656" t="str">
        <f>IF(AA2656="","",'Procyclean 520'!B158)</f>
        <v/>
      </c>
      <c r="AF2656">
        <f t="shared" si="263"/>
        <v>0</v>
      </c>
      <c r="AG2656" t="str">
        <f t="shared" si="264"/>
        <v/>
      </c>
      <c r="AH2656" t="str">
        <f t="shared" si="265"/>
        <v/>
      </c>
      <c r="AI2656">
        <f t="shared" si="266"/>
        <v>0</v>
      </c>
      <c r="AJ2656">
        <f t="shared" si="267"/>
        <v>0</v>
      </c>
      <c r="AK2656">
        <v>0</v>
      </c>
      <c r="AL2656" t="str">
        <f>IF(AA2656="","",IFERROR(IF(ISNUMBER('Procyclean 520'!F158),'Procyclean 520'!F158,IF(ISNUMBER(SEARCH("12",'Procyclean 520'!F158)),EDATE(AB2656,12),IF(ISNUMBER(SEARCH("6",'Procyclean 520'!F158)),EDATE(AB2656,6),IF(ISNUMBER(SEARCH("3",'Procyclean 520'!F158)),EDATE(AB2656,3),DATEVALUE('Procyclean 520'!F158))))),""))</f>
        <v/>
      </c>
      <c r="AM2656" t="str">
        <f t="shared" ca="1" si="268"/>
        <v/>
      </c>
    </row>
    <row r="2657" spans="27:39" x14ac:dyDescent="0.3">
      <c r="AA2657" t="str">
        <f>IF(COUNTA('Procyclean 520'!C159,'Procyclean 520'!D159,'Procyclean 520'!E159)&gt;0,"520","")</f>
        <v/>
      </c>
      <c r="AB2657" t="str">
        <f>IFERROR(IF(ISNUMBER('Procyclean 520'!C159),'Procyclean 520'!C159,DATEVALUE('Procyclean 520'!C159)),"")</f>
        <v/>
      </c>
      <c r="AC2657" t="str">
        <f>IF(AA2657="","",'Procyclean 520'!D159)</f>
        <v/>
      </c>
      <c r="AD2657" t="str">
        <f>IF(AA2657="","",IFERROR(1*'Procyclean 520'!E159,IFERROR(_xludf.NUMBERVALUE('Procyclean 520'!E159,".",","),IFERROR(_xludf.NUMBERVALUE('Procyclean 520'!E159,",","."),0))))</f>
        <v/>
      </c>
      <c r="AE2657" t="str">
        <f>IF(AA2657="","",'Procyclean 520'!B159)</f>
        <v/>
      </c>
      <c r="AF2657">
        <f t="shared" si="263"/>
        <v>0</v>
      </c>
      <c r="AG2657" t="str">
        <f t="shared" si="264"/>
        <v/>
      </c>
      <c r="AH2657" t="str">
        <f t="shared" si="265"/>
        <v/>
      </c>
      <c r="AI2657">
        <f t="shared" si="266"/>
        <v>0</v>
      </c>
      <c r="AJ2657">
        <f t="shared" si="267"/>
        <v>0</v>
      </c>
      <c r="AK2657">
        <v>0</v>
      </c>
      <c r="AL2657" t="str">
        <f>IF(AA2657="","",IFERROR(IF(ISNUMBER('Procyclean 520'!F159),'Procyclean 520'!F159,IF(ISNUMBER(SEARCH("12",'Procyclean 520'!F159)),EDATE(AB2657,12),IF(ISNUMBER(SEARCH("6",'Procyclean 520'!F159)),EDATE(AB2657,6),IF(ISNUMBER(SEARCH("3",'Procyclean 520'!F159)),EDATE(AB2657,3),DATEVALUE('Procyclean 520'!F159))))),""))</f>
        <v/>
      </c>
      <c r="AM2657" t="str">
        <f t="shared" ca="1" si="268"/>
        <v/>
      </c>
    </row>
    <row r="2658" spans="27:39" x14ac:dyDescent="0.3">
      <c r="AA2658" t="str">
        <f>IF(COUNTA('Procyclean 520'!C160,'Procyclean 520'!D160,'Procyclean 520'!E160)&gt;0,"520","")</f>
        <v/>
      </c>
      <c r="AB2658" t="str">
        <f>IFERROR(IF(ISNUMBER('Procyclean 520'!C160),'Procyclean 520'!C160,DATEVALUE('Procyclean 520'!C160)),"")</f>
        <v/>
      </c>
      <c r="AC2658" t="str">
        <f>IF(AA2658="","",'Procyclean 520'!D160)</f>
        <v/>
      </c>
      <c r="AD2658" t="str">
        <f>IF(AA2658="","",IFERROR(1*'Procyclean 520'!E160,IFERROR(_xludf.NUMBERVALUE('Procyclean 520'!E160,".",","),IFERROR(_xludf.NUMBERVALUE('Procyclean 520'!E160,",","."),0))))</f>
        <v/>
      </c>
      <c r="AE2658" t="str">
        <f>IF(AA2658="","",'Procyclean 520'!B160)</f>
        <v/>
      </c>
      <c r="AF2658">
        <f t="shared" si="263"/>
        <v>0</v>
      </c>
      <c r="AG2658" t="str">
        <f t="shared" si="264"/>
        <v/>
      </c>
      <c r="AH2658" t="str">
        <f t="shared" si="265"/>
        <v/>
      </c>
      <c r="AI2658">
        <f t="shared" si="266"/>
        <v>0</v>
      </c>
      <c r="AJ2658">
        <f t="shared" si="267"/>
        <v>0</v>
      </c>
      <c r="AK2658">
        <v>0</v>
      </c>
      <c r="AL2658" t="str">
        <f>IF(AA2658="","",IFERROR(IF(ISNUMBER('Procyclean 520'!F160),'Procyclean 520'!F160,IF(ISNUMBER(SEARCH("12",'Procyclean 520'!F160)),EDATE(AB2658,12),IF(ISNUMBER(SEARCH("6",'Procyclean 520'!F160)),EDATE(AB2658,6),IF(ISNUMBER(SEARCH("3",'Procyclean 520'!F160)),EDATE(AB2658,3),DATEVALUE('Procyclean 520'!F160))))),""))</f>
        <v/>
      </c>
      <c r="AM2658" t="str">
        <f t="shared" ca="1" si="268"/>
        <v/>
      </c>
    </row>
    <row r="2659" spans="27:39" x14ac:dyDescent="0.3">
      <c r="AA2659" t="str">
        <f>IF(COUNTA('Procyclean 520'!C161,'Procyclean 520'!D161,'Procyclean 520'!E161)&gt;0,"520","")</f>
        <v/>
      </c>
      <c r="AB2659" t="str">
        <f>IFERROR(IF(ISNUMBER('Procyclean 520'!C161),'Procyclean 520'!C161,DATEVALUE('Procyclean 520'!C161)),"")</f>
        <v/>
      </c>
      <c r="AC2659" t="str">
        <f>IF(AA2659="","",'Procyclean 520'!D161)</f>
        <v/>
      </c>
      <c r="AD2659" t="str">
        <f>IF(AA2659="","",IFERROR(1*'Procyclean 520'!E161,IFERROR(_xludf.NUMBERVALUE('Procyclean 520'!E161,".",","),IFERROR(_xludf.NUMBERVALUE('Procyclean 520'!E161,",","."),0))))</f>
        <v/>
      </c>
      <c r="AE2659" t="str">
        <f>IF(AA2659="","",'Procyclean 520'!B161)</f>
        <v/>
      </c>
      <c r="AF2659">
        <f t="shared" si="263"/>
        <v>0</v>
      </c>
      <c r="AG2659" t="str">
        <f t="shared" si="264"/>
        <v/>
      </c>
      <c r="AH2659" t="str">
        <f t="shared" si="265"/>
        <v/>
      </c>
      <c r="AI2659">
        <f t="shared" si="266"/>
        <v>0</v>
      </c>
      <c r="AJ2659">
        <f t="shared" si="267"/>
        <v>0</v>
      </c>
      <c r="AK2659">
        <v>0</v>
      </c>
      <c r="AL2659" t="str">
        <f>IF(AA2659="","",IFERROR(IF(ISNUMBER('Procyclean 520'!F161),'Procyclean 520'!F161,IF(ISNUMBER(SEARCH("12",'Procyclean 520'!F161)),EDATE(AB2659,12),IF(ISNUMBER(SEARCH("6",'Procyclean 520'!F161)),EDATE(AB2659,6),IF(ISNUMBER(SEARCH("3",'Procyclean 520'!F161)),EDATE(AB2659,3),DATEVALUE('Procyclean 520'!F161))))),""))</f>
        <v/>
      </c>
      <c r="AM2659" t="str">
        <f t="shared" ca="1" si="268"/>
        <v/>
      </c>
    </row>
    <row r="2660" spans="27:39" x14ac:dyDescent="0.3">
      <c r="AA2660" t="str">
        <f>IF(COUNTA('Procyclean 520'!C162,'Procyclean 520'!D162,'Procyclean 520'!E162)&gt;0,"520","")</f>
        <v/>
      </c>
      <c r="AB2660" t="str">
        <f>IFERROR(IF(ISNUMBER('Procyclean 520'!C162),'Procyclean 520'!C162,DATEVALUE('Procyclean 520'!C162)),"")</f>
        <v/>
      </c>
      <c r="AC2660" t="str">
        <f>IF(AA2660="","",'Procyclean 520'!D162)</f>
        <v/>
      </c>
      <c r="AD2660" t="str">
        <f>IF(AA2660="","",IFERROR(1*'Procyclean 520'!E162,IFERROR(_xludf.NUMBERVALUE('Procyclean 520'!E162,".",","),IFERROR(_xludf.NUMBERVALUE('Procyclean 520'!E162,",","."),0))))</f>
        <v/>
      </c>
      <c r="AE2660" t="str">
        <f>IF(AA2660="","",'Procyclean 520'!B162)</f>
        <v/>
      </c>
      <c r="AF2660">
        <f t="shared" si="263"/>
        <v>0</v>
      </c>
      <c r="AG2660" t="str">
        <f t="shared" si="264"/>
        <v/>
      </c>
      <c r="AH2660" t="str">
        <f t="shared" si="265"/>
        <v/>
      </c>
      <c r="AI2660">
        <f t="shared" si="266"/>
        <v>0</v>
      </c>
      <c r="AJ2660">
        <f t="shared" si="267"/>
        <v>0</v>
      </c>
      <c r="AK2660">
        <v>0</v>
      </c>
      <c r="AL2660" t="str">
        <f>IF(AA2660="","",IFERROR(IF(ISNUMBER('Procyclean 520'!F162),'Procyclean 520'!F162,IF(ISNUMBER(SEARCH("12",'Procyclean 520'!F162)),EDATE(AB2660,12),IF(ISNUMBER(SEARCH("6",'Procyclean 520'!F162)),EDATE(AB2660,6),IF(ISNUMBER(SEARCH("3",'Procyclean 520'!F162)),EDATE(AB2660,3),DATEVALUE('Procyclean 520'!F162))))),""))</f>
        <v/>
      </c>
      <c r="AM2660" t="str">
        <f t="shared" ca="1" si="268"/>
        <v/>
      </c>
    </row>
    <row r="2661" spans="27:39" x14ac:dyDescent="0.3">
      <c r="AA2661" t="str">
        <f>IF(COUNTA('Procyclean 520'!C163,'Procyclean 520'!D163,'Procyclean 520'!E163)&gt;0,"520","")</f>
        <v/>
      </c>
      <c r="AB2661" t="str">
        <f>IFERROR(IF(ISNUMBER('Procyclean 520'!C163),'Procyclean 520'!C163,DATEVALUE('Procyclean 520'!C163)),"")</f>
        <v/>
      </c>
      <c r="AC2661" t="str">
        <f>IF(AA2661="","",'Procyclean 520'!D163)</f>
        <v/>
      </c>
      <c r="AD2661" t="str">
        <f>IF(AA2661="","",IFERROR(1*'Procyclean 520'!E163,IFERROR(_xludf.NUMBERVALUE('Procyclean 520'!E163,".",","),IFERROR(_xludf.NUMBERVALUE('Procyclean 520'!E163,",","."),0))))</f>
        <v/>
      </c>
      <c r="AE2661" t="str">
        <f>IF(AA2661="","",'Procyclean 520'!B163)</f>
        <v/>
      </c>
      <c r="AF2661">
        <f t="shared" si="263"/>
        <v>0</v>
      </c>
      <c r="AG2661" t="str">
        <f t="shared" si="264"/>
        <v/>
      </c>
      <c r="AH2661" t="str">
        <f t="shared" si="265"/>
        <v/>
      </c>
      <c r="AI2661">
        <f t="shared" si="266"/>
        <v>0</v>
      </c>
      <c r="AJ2661">
        <f t="shared" si="267"/>
        <v>0</v>
      </c>
      <c r="AK2661">
        <v>0</v>
      </c>
      <c r="AL2661" t="str">
        <f>IF(AA2661="","",IFERROR(IF(ISNUMBER('Procyclean 520'!F163),'Procyclean 520'!F163,IF(ISNUMBER(SEARCH("12",'Procyclean 520'!F163)),EDATE(AB2661,12),IF(ISNUMBER(SEARCH("6",'Procyclean 520'!F163)),EDATE(AB2661,6),IF(ISNUMBER(SEARCH("3",'Procyclean 520'!F163)),EDATE(AB2661,3),DATEVALUE('Procyclean 520'!F163))))),""))</f>
        <v/>
      </c>
      <c r="AM2661" t="str">
        <f t="shared" ca="1" si="268"/>
        <v/>
      </c>
    </row>
    <row r="2662" spans="27:39" x14ac:dyDescent="0.3">
      <c r="AA2662" t="str">
        <f>IF(COUNTA('Procyclean 520'!C164,'Procyclean 520'!D164,'Procyclean 520'!E164)&gt;0,"520","")</f>
        <v/>
      </c>
      <c r="AB2662" t="str">
        <f>IFERROR(IF(ISNUMBER('Procyclean 520'!C164),'Procyclean 520'!C164,DATEVALUE('Procyclean 520'!C164)),"")</f>
        <v/>
      </c>
      <c r="AC2662" t="str">
        <f>IF(AA2662="","",'Procyclean 520'!D164)</f>
        <v/>
      </c>
      <c r="AD2662" t="str">
        <f>IF(AA2662="","",IFERROR(1*'Procyclean 520'!E164,IFERROR(_xludf.NUMBERVALUE('Procyclean 520'!E164,".",","),IFERROR(_xludf.NUMBERVALUE('Procyclean 520'!E164,",","."),0))))</f>
        <v/>
      </c>
      <c r="AE2662" t="str">
        <f>IF(AA2662="","",'Procyclean 520'!B164)</f>
        <v/>
      </c>
      <c r="AF2662">
        <f t="shared" si="263"/>
        <v>0</v>
      </c>
      <c r="AG2662" t="str">
        <f t="shared" si="264"/>
        <v/>
      </c>
      <c r="AH2662" t="str">
        <f t="shared" si="265"/>
        <v/>
      </c>
      <c r="AI2662">
        <f t="shared" si="266"/>
        <v>0</v>
      </c>
      <c r="AJ2662">
        <f t="shared" si="267"/>
        <v>0</v>
      </c>
      <c r="AK2662">
        <v>0</v>
      </c>
      <c r="AL2662" t="str">
        <f>IF(AA2662="","",IFERROR(IF(ISNUMBER('Procyclean 520'!F164),'Procyclean 520'!F164,IF(ISNUMBER(SEARCH("12",'Procyclean 520'!F164)),EDATE(AB2662,12),IF(ISNUMBER(SEARCH("6",'Procyclean 520'!F164)),EDATE(AB2662,6),IF(ISNUMBER(SEARCH("3",'Procyclean 520'!F164)),EDATE(AB2662,3),DATEVALUE('Procyclean 520'!F164))))),""))</f>
        <v/>
      </c>
      <c r="AM2662" t="str">
        <f t="shared" ca="1" si="268"/>
        <v/>
      </c>
    </row>
    <row r="2663" spans="27:39" x14ac:dyDescent="0.3">
      <c r="AA2663" t="str">
        <f>IF(COUNTA('Procyclean 520'!C165,'Procyclean 520'!D165,'Procyclean 520'!E165)&gt;0,"520","")</f>
        <v/>
      </c>
      <c r="AB2663" t="str">
        <f>IFERROR(IF(ISNUMBER('Procyclean 520'!C165),'Procyclean 520'!C165,DATEVALUE('Procyclean 520'!C165)),"")</f>
        <v/>
      </c>
      <c r="AC2663" t="str">
        <f>IF(AA2663="","",'Procyclean 520'!D165)</f>
        <v/>
      </c>
      <c r="AD2663" t="str">
        <f>IF(AA2663="","",IFERROR(1*'Procyclean 520'!E165,IFERROR(_xludf.NUMBERVALUE('Procyclean 520'!E165,".",","),IFERROR(_xludf.NUMBERVALUE('Procyclean 520'!E165,",","."),0))))</f>
        <v/>
      </c>
      <c r="AE2663" t="str">
        <f>IF(AA2663="","",'Procyclean 520'!B165)</f>
        <v/>
      </c>
      <c r="AF2663">
        <f t="shared" si="263"/>
        <v>0</v>
      </c>
      <c r="AG2663" t="str">
        <f t="shared" si="264"/>
        <v/>
      </c>
      <c r="AH2663" t="str">
        <f t="shared" si="265"/>
        <v/>
      </c>
      <c r="AI2663">
        <f t="shared" si="266"/>
        <v>0</v>
      </c>
      <c r="AJ2663">
        <f t="shared" si="267"/>
        <v>0</v>
      </c>
      <c r="AK2663">
        <v>0</v>
      </c>
      <c r="AL2663" t="str">
        <f>IF(AA2663="","",IFERROR(IF(ISNUMBER('Procyclean 520'!F165),'Procyclean 520'!F165,IF(ISNUMBER(SEARCH("12",'Procyclean 520'!F165)),EDATE(AB2663,12),IF(ISNUMBER(SEARCH("6",'Procyclean 520'!F165)),EDATE(AB2663,6),IF(ISNUMBER(SEARCH("3",'Procyclean 520'!F165)),EDATE(AB2663,3),DATEVALUE('Procyclean 520'!F165))))),""))</f>
        <v/>
      </c>
      <c r="AM2663" t="str">
        <f t="shared" ca="1" si="268"/>
        <v/>
      </c>
    </row>
    <row r="2664" spans="27:39" x14ac:dyDescent="0.3">
      <c r="AA2664" t="str">
        <f>IF(COUNTA('Procyclean 520'!C166,'Procyclean 520'!D166,'Procyclean 520'!E166)&gt;0,"520","")</f>
        <v/>
      </c>
      <c r="AB2664" t="str">
        <f>IFERROR(IF(ISNUMBER('Procyclean 520'!C166),'Procyclean 520'!C166,DATEVALUE('Procyclean 520'!C166)),"")</f>
        <v/>
      </c>
      <c r="AC2664" t="str">
        <f>IF(AA2664="","",'Procyclean 520'!D166)</f>
        <v/>
      </c>
      <c r="AD2664" t="str">
        <f>IF(AA2664="","",IFERROR(1*'Procyclean 520'!E166,IFERROR(_xludf.NUMBERVALUE('Procyclean 520'!E166,".",","),IFERROR(_xludf.NUMBERVALUE('Procyclean 520'!E166,",","."),0))))</f>
        <v/>
      </c>
      <c r="AE2664" t="str">
        <f>IF(AA2664="","",'Procyclean 520'!B166)</f>
        <v/>
      </c>
      <c r="AF2664">
        <f t="shared" si="263"/>
        <v>0</v>
      </c>
      <c r="AG2664" t="str">
        <f t="shared" si="264"/>
        <v/>
      </c>
      <c r="AH2664" t="str">
        <f t="shared" si="265"/>
        <v/>
      </c>
      <c r="AI2664">
        <f t="shared" si="266"/>
        <v>0</v>
      </c>
      <c r="AJ2664">
        <f t="shared" si="267"/>
        <v>0</v>
      </c>
      <c r="AK2664">
        <v>0</v>
      </c>
      <c r="AL2664" t="str">
        <f>IF(AA2664="","",IFERROR(IF(ISNUMBER('Procyclean 520'!F166),'Procyclean 520'!F166,IF(ISNUMBER(SEARCH("12",'Procyclean 520'!F166)),EDATE(AB2664,12),IF(ISNUMBER(SEARCH("6",'Procyclean 520'!F166)),EDATE(AB2664,6),IF(ISNUMBER(SEARCH("3",'Procyclean 520'!F166)),EDATE(AB2664,3),DATEVALUE('Procyclean 520'!F166))))),""))</f>
        <v/>
      </c>
      <c r="AM2664" t="str">
        <f t="shared" ca="1" si="268"/>
        <v/>
      </c>
    </row>
    <row r="2665" spans="27:39" x14ac:dyDescent="0.3">
      <c r="AA2665" t="str">
        <f>IF(COUNTA('Procyclean 520'!C167,'Procyclean 520'!D167,'Procyclean 520'!E167)&gt;0,"520","")</f>
        <v/>
      </c>
      <c r="AB2665" t="str">
        <f>IFERROR(IF(ISNUMBER('Procyclean 520'!C167),'Procyclean 520'!C167,DATEVALUE('Procyclean 520'!C167)),"")</f>
        <v/>
      </c>
      <c r="AC2665" t="str">
        <f>IF(AA2665="","",'Procyclean 520'!D167)</f>
        <v/>
      </c>
      <c r="AD2665" t="str">
        <f>IF(AA2665="","",IFERROR(1*'Procyclean 520'!E167,IFERROR(_xludf.NUMBERVALUE('Procyclean 520'!E167,".",","),IFERROR(_xludf.NUMBERVALUE('Procyclean 520'!E167,",","."),0))))</f>
        <v/>
      </c>
      <c r="AE2665" t="str">
        <f>IF(AA2665="","",'Procyclean 520'!B167)</f>
        <v/>
      </c>
      <c r="AF2665">
        <f t="shared" si="263"/>
        <v>0</v>
      </c>
      <c r="AG2665" t="str">
        <f t="shared" si="264"/>
        <v/>
      </c>
      <c r="AH2665" t="str">
        <f t="shared" si="265"/>
        <v/>
      </c>
      <c r="AI2665">
        <f t="shared" si="266"/>
        <v>0</v>
      </c>
      <c r="AJ2665">
        <f t="shared" si="267"/>
        <v>0</v>
      </c>
      <c r="AK2665">
        <v>0</v>
      </c>
      <c r="AL2665" t="str">
        <f>IF(AA2665="","",IFERROR(IF(ISNUMBER('Procyclean 520'!F167),'Procyclean 520'!F167,IF(ISNUMBER(SEARCH("12",'Procyclean 520'!F167)),EDATE(AB2665,12),IF(ISNUMBER(SEARCH("6",'Procyclean 520'!F167)),EDATE(AB2665,6),IF(ISNUMBER(SEARCH("3",'Procyclean 520'!F167)),EDATE(AB2665,3),DATEVALUE('Procyclean 520'!F167))))),""))</f>
        <v/>
      </c>
      <c r="AM2665" t="str">
        <f t="shared" ca="1" si="268"/>
        <v/>
      </c>
    </row>
    <row r="2666" spans="27:39" x14ac:dyDescent="0.3">
      <c r="AA2666" t="str">
        <f>IF(COUNTA('Procyclean 520'!C168,'Procyclean 520'!D168,'Procyclean 520'!E168)&gt;0,"520","")</f>
        <v/>
      </c>
      <c r="AB2666" t="str">
        <f>IFERROR(IF(ISNUMBER('Procyclean 520'!C168),'Procyclean 520'!C168,DATEVALUE('Procyclean 520'!C168)),"")</f>
        <v/>
      </c>
      <c r="AC2666" t="str">
        <f>IF(AA2666="","",'Procyclean 520'!D168)</f>
        <v/>
      </c>
      <c r="AD2666" t="str">
        <f>IF(AA2666="","",IFERROR(1*'Procyclean 520'!E168,IFERROR(_xludf.NUMBERVALUE('Procyclean 520'!E168,".",","),IFERROR(_xludf.NUMBERVALUE('Procyclean 520'!E168,",","."),0))))</f>
        <v/>
      </c>
      <c r="AE2666" t="str">
        <f>IF(AA2666="","",'Procyclean 520'!B168)</f>
        <v/>
      </c>
      <c r="AF2666">
        <f t="shared" si="263"/>
        <v>0</v>
      </c>
      <c r="AG2666" t="str">
        <f t="shared" si="264"/>
        <v/>
      </c>
      <c r="AH2666" t="str">
        <f t="shared" si="265"/>
        <v/>
      </c>
      <c r="AI2666">
        <f t="shared" si="266"/>
        <v>0</v>
      </c>
      <c r="AJ2666">
        <f t="shared" si="267"/>
        <v>0</v>
      </c>
      <c r="AK2666">
        <v>0</v>
      </c>
      <c r="AL2666" t="str">
        <f>IF(AA2666="","",IFERROR(IF(ISNUMBER('Procyclean 520'!F168),'Procyclean 520'!F168,IF(ISNUMBER(SEARCH("12",'Procyclean 520'!F168)),EDATE(AB2666,12),IF(ISNUMBER(SEARCH("6",'Procyclean 520'!F168)),EDATE(AB2666,6),IF(ISNUMBER(SEARCH("3",'Procyclean 520'!F168)),EDATE(AB2666,3),DATEVALUE('Procyclean 520'!F168))))),""))</f>
        <v/>
      </c>
      <c r="AM2666" t="str">
        <f t="shared" ca="1" si="268"/>
        <v/>
      </c>
    </row>
    <row r="2667" spans="27:39" x14ac:dyDescent="0.3">
      <c r="AA2667" t="str">
        <f>IF(COUNTA('Procyclean 520'!C169,'Procyclean 520'!D169,'Procyclean 520'!E169)&gt;0,"520","")</f>
        <v/>
      </c>
      <c r="AB2667" t="str">
        <f>IFERROR(IF(ISNUMBER('Procyclean 520'!C169),'Procyclean 520'!C169,DATEVALUE('Procyclean 520'!C169)),"")</f>
        <v/>
      </c>
      <c r="AC2667" t="str">
        <f>IF(AA2667="","",'Procyclean 520'!D169)</f>
        <v/>
      </c>
      <c r="AD2667" t="str">
        <f>IF(AA2667="","",IFERROR(1*'Procyclean 520'!E169,IFERROR(_xludf.NUMBERVALUE('Procyclean 520'!E169,".",","),IFERROR(_xludf.NUMBERVALUE('Procyclean 520'!E169,",","."),0))))</f>
        <v/>
      </c>
      <c r="AE2667" t="str">
        <f>IF(AA2667="","",'Procyclean 520'!B169)</f>
        <v/>
      </c>
      <c r="AF2667">
        <f t="shared" si="263"/>
        <v>0</v>
      </c>
      <c r="AG2667" t="str">
        <f t="shared" si="264"/>
        <v/>
      </c>
      <c r="AH2667" t="str">
        <f t="shared" si="265"/>
        <v/>
      </c>
      <c r="AI2667">
        <f t="shared" si="266"/>
        <v>0</v>
      </c>
      <c r="AJ2667">
        <f t="shared" si="267"/>
        <v>0</v>
      </c>
      <c r="AK2667">
        <v>0</v>
      </c>
      <c r="AL2667" t="str">
        <f>IF(AA2667="","",IFERROR(IF(ISNUMBER('Procyclean 520'!F169),'Procyclean 520'!F169,IF(ISNUMBER(SEARCH("12",'Procyclean 520'!F169)),EDATE(AB2667,12),IF(ISNUMBER(SEARCH("6",'Procyclean 520'!F169)),EDATE(AB2667,6),IF(ISNUMBER(SEARCH("3",'Procyclean 520'!F169)),EDATE(AB2667,3),DATEVALUE('Procyclean 520'!F169))))),""))</f>
        <v/>
      </c>
      <c r="AM2667" t="str">
        <f t="shared" ca="1" si="268"/>
        <v/>
      </c>
    </row>
    <row r="2668" spans="27:39" x14ac:dyDescent="0.3">
      <c r="AA2668" t="str">
        <f>IF(COUNTA('Procyclean 520'!C170,'Procyclean 520'!D170,'Procyclean 520'!E170)&gt;0,"520","")</f>
        <v/>
      </c>
      <c r="AB2668" t="str">
        <f>IFERROR(IF(ISNUMBER('Procyclean 520'!C170),'Procyclean 520'!C170,DATEVALUE('Procyclean 520'!C170)),"")</f>
        <v/>
      </c>
      <c r="AC2668" t="str">
        <f>IF(AA2668="","",'Procyclean 520'!D170)</f>
        <v/>
      </c>
      <c r="AD2668" t="str">
        <f>IF(AA2668="","",IFERROR(1*'Procyclean 520'!E170,IFERROR(_xludf.NUMBERVALUE('Procyclean 520'!E170,".",","),IFERROR(_xludf.NUMBERVALUE('Procyclean 520'!E170,",","."),0))))</f>
        <v/>
      </c>
      <c r="AE2668" t="str">
        <f>IF(AA2668="","",'Procyclean 520'!B170)</f>
        <v/>
      </c>
      <c r="AF2668">
        <f t="shared" si="263"/>
        <v>0</v>
      </c>
      <c r="AG2668" t="str">
        <f t="shared" si="264"/>
        <v/>
      </c>
      <c r="AH2668" t="str">
        <f t="shared" si="265"/>
        <v/>
      </c>
      <c r="AI2668">
        <f t="shared" si="266"/>
        <v>0</v>
      </c>
      <c r="AJ2668">
        <f t="shared" si="267"/>
        <v>0</v>
      </c>
      <c r="AK2668">
        <v>0</v>
      </c>
      <c r="AL2668" t="str">
        <f>IF(AA2668="","",IFERROR(IF(ISNUMBER('Procyclean 520'!F170),'Procyclean 520'!F170,IF(ISNUMBER(SEARCH("12",'Procyclean 520'!F170)),EDATE(AB2668,12),IF(ISNUMBER(SEARCH("6",'Procyclean 520'!F170)),EDATE(AB2668,6),IF(ISNUMBER(SEARCH("3",'Procyclean 520'!F170)),EDATE(AB2668,3),DATEVALUE('Procyclean 520'!F170))))),""))</f>
        <v/>
      </c>
      <c r="AM2668" t="str">
        <f t="shared" ca="1" si="268"/>
        <v/>
      </c>
    </row>
    <row r="2669" spans="27:39" x14ac:dyDescent="0.3">
      <c r="AA2669" t="str">
        <f>IF(COUNTA('Procyclean 520'!C171,'Procyclean 520'!D171,'Procyclean 520'!E171)&gt;0,"520","")</f>
        <v/>
      </c>
      <c r="AB2669" t="str">
        <f>IFERROR(IF(ISNUMBER('Procyclean 520'!C171),'Procyclean 520'!C171,DATEVALUE('Procyclean 520'!C171)),"")</f>
        <v/>
      </c>
      <c r="AC2669" t="str">
        <f>IF(AA2669="","",'Procyclean 520'!D171)</f>
        <v/>
      </c>
      <c r="AD2669" t="str">
        <f>IF(AA2669="","",IFERROR(1*'Procyclean 520'!E171,IFERROR(_xludf.NUMBERVALUE('Procyclean 520'!E171,".",","),IFERROR(_xludf.NUMBERVALUE('Procyclean 520'!E171,",","."),0))))</f>
        <v/>
      </c>
      <c r="AE2669" t="str">
        <f>IF(AA2669="","",'Procyclean 520'!B171)</f>
        <v/>
      </c>
      <c r="AF2669">
        <f t="shared" si="263"/>
        <v>0</v>
      </c>
      <c r="AG2669" t="str">
        <f t="shared" si="264"/>
        <v/>
      </c>
      <c r="AH2669" t="str">
        <f t="shared" si="265"/>
        <v/>
      </c>
      <c r="AI2669">
        <f t="shared" si="266"/>
        <v>0</v>
      </c>
      <c r="AJ2669">
        <f t="shared" si="267"/>
        <v>0</v>
      </c>
      <c r="AK2669">
        <v>0</v>
      </c>
      <c r="AL2669" t="str">
        <f>IF(AA2669="","",IFERROR(IF(ISNUMBER('Procyclean 520'!F171),'Procyclean 520'!F171,IF(ISNUMBER(SEARCH("12",'Procyclean 520'!F171)),EDATE(AB2669,12),IF(ISNUMBER(SEARCH("6",'Procyclean 520'!F171)),EDATE(AB2669,6),IF(ISNUMBER(SEARCH("3",'Procyclean 520'!F171)),EDATE(AB2669,3),DATEVALUE('Procyclean 520'!F171))))),""))</f>
        <v/>
      </c>
      <c r="AM2669" t="str">
        <f t="shared" ca="1" si="268"/>
        <v/>
      </c>
    </row>
    <row r="2670" spans="27:39" x14ac:dyDescent="0.3">
      <c r="AA2670" t="str">
        <f>IF(COUNTA('Procyclean 520'!C172,'Procyclean 520'!D172,'Procyclean 520'!E172)&gt;0,"520","")</f>
        <v/>
      </c>
      <c r="AB2670" t="str">
        <f>IFERROR(IF(ISNUMBER('Procyclean 520'!C172),'Procyclean 520'!C172,DATEVALUE('Procyclean 520'!C172)),"")</f>
        <v/>
      </c>
      <c r="AC2670" t="str">
        <f>IF(AA2670="","",'Procyclean 520'!D172)</f>
        <v/>
      </c>
      <c r="AD2670" t="str">
        <f>IF(AA2670="","",IFERROR(1*'Procyclean 520'!E172,IFERROR(_xludf.NUMBERVALUE('Procyclean 520'!E172,".",","),IFERROR(_xludf.NUMBERVALUE('Procyclean 520'!E172,",","."),0))))</f>
        <v/>
      </c>
      <c r="AE2670" t="str">
        <f>IF(AA2670="","",'Procyclean 520'!B172)</f>
        <v/>
      </c>
      <c r="AF2670">
        <f t="shared" si="263"/>
        <v>0</v>
      </c>
      <c r="AG2670" t="str">
        <f t="shared" si="264"/>
        <v/>
      </c>
      <c r="AH2670" t="str">
        <f t="shared" si="265"/>
        <v/>
      </c>
      <c r="AI2670">
        <f t="shared" si="266"/>
        <v>0</v>
      </c>
      <c r="AJ2670">
        <f t="shared" si="267"/>
        <v>0</v>
      </c>
      <c r="AK2670">
        <v>0</v>
      </c>
      <c r="AL2670" t="str">
        <f>IF(AA2670="","",IFERROR(IF(ISNUMBER('Procyclean 520'!F172),'Procyclean 520'!F172,IF(ISNUMBER(SEARCH("12",'Procyclean 520'!F172)),EDATE(AB2670,12),IF(ISNUMBER(SEARCH("6",'Procyclean 520'!F172)),EDATE(AB2670,6),IF(ISNUMBER(SEARCH("3",'Procyclean 520'!F172)),EDATE(AB2670,3),DATEVALUE('Procyclean 520'!F172))))),""))</f>
        <v/>
      </c>
      <c r="AM2670" t="str">
        <f t="shared" ca="1" si="268"/>
        <v/>
      </c>
    </row>
    <row r="2671" spans="27:39" x14ac:dyDescent="0.3">
      <c r="AA2671" t="str">
        <f>IF(COUNTA('Procyclean 520'!C173,'Procyclean 520'!D173,'Procyclean 520'!E173)&gt;0,"520","")</f>
        <v/>
      </c>
      <c r="AB2671" t="str">
        <f>IFERROR(IF(ISNUMBER('Procyclean 520'!C173),'Procyclean 520'!C173,DATEVALUE('Procyclean 520'!C173)),"")</f>
        <v/>
      </c>
      <c r="AC2671" t="str">
        <f>IF(AA2671="","",'Procyclean 520'!D173)</f>
        <v/>
      </c>
      <c r="AD2671" t="str">
        <f>IF(AA2671="","",IFERROR(1*'Procyclean 520'!E173,IFERROR(_xludf.NUMBERVALUE('Procyclean 520'!E173,".",","),IFERROR(_xludf.NUMBERVALUE('Procyclean 520'!E173,",","."),0))))</f>
        <v/>
      </c>
      <c r="AE2671" t="str">
        <f>IF(AA2671="","",'Procyclean 520'!B173)</f>
        <v/>
      </c>
      <c r="AF2671">
        <f t="shared" si="263"/>
        <v>0</v>
      </c>
      <c r="AG2671" t="str">
        <f t="shared" si="264"/>
        <v/>
      </c>
      <c r="AH2671" t="str">
        <f t="shared" si="265"/>
        <v/>
      </c>
      <c r="AI2671">
        <f t="shared" si="266"/>
        <v>0</v>
      </c>
      <c r="AJ2671">
        <f t="shared" si="267"/>
        <v>0</v>
      </c>
      <c r="AK2671">
        <v>0</v>
      </c>
      <c r="AL2671" t="str">
        <f>IF(AA2671="","",IFERROR(IF(ISNUMBER('Procyclean 520'!F173),'Procyclean 520'!F173,IF(ISNUMBER(SEARCH("12",'Procyclean 520'!F173)),EDATE(AB2671,12),IF(ISNUMBER(SEARCH("6",'Procyclean 520'!F173)),EDATE(AB2671,6),IF(ISNUMBER(SEARCH("3",'Procyclean 520'!F173)),EDATE(AB2671,3),DATEVALUE('Procyclean 520'!F173))))),""))</f>
        <v/>
      </c>
      <c r="AM2671" t="str">
        <f t="shared" ca="1" si="268"/>
        <v/>
      </c>
    </row>
    <row r="2672" spans="27:39" x14ac:dyDescent="0.3">
      <c r="AA2672" t="str">
        <f>IF(COUNTA('Procyclean 520'!C174,'Procyclean 520'!D174,'Procyclean 520'!E174)&gt;0,"520","")</f>
        <v/>
      </c>
      <c r="AB2672" t="str">
        <f>IFERROR(IF(ISNUMBER('Procyclean 520'!C174),'Procyclean 520'!C174,DATEVALUE('Procyclean 520'!C174)),"")</f>
        <v/>
      </c>
      <c r="AC2672" t="str">
        <f>IF(AA2672="","",'Procyclean 520'!D174)</f>
        <v/>
      </c>
      <c r="AD2672" t="str">
        <f>IF(AA2672="","",IFERROR(1*'Procyclean 520'!E174,IFERROR(_xludf.NUMBERVALUE('Procyclean 520'!E174,".",","),IFERROR(_xludf.NUMBERVALUE('Procyclean 520'!E174,",","."),0))))</f>
        <v/>
      </c>
      <c r="AE2672" t="str">
        <f>IF(AA2672="","",'Procyclean 520'!B174)</f>
        <v/>
      </c>
      <c r="AF2672">
        <f t="shared" si="263"/>
        <v>0</v>
      </c>
      <c r="AG2672" t="str">
        <f t="shared" si="264"/>
        <v/>
      </c>
      <c r="AH2672" t="str">
        <f t="shared" si="265"/>
        <v/>
      </c>
      <c r="AI2672">
        <f t="shared" si="266"/>
        <v>0</v>
      </c>
      <c r="AJ2672">
        <f t="shared" si="267"/>
        <v>0</v>
      </c>
      <c r="AK2672">
        <v>0</v>
      </c>
      <c r="AL2672" t="str">
        <f>IF(AA2672="","",IFERROR(IF(ISNUMBER('Procyclean 520'!F174),'Procyclean 520'!F174,IF(ISNUMBER(SEARCH("12",'Procyclean 520'!F174)),EDATE(AB2672,12),IF(ISNUMBER(SEARCH("6",'Procyclean 520'!F174)),EDATE(AB2672,6),IF(ISNUMBER(SEARCH("3",'Procyclean 520'!F174)),EDATE(AB2672,3),DATEVALUE('Procyclean 520'!F174))))),""))</f>
        <v/>
      </c>
      <c r="AM2672" t="str">
        <f t="shared" ca="1" si="268"/>
        <v/>
      </c>
    </row>
    <row r="2673" spans="27:39" x14ac:dyDescent="0.3">
      <c r="AA2673" t="str">
        <f>IF(COUNTA('Procyclean 520'!C175,'Procyclean 520'!D175,'Procyclean 520'!E175)&gt;0,"520","")</f>
        <v/>
      </c>
      <c r="AB2673" t="str">
        <f>IFERROR(IF(ISNUMBER('Procyclean 520'!C175),'Procyclean 520'!C175,DATEVALUE('Procyclean 520'!C175)),"")</f>
        <v/>
      </c>
      <c r="AC2673" t="str">
        <f>IF(AA2673="","",'Procyclean 520'!D175)</f>
        <v/>
      </c>
      <c r="AD2673" t="str">
        <f>IF(AA2673="","",IFERROR(1*'Procyclean 520'!E175,IFERROR(_xludf.NUMBERVALUE('Procyclean 520'!E175,".",","),IFERROR(_xludf.NUMBERVALUE('Procyclean 520'!E175,",","."),0))))</f>
        <v/>
      </c>
      <c r="AE2673" t="str">
        <f>IF(AA2673="","",'Procyclean 520'!B175)</f>
        <v/>
      </c>
      <c r="AF2673">
        <f t="shared" si="263"/>
        <v>0</v>
      </c>
      <c r="AG2673" t="str">
        <f t="shared" si="264"/>
        <v/>
      </c>
      <c r="AH2673" t="str">
        <f t="shared" si="265"/>
        <v/>
      </c>
      <c r="AI2673">
        <f t="shared" si="266"/>
        <v>0</v>
      </c>
      <c r="AJ2673">
        <f t="shared" si="267"/>
        <v>0</v>
      </c>
      <c r="AK2673">
        <v>0</v>
      </c>
      <c r="AL2673" t="str">
        <f>IF(AA2673="","",IFERROR(IF(ISNUMBER('Procyclean 520'!F175),'Procyclean 520'!F175,IF(ISNUMBER(SEARCH("12",'Procyclean 520'!F175)),EDATE(AB2673,12),IF(ISNUMBER(SEARCH("6",'Procyclean 520'!F175)),EDATE(AB2673,6),IF(ISNUMBER(SEARCH("3",'Procyclean 520'!F175)),EDATE(AB2673,3),DATEVALUE('Procyclean 520'!F175))))),""))</f>
        <v/>
      </c>
      <c r="AM2673" t="str">
        <f t="shared" ca="1" si="268"/>
        <v/>
      </c>
    </row>
    <row r="2674" spans="27:39" x14ac:dyDescent="0.3">
      <c r="AA2674" t="str">
        <f>IF(COUNTA('Procyclean 520'!C176,'Procyclean 520'!D176,'Procyclean 520'!E176)&gt;0,"520","")</f>
        <v/>
      </c>
      <c r="AB2674" t="str">
        <f>IFERROR(IF(ISNUMBER('Procyclean 520'!C176),'Procyclean 520'!C176,DATEVALUE('Procyclean 520'!C176)),"")</f>
        <v/>
      </c>
      <c r="AC2674" t="str">
        <f>IF(AA2674="","",'Procyclean 520'!D176)</f>
        <v/>
      </c>
      <c r="AD2674" t="str">
        <f>IF(AA2674="","",IFERROR(1*'Procyclean 520'!E176,IFERROR(_xludf.NUMBERVALUE('Procyclean 520'!E176,".",","),IFERROR(_xludf.NUMBERVALUE('Procyclean 520'!E176,",","."),0))))</f>
        <v/>
      </c>
      <c r="AE2674" t="str">
        <f>IF(AA2674="","",'Procyclean 520'!B176)</f>
        <v/>
      </c>
      <c r="AF2674">
        <f t="shared" si="263"/>
        <v>0</v>
      </c>
      <c r="AG2674" t="str">
        <f t="shared" si="264"/>
        <v/>
      </c>
      <c r="AH2674" t="str">
        <f t="shared" si="265"/>
        <v/>
      </c>
      <c r="AI2674">
        <f t="shared" si="266"/>
        <v>0</v>
      </c>
      <c r="AJ2674">
        <f t="shared" si="267"/>
        <v>0</v>
      </c>
      <c r="AK2674">
        <v>0</v>
      </c>
      <c r="AL2674" t="str">
        <f>IF(AA2674="","",IFERROR(IF(ISNUMBER('Procyclean 520'!F176),'Procyclean 520'!F176,IF(ISNUMBER(SEARCH("12",'Procyclean 520'!F176)),EDATE(AB2674,12),IF(ISNUMBER(SEARCH("6",'Procyclean 520'!F176)),EDATE(AB2674,6),IF(ISNUMBER(SEARCH("3",'Procyclean 520'!F176)),EDATE(AB2674,3),DATEVALUE('Procyclean 520'!F176))))),""))</f>
        <v/>
      </c>
      <c r="AM2674" t="str">
        <f t="shared" ca="1" si="268"/>
        <v/>
      </c>
    </row>
    <row r="2675" spans="27:39" x14ac:dyDescent="0.3">
      <c r="AA2675" t="str">
        <f>IF(COUNTA('Procyclean 520'!C177,'Procyclean 520'!D177,'Procyclean 520'!E177)&gt;0,"520","")</f>
        <v/>
      </c>
      <c r="AB2675" t="str">
        <f>IFERROR(IF(ISNUMBER('Procyclean 520'!C177),'Procyclean 520'!C177,DATEVALUE('Procyclean 520'!C177)),"")</f>
        <v/>
      </c>
      <c r="AC2675" t="str">
        <f>IF(AA2675="","",'Procyclean 520'!D177)</f>
        <v/>
      </c>
      <c r="AD2675" t="str">
        <f>IF(AA2675="","",IFERROR(1*'Procyclean 520'!E177,IFERROR(_xludf.NUMBERVALUE('Procyclean 520'!E177,".",","),IFERROR(_xludf.NUMBERVALUE('Procyclean 520'!E177,",","."),0))))</f>
        <v/>
      </c>
      <c r="AE2675" t="str">
        <f>IF(AA2675="","",'Procyclean 520'!B177)</f>
        <v/>
      </c>
      <c r="AF2675">
        <f t="shared" si="263"/>
        <v>0</v>
      </c>
      <c r="AG2675" t="str">
        <f t="shared" si="264"/>
        <v/>
      </c>
      <c r="AH2675" t="str">
        <f t="shared" si="265"/>
        <v/>
      </c>
      <c r="AI2675">
        <f t="shared" si="266"/>
        <v>0</v>
      </c>
      <c r="AJ2675">
        <f t="shared" si="267"/>
        <v>0</v>
      </c>
      <c r="AK2675">
        <v>0</v>
      </c>
      <c r="AL2675" t="str">
        <f>IF(AA2675="","",IFERROR(IF(ISNUMBER('Procyclean 520'!F177),'Procyclean 520'!F177,IF(ISNUMBER(SEARCH("12",'Procyclean 520'!F177)),EDATE(AB2675,12),IF(ISNUMBER(SEARCH("6",'Procyclean 520'!F177)),EDATE(AB2675,6),IF(ISNUMBER(SEARCH("3",'Procyclean 520'!F177)),EDATE(AB2675,3),DATEVALUE('Procyclean 520'!F177))))),""))</f>
        <v/>
      </c>
      <c r="AM2675" t="str">
        <f t="shared" ca="1" si="268"/>
        <v/>
      </c>
    </row>
    <row r="2676" spans="27:39" x14ac:dyDescent="0.3">
      <c r="AA2676" t="str">
        <f>IF(COUNTA('Procyclean 520'!C178,'Procyclean 520'!D178,'Procyclean 520'!E178)&gt;0,"520","")</f>
        <v/>
      </c>
      <c r="AB2676" t="str">
        <f>IFERROR(IF(ISNUMBER('Procyclean 520'!C178),'Procyclean 520'!C178,DATEVALUE('Procyclean 520'!C178)),"")</f>
        <v/>
      </c>
      <c r="AC2676" t="str">
        <f>IF(AA2676="","",'Procyclean 520'!D178)</f>
        <v/>
      </c>
      <c r="AD2676" t="str">
        <f>IF(AA2676="","",IFERROR(1*'Procyclean 520'!E178,IFERROR(_xludf.NUMBERVALUE('Procyclean 520'!E178,".",","),IFERROR(_xludf.NUMBERVALUE('Procyclean 520'!E178,",","."),0))))</f>
        <v/>
      </c>
      <c r="AE2676" t="str">
        <f>IF(AA2676="","",'Procyclean 520'!B178)</f>
        <v/>
      </c>
      <c r="AF2676">
        <f t="shared" si="263"/>
        <v>0</v>
      </c>
      <c r="AG2676" t="str">
        <f t="shared" si="264"/>
        <v/>
      </c>
      <c r="AH2676" t="str">
        <f t="shared" si="265"/>
        <v/>
      </c>
      <c r="AI2676">
        <f t="shared" si="266"/>
        <v>0</v>
      </c>
      <c r="AJ2676">
        <f t="shared" si="267"/>
        <v>0</v>
      </c>
      <c r="AK2676">
        <v>0</v>
      </c>
      <c r="AL2676" t="str">
        <f>IF(AA2676="","",IFERROR(IF(ISNUMBER('Procyclean 520'!F178),'Procyclean 520'!F178,IF(ISNUMBER(SEARCH("12",'Procyclean 520'!F178)),EDATE(AB2676,12),IF(ISNUMBER(SEARCH("6",'Procyclean 520'!F178)),EDATE(AB2676,6),IF(ISNUMBER(SEARCH("3",'Procyclean 520'!F178)),EDATE(AB2676,3),DATEVALUE('Procyclean 520'!F178))))),""))</f>
        <v/>
      </c>
      <c r="AM2676" t="str">
        <f t="shared" ca="1" si="268"/>
        <v/>
      </c>
    </row>
    <row r="2677" spans="27:39" x14ac:dyDescent="0.3">
      <c r="AA2677" t="str">
        <f>IF(COUNTA('Procyclean 520'!C179,'Procyclean 520'!D179,'Procyclean 520'!E179)&gt;0,"520","")</f>
        <v/>
      </c>
      <c r="AB2677" t="str">
        <f>IFERROR(IF(ISNUMBER('Procyclean 520'!C179),'Procyclean 520'!C179,DATEVALUE('Procyclean 520'!C179)),"")</f>
        <v/>
      </c>
      <c r="AC2677" t="str">
        <f>IF(AA2677="","",'Procyclean 520'!D179)</f>
        <v/>
      </c>
      <c r="AD2677" t="str">
        <f>IF(AA2677="","",IFERROR(1*'Procyclean 520'!E179,IFERROR(_xludf.NUMBERVALUE('Procyclean 520'!E179,".",","),IFERROR(_xludf.NUMBERVALUE('Procyclean 520'!E179,",","."),0))))</f>
        <v/>
      </c>
      <c r="AE2677" t="str">
        <f>IF(AA2677="","",'Procyclean 520'!B179)</f>
        <v/>
      </c>
      <c r="AF2677">
        <f t="shared" si="263"/>
        <v>0</v>
      </c>
      <c r="AG2677" t="str">
        <f t="shared" si="264"/>
        <v/>
      </c>
      <c r="AH2677" t="str">
        <f t="shared" si="265"/>
        <v/>
      </c>
      <c r="AI2677">
        <f t="shared" si="266"/>
        <v>0</v>
      </c>
      <c r="AJ2677">
        <f t="shared" si="267"/>
        <v>0</v>
      </c>
      <c r="AK2677">
        <v>0</v>
      </c>
      <c r="AL2677" t="str">
        <f>IF(AA2677="","",IFERROR(IF(ISNUMBER('Procyclean 520'!F179),'Procyclean 520'!F179,IF(ISNUMBER(SEARCH("12",'Procyclean 520'!F179)),EDATE(AB2677,12),IF(ISNUMBER(SEARCH("6",'Procyclean 520'!F179)),EDATE(AB2677,6),IF(ISNUMBER(SEARCH("3",'Procyclean 520'!F179)),EDATE(AB2677,3),DATEVALUE('Procyclean 520'!F179))))),""))</f>
        <v/>
      </c>
      <c r="AM2677" t="str">
        <f t="shared" ca="1" si="268"/>
        <v/>
      </c>
    </row>
    <row r="2678" spans="27:39" x14ac:dyDescent="0.3">
      <c r="AA2678" t="str">
        <f>IF(COUNTA('Procyclean 520'!C180,'Procyclean 520'!D180,'Procyclean 520'!E180)&gt;0,"520","")</f>
        <v/>
      </c>
      <c r="AB2678" t="str">
        <f>IFERROR(IF(ISNUMBER('Procyclean 520'!C180),'Procyclean 520'!C180,DATEVALUE('Procyclean 520'!C180)),"")</f>
        <v/>
      </c>
      <c r="AC2678" t="str">
        <f>IF(AA2678="","",'Procyclean 520'!D180)</f>
        <v/>
      </c>
      <c r="AD2678" t="str">
        <f>IF(AA2678="","",IFERROR(1*'Procyclean 520'!E180,IFERROR(_xludf.NUMBERVALUE('Procyclean 520'!E180,".",","),IFERROR(_xludf.NUMBERVALUE('Procyclean 520'!E180,",","."),0))))</f>
        <v/>
      </c>
      <c r="AE2678" t="str">
        <f>IF(AA2678="","",'Procyclean 520'!B180)</f>
        <v/>
      </c>
      <c r="AF2678">
        <f t="shared" si="263"/>
        <v>0</v>
      </c>
      <c r="AG2678" t="str">
        <f t="shared" si="264"/>
        <v/>
      </c>
      <c r="AH2678" t="str">
        <f t="shared" si="265"/>
        <v/>
      </c>
      <c r="AI2678">
        <f t="shared" si="266"/>
        <v>0</v>
      </c>
      <c r="AJ2678">
        <f t="shared" si="267"/>
        <v>0</v>
      </c>
      <c r="AK2678">
        <v>0</v>
      </c>
      <c r="AL2678" t="str">
        <f>IF(AA2678="","",IFERROR(IF(ISNUMBER('Procyclean 520'!F180),'Procyclean 520'!F180,IF(ISNUMBER(SEARCH("12",'Procyclean 520'!F180)),EDATE(AB2678,12),IF(ISNUMBER(SEARCH("6",'Procyclean 520'!F180)),EDATE(AB2678,6),IF(ISNUMBER(SEARCH("3",'Procyclean 520'!F180)),EDATE(AB2678,3),DATEVALUE('Procyclean 520'!F180))))),""))</f>
        <v/>
      </c>
      <c r="AM2678" t="str">
        <f t="shared" ca="1" si="268"/>
        <v/>
      </c>
    </row>
    <row r="2679" spans="27:39" x14ac:dyDescent="0.3">
      <c r="AA2679" t="str">
        <f>IF(COUNTA('Procyclean 520'!C181,'Procyclean 520'!D181,'Procyclean 520'!E181)&gt;0,"520","")</f>
        <v/>
      </c>
      <c r="AB2679" t="str">
        <f>IFERROR(IF(ISNUMBER('Procyclean 520'!C181),'Procyclean 520'!C181,DATEVALUE('Procyclean 520'!C181)),"")</f>
        <v/>
      </c>
      <c r="AC2679" t="str">
        <f>IF(AA2679="","",'Procyclean 520'!D181)</f>
        <v/>
      </c>
      <c r="AD2679" t="str">
        <f>IF(AA2679="","",IFERROR(1*'Procyclean 520'!E181,IFERROR(_xludf.NUMBERVALUE('Procyclean 520'!E181,".",","),IFERROR(_xludf.NUMBERVALUE('Procyclean 520'!E181,",","."),0))))</f>
        <v/>
      </c>
      <c r="AE2679" t="str">
        <f>IF(AA2679="","",'Procyclean 520'!B181)</f>
        <v/>
      </c>
      <c r="AF2679">
        <f t="shared" si="263"/>
        <v>0</v>
      </c>
      <c r="AG2679" t="str">
        <f t="shared" si="264"/>
        <v/>
      </c>
      <c r="AH2679" t="str">
        <f t="shared" si="265"/>
        <v/>
      </c>
      <c r="AI2679">
        <f t="shared" si="266"/>
        <v>0</v>
      </c>
      <c r="AJ2679">
        <f t="shared" si="267"/>
        <v>0</v>
      </c>
      <c r="AK2679">
        <v>0</v>
      </c>
      <c r="AL2679" t="str">
        <f>IF(AA2679="","",IFERROR(IF(ISNUMBER('Procyclean 520'!F181),'Procyclean 520'!F181,IF(ISNUMBER(SEARCH("12",'Procyclean 520'!F181)),EDATE(AB2679,12),IF(ISNUMBER(SEARCH("6",'Procyclean 520'!F181)),EDATE(AB2679,6),IF(ISNUMBER(SEARCH("3",'Procyclean 520'!F181)),EDATE(AB2679,3),DATEVALUE('Procyclean 520'!F181))))),""))</f>
        <v/>
      </c>
      <c r="AM2679" t="str">
        <f t="shared" ca="1" si="268"/>
        <v/>
      </c>
    </row>
    <row r="2680" spans="27:39" x14ac:dyDescent="0.3">
      <c r="AA2680" t="str">
        <f>IF(COUNTA('Procyclean 520'!C182,'Procyclean 520'!D182,'Procyclean 520'!E182)&gt;0,"520","")</f>
        <v/>
      </c>
      <c r="AB2680" t="str">
        <f>IFERROR(IF(ISNUMBER('Procyclean 520'!C182),'Procyclean 520'!C182,DATEVALUE('Procyclean 520'!C182)),"")</f>
        <v/>
      </c>
      <c r="AC2680" t="str">
        <f>IF(AA2680="","",'Procyclean 520'!D182)</f>
        <v/>
      </c>
      <c r="AD2680" t="str">
        <f>IF(AA2680="","",IFERROR(1*'Procyclean 520'!E182,IFERROR(_xludf.NUMBERVALUE('Procyclean 520'!E182,".",","),IFERROR(_xludf.NUMBERVALUE('Procyclean 520'!E182,",","."),0))))</f>
        <v/>
      </c>
      <c r="AE2680" t="str">
        <f>IF(AA2680="","",'Procyclean 520'!B182)</f>
        <v/>
      </c>
      <c r="AF2680">
        <f t="shared" si="263"/>
        <v>0</v>
      </c>
      <c r="AG2680" t="str">
        <f t="shared" si="264"/>
        <v/>
      </c>
      <c r="AH2680" t="str">
        <f t="shared" si="265"/>
        <v/>
      </c>
      <c r="AI2680">
        <f t="shared" si="266"/>
        <v>0</v>
      </c>
      <c r="AJ2680">
        <f t="shared" si="267"/>
        <v>0</v>
      </c>
      <c r="AK2680">
        <v>0</v>
      </c>
      <c r="AL2680" t="str">
        <f>IF(AA2680="","",IFERROR(IF(ISNUMBER('Procyclean 520'!F182),'Procyclean 520'!F182,IF(ISNUMBER(SEARCH("12",'Procyclean 520'!F182)),EDATE(AB2680,12),IF(ISNUMBER(SEARCH("6",'Procyclean 520'!F182)),EDATE(AB2680,6),IF(ISNUMBER(SEARCH("3",'Procyclean 520'!F182)),EDATE(AB2680,3),DATEVALUE('Procyclean 520'!F182))))),""))</f>
        <v/>
      </c>
      <c r="AM2680" t="str">
        <f t="shared" ca="1" si="268"/>
        <v/>
      </c>
    </row>
    <row r="2681" spans="27:39" x14ac:dyDescent="0.3">
      <c r="AA2681" t="str">
        <f>IF(COUNTA('Procyclean 520'!C183,'Procyclean 520'!D183,'Procyclean 520'!E183)&gt;0,"520","")</f>
        <v/>
      </c>
      <c r="AB2681" t="str">
        <f>IFERROR(IF(ISNUMBER('Procyclean 520'!C183),'Procyclean 520'!C183,DATEVALUE('Procyclean 520'!C183)),"")</f>
        <v/>
      </c>
      <c r="AC2681" t="str">
        <f>IF(AA2681="","",'Procyclean 520'!D183)</f>
        <v/>
      </c>
      <c r="AD2681" t="str">
        <f>IF(AA2681="","",IFERROR(1*'Procyclean 520'!E183,IFERROR(_xludf.NUMBERVALUE('Procyclean 520'!E183,".",","),IFERROR(_xludf.NUMBERVALUE('Procyclean 520'!E183,",","."),0))))</f>
        <v/>
      </c>
      <c r="AE2681" t="str">
        <f>IF(AA2681="","",'Procyclean 520'!B183)</f>
        <v/>
      </c>
      <c r="AF2681">
        <f t="shared" si="263"/>
        <v>0</v>
      </c>
      <c r="AG2681" t="str">
        <f t="shared" si="264"/>
        <v/>
      </c>
      <c r="AH2681" t="str">
        <f t="shared" si="265"/>
        <v/>
      </c>
      <c r="AI2681">
        <f t="shared" si="266"/>
        <v>0</v>
      </c>
      <c r="AJ2681">
        <f t="shared" si="267"/>
        <v>0</v>
      </c>
      <c r="AK2681">
        <v>0</v>
      </c>
      <c r="AL2681" t="str">
        <f>IF(AA2681="","",IFERROR(IF(ISNUMBER('Procyclean 520'!F183),'Procyclean 520'!F183,IF(ISNUMBER(SEARCH("12",'Procyclean 520'!F183)),EDATE(AB2681,12),IF(ISNUMBER(SEARCH("6",'Procyclean 520'!F183)),EDATE(AB2681,6),IF(ISNUMBER(SEARCH("3",'Procyclean 520'!F183)),EDATE(AB2681,3),DATEVALUE('Procyclean 520'!F183))))),""))</f>
        <v/>
      </c>
      <c r="AM2681" t="str">
        <f t="shared" ca="1" si="268"/>
        <v/>
      </c>
    </row>
    <row r="2682" spans="27:39" x14ac:dyDescent="0.3">
      <c r="AA2682" t="str">
        <f>IF(COUNTA('Procyclean 520'!C184,'Procyclean 520'!D184,'Procyclean 520'!E184)&gt;0,"520","")</f>
        <v/>
      </c>
      <c r="AB2682" t="str">
        <f>IFERROR(IF(ISNUMBER('Procyclean 520'!C184),'Procyclean 520'!C184,DATEVALUE('Procyclean 520'!C184)),"")</f>
        <v/>
      </c>
      <c r="AC2682" t="str">
        <f>IF(AA2682="","",'Procyclean 520'!D184)</f>
        <v/>
      </c>
      <c r="AD2682" t="str">
        <f>IF(AA2682="","",IFERROR(1*'Procyclean 520'!E184,IFERROR(_xludf.NUMBERVALUE('Procyclean 520'!E184,".",","),IFERROR(_xludf.NUMBERVALUE('Procyclean 520'!E184,",","."),0))))</f>
        <v/>
      </c>
      <c r="AE2682" t="str">
        <f>IF(AA2682="","",'Procyclean 520'!B184)</f>
        <v/>
      </c>
      <c r="AF2682">
        <f t="shared" si="263"/>
        <v>0</v>
      </c>
      <c r="AG2682" t="str">
        <f t="shared" si="264"/>
        <v/>
      </c>
      <c r="AH2682" t="str">
        <f t="shared" si="265"/>
        <v/>
      </c>
      <c r="AI2682">
        <f t="shared" si="266"/>
        <v>0</v>
      </c>
      <c r="AJ2682">
        <f t="shared" si="267"/>
        <v>0</v>
      </c>
      <c r="AK2682">
        <v>0</v>
      </c>
      <c r="AL2682" t="str">
        <f>IF(AA2682="","",IFERROR(IF(ISNUMBER('Procyclean 520'!F184),'Procyclean 520'!F184,IF(ISNUMBER(SEARCH("12",'Procyclean 520'!F184)),EDATE(AB2682,12),IF(ISNUMBER(SEARCH("6",'Procyclean 520'!F184)),EDATE(AB2682,6),IF(ISNUMBER(SEARCH("3",'Procyclean 520'!F184)),EDATE(AB2682,3),DATEVALUE('Procyclean 520'!F184))))),""))</f>
        <v/>
      </c>
      <c r="AM2682" t="str">
        <f t="shared" ca="1" si="268"/>
        <v/>
      </c>
    </row>
    <row r="2683" spans="27:39" x14ac:dyDescent="0.3">
      <c r="AA2683" t="str">
        <f>IF(COUNTA('Procyclean 520'!C185,'Procyclean 520'!D185,'Procyclean 520'!E185)&gt;0,"520","")</f>
        <v/>
      </c>
      <c r="AB2683" t="str">
        <f>IFERROR(IF(ISNUMBER('Procyclean 520'!C185),'Procyclean 520'!C185,DATEVALUE('Procyclean 520'!C185)),"")</f>
        <v/>
      </c>
      <c r="AC2683" t="str">
        <f>IF(AA2683="","",'Procyclean 520'!D185)</f>
        <v/>
      </c>
      <c r="AD2683" t="str">
        <f>IF(AA2683="","",IFERROR(1*'Procyclean 520'!E185,IFERROR(_xludf.NUMBERVALUE('Procyclean 520'!E185,".",","),IFERROR(_xludf.NUMBERVALUE('Procyclean 520'!E185,",","."),0))))</f>
        <v/>
      </c>
      <c r="AE2683" t="str">
        <f>IF(AA2683="","",'Procyclean 520'!B185)</f>
        <v/>
      </c>
      <c r="AF2683">
        <f t="shared" si="263"/>
        <v>0</v>
      </c>
      <c r="AG2683" t="str">
        <f t="shared" si="264"/>
        <v/>
      </c>
      <c r="AH2683" t="str">
        <f t="shared" si="265"/>
        <v/>
      </c>
      <c r="AI2683">
        <f t="shared" si="266"/>
        <v>0</v>
      </c>
      <c r="AJ2683">
        <f t="shared" si="267"/>
        <v>0</v>
      </c>
      <c r="AK2683">
        <v>0</v>
      </c>
      <c r="AL2683" t="str">
        <f>IF(AA2683="","",IFERROR(IF(ISNUMBER('Procyclean 520'!F185),'Procyclean 520'!F185,IF(ISNUMBER(SEARCH("12",'Procyclean 520'!F185)),EDATE(AB2683,12),IF(ISNUMBER(SEARCH("6",'Procyclean 520'!F185)),EDATE(AB2683,6),IF(ISNUMBER(SEARCH("3",'Procyclean 520'!F185)),EDATE(AB2683,3),DATEVALUE('Procyclean 520'!F185))))),""))</f>
        <v/>
      </c>
      <c r="AM2683" t="str">
        <f t="shared" ca="1" si="268"/>
        <v/>
      </c>
    </row>
    <row r="2684" spans="27:39" x14ac:dyDescent="0.3">
      <c r="AA2684" t="str">
        <f>IF(COUNTA('Procyclean 520'!C186,'Procyclean 520'!D186,'Procyclean 520'!E186)&gt;0,"520","")</f>
        <v/>
      </c>
      <c r="AB2684" t="str">
        <f>IFERROR(IF(ISNUMBER('Procyclean 520'!C186),'Procyclean 520'!C186,DATEVALUE('Procyclean 520'!C186)),"")</f>
        <v/>
      </c>
      <c r="AC2684" t="str">
        <f>IF(AA2684="","",'Procyclean 520'!D186)</f>
        <v/>
      </c>
      <c r="AD2684" t="str">
        <f>IF(AA2684="","",IFERROR(1*'Procyclean 520'!E186,IFERROR(_xludf.NUMBERVALUE('Procyclean 520'!E186,".",","),IFERROR(_xludf.NUMBERVALUE('Procyclean 520'!E186,",","."),0))))</f>
        <v/>
      </c>
      <c r="AE2684" t="str">
        <f>IF(AA2684="","",'Procyclean 520'!B186)</f>
        <v/>
      </c>
      <c r="AF2684">
        <f t="shared" si="263"/>
        <v>0</v>
      </c>
      <c r="AG2684" t="str">
        <f t="shared" si="264"/>
        <v/>
      </c>
      <c r="AH2684" t="str">
        <f t="shared" si="265"/>
        <v/>
      </c>
      <c r="AI2684">
        <f t="shared" si="266"/>
        <v>0</v>
      </c>
      <c r="AJ2684">
        <f t="shared" si="267"/>
        <v>0</v>
      </c>
      <c r="AK2684">
        <v>0</v>
      </c>
      <c r="AL2684" t="str">
        <f>IF(AA2684="","",IFERROR(IF(ISNUMBER('Procyclean 520'!F186),'Procyclean 520'!F186,IF(ISNUMBER(SEARCH("12",'Procyclean 520'!F186)),EDATE(AB2684,12),IF(ISNUMBER(SEARCH("6",'Procyclean 520'!F186)),EDATE(AB2684,6),IF(ISNUMBER(SEARCH("3",'Procyclean 520'!F186)),EDATE(AB2684,3),DATEVALUE('Procyclean 520'!F186))))),""))</f>
        <v/>
      </c>
      <c r="AM2684" t="str">
        <f t="shared" ca="1" si="268"/>
        <v/>
      </c>
    </row>
    <row r="2685" spans="27:39" x14ac:dyDescent="0.3">
      <c r="AA2685" t="str">
        <f>IF(COUNTA('Procyclean 520'!C187,'Procyclean 520'!D187,'Procyclean 520'!E187)&gt;0,"520","")</f>
        <v/>
      </c>
      <c r="AB2685" t="str">
        <f>IFERROR(IF(ISNUMBER('Procyclean 520'!C187),'Procyclean 520'!C187,DATEVALUE('Procyclean 520'!C187)),"")</f>
        <v/>
      </c>
      <c r="AC2685" t="str">
        <f>IF(AA2685="","",'Procyclean 520'!D187)</f>
        <v/>
      </c>
      <c r="AD2685" t="str">
        <f>IF(AA2685="","",IFERROR(1*'Procyclean 520'!E187,IFERROR(_xludf.NUMBERVALUE('Procyclean 520'!E187,".",","),IFERROR(_xludf.NUMBERVALUE('Procyclean 520'!E187,",","."),0))))</f>
        <v/>
      </c>
      <c r="AE2685" t="str">
        <f>IF(AA2685="","",'Procyclean 520'!B187)</f>
        <v/>
      </c>
      <c r="AF2685">
        <f t="shared" si="263"/>
        <v>0</v>
      </c>
      <c r="AG2685" t="str">
        <f t="shared" si="264"/>
        <v/>
      </c>
      <c r="AH2685" t="str">
        <f t="shared" si="265"/>
        <v/>
      </c>
      <c r="AI2685">
        <f t="shared" si="266"/>
        <v>0</v>
      </c>
      <c r="AJ2685">
        <f t="shared" si="267"/>
        <v>0</v>
      </c>
      <c r="AK2685">
        <v>0</v>
      </c>
      <c r="AL2685" t="str">
        <f>IF(AA2685="","",IFERROR(IF(ISNUMBER('Procyclean 520'!F187),'Procyclean 520'!F187,IF(ISNUMBER(SEARCH("12",'Procyclean 520'!F187)),EDATE(AB2685,12),IF(ISNUMBER(SEARCH("6",'Procyclean 520'!F187)),EDATE(AB2685,6),IF(ISNUMBER(SEARCH("3",'Procyclean 520'!F187)),EDATE(AB2685,3),DATEVALUE('Procyclean 520'!F187))))),""))</f>
        <v/>
      </c>
      <c r="AM2685" t="str">
        <f t="shared" ca="1" si="268"/>
        <v/>
      </c>
    </row>
    <row r="2686" spans="27:39" x14ac:dyDescent="0.3">
      <c r="AA2686" t="str">
        <f>IF(COUNTA('Procyclean 520'!C188,'Procyclean 520'!D188,'Procyclean 520'!E188)&gt;0,"520","")</f>
        <v/>
      </c>
      <c r="AB2686" t="str">
        <f>IFERROR(IF(ISNUMBER('Procyclean 520'!C188),'Procyclean 520'!C188,DATEVALUE('Procyclean 520'!C188)),"")</f>
        <v/>
      </c>
      <c r="AC2686" t="str">
        <f>IF(AA2686="","",'Procyclean 520'!D188)</f>
        <v/>
      </c>
      <c r="AD2686" t="str">
        <f>IF(AA2686="","",IFERROR(1*'Procyclean 520'!E188,IFERROR(_xludf.NUMBERVALUE('Procyclean 520'!E188,".",","),IFERROR(_xludf.NUMBERVALUE('Procyclean 520'!E188,",","."),0))))</f>
        <v/>
      </c>
      <c r="AE2686" t="str">
        <f>IF(AA2686="","",'Procyclean 520'!B188)</f>
        <v/>
      </c>
      <c r="AF2686">
        <f t="shared" si="263"/>
        <v>0</v>
      </c>
      <c r="AG2686" t="str">
        <f t="shared" si="264"/>
        <v/>
      </c>
      <c r="AH2686" t="str">
        <f t="shared" si="265"/>
        <v/>
      </c>
      <c r="AI2686">
        <f t="shared" si="266"/>
        <v>0</v>
      </c>
      <c r="AJ2686">
        <f t="shared" si="267"/>
        <v>0</v>
      </c>
      <c r="AK2686">
        <v>0</v>
      </c>
      <c r="AL2686" t="str">
        <f>IF(AA2686="","",IFERROR(IF(ISNUMBER('Procyclean 520'!F188),'Procyclean 520'!F188,IF(ISNUMBER(SEARCH("12",'Procyclean 520'!F188)),EDATE(AB2686,12),IF(ISNUMBER(SEARCH("6",'Procyclean 520'!F188)),EDATE(AB2686,6),IF(ISNUMBER(SEARCH("3",'Procyclean 520'!F188)),EDATE(AB2686,3),DATEVALUE('Procyclean 520'!F188))))),""))</f>
        <v/>
      </c>
      <c r="AM2686" t="str">
        <f t="shared" ca="1" si="268"/>
        <v/>
      </c>
    </row>
    <row r="2687" spans="27:39" x14ac:dyDescent="0.3">
      <c r="AA2687" t="str">
        <f>IF(COUNTA('Procyclean 520'!C189,'Procyclean 520'!D189,'Procyclean 520'!E189)&gt;0,"520","")</f>
        <v/>
      </c>
      <c r="AB2687" t="str">
        <f>IFERROR(IF(ISNUMBER('Procyclean 520'!C189),'Procyclean 520'!C189,DATEVALUE('Procyclean 520'!C189)),"")</f>
        <v/>
      </c>
      <c r="AC2687" t="str">
        <f>IF(AA2687="","",'Procyclean 520'!D189)</f>
        <v/>
      </c>
      <c r="AD2687" t="str">
        <f>IF(AA2687="","",IFERROR(1*'Procyclean 520'!E189,IFERROR(_xludf.NUMBERVALUE('Procyclean 520'!E189,".",","),IFERROR(_xludf.NUMBERVALUE('Procyclean 520'!E189,",","."),0))))</f>
        <v/>
      </c>
      <c r="AE2687" t="str">
        <f>IF(AA2687="","",'Procyclean 520'!B189)</f>
        <v/>
      </c>
      <c r="AF2687">
        <f t="shared" si="263"/>
        <v>0</v>
      </c>
      <c r="AG2687" t="str">
        <f t="shared" si="264"/>
        <v/>
      </c>
      <c r="AH2687" t="str">
        <f t="shared" si="265"/>
        <v/>
      </c>
      <c r="AI2687">
        <f t="shared" si="266"/>
        <v>0</v>
      </c>
      <c r="AJ2687">
        <f t="shared" si="267"/>
        <v>0</v>
      </c>
      <c r="AK2687">
        <v>0</v>
      </c>
      <c r="AL2687" t="str">
        <f>IF(AA2687="","",IFERROR(IF(ISNUMBER('Procyclean 520'!F189),'Procyclean 520'!F189,IF(ISNUMBER(SEARCH("12",'Procyclean 520'!F189)),EDATE(AB2687,12),IF(ISNUMBER(SEARCH("6",'Procyclean 520'!F189)),EDATE(AB2687,6),IF(ISNUMBER(SEARCH("3",'Procyclean 520'!F189)),EDATE(AB2687,3),DATEVALUE('Procyclean 520'!F189))))),""))</f>
        <v/>
      </c>
      <c r="AM2687" t="str">
        <f t="shared" ca="1" si="268"/>
        <v/>
      </c>
    </row>
    <row r="2688" spans="27:39" x14ac:dyDescent="0.3">
      <c r="AA2688" t="str">
        <f>IF(COUNTA('Procyclean 520'!C190,'Procyclean 520'!D190,'Procyclean 520'!E190)&gt;0,"520","")</f>
        <v/>
      </c>
      <c r="AB2688" t="str">
        <f>IFERROR(IF(ISNUMBER('Procyclean 520'!C190),'Procyclean 520'!C190,DATEVALUE('Procyclean 520'!C190)),"")</f>
        <v/>
      </c>
      <c r="AC2688" t="str">
        <f>IF(AA2688="","",'Procyclean 520'!D190)</f>
        <v/>
      </c>
      <c r="AD2688" t="str">
        <f>IF(AA2688="","",IFERROR(1*'Procyclean 520'!E190,IFERROR(_xludf.NUMBERVALUE('Procyclean 520'!E190,".",","),IFERROR(_xludf.NUMBERVALUE('Procyclean 520'!E190,",","."),0))))</f>
        <v/>
      </c>
      <c r="AE2688" t="str">
        <f>IF(AA2688="","",'Procyclean 520'!B190)</f>
        <v/>
      </c>
      <c r="AF2688">
        <f t="shared" si="263"/>
        <v>0</v>
      </c>
      <c r="AG2688" t="str">
        <f t="shared" si="264"/>
        <v/>
      </c>
      <c r="AH2688" t="str">
        <f t="shared" si="265"/>
        <v/>
      </c>
      <c r="AI2688">
        <f t="shared" si="266"/>
        <v>0</v>
      </c>
      <c r="AJ2688">
        <f t="shared" si="267"/>
        <v>0</v>
      </c>
      <c r="AK2688">
        <v>0</v>
      </c>
      <c r="AL2688" t="str">
        <f>IF(AA2688="","",IFERROR(IF(ISNUMBER('Procyclean 520'!F190),'Procyclean 520'!F190,IF(ISNUMBER(SEARCH("12",'Procyclean 520'!F190)),EDATE(AB2688,12),IF(ISNUMBER(SEARCH("6",'Procyclean 520'!F190)),EDATE(AB2688,6),IF(ISNUMBER(SEARCH("3",'Procyclean 520'!F190)),EDATE(AB2688,3),DATEVALUE('Procyclean 520'!F190))))),""))</f>
        <v/>
      </c>
      <c r="AM2688" t="str">
        <f t="shared" ca="1" si="268"/>
        <v/>
      </c>
    </row>
    <row r="2689" spans="27:39" x14ac:dyDescent="0.3">
      <c r="AA2689" t="str">
        <f>IF(COUNTA('Procyclean 520'!C191,'Procyclean 520'!D191,'Procyclean 520'!E191)&gt;0,"520","")</f>
        <v/>
      </c>
      <c r="AB2689" t="str">
        <f>IFERROR(IF(ISNUMBER('Procyclean 520'!C191),'Procyclean 520'!C191,DATEVALUE('Procyclean 520'!C191)),"")</f>
        <v/>
      </c>
      <c r="AC2689" t="str">
        <f>IF(AA2689="","",'Procyclean 520'!D191)</f>
        <v/>
      </c>
      <c r="AD2689" t="str">
        <f>IF(AA2689="","",IFERROR(1*'Procyclean 520'!E191,IFERROR(_xludf.NUMBERVALUE('Procyclean 520'!E191,".",","),IFERROR(_xludf.NUMBERVALUE('Procyclean 520'!E191,",","."),0))))</f>
        <v/>
      </c>
      <c r="AE2689" t="str">
        <f>IF(AA2689="","",'Procyclean 520'!B191)</f>
        <v/>
      </c>
      <c r="AF2689">
        <f t="shared" si="263"/>
        <v>0</v>
      </c>
      <c r="AG2689" t="str">
        <f t="shared" si="264"/>
        <v/>
      </c>
      <c r="AH2689" t="str">
        <f t="shared" si="265"/>
        <v/>
      </c>
      <c r="AI2689">
        <f t="shared" si="266"/>
        <v>0</v>
      </c>
      <c r="AJ2689">
        <f t="shared" si="267"/>
        <v>0</v>
      </c>
      <c r="AK2689">
        <v>0</v>
      </c>
      <c r="AL2689" t="str">
        <f>IF(AA2689="","",IFERROR(IF(ISNUMBER('Procyclean 520'!F191),'Procyclean 520'!F191,IF(ISNUMBER(SEARCH("12",'Procyclean 520'!F191)),EDATE(AB2689,12),IF(ISNUMBER(SEARCH("6",'Procyclean 520'!F191)),EDATE(AB2689,6),IF(ISNUMBER(SEARCH("3",'Procyclean 520'!F191)),EDATE(AB2689,3),DATEVALUE('Procyclean 520'!F191))))),""))</f>
        <v/>
      </c>
      <c r="AM2689" t="str">
        <f t="shared" ca="1" si="268"/>
        <v/>
      </c>
    </row>
    <row r="2690" spans="27:39" x14ac:dyDescent="0.3">
      <c r="AA2690" t="str">
        <f>IF(COUNTA('Procyclean 520'!C192,'Procyclean 520'!D192,'Procyclean 520'!E192)&gt;0,"520","")</f>
        <v/>
      </c>
      <c r="AB2690" t="str">
        <f>IFERROR(IF(ISNUMBER('Procyclean 520'!C192),'Procyclean 520'!C192,DATEVALUE('Procyclean 520'!C192)),"")</f>
        <v/>
      </c>
      <c r="AC2690" t="str">
        <f>IF(AA2690="","",'Procyclean 520'!D192)</f>
        <v/>
      </c>
      <c r="AD2690" t="str">
        <f>IF(AA2690="","",IFERROR(1*'Procyclean 520'!E192,IFERROR(_xludf.NUMBERVALUE('Procyclean 520'!E192,".",","),IFERROR(_xludf.NUMBERVALUE('Procyclean 520'!E192,",","."),0))))</f>
        <v/>
      </c>
      <c r="AE2690" t="str">
        <f>IF(AA2690="","",'Procyclean 520'!B192)</f>
        <v/>
      </c>
      <c r="AF2690">
        <f t="shared" ref="AF2690:AF2753" si="269">IF(AA2690="",0,--AND(ISNUMBER(SEARCH("aprov",AE2690)),NOT(ISNUMBER(SEARCH("reprov",AE2690)))))</f>
        <v>0</v>
      </c>
      <c r="AG2690" t="str">
        <f t="shared" ref="AG2690:AG2753" si="270">IF(AB2690="","",YEAR(AB2690))</f>
        <v/>
      </c>
      <c r="AH2690" t="str">
        <f t="shared" ref="AH2690:AH2753" si="271">IF(AB2690="","",MONTH(AB2690))</f>
        <v/>
      </c>
      <c r="AI2690">
        <f t="shared" ref="AI2690:AI2753" si="272">IF(AB2690="",0,AB2690+ROW()/1000000)</f>
        <v>0</v>
      </c>
      <c r="AJ2690">
        <f t="shared" ref="AJ2690:AJ2753" si="273">--(AA2690&lt;&gt;"")</f>
        <v>0</v>
      </c>
      <c r="AK2690">
        <v>0</v>
      </c>
      <c r="AL2690" t="str">
        <f>IF(AA2690="","",IFERROR(IF(ISNUMBER('Procyclean 520'!F192),'Procyclean 520'!F192,IF(ISNUMBER(SEARCH("12",'Procyclean 520'!F192)),EDATE(AB2690,12),IF(ISNUMBER(SEARCH("6",'Procyclean 520'!F192)),EDATE(AB2690,6),IF(ISNUMBER(SEARCH("3",'Procyclean 520'!F192)),EDATE(AB2690,3),DATEVALUE('Procyclean 520'!F192))))),""))</f>
        <v/>
      </c>
      <c r="AM2690" t="str">
        <f t="shared" ref="AM2690:AM2753" ca="1" si="274">IF(AND(AJ2690=1,AL2690&lt;&gt;"",AL2690&gt;=TODAY(),AG2690=$W$3),AL2690+ROW()/1000000,"")</f>
        <v/>
      </c>
    </row>
    <row r="2691" spans="27:39" x14ac:dyDescent="0.3">
      <c r="AA2691" t="str">
        <f>IF(COUNTA('Procyclean 520'!C193,'Procyclean 520'!D193,'Procyclean 520'!E193)&gt;0,"520","")</f>
        <v/>
      </c>
      <c r="AB2691" t="str">
        <f>IFERROR(IF(ISNUMBER('Procyclean 520'!C193),'Procyclean 520'!C193,DATEVALUE('Procyclean 520'!C193)),"")</f>
        <v/>
      </c>
      <c r="AC2691" t="str">
        <f>IF(AA2691="","",'Procyclean 520'!D193)</f>
        <v/>
      </c>
      <c r="AD2691" t="str">
        <f>IF(AA2691="","",IFERROR(1*'Procyclean 520'!E193,IFERROR(_xludf.NUMBERVALUE('Procyclean 520'!E193,".",","),IFERROR(_xludf.NUMBERVALUE('Procyclean 520'!E193,",","."),0))))</f>
        <v/>
      </c>
      <c r="AE2691" t="str">
        <f>IF(AA2691="","",'Procyclean 520'!B193)</f>
        <v/>
      </c>
      <c r="AF2691">
        <f t="shared" si="269"/>
        <v>0</v>
      </c>
      <c r="AG2691" t="str">
        <f t="shared" si="270"/>
        <v/>
      </c>
      <c r="AH2691" t="str">
        <f t="shared" si="271"/>
        <v/>
      </c>
      <c r="AI2691">
        <f t="shared" si="272"/>
        <v>0</v>
      </c>
      <c r="AJ2691">
        <f t="shared" si="273"/>
        <v>0</v>
      </c>
      <c r="AK2691">
        <v>0</v>
      </c>
      <c r="AL2691" t="str">
        <f>IF(AA2691="","",IFERROR(IF(ISNUMBER('Procyclean 520'!F193),'Procyclean 520'!F193,IF(ISNUMBER(SEARCH("12",'Procyclean 520'!F193)),EDATE(AB2691,12),IF(ISNUMBER(SEARCH("6",'Procyclean 520'!F193)),EDATE(AB2691,6),IF(ISNUMBER(SEARCH("3",'Procyclean 520'!F193)),EDATE(AB2691,3),DATEVALUE('Procyclean 520'!F193))))),""))</f>
        <v/>
      </c>
      <c r="AM2691" t="str">
        <f t="shared" ca="1" si="274"/>
        <v/>
      </c>
    </row>
    <row r="2692" spans="27:39" x14ac:dyDescent="0.3">
      <c r="AA2692" t="str">
        <f>IF(COUNTA('Procyclean 520'!C194,'Procyclean 520'!D194,'Procyclean 520'!E194)&gt;0,"520","")</f>
        <v/>
      </c>
      <c r="AB2692" t="str">
        <f>IFERROR(IF(ISNUMBER('Procyclean 520'!C194),'Procyclean 520'!C194,DATEVALUE('Procyclean 520'!C194)),"")</f>
        <v/>
      </c>
      <c r="AC2692" t="str">
        <f>IF(AA2692="","",'Procyclean 520'!D194)</f>
        <v/>
      </c>
      <c r="AD2692" t="str">
        <f>IF(AA2692="","",IFERROR(1*'Procyclean 520'!E194,IFERROR(_xludf.NUMBERVALUE('Procyclean 520'!E194,".",","),IFERROR(_xludf.NUMBERVALUE('Procyclean 520'!E194,",","."),0))))</f>
        <v/>
      </c>
      <c r="AE2692" t="str">
        <f>IF(AA2692="","",'Procyclean 520'!B194)</f>
        <v/>
      </c>
      <c r="AF2692">
        <f t="shared" si="269"/>
        <v>0</v>
      </c>
      <c r="AG2692" t="str">
        <f t="shared" si="270"/>
        <v/>
      </c>
      <c r="AH2692" t="str">
        <f t="shared" si="271"/>
        <v/>
      </c>
      <c r="AI2692">
        <f t="shared" si="272"/>
        <v>0</v>
      </c>
      <c r="AJ2692">
        <f t="shared" si="273"/>
        <v>0</v>
      </c>
      <c r="AK2692">
        <v>0</v>
      </c>
      <c r="AL2692" t="str">
        <f>IF(AA2692="","",IFERROR(IF(ISNUMBER('Procyclean 520'!F194),'Procyclean 520'!F194,IF(ISNUMBER(SEARCH("12",'Procyclean 520'!F194)),EDATE(AB2692,12),IF(ISNUMBER(SEARCH("6",'Procyclean 520'!F194)),EDATE(AB2692,6),IF(ISNUMBER(SEARCH("3",'Procyclean 520'!F194)),EDATE(AB2692,3),DATEVALUE('Procyclean 520'!F194))))),""))</f>
        <v/>
      </c>
      <c r="AM2692" t="str">
        <f t="shared" ca="1" si="274"/>
        <v/>
      </c>
    </row>
    <row r="2693" spans="27:39" x14ac:dyDescent="0.3">
      <c r="AA2693" t="str">
        <f>IF(COUNTA('Procyclean 520'!C195,'Procyclean 520'!D195,'Procyclean 520'!E195)&gt;0,"520","")</f>
        <v/>
      </c>
      <c r="AB2693" t="str">
        <f>IFERROR(IF(ISNUMBER('Procyclean 520'!C195),'Procyclean 520'!C195,DATEVALUE('Procyclean 520'!C195)),"")</f>
        <v/>
      </c>
      <c r="AC2693" t="str">
        <f>IF(AA2693="","",'Procyclean 520'!D195)</f>
        <v/>
      </c>
      <c r="AD2693" t="str">
        <f>IF(AA2693="","",IFERROR(1*'Procyclean 520'!E195,IFERROR(_xludf.NUMBERVALUE('Procyclean 520'!E195,".",","),IFERROR(_xludf.NUMBERVALUE('Procyclean 520'!E195,",","."),0))))</f>
        <v/>
      </c>
      <c r="AE2693" t="str">
        <f>IF(AA2693="","",'Procyclean 520'!B195)</f>
        <v/>
      </c>
      <c r="AF2693">
        <f t="shared" si="269"/>
        <v>0</v>
      </c>
      <c r="AG2693" t="str">
        <f t="shared" si="270"/>
        <v/>
      </c>
      <c r="AH2693" t="str">
        <f t="shared" si="271"/>
        <v/>
      </c>
      <c r="AI2693">
        <f t="shared" si="272"/>
        <v>0</v>
      </c>
      <c r="AJ2693">
        <f t="shared" si="273"/>
        <v>0</v>
      </c>
      <c r="AK2693">
        <v>0</v>
      </c>
      <c r="AL2693" t="str">
        <f>IF(AA2693="","",IFERROR(IF(ISNUMBER('Procyclean 520'!F195),'Procyclean 520'!F195,IF(ISNUMBER(SEARCH("12",'Procyclean 520'!F195)),EDATE(AB2693,12),IF(ISNUMBER(SEARCH("6",'Procyclean 520'!F195)),EDATE(AB2693,6),IF(ISNUMBER(SEARCH("3",'Procyclean 520'!F195)),EDATE(AB2693,3),DATEVALUE('Procyclean 520'!F195))))),""))</f>
        <v/>
      </c>
      <c r="AM2693" t="str">
        <f t="shared" ca="1" si="274"/>
        <v/>
      </c>
    </row>
    <row r="2694" spans="27:39" x14ac:dyDescent="0.3">
      <c r="AA2694" t="str">
        <f>IF(COUNTA('Procyclean 520'!C196,'Procyclean 520'!D196,'Procyclean 520'!E196)&gt;0,"520","")</f>
        <v/>
      </c>
      <c r="AB2694" t="str">
        <f>IFERROR(IF(ISNUMBER('Procyclean 520'!C196),'Procyclean 520'!C196,DATEVALUE('Procyclean 520'!C196)),"")</f>
        <v/>
      </c>
      <c r="AC2694" t="str">
        <f>IF(AA2694="","",'Procyclean 520'!D196)</f>
        <v/>
      </c>
      <c r="AD2694" t="str">
        <f>IF(AA2694="","",IFERROR(1*'Procyclean 520'!E196,IFERROR(_xludf.NUMBERVALUE('Procyclean 520'!E196,".",","),IFERROR(_xludf.NUMBERVALUE('Procyclean 520'!E196,",","."),0))))</f>
        <v/>
      </c>
      <c r="AE2694" t="str">
        <f>IF(AA2694="","",'Procyclean 520'!B196)</f>
        <v/>
      </c>
      <c r="AF2694">
        <f t="shared" si="269"/>
        <v>0</v>
      </c>
      <c r="AG2694" t="str">
        <f t="shared" si="270"/>
        <v/>
      </c>
      <c r="AH2694" t="str">
        <f t="shared" si="271"/>
        <v/>
      </c>
      <c r="AI2694">
        <f t="shared" si="272"/>
        <v>0</v>
      </c>
      <c r="AJ2694">
        <f t="shared" si="273"/>
        <v>0</v>
      </c>
      <c r="AK2694">
        <v>0</v>
      </c>
      <c r="AL2694" t="str">
        <f>IF(AA2694="","",IFERROR(IF(ISNUMBER('Procyclean 520'!F196),'Procyclean 520'!F196,IF(ISNUMBER(SEARCH("12",'Procyclean 520'!F196)),EDATE(AB2694,12),IF(ISNUMBER(SEARCH("6",'Procyclean 520'!F196)),EDATE(AB2694,6),IF(ISNUMBER(SEARCH("3",'Procyclean 520'!F196)),EDATE(AB2694,3),DATEVALUE('Procyclean 520'!F196))))),""))</f>
        <v/>
      </c>
      <c r="AM2694" t="str">
        <f t="shared" ca="1" si="274"/>
        <v/>
      </c>
    </row>
    <row r="2695" spans="27:39" x14ac:dyDescent="0.3">
      <c r="AA2695" t="str">
        <f>IF(COUNTA('Procyclean 520'!C197,'Procyclean 520'!D197,'Procyclean 520'!E197)&gt;0,"520","")</f>
        <v/>
      </c>
      <c r="AB2695" t="str">
        <f>IFERROR(IF(ISNUMBER('Procyclean 520'!C197),'Procyclean 520'!C197,DATEVALUE('Procyclean 520'!C197)),"")</f>
        <v/>
      </c>
      <c r="AC2695" t="str">
        <f>IF(AA2695="","",'Procyclean 520'!D197)</f>
        <v/>
      </c>
      <c r="AD2695" t="str">
        <f>IF(AA2695="","",IFERROR(1*'Procyclean 520'!E197,IFERROR(_xludf.NUMBERVALUE('Procyclean 520'!E197,".",","),IFERROR(_xludf.NUMBERVALUE('Procyclean 520'!E197,",","."),0))))</f>
        <v/>
      </c>
      <c r="AE2695" t="str">
        <f>IF(AA2695="","",'Procyclean 520'!B197)</f>
        <v/>
      </c>
      <c r="AF2695">
        <f t="shared" si="269"/>
        <v>0</v>
      </c>
      <c r="AG2695" t="str">
        <f t="shared" si="270"/>
        <v/>
      </c>
      <c r="AH2695" t="str">
        <f t="shared" si="271"/>
        <v/>
      </c>
      <c r="AI2695">
        <f t="shared" si="272"/>
        <v>0</v>
      </c>
      <c r="AJ2695">
        <f t="shared" si="273"/>
        <v>0</v>
      </c>
      <c r="AK2695">
        <v>0</v>
      </c>
      <c r="AL2695" t="str">
        <f>IF(AA2695="","",IFERROR(IF(ISNUMBER('Procyclean 520'!F197),'Procyclean 520'!F197,IF(ISNUMBER(SEARCH("12",'Procyclean 520'!F197)),EDATE(AB2695,12),IF(ISNUMBER(SEARCH("6",'Procyclean 520'!F197)),EDATE(AB2695,6),IF(ISNUMBER(SEARCH("3",'Procyclean 520'!F197)),EDATE(AB2695,3),DATEVALUE('Procyclean 520'!F197))))),""))</f>
        <v/>
      </c>
      <c r="AM2695" t="str">
        <f t="shared" ca="1" si="274"/>
        <v/>
      </c>
    </row>
    <row r="2696" spans="27:39" x14ac:dyDescent="0.3">
      <c r="AA2696" t="str">
        <f>IF(COUNTA('Procyclean 520'!C198,'Procyclean 520'!D198,'Procyclean 520'!E198)&gt;0,"520","")</f>
        <v/>
      </c>
      <c r="AB2696" t="str">
        <f>IFERROR(IF(ISNUMBER('Procyclean 520'!C198),'Procyclean 520'!C198,DATEVALUE('Procyclean 520'!C198)),"")</f>
        <v/>
      </c>
      <c r="AC2696" t="str">
        <f>IF(AA2696="","",'Procyclean 520'!D198)</f>
        <v/>
      </c>
      <c r="AD2696" t="str">
        <f>IF(AA2696="","",IFERROR(1*'Procyclean 520'!E198,IFERROR(_xludf.NUMBERVALUE('Procyclean 520'!E198,".",","),IFERROR(_xludf.NUMBERVALUE('Procyclean 520'!E198,",","."),0))))</f>
        <v/>
      </c>
      <c r="AE2696" t="str">
        <f>IF(AA2696="","",'Procyclean 520'!B198)</f>
        <v/>
      </c>
      <c r="AF2696">
        <f t="shared" si="269"/>
        <v>0</v>
      </c>
      <c r="AG2696" t="str">
        <f t="shared" si="270"/>
        <v/>
      </c>
      <c r="AH2696" t="str">
        <f t="shared" si="271"/>
        <v/>
      </c>
      <c r="AI2696">
        <f t="shared" si="272"/>
        <v>0</v>
      </c>
      <c r="AJ2696">
        <f t="shared" si="273"/>
        <v>0</v>
      </c>
      <c r="AK2696">
        <v>0</v>
      </c>
      <c r="AL2696" t="str">
        <f>IF(AA2696="","",IFERROR(IF(ISNUMBER('Procyclean 520'!F198),'Procyclean 520'!F198,IF(ISNUMBER(SEARCH("12",'Procyclean 520'!F198)),EDATE(AB2696,12),IF(ISNUMBER(SEARCH("6",'Procyclean 520'!F198)),EDATE(AB2696,6),IF(ISNUMBER(SEARCH("3",'Procyclean 520'!F198)),EDATE(AB2696,3),DATEVALUE('Procyclean 520'!F198))))),""))</f>
        <v/>
      </c>
      <c r="AM2696" t="str">
        <f t="shared" ca="1" si="274"/>
        <v/>
      </c>
    </row>
    <row r="2697" spans="27:39" x14ac:dyDescent="0.3">
      <c r="AA2697" t="str">
        <f>IF(COUNTA('Procyclean 520'!C199,'Procyclean 520'!D199,'Procyclean 520'!E199)&gt;0,"520","")</f>
        <v/>
      </c>
      <c r="AB2697" t="str">
        <f>IFERROR(IF(ISNUMBER('Procyclean 520'!C199),'Procyclean 520'!C199,DATEVALUE('Procyclean 520'!C199)),"")</f>
        <v/>
      </c>
      <c r="AC2697" t="str">
        <f>IF(AA2697="","",'Procyclean 520'!D199)</f>
        <v/>
      </c>
      <c r="AD2697" t="str">
        <f>IF(AA2697="","",IFERROR(1*'Procyclean 520'!E199,IFERROR(_xludf.NUMBERVALUE('Procyclean 520'!E199,".",","),IFERROR(_xludf.NUMBERVALUE('Procyclean 520'!E199,",","."),0))))</f>
        <v/>
      </c>
      <c r="AE2697" t="str">
        <f>IF(AA2697="","",'Procyclean 520'!B199)</f>
        <v/>
      </c>
      <c r="AF2697">
        <f t="shared" si="269"/>
        <v>0</v>
      </c>
      <c r="AG2697" t="str">
        <f t="shared" si="270"/>
        <v/>
      </c>
      <c r="AH2697" t="str">
        <f t="shared" si="271"/>
        <v/>
      </c>
      <c r="AI2697">
        <f t="shared" si="272"/>
        <v>0</v>
      </c>
      <c r="AJ2697">
        <f t="shared" si="273"/>
        <v>0</v>
      </c>
      <c r="AK2697">
        <v>0</v>
      </c>
      <c r="AL2697" t="str">
        <f>IF(AA2697="","",IFERROR(IF(ISNUMBER('Procyclean 520'!F199),'Procyclean 520'!F199,IF(ISNUMBER(SEARCH("12",'Procyclean 520'!F199)),EDATE(AB2697,12),IF(ISNUMBER(SEARCH("6",'Procyclean 520'!F199)),EDATE(AB2697,6),IF(ISNUMBER(SEARCH("3",'Procyclean 520'!F199)),EDATE(AB2697,3),DATEVALUE('Procyclean 520'!F199))))),""))</f>
        <v/>
      </c>
      <c r="AM2697" t="str">
        <f t="shared" ca="1" si="274"/>
        <v/>
      </c>
    </row>
    <row r="2698" spans="27:39" x14ac:dyDescent="0.3">
      <c r="AA2698" t="str">
        <f>IF(COUNTA('Procyclean 520'!C200,'Procyclean 520'!D200,'Procyclean 520'!E200)&gt;0,"520","")</f>
        <v/>
      </c>
      <c r="AB2698" t="str">
        <f>IFERROR(IF(ISNUMBER('Procyclean 520'!C200),'Procyclean 520'!C200,DATEVALUE('Procyclean 520'!C200)),"")</f>
        <v/>
      </c>
      <c r="AC2698" t="str">
        <f>IF(AA2698="","",'Procyclean 520'!D200)</f>
        <v/>
      </c>
      <c r="AD2698" t="str">
        <f>IF(AA2698="","",IFERROR(1*'Procyclean 520'!E200,IFERROR(_xludf.NUMBERVALUE('Procyclean 520'!E200,".",","),IFERROR(_xludf.NUMBERVALUE('Procyclean 520'!E200,",","."),0))))</f>
        <v/>
      </c>
      <c r="AE2698" t="str">
        <f>IF(AA2698="","",'Procyclean 520'!B200)</f>
        <v/>
      </c>
      <c r="AF2698">
        <f t="shared" si="269"/>
        <v>0</v>
      </c>
      <c r="AG2698" t="str">
        <f t="shared" si="270"/>
        <v/>
      </c>
      <c r="AH2698" t="str">
        <f t="shared" si="271"/>
        <v/>
      </c>
      <c r="AI2698">
        <f t="shared" si="272"/>
        <v>0</v>
      </c>
      <c r="AJ2698">
        <f t="shared" si="273"/>
        <v>0</v>
      </c>
      <c r="AK2698">
        <v>0</v>
      </c>
      <c r="AL2698" t="str">
        <f>IF(AA2698="","",IFERROR(IF(ISNUMBER('Procyclean 520'!F200),'Procyclean 520'!F200,IF(ISNUMBER(SEARCH("12",'Procyclean 520'!F200)),EDATE(AB2698,12),IF(ISNUMBER(SEARCH("6",'Procyclean 520'!F200)),EDATE(AB2698,6),IF(ISNUMBER(SEARCH("3",'Procyclean 520'!F200)),EDATE(AB2698,3),DATEVALUE('Procyclean 520'!F200))))),""))</f>
        <v/>
      </c>
      <c r="AM2698" t="str">
        <f t="shared" ca="1" si="274"/>
        <v/>
      </c>
    </row>
    <row r="2699" spans="27:39" x14ac:dyDescent="0.3">
      <c r="AA2699" t="str">
        <f>IF(COUNTA('Procyclean 520'!C201,'Procyclean 520'!D201,'Procyclean 520'!E201)&gt;0,"520","")</f>
        <v/>
      </c>
      <c r="AB2699" t="str">
        <f>IFERROR(IF(ISNUMBER('Procyclean 520'!C201),'Procyclean 520'!C201,DATEVALUE('Procyclean 520'!C201)),"")</f>
        <v/>
      </c>
      <c r="AC2699" t="str">
        <f>IF(AA2699="","",'Procyclean 520'!D201)</f>
        <v/>
      </c>
      <c r="AD2699" t="str">
        <f>IF(AA2699="","",IFERROR(1*'Procyclean 520'!E201,IFERROR(_xludf.NUMBERVALUE('Procyclean 520'!E201,".",","),IFERROR(_xludf.NUMBERVALUE('Procyclean 520'!E201,",","."),0))))</f>
        <v/>
      </c>
      <c r="AE2699" t="str">
        <f>IF(AA2699="","",'Procyclean 520'!B201)</f>
        <v/>
      </c>
      <c r="AF2699">
        <f t="shared" si="269"/>
        <v>0</v>
      </c>
      <c r="AG2699" t="str">
        <f t="shared" si="270"/>
        <v/>
      </c>
      <c r="AH2699" t="str">
        <f t="shared" si="271"/>
        <v/>
      </c>
      <c r="AI2699">
        <f t="shared" si="272"/>
        <v>0</v>
      </c>
      <c r="AJ2699">
        <f t="shared" si="273"/>
        <v>0</v>
      </c>
      <c r="AK2699">
        <v>0</v>
      </c>
      <c r="AL2699" t="str">
        <f>IF(AA2699="","",IFERROR(IF(ISNUMBER('Procyclean 520'!F201),'Procyclean 520'!F201,IF(ISNUMBER(SEARCH("12",'Procyclean 520'!F201)),EDATE(AB2699,12),IF(ISNUMBER(SEARCH("6",'Procyclean 520'!F201)),EDATE(AB2699,6),IF(ISNUMBER(SEARCH("3",'Procyclean 520'!F201)),EDATE(AB2699,3),DATEVALUE('Procyclean 520'!F201))))),""))</f>
        <v/>
      </c>
      <c r="AM2699" t="str">
        <f t="shared" ca="1" si="274"/>
        <v/>
      </c>
    </row>
    <row r="2700" spans="27:39" x14ac:dyDescent="0.3">
      <c r="AA2700" t="str">
        <f>IF(COUNTA('Procyclean 520'!C202,'Procyclean 520'!D202,'Procyclean 520'!E202)&gt;0,"520","")</f>
        <v/>
      </c>
      <c r="AB2700" t="str">
        <f>IFERROR(IF(ISNUMBER('Procyclean 520'!C202),'Procyclean 520'!C202,DATEVALUE('Procyclean 520'!C202)),"")</f>
        <v/>
      </c>
      <c r="AC2700" t="str">
        <f>IF(AA2700="","",'Procyclean 520'!D202)</f>
        <v/>
      </c>
      <c r="AD2700" t="str">
        <f>IF(AA2700="","",IFERROR(1*'Procyclean 520'!E202,IFERROR(_xludf.NUMBERVALUE('Procyclean 520'!E202,".",","),IFERROR(_xludf.NUMBERVALUE('Procyclean 520'!E202,",","."),0))))</f>
        <v/>
      </c>
      <c r="AE2700" t="str">
        <f>IF(AA2700="","",'Procyclean 520'!B202)</f>
        <v/>
      </c>
      <c r="AF2700">
        <f t="shared" si="269"/>
        <v>0</v>
      </c>
      <c r="AG2700" t="str">
        <f t="shared" si="270"/>
        <v/>
      </c>
      <c r="AH2700" t="str">
        <f t="shared" si="271"/>
        <v/>
      </c>
      <c r="AI2700">
        <f t="shared" si="272"/>
        <v>0</v>
      </c>
      <c r="AJ2700">
        <f t="shared" si="273"/>
        <v>0</v>
      </c>
      <c r="AK2700">
        <v>0</v>
      </c>
      <c r="AL2700" t="str">
        <f>IF(AA2700="","",IFERROR(IF(ISNUMBER('Procyclean 520'!F202),'Procyclean 520'!F202,IF(ISNUMBER(SEARCH("12",'Procyclean 520'!F202)),EDATE(AB2700,12),IF(ISNUMBER(SEARCH("6",'Procyclean 520'!F202)),EDATE(AB2700,6),IF(ISNUMBER(SEARCH("3",'Procyclean 520'!F202)),EDATE(AB2700,3),DATEVALUE('Procyclean 520'!F202))))),""))</f>
        <v/>
      </c>
      <c r="AM2700" t="str">
        <f t="shared" ca="1" si="274"/>
        <v/>
      </c>
    </row>
    <row r="2701" spans="27:39" x14ac:dyDescent="0.3">
      <c r="AA2701" t="str">
        <f>IF(COUNTA('Procyclean 520'!C203,'Procyclean 520'!D203,'Procyclean 520'!E203)&gt;0,"520","")</f>
        <v/>
      </c>
      <c r="AB2701" t="str">
        <f>IFERROR(IF(ISNUMBER('Procyclean 520'!C203),'Procyclean 520'!C203,DATEVALUE('Procyclean 520'!C203)),"")</f>
        <v/>
      </c>
      <c r="AC2701" t="str">
        <f>IF(AA2701="","",'Procyclean 520'!D203)</f>
        <v/>
      </c>
      <c r="AD2701" t="str">
        <f>IF(AA2701="","",IFERROR(1*'Procyclean 520'!E203,IFERROR(_xludf.NUMBERVALUE('Procyclean 520'!E203,".",","),IFERROR(_xludf.NUMBERVALUE('Procyclean 520'!E203,",","."),0))))</f>
        <v/>
      </c>
      <c r="AE2701" t="str">
        <f>IF(AA2701="","",'Procyclean 520'!B203)</f>
        <v/>
      </c>
      <c r="AF2701">
        <f t="shared" si="269"/>
        <v>0</v>
      </c>
      <c r="AG2701" t="str">
        <f t="shared" si="270"/>
        <v/>
      </c>
      <c r="AH2701" t="str">
        <f t="shared" si="271"/>
        <v/>
      </c>
      <c r="AI2701">
        <f t="shared" si="272"/>
        <v>0</v>
      </c>
      <c r="AJ2701">
        <f t="shared" si="273"/>
        <v>0</v>
      </c>
      <c r="AK2701">
        <v>0</v>
      </c>
      <c r="AL2701" t="str">
        <f>IF(AA2701="","",IFERROR(IF(ISNUMBER('Procyclean 520'!F203),'Procyclean 520'!F203,IF(ISNUMBER(SEARCH("12",'Procyclean 520'!F203)),EDATE(AB2701,12),IF(ISNUMBER(SEARCH("6",'Procyclean 520'!F203)),EDATE(AB2701,6),IF(ISNUMBER(SEARCH("3",'Procyclean 520'!F203)),EDATE(AB2701,3),DATEVALUE('Procyclean 520'!F203))))),""))</f>
        <v/>
      </c>
      <c r="AM2701" t="str">
        <f t="shared" ca="1" si="274"/>
        <v/>
      </c>
    </row>
    <row r="2702" spans="27:39" x14ac:dyDescent="0.3">
      <c r="AA2702" t="str">
        <f>IF(COUNTA('Procyclean 520'!C204,'Procyclean 520'!D204,'Procyclean 520'!E204)&gt;0,"520","")</f>
        <v/>
      </c>
      <c r="AB2702" t="str">
        <f>IFERROR(IF(ISNUMBER('Procyclean 520'!C204),'Procyclean 520'!C204,DATEVALUE('Procyclean 520'!C204)),"")</f>
        <v/>
      </c>
      <c r="AC2702" t="str">
        <f>IF(AA2702="","",'Procyclean 520'!D204)</f>
        <v/>
      </c>
      <c r="AD2702" t="str">
        <f>IF(AA2702="","",IFERROR(1*'Procyclean 520'!E204,IFERROR(_xludf.NUMBERVALUE('Procyclean 520'!E204,".",","),IFERROR(_xludf.NUMBERVALUE('Procyclean 520'!E204,",","."),0))))</f>
        <v/>
      </c>
      <c r="AE2702" t="str">
        <f>IF(AA2702="","",'Procyclean 520'!B204)</f>
        <v/>
      </c>
      <c r="AF2702">
        <f t="shared" si="269"/>
        <v>0</v>
      </c>
      <c r="AG2702" t="str">
        <f t="shared" si="270"/>
        <v/>
      </c>
      <c r="AH2702" t="str">
        <f t="shared" si="271"/>
        <v/>
      </c>
      <c r="AI2702">
        <f t="shared" si="272"/>
        <v>0</v>
      </c>
      <c r="AJ2702">
        <f t="shared" si="273"/>
        <v>0</v>
      </c>
      <c r="AK2702">
        <v>0</v>
      </c>
      <c r="AL2702" t="str">
        <f>IF(AA2702="","",IFERROR(IF(ISNUMBER('Procyclean 520'!F204),'Procyclean 520'!F204,IF(ISNUMBER(SEARCH("12",'Procyclean 520'!F204)),EDATE(AB2702,12),IF(ISNUMBER(SEARCH("6",'Procyclean 520'!F204)),EDATE(AB2702,6),IF(ISNUMBER(SEARCH("3",'Procyclean 520'!F204)),EDATE(AB2702,3),DATEVALUE('Procyclean 520'!F204))))),""))</f>
        <v/>
      </c>
      <c r="AM2702" t="str">
        <f t="shared" ca="1" si="274"/>
        <v/>
      </c>
    </row>
    <row r="2703" spans="27:39" x14ac:dyDescent="0.3">
      <c r="AA2703" t="str">
        <f>IF(COUNTA('Procyclean 520'!C205,'Procyclean 520'!D205,'Procyclean 520'!E205)&gt;0,"520","")</f>
        <v/>
      </c>
      <c r="AB2703" t="str">
        <f>IFERROR(IF(ISNUMBER('Procyclean 520'!C205),'Procyclean 520'!C205,DATEVALUE('Procyclean 520'!C205)),"")</f>
        <v/>
      </c>
      <c r="AC2703" t="str">
        <f>IF(AA2703="","",'Procyclean 520'!D205)</f>
        <v/>
      </c>
      <c r="AD2703" t="str">
        <f>IF(AA2703="","",IFERROR(1*'Procyclean 520'!E205,IFERROR(_xludf.NUMBERVALUE('Procyclean 520'!E205,".",","),IFERROR(_xludf.NUMBERVALUE('Procyclean 520'!E205,",","."),0))))</f>
        <v/>
      </c>
      <c r="AE2703" t="str">
        <f>IF(AA2703="","",'Procyclean 520'!B205)</f>
        <v/>
      </c>
      <c r="AF2703">
        <f t="shared" si="269"/>
        <v>0</v>
      </c>
      <c r="AG2703" t="str">
        <f t="shared" si="270"/>
        <v/>
      </c>
      <c r="AH2703" t="str">
        <f t="shared" si="271"/>
        <v/>
      </c>
      <c r="AI2703">
        <f t="shared" si="272"/>
        <v>0</v>
      </c>
      <c r="AJ2703">
        <f t="shared" si="273"/>
        <v>0</v>
      </c>
      <c r="AK2703">
        <v>0</v>
      </c>
      <c r="AL2703" t="str">
        <f>IF(AA2703="","",IFERROR(IF(ISNUMBER('Procyclean 520'!F205),'Procyclean 520'!F205,IF(ISNUMBER(SEARCH("12",'Procyclean 520'!F205)),EDATE(AB2703,12),IF(ISNUMBER(SEARCH("6",'Procyclean 520'!F205)),EDATE(AB2703,6),IF(ISNUMBER(SEARCH("3",'Procyclean 520'!F205)),EDATE(AB2703,3),DATEVALUE('Procyclean 520'!F205))))),""))</f>
        <v/>
      </c>
      <c r="AM2703" t="str">
        <f t="shared" ca="1" si="274"/>
        <v/>
      </c>
    </row>
    <row r="2704" spans="27:39" x14ac:dyDescent="0.3">
      <c r="AA2704" t="str">
        <f>IF(COUNTA('Procyclean 520'!C206,'Procyclean 520'!D206,'Procyclean 520'!E206)&gt;0,"520","")</f>
        <v/>
      </c>
      <c r="AB2704" t="str">
        <f>IFERROR(IF(ISNUMBER('Procyclean 520'!C206),'Procyclean 520'!C206,DATEVALUE('Procyclean 520'!C206)),"")</f>
        <v/>
      </c>
      <c r="AC2704" t="str">
        <f>IF(AA2704="","",'Procyclean 520'!D206)</f>
        <v/>
      </c>
      <c r="AD2704" t="str">
        <f>IF(AA2704="","",IFERROR(1*'Procyclean 520'!E206,IFERROR(_xludf.NUMBERVALUE('Procyclean 520'!E206,".",","),IFERROR(_xludf.NUMBERVALUE('Procyclean 520'!E206,",","."),0))))</f>
        <v/>
      </c>
      <c r="AE2704" t="str">
        <f>IF(AA2704="","",'Procyclean 520'!B206)</f>
        <v/>
      </c>
      <c r="AF2704">
        <f t="shared" si="269"/>
        <v>0</v>
      </c>
      <c r="AG2704" t="str">
        <f t="shared" si="270"/>
        <v/>
      </c>
      <c r="AH2704" t="str">
        <f t="shared" si="271"/>
        <v/>
      </c>
      <c r="AI2704">
        <f t="shared" si="272"/>
        <v>0</v>
      </c>
      <c r="AJ2704">
        <f t="shared" si="273"/>
        <v>0</v>
      </c>
      <c r="AK2704">
        <v>0</v>
      </c>
      <c r="AL2704" t="str">
        <f>IF(AA2704="","",IFERROR(IF(ISNUMBER('Procyclean 520'!F206),'Procyclean 520'!F206,IF(ISNUMBER(SEARCH("12",'Procyclean 520'!F206)),EDATE(AB2704,12),IF(ISNUMBER(SEARCH("6",'Procyclean 520'!F206)),EDATE(AB2704,6),IF(ISNUMBER(SEARCH("3",'Procyclean 520'!F206)),EDATE(AB2704,3),DATEVALUE('Procyclean 520'!F206))))),""))</f>
        <v/>
      </c>
      <c r="AM2704" t="str">
        <f t="shared" ca="1" si="274"/>
        <v/>
      </c>
    </row>
    <row r="2705" spans="27:39" x14ac:dyDescent="0.3">
      <c r="AA2705" t="str">
        <f>IF(COUNTA('Procyclean 520'!C207,'Procyclean 520'!D207,'Procyclean 520'!E207)&gt;0,"520","")</f>
        <v/>
      </c>
      <c r="AB2705" t="str">
        <f>IFERROR(IF(ISNUMBER('Procyclean 520'!C207),'Procyclean 520'!C207,DATEVALUE('Procyclean 520'!C207)),"")</f>
        <v/>
      </c>
      <c r="AC2705" t="str">
        <f>IF(AA2705="","",'Procyclean 520'!D207)</f>
        <v/>
      </c>
      <c r="AD2705" t="str">
        <f>IF(AA2705="","",IFERROR(1*'Procyclean 520'!E207,IFERROR(_xludf.NUMBERVALUE('Procyclean 520'!E207,".",","),IFERROR(_xludf.NUMBERVALUE('Procyclean 520'!E207,",","."),0))))</f>
        <v/>
      </c>
      <c r="AE2705" t="str">
        <f>IF(AA2705="","",'Procyclean 520'!B207)</f>
        <v/>
      </c>
      <c r="AF2705">
        <f t="shared" si="269"/>
        <v>0</v>
      </c>
      <c r="AG2705" t="str">
        <f t="shared" si="270"/>
        <v/>
      </c>
      <c r="AH2705" t="str">
        <f t="shared" si="271"/>
        <v/>
      </c>
      <c r="AI2705">
        <f t="shared" si="272"/>
        <v>0</v>
      </c>
      <c r="AJ2705">
        <f t="shared" si="273"/>
        <v>0</v>
      </c>
      <c r="AK2705">
        <v>0</v>
      </c>
      <c r="AL2705" t="str">
        <f>IF(AA2705="","",IFERROR(IF(ISNUMBER('Procyclean 520'!F207),'Procyclean 520'!F207,IF(ISNUMBER(SEARCH("12",'Procyclean 520'!F207)),EDATE(AB2705,12),IF(ISNUMBER(SEARCH("6",'Procyclean 520'!F207)),EDATE(AB2705,6),IF(ISNUMBER(SEARCH("3",'Procyclean 520'!F207)),EDATE(AB2705,3),DATEVALUE('Procyclean 520'!F207))))),""))</f>
        <v/>
      </c>
      <c r="AM2705" t="str">
        <f t="shared" ca="1" si="274"/>
        <v/>
      </c>
    </row>
    <row r="2706" spans="27:39" x14ac:dyDescent="0.3">
      <c r="AA2706" t="str">
        <f>IF(COUNTA('Procyclean 520'!C208,'Procyclean 520'!D208,'Procyclean 520'!E208)&gt;0,"520","")</f>
        <v/>
      </c>
      <c r="AB2706" t="str">
        <f>IFERROR(IF(ISNUMBER('Procyclean 520'!C208),'Procyclean 520'!C208,DATEVALUE('Procyclean 520'!C208)),"")</f>
        <v/>
      </c>
      <c r="AC2706" t="str">
        <f>IF(AA2706="","",'Procyclean 520'!D208)</f>
        <v/>
      </c>
      <c r="AD2706" t="str">
        <f>IF(AA2706="","",IFERROR(1*'Procyclean 520'!E208,IFERROR(_xludf.NUMBERVALUE('Procyclean 520'!E208,".",","),IFERROR(_xludf.NUMBERVALUE('Procyclean 520'!E208,",","."),0))))</f>
        <v/>
      </c>
      <c r="AE2706" t="str">
        <f>IF(AA2706="","",'Procyclean 520'!B208)</f>
        <v/>
      </c>
      <c r="AF2706">
        <f t="shared" si="269"/>
        <v>0</v>
      </c>
      <c r="AG2706" t="str">
        <f t="shared" si="270"/>
        <v/>
      </c>
      <c r="AH2706" t="str">
        <f t="shared" si="271"/>
        <v/>
      </c>
      <c r="AI2706">
        <f t="shared" si="272"/>
        <v>0</v>
      </c>
      <c r="AJ2706">
        <f t="shared" si="273"/>
        <v>0</v>
      </c>
      <c r="AK2706">
        <v>0</v>
      </c>
      <c r="AL2706" t="str">
        <f>IF(AA2706="","",IFERROR(IF(ISNUMBER('Procyclean 520'!F208),'Procyclean 520'!F208,IF(ISNUMBER(SEARCH("12",'Procyclean 520'!F208)),EDATE(AB2706,12),IF(ISNUMBER(SEARCH("6",'Procyclean 520'!F208)),EDATE(AB2706,6),IF(ISNUMBER(SEARCH("3",'Procyclean 520'!F208)),EDATE(AB2706,3),DATEVALUE('Procyclean 520'!F208))))),""))</f>
        <v/>
      </c>
      <c r="AM2706" t="str">
        <f t="shared" ca="1" si="274"/>
        <v/>
      </c>
    </row>
    <row r="2707" spans="27:39" x14ac:dyDescent="0.3">
      <c r="AA2707" t="str">
        <f>IF(COUNTA('Procyclean 520'!C209,'Procyclean 520'!D209,'Procyclean 520'!E209)&gt;0,"520","")</f>
        <v/>
      </c>
      <c r="AB2707" t="str">
        <f>IFERROR(IF(ISNUMBER('Procyclean 520'!C209),'Procyclean 520'!C209,DATEVALUE('Procyclean 520'!C209)),"")</f>
        <v/>
      </c>
      <c r="AC2707" t="str">
        <f>IF(AA2707="","",'Procyclean 520'!D209)</f>
        <v/>
      </c>
      <c r="AD2707" t="str">
        <f>IF(AA2707="","",IFERROR(1*'Procyclean 520'!E209,IFERROR(_xludf.NUMBERVALUE('Procyclean 520'!E209,".",","),IFERROR(_xludf.NUMBERVALUE('Procyclean 520'!E209,",","."),0))))</f>
        <v/>
      </c>
      <c r="AE2707" t="str">
        <f>IF(AA2707="","",'Procyclean 520'!B209)</f>
        <v/>
      </c>
      <c r="AF2707">
        <f t="shared" si="269"/>
        <v>0</v>
      </c>
      <c r="AG2707" t="str">
        <f t="shared" si="270"/>
        <v/>
      </c>
      <c r="AH2707" t="str">
        <f t="shared" si="271"/>
        <v/>
      </c>
      <c r="AI2707">
        <f t="shared" si="272"/>
        <v>0</v>
      </c>
      <c r="AJ2707">
        <f t="shared" si="273"/>
        <v>0</v>
      </c>
      <c r="AK2707">
        <v>0</v>
      </c>
      <c r="AL2707" t="str">
        <f>IF(AA2707="","",IFERROR(IF(ISNUMBER('Procyclean 520'!F209),'Procyclean 520'!F209,IF(ISNUMBER(SEARCH("12",'Procyclean 520'!F209)),EDATE(AB2707,12),IF(ISNUMBER(SEARCH("6",'Procyclean 520'!F209)),EDATE(AB2707,6),IF(ISNUMBER(SEARCH("3",'Procyclean 520'!F209)),EDATE(AB2707,3),DATEVALUE('Procyclean 520'!F209))))),""))</f>
        <v/>
      </c>
      <c r="AM2707" t="str">
        <f t="shared" ca="1" si="274"/>
        <v/>
      </c>
    </row>
    <row r="2708" spans="27:39" x14ac:dyDescent="0.3">
      <c r="AA2708" t="str">
        <f>IF(COUNTA('Procyclean 520'!C210,'Procyclean 520'!D210,'Procyclean 520'!E210)&gt;0,"520","")</f>
        <v/>
      </c>
      <c r="AB2708" t="str">
        <f>IFERROR(IF(ISNUMBER('Procyclean 520'!C210),'Procyclean 520'!C210,DATEVALUE('Procyclean 520'!C210)),"")</f>
        <v/>
      </c>
      <c r="AC2708" t="str">
        <f>IF(AA2708="","",'Procyclean 520'!D210)</f>
        <v/>
      </c>
      <c r="AD2708" t="str">
        <f>IF(AA2708="","",IFERROR(1*'Procyclean 520'!E210,IFERROR(_xludf.NUMBERVALUE('Procyclean 520'!E210,".",","),IFERROR(_xludf.NUMBERVALUE('Procyclean 520'!E210,",","."),0))))</f>
        <v/>
      </c>
      <c r="AE2708" t="str">
        <f>IF(AA2708="","",'Procyclean 520'!B210)</f>
        <v/>
      </c>
      <c r="AF2708">
        <f t="shared" si="269"/>
        <v>0</v>
      </c>
      <c r="AG2708" t="str">
        <f t="shared" si="270"/>
        <v/>
      </c>
      <c r="AH2708" t="str">
        <f t="shared" si="271"/>
        <v/>
      </c>
      <c r="AI2708">
        <f t="shared" si="272"/>
        <v>0</v>
      </c>
      <c r="AJ2708">
        <f t="shared" si="273"/>
        <v>0</v>
      </c>
      <c r="AK2708">
        <v>0</v>
      </c>
      <c r="AL2708" t="str">
        <f>IF(AA2708="","",IFERROR(IF(ISNUMBER('Procyclean 520'!F210),'Procyclean 520'!F210,IF(ISNUMBER(SEARCH("12",'Procyclean 520'!F210)),EDATE(AB2708,12),IF(ISNUMBER(SEARCH("6",'Procyclean 520'!F210)),EDATE(AB2708,6),IF(ISNUMBER(SEARCH("3",'Procyclean 520'!F210)),EDATE(AB2708,3),DATEVALUE('Procyclean 520'!F210))))),""))</f>
        <v/>
      </c>
      <c r="AM2708" t="str">
        <f t="shared" ca="1" si="274"/>
        <v/>
      </c>
    </row>
    <row r="2709" spans="27:39" x14ac:dyDescent="0.3">
      <c r="AA2709" t="str">
        <f>IF(COUNTA('Procyclean 520'!C211,'Procyclean 520'!D211,'Procyclean 520'!E211)&gt;0,"520","")</f>
        <v/>
      </c>
      <c r="AB2709" t="str">
        <f>IFERROR(IF(ISNUMBER('Procyclean 520'!C211),'Procyclean 520'!C211,DATEVALUE('Procyclean 520'!C211)),"")</f>
        <v/>
      </c>
      <c r="AC2709" t="str">
        <f>IF(AA2709="","",'Procyclean 520'!D211)</f>
        <v/>
      </c>
      <c r="AD2709" t="str">
        <f>IF(AA2709="","",IFERROR(1*'Procyclean 520'!E211,IFERROR(_xludf.NUMBERVALUE('Procyclean 520'!E211,".",","),IFERROR(_xludf.NUMBERVALUE('Procyclean 520'!E211,",","."),0))))</f>
        <v/>
      </c>
      <c r="AE2709" t="str">
        <f>IF(AA2709="","",'Procyclean 520'!B211)</f>
        <v/>
      </c>
      <c r="AF2709">
        <f t="shared" si="269"/>
        <v>0</v>
      </c>
      <c r="AG2709" t="str">
        <f t="shared" si="270"/>
        <v/>
      </c>
      <c r="AH2709" t="str">
        <f t="shared" si="271"/>
        <v/>
      </c>
      <c r="AI2709">
        <f t="shared" si="272"/>
        <v>0</v>
      </c>
      <c r="AJ2709">
        <f t="shared" si="273"/>
        <v>0</v>
      </c>
      <c r="AK2709">
        <v>0</v>
      </c>
      <c r="AL2709" t="str">
        <f>IF(AA2709="","",IFERROR(IF(ISNUMBER('Procyclean 520'!F211),'Procyclean 520'!F211,IF(ISNUMBER(SEARCH("12",'Procyclean 520'!F211)),EDATE(AB2709,12),IF(ISNUMBER(SEARCH("6",'Procyclean 520'!F211)),EDATE(AB2709,6),IF(ISNUMBER(SEARCH("3",'Procyclean 520'!F211)),EDATE(AB2709,3),DATEVALUE('Procyclean 520'!F211))))),""))</f>
        <v/>
      </c>
      <c r="AM2709" t="str">
        <f t="shared" ca="1" si="274"/>
        <v/>
      </c>
    </row>
    <row r="2710" spans="27:39" x14ac:dyDescent="0.3">
      <c r="AA2710" t="str">
        <f>IF(COUNTA('Procyclean 520'!C212,'Procyclean 520'!D212,'Procyclean 520'!E212)&gt;0,"520","")</f>
        <v/>
      </c>
      <c r="AB2710" t="str">
        <f>IFERROR(IF(ISNUMBER('Procyclean 520'!C212),'Procyclean 520'!C212,DATEVALUE('Procyclean 520'!C212)),"")</f>
        <v/>
      </c>
      <c r="AC2710" t="str">
        <f>IF(AA2710="","",'Procyclean 520'!D212)</f>
        <v/>
      </c>
      <c r="AD2710" t="str">
        <f>IF(AA2710="","",IFERROR(1*'Procyclean 520'!E212,IFERROR(_xludf.NUMBERVALUE('Procyclean 520'!E212,".",","),IFERROR(_xludf.NUMBERVALUE('Procyclean 520'!E212,",","."),0))))</f>
        <v/>
      </c>
      <c r="AE2710" t="str">
        <f>IF(AA2710="","",'Procyclean 520'!B212)</f>
        <v/>
      </c>
      <c r="AF2710">
        <f t="shared" si="269"/>
        <v>0</v>
      </c>
      <c r="AG2710" t="str">
        <f t="shared" si="270"/>
        <v/>
      </c>
      <c r="AH2710" t="str">
        <f t="shared" si="271"/>
        <v/>
      </c>
      <c r="AI2710">
        <f t="shared" si="272"/>
        <v>0</v>
      </c>
      <c r="AJ2710">
        <f t="shared" si="273"/>
        <v>0</v>
      </c>
      <c r="AK2710">
        <v>0</v>
      </c>
      <c r="AL2710" t="str">
        <f>IF(AA2710="","",IFERROR(IF(ISNUMBER('Procyclean 520'!F212),'Procyclean 520'!F212,IF(ISNUMBER(SEARCH("12",'Procyclean 520'!F212)),EDATE(AB2710,12),IF(ISNUMBER(SEARCH("6",'Procyclean 520'!F212)),EDATE(AB2710,6),IF(ISNUMBER(SEARCH("3",'Procyclean 520'!F212)),EDATE(AB2710,3),DATEVALUE('Procyclean 520'!F212))))),""))</f>
        <v/>
      </c>
      <c r="AM2710" t="str">
        <f t="shared" ca="1" si="274"/>
        <v/>
      </c>
    </row>
    <row r="2711" spans="27:39" x14ac:dyDescent="0.3">
      <c r="AA2711" t="str">
        <f>IF(COUNTA('Procyclean 520'!C213,'Procyclean 520'!D213,'Procyclean 520'!E213)&gt;0,"520","")</f>
        <v/>
      </c>
      <c r="AB2711" t="str">
        <f>IFERROR(IF(ISNUMBER('Procyclean 520'!C213),'Procyclean 520'!C213,DATEVALUE('Procyclean 520'!C213)),"")</f>
        <v/>
      </c>
      <c r="AC2711" t="str">
        <f>IF(AA2711="","",'Procyclean 520'!D213)</f>
        <v/>
      </c>
      <c r="AD2711" t="str">
        <f>IF(AA2711="","",IFERROR(1*'Procyclean 520'!E213,IFERROR(_xludf.NUMBERVALUE('Procyclean 520'!E213,".",","),IFERROR(_xludf.NUMBERVALUE('Procyclean 520'!E213,",","."),0))))</f>
        <v/>
      </c>
      <c r="AE2711" t="str">
        <f>IF(AA2711="","",'Procyclean 520'!B213)</f>
        <v/>
      </c>
      <c r="AF2711">
        <f t="shared" si="269"/>
        <v>0</v>
      </c>
      <c r="AG2711" t="str">
        <f t="shared" si="270"/>
        <v/>
      </c>
      <c r="AH2711" t="str">
        <f t="shared" si="271"/>
        <v/>
      </c>
      <c r="AI2711">
        <f t="shared" si="272"/>
        <v>0</v>
      </c>
      <c r="AJ2711">
        <f t="shared" si="273"/>
        <v>0</v>
      </c>
      <c r="AK2711">
        <v>0</v>
      </c>
      <c r="AL2711" t="str">
        <f>IF(AA2711="","",IFERROR(IF(ISNUMBER('Procyclean 520'!F213),'Procyclean 520'!F213,IF(ISNUMBER(SEARCH("12",'Procyclean 520'!F213)),EDATE(AB2711,12),IF(ISNUMBER(SEARCH("6",'Procyclean 520'!F213)),EDATE(AB2711,6),IF(ISNUMBER(SEARCH("3",'Procyclean 520'!F213)),EDATE(AB2711,3),DATEVALUE('Procyclean 520'!F213))))),""))</f>
        <v/>
      </c>
      <c r="AM2711" t="str">
        <f t="shared" ca="1" si="274"/>
        <v/>
      </c>
    </row>
    <row r="2712" spans="27:39" x14ac:dyDescent="0.3">
      <c r="AA2712" t="str">
        <f>IF(COUNTA('Procyclean 520'!C214,'Procyclean 520'!D214,'Procyclean 520'!E214)&gt;0,"520","")</f>
        <v/>
      </c>
      <c r="AB2712" t="str">
        <f>IFERROR(IF(ISNUMBER('Procyclean 520'!C214),'Procyclean 520'!C214,DATEVALUE('Procyclean 520'!C214)),"")</f>
        <v/>
      </c>
      <c r="AC2712" t="str">
        <f>IF(AA2712="","",'Procyclean 520'!D214)</f>
        <v/>
      </c>
      <c r="AD2712" t="str">
        <f>IF(AA2712="","",IFERROR(1*'Procyclean 520'!E214,IFERROR(_xludf.NUMBERVALUE('Procyclean 520'!E214,".",","),IFERROR(_xludf.NUMBERVALUE('Procyclean 520'!E214,",","."),0))))</f>
        <v/>
      </c>
      <c r="AE2712" t="str">
        <f>IF(AA2712="","",'Procyclean 520'!B214)</f>
        <v/>
      </c>
      <c r="AF2712">
        <f t="shared" si="269"/>
        <v>0</v>
      </c>
      <c r="AG2712" t="str">
        <f t="shared" si="270"/>
        <v/>
      </c>
      <c r="AH2712" t="str">
        <f t="shared" si="271"/>
        <v/>
      </c>
      <c r="AI2712">
        <f t="shared" si="272"/>
        <v>0</v>
      </c>
      <c r="AJ2712">
        <f t="shared" si="273"/>
        <v>0</v>
      </c>
      <c r="AK2712">
        <v>0</v>
      </c>
      <c r="AL2712" t="str">
        <f>IF(AA2712="","",IFERROR(IF(ISNUMBER('Procyclean 520'!F214),'Procyclean 520'!F214,IF(ISNUMBER(SEARCH("12",'Procyclean 520'!F214)),EDATE(AB2712,12),IF(ISNUMBER(SEARCH("6",'Procyclean 520'!F214)),EDATE(AB2712,6),IF(ISNUMBER(SEARCH("3",'Procyclean 520'!F214)),EDATE(AB2712,3),DATEVALUE('Procyclean 520'!F214))))),""))</f>
        <v/>
      </c>
      <c r="AM2712" t="str">
        <f t="shared" ca="1" si="274"/>
        <v/>
      </c>
    </row>
    <row r="2713" spans="27:39" x14ac:dyDescent="0.3">
      <c r="AA2713" t="str">
        <f>IF(COUNTA('Procyclean 520'!C215,'Procyclean 520'!D215,'Procyclean 520'!E215)&gt;0,"520","")</f>
        <v/>
      </c>
      <c r="AB2713" t="str">
        <f>IFERROR(IF(ISNUMBER('Procyclean 520'!C215),'Procyclean 520'!C215,DATEVALUE('Procyclean 520'!C215)),"")</f>
        <v/>
      </c>
      <c r="AC2713" t="str">
        <f>IF(AA2713="","",'Procyclean 520'!D215)</f>
        <v/>
      </c>
      <c r="AD2713" t="str">
        <f>IF(AA2713="","",IFERROR(1*'Procyclean 520'!E215,IFERROR(_xludf.NUMBERVALUE('Procyclean 520'!E215,".",","),IFERROR(_xludf.NUMBERVALUE('Procyclean 520'!E215,",","."),0))))</f>
        <v/>
      </c>
      <c r="AE2713" t="str">
        <f>IF(AA2713="","",'Procyclean 520'!B215)</f>
        <v/>
      </c>
      <c r="AF2713">
        <f t="shared" si="269"/>
        <v>0</v>
      </c>
      <c r="AG2713" t="str">
        <f t="shared" si="270"/>
        <v/>
      </c>
      <c r="AH2713" t="str">
        <f t="shared" si="271"/>
        <v/>
      </c>
      <c r="AI2713">
        <f t="shared" si="272"/>
        <v>0</v>
      </c>
      <c r="AJ2713">
        <f t="shared" si="273"/>
        <v>0</v>
      </c>
      <c r="AK2713">
        <v>0</v>
      </c>
      <c r="AL2713" t="str">
        <f>IF(AA2713="","",IFERROR(IF(ISNUMBER('Procyclean 520'!F215),'Procyclean 520'!F215,IF(ISNUMBER(SEARCH("12",'Procyclean 520'!F215)),EDATE(AB2713,12),IF(ISNUMBER(SEARCH("6",'Procyclean 520'!F215)),EDATE(AB2713,6),IF(ISNUMBER(SEARCH("3",'Procyclean 520'!F215)),EDATE(AB2713,3),DATEVALUE('Procyclean 520'!F215))))),""))</f>
        <v/>
      </c>
      <c r="AM2713" t="str">
        <f t="shared" ca="1" si="274"/>
        <v/>
      </c>
    </row>
    <row r="2714" spans="27:39" x14ac:dyDescent="0.3">
      <c r="AA2714" t="str">
        <f>IF(COUNTA('Procyclean 520'!C216,'Procyclean 520'!D216,'Procyclean 520'!E216)&gt;0,"520","")</f>
        <v/>
      </c>
      <c r="AB2714" t="str">
        <f>IFERROR(IF(ISNUMBER('Procyclean 520'!C216),'Procyclean 520'!C216,DATEVALUE('Procyclean 520'!C216)),"")</f>
        <v/>
      </c>
      <c r="AC2714" t="str">
        <f>IF(AA2714="","",'Procyclean 520'!D216)</f>
        <v/>
      </c>
      <c r="AD2714" t="str">
        <f>IF(AA2714="","",IFERROR(1*'Procyclean 520'!E216,IFERROR(_xludf.NUMBERVALUE('Procyclean 520'!E216,".",","),IFERROR(_xludf.NUMBERVALUE('Procyclean 520'!E216,",","."),0))))</f>
        <v/>
      </c>
      <c r="AE2714" t="str">
        <f>IF(AA2714="","",'Procyclean 520'!B216)</f>
        <v/>
      </c>
      <c r="AF2714">
        <f t="shared" si="269"/>
        <v>0</v>
      </c>
      <c r="AG2714" t="str">
        <f t="shared" si="270"/>
        <v/>
      </c>
      <c r="AH2714" t="str">
        <f t="shared" si="271"/>
        <v/>
      </c>
      <c r="AI2714">
        <f t="shared" si="272"/>
        <v>0</v>
      </c>
      <c r="AJ2714">
        <f t="shared" si="273"/>
        <v>0</v>
      </c>
      <c r="AK2714">
        <v>0</v>
      </c>
      <c r="AL2714" t="str">
        <f>IF(AA2714="","",IFERROR(IF(ISNUMBER('Procyclean 520'!F216),'Procyclean 520'!F216,IF(ISNUMBER(SEARCH("12",'Procyclean 520'!F216)),EDATE(AB2714,12),IF(ISNUMBER(SEARCH("6",'Procyclean 520'!F216)),EDATE(AB2714,6),IF(ISNUMBER(SEARCH("3",'Procyclean 520'!F216)),EDATE(AB2714,3),DATEVALUE('Procyclean 520'!F216))))),""))</f>
        <v/>
      </c>
      <c r="AM2714" t="str">
        <f t="shared" ca="1" si="274"/>
        <v/>
      </c>
    </row>
    <row r="2715" spans="27:39" x14ac:dyDescent="0.3">
      <c r="AA2715" t="str">
        <f>IF(COUNTA('Procyclean 520'!C217,'Procyclean 520'!D217,'Procyclean 520'!E217)&gt;0,"520","")</f>
        <v/>
      </c>
      <c r="AB2715" t="str">
        <f>IFERROR(IF(ISNUMBER('Procyclean 520'!C217),'Procyclean 520'!C217,DATEVALUE('Procyclean 520'!C217)),"")</f>
        <v/>
      </c>
      <c r="AC2715" t="str">
        <f>IF(AA2715="","",'Procyclean 520'!D217)</f>
        <v/>
      </c>
      <c r="AD2715" t="str">
        <f>IF(AA2715="","",IFERROR(1*'Procyclean 520'!E217,IFERROR(_xludf.NUMBERVALUE('Procyclean 520'!E217,".",","),IFERROR(_xludf.NUMBERVALUE('Procyclean 520'!E217,",","."),0))))</f>
        <v/>
      </c>
      <c r="AE2715" t="str">
        <f>IF(AA2715="","",'Procyclean 520'!B217)</f>
        <v/>
      </c>
      <c r="AF2715">
        <f t="shared" si="269"/>
        <v>0</v>
      </c>
      <c r="AG2715" t="str">
        <f t="shared" si="270"/>
        <v/>
      </c>
      <c r="AH2715" t="str">
        <f t="shared" si="271"/>
        <v/>
      </c>
      <c r="AI2715">
        <f t="shared" si="272"/>
        <v>0</v>
      </c>
      <c r="AJ2715">
        <f t="shared" si="273"/>
        <v>0</v>
      </c>
      <c r="AK2715">
        <v>0</v>
      </c>
      <c r="AL2715" t="str">
        <f>IF(AA2715="","",IFERROR(IF(ISNUMBER('Procyclean 520'!F217),'Procyclean 520'!F217,IF(ISNUMBER(SEARCH("12",'Procyclean 520'!F217)),EDATE(AB2715,12),IF(ISNUMBER(SEARCH("6",'Procyclean 520'!F217)),EDATE(AB2715,6),IF(ISNUMBER(SEARCH("3",'Procyclean 520'!F217)),EDATE(AB2715,3),DATEVALUE('Procyclean 520'!F217))))),""))</f>
        <v/>
      </c>
      <c r="AM2715" t="str">
        <f t="shared" ca="1" si="274"/>
        <v/>
      </c>
    </row>
    <row r="2716" spans="27:39" x14ac:dyDescent="0.3">
      <c r="AA2716" t="str">
        <f>IF(COUNTA('Procyclean 520'!C218,'Procyclean 520'!D218,'Procyclean 520'!E218)&gt;0,"520","")</f>
        <v/>
      </c>
      <c r="AB2716" t="str">
        <f>IFERROR(IF(ISNUMBER('Procyclean 520'!C218),'Procyclean 520'!C218,DATEVALUE('Procyclean 520'!C218)),"")</f>
        <v/>
      </c>
      <c r="AC2716" t="str">
        <f>IF(AA2716="","",'Procyclean 520'!D218)</f>
        <v/>
      </c>
      <c r="AD2716" t="str">
        <f>IF(AA2716="","",IFERROR(1*'Procyclean 520'!E218,IFERROR(_xludf.NUMBERVALUE('Procyclean 520'!E218,".",","),IFERROR(_xludf.NUMBERVALUE('Procyclean 520'!E218,",","."),0))))</f>
        <v/>
      </c>
      <c r="AE2716" t="str">
        <f>IF(AA2716="","",'Procyclean 520'!B218)</f>
        <v/>
      </c>
      <c r="AF2716">
        <f t="shared" si="269"/>
        <v>0</v>
      </c>
      <c r="AG2716" t="str">
        <f t="shared" si="270"/>
        <v/>
      </c>
      <c r="AH2716" t="str">
        <f t="shared" si="271"/>
        <v/>
      </c>
      <c r="AI2716">
        <f t="shared" si="272"/>
        <v>0</v>
      </c>
      <c r="AJ2716">
        <f t="shared" si="273"/>
        <v>0</v>
      </c>
      <c r="AK2716">
        <v>0</v>
      </c>
      <c r="AL2716" t="str">
        <f>IF(AA2716="","",IFERROR(IF(ISNUMBER('Procyclean 520'!F218),'Procyclean 520'!F218,IF(ISNUMBER(SEARCH("12",'Procyclean 520'!F218)),EDATE(AB2716,12),IF(ISNUMBER(SEARCH("6",'Procyclean 520'!F218)),EDATE(AB2716,6),IF(ISNUMBER(SEARCH("3",'Procyclean 520'!F218)),EDATE(AB2716,3),DATEVALUE('Procyclean 520'!F218))))),""))</f>
        <v/>
      </c>
      <c r="AM2716" t="str">
        <f t="shared" ca="1" si="274"/>
        <v/>
      </c>
    </row>
    <row r="2717" spans="27:39" x14ac:dyDescent="0.3">
      <c r="AA2717" t="str">
        <f>IF(COUNTA('Procyclean 520'!C219,'Procyclean 520'!D219,'Procyclean 520'!E219)&gt;0,"520","")</f>
        <v/>
      </c>
      <c r="AB2717" t="str">
        <f>IFERROR(IF(ISNUMBER('Procyclean 520'!C219),'Procyclean 520'!C219,DATEVALUE('Procyclean 520'!C219)),"")</f>
        <v/>
      </c>
      <c r="AC2717" t="str">
        <f>IF(AA2717="","",'Procyclean 520'!D219)</f>
        <v/>
      </c>
      <c r="AD2717" t="str">
        <f>IF(AA2717="","",IFERROR(1*'Procyclean 520'!E219,IFERROR(_xludf.NUMBERVALUE('Procyclean 520'!E219,".",","),IFERROR(_xludf.NUMBERVALUE('Procyclean 520'!E219,",","."),0))))</f>
        <v/>
      </c>
      <c r="AE2717" t="str">
        <f>IF(AA2717="","",'Procyclean 520'!B219)</f>
        <v/>
      </c>
      <c r="AF2717">
        <f t="shared" si="269"/>
        <v>0</v>
      </c>
      <c r="AG2717" t="str">
        <f t="shared" si="270"/>
        <v/>
      </c>
      <c r="AH2717" t="str">
        <f t="shared" si="271"/>
        <v/>
      </c>
      <c r="AI2717">
        <f t="shared" si="272"/>
        <v>0</v>
      </c>
      <c r="AJ2717">
        <f t="shared" si="273"/>
        <v>0</v>
      </c>
      <c r="AK2717">
        <v>0</v>
      </c>
      <c r="AL2717" t="str">
        <f>IF(AA2717="","",IFERROR(IF(ISNUMBER('Procyclean 520'!F219),'Procyclean 520'!F219,IF(ISNUMBER(SEARCH("12",'Procyclean 520'!F219)),EDATE(AB2717,12),IF(ISNUMBER(SEARCH("6",'Procyclean 520'!F219)),EDATE(AB2717,6),IF(ISNUMBER(SEARCH("3",'Procyclean 520'!F219)),EDATE(AB2717,3),DATEVALUE('Procyclean 520'!F219))))),""))</f>
        <v/>
      </c>
      <c r="AM2717" t="str">
        <f t="shared" ca="1" si="274"/>
        <v/>
      </c>
    </row>
    <row r="2718" spans="27:39" x14ac:dyDescent="0.3">
      <c r="AA2718" t="str">
        <f>IF(COUNTA('Procyclean 520'!C220,'Procyclean 520'!D220,'Procyclean 520'!E220)&gt;0,"520","")</f>
        <v/>
      </c>
      <c r="AB2718" t="str">
        <f>IFERROR(IF(ISNUMBER('Procyclean 520'!C220),'Procyclean 520'!C220,DATEVALUE('Procyclean 520'!C220)),"")</f>
        <v/>
      </c>
      <c r="AC2718" t="str">
        <f>IF(AA2718="","",'Procyclean 520'!D220)</f>
        <v/>
      </c>
      <c r="AD2718" t="str">
        <f>IF(AA2718="","",IFERROR(1*'Procyclean 520'!E220,IFERROR(_xludf.NUMBERVALUE('Procyclean 520'!E220,".",","),IFERROR(_xludf.NUMBERVALUE('Procyclean 520'!E220,",","."),0))))</f>
        <v/>
      </c>
      <c r="AE2718" t="str">
        <f>IF(AA2718="","",'Procyclean 520'!B220)</f>
        <v/>
      </c>
      <c r="AF2718">
        <f t="shared" si="269"/>
        <v>0</v>
      </c>
      <c r="AG2718" t="str">
        <f t="shared" si="270"/>
        <v/>
      </c>
      <c r="AH2718" t="str">
        <f t="shared" si="271"/>
        <v/>
      </c>
      <c r="AI2718">
        <f t="shared" si="272"/>
        <v>0</v>
      </c>
      <c r="AJ2718">
        <f t="shared" si="273"/>
        <v>0</v>
      </c>
      <c r="AK2718">
        <v>0</v>
      </c>
      <c r="AL2718" t="str">
        <f>IF(AA2718="","",IFERROR(IF(ISNUMBER('Procyclean 520'!F220),'Procyclean 520'!F220,IF(ISNUMBER(SEARCH("12",'Procyclean 520'!F220)),EDATE(AB2718,12),IF(ISNUMBER(SEARCH("6",'Procyclean 520'!F220)),EDATE(AB2718,6),IF(ISNUMBER(SEARCH("3",'Procyclean 520'!F220)),EDATE(AB2718,3),DATEVALUE('Procyclean 520'!F220))))),""))</f>
        <v/>
      </c>
      <c r="AM2718" t="str">
        <f t="shared" ca="1" si="274"/>
        <v/>
      </c>
    </row>
    <row r="2719" spans="27:39" x14ac:dyDescent="0.3">
      <c r="AA2719" t="str">
        <f>IF(COUNTA('Procyclean 520'!C221,'Procyclean 520'!D221,'Procyclean 520'!E221)&gt;0,"520","")</f>
        <v/>
      </c>
      <c r="AB2719" t="str">
        <f>IFERROR(IF(ISNUMBER('Procyclean 520'!C221),'Procyclean 520'!C221,DATEVALUE('Procyclean 520'!C221)),"")</f>
        <v/>
      </c>
      <c r="AC2719" t="str">
        <f>IF(AA2719="","",'Procyclean 520'!D221)</f>
        <v/>
      </c>
      <c r="AD2719" t="str">
        <f>IF(AA2719="","",IFERROR(1*'Procyclean 520'!E221,IFERROR(_xludf.NUMBERVALUE('Procyclean 520'!E221,".",","),IFERROR(_xludf.NUMBERVALUE('Procyclean 520'!E221,",","."),0))))</f>
        <v/>
      </c>
      <c r="AE2719" t="str">
        <f>IF(AA2719="","",'Procyclean 520'!B221)</f>
        <v/>
      </c>
      <c r="AF2719">
        <f t="shared" si="269"/>
        <v>0</v>
      </c>
      <c r="AG2719" t="str">
        <f t="shared" si="270"/>
        <v/>
      </c>
      <c r="AH2719" t="str">
        <f t="shared" si="271"/>
        <v/>
      </c>
      <c r="AI2719">
        <f t="shared" si="272"/>
        <v>0</v>
      </c>
      <c r="AJ2719">
        <f t="shared" si="273"/>
        <v>0</v>
      </c>
      <c r="AK2719">
        <v>0</v>
      </c>
      <c r="AL2719" t="str">
        <f>IF(AA2719="","",IFERROR(IF(ISNUMBER('Procyclean 520'!F221),'Procyclean 520'!F221,IF(ISNUMBER(SEARCH("12",'Procyclean 520'!F221)),EDATE(AB2719,12),IF(ISNUMBER(SEARCH("6",'Procyclean 520'!F221)),EDATE(AB2719,6),IF(ISNUMBER(SEARCH("3",'Procyclean 520'!F221)),EDATE(AB2719,3),DATEVALUE('Procyclean 520'!F221))))),""))</f>
        <v/>
      </c>
      <c r="AM2719" t="str">
        <f t="shared" ca="1" si="274"/>
        <v/>
      </c>
    </row>
    <row r="2720" spans="27:39" x14ac:dyDescent="0.3">
      <c r="AA2720" t="str">
        <f>IF(COUNTA('Procyclean 520'!C222,'Procyclean 520'!D222,'Procyclean 520'!E222)&gt;0,"520","")</f>
        <v/>
      </c>
      <c r="AB2720" t="str">
        <f>IFERROR(IF(ISNUMBER('Procyclean 520'!C222),'Procyclean 520'!C222,DATEVALUE('Procyclean 520'!C222)),"")</f>
        <v/>
      </c>
      <c r="AC2720" t="str">
        <f>IF(AA2720="","",'Procyclean 520'!D222)</f>
        <v/>
      </c>
      <c r="AD2720" t="str">
        <f>IF(AA2720="","",IFERROR(1*'Procyclean 520'!E222,IFERROR(_xludf.NUMBERVALUE('Procyclean 520'!E222,".",","),IFERROR(_xludf.NUMBERVALUE('Procyclean 520'!E222,",","."),0))))</f>
        <v/>
      </c>
      <c r="AE2720" t="str">
        <f>IF(AA2720="","",'Procyclean 520'!B222)</f>
        <v/>
      </c>
      <c r="AF2720">
        <f t="shared" si="269"/>
        <v>0</v>
      </c>
      <c r="AG2720" t="str">
        <f t="shared" si="270"/>
        <v/>
      </c>
      <c r="AH2720" t="str">
        <f t="shared" si="271"/>
        <v/>
      </c>
      <c r="AI2720">
        <f t="shared" si="272"/>
        <v>0</v>
      </c>
      <c r="AJ2720">
        <f t="shared" si="273"/>
        <v>0</v>
      </c>
      <c r="AK2720">
        <v>0</v>
      </c>
      <c r="AL2720" t="str">
        <f>IF(AA2720="","",IFERROR(IF(ISNUMBER('Procyclean 520'!F222),'Procyclean 520'!F222,IF(ISNUMBER(SEARCH("12",'Procyclean 520'!F222)),EDATE(AB2720,12),IF(ISNUMBER(SEARCH("6",'Procyclean 520'!F222)),EDATE(AB2720,6),IF(ISNUMBER(SEARCH("3",'Procyclean 520'!F222)),EDATE(AB2720,3),DATEVALUE('Procyclean 520'!F222))))),""))</f>
        <v/>
      </c>
      <c r="AM2720" t="str">
        <f t="shared" ca="1" si="274"/>
        <v/>
      </c>
    </row>
    <row r="2721" spans="27:39" x14ac:dyDescent="0.3">
      <c r="AA2721" t="str">
        <f>IF(COUNTA('Procyclean 520'!C223,'Procyclean 520'!D223,'Procyclean 520'!E223)&gt;0,"520","")</f>
        <v/>
      </c>
      <c r="AB2721" t="str">
        <f>IFERROR(IF(ISNUMBER('Procyclean 520'!C223),'Procyclean 520'!C223,DATEVALUE('Procyclean 520'!C223)),"")</f>
        <v/>
      </c>
      <c r="AC2721" t="str">
        <f>IF(AA2721="","",'Procyclean 520'!D223)</f>
        <v/>
      </c>
      <c r="AD2721" t="str">
        <f>IF(AA2721="","",IFERROR(1*'Procyclean 520'!E223,IFERROR(_xludf.NUMBERVALUE('Procyclean 520'!E223,".",","),IFERROR(_xludf.NUMBERVALUE('Procyclean 520'!E223,",","."),0))))</f>
        <v/>
      </c>
      <c r="AE2721" t="str">
        <f>IF(AA2721="","",'Procyclean 520'!B223)</f>
        <v/>
      </c>
      <c r="AF2721">
        <f t="shared" si="269"/>
        <v>0</v>
      </c>
      <c r="AG2721" t="str">
        <f t="shared" si="270"/>
        <v/>
      </c>
      <c r="AH2721" t="str">
        <f t="shared" si="271"/>
        <v/>
      </c>
      <c r="AI2721">
        <f t="shared" si="272"/>
        <v>0</v>
      </c>
      <c r="AJ2721">
        <f t="shared" si="273"/>
        <v>0</v>
      </c>
      <c r="AK2721">
        <v>0</v>
      </c>
      <c r="AL2721" t="str">
        <f>IF(AA2721="","",IFERROR(IF(ISNUMBER('Procyclean 520'!F223),'Procyclean 520'!F223,IF(ISNUMBER(SEARCH("12",'Procyclean 520'!F223)),EDATE(AB2721,12),IF(ISNUMBER(SEARCH("6",'Procyclean 520'!F223)),EDATE(AB2721,6),IF(ISNUMBER(SEARCH("3",'Procyclean 520'!F223)),EDATE(AB2721,3),DATEVALUE('Procyclean 520'!F223))))),""))</f>
        <v/>
      </c>
      <c r="AM2721" t="str">
        <f t="shared" ca="1" si="274"/>
        <v/>
      </c>
    </row>
    <row r="2722" spans="27:39" x14ac:dyDescent="0.3">
      <c r="AA2722" t="str">
        <f>IF(COUNTA('Procyclean 520'!C224,'Procyclean 520'!D224,'Procyclean 520'!E224)&gt;0,"520","")</f>
        <v/>
      </c>
      <c r="AB2722" t="str">
        <f>IFERROR(IF(ISNUMBER('Procyclean 520'!C224),'Procyclean 520'!C224,DATEVALUE('Procyclean 520'!C224)),"")</f>
        <v/>
      </c>
      <c r="AC2722" t="str">
        <f>IF(AA2722="","",'Procyclean 520'!D224)</f>
        <v/>
      </c>
      <c r="AD2722" t="str">
        <f>IF(AA2722="","",IFERROR(1*'Procyclean 520'!E224,IFERROR(_xludf.NUMBERVALUE('Procyclean 520'!E224,".",","),IFERROR(_xludf.NUMBERVALUE('Procyclean 520'!E224,",","."),0))))</f>
        <v/>
      </c>
      <c r="AE2722" t="str">
        <f>IF(AA2722="","",'Procyclean 520'!B224)</f>
        <v/>
      </c>
      <c r="AF2722">
        <f t="shared" si="269"/>
        <v>0</v>
      </c>
      <c r="AG2722" t="str">
        <f t="shared" si="270"/>
        <v/>
      </c>
      <c r="AH2722" t="str">
        <f t="shared" si="271"/>
        <v/>
      </c>
      <c r="AI2722">
        <f t="shared" si="272"/>
        <v>0</v>
      </c>
      <c r="AJ2722">
        <f t="shared" si="273"/>
        <v>0</v>
      </c>
      <c r="AK2722">
        <v>0</v>
      </c>
      <c r="AL2722" t="str">
        <f>IF(AA2722="","",IFERROR(IF(ISNUMBER('Procyclean 520'!F224),'Procyclean 520'!F224,IF(ISNUMBER(SEARCH("12",'Procyclean 520'!F224)),EDATE(AB2722,12),IF(ISNUMBER(SEARCH("6",'Procyclean 520'!F224)),EDATE(AB2722,6),IF(ISNUMBER(SEARCH("3",'Procyclean 520'!F224)),EDATE(AB2722,3),DATEVALUE('Procyclean 520'!F224))))),""))</f>
        <v/>
      </c>
      <c r="AM2722" t="str">
        <f t="shared" ca="1" si="274"/>
        <v/>
      </c>
    </row>
    <row r="2723" spans="27:39" x14ac:dyDescent="0.3">
      <c r="AA2723" t="str">
        <f>IF(COUNTA('Procyclean 520'!C225,'Procyclean 520'!D225,'Procyclean 520'!E225)&gt;0,"520","")</f>
        <v/>
      </c>
      <c r="AB2723" t="str">
        <f>IFERROR(IF(ISNUMBER('Procyclean 520'!C225),'Procyclean 520'!C225,DATEVALUE('Procyclean 520'!C225)),"")</f>
        <v/>
      </c>
      <c r="AC2723" t="str">
        <f>IF(AA2723="","",'Procyclean 520'!D225)</f>
        <v/>
      </c>
      <c r="AD2723" t="str">
        <f>IF(AA2723="","",IFERROR(1*'Procyclean 520'!E225,IFERROR(_xludf.NUMBERVALUE('Procyclean 520'!E225,".",","),IFERROR(_xludf.NUMBERVALUE('Procyclean 520'!E225,",","."),0))))</f>
        <v/>
      </c>
      <c r="AE2723" t="str">
        <f>IF(AA2723="","",'Procyclean 520'!B225)</f>
        <v/>
      </c>
      <c r="AF2723">
        <f t="shared" si="269"/>
        <v>0</v>
      </c>
      <c r="AG2723" t="str">
        <f t="shared" si="270"/>
        <v/>
      </c>
      <c r="AH2723" t="str">
        <f t="shared" si="271"/>
        <v/>
      </c>
      <c r="AI2723">
        <f t="shared" si="272"/>
        <v>0</v>
      </c>
      <c r="AJ2723">
        <f t="shared" si="273"/>
        <v>0</v>
      </c>
      <c r="AK2723">
        <v>0</v>
      </c>
      <c r="AL2723" t="str">
        <f>IF(AA2723="","",IFERROR(IF(ISNUMBER('Procyclean 520'!F225),'Procyclean 520'!F225,IF(ISNUMBER(SEARCH("12",'Procyclean 520'!F225)),EDATE(AB2723,12),IF(ISNUMBER(SEARCH("6",'Procyclean 520'!F225)),EDATE(AB2723,6),IF(ISNUMBER(SEARCH("3",'Procyclean 520'!F225)),EDATE(AB2723,3),DATEVALUE('Procyclean 520'!F225))))),""))</f>
        <v/>
      </c>
      <c r="AM2723" t="str">
        <f t="shared" ca="1" si="274"/>
        <v/>
      </c>
    </row>
    <row r="2724" spans="27:39" x14ac:dyDescent="0.3">
      <c r="AA2724" t="str">
        <f>IF(COUNTA('Procyclean 520'!C226,'Procyclean 520'!D226,'Procyclean 520'!E226)&gt;0,"520","")</f>
        <v/>
      </c>
      <c r="AB2724" t="str">
        <f>IFERROR(IF(ISNUMBER('Procyclean 520'!C226),'Procyclean 520'!C226,DATEVALUE('Procyclean 520'!C226)),"")</f>
        <v/>
      </c>
      <c r="AC2724" t="str">
        <f>IF(AA2724="","",'Procyclean 520'!D226)</f>
        <v/>
      </c>
      <c r="AD2724" t="str">
        <f>IF(AA2724="","",IFERROR(1*'Procyclean 520'!E226,IFERROR(_xludf.NUMBERVALUE('Procyclean 520'!E226,".",","),IFERROR(_xludf.NUMBERVALUE('Procyclean 520'!E226,",","."),0))))</f>
        <v/>
      </c>
      <c r="AE2724" t="str">
        <f>IF(AA2724="","",'Procyclean 520'!B226)</f>
        <v/>
      </c>
      <c r="AF2724">
        <f t="shared" si="269"/>
        <v>0</v>
      </c>
      <c r="AG2724" t="str">
        <f t="shared" si="270"/>
        <v/>
      </c>
      <c r="AH2724" t="str">
        <f t="shared" si="271"/>
        <v/>
      </c>
      <c r="AI2724">
        <f t="shared" si="272"/>
        <v>0</v>
      </c>
      <c r="AJ2724">
        <f t="shared" si="273"/>
        <v>0</v>
      </c>
      <c r="AK2724">
        <v>0</v>
      </c>
      <c r="AL2724" t="str">
        <f>IF(AA2724="","",IFERROR(IF(ISNUMBER('Procyclean 520'!F226),'Procyclean 520'!F226,IF(ISNUMBER(SEARCH("12",'Procyclean 520'!F226)),EDATE(AB2724,12),IF(ISNUMBER(SEARCH("6",'Procyclean 520'!F226)),EDATE(AB2724,6),IF(ISNUMBER(SEARCH("3",'Procyclean 520'!F226)),EDATE(AB2724,3),DATEVALUE('Procyclean 520'!F226))))),""))</f>
        <v/>
      </c>
      <c r="AM2724" t="str">
        <f t="shared" ca="1" si="274"/>
        <v/>
      </c>
    </row>
    <row r="2725" spans="27:39" x14ac:dyDescent="0.3">
      <c r="AA2725" t="str">
        <f>IF(COUNTA('Procyclean 520'!C227,'Procyclean 520'!D227,'Procyclean 520'!E227)&gt;0,"520","")</f>
        <v/>
      </c>
      <c r="AB2725" t="str">
        <f>IFERROR(IF(ISNUMBER('Procyclean 520'!C227),'Procyclean 520'!C227,DATEVALUE('Procyclean 520'!C227)),"")</f>
        <v/>
      </c>
      <c r="AC2725" t="str">
        <f>IF(AA2725="","",'Procyclean 520'!D227)</f>
        <v/>
      </c>
      <c r="AD2725" t="str">
        <f>IF(AA2725="","",IFERROR(1*'Procyclean 520'!E227,IFERROR(_xludf.NUMBERVALUE('Procyclean 520'!E227,".",","),IFERROR(_xludf.NUMBERVALUE('Procyclean 520'!E227,",","."),0))))</f>
        <v/>
      </c>
      <c r="AE2725" t="str">
        <f>IF(AA2725="","",'Procyclean 520'!B227)</f>
        <v/>
      </c>
      <c r="AF2725">
        <f t="shared" si="269"/>
        <v>0</v>
      </c>
      <c r="AG2725" t="str">
        <f t="shared" si="270"/>
        <v/>
      </c>
      <c r="AH2725" t="str">
        <f t="shared" si="271"/>
        <v/>
      </c>
      <c r="AI2725">
        <f t="shared" si="272"/>
        <v>0</v>
      </c>
      <c r="AJ2725">
        <f t="shared" si="273"/>
        <v>0</v>
      </c>
      <c r="AK2725">
        <v>0</v>
      </c>
      <c r="AL2725" t="str">
        <f>IF(AA2725="","",IFERROR(IF(ISNUMBER('Procyclean 520'!F227),'Procyclean 520'!F227,IF(ISNUMBER(SEARCH("12",'Procyclean 520'!F227)),EDATE(AB2725,12),IF(ISNUMBER(SEARCH("6",'Procyclean 520'!F227)),EDATE(AB2725,6),IF(ISNUMBER(SEARCH("3",'Procyclean 520'!F227)),EDATE(AB2725,3),DATEVALUE('Procyclean 520'!F227))))),""))</f>
        <v/>
      </c>
      <c r="AM2725" t="str">
        <f t="shared" ca="1" si="274"/>
        <v/>
      </c>
    </row>
    <row r="2726" spans="27:39" x14ac:dyDescent="0.3">
      <c r="AA2726" t="str">
        <f>IF(COUNTA('Procyclean 520'!C228,'Procyclean 520'!D228,'Procyclean 520'!E228)&gt;0,"520","")</f>
        <v/>
      </c>
      <c r="AB2726" t="str">
        <f>IFERROR(IF(ISNUMBER('Procyclean 520'!C228),'Procyclean 520'!C228,DATEVALUE('Procyclean 520'!C228)),"")</f>
        <v/>
      </c>
      <c r="AC2726" t="str">
        <f>IF(AA2726="","",'Procyclean 520'!D228)</f>
        <v/>
      </c>
      <c r="AD2726" t="str">
        <f>IF(AA2726="","",IFERROR(1*'Procyclean 520'!E228,IFERROR(_xludf.NUMBERVALUE('Procyclean 520'!E228,".",","),IFERROR(_xludf.NUMBERVALUE('Procyclean 520'!E228,",","."),0))))</f>
        <v/>
      </c>
      <c r="AE2726" t="str">
        <f>IF(AA2726="","",'Procyclean 520'!B228)</f>
        <v/>
      </c>
      <c r="AF2726">
        <f t="shared" si="269"/>
        <v>0</v>
      </c>
      <c r="AG2726" t="str">
        <f t="shared" si="270"/>
        <v/>
      </c>
      <c r="AH2726" t="str">
        <f t="shared" si="271"/>
        <v/>
      </c>
      <c r="AI2726">
        <f t="shared" si="272"/>
        <v>0</v>
      </c>
      <c r="AJ2726">
        <f t="shared" si="273"/>
        <v>0</v>
      </c>
      <c r="AK2726">
        <v>0</v>
      </c>
      <c r="AL2726" t="str">
        <f>IF(AA2726="","",IFERROR(IF(ISNUMBER('Procyclean 520'!F228),'Procyclean 520'!F228,IF(ISNUMBER(SEARCH("12",'Procyclean 520'!F228)),EDATE(AB2726,12),IF(ISNUMBER(SEARCH("6",'Procyclean 520'!F228)),EDATE(AB2726,6),IF(ISNUMBER(SEARCH("3",'Procyclean 520'!F228)),EDATE(AB2726,3),DATEVALUE('Procyclean 520'!F228))))),""))</f>
        <v/>
      </c>
      <c r="AM2726" t="str">
        <f t="shared" ca="1" si="274"/>
        <v/>
      </c>
    </row>
    <row r="2727" spans="27:39" x14ac:dyDescent="0.3">
      <c r="AA2727" t="str">
        <f>IF(COUNTA('Procyclean 520'!C229,'Procyclean 520'!D229,'Procyclean 520'!E229)&gt;0,"520","")</f>
        <v/>
      </c>
      <c r="AB2727" t="str">
        <f>IFERROR(IF(ISNUMBER('Procyclean 520'!C229),'Procyclean 520'!C229,DATEVALUE('Procyclean 520'!C229)),"")</f>
        <v/>
      </c>
      <c r="AC2727" t="str">
        <f>IF(AA2727="","",'Procyclean 520'!D229)</f>
        <v/>
      </c>
      <c r="AD2727" t="str">
        <f>IF(AA2727="","",IFERROR(1*'Procyclean 520'!E229,IFERROR(_xludf.NUMBERVALUE('Procyclean 520'!E229,".",","),IFERROR(_xludf.NUMBERVALUE('Procyclean 520'!E229,",","."),0))))</f>
        <v/>
      </c>
      <c r="AE2727" t="str">
        <f>IF(AA2727="","",'Procyclean 520'!B229)</f>
        <v/>
      </c>
      <c r="AF2727">
        <f t="shared" si="269"/>
        <v>0</v>
      </c>
      <c r="AG2727" t="str">
        <f t="shared" si="270"/>
        <v/>
      </c>
      <c r="AH2727" t="str">
        <f t="shared" si="271"/>
        <v/>
      </c>
      <c r="AI2727">
        <f t="shared" si="272"/>
        <v>0</v>
      </c>
      <c r="AJ2727">
        <f t="shared" si="273"/>
        <v>0</v>
      </c>
      <c r="AK2727">
        <v>0</v>
      </c>
      <c r="AL2727" t="str">
        <f>IF(AA2727="","",IFERROR(IF(ISNUMBER('Procyclean 520'!F229),'Procyclean 520'!F229,IF(ISNUMBER(SEARCH("12",'Procyclean 520'!F229)),EDATE(AB2727,12),IF(ISNUMBER(SEARCH("6",'Procyclean 520'!F229)),EDATE(AB2727,6),IF(ISNUMBER(SEARCH("3",'Procyclean 520'!F229)),EDATE(AB2727,3),DATEVALUE('Procyclean 520'!F229))))),""))</f>
        <v/>
      </c>
      <c r="AM2727" t="str">
        <f t="shared" ca="1" si="274"/>
        <v/>
      </c>
    </row>
    <row r="2728" spans="27:39" x14ac:dyDescent="0.3">
      <c r="AA2728" t="str">
        <f>IF(COUNTA('Procyclean 520'!C230,'Procyclean 520'!D230,'Procyclean 520'!E230)&gt;0,"520","")</f>
        <v/>
      </c>
      <c r="AB2728" t="str">
        <f>IFERROR(IF(ISNUMBER('Procyclean 520'!C230),'Procyclean 520'!C230,DATEVALUE('Procyclean 520'!C230)),"")</f>
        <v/>
      </c>
      <c r="AC2728" t="str">
        <f>IF(AA2728="","",'Procyclean 520'!D230)</f>
        <v/>
      </c>
      <c r="AD2728" t="str">
        <f>IF(AA2728="","",IFERROR(1*'Procyclean 520'!E230,IFERROR(_xludf.NUMBERVALUE('Procyclean 520'!E230,".",","),IFERROR(_xludf.NUMBERVALUE('Procyclean 520'!E230,",","."),0))))</f>
        <v/>
      </c>
      <c r="AE2728" t="str">
        <f>IF(AA2728="","",'Procyclean 520'!B230)</f>
        <v/>
      </c>
      <c r="AF2728">
        <f t="shared" si="269"/>
        <v>0</v>
      </c>
      <c r="AG2728" t="str">
        <f t="shared" si="270"/>
        <v/>
      </c>
      <c r="AH2728" t="str">
        <f t="shared" si="271"/>
        <v/>
      </c>
      <c r="AI2728">
        <f t="shared" si="272"/>
        <v>0</v>
      </c>
      <c r="AJ2728">
        <f t="shared" si="273"/>
        <v>0</v>
      </c>
      <c r="AK2728">
        <v>0</v>
      </c>
      <c r="AL2728" t="str">
        <f>IF(AA2728="","",IFERROR(IF(ISNUMBER('Procyclean 520'!F230),'Procyclean 520'!F230,IF(ISNUMBER(SEARCH("12",'Procyclean 520'!F230)),EDATE(AB2728,12),IF(ISNUMBER(SEARCH("6",'Procyclean 520'!F230)),EDATE(AB2728,6),IF(ISNUMBER(SEARCH("3",'Procyclean 520'!F230)),EDATE(AB2728,3),DATEVALUE('Procyclean 520'!F230))))),""))</f>
        <v/>
      </c>
      <c r="AM2728" t="str">
        <f t="shared" ca="1" si="274"/>
        <v/>
      </c>
    </row>
    <row r="2729" spans="27:39" x14ac:dyDescent="0.3">
      <c r="AA2729" t="str">
        <f>IF(COUNTA('Procyclean 520'!C231,'Procyclean 520'!D231,'Procyclean 520'!E231)&gt;0,"520","")</f>
        <v/>
      </c>
      <c r="AB2729" t="str">
        <f>IFERROR(IF(ISNUMBER('Procyclean 520'!C231),'Procyclean 520'!C231,DATEVALUE('Procyclean 520'!C231)),"")</f>
        <v/>
      </c>
      <c r="AC2729" t="str">
        <f>IF(AA2729="","",'Procyclean 520'!D231)</f>
        <v/>
      </c>
      <c r="AD2729" t="str">
        <f>IF(AA2729="","",IFERROR(1*'Procyclean 520'!E231,IFERROR(_xludf.NUMBERVALUE('Procyclean 520'!E231,".",","),IFERROR(_xludf.NUMBERVALUE('Procyclean 520'!E231,",","."),0))))</f>
        <v/>
      </c>
      <c r="AE2729" t="str">
        <f>IF(AA2729="","",'Procyclean 520'!B231)</f>
        <v/>
      </c>
      <c r="AF2729">
        <f t="shared" si="269"/>
        <v>0</v>
      </c>
      <c r="AG2729" t="str">
        <f t="shared" si="270"/>
        <v/>
      </c>
      <c r="AH2729" t="str">
        <f t="shared" si="271"/>
        <v/>
      </c>
      <c r="AI2729">
        <f t="shared" si="272"/>
        <v>0</v>
      </c>
      <c r="AJ2729">
        <f t="shared" si="273"/>
        <v>0</v>
      </c>
      <c r="AK2729">
        <v>0</v>
      </c>
      <c r="AL2729" t="str">
        <f>IF(AA2729="","",IFERROR(IF(ISNUMBER('Procyclean 520'!F231),'Procyclean 520'!F231,IF(ISNUMBER(SEARCH("12",'Procyclean 520'!F231)),EDATE(AB2729,12),IF(ISNUMBER(SEARCH("6",'Procyclean 520'!F231)),EDATE(AB2729,6),IF(ISNUMBER(SEARCH("3",'Procyclean 520'!F231)),EDATE(AB2729,3),DATEVALUE('Procyclean 520'!F231))))),""))</f>
        <v/>
      </c>
      <c r="AM2729" t="str">
        <f t="shared" ca="1" si="274"/>
        <v/>
      </c>
    </row>
    <row r="2730" spans="27:39" x14ac:dyDescent="0.3">
      <c r="AA2730" t="str">
        <f>IF(COUNTA('Procyclean 520'!C232,'Procyclean 520'!D232,'Procyclean 520'!E232)&gt;0,"520","")</f>
        <v/>
      </c>
      <c r="AB2730" t="str">
        <f>IFERROR(IF(ISNUMBER('Procyclean 520'!C232),'Procyclean 520'!C232,DATEVALUE('Procyclean 520'!C232)),"")</f>
        <v/>
      </c>
      <c r="AC2730" t="str">
        <f>IF(AA2730="","",'Procyclean 520'!D232)</f>
        <v/>
      </c>
      <c r="AD2730" t="str">
        <f>IF(AA2730="","",IFERROR(1*'Procyclean 520'!E232,IFERROR(_xludf.NUMBERVALUE('Procyclean 520'!E232,".",","),IFERROR(_xludf.NUMBERVALUE('Procyclean 520'!E232,",","."),0))))</f>
        <v/>
      </c>
      <c r="AE2730" t="str">
        <f>IF(AA2730="","",'Procyclean 520'!B232)</f>
        <v/>
      </c>
      <c r="AF2730">
        <f t="shared" si="269"/>
        <v>0</v>
      </c>
      <c r="AG2730" t="str">
        <f t="shared" si="270"/>
        <v/>
      </c>
      <c r="AH2730" t="str">
        <f t="shared" si="271"/>
        <v/>
      </c>
      <c r="AI2730">
        <f t="shared" si="272"/>
        <v>0</v>
      </c>
      <c r="AJ2730">
        <f t="shared" si="273"/>
        <v>0</v>
      </c>
      <c r="AK2730">
        <v>0</v>
      </c>
      <c r="AL2730" t="str">
        <f>IF(AA2730="","",IFERROR(IF(ISNUMBER('Procyclean 520'!F232),'Procyclean 520'!F232,IF(ISNUMBER(SEARCH("12",'Procyclean 520'!F232)),EDATE(AB2730,12),IF(ISNUMBER(SEARCH("6",'Procyclean 520'!F232)),EDATE(AB2730,6),IF(ISNUMBER(SEARCH("3",'Procyclean 520'!F232)),EDATE(AB2730,3),DATEVALUE('Procyclean 520'!F232))))),""))</f>
        <v/>
      </c>
      <c r="AM2730" t="str">
        <f t="shared" ca="1" si="274"/>
        <v/>
      </c>
    </row>
    <row r="2731" spans="27:39" x14ac:dyDescent="0.3">
      <c r="AA2731" t="str">
        <f>IF(COUNTA('Procyclean 520'!C233,'Procyclean 520'!D233,'Procyclean 520'!E233)&gt;0,"520","")</f>
        <v/>
      </c>
      <c r="AB2731" t="str">
        <f>IFERROR(IF(ISNUMBER('Procyclean 520'!C233),'Procyclean 520'!C233,DATEVALUE('Procyclean 520'!C233)),"")</f>
        <v/>
      </c>
      <c r="AC2731" t="str">
        <f>IF(AA2731="","",'Procyclean 520'!D233)</f>
        <v/>
      </c>
      <c r="AD2731" t="str">
        <f>IF(AA2731="","",IFERROR(1*'Procyclean 520'!E233,IFERROR(_xludf.NUMBERVALUE('Procyclean 520'!E233,".",","),IFERROR(_xludf.NUMBERVALUE('Procyclean 520'!E233,",","."),0))))</f>
        <v/>
      </c>
      <c r="AE2731" t="str">
        <f>IF(AA2731="","",'Procyclean 520'!B233)</f>
        <v/>
      </c>
      <c r="AF2731">
        <f t="shared" si="269"/>
        <v>0</v>
      </c>
      <c r="AG2731" t="str">
        <f t="shared" si="270"/>
        <v/>
      </c>
      <c r="AH2731" t="str">
        <f t="shared" si="271"/>
        <v/>
      </c>
      <c r="AI2731">
        <f t="shared" si="272"/>
        <v>0</v>
      </c>
      <c r="AJ2731">
        <f t="shared" si="273"/>
        <v>0</v>
      </c>
      <c r="AK2731">
        <v>0</v>
      </c>
      <c r="AL2731" t="str">
        <f>IF(AA2731="","",IFERROR(IF(ISNUMBER('Procyclean 520'!F233),'Procyclean 520'!F233,IF(ISNUMBER(SEARCH("12",'Procyclean 520'!F233)),EDATE(AB2731,12),IF(ISNUMBER(SEARCH("6",'Procyclean 520'!F233)),EDATE(AB2731,6),IF(ISNUMBER(SEARCH("3",'Procyclean 520'!F233)),EDATE(AB2731,3),DATEVALUE('Procyclean 520'!F233))))),""))</f>
        <v/>
      </c>
      <c r="AM2731" t="str">
        <f t="shared" ca="1" si="274"/>
        <v/>
      </c>
    </row>
    <row r="2732" spans="27:39" x14ac:dyDescent="0.3">
      <c r="AA2732" t="str">
        <f>IF(COUNTA('Procyclean 520'!C234,'Procyclean 520'!D234,'Procyclean 520'!E234)&gt;0,"520","")</f>
        <v/>
      </c>
      <c r="AB2732" t="str">
        <f>IFERROR(IF(ISNUMBER('Procyclean 520'!C234),'Procyclean 520'!C234,DATEVALUE('Procyclean 520'!C234)),"")</f>
        <v/>
      </c>
      <c r="AC2732" t="str">
        <f>IF(AA2732="","",'Procyclean 520'!D234)</f>
        <v/>
      </c>
      <c r="AD2732" t="str">
        <f>IF(AA2732="","",IFERROR(1*'Procyclean 520'!E234,IFERROR(_xludf.NUMBERVALUE('Procyclean 520'!E234,".",","),IFERROR(_xludf.NUMBERVALUE('Procyclean 520'!E234,",","."),0))))</f>
        <v/>
      </c>
      <c r="AE2732" t="str">
        <f>IF(AA2732="","",'Procyclean 520'!B234)</f>
        <v/>
      </c>
      <c r="AF2732">
        <f t="shared" si="269"/>
        <v>0</v>
      </c>
      <c r="AG2732" t="str">
        <f t="shared" si="270"/>
        <v/>
      </c>
      <c r="AH2732" t="str">
        <f t="shared" si="271"/>
        <v/>
      </c>
      <c r="AI2732">
        <f t="shared" si="272"/>
        <v>0</v>
      </c>
      <c r="AJ2732">
        <f t="shared" si="273"/>
        <v>0</v>
      </c>
      <c r="AK2732">
        <v>0</v>
      </c>
      <c r="AL2732" t="str">
        <f>IF(AA2732="","",IFERROR(IF(ISNUMBER('Procyclean 520'!F234),'Procyclean 520'!F234,IF(ISNUMBER(SEARCH("12",'Procyclean 520'!F234)),EDATE(AB2732,12),IF(ISNUMBER(SEARCH("6",'Procyclean 520'!F234)),EDATE(AB2732,6),IF(ISNUMBER(SEARCH("3",'Procyclean 520'!F234)),EDATE(AB2732,3),DATEVALUE('Procyclean 520'!F234))))),""))</f>
        <v/>
      </c>
      <c r="AM2732" t="str">
        <f t="shared" ca="1" si="274"/>
        <v/>
      </c>
    </row>
    <row r="2733" spans="27:39" x14ac:dyDescent="0.3">
      <c r="AA2733" t="str">
        <f>IF(COUNTA('Procyclean 520'!C235,'Procyclean 520'!D235,'Procyclean 520'!E235)&gt;0,"520","")</f>
        <v/>
      </c>
      <c r="AB2733" t="str">
        <f>IFERROR(IF(ISNUMBER('Procyclean 520'!C235),'Procyclean 520'!C235,DATEVALUE('Procyclean 520'!C235)),"")</f>
        <v/>
      </c>
      <c r="AC2733" t="str">
        <f>IF(AA2733="","",'Procyclean 520'!D235)</f>
        <v/>
      </c>
      <c r="AD2733" t="str">
        <f>IF(AA2733="","",IFERROR(1*'Procyclean 520'!E235,IFERROR(_xludf.NUMBERVALUE('Procyclean 520'!E235,".",","),IFERROR(_xludf.NUMBERVALUE('Procyclean 520'!E235,",","."),0))))</f>
        <v/>
      </c>
      <c r="AE2733" t="str">
        <f>IF(AA2733="","",'Procyclean 520'!B235)</f>
        <v/>
      </c>
      <c r="AF2733">
        <f t="shared" si="269"/>
        <v>0</v>
      </c>
      <c r="AG2733" t="str">
        <f t="shared" si="270"/>
        <v/>
      </c>
      <c r="AH2733" t="str">
        <f t="shared" si="271"/>
        <v/>
      </c>
      <c r="AI2733">
        <f t="shared" si="272"/>
        <v>0</v>
      </c>
      <c r="AJ2733">
        <f t="shared" si="273"/>
        <v>0</v>
      </c>
      <c r="AK2733">
        <v>0</v>
      </c>
      <c r="AL2733" t="str">
        <f>IF(AA2733="","",IFERROR(IF(ISNUMBER('Procyclean 520'!F235),'Procyclean 520'!F235,IF(ISNUMBER(SEARCH("12",'Procyclean 520'!F235)),EDATE(AB2733,12),IF(ISNUMBER(SEARCH("6",'Procyclean 520'!F235)),EDATE(AB2733,6),IF(ISNUMBER(SEARCH("3",'Procyclean 520'!F235)),EDATE(AB2733,3),DATEVALUE('Procyclean 520'!F235))))),""))</f>
        <v/>
      </c>
      <c r="AM2733" t="str">
        <f t="shared" ca="1" si="274"/>
        <v/>
      </c>
    </row>
    <row r="2734" spans="27:39" x14ac:dyDescent="0.3">
      <c r="AA2734" t="str">
        <f>IF(COUNTA('Procyclean 520'!C236,'Procyclean 520'!D236,'Procyclean 520'!E236)&gt;0,"520","")</f>
        <v/>
      </c>
      <c r="AB2734" t="str">
        <f>IFERROR(IF(ISNUMBER('Procyclean 520'!C236),'Procyclean 520'!C236,DATEVALUE('Procyclean 520'!C236)),"")</f>
        <v/>
      </c>
      <c r="AC2734" t="str">
        <f>IF(AA2734="","",'Procyclean 520'!D236)</f>
        <v/>
      </c>
      <c r="AD2734" t="str">
        <f>IF(AA2734="","",IFERROR(1*'Procyclean 520'!E236,IFERROR(_xludf.NUMBERVALUE('Procyclean 520'!E236,".",","),IFERROR(_xludf.NUMBERVALUE('Procyclean 520'!E236,",","."),0))))</f>
        <v/>
      </c>
      <c r="AE2734" t="str">
        <f>IF(AA2734="","",'Procyclean 520'!B236)</f>
        <v/>
      </c>
      <c r="AF2734">
        <f t="shared" si="269"/>
        <v>0</v>
      </c>
      <c r="AG2734" t="str">
        <f t="shared" si="270"/>
        <v/>
      </c>
      <c r="AH2734" t="str">
        <f t="shared" si="271"/>
        <v/>
      </c>
      <c r="AI2734">
        <f t="shared" si="272"/>
        <v>0</v>
      </c>
      <c r="AJ2734">
        <f t="shared" si="273"/>
        <v>0</v>
      </c>
      <c r="AK2734">
        <v>0</v>
      </c>
      <c r="AL2734" t="str">
        <f>IF(AA2734="","",IFERROR(IF(ISNUMBER('Procyclean 520'!F236),'Procyclean 520'!F236,IF(ISNUMBER(SEARCH("12",'Procyclean 520'!F236)),EDATE(AB2734,12),IF(ISNUMBER(SEARCH("6",'Procyclean 520'!F236)),EDATE(AB2734,6),IF(ISNUMBER(SEARCH("3",'Procyclean 520'!F236)),EDATE(AB2734,3),DATEVALUE('Procyclean 520'!F236))))),""))</f>
        <v/>
      </c>
      <c r="AM2734" t="str">
        <f t="shared" ca="1" si="274"/>
        <v/>
      </c>
    </row>
    <row r="2735" spans="27:39" x14ac:dyDescent="0.3">
      <c r="AA2735" t="str">
        <f>IF(COUNTA('Procyclean 520'!C237,'Procyclean 520'!D237,'Procyclean 520'!E237)&gt;0,"520","")</f>
        <v/>
      </c>
      <c r="AB2735" t="str">
        <f>IFERROR(IF(ISNUMBER('Procyclean 520'!C237),'Procyclean 520'!C237,DATEVALUE('Procyclean 520'!C237)),"")</f>
        <v/>
      </c>
      <c r="AC2735" t="str">
        <f>IF(AA2735="","",'Procyclean 520'!D237)</f>
        <v/>
      </c>
      <c r="AD2735" t="str">
        <f>IF(AA2735="","",IFERROR(1*'Procyclean 520'!E237,IFERROR(_xludf.NUMBERVALUE('Procyclean 520'!E237,".",","),IFERROR(_xludf.NUMBERVALUE('Procyclean 520'!E237,",","."),0))))</f>
        <v/>
      </c>
      <c r="AE2735" t="str">
        <f>IF(AA2735="","",'Procyclean 520'!B237)</f>
        <v/>
      </c>
      <c r="AF2735">
        <f t="shared" si="269"/>
        <v>0</v>
      </c>
      <c r="AG2735" t="str">
        <f t="shared" si="270"/>
        <v/>
      </c>
      <c r="AH2735" t="str">
        <f t="shared" si="271"/>
        <v/>
      </c>
      <c r="AI2735">
        <f t="shared" si="272"/>
        <v>0</v>
      </c>
      <c r="AJ2735">
        <f t="shared" si="273"/>
        <v>0</v>
      </c>
      <c r="AK2735">
        <v>0</v>
      </c>
      <c r="AL2735" t="str">
        <f>IF(AA2735="","",IFERROR(IF(ISNUMBER('Procyclean 520'!F237),'Procyclean 520'!F237,IF(ISNUMBER(SEARCH("12",'Procyclean 520'!F237)),EDATE(AB2735,12),IF(ISNUMBER(SEARCH("6",'Procyclean 520'!F237)),EDATE(AB2735,6),IF(ISNUMBER(SEARCH("3",'Procyclean 520'!F237)),EDATE(AB2735,3),DATEVALUE('Procyclean 520'!F237))))),""))</f>
        <v/>
      </c>
      <c r="AM2735" t="str">
        <f t="shared" ca="1" si="274"/>
        <v/>
      </c>
    </row>
    <row r="2736" spans="27:39" x14ac:dyDescent="0.3">
      <c r="AA2736" t="str">
        <f>IF(COUNTA('Procyclean 520'!C238,'Procyclean 520'!D238,'Procyclean 520'!E238)&gt;0,"520","")</f>
        <v/>
      </c>
      <c r="AB2736" t="str">
        <f>IFERROR(IF(ISNUMBER('Procyclean 520'!C238),'Procyclean 520'!C238,DATEVALUE('Procyclean 520'!C238)),"")</f>
        <v/>
      </c>
      <c r="AC2736" t="str">
        <f>IF(AA2736="","",'Procyclean 520'!D238)</f>
        <v/>
      </c>
      <c r="AD2736" t="str">
        <f>IF(AA2736="","",IFERROR(1*'Procyclean 520'!E238,IFERROR(_xludf.NUMBERVALUE('Procyclean 520'!E238,".",","),IFERROR(_xludf.NUMBERVALUE('Procyclean 520'!E238,",","."),0))))</f>
        <v/>
      </c>
      <c r="AE2736" t="str">
        <f>IF(AA2736="","",'Procyclean 520'!B238)</f>
        <v/>
      </c>
      <c r="AF2736">
        <f t="shared" si="269"/>
        <v>0</v>
      </c>
      <c r="AG2736" t="str">
        <f t="shared" si="270"/>
        <v/>
      </c>
      <c r="AH2736" t="str">
        <f t="shared" si="271"/>
        <v/>
      </c>
      <c r="AI2736">
        <f t="shared" si="272"/>
        <v>0</v>
      </c>
      <c r="AJ2736">
        <f t="shared" si="273"/>
        <v>0</v>
      </c>
      <c r="AK2736">
        <v>0</v>
      </c>
      <c r="AL2736" t="str">
        <f>IF(AA2736="","",IFERROR(IF(ISNUMBER('Procyclean 520'!F238),'Procyclean 520'!F238,IF(ISNUMBER(SEARCH("12",'Procyclean 520'!F238)),EDATE(AB2736,12),IF(ISNUMBER(SEARCH("6",'Procyclean 520'!F238)),EDATE(AB2736,6),IF(ISNUMBER(SEARCH("3",'Procyclean 520'!F238)),EDATE(AB2736,3),DATEVALUE('Procyclean 520'!F238))))),""))</f>
        <v/>
      </c>
      <c r="AM2736" t="str">
        <f t="shared" ca="1" si="274"/>
        <v/>
      </c>
    </row>
    <row r="2737" spans="27:39" x14ac:dyDescent="0.3">
      <c r="AA2737" t="str">
        <f>IF(COUNTA('Procyclean 520'!C239,'Procyclean 520'!D239,'Procyclean 520'!E239)&gt;0,"520","")</f>
        <v/>
      </c>
      <c r="AB2737" t="str">
        <f>IFERROR(IF(ISNUMBER('Procyclean 520'!C239),'Procyclean 520'!C239,DATEVALUE('Procyclean 520'!C239)),"")</f>
        <v/>
      </c>
      <c r="AC2737" t="str">
        <f>IF(AA2737="","",'Procyclean 520'!D239)</f>
        <v/>
      </c>
      <c r="AD2737" t="str">
        <f>IF(AA2737="","",IFERROR(1*'Procyclean 520'!E239,IFERROR(_xludf.NUMBERVALUE('Procyclean 520'!E239,".",","),IFERROR(_xludf.NUMBERVALUE('Procyclean 520'!E239,",","."),0))))</f>
        <v/>
      </c>
      <c r="AE2737" t="str">
        <f>IF(AA2737="","",'Procyclean 520'!B239)</f>
        <v/>
      </c>
      <c r="AF2737">
        <f t="shared" si="269"/>
        <v>0</v>
      </c>
      <c r="AG2737" t="str">
        <f t="shared" si="270"/>
        <v/>
      </c>
      <c r="AH2737" t="str">
        <f t="shared" si="271"/>
        <v/>
      </c>
      <c r="AI2737">
        <f t="shared" si="272"/>
        <v>0</v>
      </c>
      <c r="AJ2737">
        <f t="shared" si="273"/>
        <v>0</v>
      </c>
      <c r="AK2737">
        <v>0</v>
      </c>
      <c r="AL2737" t="str">
        <f>IF(AA2737="","",IFERROR(IF(ISNUMBER('Procyclean 520'!F239),'Procyclean 520'!F239,IF(ISNUMBER(SEARCH("12",'Procyclean 520'!F239)),EDATE(AB2737,12),IF(ISNUMBER(SEARCH("6",'Procyclean 520'!F239)),EDATE(AB2737,6),IF(ISNUMBER(SEARCH("3",'Procyclean 520'!F239)),EDATE(AB2737,3),DATEVALUE('Procyclean 520'!F239))))),""))</f>
        <v/>
      </c>
      <c r="AM2737" t="str">
        <f t="shared" ca="1" si="274"/>
        <v/>
      </c>
    </row>
    <row r="2738" spans="27:39" x14ac:dyDescent="0.3">
      <c r="AA2738" t="str">
        <f>IF(COUNTA('Procyclean 520'!C240,'Procyclean 520'!D240,'Procyclean 520'!E240)&gt;0,"520","")</f>
        <v/>
      </c>
      <c r="AB2738" t="str">
        <f>IFERROR(IF(ISNUMBER('Procyclean 520'!C240),'Procyclean 520'!C240,DATEVALUE('Procyclean 520'!C240)),"")</f>
        <v/>
      </c>
      <c r="AC2738" t="str">
        <f>IF(AA2738="","",'Procyclean 520'!D240)</f>
        <v/>
      </c>
      <c r="AD2738" t="str">
        <f>IF(AA2738="","",IFERROR(1*'Procyclean 520'!E240,IFERROR(_xludf.NUMBERVALUE('Procyclean 520'!E240,".",","),IFERROR(_xludf.NUMBERVALUE('Procyclean 520'!E240,",","."),0))))</f>
        <v/>
      </c>
      <c r="AE2738" t="str">
        <f>IF(AA2738="","",'Procyclean 520'!B240)</f>
        <v/>
      </c>
      <c r="AF2738">
        <f t="shared" si="269"/>
        <v>0</v>
      </c>
      <c r="AG2738" t="str">
        <f t="shared" si="270"/>
        <v/>
      </c>
      <c r="AH2738" t="str">
        <f t="shared" si="271"/>
        <v/>
      </c>
      <c r="AI2738">
        <f t="shared" si="272"/>
        <v>0</v>
      </c>
      <c r="AJ2738">
        <f t="shared" si="273"/>
        <v>0</v>
      </c>
      <c r="AK2738">
        <v>0</v>
      </c>
      <c r="AL2738" t="str">
        <f>IF(AA2738="","",IFERROR(IF(ISNUMBER('Procyclean 520'!F240),'Procyclean 520'!F240,IF(ISNUMBER(SEARCH("12",'Procyclean 520'!F240)),EDATE(AB2738,12),IF(ISNUMBER(SEARCH("6",'Procyclean 520'!F240)),EDATE(AB2738,6),IF(ISNUMBER(SEARCH("3",'Procyclean 520'!F240)),EDATE(AB2738,3),DATEVALUE('Procyclean 520'!F240))))),""))</f>
        <v/>
      </c>
      <c r="AM2738" t="str">
        <f t="shared" ca="1" si="274"/>
        <v/>
      </c>
    </row>
    <row r="2739" spans="27:39" x14ac:dyDescent="0.3">
      <c r="AA2739" t="str">
        <f>IF(COUNTA('Procyclean 520'!C241,'Procyclean 520'!D241,'Procyclean 520'!E241)&gt;0,"520","")</f>
        <v/>
      </c>
      <c r="AB2739" t="str">
        <f>IFERROR(IF(ISNUMBER('Procyclean 520'!C241),'Procyclean 520'!C241,DATEVALUE('Procyclean 520'!C241)),"")</f>
        <v/>
      </c>
      <c r="AC2739" t="str">
        <f>IF(AA2739="","",'Procyclean 520'!D241)</f>
        <v/>
      </c>
      <c r="AD2739" t="str">
        <f>IF(AA2739="","",IFERROR(1*'Procyclean 520'!E241,IFERROR(_xludf.NUMBERVALUE('Procyclean 520'!E241,".",","),IFERROR(_xludf.NUMBERVALUE('Procyclean 520'!E241,",","."),0))))</f>
        <v/>
      </c>
      <c r="AE2739" t="str">
        <f>IF(AA2739="","",'Procyclean 520'!B241)</f>
        <v/>
      </c>
      <c r="AF2739">
        <f t="shared" si="269"/>
        <v>0</v>
      </c>
      <c r="AG2739" t="str">
        <f t="shared" si="270"/>
        <v/>
      </c>
      <c r="AH2739" t="str">
        <f t="shared" si="271"/>
        <v/>
      </c>
      <c r="AI2739">
        <f t="shared" si="272"/>
        <v>0</v>
      </c>
      <c r="AJ2739">
        <f t="shared" si="273"/>
        <v>0</v>
      </c>
      <c r="AK2739">
        <v>0</v>
      </c>
      <c r="AL2739" t="str">
        <f>IF(AA2739="","",IFERROR(IF(ISNUMBER('Procyclean 520'!F241),'Procyclean 520'!F241,IF(ISNUMBER(SEARCH("12",'Procyclean 520'!F241)),EDATE(AB2739,12),IF(ISNUMBER(SEARCH("6",'Procyclean 520'!F241)),EDATE(AB2739,6),IF(ISNUMBER(SEARCH("3",'Procyclean 520'!F241)),EDATE(AB2739,3),DATEVALUE('Procyclean 520'!F241))))),""))</f>
        <v/>
      </c>
      <c r="AM2739" t="str">
        <f t="shared" ca="1" si="274"/>
        <v/>
      </c>
    </row>
    <row r="2740" spans="27:39" x14ac:dyDescent="0.3">
      <c r="AA2740" t="str">
        <f>IF(COUNTA('Procyclean 520'!C242,'Procyclean 520'!D242,'Procyclean 520'!E242)&gt;0,"520","")</f>
        <v/>
      </c>
      <c r="AB2740" t="str">
        <f>IFERROR(IF(ISNUMBER('Procyclean 520'!C242),'Procyclean 520'!C242,DATEVALUE('Procyclean 520'!C242)),"")</f>
        <v/>
      </c>
      <c r="AC2740" t="str">
        <f>IF(AA2740="","",'Procyclean 520'!D242)</f>
        <v/>
      </c>
      <c r="AD2740" t="str">
        <f>IF(AA2740="","",IFERROR(1*'Procyclean 520'!E242,IFERROR(_xludf.NUMBERVALUE('Procyclean 520'!E242,".",","),IFERROR(_xludf.NUMBERVALUE('Procyclean 520'!E242,",","."),0))))</f>
        <v/>
      </c>
      <c r="AE2740" t="str">
        <f>IF(AA2740="","",'Procyclean 520'!B242)</f>
        <v/>
      </c>
      <c r="AF2740">
        <f t="shared" si="269"/>
        <v>0</v>
      </c>
      <c r="AG2740" t="str">
        <f t="shared" si="270"/>
        <v/>
      </c>
      <c r="AH2740" t="str">
        <f t="shared" si="271"/>
        <v/>
      </c>
      <c r="AI2740">
        <f t="shared" si="272"/>
        <v>0</v>
      </c>
      <c r="AJ2740">
        <f t="shared" si="273"/>
        <v>0</v>
      </c>
      <c r="AK2740">
        <v>0</v>
      </c>
      <c r="AL2740" t="str">
        <f>IF(AA2740="","",IFERROR(IF(ISNUMBER('Procyclean 520'!F242),'Procyclean 520'!F242,IF(ISNUMBER(SEARCH("12",'Procyclean 520'!F242)),EDATE(AB2740,12),IF(ISNUMBER(SEARCH("6",'Procyclean 520'!F242)),EDATE(AB2740,6),IF(ISNUMBER(SEARCH("3",'Procyclean 520'!F242)),EDATE(AB2740,3),DATEVALUE('Procyclean 520'!F242))))),""))</f>
        <v/>
      </c>
      <c r="AM2740" t="str">
        <f t="shared" ca="1" si="274"/>
        <v/>
      </c>
    </row>
    <row r="2741" spans="27:39" x14ac:dyDescent="0.3">
      <c r="AA2741" t="str">
        <f>IF(COUNTA('Procyclean 520'!C243,'Procyclean 520'!D243,'Procyclean 520'!E243)&gt;0,"520","")</f>
        <v/>
      </c>
      <c r="AB2741" t="str">
        <f>IFERROR(IF(ISNUMBER('Procyclean 520'!C243),'Procyclean 520'!C243,DATEVALUE('Procyclean 520'!C243)),"")</f>
        <v/>
      </c>
      <c r="AC2741" t="str">
        <f>IF(AA2741="","",'Procyclean 520'!D243)</f>
        <v/>
      </c>
      <c r="AD2741" t="str">
        <f>IF(AA2741="","",IFERROR(1*'Procyclean 520'!E243,IFERROR(_xludf.NUMBERVALUE('Procyclean 520'!E243,".",","),IFERROR(_xludf.NUMBERVALUE('Procyclean 520'!E243,",","."),0))))</f>
        <v/>
      </c>
      <c r="AE2741" t="str">
        <f>IF(AA2741="","",'Procyclean 520'!B243)</f>
        <v/>
      </c>
      <c r="AF2741">
        <f t="shared" si="269"/>
        <v>0</v>
      </c>
      <c r="AG2741" t="str">
        <f t="shared" si="270"/>
        <v/>
      </c>
      <c r="AH2741" t="str">
        <f t="shared" si="271"/>
        <v/>
      </c>
      <c r="AI2741">
        <f t="shared" si="272"/>
        <v>0</v>
      </c>
      <c r="AJ2741">
        <f t="shared" si="273"/>
        <v>0</v>
      </c>
      <c r="AK2741">
        <v>0</v>
      </c>
      <c r="AL2741" t="str">
        <f>IF(AA2741="","",IFERROR(IF(ISNUMBER('Procyclean 520'!F243),'Procyclean 520'!F243,IF(ISNUMBER(SEARCH("12",'Procyclean 520'!F243)),EDATE(AB2741,12),IF(ISNUMBER(SEARCH("6",'Procyclean 520'!F243)),EDATE(AB2741,6),IF(ISNUMBER(SEARCH("3",'Procyclean 520'!F243)),EDATE(AB2741,3),DATEVALUE('Procyclean 520'!F243))))),""))</f>
        <v/>
      </c>
      <c r="AM2741" t="str">
        <f t="shared" ca="1" si="274"/>
        <v/>
      </c>
    </row>
    <row r="2742" spans="27:39" x14ac:dyDescent="0.3">
      <c r="AA2742" t="str">
        <f>IF(COUNTA('Procyclean 520'!C244,'Procyclean 520'!D244,'Procyclean 520'!E244)&gt;0,"520","")</f>
        <v/>
      </c>
      <c r="AB2742" t="str">
        <f>IFERROR(IF(ISNUMBER('Procyclean 520'!C244),'Procyclean 520'!C244,DATEVALUE('Procyclean 520'!C244)),"")</f>
        <v/>
      </c>
      <c r="AC2742" t="str">
        <f>IF(AA2742="","",'Procyclean 520'!D244)</f>
        <v/>
      </c>
      <c r="AD2742" t="str">
        <f>IF(AA2742="","",IFERROR(1*'Procyclean 520'!E244,IFERROR(_xludf.NUMBERVALUE('Procyclean 520'!E244,".",","),IFERROR(_xludf.NUMBERVALUE('Procyclean 520'!E244,",","."),0))))</f>
        <v/>
      </c>
      <c r="AE2742" t="str">
        <f>IF(AA2742="","",'Procyclean 520'!B244)</f>
        <v/>
      </c>
      <c r="AF2742">
        <f t="shared" si="269"/>
        <v>0</v>
      </c>
      <c r="AG2742" t="str">
        <f t="shared" si="270"/>
        <v/>
      </c>
      <c r="AH2742" t="str">
        <f t="shared" si="271"/>
        <v/>
      </c>
      <c r="AI2742">
        <f t="shared" si="272"/>
        <v>0</v>
      </c>
      <c r="AJ2742">
        <f t="shared" si="273"/>
        <v>0</v>
      </c>
      <c r="AK2742">
        <v>0</v>
      </c>
      <c r="AL2742" t="str">
        <f>IF(AA2742="","",IFERROR(IF(ISNUMBER('Procyclean 520'!F244),'Procyclean 520'!F244,IF(ISNUMBER(SEARCH("12",'Procyclean 520'!F244)),EDATE(AB2742,12),IF(ISNUMBER(SEARCH("6",'Procyclean 520'!F244)),EDATE(AB2742,6),IF(ISNUMBER(SEARCH("3",'Procyclean 520'!F244)),EDATE(AB2742,3),DATEVALUE('Procyclean 520'!F244))))),""))</f>
        <v/>
      </c>
      <c r="AM2742" t="str">
        <f t="shared" ca="1" si="274"/>
        <v/>
      </c>
    </row>
    <row r="2743" spans="27:39" x14ac:dyDescent="0.3">
      <c r="AA2743" t="str">
        <f>IF(COUNTA('Procyclean 520'!C245,'Procyclean 520'!D245,'Procyclean 520'!E245)&gt;0,"520","")</f>
        <v/>
      </c>
      <c r="AB2743" t="str">
        <f>IFERROR(IF(ISNUMBER('Procyclean 520'!C245),'Procyclean 520'!C245,DATEVALUE('Procyclean 520'!C245)),"")</f>
        <v/>
      </c>
      <c r="AC2743" t="str">
        <f>IF(AA2743="","",'Procyclean 520'!D245)</f>
        <v/>
      </c>
      <c r="AD2743" t="str">
        <f>IF(AA2743="","",IFERROR(1*'Procyclean 520'!E245,IFERROR(_xludf.NUMBERVALUE('Procyclean 520'!E245,".",","),IFERROR(_xludf.NUMBERVALUE('Procyclean 520'!E245,",","."),0))))</f>
        <v/>
      </c>
      <c r="AE2743" t="str">
        <f>IF(AA2743="","",'Procyclean 520'!B245)</f>
        <v/>
      </c>
      <c r="AF2743">
        <f t="shared" si="269"/>
        <v>0</v>
      </c>
      <c r="AG2743" t="str">
        <f t="shared" si="270"/>
        <v/>
      </c>
      <c r="AH2743" t="str">
        <f t="shared" si="271"/>
        <v/>
      </c>
      <c r="AI2743">
        <f t="shared" si="272"/>
        <v>0</v>
      </c>
      <c r="AJ2743">
        <f t="shared" si="273"/>
        <v>0</v>
      </c>
      <c r="AK2743">
        <v>0</v>
      </c>
      <c r="AL2743" t="str">
        <f>IF(AA2743="","",IFERROR(IF(ISNUMBER('Procyclean 520'!F245),'Procyclean 520'!F245,IF(ISNUMBER(SEARCH("12",'Procyclean 520'!F245)),EDATE(AB2743,12),IF(ISNUMBER(SEARCH("6",'Procyclean 520'!F245)),EDATE(AB2743,6),IF(ISNUMBER(SEARCH("3",'Procyclean 520'!F245)),EDATE(AB2743,3),DATEVALUE('Procyclean 520'!F245))))),""))</f>
        <v/>
      </c>
      <c r="AM2743" t="str">
        <f t="shared" ca="1" si="274"/>
        <v/>
      </c>
    </row>
    <row r="2744" spans="27:39" x14ac:dyDescent="0.3">
      <c r="AA2744" t="str">
        <f>IF(COUNTA('Procyclean 520'!C246,'Procyclean 520'!D246,'Procyclean 520'!E246)&gt;0,"520","")</f>
        <v/>
      </c>
      <c r="AB2744" t="str">
        <f>IFERROR(IF(ISNUMBER('Procyclean 520'!C246),'Procyclean 520'!C246,DATEVALUE('Procyclean 520'!C246)),"")</f>
        <v/>
      </c>
      <c r="AC2744" t="str">
        <f>IF(AA2744="","",'Procyclean 520'!D246)</f>
        <v/>
      </c>
      <c r="AD2744" t="str">
        <f>IF(AA2744="","",IFERROR(1*'Procyclean 520'!E246,IFERROR(_xludf.NUMBERVALUE('Procyclean 520'!E246,".",","),IFERROR(_xludf.NUMBERVALUE('Procyclean 520'!E246,",","."),0))))</f>
        <v/>
      </c>
      <c r="AE2744" t="str">
        <f>IF(AA2744="","",'Procyclean 520'!B246)</f>
        <v/>
      </c>
      <c r="AF2744">
        <f t="shared" si="269"/>
        <v>0</v>
      </c>
      <c r="AG2744" t="str">
        <f t="shared" si="270"/>
        <v/>
      </c>
      <c r="AH2744" t="str">
        <f t="shared" si="271"/>
        <v/>
      </c>
      <c r="AI2744">
        <f t="shared" si="272"/>
        <v>0</v>
      </c>
      <c r="AJ2744">
        <f t="shared" si="273"/>
        <v>0</v>
      </c>
      <c r="AK2744">
        <v>0</v>
      </c>
      <c r="AL2744" t="str">
        <f>IF(AA2744="","",IFERROR(IF(ISNUMBER('Procyclean 520'!F246),'Procyclean 520'!F246,IF(ISNUMBER(SEARCH("12",'Procyclean 520'!F246)),EDATE(AB2744,12),IF(ISNUMBER(SEARCH("6",'Procyclean 520'!F246)),EDATE(AB2744,6),IF(ISNUMBER(SEARCH("3",'Procyclean 520'!F246)),EDATE(AB2744,3),DATEVALUE('Procyclean 520'!F246))))),""))</f>
        <v/>
      </c>
      <c r="AM2744" t="str">
        <f t="shared" ca="1" si="274"/>
        <v/>
      </c>
    </row>
    <row r="2745" spans="27:39" x14ac:dyDescent="0.3">
      <c r="AA2745" t="str">
        <f>IF(COUNTA('Procyclean 520'!C247,'Procyclean 520'!D247,'Procyclean 520'!E247)&gt;0,"520","")</f>
        <v/>
      </c>
      <c r="AB2745" t="str">
        <f>IFERROR(IF(ISNUMBER('Procyclean 520'!C247),'Procyclean 520'!C247,DATEVALUE('Procyclean 520'!C247)),"")</f>
        <v/>
      </c>
      <c r="AC2745" t="str">
        <f>IF(AA2745="","",'Procyclean 520'!D247)</f>
        <v/>
      </c>
      <c r="AD2745" t="str">
        <f>IF(AA2745="","",IFERROR(1*'Procyclean 520'!E247,IFERROR(_xludf.NUMBERVALUE('Procyclean 520'!E247,".",","),IFERROR(_xludf.NUMBERVALUE('Procyclean 520'!E247,",","."),0))))</f>
        <v/>
      </c>
      <c r="AE2745" t="str">
        <f>IF(AA2745="","",'Procyclean 520'!B247)</f>
        <v/>
      </c>
      <c r="AF2745">
        <f t="shared" si="269"/>
        <v>0</v>
      </c>
      <c r="AG2745" t="str">
        <f t="shared" si="270"/>
        <v/>
      </c>
      <c r="AH2745" t="str">
        <f t="shared" si="271"/>
        <v/>
      </c>
      <c r="AI2745">
        <f t="shared" si="272"/>
        <v>0</v>
      </c>
      <c r="AJ2745">
        <f t="shared" si="273"/>
        <v>0</v>
      </c>
      <c r="AK2745">
        <v>0</v>
      </c>
      <c r="AL2745" t="str">
        <f>IF(AA2745="","",IFERROR(IF(ISNUMBER('Procyclean 520'!F247),'Procyclean 520'!F247,IF(ISNUMBER(SEARCH("12",'Procyclean 520'!F247)),EDATE(AB2745,12),IF(ISNUMBER(SEARCH("6",'Procyclean 520'!F247)),EDATE(AB2745,6),IF(ISNUMBER(SEARCH("3",'Procyclean 520'!F247)),EDATE(AB2745,3),DATEVALUE('Procyclean 520'!F247))))),""))</f>
        <v/>
      </c>
      <c r="AM2745" t="str">
        <f t="shared" ca="1" si="274"/>
        <v/>
      </c>
    </row>
    <row r="2746" spans="27:39" x14ac:dyDescent="0.3">
      <c r="AA2746" t="str">
        <f>IF(COUNTA('Procyclean 520'!C248,'Procyclean 520'!D248,'Procyclean 520'!E248)&gt;0,"520","")</f>
        <v/>
      </c>
      <c r="AB2746" t="str">
        <f>IFERROR(IF(ISNUMBER('Procyclean 520'!C248),'Procyclean 520'!C248,DATEVALUE('Procyclean 520'!C248)),"")</f>
        <v/>
      </c>
      <c r="AC2746" t="str">
        <f>IF(AA2746="","",'Procyclean 520'!D248)</f>
        <v/>
      </c>
      <c r="AD2746" t="str">
        <f>IF(AA2746="","",IFERROR(1*'Procyclean 520'!E248,IFERROR(_xludf.NUMBERVALUE('Procyclean 520'!E248,".",","),IFERROR(_xludf.NUMBERVALUE('Procyclean 520'!E248,",","."),0))))</f>
        <v/>
      </c>
      <c r="AE2746" t="str">
        <f>IF(AA2746="","",'Procyclean 520'!B248)</f>
        <v/>
      </c>
      <c r="AF2746">
        <f t="shared" si="269"/>
        <v>0</v>
      </c>
      <c r="AG2746" t="str">
        <f t="shared" si="270"/>
        <v/>
      </c>
      <c r="AH2746" t="str">
        <f t="shared" si="271"/>
        <v/>
      </c>
      <c r="AI2746">
        <f t="shared" si="272"/>
        <v>0</v>
      </c>
      <c r="AJ2746">
        <f t="shared" si="273"/>
        <v>0</v>
      </c>
      <c r="AK2746">
        <v>0</v>
      </c>
      <c r="AL2746" t="str">
        <f>IF(AA2746="","",IFERROR(IF(ISNUMBER('Procyclean 520'!F248),'Procyclean 520'!F248,IF(ISNUMBER(SEARCH("12",'Procyclean 520'!F248)),EDATE(AB2746,12),IF(ISNUMBER(SEARCH("6",'Procyclean 520'!F248)),EDATE(AB2746,6),IF(ISNUMBER(SEARCH("3",'Procyclean 520'!F248)),EDATE(AB2746,3),DATEVALUE('Procyclean 520'!F248))))),""))</f>
        <v/>
      </c>
      <c r="AM2746" t="str">
        <f t="shared" ca="1" si="274"/>
        <v/>
      </c>
    </row>
    <row r="2747" spans="27:39" x14ac:dyDescent="0.3">
      <c r="AA2747" t="str">
        <f>IF(COUNTA('Procyclean 520'!C249,'Procyclean 520'!D249,'Procyclean 520'!E249)&gt;0,"520","")</f>
        <v/>
      </c>
      <c r="AB2747" t="str">
        <f>IFERROR(IF(ISNUMBER('Procyclean 520'!C249),'Procyclean 520'!C249,DATEVALUE('Procyclean 520'!C249)),"")</f>
        <v/>
      </c>
      <c r="AC2747" t="str">
        <f>IF(AA2747="","",'Procyclean 520'!D249)</f>
        <v/>
      </c>
      <c r="AD2747" t="str">
        <f>IF(AA2747="","",IFERROR(1*'Procyclean 520'!E249,IFERROR(_xludf.NUMBERVALUE('Procyclean 520'!E249,".",","),IFERROR(_xludf.NUMBERVALUE('Procyclean 520'!E249,",","."),0))))</f>
        <v/>
      </c>
      <c r="AE2747" t="str">
        <f>IF(AA2747="","",'Procyclean 520'!B249)</f>
        <v/>
      </c>
      <c r="AF2747">
        <f t="shared" si="269"/>
        <v>0</v>
      </c>
      <c r="AG2747" t="str">
        <f t="shared" si="270"/>
        <v/>
      </c>
      <c r="AH2747" t="str">
        <f t="shared" si="271"/>
        <v/>
      </c>
      <c r="AI2747">
        <f t="shared" si="272"/>
        <v>0</v>
      </c>
      <c r="AJ2747">
        <f t="shared" si="273"/>
        <v>0</v>
      </c>
      <c r="AK2747">
        <v>0</v>
      </c>
      <c r="AL2747" t="str">
        <f>IF(AA2747="","",IFERROR(IF(ISNUMBER('Procyclean 520'!F249),'Procyclean 520'!F249,IF(ISNUMBER(SEARCH("12",'Procyclean 520'!F249)),EDATE(AB2747,12),IF(ISNUMBER(SEARCH("6",'Procyclean 520'!F249)),EDATE(AB2747,6),IF(ISNUMBER(SEARCH("3",'Procyclean 520'!F249)),EDATE(AB2747,3),DATEVALUE('Procyclean 520'!F249))))),""))</f>
        <v/>
      </c>
      <c r="AM2747" t="str">
        <f t="shared" ca="1" si="274"/>
        <v/>
      </c>
    </row>
    <row r="2748" spans="27:39" x14ac:dyDescent="0.3">
      <c r="AA2748" t="str">
        <f>IF(COUNTA('Procyclean 520'!C250,'Procyclean 520'!D250,'Procyclean 520'!E250)&gt;0,"520","")</f>
        <v/>
      </c>
      <c r="AB2748" t="str">
        <f>IFERROR(IF(ISNUMBER('Procyclean 520'!C250),'Procyclean 520'!C250,DATEVALUE('Procyclean 520'!C250)),"")</f>
        <v/>
      </c>
      <c r="AC2748" t="str">
        <f>IF(AA2748="","",'Procyclean 520'!D250)</f>
        <v/>
      </c>
      <c r="AD2748" t="str">
        <f>IF(AA2748="","",IFERROR(1*'Procyclean 520'!E250,IFERROR(_xludf.NUMBERVALUE('Procyclean 520'!E250,".",","),IFERROR(_xludf.NUMBERVALUE('Procyclean 520'!E250,",","."),0))))</f>
        <v/>
      </c>
      <c r="AE2748" t="str">
        <f>IF(AA2748="","",'Procyclean 520'!B250)</f>
        <v/>
      </c>
      <c r="AF2748">
        <f t="shared" si="269"/>
        <v>0</v>
      </c>
      <c r="AG2748" t="str">
        <f t="shared" si="270"/>
        <v/>
      </c>
      <c r="AH2748" t="str">
        <f t="shared" si="271"/>
        <v/>
      </c>
      <c r="AI2748">
        <f t="shared" si="272"/>
        <v>0</v>
      </c>
      <c r="AJ2748">
        <f t="shared" si="273"/>
        <v>0</v>
      </c>
      <c r="AK2748">
        <v>0</v>
      </c>
      <c r="AL2748" t="str">
        <f>IF(AA2748="","",IFERROR(IF(ISNUMBER('Procyclean 520'!F250),'Procyclean 520'!F250,IF(ISNUMBER(SEARCH("12",'Procyclean 520'!F250)),EDATE(AB2748,12),IF(ISNUMBER(SEARCH("6",'Procyclean 520'!F250)),EDATE(AB2748,6),IF(ISNUMBER(SEARCH("3",'Procyclean 520'!F250)),EDATE(AB2748,3),DATEVALUE('Procyclean 520'!F250))))),""))</f>
        <v/>
      </c>
      <c r="AM2748" t="str">
        <f t="shared" ca="1" si="274"/>
        <v/>
      </c>
    </row>
    <row r="2749" spans="27:39" x14ac:dyDescent="0.3">
      <c r="AA2749" t="str">
        <f>IF(COUNTA('Procyclean 520'!C251,'Procyclean 520'!D251,'Procyclean 520'!E251)&gt;0,"520","")</f>
        <v/>
      </c>
      <c r="AB2749" t="str">
        <f>IFERROR(IF(ISNUMBER('Procyclean 520'!C251),'Procyclean 520'!C251,DATEVALUE('Procyclean 520'!C251)),"")</f>
        <v/>
      </c>
      <c r="AC2749" t="str">
        <f>IF(AA2749="","",'Procyclean 520'!D251)</f>
        <v/>
      </c>
      <c r="AD2749" t="str">
        <f>IF(AA2749="","",IFERROR(1*'Procyclean 520'!E251,IFERROR(_xludf.NUMBERVALUE('Procyclean 520'!E251,".",","),IFERROR(_xludf.NUMBERVALUE('Procyclean 520'!E251,",","."),0))))</f>
        <v/>
      </c>
      <c r="AE2749" t="str">
        <f>IF(AA2749="","",'Procyclean 520'!B251)</f>
        <v/>
      </c>
      <c r="AF2749">
        <f t="shared" si="269"/>
        <v>0</v>
      </c>
      <c r="AG2749" t="str">
        <f t="shared" si="270"/>
        <v/>
      </c>
      <c r="AH2749" t="str">
        <f t="shared" si="271"/>
        <v/>
      </c>
      <c r="AI2749">
        <f t="shared" si="272"/>
        <v>0</v>
      </c>
      <c r="AJ2749">
        <f t="shared" si="273"/>
        <v>0</v>
      </c>
      <c r="AK2749">
        <v>0</v>
      </c>
      <c r="AL2749" t="str">
        <f>IF(AA2749="","",IFERROR(IF(ISNUMBER('Procyclean 520'!F251),'Procyclean 520'!F251,IF(ISNUMBER(SEARCH("12",'Procyclean 520'!F251)),EDATE(AB2749,12),IF(ISNUMBER(SEARCH("6",'Procyclean 520'!F251)),EDATE(AB2749,6),IF(ISNUMBER(SEARCH("3",'Procyclean 520'!F251)),EDATE(AB2749,3),DATEVALUE('Procyclean 520'!F251))))),""))</f>
        <v/>
      </c>
      <c r="AM2749" t="str">
        <f t="shared" ca="1" si="274"/>
        <v/>
      </c>
    </row>
    <row r="2750" spans="27:39" x14ac:dyDescent="0.3">
      <c r="AA2750" t="str">
        <f>IF(COUNTA('Procyclean 520'!C252,'Procyclean 520'!D252,'Procyclean 520'!E252)&gt;0,"520","")</f>
        <v/>
      </c>
      <c r="AB2750" t="str">
        <f>IFERROR(IF(ISNUMBER('Procyclean 520'!C252),'Procyclean 520'!C252,DATEVALUE('Procyclean 520'!C252)),"")</f>
        <v/>
      </c>
      <c r="AC2750" t="str">
        <f>IF(AA2750="","",'Procyclean 520'!D252)</f>
        <v/>
      </c>
      <c r="AD2750" t="str">
        <f>IF(AA2750="","",IFERROR(1*'Procyclean 520'!E252,IFERROR(_xludf.NUMBERVALUE('Procyclean 520'!E252,".",","),IFERROR(_xludf.NUMBERVALUE('Procyclean 520'!E252,",","."),0))))</f>
        <v/>
      </c>
      <c r="AE2750" t="str">
        <f>IF(AA2750="","",'Procyclean 520'!B252)</f>
        <v/>
      </c>
      <c r="AF2750">
        <f t="shared" si="269"/>
        <v>0</v>
      </c>
      <c r="AG2750" t="str">
        <f t="shared" si="270"/>
        <v/>
      </c>
      <c r="AH2750" t="str">
        <f t="shared" si="271"/>
        <v/>
      </c>
      <c r="AI2750">
        <f t="shared" si="272"/>
        <v>0</v>
      </c>
      <c r="AJ2750">
        <f t="shared" si="273"/>
        <v>0</v>
      </c>
      <c r="AK2750">
        <v>0</v>
      </c>
      <c r="AL2750" t="str">
        <f>IF(AA2750="","",IFERROR(IF(ISNUMBER('Procyclean 520'!F252),'Procyclean 520'!F252,IF(ISNUMBER(SEARCH("12",'Procyclean 520'!F252)),EDATE(AB2750,12),IF(ISNUMBER(SEARCH("6",'Procyclean 520'!F252)),EDATE(AB2750,6),IF(ISNUMBER(SEARCH("3",'Procyclean 520'!F252)),EDATE(AB2750,3),DATEVALUE('Procyclean 520'!F252))))),""))</f>
        <v/>
      </c>
      <c r="AM2750" t="str">
        <f t="shared" ca="1" si="274"/>
        <v/>
      </c>
    </row>
    <row r="2751" spans="27:39" x14ac:dyDescent="0.3">
      <c r="AA2751" t="str">
        <f>IF(COUNTA('Procyclean 520'!C253,'Procyclean 520'!D253,'Procyclean 520'!E253)&gt;0,"520","")</f>
        <v/>
      </c>
      <c r="AB2751" t="str">
        <f>IFERROR(IF(ISNUMBER('Procyclean 520'!C253),'Procyclean 520'!C253,DATEVALUE('Procyclean 520'!C253)),"")</f>
        <v/>
      </c>
      <c r="AC2751" t="str">
        <f>IF(AA2751="","",'Procyclean 520'!D253)</f>
        <v/>
      </c>
      <c r="AD2751" t="str">
        <f>IF(AA2751="","",IFERROR(1*'Procyclean 520'!E253,IFERROR(_xludf.NUMBERVALUE('Procyclean 520'!E253,".",","),IFERROR(_xludf.NUMBERVALUE('Procyclean 520'!E253,",","."),0))))</f>
        <v/>
      </c>
      <c r="AE2751" t="str">
        <f>IF(AA2751="","",'Procyclean 520'!B253)</f>
        <v/>
      </c>
      <c r="AF2751">
        <f t="shared" si="269"/>
        <v>0</v>
      </c>
      <c r="AG2751" t="str">
        <f t="shared" si="270"/>
        <v/>
      </c>
      <c r="AH2751" t="str">
        <f t="shared" si="271"/>
        <v/>
      </c>
      <c r="AI2751">
        <f t="shared" si="272"/>
        <v>0</v>
      </c>
      <c r="AJ2751">
        <f t="shared" si="273"/>
        <v>0</v>
      </c>
      <c r="AK2751">
        <v>0</v>
      </c>
      <c r="AL2751" t="str">
        <f>IF(AA2751="","",IFERROR(IF(ISNUMBER('Procyclean 520'!F253),'Procyclean 520'!F253,IF(ISNUMBER(SEARCH("12",'Procyclean 520'!F253)),EDATE(AB2751,12),IF(ISNUMBER(SEARCH("6",'Procyclean 520'!F253)),EDATE(AB2751,6),IF(ISNUMBER(SEARCH("3",'Procyclean 520'!F253)),EDATE(AB2751,3),DATEVALUE('Procyclean 520'!F253))))),""))</f>
        <v/>
      </c>
      <c r="AM2751" t="str">
        <f t="shared" ca="1" si="274"/>
        <v/>
      </c>
    </row>
    <row r="2752" spans="27:39" x14ac:dyDescent="0.3">
      <c r="AA2752" t="str">
        <f>IF(COUNTA('Procyclean 520'!C254,'Procyclean 520'!D254,'Procyclean 520'!E254)&gt;0,"520","")</f>
        <v/>
      </c>
      <c r="AB2752" t="str">
        <f>IFERROR(IF(ISNUMBER('Procyclean 520'!C254),'Procyclean 520'!C254,DATEVALUE('Procyclean 520'!C254)),"")</f>
        <v/>
      </c>
      <c r="AC2752" t="str">
        <f>IF(AA2752="","",'Procyclean 520'!D254)</f>
        <v/>
      </c>
      <c r="AD2752" t="str">
        <f>IF(AA2752="","",IFERROR(1*'Procyclean 520'!E254,IFERROR(_xludf.NUMBERVALUE('Procyclean 520'!E254,".",","),IFERROR(_xludf.NUMBERVALUE('Procyclean 520'!E254,",","."),0))))</f>
        <v/>
      </c>
      <c r="AE2752" t="str">
        <f>IF(AA2752="","",'Procyclean 520'!B254)</f>
        <v/>
      </c>
      <c r="AF2752">
        <f t="shared" si="269"/>
        <v>0</v>
      </c>
      <c r="AG2752" t="str">
        <f t="shared" si="270"/>
        <v/>
      </c>
      <c r="AH2752" t="str">
        <f t="shared" si="271"/>
        <v/>
      </c>
      <c r="AI2752">
        <f t="shared" si="272"/>
        <v>0</v>
      </c>
      <c r="AJ2752">
        <f t="shared" si="273"/>
        <v>0</v>
      </c>
      <c r="AK2752">
        <v>0</v>
      </c>
      <c r="AL2752" t="str">
        <f>IF(AA2752="","",IFERROR(IF(ISNUMBER('Procyclean 520'!F254),'Procyclean 520'!F254,IF(ISNUMBER(SEARCH("12",'Procyclean 520'!F254)),EDATE(AB2752,12),IF(ISNUMBER(SEARCH("6",'Procyclean 520'!F254)),EDATE(AB2752,6),IF(ISNUMBER(SEARCH("3",'Procyclean 520'!F254)),EDATE(AB2752,3),DATEVALUE('Procyclean 520'!F254))))),""))</f>
        <v/>
      </c>
      <c r="AM2752" t="str">
        <f t="shared" ca="1" si="274"/>
        <v/>
      </c>
    </row>
    <row r="2753" spans="27:39" x14ac:dyDescent="0.3">
      <c r="AA2753" t="str">
        <f>IF(COUNTA('Procyclean 520'!C255,'Procyclean 520'!D255,'Procyclean 520'!E255)&gt;0,"520","")</f>
        <v/>
      </c>
      <c r="AB2753" t="str">
        <f>IFERROR(IF(ISNUMBER('Procyclean 520'!C255),'Procyclean 520'!C255,DATEVALUE('Procyclean 520'!C255)),"")</f>
        <v/>
      </c>
      <c r="AC2753" t="str">
        <f>IF(AA2753="","",'Procyclean 520'!D255)</f>
        <v/>
      </c>
      <c r="AD2753" t="str">
        <f>IF(AA2753="","",IFERROR(1*'Procyclean 520'!E255,IFERROR(_xludf.NUMBERVALUE('Procyclean 520'!E255,".",","),IFERROR(_xludf.NUMBERVALUE('Procyclean 520'!E255,",","."),0))))</f>
        <v/>
      </c>
      <c r="AE2753" t="str">
        <f>IF(AA2753="","",'Procyclean 520'!B255)</f>
        <v/>
      </c>
      <c r="AF2753">
        <f t="shared" si="269"/>
        <v>0</v>
      </c>
      <c r="AG2753" t="str">
        <f t="shared" si="270"/>
        <v/>
      </c>
      <c r="AH2753" t="str">
        <f t="shared" si="271"/>
        <v/>
      </c>
      <c r="AI2753">
        <f t="shared" si="272"/>
        <v>0</v>
      </c>
      <c r="AJ2753">
        <f t="shared" si="273"/>
        <v>0</v>
      </c>
      <c r="AK2753">
        <v>0</v>
      </c>
      <c r="AL2753" t="str">
        <f>IF(AA2753="","",IFERROR(IF(ISNUMBER('Procyclean 520'!F255),'Procyclean 520'!F255,IF(ISNUMBER(SEARCH("12",'Procyclean 520'!F255)),EDATE(AB2753,12),IF(ISNUMBER(SEARCH("6",'Procyclean 520'!F255)),EDATE(AB2753,6),IF(ISNUMBER(SEARCH("3",'Procyclean 520'!F255)),EDATE(AB2753,3),DATEVALUE('Procyclean 520'!F255))))),""))</f>
        <v/>
      </c>
      <c r="AM2753" t="str">
        <f t="shared" ca="1" si="274"/>
        <v/>
      </c>
    </row>
    <row r="2754" spans="27:39" x14ac:dyDescent="0.3">
      <c r="AA2754" t="str">
        <f>IF(COUNTA('Procyclean 520'!C256,'Procyclean 520'!D256,'Procyclean 520'!E256)&gt;0,"520","")</f>
        <v/>
      </c>
      <c r="AB2754" t="str">
        <f>IFERROR(IF(ISNUMBER('Procyclean 520'!C256),'Procyclean 520'!C256,DATEVALUE('Procyclean 520'!C256)),"")</f>
        <v/>
      </c>
      <c r="AC2754" t="str">
        <f>IF(AA2754="","",'Procyclean 520'!D256)</f>
        <v/>
      </c>
      <c r="AD2754" t="str">
        <f>IF(AA2754="","",IFERROR(1*'Procyclean 520'!E256,IFERROR(_xludf.NUMBERVALUE('Procyclean 520'!E256,".",","),IFERROR(_xludf.NUMBERVALUE('Procyclean 520'!E256,",","."),0))))</f>
        <v/>
      </c>
      <c r="AE2754" t="str">
        <f>IF(AA2754="","",'Procyclean 520'!B256)</f>
        <v/>
      </c>
      <c r="AF2754">
        <f t="shared" ref="AF2754:AF2817" si="275">IF(AA2754="",0,--AND(ISNUMBER(SEARCH("aprov",AE2754)),NOT(ISNUMBER(SEARCH("reprov",AE2754)))))</f>
        <v>0</v>
      </c>
      <c r="AG2754" t="str">
        <f t="shared" ref="AG2754:AG2817" si="276">IF(AB2754="","",YEAR(AB2754))</f>
        <v/>
      </c>
      <c r="AH2754" t="str">
        <f t="shared" ref="AH2754:AH2817" si="277">IF(AB2754="","",MONTH(AB2754))</f>
        <v/>
      </c>
      <c r="AI2754">
        <f t="shared" ref="AI2754:AI2817" si="278">IF(AB2754="",0,AB2754+ROW()/1000000)</f>
        <v>0</v>
      </c>
      <c r="AJ2754">
        <f t="shared" ref="AJ2754:AJ2817" si="279">--(AA2754&lt;&gt;"")</f>
        <v>0</v>
      </c>
      <c r="AK2754">
        <v>0</v>
      </c>
      <c r="AL2754" t="str">
        <f>IF(AA2754="","",IFERROR(IF(ISNUMBER('Procyclean 520'!F256),'Procyclean 520'!F256,IF(ISNUMBER(SEARCH("12",'Procyclean 520'!F256)),EDATE(AB2754,12),IF(ISNUMBER(SEARCH("6",'Procyclean 520'!F256)),EDATE(AB2754,6),IF(ISNUMBER(SEARCH("3",'Procyclean 520'!F256)),EDATE(AB2754,3),DATEVALUE('Procyclean 520'!F256))))),""))</f>
        <v/>
      </c>
      <c r="AM2754" t="str">
        <f t="shared" ref="AM2754:AM2817" ca="1" si="280">IF(AND(AJ2754=1,AL2754&lt;&gt;"",AL2754&gt;=TODAY(),AG2754=$W$3),AL2754+ROW()/1000000,"")</f>
        <v/>
      </c>
    </row>
    <row r="2755" spans="27:39" x14ac:dyDescent="0.3">
      <c r="AA2755" t="str">
        <f>IF(COUNTA('Procyclean 520'!C257,'Procyclean 520'!D257,'Procyclean 520'!E257)&gt;0,"520","")</f>
        <v/>
      </c>
      <c r="AB2755" t="str">
        <f>IFERROR(IF(ISNUMBER('Procyclean 520'!C257),'Procyclean 520'!C257,DATEVALUE('Procyclean 520'!C257)),"")</f>
        <v/>
      </c>
      <c r="AC2755" t="str">
        <f>IF(AA2755="","",'Procyclean 520'!D257)</f>
        <v/>
      </c>
      <c r="AD2755" t="str">
        <f>IF(AA2755="","",IFERROR(1*'Procyclean 520'!E257,IFERROR(_xludf.NUMBERVALUE('Procyclean 520'!E257,".",","),IFERROR(_xludf.NUMBERVALUE('Procyclean 520'!E257,",","."),0))))</f>
        <v/>
      </c>
      <c r="AE2755" t="str">
        <f>IF(AA2755="","",'Procyclean 520'!B257)</f>
        <v/>
      </c>
      <c r="AF2755">
        <f t="shared" si="275"/>
        <v>0</v>
      </c>
      <c r="AG2755" t="str">
        <f t="shared" si="276"/>
        <v/>
      </c>
      <c r="AH2755" t="str">
        <f t="shared" si="277"/>
        <v/>
      </c>
      <c r="AI2755">
        <f t="shared" si="278"/>
        <v>0</v>
      </c>
      <c r="AJ2755">
        <f t="shared" si="279"/>
        <v>0</v>
      </c>
      <c r="AK2755">
        <v>0</v>
      </c>
      <c r="AL2755" t="str">
        <f>IF(AA2755="","",IFERROR(IF(ISNUMBER('Procyclean 520'!F257),'Procyclean 520'!F257,IF(ISNUMBER(SEARCH("12",'Procyclean 520'!F257)),EDATE(AB2755,12),IF(ISNUMBER(SEARCH("6",'Procyclean 520'!F257)),EDATE(AB2755,6),IF(ISNUMBER(SEARCH("3",'Procyclean 520'!F257)),EDATE(AB2755,3),DATEVALUE('Procyclean 520'!F257))))),""))</f>
        <v/>
      </c>
      <c r="AM2755" t="str">
        <f t="shared" ca="1" si="280"/>
        <v/>
      </c>
    </row>
    <row r="2756" spans="27:39" x14ac:dyDescent="0.3">
      <c r="AA2756" t="str">
        <f>IF(COUNTA('Procyclean 520'!C258,'Procyclean 520'!D258,'Procyclean 520'!E258)&gt;0,"520","")</f>
        <v/>
      </c>
      <c r="AB2756" t="str">
        <f>IFERROR(IF(ISNUMBER('Procyclean 520'!C258),'Procyclean 520'!C258,DATEVALUE('Procyclean 520'!C258)),"")</f>
        <v/>
      </c>
      <c r="AC2756" t="str">
        <f>IF(AA2756="","",'Procyclean 520'!D258)</f>
        <v/>
      </c>
      <c r="AD2756" t="str">
        <f>IF(AA2756="","",IFERROR(1*'Procyclean 520'!E258,IFERROR(_xludf.NUMBERVALUE('Procyclean 520'!E258,".",","),IFERROR(_xludf.NUMBERVALUE('Procyclean 520'!E258,",","."),0))))</f>
        <v/>
      </c>
      <c r="AE2756" t="str">
        <f>IF(AA2756="","",'Procyclean 520'!B258)</f>
        <v/>
      </c>
      <c r="AF2756">
        <f t="shared" si="275"/>
        <v>0</v>
      </c>
      <c r="AG2756" t="str">
        <f t="shared" si="276"/>
        <v/>
      </c>
      <c r="AH2756" t="str">
        <f t="shared" si="277"/>
        <v/>
      </c>
      <c r="AI2756">
        <f t="shared" si="278"/>
        <v>0</v>
      </c>
      <c r="AJ2756">
        <f t="shared" si="279"/>
        <v>0</v>
      </c>
      <c r="AK2756">
        <v>0</v>
      </c>
      <c r="AL2756" t="str">
        <f>IF(AA2756="","",IFERROR(IF(ISNUMBER('Procyclean 520'!F258),'Procyclean 520'!F258,IF(ISNUMBER(SEARCH("12",'Procyclean 520'!F258)),EDATE(AB2756,12),IF(ISNUMBER(SEARCH("6",'Procyclean 520'!F258)),EDATE(AB2756,6),IF(ISNUMBER(SEARCH("3",'Procyclean 520'!F258)),EDATE(AB2756,3),DATEVALUE('Procyclean 520'!F258))))),""))</f>
        <v/>
      </c>
      <c r="AM2756" t="str">
        <f t="shared" ca="1" si="280"/>
        <v/>
      </c>
    </row>
    <row r="2757" spans="27:39" x14ac:dyDescent="0.3">
      <c r="AA2757" t="str">
        <f>IF(COUNTA('Procyclean 520'!C259,'Procyclean 520'!D259,'Procyclean 520'!E259)&gt;0,"520","")</f>
        <v/>
      </c>
      <c r="AB2757" t="str">
        <f>IFERROR(IF(ISNUMBER('Procyclean 520'!C259),'Procyclean 520'!C259,DATEVALUE('Procyclean 520'!C259)),"")</f>
        <v/>
      </c>
      <c r="AC2757" t="str">
        <f>IF(AA2757="","",'Procyclean 520'!D259)</f>
        <v/>
      </c>
      <c r="AD2757" t="str">
        <f>IF(AA2757="","",IFERROR(1*'Procyclean 520'!E259,IFERROR(_xludf.NUMBERVALUE('Procyclean 520'!E259,".",","),IFERROR(_xludf.NUMBERVALUE('Procyclean 520'!E259,",","."),0))))</f>
        <v/>
      </c>
      <c r="AE2757" t="str">
        <f>IF(AA2757="","",'Procyclean 520'!B259)</f>
        <v/>
      </c>
      <c r="AF2757">
        <f t="shared" si="275"/>
        <v>0</v>
      </c>
      <c r="AG2757" t="str">
        <f t="shared" si="276"/>
        <v/>
      </c>
      <c r="AH2757" t="str">
        <f t="shared" si="277"/>
        <v/>
      </c>
      <c r="AI2757">
        <f t="shared" si="278"/>
        <v>0</v>
      </c>
      <c r="AJ2757">
        <f t="shared" si="279"/>
        <v>0</v>
      </c>
      <c r="AK2757">
        <v>0</v>
      </c>
      <c r="AL2757" t="str">
        <f>IF(AA2757="","",IFERROR(IF(ISNUMBER('Procyclean 520'!F259),'Procyclean 520'!F259,IF(ISNUMBER(SEARCH("12",'Procyclean 520'!F259)),EDATE(AB2757,12),IF(ISNUMBER(SEARCH("6",'Procyclean 520'!F259)),EDATE(AB2757,6),IF(ISNUMBER(SEARCH("3",'Procyclean 520'!F259)),EDATE(AB2757,3),DATEVALUE('Procyclean 520'!F259))))),""))</f>
        <v/>
      </c>
      <c r="AM2757" t="str">
        <f t="shared" ca="1" si="280"/>
        <v/>
      </c>
    </row>
    <row r="2758" spans="27:39" x14ac:dyDescent="0.3">
      <c r="AA2758" t="str">
        <f>IF(COUNTA('Procyclean 520'!C260,'Procyclean 520'!D260,'Procyclean 520'!E260)&gt;0,"520","")</f>
        <v/>
      </c>
      <c r="AB2758" t="str">
        <f>IFERROR(IF(ISNUMBER('Procyclean 520'!C260),'Procyclean 520'!C260,DATEVALUE('Procyclean 520'!C260)),"")</f>
        <v/>
      </c>
      <c r="AC2758" t="str">
        <f>IF(AA2758="","",'Procyclean 520'!D260)</f>
        <v/>
      </c>
      <c r="AD2758" t="str">
        <f>IF(AA2758="","",IFERROR(1*'Procyclean 520'!E260,IFERROR(_xludf.NUMBERVALUE('Procyclean 520'!E260,".",","),IFERROR(_xludf.NUMBERVALUE('Procyclean 520'!E260,",","."),0))))</f>
        <v/>
      </c>
      <c r="AE2758" t="str">
        <f>IF(AA2758="","",'Procyclean 520'!B260)</f>
        <v/>
      </c>
      <c r="AF2758">
        <f t="shared" si="275"/>
        <v>0</v>
      </c>
      <c r="AG2758" t="str">
        <f t="shared" si="276"/>
        <v/>
      </c>
      <c r="AH2758" t="str">
        <f t="shared" si="277"/>
        <v/>
      </c>
      <c r="AI2758">
        <f t="shared" si="278"/>
        <v>0</v>
      </c>
      <c r="AJ2758">
        <f t="shared" si="279"/>
        <v>0</v>
      </c>
      <c r="AK2758">
        <v>0</v>
      </c>
      <c r="AL2758" t="str">
        <f>IF(AA2758="","",IFERROR(IF(ISNUMBER('Procyclean 520'!F260),'Procyclean 520'!F260,IF(ISNUMBER(SEARCH("12",'Procyclean 520'!F260)),EDATE(AB2758,12),IF(ISNUMBER(SEARCH("6",'Procyclean 520'!F260)),EDATE(AB2758,6),IF(ISNUMBER(SEARCH("3",'Procyclean 520'!F260)),EDATE(AB2758,3),DATEVALUE('Procyclean 520'!F260))))),""))</f>
        <v/>
      </c>
      <c r="AM2758" t="str">
        <f t="shared" ca="1" si="280"/>
        <v/>
      </c>
    </row>
    <row r="2759" spans="27:39" x14ac:dyDescent="0.3">
      <c r="AA2759" t="str">
        <f>IF(COUNTA('Procyclean 520'!C261,'Procyclean 520'!D261,'Procyclean 520'!E261)&gt;0,"520","")</f>
        <v/>
      </c>
      <c r="AB2759" t="str">
        <f>IFERROR(IF(ISNUMBER('Procyclean 520'!C261),'Procyclean 520'!C261,DATEVALUE('Procyclean 520'!C261)),"")</f>
        <v/>
      </c>
      <c r="AC2759" t="str">
        <f>IF(AA2759="","",'Procyclean 520'!D261)</f>
        <v/>
      </c>
      <c r="AD2759" t="str">
        <f>IF(AA2759="","",IFERROR(1*'Procyclean 520'!E261,IFERROR(_xludf.NUMBERVALUE('Procyclean 520'!E261,".",","),IFERROR(_xludf.NUMBERVALUE('Procyclean 520'!E261,",","."),0))))</f>
        <v/>
      </c>
      <c r="AE2759" t="str">
        <f>IF(AA2759="","",'Procyclean 520'!B261)</f>
        <v/>
      </c>
      <c r="AF2759">
        <f t="shared" si="275"/>
        <v>0</v>
      </c>
      <c r="AG2759" t="str">
        <f t="shared" si="276"/>
        <v/>
      </c>
      <c r="AH2759" t="str">
        <f t="shared" si="277"/>
        <v/>
      </c>
      <c r="AI2759">
        <f t="shared" si="278"/>
        <v>0</v>
      </c>
      <c r="AJ2759">
        <f t="shared" si="279"/>
        <v>0</v>
      </c>
      <c r="AK2759">
        <v>0</v>
      </c>
      <c r="AL2759" t="str">
        <f>IF(AA2759="","",IFERROR(IF(ISNUMBER('Procyclean 520'!F261),'Procyclean 520'!F261,IF(ISNUMBER(SEARCH("12",'Procyclean 520'!F261)),EDATE(AB2759,12),IF(ISNUMBER(SEARCH("6",'Procyclean 520'!F261)),EDATE(AB2759,6),IF(ISNUMBER(SEARCH("3",'Procyclean 520'!F261)),EDATE(AB2759,3),DATEVALUE('Procyclean 520'!F261))))),""))</f>
        <v/>
      </c>
      <c r="AM2759" t="str">
        <f t="shared" ca="1" si="280"/>
        <v/>
      </c>
    </row>
    <row r="2760" spans="27:39" x14ac:dyDescent="0.3">
      <c r="AA2760" t="str">
        <f>IF(COUNTA('Procyclean 520'!C262,'Procyclean 520'!D262,'Procyclean 520'!E262)&gt;0,"520","")</f>
        <v/>
      </c>
      <c r="AB2760" t="str">
        <f>IFERROR(IF(ISNUMBER('Procyclean 520'!C262),'Procyclean 520'!C262,DATEVALUE('Procyclean 520'!C262)),"")</f>
        <v/>
      </c>
      <c r="AC2760" t="str">
        <f>IF(AA2760="","",'Procyclean 520'!D262)</f>
        <v/>
      </c>
      <c r="AD2760" t="str">
        <f>IF(AA2760="","",IFERROR(1*'Procyclean 520'!E262,IFERROR(_xludf.NUMBERVALUE('Procyclean 520'!E262,".",","),IFERROR(_xludf.NUMBERVALUE('Procyclean 520'!E262,",","."),0))))</f>
        <v/>
      </c>
      <c r="AE2760" t="str">
        <f>IF(AA2760="","",'Procyclean 520'!B262)</f>
        <v/>
      </c>
      <c r="AF2760">
        <f t="shared" si="275"/>
        <v>0</v>
      </c>
      <c r="AG2760" t="str">
        <f t="shared" si="276"/>
        <v/>
      </c>
      <c r="AH2760" t="str">
        <f t="shared" si="277"/>
        <v/>
      </c>
      <c r="AI2760">
        <f t="shared" si="278"/>
        <v>0</v>
      </c>
      <c r="AJ2760">
        <f t="shared" si="279"/>
        <v>0</v>
      </c>
      <c r="AK2760">
        <v>0</v>
      </c>
      <c r="AL2760" t="str">
        <f>IF(AA2760="","",IFERROR(IF(ISNUMBER('Procyclean 520'!F262),'Procyclean 520'!F262,IF(ISNUMBER(SEARCH("12",'Procyclean 520'!F262)),EDATE(AB2760,12),IF(ISNUMBER(SEARCH("6",'Procyclean 520'!F262)),EDATE(AB2760,6),IF(ISNUMBER(SEARCH("3",'Procyclean 520'!F262)),EDATE(AB2760,3),DATEVALUE('Procyclean 520'!F262))))),""))</f>
        <v/>
      </c>
      <c r="AM2760" t="str">
        <f t="shared" ca="1" si="280"/>
        <v/>
      </c>
    </row>
    <row r="2761" spans="27:39" x14ac:dyDescent="0.3">
      <c r="AA2761" t="str">
        <f>IF(COUNTA('Procyclean 520'!C263,'Procyclean 520'!D263,'Procyclean 520'!E263)&gt;0,"520","")</f>
        <v/>
      </c>
      <c r="AB2761" t="str">
        <f>IFERROR(IF(ISNUMBER('Procyclean 520'!C263),'Procyclean 520'!C263,DATEVALUE('Procyclean 520'!C263)),"")</f>
        <v/>
      </c>
      <c r="AC2761" t="str">
        <f>IF(AA2761="","",'Procyclean 520'!D263)</f>
        <v/>
      </c>
      <c r="AD2761" t="str">
        <f>IF(AA2761="","",IFERROR(1*'Procyclean 520'!E263,IFERROR(_xludf.NUMBERVALUE('Procyclean 520'!E263,".",","),IFERROR(_xludf.NUMBERVALUE('Procyclean 520'!E263,",","."),0))))</f>
        <v/>
      </c>
      <c r="AE2761" t="str">
        <f>IF(AA2761="","",'Procyclean 520'!B263)</f>
        <v/>
      </c>
      <c r="AF2761">
        <f t="shared" si="275"/>
        <v>0</v>
      </c>
      <c r="AG2761" t="str">
        <f t="shared" si="276"/>
        <v/>
      </c>
      <c r="AH2761" t="str">
        <f t="shared" si="277"/>
        <v/>
      </c>
      <c r="AI2761">
        <f t="shared" si="278"/>
        <v>0</v>
      </c>
      <c r="AJ2761">
        <f t="shared" si="279"/>
        <v>0</v>
      </c>
      <c r="AK2761">
        <v>0</v>
      </c>
      <c r="AL2761" t="str">
        <f>IF(AA2761="","",IFERROR(IF(ISNUMBER('Procyclean 520'!F263),'Procyclean 520'!F263,IF(ISNUMBER(SEARCH("12",'Procyclean 520'!F263)),EDATE(AB2761,12),IF(ISNUMBER(SEARCH("6",'Procyclean 520'!F263)),EDATE(AB2761,6),IF(ISNUMBER(SEARCH("3",'Procyclean 520'!F263)),EDATE(AB2761,3),DATEVALUE('Procyclean 520'!F263))))),""))</f>
        <v/>
      </c>
      <c r="AM2761" t="str">
        <f t="shared" ca="1" si="280"/>
        <v/>
      </c>
    </row>
    <row r="2762" spans="27:39" x14ac:dyDescent="0.3">
      <c r="AA2762" t="str">
        <f>IF(COUNTA('Procyclean 520'!C264,'Procyclean 520'!D264,'Procyclean 520'!E264)&gt;0,"520","")</f>
        <v/>
      </c>
      <c r="AB2762" t="str">
        <f>IFERROR(IF(ISNUMBER('Procyclean 520'!C264),'Procyclean 520'!C264,DATEVALUE('Procyclean 520'!C264)),"")</f>
        <v/>
      </c>
      <c r="AC2762" t="str">
        <f>IF(AA2762="","",'Procyclean 520'!D264)</f>
        <v/>
      </c>
      <c r="AD2762" t="str">
        <f>IF(AA2762="","",IFERROR(1*'Procyclean 520'!E264,IFERROR(_xludf.NUMBERVALUE('Procyclean 520'!E264,".",","),IFERROR(_xludf.NUMBERVALUE('Procyclean 520'!E264,",","."),0))))</f>
        <v/>
      </c>
      <c r="AE2762" t="str">
        <f>IF(AA2762="","",'Procyclean 520'!B264)</f>
        <v/>
      </c>
      <c r="AF2762">
        <f t="shared" si="275"/>
        <v>0</v>
      </c>
      <c r="AG2762" t="str">
        <f t="shared" si="276"/>
        <v/>
      </c>
      <c r="AH2762" t="str">
        <f t="shared" si="277"/>
        <v/>
      </c>
      <c r="AI2762">
        <f t="shared" si="278"/>
        <v>0</v>
      </c>
      <c r="AJ2762">
        <f t="shared" si="279"/>
        <v>0</v>
      </c>
      <c r="AK2762">
        <v>0</v>
      </c>
      <c r="AL2762" t="str">
        <f>IF(AA2762="","",IFERROR(IF(ISNUMBER('Procyclean 520'!F264),'Procyclean 520'!F264,IF(ISNUMBER(SEARCH("12",'Procyclean 520'!F264)),EDATE(AB2762,12),IF(ISNUMBER(SEARCH("6",'Procyclean 520'!F264)),EDATE(AB2762,6),IF(ISNUMBER(SEARCH("3",'Procyclean 520'!F264)),EDATE(AB2762,3),DATEVALUE('Procyclean 520'!F264))))),""))</f>
        <v/>
      </c>
      <c r="AM2762" t="str">
        <f t="shared" ca="1" si="280"/>
        <v/>
      </c>
    </row>
    <row r="2763" spans="27:39" x14ac:dyDescent="0.3">
      <c r="AA2763" t="str">
        <f>IF(COUNTA('Procyclean 520'!C265,'Procyclean 520'!D265,'Procyclean 520'!E265)&gt;0,"520","")</f>
        <v/>
      </c>
      <c r="AB2763" t="str">
        <f>IFERROR(IF(ISNUMBER('Procyclean 520'!C265),'Procyclean 520'!C265,DATEVALUE('Procyclean 520'!C265)),"")</f>
        <v/>
      </c>
      <c r="AC2763" t="str">
        <f>IF(AA2763="","",'Procyclean 520'!D265)</f>
        <v/>
      </c>
      <c r="AD2763" t="str">
        <f>IF(AA2763="","",IFERROR(1*'Procyclean 520'!E265,IFERROR(_xludf.NUMBERVALUE('Procyclean 520'!E265,".",","),IFERROR(_xludf.NUMBERVALUE('Procyclean 520'!E265,",","."),0))))</f>
        <v/>
      </c>
      <c r="AE2763" t="str">
        <f>IF(AA2763="","",'Procyclean 520'!B265)</f>
        <v/>
      </c>
      <c r="AF2763">
        <f t="shared" si="275"/>
        <v>0</v>
      </c>
      <c r="AG2763" t="str">
        <f t="shared" si="276"/>
        <v/>
      </c>
      <c r="AH2763" t="str">
        <f t="shared" si="277"/>
        <v/>
      </c>
      <c r="AI2763">
        <f t="shared" si="278"/>
        <v>0</v>
      </c>
      <c r="AJ2763">
        <f t="shared" si="279"/>
        <v>0</v>
      </c>
      <c r="AK2763">
        <v>0</v>
      </c>
      <c r="AL2763" t="str">
        <f>IF(AA2763="","",IFERROR(IF(ISNUMBER('Procyclean 520'!F265),'Procyclean 520'!F265,IF(ISNUMBER(SEARCH("12",'Procyclean 520'!F265)),EDATE(AB2763,12),IF(ISNUMBER(SEARCH("6",'Procyclean 520'!F265)),EDATE(AB2763,6),IF(ISNUMBER(SEARCH("3",'Procyclean 520'!F265)),EDATE(AB2763,3),DATEVALUE('Procyclean 520'!F265))))),""))</f>
        <v/>
      </c>
      <c r="AM2763" t="str">
        <f t="shared" ca="1" si="280"/>
        <v/>
      </c>
    </row>
    <row r="2764" spans="27:39" x14ac:dyDescent="0.3">
      <c r="AA2764" t="str">
        <f>IF(COUNTA('Procyclean 520'!C266,'Procyclean 520'!D266,'Procyclean 520'!E266)&gt;0,"520","")</f>
        <v/>
      </c>
      <c r="AB2764" t="str">
        <f>IFERROR(IF(ISNUMBER('Procyclean 520'!C266),'Procyclean 520'!C266,DATEVALUE('Procyclean 520'!C266)),"")</f>
        <v/>
      </c>
      <c r="AC2764" t="str">
        <f>IF(AA2764="","",'Procyclean 520'!D266)</f>
        <v/>
      </c>
      <c r="AD2764" t="str">
        <f>IF(AA2764="","",IFERROR(1*'Procyclean 520'!E266,IFERROR(_xludf.NUMBERVALUE('Procyclean 520'!E266,".",","),IFERROR(_xludf.NUMBERVALUE('Procyclean 520'!E266,",","."),0))))</f>
        <v/>
      </c>
      <c r="AE2764" t="str">
        <f>IF(AA2764="","",'Procyclean 520'!B266)</f>
        <v/>
      </c>
      <c r="AF2764">
        <f t="shared" si="275"/>
        <v>0</v>
      </c>
      <c r="AG2764" t="str">
        <f t="shared" si="276"/>
        <v/>
      </c>
      <c r="AH2764" t="str">
        <f t="shared" si="277"/>
        <v/>
      </c>
      <c r="AI2764">
        <f t="shared" si="278"/>
        <v>0</v>
      </c>
      <c r="AJ2764">
        <f t="shared" si="279"/>
        <v>0</v>
      </c>
      <c r="AK2764">
        <v>0</v>
      </c>
      <c r="AL2764" t="str">
        <f>IF(AA2764="","",IFERROR(IF(ISNUMBER('Procyclean 520'!F266),'Procyclean 520'!F266,IF(ISNUMBER(SEARCH("12",'Procyclean 520'!F266)),EDATE(AB2764,12),IF(ISNUMBER(SEARCH("6",'Procyclean 520'!F266)),EDATE(AB2764,6),IF(ISNUMBER(SEARCH("3",'Procyclean 520'!F266)),EDATE(AB2764,3),DATEVALUE('Procyclean 520'!F266))))),""))</f>
        <v/>
      </c>
      <c r="AM2764" t="str">
        <f t="shared" ca="1" si="280"/>
        <v/>
      </c>
    </row>
    <row r="2765" spans="27:39" x14ac:dyDescent="0.3">
      <c r="AA2765" t="str">
        <f>IF(COUNTA('Procyclean 520'!C267,'Procyclean 520'!D267,'Procyclean 520'!E267)&gt;0,"520","")</f>
        <v/>
      </c>
      <c r="AB2765" t="str">
        <f>IFERROR(IF(ISNUMBER('Procyclean 520'!C267),'Procyclean 520'!C267,DATEVALUE('Procyclean 520'!C267)),"")</f>
        <v/>
      </c>
      <c r="AC2765" t="str">
        <f>IF(AA2765="","",'Procyclean 520'!D267)</f>
        <v/>
      </c>
      <c r="AD2765" t="str">
        <f>IF(AA2765="","",IFERROR(1*'Procyclean 520'!E267,IFERROR(_xludf.NUMBERVALUE('Procyclean 520'!E267,".",","),IFERROR(_xludf.NUMBERVALUE('Procyclean 520'!E267,",","."),0))))</f>
        <v/>
      </c>
      <c r="AE2765" t="str">
        <f>IF(AA2765="","",'Procyclean 520'!B267)</f>
        <v/>
      </c>
      <c r="AF2765">
        <f t="shared" si="275"/>
        <v>0</v>
      </c>
      <c r="AG2765" t="str">
        <f t="shared" si="276"/>
        <v/>
      </c>
      <c r="AH2765" t="str">
        <f t="shared" si="277"/>
        <v/>
      </c>
      <c r="AI2765">
        <f t="shared" si="278"/>
        <v>0</v>
      </c>
      <c r="AJ2765">
        <f t="shared" si="279"/>
        <v>0</v>
      </c>
      <c r="AK2765">
        <v>0</v>
      </c>
      <c r="AL2765" t="str">
        <f>IF(AA2765="","",IFERROR(IF(ISNUMBER('Procyclean 520'!F267),'Procyclean 520'!F267,IF(ISNUMBER(SEARCH("12",'Procyclean 520'!F267)),EDATE(AB2765,12),IF(ISNUMBER(SEARCH("6",'Procyclean 520'!F267)),EDATE(AB2765,6),IF(ISNUMBER(SEARCH("3",'Procyclean 520'!F267)),EDATE(AB2765,3),DATEVALUE('Procyclean 520'!F267))))),""))</f>
        <v/>
      </c>
      <c r="AM2765" t="str">
        <f t="shared" ca="1" si="280"/>
        <v/>
      </c>
    </row>
    <row r="2766" spans="27:39" x14ac:dyDescent="0.3">
      <c r="AA2766" t="str">
        <f>IF(COUNTA('Procyclean 520'!C268,'Procyclean 520'!D268,'Procyclean 520'!E268)&gt;0,"520","")</f>
        <v/>
      </c>
      <c r="AB2766" t="str">
        <f>IFERROR(IF(ISNUMBER('Procyclean 520'!C268),'Procyclean 520'!C268,DATEVALUE('Procyclean 520'!C268)),"")</f>
        <v/>
      </c>
      <c r="AC2766" t="str">
        <f>IF(AA2766="","",'Procyclean 520'!D268)</f>
        <v/>
      </c>
      <c r="AD2766" t="str">
        <f>IF(AA2766="","",IFERROR(1*'Procyclean 520'!E268,IFERROR(_xludf.NUMBERVALUE('Procyclean 520'!E268,".",","),IFERROR(_xludf.NUMBERVALUE('Procyclean 520'!E268,",","."),0))))</f>
        <v/>
      </c>
      <c r="AE2766" t="str">
        <f>IF(AA2766="","",'Procyclean 520'!B268)</f>
        <v/>
      </c>
      <c r="AF2766">
        <f t="shared" si="275"/>
        <v>0</v>
      </c>
      <c r="AG2766" t="str">
        <f t="shared" si="276"/>
        <v/>
      </c>
      <c r="AH2766" t="str">
        <f t="shared" si="277"/>
        <v/>
      </c>
      <c r="AI2766">
        <f t="shared" si="278"/>
        <v>0</v>
      </c>
      <c r="AJ2766">
        <f t="shared" si="279"/>
        <v>0</v>
      </c>
      <c r="AK2766">
        <v>0</v>
      </c>
      <c r="AL2766" t="str">
        <f>IF(AA2766="","",IFERROR(IF(ISNUMBER('Procyclean 520'!F268),'Procyclean 520'!F268,IF(ISNUMBER(SEARCH("12",'Procyclean 520'!F268)),EDATE(AB2766,12),IF(ISNUMBER(SEARCH("6",'Procyclean 520'!F268)),EDATE(AB2766,6),IF(ISNUMBER(SEARCH("3",'Procyclean 520'!F268)),EDATE(AB2766,3),DATEVALUE('Procyclean 520'!F268))))),""))</f>
        <v/>
      </c>
      <c r="AM2766" t="str">
        <f t="shared" ca="1" si="280"/>
        <v/>
      </c>
    </row>
    <row r="2767" spans="27:39" x14ac:dyDescent="0.3">
      <c r="AA2767" t="str">
        <f>IF(COUNTA('Procyclean 520'!C269,'Procyclean 520'!D269,'Procyclean 520'!E269)&gt;0,"520","")</f>
        <v/>
      </c>
      <c r="AB2767" t="str">
        <f>IFERROR(IF(ISNUMBER('Procyclean 520'!C269),'Procyclean 520'!C269,DATEVALUE('Procyclean 520'!C269)),"")</f>
        <v/>
      </c>
      <c r="AC2767" t="str">
        <f>IF(AA2767="","",'Procyclean 520'!D269)</f>
        <v/>
      </c>
      <c r="AD2767" t="str">
        <f>IF(AA2767="","",IFERROR(1*'Procyclean 520'!E269,IFERROR(_xludf.NUMBERVALUE('Procyclean 520'!E269,".",","),IFERROR(_xludf.NUMBERVALUE('Procyclean 520'!E269,",","."),0))))</f>
        <v/>
      </c>
      <c r="AE2767" t="str">
        <f>IF(AA2767="","",'Procyclean 520'!B269)</f>
        <v/>
      </c>
      <c r="AF2767">
        <f t="shared" si="275"/>
        <v>0</v>
      </c>
      <c r="AG2767" t="str">
        <f t="shared" si="276"/>
        <v/>
      </c>
      <c r="AH2767" t="str">
        <f t="shared" si="277"/>
        <v/>
      </c>
      <c r="AI2767">
        <f t="shared" si="278"/>
        <v>0</v>
      </c>
      <c r="AJ2767">
        <f t="shared" si="279"/>
        <v>0</v>
      </c>
      <c r="AK2767">
        <v>0</v>
      </c>
      <c r="AL2767" t="str">
        <f>IF(AA2767="","",IFERROR(IF(ISNUMBER('Procyclean 520'!F269),'Procyclean 520'!F269,IF(ISNUMBER(SEARCH("12",'Procyclean 520'!F269)),EDATE(AB2767,12),IF(ISNUMBER(SEARCH("6",'Procyclean 520'!F269)),EDATE(AB2767,6),IF(ISNUMBER(SEARCH("3",'Procyclean 520'!F269)),EDATE(AB2767,3),DATEVALUE('Procyclean 520'!F269))))),""))</f>
        <v/>
      </c>
      <c r="AM2767" t="str">
        <f t="shared" ca="1" si="280"/>
        <v/>
      </c>
    </row>
    <row r="2768" spans="27:39" x14ac:dyDescent="0.3">
      <c r="AA2768" t="str">
        <f>IF(COUNTA('Procyclean 520'!C270,'Procyclean 520'!D270,'Procyclean 520'!E270)&gt;0,"520","")</f>
        <v/>
      </c>
      <c r="AB2768" t="str">
        <f>IFERROR(IF(ISNUMBER('Procyclean 520'!C270),'Procyclean 520'!C270,DATEVALUE('Procyclean 520'!C270)),"")</f>
        <v/>
      </c>
      <c r="AC2768" t="str">
        <f>IF(AA2768="","",'Procyclean 520'!D270)</f>
        <v/>
      </c>
      <c r="AD2768" t="str">
        <f>IF(AA2768="","",IFERROR(1*'Procyclean 520'!E270,IFERROR(_xludf.NUMBERVALUE('Procyclean 520'!E270,".",","),IFERROR(_xludf.NUMBERVALUE('Procyclean 520'!E270,",","."),0))))</f>
        <v/>
      </c>
      <c r="AE2768" t="str">
        <f>IF(AA2768="","",'Procyclean 520'!B270)</f>
        <v/>
      </c>
      <c r="AF2768">
        <f t="shared" si="275"/>
        <v>0</v>
      </c>
      <c r="AG2768" t="str">
        <f t="shared" si="276"/>
        <v/>
      </c>
      <c r="AH2768" t="str">
        <f t="shared" si="277"/>
        <v/>
      </c>
      <c r="AI2768">
        <f t="shared" si="278"/>
        <v>0</v>
      </c>
      <c r="AJ2768">
        <f t="shared" si="279"/>
        <v>0</v>
      </c>
      <c r="AK2768">
        <v>0</v>
      </c>
      <c r="AL2768" t="str">
        <f>IF(AA2768="","",IFERROR(IF(ISNUMBER('Procyclean 520'!F270),'Procyclean 520'!F270,IF(ISNUMBER(SEARCH("12",'Procyclean 520'!F270)),EDATE(AB2768,12),IF(ISNUMBER(SEARCH("6",'Procyclean 520'!F270)),EDATE(AB2768,6),IF(ISNUMBER(SEARCH("3",'Procyclean 520'!F270)),EDATE(AB2768,3),DATEVALUE('Procyclean 520'!F270))))),""))</f>
        <v/>
      </c>
      <c r="AM2768" t="str">
        <f t="shared" ca="1" si="280"/>
        <v/>
      </c>
    </row>
    <row r="2769" spans="27:39" x14ac:dyDescent="0.3">
      <c r="AA2769" t="str">
        <f>IF(COUNTA('Procyclean 520'!C271,'Procyclean 520'!D271,'Procyclean 520'!E271)&gt;0,"520","")</f>
        <v/>
      </c>
      <c r="AB2769" t="str">
        <f>IFERROR(IF(ISNUMBER('Procyclean 520'!C271),'Procyclean 520'!C271,DATEVALUE('Procyclean 520'!C271)),"")</f>
        <v/>
      </c>
      <c r="AC2769" t="str">
        <f>IF(AA2769="","",'Procyclean 520'!D271)</f>
        <v/>
      </c>
      <c r="AD2769" t="str">
        <f>IF(AA2769="","",IFERROR(1*'Procyclean 520'!E271,IFERROR(_xludf.NUMBERVALUE('Procyclean 520'!E271,".",","),IFERROR(_xludf.NUMBERVALUE('Procyclean 520'!E271,",","."),0))))</f>
        <v/>
      </c>
      <c r="AE2769" t="str">
        <f>IF(AA2769="","",'Procyclean 520'!B271)</f>
        <v/>
      </c>
      <c r="AF2769">
        <f t="shared" si="275"/>
        <v>0</v>
      </c>
      <c r="AG2769" t="str">
        <f t="shared" si="276"/>
        <v/>
      </c>
      <c r="AH2769" t="str">
        <f t="shared" si="277"/>
        <v/>
      </c>
      <c r="AI2769">
        <f t="shared" si="278"/>
        <v>0</v>
      </c>
      <c r="AJ2769">
        <f t="shared" si="279"/>
        <v>0</v>
      </c>
      <c r="AK2769">
        <v>0</v>
      </c>
      <c r="AL2769" t="str">
        <f>IF(AA2769="","",IFERROR(IF(ISNUMBER('Procyclean 520'!F271),'Procyclean 520'!F271,IF(ISNUMBER(SEARCH("12",'Procyclean 520'!F271)),EDATE(AB2769,12),IF(ISNUMBER(SEARCH("6",'Procyclean 520'!F271)),EDATE(AB2769,6),IF(ISNUMBER(SEARCH("3",'Procyclean 520'!F271)),EDATE(AB2769,3),DATEVALUE('Procyclean 520'!F271))))),""))</f>
        <v/>
      </c>
      <c r="AM2769" t="str">
        <f t="shared" ca="1" si="280"/>
        <v/>
      </c>
    </row>
    <row r="2770" spans="27:39" x14ac:dyDescent="0.3">
      <c r="AA2770" t="str">
        <f>IF(COUNTA('Procyclean 520'!C272,'Procyclean 520'!D272,'Procyclean 520'!E272)&gt;0,"520","")</f>
        <v/>
      </c>
      <c r="AB2770" t="str">
        <f>IFERROR(IF(ISNUMBER('Procyclean 520'!C272),'Procyclean 520'!C272,DATEVALUE('Procyclean 520'!C272)),"")</f>
        <v/>
      </c>
      <c r="AC2770" t="str">
        <f>IF(AA2770="","",'Procyclean 520'!D272)</f>
        <v/>
      </c>
      <c r="AD2770" t="str">
        <f>IF(AA2770="","",IFERROR(1*'Procyclean 520'!E272,IFERROR(_xludf.NUMBERVALUE('Procyclean 520'!E272,".",","),IFERROR(_xludf.NUMBERVALUE('Procyclean 520'!E272,",","."),0))))</f>
        <v/>
      </c>
      <c r="AE2770" t="str">
        <f>IF(AA2770="","",'Procyclean 520'!B272)</f>
        <v/>
      </c>
      <c r="AF2770">
        <f t="shared" si="275"/>
        <v>0</v>
      </c>
      <c r="AG2770" t="str">
        <f t="shared" si="276"/>
        <v/>
      </c>
      <c r="AH2770" t="str">
        <f t="shared" si="277"/>
        <v/>
      </c>
      <c r="AI2770">
        <f t="shared" si="278"/>
        <v>0</v>
      </c>
      <c r="AJ2770">
        <f t="shared" si="279"/>
        <v>0</v>
      </c>
      <c r="AK2770">
        <v>0</v>
      </c>
      <c r="AL2770" t="str">
        <f>IF(AA2770="","",IFERROR(IF(ISNUMBER('Procyclean 520'!F272),'Procyclean 520'!F272,IF(ISNUMBER(SEARCH("12",'Procyclean 520'!F272)),EDATE(AB2770,12),IF(ISNUMBER(SEARCH("6",'Procyclean 520'!F272)),EDATE(AB2770,6),IF(ISNUMBER(SEARCH("3",'Procyclean 520'!F272)),EDATE(AB2770,3),DATEVALUE('Procyclean 520'!F272))))),""))</f>
        <v/>
      </c>
      <c r="AM2770" t="str">
        <f t="shared" ca="1" si="280"/>
        <v/>
      </c>
    </row>
    <row r="2771" spans="27:39" x14ac:dyDescent="0.3">
      <c r="AA2771" t="str">
        <f>IF(COUNTA('Procyclean 520'!C273,'Procyclean 520'!D273,'Procyclean 520'!E273)&gt;0,"520","")</f>
        <v/>
      </c>
      <c r="AB2771" t="str">
        <f>IFERROR(IF(ISNUMBER('Procyclean 520'!C273),'Procyclean 520'!C273,DATEVALUE('Procyclean 520'!C273)),"")</f>
        <v/>
      </c>
      <c r="AC2771" t="str">
        <f>IF(AA2771="","",'Procyclean 520'!D273)</f>
        <v/>
      </c>
      <c r="AD2771" t="str">
        <f>IF(AA2771="","",IFERROR(1*'Procyclean 520'!E273,IFERROR(_xludf.NUMBERVALUE('Procyclean 520'!E273,".",","),IFERROR(_xludf.NUMBERVALUE('Procyclean 520'!E273,",","."),0))))</f>
        <v/>
      </c>
      <c r="AE2771" t="str">
        <f>IF(AA2771="","",'Procyclean 520'!B273)</f>
        <v/>
      </c>
      <c r="AF2771">
        <f t="shared" si="275"/>
        <v>0</v>
      </c>
      <c r="AG2771" t="str">
        <f t="shared" si="276"/>
        <v/>
      </c>
      <c r="AH2771" t="str">
        <f t="shared" si="277"/>
        <v/>
      </c>
      <c r="AI2771">
        <f t="shared" si="278"/>
        <v>0</v>
      </c>
      <c r="AJ2771">
        <f t="shared" si="279"/>
        <v>0</v>
      </c>
      <c r="AK2771">
        <v>0</v>
      </c>
      <c r="AL2771" t="str">
        <f>IF(AA2771="","",IFERROR(IF(ISNUMBER('Procyclean 520'!F273),'Procyclean 520'!F273,IF(ISNUMBER(SEARCH("12",'Procyclean 520'!F273)),EDATE(AB2771,12),IF(ISNUMBER(SEARCH("6",'Procyclean 520'!F273)),EDATE(AB2771,6),IF(ISNUMBER(SEARCH("3",'Procyclean 520'!F273)),EDATE(AB2771,3),DATEVALUE('Procyclean 520'!F273))))),""))</f>
        <v/>
      </c>
      <c r="AM2771" t="str">
        <f t="shared" ca="1" si="280"/>
        <v/>
      </c>
    </row>
    <row r="2772" spans="27:39" x14ac:dyDescent="0.3">
      <c r="AA2772" t="str">
        <f>IF(COUNTA('Procyclean 520'!C274,'Procyclean 520'!D274,'Procyclean 520'!E274)&gt;0,"520","")</f>
        <v/>
      </c>
      <c r="AB2772" t="str">
        <f>IFERROR(IF(ISNUMBER('Procyclean 520'!C274),'Procyclean 520'!C274,DATEVALUE('Procyclean 520'!C274)),"")</f>
        <v/>
      </c>
      <c r="AC2772" t="str">
        <f>IF(AA2772="","",'Procyclean 520'!D274)</f>
        <v/>
      </c>
      <c r="AD2772" t="str">
        <f>IF(AA2772="","",IFERROR(1*'Procyclean 520'!E274,IFERROR(_xludf.NUMBERVALUE('Procyclean 520'!E274,".",","),IFERROR(_xludf.NUMBERVALUE('Procyclean 520'!E274,",","."),0))))</f>
        <v/>
      </c>
      <c r="AE2772" t="str">
        <f>IF(AA2772="","",'Procyclean 520'!B274)</f>
        <v/>
      </c>
      <c r="AF2772">
        <f t="shared" si="275"/>
        <v>0</v>
      </c>
      <c r="AG2772" t="str">
        <f t="shared" si="276"/>
        <v/>
      </c>
      <c r="AH2772" t="str">
        <f t="shared" si="277"/>
        <v/>
      </c>
      <c r="AI2772">
        <f t="shared" si="278"/>
        <v>0</v>
      </c>
      <c r="AJ2772">
        <f t="shared" si="279"/>
        <v>0</v>
      </c>
      <c r="AK2772">
        <v>0</v>
      </c>
      <c r="AL2772" t="str">
        <f>IF(AA2772="","",IFERROR(IF(ISNUMBER('Procyclean 520'!F274),'Procyclean 520'!F274,IF(ISNUMBER(SEARCH("12",'Procyclean 520'!F274)),EDATE(AB2772,12),IF(ISNUMBER(SEARCH("6",'Procyclean 520'!F274)),EDATE(AB2772,6),IF(ISNUMBER(SEARCH("3",'Procyclean 520'!F274)),EDATE(AB2772,3),DATEVALUE('Procyclean 520'!F274))))),""))</f>
        <v/>
      </c>
      <c r="AM2772" t="str">
        <f t="shared" ca="1" si="280"/>
        <v/>
      </c>
    </row>
    <row r="2773" spans="27:39" x14ac:dyDescent="0.3">
      <c r="AA2773" t="str">
        <f>IF(COUNTA('Procyclean 520'!C275,'Procyclean 520'!D275,'Procyclean 520'!E275)&gt;0,"520","")</f>
        <v/>
      </c>
      <c r="AB2773" t="str">
        <f>IFERROR(IF(ISNUMBER('Procyclean 520'!C275),'Procyclean 520'!C275,DATEVALUE('Procyclean 520'!C275)),"")</f>
        <v/>
      </c>
      <c r="AC2773" t="str">
        <f>IF(AA2773="","",'Procyclean 520'!D275)</f>
        <v/>
      </c>
      <c r="AD2773" t="str">
        <f>IF(AA2773="","",IFERROR(1*'Procyclean 520'!E275,IFERROR(_xludf.NUMBERVALUE('Procyclean 520'!E275,".",","),IFERROR(_xludf.NUMBERVALUE('Procyclean 520'!E275,",","."),0))))</f>
        <v/>
      </c>
      <c r="AE2773" t="str">
        <f>IF(AA2773="","",'Procyclean 520'!B275)</f>
        <v/>
      </c>
      <c r="AF2773">
        <f t="shared" si="275"/>
        <v>0</v>
      </c>
      <c r="AG2773" t="str">
        <f t="shared" si="276"/>
        <v/>
      </c>
      <c r="AH2773" t="str">
        <f t="shared" si="277"/>
        <v/>
      </c>
      <c r="AI2773">
        <f t="shared" si="278"/>
        <v>0</v>
      </c>
      <c r="AJ2773">
        <f t="shared" si="279"/>
        <v>0</v>
      </c>
      <c r="AK2773">
        <v>0</v>
      </c>
      <c r="AL2773" t="str">
        <f>IF(AA2773="","",IFERROR(IF(ISNUMBER('Procyclean 520'!F275),'Procyclean 520'!F275,IF(ISNUMBER(SEARCH("12",'Procyclean 520'!F275)),EDATE(AB2773,12),IF(ISNUMBER(SEARCH("6",'Procyclean 520'!F275)),EDATE(AB2773,6),IF(ISNUMBER(SEARCH("3",'Procyclean 520'!F275)),EDATE(AB2773,3),DATEVALUE('Procyclean 520'!F275))))),""))</f>
        <v/>
      </c>
      <c r="AM2773" t="str">
        <f t="shared" ca="1" si="280"/>
        <v/>
      </c>
    </row>
    <row r="2774" spans="27:39" x14ac:dyDescent="0.3">
      <c r="AA2774" t="str">
        <f>IF(COUNTA('Procyclean 520'!C276,'Procyclean 520'!D276,'Procyclean 520'!E276)&gt;0,"520","")</f>
        <v/>
      </c>
      <c r="AB2774" t="str">
        <f>IFERROR(IF(ISNUMBER('Procyclean 520'!C276),'Procyclean 520'!C276,DATEVALUE('Procyclean 520'!C276)),"")</f>
        <v/>
      </c>
      <c r="AC2774" t="str">
        <f>IF(AA2774="","",'Procyclean 520'!D276)</f>
        <v/>
      </c>
      <c r="AD2774" t="str">
        <f>IF(AA2774="","",IFERROR(1*'Procyclean 520'!E276,IFERROR(_xludf.NUMBERVALUE('Procyclean 520'!E276,".",","),IFERROR(_xludf.NUMBERVALUE('Procyclean 520'!E276,",","."),0))))</f>
        <v/>
      </c>
      <c r="AE2774" t="str">
        <f>IF(AA2774="","",'Procyclean 520'!B276)</f>
        <v/>
      </c>
      <c r="AF2774">
        <f t="shared" si="275"/>
        <v>0</v>
      </c>
      <c r="AG2774" t="str">
        <f t="shared" si="276"/>
        <v/>
      </c>
      <c r="AH2774" t="str">
        <f t="shared" si="277"/>
        <v/>
      </c>
      <c r="AI2774">
        <f t="shared" si="278"/>
        <v>0</v>
      </c>
      <c r="AJ2774">
        <f t="shared" si="279"/>
        <v>0</v>
      </c>
      <c r="AK2774">
        <v>0</v>
      </c>
      <c r="AL2774" t="str">
        <f>IF(AA2774="","",IFERROR(IF(ISNUMBER('Procyclean 520'!F276),'Procyclean 520'!F276,IF(ISNUMBER(SEARCH("12",'Procyclean 520'!F276)),EDATE(AB2774,12),IF(ISNUMBER(SEARCH("6",'Procyclean 520'!F276)),EDATE(AB2774,6),IF(ISNUMBER(SEARCH("3",'Procyclean 520'!F276)),EDATE(AB2774,3),DATEVALUE('Procyclean 520'!F276))))),""))</f>
        <v/>
      </c>
      <c r="AM2774" t="str">
        <f t="shared" ca="1" si="280"/>
        <v/>
      </c>
    </row>
    <row r="2775" spans="27:39" x14ac:dyDescent="0.3">
      <c r="AA2775" t="str">
        <f>IF(COUNTA('Procyclean 520'!C277,'Procyclean 520'!D277,'Procyclean 520'!E277)&gt;0,"520","")</f>
        <v/>
      </c>
      <c r="AB2775" t="str">
        <f>IFERROR(IF(ISNUMBER('Procyclean 520'!C277),'Procyclean 520'!C277,DATEVALUE('Procyclean 520'!C277)),"")</f>
        <v/>
      </c>
      <c r="AC2775" t="str">
        <f>IF(AA2775="","",'Procyclean 520'!D277)</f>
        <v/>
      </c>
      <c r="AD2775" t="str">
        <f>IF(AA2775="","",IFERROR(1*'Procyclean 520'!E277,IFERROR(_xludf.NUMBERVALUE('Procyclean 520'!E277,".",","),IFERROR(_xludf.NUMBERVALUE('Procyclean 520'!E277,",","."),0))))</f>
        <v/>
      </c>
      <c r="AE2775" t="str">
        <f>IF(AA2775="","",'Procyclean 520'!B277)</f>
        <v/>
      </c>
      <c r="AF2775">
        <f t="shared" si="275"/>
        <v>0</v>
      </c>
      <c r="AG2775" t="str">
        <f t="shared" si="276"/>
        <v/>
      </c>
      <c r="AH2775" t="str">
        <f t="shared" si="277"/>
        <v/>
      </c>
      <c r="AI2775">
        <f t="shared" si="278"/>
        <v>0</v>
      </c>
      <c r="AJ2775">
        <f t="shared" si="279"/>
        <v>0</v>
      </c>
      <c r="AK2775">
        <v>0</v>
      </c>
      <c r="AL2775" t="str">
        <f>IF(AA2775="","",IFERROR(IF(ISNUMBER('Procyclean 520'!F277),'Procyclean 520'!F277,IF(ISNUMBER(SEARCH("12",'Procyclean 520'!F277)),EDATE(AB2775,12),IF(ISNUMBER(SEARCH("6",'Procyclean 520'!F277)),EDATE(AB2775,6),IF(ISNUMBER(SEARCH("3",'Procyclean 520'!F277)),EDATE(AB2775,3),DATEVALUE('Procyclean 520'!F277))))),""))</f>
        <v/>
      </c>
      <c r="AM2775" t="str">
        <f t="shared" ca="1" si="280"/>
        <v/>
      </c>
    </row>
    <row r="2776" spans="27:39" x14ac:dyDescent="0.3">
      <c r="AA2776" t="str">
        <f>IF(COUNTA('Procyclean 520'!C278,'Procyclean 520'!D278,'Procyclean 520'!E278)&gt;0,"520","")</f>
        <v/>
      </c>
      <c r="AB2776" t="str">
        <f>IFERROR(IF(ISNUMBER('Procyclean 520'!C278),'Procyclean 520'!C278,DATEVALUE('Procyclean 520'!C278)),"")</f>
        <v/>
      </c>
      <c r="AC2776" t="str">
        <f>IF(AA2776="","",'Procyclean 520'!D278)</f>
        <v/>
      </c>
      <c r="AD2776" t="str">
        <f>IF(AA2776="","",IFERROR(1*'Procyclean 520'!E278,IFERROR(_xludf.NUMBERVALUE('Procyclean 520'!E278,".",","),IFERROR(_xludf.NUMBERVALUE('Procyclean 520'!E278,",","."),0))))</f>
        <v/>
      </c>
      <c r="AE2776" t="str">
        <f>IF(AA2776="","",'Procyclean 520'!B278)</f>
        <v/>
      </c>
      <c r="AF2776">
        <f t="shared" si="275"/>
        <v>0</v>
      </c>
      <c r="AG2776" t="str">
        <f t="shared" si="276"/>
        <v/>
      </c>
      <c r="AH2776" t="str">
        <f t="shared" si="277"/>
        <v/>
      </c>
      <c r="AI2776">
        <f t="shared" si="278"/>
        <v>0</v>
      </c>
      <c r="AJ2776">
        <f t="shared" si="279"/>
        <v>0</v>
      </c>
      <c r="AK2776">
        <v>0</v>
      </c>
      <c r="AL2776" t="str">
        <f>IF(AA2776="","",IFERROR(IF(ISNUMBER('Procyclean 520'!F278),'Procyclean 520'!F278,IF(ISNUMBER(SEARCH("12",'Procyclean 520'!F278)),EDATE(AB2776,12),IF(ISNUMBER(SEARCH("6",'Procyclean 520'!F278)),EDATE(AB2776,6),IF(ISNUMBER(SEARCH("3",'Procyclean 520'!F278)),EDATE(AB2776,3),DATEVALUE('Procyclean 520'!F278))))),""))</f>
        <v/>
      </c>
      <c r="AM2776" t="str">
        <f t="shared" ca="1" si="280"/>
        <v/>
      </c>
    </row>
    <row r="2777" spans="27:39" x14ac:dyDescent="0.3">
      <c r="AA2777" t="str">
        <f>IF(COUNTA('Procyclean 520'!C279,'Procyclean 520'!D279,'Procyclean 520'!E279)&gt;0,"520","")</f>
        <v/>
      </c>
      <c r="AB2777" t="str">
        <f>IFERROR(IF(ISNUMBER('Procyclean 520'!C279),'Procyclean 520'!C279,DATEVALUE('Procyclean 520'!C279)),"")</f>
        <v/>
      </c>
      <c r="AC2777" t="str">
        <f>IF(AA2777="","",'Procyclean 520'!D279)</f>
        <v/>
      </c>
      <c r="AD2777" t="str">
        <f>IF(AA2777="","",IFERROR(1*'Procyclean 520'!E279,IFERROR(_xludf.NUMBERVALUE('Procyclean 520'!E279,".",","),IFERROR(_xludf.NUMBERVALUE('Procyclean 520'!E279,",","."),0))))</f>
        <v/>
      </c>
      <c r="AE2777" t="str">
        <f>IF(AA2777="","",'Procyclean 520'!B279)</f>
        <v/>
      </c>
      <c r="AF2777">
        <f t="shared" si="275"/>
        <v>0</v>
      </c>
      <c r="AG2777" t="str">
        <f t="shared" si="276"/>
        <v/>
      </c>
      <c r="AH2777" t="str">
        <f t="shared" si="277"/>
        <v/>
      </c>
      <c r="AI2777">
        <f t="shared" si="278"/>
        <v>0</v>
      </c>
      <c r="AJ2777">
        <f t="shared" si="279"/>
        <v>0</v>
      </c>
      <c r="AK2777">
        <v>0</v>
      </c>
      <c r="AL2777" t="str">
        <f>IF(AA2777="","",IFERROR(IF(ISNUMBER('Procyclean 520'!F279),'Procyclean 520'!F279,IF(ISNUMBER(SEARCH("12",'Procyclean 520'!F279)),EDATE(AB2777,12),IF(ISNUMBER(SEARCH("6",'Procyclean 520'!F279)),EDATE(AB2777,6),IF(ISNUMBER(SEARCH("3",'Procyclean 520'!F279)),EDATE(AB2777,3),DATEVALUE('Procyclean 520'!F279))))),""))</f>
        <v/>
      </c>
      <c r="AM2777" t="str">
        <f t="shared" ca="1" si="280"/>
        <v/>
      </c>
    </row>
    <row r="2778" spans="27:39" x14ac:dyDescent="0.3">
      <c r="AA2778" t="str">
        <f>IF(COUNTA('Procyclean 520'!C280,'Procyclean 520'!D280,'Procyclean 520'!E280)&gt;0,"520","")</f>
        <v/>
      </c>
      <c r="AB2778" t="str">
        <f>IFERROR(IF(ISNUMBER('Procyclean 520'!C280),'Procyclean 520'!C280,DATEVALUE('Procyclean 520'!C280)),"")</f>
        <v/>
      </c>
      <c r="AC2778" t="str">
        <f>IF(AA2778="","",'Procyclean 520'!D280)</f>
        <v/>
      </c>
      <c r="AD2778" t="str">
        <f>IF(AA2778="","",IFERROR(1*'Procyclean 520'!E280,IFERROR(_xludf.NUMBERVALUE('Procyclean 520'!E280,".",","),IFERROR(_xludf.NUMBERVALUE('Procyclean 520'!E280,",","."),0))))</f>
        <v/>
      </c>
      <c r="AE2778" t="str">
        <f>IF(AA2778="","",'Procyclean 520'!B280)</f>
        <v/>
      </c>
      <c r="AF2778">
        <f t="shared" si="275"/>
        <v>0</v>
      </c>
      <c r="AG2778" t="str">
        <f t="shared" si="276"/>
        <v/>
      </c>
      <c r="AH2778" t="str">
        <f t="shared" si="277"/>
        <v/>
      </c>
      <c r="AI2778">
        <f t="shared" si="278"/>
        <v>0</v>
      </c>
      <c r="AJ2778">
        <f t="shared" si="279"/>
        <v>0</v>
      </c>
      <c r="AK2778">
        <v>0</v>
      </c>
      <c r="AL2778" t="str">
        <f>IF(AA2778="","",IFERROR(IF(ISNUMBER('Procyclean 520'!F280),'Procyclean 520'!F280,IF(ISNUMBER(SEARCH("12",'Procyclean 520'!F280)),EDATE(AB2778,12),IF(ISNUMBER(SEARCH("6",'Procyclean 520'!F280)),EDATE(AB2778,6),IF(ISNUMBER(SEARCH("3",'Procyclean 520'!F280)),EDATE(AB2778,3),DATEVALUE('Procyclean 520'!F280))))),""))</f>
        <v/>
      </c>
      <c r="AM2778" t="str">
        <f t="shared" ca="1" si="280"/>
        <v/>
      </c>
    </row>
    <row r="2779" spans="27:39" x14ac:dyDescent="0.3">
      <c r="AA2779" t="str">
        <f>IF(COUNTA('Procyclean 520'!C281,'Procyclean 520'!D281,'Procyclean 520'!E281)&gt;0,"520","")</f>
        <v/>
      </c>
      <c r="AB2779" t="str">
        <f>IFERROR(IF(ISNUMBER('Procyclean 520'!C281),'Procyclean 520'!C281,DATEVALUE('Procyclean 520'!C281)),"")</f>
        <v/>
      </c>
      <c r="AC2779" t="str">
        <f>IF(AA2779="","",'Procyclean 520'!D281)</f>
        <v/>
      </c>
      <c r="AD2779" t="str">
        <f>IF(AA2779="","",IFERROR(1*'Procyclean 520'!E281,IFERROR(_xludf.NUMBERVALUE('Procyclean 520'!E281,".",","),IFERROR(_xludf.NUMBERVALUE('Procyclean 520'!E281,",","."),0))))</f>
        <v/>
      </c>
      <c r="AE2779" t="str">
        <f>IF(AA2779="","",'Procyclean 520'!B281)</f>
        <v/>
      </c>
      <c r="AF2779">
        <f t="shared" si="275"/>
        <v>0</v>
      </c>
      <c r="AG2779" t="str">
        <f t="shared" si="276"/>
        <v/>
      </c>
      <c r="AH2779" t="str">
        <f t="shared" si="277"/>
        <v/>
      </c>
      <c r="AI2779">
        <f t="shared" si="278"/>
        <v>0</v>
      </c>
      <c r="AJ2779">
        <f t="shared" si="279"/>
        <v>0</v>
      </c>
      <c r="AK2779">
        <v>0</v>
      </c>
      <c r="AL2779" t="str">
        <f>IF(AA2779="","",IFERROR(IF(ISNUMBER('Procyclean 520'!F281),'Procyclean 520'!F281,IF(ISNUMBER(SEARCH("12",'Procyclean 520'!F281)),EDATE(AB2779,12),IF(ISNUMBER(SEARCH("6",'Procyclean 520'!F281)),EDATE(AB2779,6),IF(ISNUMBER(SEARCH("3",'Procyclean 520'!F281)),EDATE(AB2779,3),DATEVALUE('Procyclean 520'!F281))))),""))</f>
        <v/>
      </c>
      <c r="AM2779" t="str">
        <f t="shared" ca="1" si="280"/>
        <v/>
      </c>
    </row>
    <row r="2780" spans="27:39" x14ac:dyDescent="0.3">
      <c r="AA2780" t="str">
        <f>IF(COUNTA('Procyclean 520'!C282,'Procyclean 520'!D282,'Procyclean 520'!E282)&gt;0,"520","")</f>
        <v/>
      </c>
      <c r="AB2780" t="str">
        <f>IFERROR(IF(ISNUMBER('Procyclean 520'!C282),'Procyclean 520'!C282,DATEVALUE('Procyclean 520'!C282)),"")</f>
        <v/>
      </c>
      <c r="AC2780" t="str">
        <f>IF(AA2780="","",'Procyclean 520'!D282)</f>
        <v/>
      </c>
      <c r="AD2780" t="str">
        <f>IF(AA2780="","",IFERROR(1*'Procyclean 520'!E282,IFERROR(_xludf.NUMBERVALUE('Procyclean 520'!E282,".",","),IFERROR(_xludf.NUMBERVALUE('Procyclean 520'!E282,",","."),0))))</f>
        <v/>
      </c>
      <c r="AE2780" t="str">
        <f>IF(AA2780="","",'Procyclean 520'!B282)</f>
        <v/>
      </c>
      <c r="AF2780">
        <f t="shared" si="275"/>
        <v>0</v>
      </c>
      <c r="AG2780" t="str">
        <f t="shared" si="276"/>
        <v/>
      </c>
      <c r="AH2780" t="str">
        <f t="shared" si="277"/>
        <v/>
      </c>
      <c r="AI2780">
        <f t="shared" si="278"/>
        <v>0</v>
      </c>
      <c r="AJ2780">
        <f t="shared" si="279"/>
        <v>0</v>
      </c>
      <c r="AK2780">
        <v>0</v>
      </c>
      <c r="AL2780" t="str">
        <f>IF(AA2780="","",IFERROR(IF(ISNUMBER('Procyclean 520'!F282),'Procyclean 520'!F282,IF(ISNUMBER(SEARCH("12",'Procyclean 520'!F282)),EDATE(AB2780,12),IF(ISNUMBER(SEARCH("6",'Procyclean 520'!F282)),EDATE(AB2780,6),IF(ISNUMBER(SEARCH("3",'Procyclean 520'!F282)),EDATE(AB2780,3),DATEVALUE('Procyclean 520'!F282))))),""))</f>
        <v/>
      </c>
      <c r="AM2780" t="str">
        <f t="shared" ca="1" si="280"/>
        <v/>
      </c>
    </row>
    <row r="2781" spans="27:39" x14ac:dyDescent="0.3">
      <c r="AA2781" t="str">
        <f>IF(COUNTA('Procyclean 520'!C283,'Procyclean 520'!D283,'Procyclean 520'!E283)&gt;0,"520","")</f>
        <v/>
      </c>
      <c r="AB2781" t="str">
        <f>IFERROR(IF(ISNUMBER('Procyclean 520'!C283),'Procyclean 520'!C283,DATEVALUE('Procyclean 520'!C283)),"")</f>
        <v/>
      </c>
      <c r="AC2781" t="str">
        <f>IF(AA2781="","",'Procyclean 520'!D283)</f>
        <v/>
      </c>
      <c r="AD2781" t="str">
        <f>IF(AA2781="","",IFERROR(1*'Procyclean 520'!E283,IFERROR(_xludf.NUMBERVALUE('Procyclean 520'!E283,".",","),IFERROR(_xludf.NUMBERVALUE('Procyclean 520'!E283,",","."),0))))</f>
        <v/>
      </c>
      <c r="AE2781" t="str">
        <f>IF(AA2781="","",'Procyclean 520'!B283)</f>
        <v/>
      </c>
      <c r="AF2781">
        <f t="shared" si="275"/>
        <v>0</v>
      </c>
      <c r="AG2781" t="str">
        <f t="shared" si="276"/>
        <v/>
      </c>
      <c r="AH2781" t="str">
        <f t="shared" si="277"/>
        <v/>
      </c>
      <c r="AI2781">
        <f t="shared" si="278"/>
        <v>0</v>
      </c>
      <c r="AJ2781">
        <f t="shared" si="279"/>
        <v>0</v>
      </c>
      <c r="AK2781">
        <v>0</v>
      </c>
      <c r="AL2781" t="str">
        <f>IF(AA2781="","",IFERROR(IF(ISNUMBER('Procyclean 520'!F283),'Procyclean 520'!F283,IF(ISNUMBER(SEARCH("12",'Procyclean 520'!F283)),EDATE(AB2781,12),IF(ISNUMBER(SEARCH("6",'Procyclean 520'!F283)),EDATE(AB2781,6),IF(ISNUMBER(SEARCH("3",'Procyclean 520'!F283)),EDATE(AB2781,3),DATEVALUE('Procyclean 520'!F283))))),""))</f>
        <v/>
      </c>
      <c r="AM2781" t="str">
        <f t="shared" ca="1" si="280"/>
        <v/>
      </c>
    </row>
    <row r="2782" spans="27:39" x14ac:dyDescent="0.3">
      <c r="AA2782" t="str">
        <f>IF(COUNTA('Procyclean 520'!C284,'Procyclean 520'!D284,'Procyclean 520'!E284)&gt;0,"520","")</f>
        <v/>
      </c>
      <c r="AB2782" t="str">
        <f>IFERROR(IF(ISNUMBER('Procyclean 520'!C284),'Procyclean 520'!C284,DATEVALUE('Procyclean 520'!C284)),"")</f>
        <v/>
      </c>
      <c r="AC2782" t="str">
        <f>IF(AA2782="","",'Procyclean 520'!D284)</f>
        <v/>
      </c>
      <c r="AD2782" t="str">
        <f>IF(AA2782="","",IFERROR(1*'Procyclean 520'!E284,IFERROR(_xludf.NUMBERVALUE('Procyclean 520'!E284,".",","),IFERROR(_xludf.NUMBERVALUE('Procyclean 520'!E284,",","."),0))))</f>
        <v/>
      </c>
      <c r="AE2782" t="str">
        <f>IF(AA2782="","",'Procyclean 520'!B284)</f>
        <v/>
      </c>
      <c r="AF2782">
        <f t="shared" si="275"/>
        <v>0</v>
      </c>
      <c r="AG2782" t="str">
        <f t="shared" si="276"/>
        <v/>
      </c>
      <c r="AH2782" t="str">
        <f t="shared" si="277"/>
        <v/>
      </c>
      <c r="AI2782">
        <f t="shared" si="278"/>
        <v>0</v>
      </c>
      <c r="AJ2782">
        <f t="shared" si="279"/>
        <v>0</v>
      </c>
      <c r="AK2782">
        <v>0</v>
      </c>
      <c r="AL2782" t="str">
        <f>IF(AA2782="","",IFERROR(IF(ISNUMBER('Procyclean 520'!F284),'Procyclean 520'!F284,IF(ISNUMBER(SEARCH("12",'Procyclean 520'!F284)),EDATE(AB2782,12),IF(ISNUMBER(SEARCH("6",'Procyclean 520'!F284)),EDATE(AB2782,6),IF(ISNUMBER(SEARCH("3",'Procyclean 520'!F284)),EDATE(AB2782,3),DATEVALUE('Procyclean 520'!F284))))),""))</f>
        <v/>
      </c>
      <c r="AM2782" t="str">
        <f t="shared" ca="1" si="280"/>
        <v/>
      </c>
    </row>
    <row r="2783" spans="27:39" x14ac:dyDescent="0.3">
      <c r="AA2783" t="str">
        <f>IF(COUNTA('Procyclean 520'!C285,'Procyclean 520'!D285,'Procyclean 520'!E285)&gt;0,"520","")</f>
        <v/>
      </c>
      <c r="AB2783" t="str">
        <f>IFERROR(IF(ISNUMBER('Procyclean 520'!C285),'Procyclean 520'!C285,DATEVALUE('Procyclean 520'!C285)),"")</f>
        <v/>
      </c>
      <c r="AC2783" t="str">
        <f>IF(AA2783="","",'Procyclean 520'!D285)</f>
        <v/>
      </c>
      <c r="AD2783" t="str">
        <f>IF(AA2783="","",IFERROR(1*'Procyclean 520'!E285,IFERROR(_xludf.NUMBERVALUE('Procyclean 520'!E285,".",","),IFERROR(_xludf.NUMBERVALUE('Procyclean 520'!E285,",","."),0))))</f>
        <v/>
      </c>
      <c r="AE2783" t="str">
        <f>IF(AA2783="","",'Procyclean 520'!B285)</f>
        <v/>
      </c>
      <c r="AF2783">
        <f t="shared" si="275"/>
        <v>0</v>
      </c>
      <c r="AG2783" t="str">
        <f t="shared" si="276"/>
        <v/>
      </c>
      <c r="AH2783" t="str">
        <f t="shared" si="277"/>
        <v/>
      </c>
      <c r="AI2783">
        <f t="shared" si="278"/>
        <v>0</v>
      </c>
      <c r="AJ2783">
        <f t="shared" si="279"/>
        <v>0</v>
      </c>
      <c r="AK2783">
        <v>0</v>
      </c>
      <c r="AL2783" t="str">
        <f>IF(AA2783="","",IFERROR(IF(ISNUMBER('Procyclean 520'!F285),'Procyclean 520'!F285,IF(ISNUMBER(SEARCH("12",'Procyclean 520'!F285)),EDATE(AB2783,12),IF(ISNUMBER(SEARCH("6",'Procyclean 520'!F285)),EDATE(AB2783,6),IF(ISNUMBER(SEARCH("3",'Procyclean 520'!F285)),EDATE(AB2783,3),DATEVALUE('Procyclean 520'!F285))))),""))</f>
        <v/>
      </c>
      <c r="AM2783" t="str">
        <f t="shared" ca="1" si="280"/>
        <v/>
      </c>
    </row>
    <row r="2784" spans="27:39" x14ac:dyDescent="0.3">
      <c r="AA2784" t="str">
        <f>IF(COUNTA('Procyclean 520'!C286,'Procyclean 520'!D286,'Procyclean 520'!E286)&gt;0,"520","")</f>
        <v/>
      </c>
      <c r="AB2784" t="str">
        <f>IFERROR(IF(ISNUMBER('Procyclean 520'!C286),'Procyclean 520'!C286,DATEVALUE('Procyclean 520'!C286)),"")</f>
        <v/>
      </c>
      <c r="AC2784" t="str">
        <f>IF(AA2784="","",'Procyclean 520'!D286)</f>
        <v/>
      </c>
      <c r="AD2784" t="str">
        <f>IF(AA2784="","",IFERROR(1*'Procyclean 520'!E286,IFERROR(_xludf.NUMBERVALUE('Procyclean 520'!E286,".",","),IFERROR(_xludf.NUMBERVALUE('Procyclean 520'!E286,",","."),0))))</f>
        <v/>
      </c>
      <c r="AE2784" t="str">
        <f>IF(AA2784="","",'Procyclean 520'!B286)</f>
        <v/>
      </c>
      <c r="AF2784">
        <f t="shared" si="275"/>
        <v>0</v>
      </c>
      <c r="AG2784" t="str">
        <f t="shared" si="276"/>
        <v/>
      </c>
      <c r="AH2784" t="str">
        <f t="shared" si="277"/>
        <v/>
      </c>
      <c r="AI2784">
        <f t="shared" si="278"/>
        <v>0</v>
      </c>
      <c r="AJ2784">
        <f t="shared" si="279"/>
        <v>0</v>
      </c>
      <c r="AK2784">
        <v>0</v>
      </c>
      <c r="AL2784" t="str">
        <f>IF(AA2784="","",IFERROR(IF(ISNUMBER('Procyclean 520'!F286),'Procyclean 520'!F286,IF(ISNUMBER(SEARCH("12",'Procyclean 520'!F286)),EDATE(AB2784,12),IF(ISNUMBER(SEARCH("6",'Procyclean 520'!F286)),EDATE(AB2784,6),IF(ISNUMBER(SEARCH("3",'Procyclean 520'!F286)),EDATE(AB2784,3),DATEVALUE('Procyclean 520'!F286))))),""))</f>
        <v/>
      </c>
      <c r="AM2784" t="str">
        <f t="shared" ca="1" si="280"/>
        <v/>
      </c>
    </row>
    <row r="2785" spans="27:39" x14ac:dyDescent="0.3">
      <c r="AA2785" t="str">
        <f>IF(COUNTA('Procyclean 520'!C287,'Procyclean 520'!D287,'Procyclean 520'!E287)&gt;0,"520","")</f>
        <v/>
      </c>
      <c r="AB2785" t="str">
        <f>IFERROR(IF(ISNUMBER('Procyclean 520'!C287),'Procyclean 520'!C287,DATEVALUE('Procyclean 520'!C287)),"")</f>
        <v/>
      </c>
      <c r="AC2785" t="str">
        <f>IF(AA2785="","",'Procyclean 520'!D287)</f>
        <v/>
      </c>
      <c r="AD2785" t="str">
        <f>IF(AA2785="","",IFERROR(1*'Procyclean 520'!E287,IFERROR(_xludf.NUMBERVALUE('Procyclean 520'!E287,".",","),IFERROR(_xludf.NUMBERVALUE('Procyclean 520'!E287,",","."),0))))</f>
        <v/>
      </c>
      <c r="AE2785" t="str">
        <f>IF(AA2785="","",'Procyclean 520'!B287)</f>
        <v/>
      </c>
      <c r="AF2785">
        <f t="shared" si="275"/>
        <v>0</v>
      </c>
      <c r="AG2785" t="str">
        <f t="shared" si="276"/>
        <v/>
      </c>
      <c r="AH2785" t="str">
        <f t="shared" si="277"/>
        <v/>
      </c>
      <c r="AI2785">
        <f t="shared" si="278"/>
        <v>0</v>
      </c>
      <c r="AJ2785">
        <f t="shared" si="279"/>
        <v>0</v>
      </c>
      <c r="AK2785">
        <v>0</v>
      </c>
      <c r="AL2785" t="str">
        <f>IF(AA2785="","",IFERROR(IF(ISNUMBER('Procyclean 520'!F287),'Procyclean 520'!F287,IF(ISNUMBER(SEARCH("12",'Procyclean 520'!F287)),EDATE(AB2785,12),IF(ISNUMBER(SEARCH("6",'Procyclean 520'!F287)),EDATE(AB2785,6),IF(ISNUMBER(SEARCH("3",'Procyclean 520'!F287)),EDATE(AB2785,3),DATEVALUE('Procyclean 520'!F287))))),""))</f>
        <v/>
      </c>
      <c r="AM2785" t="str">
        <f t="shared" ca="1" si="280"/>
        <v/>
      </c>
    </row>
    <row r="2786" spans="27:39" x14ac:dyDescent="0.3">
      <c r="AA2786" t="str">
        <f>IF(COUNTA('Procyclean 520'!C288,'Procyclean 520'!D288,'Procyclean 520'!E288)&gt;0,"520","")</f>
        <v/>
      </c>
      <c r="AB2786" t="str">
        <f>IFERROR(IF(ISNUMBER('Procyclean 520'!C288),'Procyclean 520'!C288,DATEVALUE('Procyclean 520'!C288)),"")</f>
        <v/>
      </c>
      <c r="AC2786" t="str">
        <f>IF(AA2786="","",'Procyclean 520'!D288)</f>
        <v/>
      </c>
      <c r="AD2786" t="str">
        <f>IF(AA2786="","",IFERROR(1*'Procyclean 520'!E288,IFERROR(_xludf.NUMBERVALUE('Procyclean 520'!E288,".",","),IFERROR(_xludf.NUMBERVALUE('Procyclean 520'!E288,",","."),0))))</f>
        <v/>
      </c>
      <c r="AE2786" t="str">
        <f>IF(AA2786="","",'Procyclean 520'!B288)</f>
        <v/>
      </c>
      <c r="AF2786">
        <f t="shared" si="275"/>
        <v>0</v>
      </c>
      <c r="AG2786" t="str">
        <f t="shared" si="276"/>
        <v/>
      </c>
      <c r="AH2786" t="str">
        <f t="shared" si="277"/>
        <v/>
      </c>
      <c r="AI2786">
        <f t="shared" si="278"/>
        <v>0</v>
      </c>
      <c r="AJ2786">
        <f t="shared" si="279"/>
        <v>0</v>
      </c>
      <c r="AK2786">
        <v>0</v>
      </c>
      <c r="AL2786" t="str">
        <f>IF(AA2786="","",IFERROR(IF(ISNUMBER('Procyclean 520'!F288),'Procyclean 520'!F288,IF(ISNUMBER(SEARCH("12",'Procyclean 520'!F288)),EDATE(AB2786,12),IF(ISNUMBER(SEARCH("6",'Procyclean 520'!F288)),EDATE(AB2786,6),IF(ISNUMBER(SEARCH("3",'Procyclean 520'!F288)),EDATE(AB2786,3),DATEVALUE('Procyclean 520'!F288))))),""))</f>
        <v/>
      </c>
      <c r="AM2786" t="str">
        <f t="shared" ca="1" si="280"/>
        <v/>
      </c>
    </row>
    <row r="2787" spans="27:39" x14ac:dyDescent="0.3">
      <c r="AA2787" t="str">
        <f>IF(COUNTA('Procyclean 520'!C289,'Procyclean 520'!D289,'Procyclean 520'!E289)&gt;0,"520","")</f>
        <v/>
      </c>
      <c r="AB2787" t="str">
        <f>IFERROR(IF(ISNUMBER('Procyclean 520'!C289),'Procyclean 520'!C289,DATEVALUE('Procyclean 520'!C289)),"")</f>
        <v/>
      </c>
      <c r="AC2787" t="str">
        <f>IF(AA2787="","",'Procyclean 520'!D289)</f>
        <v/>
      </c>
      <c r="AD2787" t="str">
        <f>IF(AA2787="","",IFERROR(1*'Procyclean 520'!E289,IFERROR(_xludf.NUMBERVALUE('Procyclean 520'!E289,".",","),IFERROR(_xludf.NUMBERVALUE('Procyclean 520'!E289,",","."),0))))</f>
        <v/>
      </c>
      <c r="AE2787" t="str">
        <f>IF(AA2787="","",'Procyclean 520'!B289)</f>
        <v/>
      </c>
      <c r="AF2787">
        <f t="shared" si="275"/>
        <v>0</v>
      </c>
      <c r="AG2787" t="str">
        <f t="shared" si="276"/>
        <v/>
      </c>
      <c r="AH2787" t="str">
        <f t="shared" si="277"/>
        <v/>
      </c>
      <c r="AI2787">
        <f t="shared" si="278"/>
        <v>0</v>
      </c>
      <c r="AJ2787">
        <f t="shared" si="279"/>
        <v>0</v>
      </c>
      <c r="AK2787">
        <v>0</v>
      </c>
      <c r="AL2787" t="str">
        <f>IF(AA2787="","",IFERROR(IF(ISNUMBER('Procyclean 520'!F289),'Procyclean 520'!F289,IF(ISNUMBER(SEARCH("12",'Procyclean 520'!F289)),EDATE(AB2787,12),IF(ISNUMBER(SEARCH("6",'Procyclean 520'!F289)),EDATE(AB2787,6),IF(ISNUMBER(SEARCH("3",'Procyclean 520'!F289)),EDATE(AB2787,3),DATEVALUE('Procyclean 520'!F289))))),""))</f>
        <v/>
      </c>
      <c r="AM2787" t="str">
        <f t="shared" ca="1" si="280"/>
        <v/>
      </c>
    </row>
    <row r="2788" spans="27:39" x14ac:dyDescent="0.3">
      <c r="AA2788" t="str">
        <f>IF(COUNTA('Procyclean 520'!C290,'Procyclean 520'!D290,'Procyclean 520'!E290)&gt;0,"520","")</f>
        <v/>
      </c>
      <c r="AB2788" t="str">
        <f>IFERROR(IF(ISNUMBER('Procyclean 520'!C290),'Procyclean 520'!C290,DATEVALUE('Procyclean 520'!C290)),"")</f>
        <v/>
      </c>
      <c r="AC2788" t="str">
        <f>IF(AA2788="","",'Procyclean 520'!D290)</f>
        <v/>
      </c>
      <c r="AD2788" t="str">
        <f>IF(AA2788="","",IFERROR(1*'Procyclean 520'!E290,IFERROR(_xludf.NUMBERVALUE('Procyclean 520'!E290,".",","),IFERROR(_xludf.NUMBERVALUE('Procyclean 520'!E290,",","."),0))))</f>
        <v/>
      </c>
      <c r="AE2788" t="str">
        <f>IF(AA2788="","",'Procyclean 520'!B290)</f>
        <v/>
      </c>
      <c r="AF2788">
        <f t="shared" si="275"/>
        <v>0</v>
      </c>
      <c r="AG2788" t="str">
        <f t="shared" si="276"/>
        <v/>
      </c>
      <c r="AH2788" t="str">
        <f t="shared" si="277"/>
        <v/>
      </c>
      <c r="AI2788">
        <f t="shared" si="278"/>
        <v>0</v>
      </c>
      <c r="AJ2788">
        <f t="shared" si="279"/>
        <v>0</v>
      </c>
      <c r="AK2788">
        <v>0</v>
      </c>
      <c r="AL2788" t="str">
        <f>IF(AA2788="","",IFERROR(IF(ISNUMBER('Procyclean 520'!F290),'Procyclean 520'!F290,IF(ISNUMBER(SEARCH("12",'Procyclean 520'!F290)),EDATE(AB2788,12),IF(ISNUMBER(SEARCH("6",'Procyclean 520'!F290)),EDATE(AB2788,6),IF(ISNUMBER(SEARCH("3",'Procyclean 520'!F290)),EDATE(AB2788,3),DATEVALUE('Procyclean 520'!F290))))),""))</f>
        <v/>
      </c>
      <c r="AM2788" t="str">
        <f t="shared" ca="1" si="280"/>
        <v/>
      </c>
    </row>
    <row r="2789" spans="27:39" x14ac:dyDescent="0.3">
      <c r="AA2789" t="str">
        <f>IF(COUNTA('Procyclean 520'!C291,'Procyclean 520'!D291,'Procyclean 520'!E291)&gt;0,"520","")</f>
        <v/>
      </c>
      <c r="AB2789" t="str">
        <f>IFERROR(IF(ISNUMBER('Procyclean 520'!C291),'Procyclean 520'!C291,DATEVALUE('Procyclean 520'!C291)),"")</f>
        <v/>
      </c>
      <c r="AC2789" t="str">
        <f>IF(AA2789="","",'Procyclean 520'!D291)</f>
        <v/>
      </c>
      <c r="AD2789" t="str">
        <f>IF(AA2789="","",IFERROR(1*'Procyclean 520'!E291,IFERROR(_xludf.NUMBERVALUE('Procyclean 520'!E291,".",","),IFERROR(_xludf.NUMBERVALUE('Procyclean 520'!E291,",","."),0))))</f>
        <v/>
      </c>
      <c r="AE2789" t="str">
        <f>IF(AA2789="","",'Procyclean 520'!B291)</f>
        <v/>
      </c>
      <c r="AF2789">
        <f t="shared" si="275"/>
        <v>0</v>
      </c>
      <c r="AG2789" t="str">
        <f t="shared" si="276"/>
        <v/>
      </c>
      <c r="AH2789" t="str">
        <f t="shared" si="277"/>
        <v/>
      </c>
      <c r="AI2789">
        <f t="shared" si="278"/>
        <v>0</v>
      </c>
      <c r="AJ2789">
        <f t="shared" si="279"/>
        <v>0</v>
      </c>
      <c r="AK2789">
        <v>0</v>
      </c>
      <c r="AL2789" t="str">
        <f>IF(AA2789="","",IFERROR(IF(ISNUMBER('Procyclean 520'!F291),'Procyclean 520'!F291,IF(ISNUMBER(SEARCH("12",'Procyclean 520'!F291)),EDATE(AB2789,12),IF(ISNUMBER(SEARCH("6",'Procyclean 520'!F291)),EDATE(AB2789,6),IF(ISNUMBER(SEARCH("3",'Procyclean 520'!F291)),EDATE(AB2789,3),DATEVALUE('Procyclean 520'!F291))))),""))</f>
        <v/>
      </c>
      <c r="AM2789" t="str">
        <f t="shared" ca="1" si="280"/>
        <v/>
      </c>
    </row>
    <row r="2790" spans="27:39" x14ac:dyDescent="0.3">
      <c r="AA2790" t="str">
        <f>IF(COUNTA('Procyclean 520'!C292,'Procyclean 520'!D292,'Procyclean 520'!E292)&gt;0,"520","")</f>
        <v/>
      </c>
      <c r="AB2790" t="str">
        <f>IFERROR(IF(ISNUMBER('Procyclean 520'!C292),'Procyclean 520'!C292,DATEVALUE('Procyclean 520'!C292)),"")</f>
        <v/>
      </c>
      <c r="AC2790" t="str">
        <f>IF(AA2790="","",'Procyclean 520'!D292)</f>
        <v/>
      </c>
      <c r="AD2790" t="str">
        <f>IF(AA2790="","",IFERROR(1*'Procyclean 520'!E292,IFERROR(_xludf.NUMBERVALUE('Procyclean 520'!E292,".",","),IFERROR(_xludf.NUMBERVALUE('Procyclean 520'!E292,",","."),0))))</f>
        <v/>
      </c>
      <c r="AE2790" t="str">
        <f>IF(AA2790="","",'Procyclean 520'!B292)</f>
        <v/>
      </c>
      <c r="AF2790">
        <f t="shared" si="275"/>
        <v>0</v>
      </c>
      <c r="AG2790" t="str">
        <f t="shared" si="276"/>
        <v/>
      </c>
      <c r="AH2790" t="str">
        <f t="shared" si="277"/>
        <v/>
      </c>
      <c r="AI2790">
        <f t="shared" si="278"/>
        <v>0</v>
      </c>
      <c r="AJ2790">
        <f t="shared" si="279"/>
        <v>0</v>
      </c>
      <c r="AK2790">
        <v>0</v>
      </c>
      <c r="AL2790" t="str">
        <f>IF(AA2790="","",IFERROR(IF(ISNUMBER('Procyclean 520'!F292),'Procyclean 520'!F292,IF(ISNUMBER(SEARCH("12",'Procyclean 520'!F292)),EDATE(AB2790,12),IF(ISNUMBER(SEARCH("6",'Procyclean 520'!F292)),EDATE(AB2790,6),IF(ISNUMBER(SEARCH("3",'Procyclean 520'!F292)),EDATE(AB2790,3),DATEVALUE('Procyclean 520'!F292))))),""))</f>
        <v/>
      </c>
      <c r="AM2790" t="str">
        <f t="shared" ca="1" si="280"/>
        <v/>
      </c>
    </row>
    <row r="2791" spans="27:39" x14ac:dyDescent="0.3">
      <c r="AA2791" t="str">
        <f>IF(COUNTA('Procyclean 520'!C293,'Procyclean 520'!D293,'Procyclean 520'!E293)&gt;0,"520","")</f>
        <v/>
      </c>
      <c r="AB2791" t="str">
        <f>IFERROR(IF(ISNUMBER('Procyclean 520'!C293),'Procyclean 520'!C293,DATEVALUE('Procyclean 520'!C293)),"")</f>
        <v/>
      </c>
      <c r="AC2791" t="str">
        <f>IF(AA2791="","",'Procyclean 520'!D293)</f>
        <v/>
      </c>
      <c r="AD2791" t="str">
        <f>IF(AA2791="","",IFERROR(1*'Procyclean 520'!E293,IFERROR(_xludf.NUMBERVALUE('Procyclean 520'!E293,".",","),IFERROR(_xludf.NUMBERVALUE('Procyclean 520'!E293,",","."),0))))</f>
        <v/>
      </c>
      <c r="AE2791" t="str">
        <f>IF(AA2791="","",'Procyclean 520'!B293)</f>
        <v/>
      </c>
      <c r="AF2791">
        <f t="shared" si="275"/>
        <v>0</v>
      </c>
      <c r="AG2791" t="str">
        <f t="shared" si="276"/>
        <v/>
      </c>
      <c r="AH2791" t="str">
        <f t="shared" si="277"/>
        <v/>
      </c>
      <c r="AI2791">
        <f t="shared" si="278"/>
        <v>0</v>
      </c>
      <c r="AJ2791">
        <f t="shared" si="279"/>
        <v>0</v>
      </c>
      <c r="AK2791">
        <v>0</v>
      </c>
      <c r="AL2791" t="str">
        <f>IF(AA2791="","",IFERROR(IF(ISNUMBER('Procyclean 520'!F293),'Procyclean 520'!F293,IF(ISNUMBER(SEARCH("12",'Procyclean 520'!F293)),EDATE(AB2791,12),IF(ISNUMBER(SEARCH("6",'Procyclean 520'!F293)),EDATE(AB2791,6),IF(ISNUMBER(SEARCH("3",'Procyclean 520'!F293)),EDATE(AB2791,3),DATEVALUE('Procyclean 520'!F293))))),""))</f>
        <v/>
      </c>
      <c r="AM2791" t="str">
        <f t="shared" ca="1" si="280"/>
        <v/>
      </c>
    </row>
    <row r="2792" spans="27:39" x14ac:dyDescent="0.3">
      <c r="AA2792" t="str">
        <f>IF(COUNTA('Procyclean 520'!C294,'Procyclean 520'!D294,'Procyclean 520'!E294)&gt;0,"520","")</f>
        <v/>
      </c>
      <c r="AB2792" t="str">
        <f>IFERROR(IF(ISNUMBER('Procyclean 520'!C294),'Procyclean 520'!C294,DATEVALUE('Procyclean 520'!C294)),"")</f>
        <v/>
      </c>
      <c r="AC2792" t="str">
        <f>IF(AA2792="","",'Procyclean 520'!D294)</f>
        <v/>
      </c>
      <c r="AD2792" t="str">
        <f>IF(AA2792="","",IFERROR(1*'Procyclean 520'!E294,IFERROR(_xludf.NUMBERVALUE('Procyclean 520'!E294,".",","),IFERROR(_xludf.NUMBERVALUE('Procyclean 520'!E294,",","."),0))))</f>
        <v/>
      </c>
      <c r="AE2792" t="str">
        <f>IF(AA2792="","",'Procyclean 520'!B294)</f>
        <v/>
      </c>
      <c r="AF2792">
        <f t="shared" si="275"/>
        <v>0</v>
      </c>
      <c r="AG2792" t="str">
        <f t="shared" si="276"/>
        <v/>
      </c>
      <c r="AH2792" t="str">
        <f t="shared" si="277"/>
        <v/>
      </c>
      <c r="AI2792">
        <f t="shared" si="278"/>
        <v>0</v>
      </c>
      <c r="AJ2792">
        <f t="shared" si="279"/>
        <v>0</v>
      </c>
      <c r="AK2792">
        <v>0</v>
      </c>
      <c r="AL2792" t="str">
        <f>IF(AA2792="","",IFERROR(IF(ISNUMBER('Procyclean 520'!F294),'Procyclean 520'!F294,IF(ISNUMBER(SEARCH("12",'Procyclean 520'!F294)),EDATE(AB2792,12),IF(ISNUMBER(SEARCH("6",'Procyclean 520'!F294)),EDATE(AB2792,6),IF(ISNUMBER(SEARCH("3",'Procyclean 520'!F294)),EDATE(AB2792,3),DATEVALUE('Procyclean 520'!F294))))),""))</f>
        <v/>
      </c>
      <c r="AM2792" t="str">
        <f t="shared" ca="1" si="280"/>
        <v/>
      </c>
    </row>
    <row r="2793" spans="27:39" x14ac:dyDescent="0.3">
      <c r="AA2793" t="str">
        <f>IF(COUNTA('Procyclean 520'!C295,'Procyclean 520'!D295,'Procyclean 520'!E295)&gt;0,"520","")</f>
        <v/>
      </c>
      <c r="AB2793" t="str">
        <f>IFERROR(IF(ISNUMBER('Procyclean 520'!C295),'Procyclean 520'!C295,DATEVALUE('Procyclean 520'!C295)),"")</f>
        <v/>
      </c>
      <c r="AC2793" t="str">
        <f>IF(AA2793="","",'Procyclean 520'!D295)</f>
        <v/>
      </c>
      <c r="AD2793" t="str">
        <f>IF(AA2793="","",IFERROR(1*'Procyclean 520'!E295,IFERROR(_xludf.NUMBERVALUE('Procyclean 520'!E295,".",","),IFERROR(_xludf.NUMBERVALUE('Procyclean 520'!E295,",","."),0))))</f>
        <v/>
      </c>
      <c r="AE2793" t="str">
        <f>IF(AA2793="","",'Procyclean 520'!B295)</f>
        <v/>
      </c>
      <c r="AF2793">
        <f t="shared" si="275"/>
        <v>0</v>
      </c>
      <c r="AG2793" t="str">
        <f t="shared" si="276"/>
        <v/>
      </c>
      <c r="AH2793" t="str">
        <f t="shared" si="277"/>
        <v/>
      </c>
      <c r="AI2793">
        <f t="shared" si="278"/>
        <v>0</v>
      </c>
      <c r="AJ2793">
        <f t="shared" si="279"/>
        <v>0</v>
      </c>
      <c r="AK2793">
        <v>0</v>
      </c>
      <c r="AL2793" t="str">
        <f>IF(AA2793="","",IFERROR(IF(ISNUMBER('Procyclean 520'!F295),'Procyclean 520'!F295,IF(ISNUMBER(SEARCH("12",'Procyclean 520'!F295)),EDATE(AB2793,12),IF(ISNUMBER(SEARCH("6",'Procyclean 520'!F295)),EDATE(AB2793,6),IF(ISNUMBER(SEARCH("3",'Procyclean 520'!F295)),EDATE(AB2793,3),DATEVALUE('Procyclean 520'!F295))))),""))</f>
        <v/>
      </c>
      <c r="AM2793" t="str">
        <f t="shared" ca="1" si="280"/>
        <v/>
      </c>
    </row>
    <row r="2794" spans="27:39" x14ac:dyDescent="0.3">
      <c r="AA2794" t="str">
        <f>IF(COUNTA('Procyclean 520'!C296,'Procyclean 520'!D296,'Procyclean 520'!E296)&gt;0,"520","")</f>
        <v/>
      </c>
      <c r="AB2794" t="str">
        <f>IFERROR(IF(ISNUMBER('Procyclean 520'!C296),'Procyclean 520'!C296,DATEVALUE('Procyclean 520'!C296)),"")</f>
        <v/>
      </c>
      <c r="AC2794" t="str">
        <f>IF(AA2794="","",'Procyclean 520'!D296)</f>
        <v/>
      </c>
      <c r="AD2794" t="str">
        <f>IF(AA2794="","",IFERROR(1*'Procyclean 520'!E296,IFERROR(_xludf.NUMBERVALUE('Procyclean 520'!E296,".",","),IFERROR(_xludf.NUMBERVALUE('Procyclean 520'!E296,",","."),0))))</f>
        <v/>
      </c>
      <c r="AE2794" t="str">
        <f>IF(AA2794="","",'Procyclean 520'!B296)</f>
        <v/>
      </c>
      <c r="AF2794">
        <f t="shared" si="275"/>
        <v>0</v>
      </c>
      <c r="AG2794" t="str">
        <f t="shared" si="276"/>
        <v/>
      </c>
      <c r="AH2794" t="str">
        <f t="shared" si="277"/>
        <v/>
      </c>
      <c r="AI2794">
        <f t="shared" si="278"/>
        <v>0</v>
      </c>
      <c r="AJ2794">
        <f t="shared" si="279"/>
        <v>0</v>
      </c>
      <c r="AK2794">
        <v>0</v>
      </c>
      <c r="AL2794" t="str">
        <f>IF(AA2794="","",IFERROR(IF(ISNUMBER('Procyclean 520'!F296),'Procyclean 520'!F296,IF(ISNUMBER(SEARCH("12",'Procyclean 520'!F296)),EDATE(AB2794,12),IF(ISNUMBER(SEARCH("6",'Procyclean 520'!F296)),EDATE(AB2794,6),IF(ISNUMBER(SEARCH("3",'Procyclean 520'!F296)),EDATE(AB2794,3),DATEVALUE('Procyclean 520'!F296))))),""))</f>
        <v/>
      </c>
      <c r="AM2794" t="str">
        <f t="shared" ca="1" si="280"/>
        <v/>
      </c>
    </row>
    <row r="2795" spans="27:39" x14ac:dyDescent="0.3">
      <c r="AA2795" t="str">
        <f>IF(COUNTA('Procyclean 520'!C297,'Procyclean 520'!D297,'Procyclean 520'!E297)&gt;0,"520","")</f>
        <v/>
      </c>
      <c r="AB2795" t="str">
        <f>IFERROR(IF(ISNUMBER('Procyclean 520'!C297),'Procyclean 520'!C297,DATEVALUE('Procyclean 520'!C297)),"")</f>
        <v/>
      </c>
      <c r="AC2795" t="str">
        <f>IF(AA2795="","",'Procyclean 520'!D297)</f>
        <v/>
      </c>
      <c r="AD2795" t="str">
        <f>IF(AA2795="","",IFERROR(1*'Procyclean 520'!E297,IFERROR(_xludf.NUMBERVALUE('Procyclean 520'!E297,".",","),IFERROR(_xludf.NUMBERVALUE('Procyclean 520'!E297,",","."),0))))</f>
        <v/>
      </c>
      <c r="AE2795" t="str">
        <f>IF(AA2795="","",'Procyclean 520'!B297)</f>
        <v/>
      </c>
      <c r="AF2795">
        <f t="shared" si="275"/>
        <v>0</v>
      </c>
      <c r="AG2795" t="str">
        <f t="shared" si="276"/>
        <v/>
      </c>
      <c r="AH2795" t="str">
        <f t="shared" si="277"/>
        <v/>
      </c>
      <c r="AI2795">
        <f t="shared" si="278"/>
        <v>0</v>
      </c>
      <c r="AJ2795">
        <f t="shared" si="279"/>
        <v>0</v>
      </c>
      <c r="AK2795">
        <v>0</v>
      </c>
      <c r="AL2795" t="str">
        <f>IF(AA2795="","",IFERROR(IF(ISNUMBER('Procyclean 520'!F297),'Procyclean 520'!F297,IF(ISNUMBER(SEARCH("12",'Procyclean 520'!F297)),EDATE(AB2795,12),IF(ISNUMBER(SEARCH("6",'Procyclean 520'!F297)),EDATE(AB2795,6),IF(ISNUMBER(SEARCH("3",'Procyclean 520'!F297)),EDATE(AB2795,3),DATEVALUE('Procyclean 520'!F297))))),""))</f>
        <v/>
      </c>
      <c r="AM2795" t="str">
        <f t="shared" ca="1" si="280"/>
        <v/>
      </c>
    </row>
    <row r="2796" spans="27:39" x14ac:dyDescent="0.3">
      <c r="AA2796" t="str">
        <f>IF(COUNTA('Procyclean 520'!C298,'Procyclean 520'!D298,'Procyclean 520'!E298)&gt;0,"520","")</f>
        <v/>
      </c>
      <c r="AB2796" t="str">
        <f>IFERROR(IF(ISNUMBER('Procyclean 520'!C298),'Procyclean 520'!C298,DATEVALUE('Procyclean 520'!C298)),"")</f>
        <v/>
      </c>
      <c r="AC2796" t="str">
        <f>IF(AA2796="","",'Procyclean 520'!D298)</f>
        <v/>
      </c>
      <c r="AD2796" t="str">
        <f>IF(AA2796="","",IFERROR(1*'Procyclean 520'!E298,IFERROR(_xludf.NUMBERVALUE('Procyclean 520'!E298,".",","),IFERROR(_xludf.NUMBERVALUE('Procyclean 520'!E298,",","."),0))))</f>
        <v/>
      </c>
      <c r="AE2796" t="str">
        <f>IF(AA2796="","",'Procyclean 520'!B298)</f>
        <v/>
      </c>
      <c r="AF2796">
        <f t="shared" si="275"/>
        <v>0</v>
      </c>
      <c r="AG2796" t="str">
        <f t="shared" si="276"/>
        <v/>
      </c>
      <c r="AH2796" t="str">
        <f t="shared" si="277"/>
        <v/>
      </c>
      <c r="AI2796">
        <f t="shared" si="278"/>
        <v>0</v>
      </c>
      <c r="AJ2796">
        <f t="shared" si="279"/>
        <v>0</v>
      </c>
      <c r="AK2796">
        <v>0</v>
      </c>
      <c r="AL2796" t="str">
        <f>IF(AA2796="","",IFERROR(IF(ISNUMBER('Procyclean 520'!F298),'Procyclean 520'!F298,IF(ISNUMBER(SEARCH("12",'Procyclean 520'!F298)),EDATE(AB2796,12),IF(ISNUMBER(SEARCH("6",'Procyclean 520'!F298)),EDATE(AB2796,6),IF(ISNUMBER(SEARCH("3",'Procyclean 520'!F298)),EDATE(AB2796,3),DATEVALUE('Procyclean 520'!F298))))),""))</f>
        <v/>
      </c>
      <c r="AM2796" t="str">
        <f t="shared" ca="1" si="280"/>
        <v/>
      </c>
    </row>
    <row r="2797" spans="27:39" x14ac:dyDescent="0.3">
      <c r="AA2797" t="str">
        <f>IF(COUNTA('Procyclean 520'!C299,'Procyclean 520'!D299,'Procyclean 520'!E299)&gt;0,"520","")</f>
        <v/>
      </c>
      <c r="AB2797" t="str">
        <f>IFERROR(IF(ISNUMBER('Procyclean 520'!C299),'Procyclean 520'!C299,DATEVALUE('Procyclean 520'!C299)),"")</f>
        <v/>
      </c>
      <c r="AC2797" t="str">
        <f>IF(AA2797="","",'Procyclean 520'!D299)</f>
        <v/>
      </c>
      <c r="AD2797" t="str">
        <f>IF(AA2797="","",IFERROR(1*'Procyclean 520'!E299,IFERROR(_xludf.NUMBERVALUE('Procyclean 520'!E299,".",","),IFERROR(_xludf.NUMBERVALUE('Procyclean 520'!E299,",","."),0))))</f>
        <v/>
      </c>
      <c r="AE2797" t="str">
        <f>IF(AA2797="","",'Procyclean 520'!B299)</f>
        <v/>
      </c>
      <c r="AF2797">
        <f t="shared" si="275"/>
        <v>0</v>
      </c>
      <c r="AG2797" t="str">
        <f t="shared" si="276"/>
        <v/>
      </c>
      <c r="AH2797" t="str">
        <f t="shared" si="277"/>
        <v/>
      </c>
      <c r="AI2797">
        <f t="shared" si="278"/>
        <v>0</v>
      </c>
      <c r="AJ2797">
        <f t="shared" si="279"/>
        <v>0</v>
      </c>
      <c r="AK2797">
        <v>0</v>
      </c>
      <c r="AL2797" t="str">
        <f>IF(AA2797="","",IFERROR(IF(ISNUMBER('Procyclean 520'!F299),'Procyclean 520'!F299,IF(ISNUMBER(SEARCH("12",'Procyclean 520'!F299)),EDATE(AB2797,12),IF(ISNUMBER(SEARCH("6",'Procyclean 520'!F299)),EDATE(AB2797,6),IF(ISNUMBER(SEARCH("3",'Procyclean 520'!F299)),EDATE(AB2797,3),DATEVALUE('Procyclean 520'!F299))))),""))</f>
        <v/>
      </c>
      <c r="AM2797" t="str">
        <f t="shared" ca="1" si="280"/>
        <v/>
      </c>
    </row>
    <row r="2798" spans="27:39" x14ac:dyDescent="0.3">
      <c r="AA2798" t="str">
        <f>IF(COUNTA('Procyclean 520'!C300,'Procyclean 520'!D300,'Procyclean 520'!E300)&gt;0,"520","")</f>
        <v/>
      </c>
      <c r="AB2798" t="str">
        <f>IFERROR(IF(ISNUMBER('Procyclean 520'!C300),'Procyclean 520'!C300,DATEVALUE('Procyclean 520'!C300)),"")</f>
        <v/>
      </c>
      <c r="AC2798" t="str">
        <f>IF(AA2798="","",'Procyclean 520'!D300)</f>
        <v/>
      </c>
      <c r="AD2798" t="str">
        <f>IF(AA2798="","",IFERROR(1*'Procyclean 520'!E300,IFERROR(_xludf.NUMBERVALUE('Procyclean 520'!E300,".",","),IFERROR(_xludf.NUMBERVALUE('Procyclean 520'!E300,",","."),0))))</f>
        <v/>
      </c>
      <c r="AE2798" t="str">
        <f>IF(AA2798="","",'Procyclean 520'!B300)</f>
        <v/>
      </c>
      <c r="AF2798">
        <f t="shared" si="275"/>
        <v>0</v>
      </c>
      <c r="AG2798" t="str">
        <f t="shared" si="276"/>
        <v/>
      </c>
      <c r="AH2798" t="str">
        <f t="shared" si="277"/>
        <v/>
      </c>
      <c r="AI2798">
        <f t="shared" si="278"/>
        <v>0</v>
      </c>
      <c r="AJ2798">
        <f t="shared" si="279"/>
        <v>0</v>
      </c>
      <c r="AK2798">
        <v>0</v>
      </c>
      <c r="AL2798" t="str">
        <f>IF(AA2798="","",IFERROR(IF(ISNUMBER('Procyclean 520'!F300),'Procyclean 520'!F300,IF(ISNUMBER(SEARCH("12",'Procyclean 520'!F300)),EDATE(AB2798,12),IF(ISNUMBER(SEARCH("6",'Procyclean 520'!F300)),EDATE(AB2798,6),IF(ISNUMBER(SEARCH("3",'Procyclean 520'!F300)),EDATE(AB2798,3),DATEVALUE('Procyclean 520'!F300))))),""))</f>
        <v/>
      </c>
      <c r="AM2798" t="str">
        <f t="shared" ca="1" si="280"/>
        <v/>
      </c>
    </row>
    <row r="2799" spans="27:39" x14ac:dyDescent="0.3">
      <c r="AA2799" t="str">
        <f>IF(COUNTA('Procyclean 520'!C301,'Procyclean 520'!D301,'Procyclean 520'!E301)&gt;0,"520","")</f>
        <v/>
      </c>
      <c r="AB2799" t="str">
        <f>IFERROR(IF(ISNUMBER('Procyclean 520'!C301),'Procyclean 520'!C301,DATEVALUE('Procyclean 520'!C301)),"")</f>
        <v/>
      </c>
      <c r="AC2799" t="str">
        <f>IF(AA2799="","",'Procyclean 520'!D301)</f>
        <v/>
      </c>
      <c r="AD2799" t="str">
        <f>IF(AA2799="","",IFERROR(1*'Procyclean 520'!E301,IFERROR(_xludf.NUMBERVALUE('Procyclean 520'!E301,".",","),IFERROR(_xludf.NUMBERVALUE('Procyclean 520'!E301,",","."),0))))</f>
        <v/>
      </c>
      <c r="AE2799" t="str">
        <f>IF(AA2799="","",'Procyclean 520'!B301)</f>
        <v/>
      </c>
      <c r="AF2799">
        <f t="shared" si="275"/>
        <v>0</v>
      </c>
      <c r="AG2799" t="str">
        <f t="shared" si="276"/>
        <v/>
      </c>
      <c r="AH2799" t="str">
        <f t="shared" si="277"/>
        <v/>
      </c>
      <c r="AI2799">
        <f t="shared" si="278"/>
        <v>0</v>
      </c>
      <c r="AJ2799">
        <f t="shared" si="279"/>
        <v>0</v>
      </c>
      <c r="AK2799">
        <v>0</v>
      </c>
      <c r="AL2799" t="str">
        <f>IF(AA2799="","",IFERROR(IF(ISNUMBER('Procyclean 520'!F301),'Procyclean 520'!F301,IF(ISNUMBER(SEARCH("12",'Procyclean 520'!F301)),EDATE(AB2799,12),IF(ISNUMBER(SEARCH("6",'Procyclean 520'!F301)),EDATE(AB2799,6),IF(ISNUMBER(SEARCH("3",'Procyclean 520'!F301)),EDATE(AB2799,3),DATEVALUE('Procyclean 520'!F301))))),""))</f>
        <v/>
      </c>
      <c r="AM2799" t="str">
        <f t="shared" ca="1" si="280"/>
        <v/>
      </c>
    </row>
    <row r="2800" spans="27:39" x14ac:dyDescent="0.3">
      <c r="AA2800" t="str">
        <f>IF(COUNTA('Procyclean 520'!C302,'Procyclean 520'!D302,'Procyclean 520'!E302)&gt;0,"520","")</f>
        <v/>
      </c>
      <c r="AB2800" t="str">
        <f>IFERROR(IF(ISNUMBER('Procyclean 520'!C302),'Procyclean 520'!C302,DATEVALUE('Procyclean 520'!C302)),"")</f>
        <v/>
      </c>
      <c r="AC2800" t="str">
        <f>IF(AA2800="","",'Procyclean 520'!D302)</f>
        <v/>
      </c>
      <c r="AD2800" t="str">
        <f>IF(AA2800="","",IFERROR(1*'Procyclean 520'!E302,IFERROR(_xludf.NUMBERVALUE('Procyclean 520'!E302,".",","),IFERROR(_xludf.NUMBERVALUE('Procyclean 520'!E302,",","."),0))))</f>
        <v/>
      </c>
      <c r="AE2800" t="str">
        <f>IF(AA2800="","",'Procyclean 520'!B302)</f>
        <v/>
      </c>
      <c r="AF2800">
        <f t="shared" si="275"/>
        <v>0</v>
      </c>
      <c r="AG2800" t="str">
        <f t="shared" si="276"/>
        <v/>
      </c>
      <c r="AH2800" t="str">
        <f t="shared" si="277"/>
        <v/>
      </c>
      <c r="AI2800">
        <f t="shared" si="278"/>
        <v>0</v>
      </c>
      <c r="AJ2800">
        <f t="shared" si="279"/>
        <v>0</v>
      </c>
      <c r="AK2800">
        <v>0</v>
      </c>
      <c r="AL2800" t="str">
        <f>IF(AA2800="","",IFERROR(IF(ISNUMBER('Procyclean 520'!F302),'Procyclean 520'!F302,IF(ISNUMBER(SEARCH("12",'Procyclean 520'!F302)),EDATE(AB2800,12),IF(ISNUMBER(SEARCH("6",'Procyclean 520'!F302)),EDATE(AB2800,6),IF(ISNUMBER(SEARCH("3",'Procyclean 520'!F302)),EDATE(AB2800,3),DATEVALUE('Procyclean 520'!F302))))),""))</f>
        <v/>
      </c>
      <c r="AM2800" t="str">
        <f t="shared" ca="1" si="280"/>
        <v/>
      </c>
    </row>
    <row r="2801" spans="27:39" x14ac:dyDescent="0.3">
      <c r="AA2801" t="str">
        <f>IF(COUNTA('Procyclean 520'!C303,'Procyclean 520'!D303,'Procyclean 520'!E303)&gt;0,"520","")</f>
        <v/>
      </c>
      <c r="AB2801" t="str">
        <f>IFERROR(IF(ISNUMBER('Procyclean 520'!C303),'Procyclean 520'!C303,DATEVALUE('Procyclean 520'!C303)),"")</f>
        <v/>
      </c>
      <c r="AC2801" t="str">
        <f>IF(AA2801="","",'Procyclean 520'!D303)</f>
        <v/>
      </c>
      <c r="AD2801" t="str">
        <f>IF(AA2801="","",IFERROR(1*'Procyclean 520'!E303,IFERROR(_xludf.NUMBERVALUE('Procyclean 520'!E303,".",","),IFERROR(_xludf.NUMBERVALUE('Procyclean 520'!E303,",","."),0))))</f>
        <v/>
      </c>
      <c r="AE2801" t="str">
        <f>IF(AA2801="","",'Procyclean 520'!B303)</f>
        <v/>
      </c>
      <c r="AF2801">
        <f t="shared" si="275"/>
        <v>0</v>
      </c>
      <c r="AG2801" t="str">
        <f t="shared" si="276"/>
        <v/>
      </c>
      <c r="AH2801" t="str">
        <f t="shared" si="277"/>
        <v/>
      </c>
      <c r="AI2801">
        <f t="shared" si="278"/>
        <v>0</v>
      </c>
      <c r="AJ2801">
        <f t="shared" si="279"/>
        <v>0</v>
      </c>
      <c r="AK2801">
        <v>0</v>
      </c>
      <c r="AL2801" t="str">
        <f>IF(AA2801="","",IFERROR(IF(ISNUMBER('Procyclean 520'!F303),'Procyclean 520'!F303,IF(ISNUMBER(SEARCH("12",'Procyclean 520'!F303)),EDATE(AB2801,12),IF(ISNUMBER(SEARCH("6",'Procyclean 520'!F303)),EDATE(AB2801,6),IF(ISNUMBER(SEARCH("3",'Procyclean 520'!F303)),EDATE(AB2801,3),DATEVALUE('Procyclean 520'!F303))))),""))</f>
        <v/>
      </c>
      <c r="AM2801" t="str">
        <f t="shared" ca="1" si="280"/>
        <v/>
      </c>
    </row>
    <row r="2802" spans="27:39" x14ac:dyDescent="0.3">
      <c r="AA2802" t="str">
        <f>IF(COUNTA('Procyclean 520'!C304,'Procyclean 520'!D304,'Procyclean 520'!E304)&gt;0,"520","")</f>
        <v/>
      </c>
      <c r="AB2802" t="str">
        <f>IFERROR(IF(ISNUMBER('Procyclean 520'!C304),'Procyclean 520'!C304,DATEVALUE('Procyclean 520'!C304)),"")</f>
        <v/>
      </c>
      <c r="AC2802" t="str">
        <f>IF(AA2802="","",'Procyclean 520'!D304)</f>
        <v/>
      </c>
      <c r="AD2802" t="str">
        <f>IF(AA2802="","",IFERROR(1*'Procyclean 520'!E304,IFERROR(_xludf.NUMBERVALUE('Procyclean 520'!E304,".",","),IFERROR(_xludf.NUMBERVALUE('Procyclean 520'!E304,",","."),0))))</f>
        <v/>
      </c>
      <c r="AE2802" t="str">
        <f>IF(AA2802="","",'Procyclean 520'!B304)</f>
        <v/>
      </c>
      <c r="AF2802">
        <f t="shared" si="275"/>
        <v>0</v>
      </c>
      <c r="AG2802" t="str">
        <f t="shared" si="276"/>
        <v/>
      </c>
      <c r="AH2802" t="str">
        <f t="shared" si="277"/>
        <v/>
      </c>
      <c r="AI2802">
        <f t="shared" si="278"/>
        <v>0</v>
      </c>
      <c r="AJ2802">
        <f t="shared" si="279"/>
        <v>0</v>
      </c>
      <c r="AK2802">
        <v>0</v>
      </c>
      <c r="AL2802" t="str">
        <f>IF(AA2802="","",IFERROR(IF(ISNUMBER('Procyclean 520'!F304),'Procyclean 520'!F304,IF(ISNUMBER(SEARCH("12",'Procyclean 520'!F304)),EDATE(AB2802,12),IF(ISNUMBER(SEARCH("6",'Procyclean 520'!F304)),EDATE(AB2802,6),IF(ISNUMBER(SEARCH("3",'Procyclean 520'!F304)),EDATE(AB2802,3),DATEVALUE('Procyclean 520'!F304))))),""))</f>
        <v/>
      </c>
      <c r="AM2802" t="str">
        <f t="shared" ca="1" si="280"/>
        <v/>
      </c>
    </row>
    <row r="2803" spans="27:39" x14ac:dyDescent="0.3">
      <c r="AA2803" t="str">
        <f>IF(COUNTA('Procyclean 520'!C305,'Procyclean 520'!D305,'Procyclean 520'!E305)&gt;0,"520","")</f>
        <v/>
      </c>
      <c r="AB2803" t="str">
        <f>IFERROR(IF(ISNUMBER('Procyclean 520'!C305),'Procyclean 520'!C305,DATEVALUE('Procyclean 520'!C305)),"")</f>
        <v/>
      </c>
      <c r="AC2803" t="str">
        <f>IF(AA2803="","",'Procyclean 520'!D305)</f>
        <v/>
      </c>
      <c r="AD2803" t="str">
        <f>IF(AA2803="","",IFERROR(1*'Procyclean 520'!E305,IFERROR(_xludf.NUMBERVALUE('Procyclean 520'!E305,".",","),IFERROR(_xludf.NUMBERVALUE('Procyclean 520'!E305,",","."),0))))</f>
        <v/>
      </c>
      <c r="AE2803" t="str">
        <f>IF(AA2803="","",'Procyclean 520'!B305)</f>
        <v/>
      </c>
      <c r="AF2803">
        <f t="shared" si="275"/>
        <v>0</v>
      </c>
      <c r="AG2803" t="str">
        <f t="shared" si="276"/>
        <v/>
      </c>
      <c r="AH2803" t="str">
        <f t="shared" si="277"/>
        <v/>
      </c>
      <c r="AI2803">
        <f t="shared" si="278"/>
        <v>0</v>
      </c>
      <c r="AJ2803">
        <f t="shared" si="279"/>
        <v>0</v>
      </c>
      <c r="AK2803">
        <v>0</v>
      </c>
      <c r="AL2803" t="str">
        <f>IF(AA2803="","",IFERROR(IF(ISNUMBER('Procyclean 520'!F305),'Procyclean 520'!F305,IF(ISNUMBER(SEARCH("12",'Procyclean 520'!F305)),EDATE(AB2803,12),IF(ISNUMBER(SEARCH("6",'Procyclean 520'!F305)),EDATE(AB2803,6),IF(ISNUMBER(SEARCH("3",'Procyclean 520'!F305)),EDATE(AB2803,3),DATEVALUE('Procyclean 520'!F305))))),""))</f>
        <v/>
      </c>
      <c r="AM2803" t="str">
        <f t="shared" ca="1" si="280"/>
        <v/>
      </c>
    </row>
    <row r="2804" spans="27:39" x14ac:dyDescent="0.3">
      <c r="AA2804" t="str">
        <f>IF(COUNTA('Procyclean 520'!C306,'Procyclean 520'!D306,'Procyclean 520'!E306)&gt;0,"520","")</f>
        <v/>
      </c>
      <c r="AB2804" t="str">
        <f>IFERROR(IF(ISNUMBER('Procyclean 520'!C306),'Procyclean 520'!C306,DATEVALUE('Procyclean 520'!C306)),"")</f>
        <v/>
      </c>
      <c r="AC2804" t="str">
        <f>IF(AA2804="","",'Procyclean 520'!D306)</f>
        <v/>
      </c>
      <c r="AD2804" t="str">
        <f>IF(AA2804="","",IFERROR(1*'Procyclean 520'!E306,IFERROR(_xludf.NUMBERVALUE('Procyclean 520'!E306,".",","),IFERROR(_xludf.NUMBERVALUE('Procyclean 520'!E306,",","."),0))))</f>
        <v/>
      </c>
      <c r="AE2804" t="str">
        <f>IF(AA2804="","",'Procyclean 520'!B306)</f>
        <v/>
      </c>
      <c r="AF2804">
        <f t="shared" si="275"/>
        <v>0</v>
      </c>
      <c r="AG2804" t="str">
        <f t="shared" si="276"/>
        <v/>
      </c>
      <c r="AH2804" t="str">
        <f t="shared" si="277"/>
        <v/>
      </c>
      <c r="AI2804">
        <f t="shared" si="278"/>
        <v>0</v>
      </c>
      <c r="AJ2804">
        <f t="shared" si="279"/>
        <v>0</v>
      </c>
      <c r="AK2804">
        <v>0</v>
      </c>
      <c r="AL2804" t="str">
        <f>IF(AA2804="","",IFERROR(IF(ISNUMBER('Procyclean 520'!F306),'Procyclean 520'!F306,IF(ISNUMBER(SEARCH("12",'Procyclean 520'!F306)),EDATE(AB2804,12),IF(ISNUMBER(SEARCH("6",'Procyclean 520'!F306)),EDATE(AB2804,6),IF(ISNUMBER(SEARCH("3",'Procyclean 520'!F306)),EDATE(AB2804,3),DATEVALUE('Procyclean 520'!F306))))),""))</f>
        <v/>
      </c>
      <c r="AM2804" t="str">
        <f t="shared" ca="1" si="280"/>
        <v/>
      </c>
    </row>
    <row r="2805" spans="27:39" x14ac:dyDescent="0.3">
      <c r="AA2805" t="str">
        <f>IF(COUNTA('Procyclean 520'!C307,'Procyclean 520'!D307,'Procyclean 520'!E307)&gt;0,"520","")</f>
        <v/>
      </c>
      <c r="AB2805" t="str">
        <f>IFERROR(IF(ISNUMBER('Procyclean 520'!C307),'Procyclean 520'!C307,DATEVALUE('Procyclean 520'!C307)),"")</f>
        <v/>
      </c>
      <c r="AC2805" t="str">
        <f>IF(AA2805="","",'Procyclean 520'!D307)</f>
        <v/>
      </c>
      <c r="AD2805" t="str">
        <f>IF(AA2805="","",IFERROR(1*'Procyclean 520'!E307,IFERROR(_xludf.NUMBERVALUE('Procyclean 520'!E307,".",","),IFERROR(_xludf.NUMBERVALUE('Procyclean 520'!E307,",","."),0))))</f>
        <v/>
      </c>
      <c r="AE2805" t="str">
        <f>IF(AA2805="","",'Procyclean 520'!B307)</f>
        <v/>
      </c>
      <c r="AF2805">
        <f t="shared" si="275"/>
        <v>0</v>
      </c>
      <c r="AG2805" t="str">
        <f t="shared" si="276"/>
        <v/>
      </c>
      <c r="AH2805" t="str">
        <f t="shared" si="277"/>
        <v/>
      </c>
      <c r="AI2805">
        <f t="shared" si="278"/>
        <v>0</v>
      </c>
      <c r="AJ2805">
        <f t="shared" si="279"/>
        <v>0</v>
      </c>
      <c r="AK2805">
        <v>0</v>
      </c>
      <c r="AL2805" t="str">
        <f>IF(AA2805="","",IFERROR(IF(ISNUMBER('Procyclean 520'!F307),'Procyclean 520'!F307,IF(ISNUMBER(SEARCH("12",'Procyclean 520'!F307)),EDATE(AB2805,12),IF(ISNUMBER(SEARCH("6",'Procyclean 520'!F307)),EDATE(AB2805,6),IF(ISNUMBER(SEARCH("3",'Procyclean 520'!F307)),EDATE(AB2805,3),DATEVALUE('Procyclean 520'!F307))))),""))</f>
        <v/>
      </c>
      <c r="AM2805" t="str">
        <f t="shared" ca="1" si="280"/>
        <v/>
      </c>
    </row>
    <row r="2806" spans="27:39" x14ac:dyDescent="0.3">
      <c r="AA2806" t="str">
        <f>IF(COUNTA('Procyclean 520'!C308,'Procyclean 520'!D308,'Procyclean 520'!E308)&gt;0,"520","")</f>
        <v/>
      </c>
      <c r="AB2806" t="str">
        <f>IFERROR(IF(ISNUMBER('Procyclean 520'!C308),'Procyclean 520'!C308,DATEVALUE('Procyclean 520'!C308)),"")</f>
        <v/>
      </c>
      <c r="AC2806" t="str">
        <f>IF(AA2806="","",'Procyclean 520'!D308)</f>
        <v/>
      </c>
      <c r="AD2806" t="str">
        <f>IF(AA2806="","",IFERROR(1*'Procyclean 520'!E308,IFERROR(_xludf.NUMBERVALUE('Procyclean 520'!E308,".",","),IFERROR(_xludf.NUMBERVALUE('Procyclean 520'!E308,",","."),0))))</f>
        <v/>
      </c>
      <c r="AE2806" t="str">
        <f>IF(AA2806="","",'Procyclean 520'!B308)</f>
        <v/>
      </c>
      <c r="AF2806">
        <f t="shared" si="275"/>
        <v>0</v>
      </c>
      <c r="AG2806" t="str">
        <f t="shared" si="276"/>
        <v/>
      </c>
      <c r="AH2806" t="str">
        <f t="shared" si="277"/>
        <v/>
      </c>
      <c r="AI2806">
        <f t="shared" si="278"/>
        <v>0</v>
      </c>
      <c r="AJ2806">
        <f t="shared" si="279"/>
        <v>0</v>
      </c>
      <c r="AK2806">
        <v>0</v>
      </c>
      <c r="AL2806" t="str">
        <f>IF(AA2806="","",IFERROR(IF(ISNUMBER('Procyclean 520'!F308),'Procyclean 520'!F308,IF(ISNUMBER(SEARCH("12",'Procyclean 520'!F308)),EDATE(AB2806,12),IF(ISNUMBER(SEARCH("6",'Procyclean 520'!F308)),EDATE(AB2806,6),IF(ISNUMBER(SEARCH("3",'Procyclean 520'!F308)),EDATE(AB2806,3),DATEVALUE('Procyclean 520'!F308))))),""))</f>
        <v/>
      </c>
      <c r="AM2806" t="str">
        <f t="shared" ca="1" si="280"/>
        <v/>
      </c>
    </row>
    <row r="2807" spans="27:39" x14ac:dyDescent="0.3">
      <c r="AA2807" t="str">
        <f>IF(COUNTA('Procyclean 520'!C309,'Procyclean 520'!D309,'Procyclean 520'!E309)&gt;0,"520","")</f>
        <v/>
      </c>
      <c r="AB2807" t="str">
        <f>IFERROR(IF(ISNUMBER('Procyclean 520'!C309),'Procyclean 520'!C309,DATEVALUE('Procyclean 520'!C309)),"")</f>
        <v/>
      </c>
      <c r="AC2807" t="str">
        <f>IF(AA2807="","",'Procyclean 520'!D309)</f>
        <v/>
      </c>
      <c r="AD2807" t="str">
        <f>IF(AA2807="","",IFERROR(1*'Procyclean 520'!E309,IFERROR(_xludf.NUMBERVALUE('Procyclean 520'!E309,".",","),IFERROR(_xludf.NUMBERVALUE('Procyclean 520'!E309,",","."),0))))</f>
        <v/>
      </c>
      <c r="AE2807" t="str">
        <f>IF(AA2807="","",'Procyclean 520'!B309)</f>
        <v/>
      </c>
      <c r="AF2807">
        <f t="shared" si="275"/>
        <v>0</v>
      </c>
      <c r="AG2807" t="str">
        <f t="shared" si="276"/>
        <v/>
      </c>
      <c r="AH2807" t="str">
        <f t="shared" si="277"/>
        <v/>
      </c>
      <c r="AI2807">
        <f t="shared" si="278"/>
        <v>0</v>
      </c>
      <c r="AJ2807">
        <f t="shared" si="279"/>
        <v>0</v>
      </c>
      <c r="AK2807">
        <v>0</v>
      </c>
      <c r="AL2807" t="str">
        <f>IF(AA2807="","",IFERROR(IF(ISNUMBER('Procyclean 520'!F309),'Procyclean 520'!F309,IF(ISNUMBER(SEARCH("12",'Procyclean 520'!F309)),EDATE(AB2807,12),IF(ISNUMBER(SEARCH("6",'Procyclean 520'!F309)),EDATE(AB2807,6),IF(ISNUMBER(SEARCH("3",'Procyclean 520'!F309)),EDATE(AB2807,3),DATEVALUE('Procyclean 520'!F309))))),""))</f>
        <v/>
      </c>
      <c r="AM2807" t="str">
        <f t="shared" ca="1" si="280"/>
        <v/>
      </c>
    </row>
    <row r="2808" spans="27:39" x14ac:dyDescent="0.3">
      <c r="AA2808" t="str">
        <f>IF(COUNTA('Procyclean 520'!C310,'Procyclean 520'!D310,'Procyclean 520'!E310)&gt;0,"520","")</f>
        <v/>
      </c>
      <c r="AB2808" t="str">
        <f>IFERROR(IF(ISNUMBER('Procyclean 520'!C310),'Procyclean 520'!C310,DATEVALUE('Procyclean 520'!C310)),"")</f>
        <v/>
      </c>
      <c r="AC2808" t="str">
        <f>IF(AA2808="","",'Procyclean 520'!D310)</f>
        <v/>
      </c>
      <c r="AD2808" t="str">
        <f>IF(AA2808="","",IFERROR(1*'Procyclean 520'!E310,IFERROR(_xludf.NUMBERVALUE('Procyclean 520'!E310,".",","),IFERROR(_xludf.NUMBERVALUE('Procyclean 520'!E310,",","."),0))))</f>
        <v/>
      </c>
      <c r="AE2808" t="str">
        <f>IF(AA2808="","",'Procyclean 520'!B310)</f>
        <v/>
      </c>
      <c r="AF2808">
        <f t="shared" si="275"/>
        <v>0</v>
      </c>
      <c r="AG2808" t="str">
        <f t="shared" si="276"/>
        <v/>
      </c>
      <c r="AH2808" t="str">
        <f t="shared" si="277"/>
        <v/>
      </c>
      <c r="AI2808">
        <f t="shared" si="278"/>
        <v>0</v>
      </c>
      <c r="AJ2808">
        <f t="shared" si="279"/>
        <v>0</v>
      </c>
      <c r="AK2808">
        <v>0</v>
      </c>
      <c r="AL2808" t="str">
        <f>IF(AA2808="","",IFERROR(IF(ISNUMBER('Procyclean 520'!F310),'Procyclean 520'!F310,IF(ISNUMBER(SEARCH("12",'Procyclean 520'!F310)),EDATE(AB2808,12),IF(ISNUMBER(SEARCH("6",'Procyclean 520'!F310)),EDATE(AB2808,6),IF(ISNUMBER(SEARCH("3",'Procyclean 520'!F310)),EDATE(AB2808,3),DATEVALUE('Procyclean 520'!F310))))),""))</f>
        <v/>
      </c>
      <c r="AM2808" t="str">
        <f t="shared" ca="1" si="280"/>
        <v/>
      </c>
    </row>
    <row r="2809" spans="27:39" x14ac:dyDescent="0.3">
      <c r="AA2809" t="str">
        <f>IF(COUNTA('Procyclean 520'!C311,'Procyclean 520'!D311,'Procyclean 520'!E311)&gt;0,"520","")</f>
        <v/>
      </c>
      <c r="AB2809" t="str">
        <f>IFERROR(IF(ISNUMBER('Procyclean 520'!C311),'Procyclean 520'!C311,DATEVALUE('Procyclean 520'!C311)),"")</f>
        <v/>
      </c>
      <c r="AC2809" t="str">
        <f>IF(AA2809="","",'Procyclean 520'!D311)</f>
        <v/>
      </c>
      <c r="AD2809" t="str">
        <f>IF(AA2809="","",IFERROR(1*'Procyclean 520'!E311,IFERROR(_xludf.NUMBERVALUE('Procyclean 520'!E311,".",","),IFERROR(_xludf.NUMBERVALUE('Procyclean 520'!E311,",","."),0))))</f>
        <v/>
      </c>
      <c r="AE2809" t="str">
        <f>IF(AA2809="","",'Procyclean 520'!B311)</f>
        <v/>
      </c>
      <c r="AF2809">
        <f t="shared" si="275"/>
        <v>0</v>
      </c>
      <c r="AG2809" t="str">
        <f t="shared" si="276"/>
        <v/>
      </c>
      <c r="AH2809" t="str">
        <f t="shared" si="277"/>
        <v/>
      </c>
      <c r="AI2809">
        <f t="shared" si="278"/>
        <v>0</v>
      </c>
      <c r="AJ2809">
        <f t="shared" si="279"/>
        <v>0</v>
      </c>
      <c r="AK2809">
        <v>0</v>
      </c>
      <c r="AL2809" t="str">
        <f>IF(AA2809="","",IFERROR(IF(ISNUMBER('Procyclean 520'!F311),'Procyclean 520'!F311,IF(ISNUMBER(SEARCH("12",'Procyclean 520'!F311)),EDATE(AB2809,12),IF(ISNUMBER(SEARCH("6",'Procyclean 520'!F311)),EDATE(AB2809,6),IF(ISNUMBER(SEARCH("3",'Procyclean 520'!F311)),EDATE(AB2809,3),DATEVALUE('Procyclean 520'!F311))))),""))</f>
        <v/>
      </c>
      <c r="AM2809" t="str">
        <f t="shared" ca="1" si="280"/>
        <v/>
      </c>
    </row>
    <row r="2810" spans="27:39" x14ac:dyDescent="0.3">
      <c r="AA2810" t="str">
        <f>IF(COUNTA('Procyclean 520'!C312,'Procyclean 520'!D312,'Procyclean 520'!E312)&gt;0,"520","")</f>
        <v/>
      </c>
      <c r="AB2810" t="str">
        <f>IFERROR(IF(ISNUMBER('Procyclean 520'!C312),'Procyclean 520'!C312,DATEVALUE('Procyclean 520'!C312)),"")</f>
        <v/>
      </c>
      <c r="AC2810" t="str">
        <f>IF(AA2810="","",'Procyclean 520'!D312)</f>
        <v/>
      </c>
      <c r="AD2810" t="str">
        <f>IF(AA2810="","",IFERROR(1*'Procyclean 520'!E312,IFERROR(_xludf.NUMBERVALUE('Procyclean 520'!E312,".",","),IFERROR(_xludf.NUMBERVALUE('Procyclean 520'!E312,",","."),0))))</f>
        <v/>
      </c>
      <c r="AE2810" t="str">
        <f>IF(AA2810="","",'Procyclean 520'!B312)</f>
        <v/>
      </c>
      <c r="AF2810">
        <f t="shared" si="275"/>
        <v>0</v>
      </c>
      <c r="AG2810" t="str">
        <f t="shared" si="276"/>
        <v/>
      </c>
      <c r="AH2810" t="str">
        <f t="shared" si="277"/>
        <v/>
      </c>
      <c r="AI2810">
        <f t="shared" si="278"/>
        <v>0</v>
      </c>
      <c r="AJ2810">
        <f t="shared" si="279"/>
        <v>0</v>
      </c>
      <c r="AK2810">
        <v>0</v>
      </c>
      <c r="AL2810" t="str">
        <f>IF(AA2810="","",IFERROR(IF(ISNUMBER('Procyclean 520'!F312),'Procyclean 520'!F312,IF(ISNUMBER(SEARCH("12",'Procyclean 520'!F312)),EDATE(AB2810,12),IF(ISNUMBER(SEARCH("6",'Procyclean 520'!F312)),EDATE(AB2810,6),IF(ISNUMBER(SEARCH("3",'Procyclean 520'!F312)),EDATE(AB2810,3),DATEVALUE('Procyclean 520'!F312))))),""))</f>
        <v/>
      </c>
      <c r="AM2810" t="str">
        <f t="shared" ca="1" si="280"/>
        <v/>
      </c>
    </row>
    <row r="2811" spans="27:39" x14ac:dyDescent="0.3">
      <c r="AA2811" t="str">
        <f>IF(COUNTA('Procyclean 520'!C313,'Procyclean 520'!D313,'Procyclean 520'!E313)&gt;0,"520","")</f>
        <v/>
      </c>
      <c r="AB2811" t="str">
        <f>IFERROR(IF(ISNUMBER('Procyclean 520'!C313),'Procyclean 520'!C313,DATEVALUE('Procyclean 520'!C313)),"")</f>
        <v/>
      </c>
      <c r="AC2811" t="str">
        <f>IF(AA2811="","",'Procyclean 520'!D313)</f>
        <v/>
      </c>
      <c r="AD2811" t="str">
        <f>IF(AA2811="","",IFERROR(1*'Procyclean 520'!E313,IFERROR(_xludf.NUMBERVALUE('Procyclean 520'!E313,".",","),IFERROR(_xludf.NUMBERVALUE('Procyclean 520'!E313,",","."),0))))</f>
        <v/>
      </c>
      <c r="AE2811" t="str">
        <f>IF(AA2811="","",'Procyclean 520'!B313)</f>
        <v/>
      </c>
      <c r="AF2811">
        <f t="shared" si="275"/>
        <v>0</v>
      </c>
      <c r="AG2811" t="str">
        <f t="shared" si="276"/>
        <v/>
      </c>
      <c r="AH2811" t="str">
        <f t="shared" si="277"/>
        <v/>
      </c>
      <c r="AI2811">
        <f t="shared" si="278"/>
        <v>0</v>
      </c>
      <c r="AJ2811">
        <f t="shared" si="279"/>
        <v>0</v>
      </c>
      <c r="AK2811">
        <v>0</v>
      </c>
      <c r="AL2811" t="str">
        <f>IF(AA2811="","",IFERROR(IF(ISNUMBER('Procyclean 520'!F313),'Procyclean 520'!F313,IF(ISNUMBER(SEARCH("12",'Procyclean 520'!F313)),EDATE(AB2811,12),IF(ISNUMBER(SEARCH("6",'Procyclean 520'!F313)),EDATE(AB2811,6),IF(ISNUMBER(SEARCH("3",'Procyclean 520'!F313)),EDATE(AB2811,3),DATEVALUE('Procyclean 520'!F313))))),""))</f>
        <v/>
      </c>
      <c r="AM2811" t="str">
        <f t="shared" ca="1" si="280"/>
        <v/>
      </c>
    </row>
    <row r="2812" spans="27:39" x14ac:dyDescent="0.3">
      <c r="AA2812" t="str">
        <f>IF(COUNTA('Procyclean 520'!C314,'Procyclean 520'!D314,'Procyclean 520'!E314)&gt;0,"520","")</f>
        <v/>
      </c>
      <c r="AB2812" t="str">
        <f>IFERROR(IF(ISNUMBER('Procyclean 520'!C314),'Procyclean 520'!C314,DATEVALUE('Procyclean 520'!C314)),"")</f>
        <v/>
      </c>
      <c r="AC2812" t="str">
        <f>IF(AA2812="","",'Procyclean 520'!D314)</f>
        <v/>
      </c>
      <c r="AD2812" t="str">
        <f>IF(AA2812="","",IFERROR(1*'Procyclean 520'!E314,IFERROR(_xludf.NUMBERVALUE('Procyclean 520'!E314,".",","),IFERROR(_xludf.NUMBERVALUE('Procyclean 520'!E314,",","."),0))))</f>
        <v/>
      </c>
      <c r="AE2812" t="str">
        <f>IF(AA2812="","",'Procyclean 520'!B314)</f>
        <v/>
      </c>
      <c r="AF2812">
        <f t="shared" si="275"/>
        <v>0</v>
      </c>
      <c r="AG2812" t="str">
        <f t="shared" si="276"/>
        <v/>
      </c>
      <c r="AH2812" t="str">
        <f t="shared" si="277"/>
        <v/>
      </c>
      <c r="AI2812">
        <f t="shared" si="278"/>
        <v>0</v>
      </c>
      <c r="AJ2812">
        <f t="shared" si="279"/>
        <v>0</v>
      </c>
      <c r="AK2812">
        <v>0</v>
      </c>
      <c r="AL2812" t="str">
        <f>IF(AA2812="","",IFERROR(IF(ISNUMBER('Procyclean 520'!F314),'Procyclean 520'!F314,IF(ISNUMBER(SEARCH("12",'Procyclean 520'!F314)),EDATE(AB2812,12),IF(ISNUMBER(SEARCH("6",'Procyclean 520'!F314)),EDATE(AB2812,6),IF(ISNUMBER(SEARCH("3",'Procyclean 520'!F314)),EDATE(AB2812,3),DATEVALUE('Procyclean 520'!F314))))),""))</f>
        <v/>
      </c>
      <c r="AM2812" t="str">
        <f t="shared" ca="1" si="280"/>
        <v/>
      </c>
    </row>
    <row r="2813" spans="27:39" x14ac:dyDescent="0.3">
      <c r="AA2813" t="str">
        <f>IF(COUNTA('Procyclean 520'!C315,'Procyclean 520'!D315,'Procyclean 520'!E315)&gt;0,"520","")</f>
        <v/>
      </c>
      <c r="AB2813" t="str">
        <f>IFERROR(IF(ISNUMBER('Procyclean 520'!C315),'Procyclean 520'!C315,DATEVALUE('Procyclean 520'!C315)),"")</f>
        <v/>
      </c>
      <c r="AC2813" t="str">
        <f>IF(AA2813="","",'Procyclean 520'!D315)</f>
        <v/>
      </c>
      <c r="AD2813" t="str">
        <f>IF(AA2813="","",IFERROR(1*'Procyclean 520'!E315,IFERROR(_xludf.NUMBERVALUE('Procyclean 520'!E315,".",","),IFERROR(_xludf.NUMBERVALUE('Procyclean 520'!E315,",","."),0))))</f>
        <v/>
      </c>
      <c r="AE2813" t="str">
        <f>IF(AA2813="","",'Procyclean 520'!B315)</f>
        <v/>
      </c>
      <c r="AF2813">
        <f t="shared" si="275"/>
        <v>0</v>
      </c>
      <c r="AG2813" t="str">
        <f t="shared" si="276"/>
        <v/>
      </c>
      <c r="AH2813" t="str">
        <f t="shared" si="277"/>
        <v/>
      </c>
      <c r="AI2813">
        <f t="shared" si="278"/>
        <v>0</v>
      </c>
      <c r="AJ2813">
        <f t="shared" si="279"/>
        <v>0</v>
      </c>
      <c r="AK2813">
        <v>0</v>
      </c>
      <c r="AL2813" t="str">
        <f>IF(AA2813="","",IFERROR(IF(ISNUMBER('Procyclean 520'!F315),'Procyclean 520'!F315,IF(ISNUMBER(SEARCH("12",'Procyclean 520'!F315)),EDATE(AB2813,12),IF(ISNUMBER(SEARCH("6",'Procyclean 520'!F315)),EDATE(AB2813,6),IF(ISNUMBER(SEARCH("3",'Procyclean 520'!F315)),EDATE(AB2813,3),DATEVALUE('Procyclean 520'!F315))))),""))</f>
        <v/>
      </c>
      <c r="AM2813" t="str">
        <f t="shared" ca="1" si="280"/>
        <v/>
      </c>
    </row>
    <row r="2814" spans="27:39" x14ac:dyDescent="0.3">
      <c r="AA2814" t="str">
        <f>IF(COUNTA('Procyclean 520'!C316,'Procyclean 520'!D316,'Procyclean 520'!E316)&gt;0,"520","")</f>
        <v/>
      </c>
      <c r="AB2814" t="str">
        <f>IFERROR(IF(ISNUMBER('Procyclean 520'!C316),'Procyclean 520'!C316,DATEVALUE('Procyclean 520'!C316)),"")</f>
        <v/>
      </c>
      <c r="AC2814" t="str">
        <f>IF(AA2814="","",'Procyclean 520'!D316)</f>
        <v/>
      </c>
      <c r="AD2814" t="str">
        <f>IF(AA2814="","",IFERROR(1*'Procyclean 520'!E316,IFERROR(_xludf.NUMBERVALUE('Procyclean 520'!E316,".",","),IFERROR(_xludf.NUMBERVALUE('Procyclean 520'!E316,",","."),0))))</f>
        <v/>
      </c>
      <c r="AE2814" t="str">
        <f>IF(AA2814="","",'Procyclean 520'!B316)</f>
        <v/>
      </c>
      <c r="AF2814">
        <f t="shared" si="275"/>
        <v>0</v>
      </c>
      <c r="AG2814" t="str">
        <f t="shared" si="276"/>
        <v/>
      </c>
      <c r="AH2814" t="str">
        <f t="shared" si="277"/>
        <v/>
      </c>
      <c r="AI2814">
        <f t="shared" si="278"/>
        <v>0</v>
      </c>
      <c r="AJ2814">
        <f t="shared" si="279"/>
        <v>0</v>
      </c>
      <c r="AK2814">
        <v>0</v>
      </c>
      <c r="AL2814" t="str">
        <f>IF(AA2814="","",IFERROR(IF(ISNUMBER('Procyclean 520'!F316),'Procyclean 520'!F316,IF(ISNUMBER(SEARCH("12",'Procyclean 520'!F316)),EDATE(AB2814,12),IF(ISNUMBER(SEARCH("6",'Procyclean 520'!F316)),EDATE(AB2814,6),IF(ISNUMBER(SEARCH("3",'Procyclean 520'!F316)),EDATE(AB2814,3),DATEVALUE('Procyclean 520'!F316))))),""))</f>
        <v/>
      </c>
      <c r="AM2814" t="str">
        <f t="shared" ca="1" si="280"/>
        <v/>
      </c>
    </row>
    <row r="2815" spans="27:39" x14ac:dyDescent="0.3">
      <c r="AA2815" t="str">
        <f>IF(COUNTA('Procyclean 520'!C317,'Procyclean 520'!D317,'Procyclean 520'!E317)&gt;0,"520","")</f>
        <v/>
      </c>
      <c r="AB2815" t="str">
        <f>IFERROR(IF(ISNUMBER('Procyclean 520'!C317),'Procyclean 520'!C317,DATEVALUE('Procyclean 520'!C317)),"")</f>
        <v/>
      </c>
      <c r="AC2815" t="str">
        <f>IF(AA2815="","",'Procyclean 520'!D317)</f>
        <v/>
      </c>
      <c r="AD2815" t="str">
        <f>IF(AA2815="","",IFERROR(1*'Procyclean 520'!E317,IFERROR(_xludf.NUMBERVALUE('Procyclean 520'!E317,".",","),IFERROR(_xludf.NUMBERVALUE('Procyclean 520'!E317,",","."),0))))</f>
        <v/>
      </c>
      <c r="AE2815" t="str">
        <f>IF(AA2815="","",'Procyclean 520'!B317)</f>
        <v/>
      </c>
      <c r="AF2815">
        <f t="shared" si="275"/>
        <v>0</v>
      </c>
      <c r="AG2815" t="str">
        <f t="shared" si="276"/>
        <v/>
      </c>
      <c r="AH2815" t="str">
        <f t="shared" si="277"/>
        <v/>
      </c>
      <c r="AI2815">
        <f t="shared" si="278"/>
        <v>0</v>
      </c>
      <c r="AJ2815">
        <f t="shared" si="279"/>
        <v>0</v>
      </c>
      <c r="AK2815">
        <v>0</v>
      </c>
      <c r="AL2815" t="str">
        <f>IF(AA2815="","",IFERROR(IF(ISNUMBER('Procyclean 520'!F317),'Procyclean 520'!F317,IF(ISNUMBER(SEARCH("12",'Procyclean 520'!F317)),EDATE(AB2815,12),IF(ISNUMBER(SEARCH("6",'Procyclean 520'!F317)),EDATE(AB2815,6),IF(ISNUMBER(SEARCH("3",'Procyclean 520'!F317)),EDATE(AB2815,3),DATEVALUE('Procyclean 520'!F317))))),""))</f>
        <v/>
      </c>
      <c r="AM2815" t="str">
        <f t="shared" ca="1" si="280"/>
        <v/>
      </c>
    </row>
    <row r="2816" spans="27:39" x14ac:dyDescent="0.3">
      <c r="AA2816" t="str">
        <f>IF(COUNTA('Procyclean 520'!C318,'Procyclean 520'!D318,'Procyclean 520'!E318)&gt;0,"520","")</f>
        <v/>
      </c>
      <c r="AB2816" t="str">
        <f>IFERROR(IF(ISNUMBER('Procyclean 520'!C318),'Procyclean 520'!C318,DATEVALUE('Procyclean 520'!C318)),"")</f>
        <v/>
      </c>
      <c r="AC2816" t="str">
        <f>IF(AA2816="","",'Procyclean 520'!D318)</f>
        <v/>
      </c>
      <c r="AD2816" t="str">
        <f>IF(AA2816="","",IFERROR(1*'Procyclean 520'!E318,IFERROR(_xludf.NUMBERVALUE('Procyclean 520'!E318,".",","),IFERROR(_xludf.NUMBERVALUE('Procyclean 520'!E318,",","."),0))))</f>
        <v/>
      </c>
      <c r="AE2816" t="str">
        <f>IF(AA2816="","",'Procyclean 520'!B318)</f>
        <v/>
      </c>
      <c r="AF2816">
        <f t="shared" si="275"/>
        <v>0</v>
      </c>
      <c r="AG2816" t="str">
        <f t="shared" si="276"/>
        <v/>
      </c>
      <c r="AH2816" t="str">
        <f t="shared" si="277"/>
        <v/>
      </c>
      <c r="AI2816">
        <f t="shared" si="278"/>
        <v>0</v>
      </c>
      <c r="AJ2816">
        <f t="shared" si="279"/>
        <v>0</v>
      </c>
      <c r="AK2816">
        <v>0</v>
      </c>
      <c r="AL2816" t="str">
        <f>IF(AA2816="","",IFERROR(IF(ISNUMBER('Procyclean 520'!F318),'Procyclean 520'!F318,IF(ISNUMBER(SEARCH("12",'Procyclean 520'!F318)),EDATE(AB2816,12),IF(ISNUMBER(SEARCH("6",'Procyclean 520'!F318)),EDATE(AB2816,6),IF(ISNUMBER(SEARCH("3",'Procyclean 520'!F318)),EDATE(AB2816,3),DATEVALUE('Procyclean 520'!F318))))),""))</f>
        <v/>
      </c>
      <c r="AM2816" t="str">
        <f t="shared" ca="1" si="280"/>
        <v/>
      </c>
    </row>
    <row r="2817" spans="27:39" x14ac:dyDescent="0.3">
      <c r="AA2817" t="str">
        <f>IF(COUNTA('Procyclean 520'!C319,'Procyclean 520'!D319,'Procyclean 520'!E319)&gt;0,"520","")</f>
        <v/>
      </c>
      <c r="AB2817" t="str">
        <f>IFERROR(IF(ISNUMBER('Procyclean 520'!C319),'Procyclean 520'!C319,DATEVALUE('Procyclean 520'!C319)),"")</f>
        <v/>
      </c>
      <c r="AC2817" t="str">
        <f>IF(AA2817="","",'Procyclean 520'!D319)</f>
        <v/>
      </c>
      <c r="AD2817" t="str">
        <f>IF(AA2817="","",IFERROR(1*'Procyclean 520'!E319,IFERROR(_xludf.NUMBERVALUE('Procyclean 520'!E319,".",","),IFERROR(_xludf.NUMBERVALUE('Procyclean 520'!E319,",","."),0))))</f>
        <v/>
      </c>
      <c r="AE2817" t="str">
        <f>IF(AA2817="","",'Procyclean 520'!B319)</f>
        <v/>
      </c>
      <c r="AF2817">
        <f t="shared" si="275"/>
        <v>0</v>
      </c>
      <c r="AG2817" t="str">
        <f t="shared" si="276"/>
        <v/>
      </c>
      <c r="AH2817" t="str">
        <f t="shared" si="277"/>
        <v/>
      </c>
      <c r="AI2817">
        <f t="shared" si="278"/>
        <v>0</v>
      </c>
      <c r="AJ2817">
        <f t="shared" si="279"/>
        <v>0</v>
      </c>
      <c r="AK2817">
        <v>0</v>
      </c>
      <c r="AL2817" t="str">
        <f>IF(AA2817="","",IFERROR(IF(ISNUMBER('Procyclean 520'!F319),'Procyclean 520'!F319,IF(ISNUMBER(SEARCH("12",'Procyclean 520'!F319)),EDATE(AB2817,12),IF(ISNUMBER(SEARCH("6",'Procyclean 520'!F319)),EDATE(AB2817,6),IF(ISNUMBER(SEARCH("3",'Procyclean 520'!F319)),EDATE(AB2817,3),DATEVALUE('Procyclean 520'!F319))))),""))</f>
        <v/>
      </c>
      <c r="AM2817" t="str">
        <f t="shared" ca="1" si="280"/>
        <v/>
      </c>
    </row>
    <row r="2818" spans="27:39" x14ac:dyDescent="0.3">
      <c r="AA2818" t="str">
        <f>IF(COUNTA('Procyclean 520'!C320,'Procyclean 520'!D320,'Procyclean 520'!E320)&gt;0,"520","")</f>
        <v/>
      </c>
      <c r="AB2818" t="str">
        <f>IFERROR(IF(ISNUMBER('Procyclean 520'!C320),'Procyclean 520'!C320,DATEVALUE('Procyclean 520'!C320)),"")</f>
        <v/>
      </c>
      <c r="AC2818" t="str">
        <f>IF(AA2818="","",'Procyclean 520'!D320)</f>
        <v/>
      </c>
      <c r="AD2818" t="str">
        <f>IF(AA2818="","",IFERROR(1*'Procyclean 520'!E320,IFERROR(_xludf.NUMBERVALUE('Procyclean 520'!E320,".",","),IFERROR(_xludf.NUMBERVALUE('Procyclean 520'!E320,",","."),0))))</f>
        <v/>
      </c>
      <c r="AE2818" t="str">
        <f>IF(AA2818="","",'Procyclean 520'!B320)</f>
        <v/>
      </c>
      <c r="AF2818">
        <f t="shared" ref="AF2818:AF2881" si="281">IF(AA2818="",0,--AND(ISNUMBER(SEARCH("aprov",AE2818)),NOT(ISNUMBER(SEARCH("reprov",AE2818)))))</f>
        <v>0</v>
      </c>
      <c r="AG2818" t="str">
        <f t="shared" ref="AG2818:AG2881" si="282">IF(AB2818="","",YEAR(AB2818))</f>
        <v/>
      </c>
      <c r="AH2818" t="str">
        <f t="shared" ref="AH2818:AH2881" si="283">IF(AB2818="","",MONTH(AB2818))</f>
        <v/>
      </c>
      <c r="AI2818">
        <f t="shared" ref="AI2818:AI2881" si="284">IF(AB2818="",0,AB2818+ROW()/1000000)</f>
        <v>0</v>
      </c>
      <c r="AJ2818">
        <f t="shared" ref="AJ2818:AJ2881" si="285">--(AA2818&lt;&gt;"")</f>
        <v>0</v>
      </c>
      <c r="AK2818">
        <v>0</v>
      </c>
      <c r="AL2818" t="str">
        <f>IF(AA2818="","",IFERROR(IF(ISNUMBER('Procyclean 520'!F320),'Procyclean 520'!F320,IF(ISNUMBER(SEARCH("12",'Procyclean 520'!F320)),EDATE(AB2818,12),IF(ISNUMBER(SEARCH("6",'Procyclean 520'!F320)),EDATE(AB2818,6),IF(ISNUMBER(SEARCH("3",'Procyclean 520'!F320)),EDATE(AB2818,3),DATEVALUE('Procyclean 520'!F320))))),""))</f>
        <v/>
      </c>
      <c r="AM2818" t="str">
        <f t="shared" ref="AM2818:AM2881" ca="1" si="286">IF(AND(AJ2818=1,AL2818&lt;&gt;"",AL2818&gt;=TODAY(),AG2818=$W$3),AL2818+ROW()/1000000,"")</f>
        <v/>
      </c>
    </row>
    <row r="2819" spans="27:39" x14ac:dyDescent="0.3">
      <c r="AA2819" t="str">
        <f>IF(COUNTA('Procyclean 520'!C321,'Procyclean 520'!D321,'Procyclean 520'!E321)&gt;0,"520","")</f>
        <v/>
      </c>
      <c r="AB2819" t="str">
        <f>IFERROR(IF(ISNUMBER('Procyclean 520'!C321),'Procyclean 520'!C321,DATEVALUE('Procyclean 520'!C321)),"")</f>
        <v/>
      </c>
      <c r="AC2819" t="str">
        <f>IF(AA2819="","",'Procyclean 520'!D321)</f>
        <v/>
      </c>
      <c r="AD2819" t="str">
        <f>IF(AA2819="","",IFERROR(1*'Procyclean 520'!E321,IFERROR(_xludf.NUMBERVALUE('Procyclean 520'!E321,".",","),IFERROR(_xludf.NUMBERVALUE('Procyclean 520'!E321,",","."),0))))</f>
        <v/>
      </c>
      <c r="AE2819" t="str">
        <f>IF(AA2819="","",'Procyclean 520'!B321)</f>
        <v/>
      </c>
      <c r="AF2819">
        <f t="shared" si="281"/>
        <v>0</v>
      </c>
      <c r="AG2819" t="str">
        <f t="shared" si="282"/>
        <v/>
      </c>
      <c r="AH2819" t="str">
        <f t="shared" si="283"/>
        <v/>
      </c>
      <c r="AI2819">
        <f t="shared" si="284"/>
        <v>0</v>
      </c>
      <c r="AJ2819">
        <f t="shared" si="285"/>
        <v>0</v>
      </c>
      <c r="AK2819">
        <v>0</v>
      </c>
      <c r="AL2819" t="str">
        <f>IF(AA2819="","",IFERROR(IF(ISNUMBER('Procyclean 520'!F321),'Procyclean 520'!F321,IF(ISNUMBER(SEARCH("12",'Procyclean 520'!F321)),EDATE(AB2819,12),IF(ISNUMBER(SEARCH("6",'Procyclean 520'!F321)),EDATE(AB2819,6),IF(ISNUMBER(SEARCH("3",'Procyclean 520'!F321)),EDATE(AB2819,3),DATEVALUE('Procyclean 520'!F321))))),""))</f>
        <v/>
      </c>
      <c r="AM2819" t="str">
        <f t="shared" ca="1" si="286"/>
        <v/>
      </c>
    </row>
    <row r="2820" spans="27:39" x14ac:dyDescent="0.3">
      <c r="AA2820" t="str">
        <f>IF(COUNTA('Procyclean 520'!C322,'Procyclean 520'!D322,'Procyclean 520'!E322)&gt;0,"520","")</f>
        <v/>
      </c>
      <c r="AB2820" t="str">
        <f>IFERROR(IF(ISNUMBER('Procyclean 520'!C322),'Procyclean 520'!C322,DATEVALUE('Procyclean 520'!C322)),"")</f>
        <v/>
      </c>
      <c r="AC2820" t="str">
        <f>IF(AA2820="","",'Procyclean 520'!D322)</f>
        <v/>
      </c>
      <c r="AD2820" t="str">
        <f>IF(AA2820="","",IFERROR(1*'Procyclean 520'!E322,IFERROR(_xludf.NUMBERVALUE('Procyclean 520'!E322,".",","),IFERROR(_xludf.NUMBERVALUE('Procyclean 520'!E322,",","."),0))))</f>
        <v/>
      </c>
      <c r="AE2820" t="str">
        <f>IF(AA2820="","",'Procyclean 520'!B322)</f>
        <v/>
      </c>
      <c r="AF2820">
        <f t="shared" si="281"/>
        <v>0</v>
      </c>
      <c r="AG2820" t="str">
        <f t="shared" si="282"/>
        <v/>
      </c>
      <c r="AH2820" t="str">
        <f t="shared" si="283"/>
        <v/>
      </c>
      <c r="AI2820">
        <f t="shared" si="284"/>
        <v>0</v>
      </c>
      <c r="AJ2820">
        <f t="shared" si="285"/>
        <v>0</v>
      </c>
      <c r="AK2820">
        <v>0</v>
      </c>
      <c r="AL2820" t="str">
        <f>IF(AA2820="","",IFERROR(IF(ISNUMBER('Procyclean 520'!F322),'Procyclean 520'!F322,IF(ISNUMBER(SEARCH("12",'Procyclean 520'!F322)),EDATE(AB2820,12),IF(ISNUMBER(SEARCH("6",'Procyclean 520'!F322)),EDATE(AB2820,6),IF(ISNUMBER(SEARCH("3",'Procyclean 520'!F322)),EDATE(AB2820,3),DATEVALUE('Procyclean 520'!F322))))),""))</f>
        <v/>
      </c>
      <c r="AM2820" t="str">
        <f t="shared" ca="1" si="286"/>
        <v/>
      </c>
    </row>
    <row r="2821" spans="27:39" x14ac:dyDescent="0.3">
      <c r="AA2821" t="str">
        <f>IF(COUNTA('Procyclean 520'!C323,'Procyclean 520'!D323,'Procyclean 520'!E323)&gt;0,"520","")</f>
        <v/>
      </c>
      <c r="AB2821" t="str">
        <f>IFERROR(IF(ISNUMBER('Procyclean 520'!C323),'Procyclean 520'!C323,DATEVALUE('Procyclean 520'!C323)),"")</f>
        <v/>
      </c>
      <c r="AC2821" t="str">
        <f>IF(AA2821="","",'Procyclean 520'!D323)</f>
        <v/>
      </c>
      <c r="AD2821" t="str">
        <f>IF(AA2821="","",IFERROR(1*'Procyclean 520'!E323,IFERROR(_xludf.NUMBERVALUE('Procyclean 520'!E323,".",","),IFERROR(_xludf.NUMBERVALUE('Procyclean 520'!E323,",","."),0))))</f>
        <v/>
      </c>
      <c r="AE2821" t="str">
        <f>IF(AA2821="","",'Procyclean 520'!B323)</f>
        <v/>
      </c>
      <c r="AF2821">
        <f t="shared" si="281"/>
        <v>0</v>
      </c>
      <c r="AG2821" t="str">
        <f t="shared" si="282"/>
        <v/>
      </c>
      <c r="AH2821" t="str">
        <f t="shared" si="283"/>
        <v/>
      </c>
      <c r="AI2821">
        <f t="shared" si="284"/>
        <v>0</v>
      </c>
      <c r="AJ2821">
        <f t="shared" si="285"/>
        <v>0</v>
      </c>
      <c r="AK2821">
        <v>0</v>
      </c>
      <c r="AL2821" t="str">
        <f>IF(AA2821="","",IFERROR(IF(ISNUMBER('Procyclean 520'!F323),'Procyclean 520'!F323,IF(ISNUMBER(SEARCH("12",'Procyclean 520'!F323)),EDATE(AB2821,12),IF(ISNUMBER(SEARCH("6",'Procyclean 520'!F323)),EDATE(AB2821,6),IF(ISNUMBER(SEARCH("3",'Procyclean 520'!F323)),EDATE(AB2821,3),DATEVALUE('Procyclean 520'!F323))))),""))</f>
        <v/>
      </c>
      <c r="AM2821" t="str">
        <f t="shared" ca="1" si="286"/>
        <v/>
      </c>
    </row>
    <row r="2822" spans="27:39" x14ac:dyDescent="0.3">
      <c r="AA2822" t="str">
        <f>IF(COUNTA('Procyclean 520'!C324,'Procyclean 520'!D324,'Procyclean 520'!E324)&gt;0,"520","")</f>
        <v/>
      </c>
      <c r="AB2822" t="str">
        <f>IFERROR(IF(ISNUMBER('Procyclean 520'!C324),'Procyclean 520'!C324,DATEVALUE('Procyclean 520'!C324)),"")</f>
        <v/>
      </c>
      <c r="AC2822" t="str">
        <f>IF(AA2822="","",'Procyclean 520'!D324)</f>
        <v/>
      </c>
      <c r="AD2822" t="str">
        <f>IF(AA2822="","",IFERROR(1*'Procyclean 520'!E324,IFERROR(_xludf.NUMBERVALUE('Procyclean 520'!E324,".",","),IFERROR(_xludf.NUMBERVALUE('Procyclean 520'!E324,",","."),0))))</f>
        <v/>
      </c>
      <c r="AE2822" t="str">
        <f>IF(AA2822="","",'Procyclean 520'!B324)</f>
        <v/>
      </c>
      <c r="AF2822">
        <f t="shared" si="281"/>
        <v>0</v>
      </c>
      <c r="AG2822" t="str">
        <f t="shared" si="282"/>
        <v/>
      </c>
      <c r="AH2822" t="str">
        <f t="shared" si="283"/>
        <v/>
      </c>
      <c r="AI2822">
        <f t="shared" si="284"/>
        <v>0</v>
      </c>
      <c r="AJ2822">
        <f t="shared" si="285"/>
        <v>0</v>
      </c>
      <c r="AK2822">
        <v>0</v>
      </c>
      <c r="AL2822" t="str">
        <f>IF(AA2822="","",IFERROR(IF(ISNUMBER('Procyclean 520'!F324),'Procyclean 520'!F324,IF(ISNUMBER(SEARCH("12",'Procyclean 520'!F324)),EDATE(AB2822,12),IF(ISNUMBER(SEARCH("6",'Procyclean 520'!F324)),EDATE(AB2822,6),IF(ISNUMBER(SEARCH("3",'Procyclean 520'!F324)),EDATE(AB2822,3),DATEVALUE('Procyclean 520'!F324))))),""))</f>
        <v/>
      </c>
      <c r="AM2822" t="str">
        <f t="shared" ca="1" si="286"/>
        <v/>
      </c>
    </row>
    <row r="2823" spans="27:39" x14ac:dyDescent="0.3">
      <c r="AA2823" t="str">
        <f>IF(COUNTA('Procyclean 520'!C325,'Procyclean 520'!D325,'Procyclean 520'!E325)&gt;0,"520","")</f>
        <v/>
      </c>
      <c r="AB2823" t="str">
        <f>IFERROR(IF(ISNUMBER('Procyclean 520'!C325),'Procyclean 520'!C325,DATEVALUE('Procyclean 520'!C325)),"")</f>
        <v/>
      </c>
      <c r="AC2823" t="str">
        <f>IF(AA2823="","",'Procyclean 520'!D325)</f>
        <v/>
      </c>
      <c r="AD2823" t="str">
        <f>IF(AA2823="","",IFERROR(1*'Procyclean 520'!E325,IFERROR(_xludf.NUMBERVALUE('Procyclean 520'!E325,".",","),IFERROR(_xludf.NUMBERVALUE('Procyclean 520'!E325,",","."),0))))</f>
        <v/>
      </c>
      <c r="AE2823" t="str">
        <f>IF(AA2823="","",'Procyclean 520'!B325)</f>
        <v/>
      </c>
      <c r="AF2823">
        <f t="shared" si="281"/>
        <v>0</v>
      </c>
      <c r="AG2823" t="str">
        <f t="shared" si="282"/>
        <v/>
      </c>
      <c r="AH2823" t="str">
        <f t="shared" si="283"/>
        <v/>
      </c>
      <c r="AI2823">
        <f t="shared" si="284"/>
        <v>0</v>
      </c>
      <c r="AJ2823">
        <f t="shared" si="285"/>
        <v>0</v>
      </c>
      <c r="AK2823">
        <v>0</v>
      </c>
      <c r="AL2823" t="str">
        <f>IF(AA2823="","",IFERROR(IF(ISNUMBER('Procyclean 520'!F325),'Procyclean 520'!F325,IF(ISNUMBER(SEARCH("12",'Procyclean 520'!F325)),EDATE(AB2823,12),IF(ISNUMBER(SEARCH("6",'Procyclean 520'!F325)),EDATE(AB2823,6),IF(ISNUMBER(SEARCH("3",'Procyclean 520'!F325)),EDATE(AB2823,3),DATEVALUE('Procyclean 520'!F325))))),""))</f>
        <v/>
      </c>
      <c r="AM2823" t="str">
        <f t="shared" ca="1" si="286"/>
        <v/>
      </c>
    </row>
    <row r="2824" spans="27:39" x14ac:dyDescent="0.3">
      <c r="AA2824" t="str">
        <f>IF(COUNTA('Procyclean 520'!C326,'Procyclean 520'!D326,'Procyclean 520'!E326)&gt;0,"520","")</f>
        <v/>
      </c>
      <c r="AB2824" t="str">
        <f>IFERROR(IF(ISNUMBER('Procyclean 520'!C326),'Procyclean 520'!C326,DATEVALUE('Procyclean 520'!C326)),"")</f>
        <v/>
      </c>
      <c r="AC2824" t="str">
        <f>IF(AA2824="","",'Procyclean 520'!D326)</f>
        <v/>
      </c>
      <c r="AD2824" t="str">
        <f>IF(AA2824="","",IFERROR(1*'Procyclean 520'!E326,IFERROR(_xludf.NUMBERVALUE('Procyclean 520'!E326,".",","),IFERROR(_xludf.NUMBERVALUE('Procyclean 520'!E326,",","."),0))))</f>
        <v/>
      </c>
      <c r="AE2824" t="str">
        <f>IF(AA2824="","",'Procyclean 520'!B326)</f>
        <v/>
      </c>
      <c r="AF2824">
        <f t="shared" si="281"/>
        <v>0</v>
      </c>
      <c r="AG2824" t="str">
        <f t="shared" si="282"/>
        <v/>
      </c>
      <c r="AH2824" t="str">
        <f t="shared" si="283"/>
        <v/>
      </c>
      <c r="AI2824">
        <f t="shared" si="284"/>
        <v>0</v>
      </c>
      <c r="AJ2824">
        <f t="shared" si="285"/>
        <v>0</v>
      </c>
      <c r="AK2824">
        <v>0</v>
      </c>
      <c r="AL2824" t="str">
        <f>IF(AA2824="","",IFERROR(IF(ISNUMBER('Procyclean 520'!F326),'Procyclean 520'!F326,IF(ISNUMBER(SEARCH("12",'Procyclean 520'!F326)),EDATE(AB2824,12),IF(ISNUMBER(SEARCH("6",'Procyclean 520'!F326)),EDATE(AB2824,6),IF(ISNUMBER(SEARCH("3",'Procyclean 520'!F326)),EDATE(AB2824,3),DATEVALUE('Procyclean 520'!F326))))),""))</f>
        <v/>
      </c>
      <c r="AM2824" t="str">
        <f t="shared" ca="1" si="286"/>
        <v/>
      </c>
    </row>
    <row r="2825" spans="27:39" x14ac:dyDescent="0.3">
      <c r="AA2825" t="str">
        <f>IF(COUNTA('Procyclean 520'!C327,'Procyclean 520'!D327,'Procyclean 520'!E327)&gt;0,"520","")</f>
        <v/>
      </c>
      <c r="AB2825" t="str">
        <f>IFERROR(IF(ISNUMBER('Procyclean 520'!C327),'Procyclean 520'!C327,DATEVALUE('Procyclean 520'!C327)),"")</f>
        <v/>
      </c>
      <c r="AC2825" t="str">
        <f>IF(AA2825="","",'Procyclean 520'!D327)</f>
        <v/>
      </c>
      <c r="AD2825" t="str">
        <f>IF(AA2825="","",IFERROR(1*'Procyclean 520'!E327,IFERROR(_xludf.NUMBERVALUE('Procyclean 520'!E327,".",","),IFERROR(_xludf.NUMBERVALUE('Procyclean 520'!E327,",","."),0))))</f>
        <v/>
      </c>
      <c r="AE2825" t="str">
        <f>IF(AA2825="","",'Procyclean 520'!B327)</f>
        <v/>
      </c>
      <c r="AF2825">
        <f t="shared" si="281"/>
        <v>0</v>
      </c>
      <c r="AG2825" t="str">
        <f t="shared" si="282"/>
        <v/>
      </c>
      <c r="AH2825" t="str">
        <f t="shared" si="283"/>
        <v/>
      </c>
      <c r="AI2825">
        <f t="shared" si="284"/>
        <v>0</v>
      </c>
      <c r="AJ2825">
        <f t="shared" si="285"/>
        <v>0</v>
      </c>
      <c r="AK2825">
        <v>0</v>
      </c>
      <c r="AL2825" t="str">
        <f>IF(AA2825="","",IFERROR(IF(ISNUMBER('Procyclean 520'!F327),'Procyclean 520'!F327,IF(ISNUMBER(SEARCH("12",'Procyclean 520'!F327)),EDATE(AB2825,12),IF(ISNUMBER(SEARCH("6",'Procyclean 520'!F327)),EDATE(AB2825,6),IF(ISNUMBER(SEARCH("3",'Procyclean 520'!F327)),EDATE(AB2825,3),DATEVALUE('Procyclean 520'!F327))))),""))</f>
        <v/>
      </c>
      <c r="AM2825" t="str">
        <f t="shared" ca="1" si="286"/>
        <v/>
      </c>
    </row>
    <row r="2826" spans="27:39" x14ac:dyDescent="0.3">
      <c r="AA2826" t="str">
        <f>IF(COUNTA('Procyclean 520'!C328,'Procyclean 520'!D328,'Procyclean 520'!E328)&gt;0,"520","")</f>
        <v/>
      </c>
      <c r="AB2826" t="str">
        <f>IFERROR(IF(ISNUMBER('Procyclean 520'!C328),'Procyclean 520'!C328,DATEVALUE('Procyclean 520'!C328)),"")</f>
        <v/>
      </c>
      <c r="AC2826" t="str">
        <f>IF(AA2826="","",'Procyclean 520'!D328)</f>
        <v/>
      </c>
      <c r="AD2826" t="str">
        <f>IF(AA2826="","",IFERROR(1*'Procyclean 520'!E328,IFERROR(_xludf.NUMBERVALUE('Procyclean 520'!E328,".",","),IFERROR(_xludf.NUMBERVALUE('Procyclean 520'!E328,",","."),0))))</f>
        <v/>
      </c>
      <c r="AE2826" t="str">
        <f>IF(AA2826="","",'Procyclean 520'!B328)</f>
        <v/>
      </c>
      <c r="AF2826">
        <f t="shared" si="281"/>
        <v>0</v>
      </c>
      <c r="AG2826" t="str">
        <f t="shared" si="282"/>
        <v/>
      </c>
      <c r="AH2826" t="str">
        <f t="shared" si="283"/>
        <v/>
      </c>
      <c r="AI2826">
        <f t="shared" si="284"/>
        <v>0</v>
      </c>
      <c r="AJ2826">
        <f t="shared" si="285"/>
        <v>0</v>
      </c>
      <c r="AK2826">
        <v>0</v>
      </c>
      <c r="AL2826" t="str">
        <f>IF(AA2826="","",IFERROR(IF(ISNUMBER('Procyclean 520'!F328),'Procyclean 520'!F328,IF(ISNUMBER(SEARCH("12",'Procyclean 520'!F328)),EDATE(AB2826,12),IF(ISNUMBER(SEARCH("6",'Procyclean 520'!F328)),EDATE(AB2826,6),IF(ISNUMBER(SEARCH("3",'Procyclean 520'!F328)),EDATE(AB2826,3),DATEVALUE('Procyclean 520'!F328))))),""))</f>
        <v/>
      </c>
      <c r="AM2826" t="str">
        <f t="shared" ca="1" si="286"/>
        <v/>
      </c>
    </row>
    <row r="2827" spans="27:39" x14ac:dyDescent="0.3">
      <c r="AA2827" t="str">
        <f>IF(COUNTA('Procyclean 520'!C329,'Procyclean 520'!D329,'Procyclean 520'!E329)&gt;0,"520","")</f>
        <v/>
      </c>
      <c r="AB2827" t="str">
        <f>IFERROR(IF(ISNUMBER('Procyclean 520'!C329),'Procyclean 520'!C329,DATEVALUE('Procyclean 520'!C329)),"")</f>
        <v/>
      </c>
      <c r="AC2827" t="str">
        <f>IF(AA2827="","",'Procyclean 520'!D329)</f>
        <v/>
      </c>
      <c r="AD2827" t="str">
        <f>IF(AA2827="","",IFERROR(1*'Procyclean 520'!E329,IFERROR(_xludf.NUMBERVALUE('Procyclean 520'!E329,".",","),IFERROR(_xludf.NUMBERVALUE('Procyclean 520'!E329,",","."),0))))</f>
        <v/>
      </c>
      <c r="AE2827" t="str">
        <f>IF(AA2827="","",'Procyclean 520'!B329)</f>
        <v/>
      </c>
      <c r="AF2827">
        <f t="shared" si="281"/>
        <v>0</v>
      </c>
      <c r="AG2827" t="str">
        <f t="shared" si="282"/>
        <v/>
      </c>
      <c r="AH2827" t="str">
        <f t="shared" si="283"/>
        <v/>
      </c>
      <c r="AI2827">
        <f t="shared" si="284"/>
        <v>0</v>
      </c>
      <c r="AJ2827">
        <f t="shared" si="285"/>
        <v>0</v>
      </c>
      <c r="AK2827">
        <v>0</v>
      </c>
      <c r="AL2827" t="str">
        <f>IF(AA2827="","",IFERROR(IF(ISNUMBER('Procyclean 520'!F329),'Procyclean 520'!F329,IF(ISNUMBER(SEARCH("12",'Procyclean 520'!F329)),EDATE(AB2827,12),IF(ISNUMBER(SEARCH("6",'Procyclean 520'!F329)),EDATE(AB2827,6),IF(ISNUMBER(SEARCH("3",'Procyclean 520'!F329)),EDATE(AB2827,3),DATEVALUE('Procyclean 520'!F329))))),""))</f>
        <v/>
      </c>
      <c r="AM2827" t="str">
        <f t="shared" ca="1" si="286"/>
        <v/>
      </c>
    </row>
    <row r="2828" spans="27:39" x14ac:dyDescent="0.3">
      <c r="AA2828" t="str">
        <f>IF(COUNTA('Procyclean 520'!C330,'Procyclean 520'!D330,'Procyclean 520'!E330)&gt;0,"520","")</f>
        <v/>
      </c>
      <c r="AB2828" t="str">
        <f>IFERROR(IF(ISNUMBER('Procyclean 520'!C330),'Procyclean 520'!C330,DATEVALUE('Procyclean 520'!C330)),"")</f>
        <v/>
      </c>
      <c r="AC2828" t="str">
        <f>IF(AA2828="","",'Procyclean 520'!D330)</f>
        <v/>
      </c>
      <c r="AD2828" t="str">
        <f>IF(AA2828="","",IFERROR(1*'Procyclean 520'!E330,IFERROR(_xludf.NUMBERVALUE('Procyclean 520'!E330,".",","),IFERROR(_xludf.NUMBERVALUE('Procyclean 520'!E330,",","."),0))))</f>
        <v/>
      </c>
      <c r="AE2828" t="str">
        <f>IF(AA2828="","",'Procyclean 520'!B330)</f>
        <v/>
      </c>
      <c r="AF2828">
        <f t="shared" si="281"/>
        <v>0</v>
      </c>
      <c r="AG2828" t="str">
        <f t="shared" si="282"/>
        <v/>
      </c>
      <c r="AH2828" t="str">
        <f t="shared" si="283"/>
        <v/>
      </c>
      <c r="AI2828">
        <f t="shared" si="284"/>
        <v>0</v>
      </c>
      <c r="AJ2828">
        <f t="shared" si="285"/>
        <v>0</v>
      </c>
      <c r="AK2828">
        <v>0</v>
      </c>
      <c r="AL2828" t="str">
        <f>IF(AA2828="","",IFERROR(IF(ISNUMBER('Procyclean 520'!F330),'Procyclean 520'!F330,IF(ISNUMBER(SEARCH("12",'Procyclean 520'!F330)),EDATE(AB2828,12),IF(ISNUMBER(SEARCH("6",'Procyclean 520'!F330)),EDATE(AB2828,6),IF(ISNUMBER(SEARCH("3",'Procyclean 520'!F330)),EDATE(AB2828,3),DATEVALUE('Procyclean 520'!F330))))),""))</f>
        <v/>
      </c>
      <c r="AM2828" t="str">
        <f t="shared" ca="1" si="286"/>
        <v/>
      </c>
    </row>
    <row r="2829" spans="27:39" x14ac:dyDescent="0.3">
      <c r="AA2829" t="str">
        <f>IF(COUNTA('Procyclean 520'!C331,'Procyclean 520'!D331,'Procyclean 520'!E331)&gt;0,"520","")</f>
        <v/>
      </c>
      <c r="AB2829" t="str">
        <f>IFERROR(IF(ISNUMBER('Procyclean 520'!C331),'Procyclean 520'!C331,DATEVALUE('Procyclean 520'!C331)),"")</f>
        <v/>
      </c>
      <c r="AC2829" t="str">
        <f>IF(AA2829="","",'Procyclean 520'!D331)</f>
        <v/>
      </c>
      <c r="AD2829" t="str">
        <f>IF(AA2829="","",IFERROR(1*'Procyclean 520'!E331,IFERROR(_xludf.NUMBERVALUE('Procyclean 520'!E331,".",","),IFERROR(_xludf.NUMBERVALUE('Procyclean 520'!E331,",","."),0))))</f>
        <v/>
      </c>
      <c r="AE2829" t="str">
        <f>IF(AA2829="","",'Procyclean 520'!B331)</f>
        <v/>
      </c>
      <c r="AF2829">
        <f t="shared" si="281"/>
        <v>0</v>
      </c>
      <c r="AG2829" t="str">
        <f t="shared" si="282"/>
        <v/>
      </c>
      <c r="AH2829" t="str">
        <f t="shared" si="283"/>
        <v/>
      </c>
      <c r="AI2829">
        <f t="shared" si="284"/>
        <v>0</v>
      </c>
      <c r="AJ2829">
        <f t="shared" si="285"/>
        <v>0</v>
      </c>
      <c r="AK2829">
        <v>0</v>
      </c>
      <c r="AL2829" t="str">
        <f>IF(AA2829="","",IFERROR(IF(ISNUMBER('Procyclean 520'!F331),'Procyclean 520'!F331,IF(ISNUMBER(SEARCH("12",'Procyclean 520'!F331)),EDATE(AB2829,12),IF(ISNUMBER(SEARCH("6",'Procyclean 520'!F331)),EDATE(AB2829,6),IF(ISNUMBER(SEARCH("3",'Procyclean 520'!F331)),EDATE(AB2829,3),DATEVALUE('Procyclean 520'!F331))))),""))</f>
        <v/>
      </c>
      <c r="AM2829" t="str">
        <f t="shared" ca="1" si="286"/>
        <v/>
      </c>
    </row>
    <row r="2830" spans="27:39" x14ac:dyDescent="0.3">
      <c r="AA2830" t="str">
        <f>IF(COUNTA('Procyclean 520'!C332,'Procyclean 520'!D332,'Procyclean 520'!E332)&gt;0,"520","")</f>
        <v/>
      </c>
      <c r="AB2830" t="str">
        <f>IFERROR(IF(ISNUMBER('Procyclean 520'!C332),'Procyclean 520'!C332,DATEVALUE('Procyclean 520'!C332)),"")</f>
        <v/>
      </c>
      <c r="AC2830" t="str">
        <f>IF(AA2830="","",'Procyclean 520'!D332)</f>
        <v/>
      </c>
      <c r="AD2830" t="str">
        <f>IF(AA2830="","",IFERROR(1*'Procyclean 520'!E332,IFERROR(_xludf.NUMBERVALUE('Procyclean 520'!E332,".",","),IFERROR(_xludf.NUMBERVALUE('Procyclean 520'!E332,",","."),0))))</f>
        <v/>
      </c>
      <c r="AE2830" t="str">
        <f>IF(AA2830="","",'Procyclean 520'!B332)</f>
        <v/>
      </c>
      <c r="AF2830">
        <f t="shared" si="281"/>
        <v>0</v>
      </c>
      <c r="AG2830" t="str">
        <f t="shared" si="282"/>
        <v/>
      </c>
      <c r="AH2830" t="str">
        <f t="shared" si="283"/>
        <v/>
      </c>
      <c r="AI2830">
        <f t="shared" si="284"/>
        <v>0</v>
      </c>
      <c r="AJ2830">
        <f t="shared" si="285"/>
        <v>0</v>
      </c>
      <c r="AK2830">
        <v>0</v>
      </c>
      <c r="AL2830" t="str">
        <f>IF(AA2830="","",IFERROR(IF(ISNUMBER('Procyclean 520'!F332),'Procyclean 520'!F332,IF(ISNUMBER(SEARCH("12",'Procyclean 520'!F332)),EDATE(AB2830,12),IF(ISNUMBER(SEARCH("6",'Procyclean 520'!F332)),EDATE(AB2830,6),IF(ISNUMBER(SEARCH("3",'Procyclean 520'!F332)),EDATE(AB2830,3),DATEVALUE('Procyclean 520'!F332))))),""))</f>
        <v/>
      </c>
      <c r="AM2830" t="str">
        <f t="shared" ca="1" si="286"/>
        <v/>
      </c>
    </row>
    <row r="2831" spans="27:39" x14ac:dyDescent="0.3">
      <c r="AA2831" t="str">
        <f>IF(COUNTA('Procyclean 520'!C333,'Procyclean 520'!D333,'Procyclean 520'!E333)&gt;0,"520","")</f>
        <v/>
      </c>
      <c r="AB2831" t="str">
        <f>IFERROR(IF(ISNUMBER('Procyclean 520'!C333),'Procyclean 520'!C333,DATEVALUE('Procyclean 520'!C333)),"")</f>
        <v/>
      </c>
      <c r="AC2831" t="str">
        <f>IF(AA2831="","",'Procyclean 520'!D333)</f>
        <v/>
      </c>
      <c r="AD2831" t="str">
        <f>IF(AA2831="","",IFERROR(1*'Procyclean 520'!E333,IFERROR(_xludf.NUMBERVALUE('Procyclean 520'!E333,".",","),IFERROR(_xludf.NUMBERVALUE('Procyclean 520'!E333,",","."),0))))</f>
        <v/>
      </c>
      <c r="AE2831" t="str">
        <f>IF(AA2831="","",'Procyclean 520'!B333)</f>
        <v/>
      </c>
      <c r="AF2831">
        <f t="shared" si="281"/>
        <v>0</v>
      </c>
      <c r="AG2831" t="str">
        <f t="shared" si="282"/>
        <v/>
      </c>
      <c r="AH2831" t="str">
        <f t="shared" si="283"/>
        <v/>
      </c>
      <c r="AI2831">
        <f t="shared" si="284"/>
        <v>0</v>
      </c>
      <c r="AJ2831">
        <f t="shared" si="285"/>
        <v>0</v>
      </c>
      <c r="AK2831">
        <v>0</v>
      </c>
      <c r="AL2831" t="str">
        <f>IF(AA2831="","",IFERROR(IF(ISNUMBER('Procyclean 520'!F333),'Procyclean 520'!F333,IF(ISNUMBER(SEARCH("12",'Procyclean 520'!F333)),EDATE(AB2831,12),IF(ISNUMBER(SEARCH("6",'Procyclean 520'!F333)),EDATE(AB2831,6),IF(ISNUMBER(SEARCH("3",'Procyclean 520'!F333)),EDATE(AB2831,3),DATEVALUE('Procyclean 520'!F333))))),""))</f>
        <v/>
      </c>
      <c r="AM2831" t="str">
        <f t="shared" ca="1" si="286"/>
        <v/>
      </c>
    </row>
    <row r="2832" spans="27:39" x14ac:dyDescent="0.3">
      <c r="AA2832" t="str">
        <f>IF(COUNTA('Procyclean 520'!C334,'Procyclean 520'!D334,'Procyclean 520'!E334)&gt;0,"520","")</f>
        <v/>
      </c>
      <c r="AB2832" t="str">
        <f>IFERROR(IF(ISNUMBER('Procyclean 520'!C334),'Procyclean 520'!C334,DATEVALUE('Procyclean 520'!C334)),"")</f>
        <v/>
      </c>
      <c r="AC2832" t="str">
        <f>IF(AA2832="","",'Procyclean 520'!D334)</f>
        <v/>
      </c>
      <c r="AD2832" t="str">
        <f>IF(AA2832="","",IFERROR(1*'Procyclean 520'!E334,IFERROR(_xludf.NUMBERVALUE('Procyclean 520'!E334,".",","),IFERROR(_xludf.NUMBERVALUE('Procyclean 520'!E334,",","."),0))))</f>
        <v/>
      </c>
      <c r="AE2832" t="str">
        <f>IF(AA2832="","",'Procyclean 520'!B334)</f>
        <v/>
      </c>
      <c r="AF2832">
        <f t="shared" si="281"/>
        <v>0</v>
      </c>
      <c r="AG2832" t="str">
        <f t="shared" si="282"/>
        <v/>
      </c>
      <c r="AH2832" t="str">
        <f t="shared" si="283"/>
        <v/>
      </c>
      <c r="AI2832">
        <f t="shared" si="284"/>
        <v>0</v>
      </c>
      <c r="AJ2832">
        <f t="shared" si="285"/>
        <v>0</v>
      </c>
      <c r="AK2832">
        <v>0</v>
      </c>
      <c r="AL2832" t="str">
        <f>IF(AA2832="","",IFERROR(IF(ISNUMBER('Procyclean 520'!F334),'Procyclean 520'!F334,IF(ISNUMBER(SEARCH("12",'Procyclean 520'!F334)),EDATE(AB2832,12),IF(ISNUMBER(SEARCH("6",'Procyclean 520'!F334)),EDATE(AB2832,6),IF(ISNUMBER(SEARCH("3",'Procyclean 520'!F334)),EDATE(AB2832,3),DATEVALUE('Procyclean 520'!F334))))),""))</f>
        <v/>
      </c>
      <c r="AM2832" t="str">
        <f t="shared" ca="1" si="286"/>
        <v/>
      </c>
    </row>
    <row r="2833" spans="27:39" x14ac:dyDescent="0.3">
      <c r="AA2833" t="str">
        <f>IF(COUNTA('Procyclean 520'!C335,'Procyclean 520'!D335,'Procyclean 520'!E335)&gt;0,"520","")</f>
        <v/>
      </c>
      <c r="AB2833" t="str">
        <f>IFERROR(IF(ISNUMBER('Procyclean 520'!C335),'Procyclean 520'!C335,DATEVALUE('Procyclean 520'!C335)),"")</f>
        <v/>
      </c>
      <c r="AC2833" t="str">
        <f>IF(AA2833="","",'Procyclean 520'!D335)</f>
        <v/>
      </c>
      <c r="AD2833" t="str">
        <f>IF(AA2833="","",IFERROR(1*'Procyclean 520'!E335,IFERROR(_xludf.NUMBERVALUE('Procyclean 520'!E335,".",","),IFERROR(_xludf.NUMBERVALUE('Procyclean 520'!E335,",","."),0))))</f>
        <v/>
      </c>
      <c r="AE2833" t="str">
        <f>IF(AA2833="","",'Procyclean 520'!B335)</f>
        <v/>
      </c>
      <c r="AF2833">
        <f t="shared" si="281"/>
        <v>0</v>
      </c>
      <c r="AG2833" t="str">
        <f t="shared" si="282"/>
        <v/>
      </c>
      <c r="AH2833" t="str">
        <f t="shared" si="283"/>
        <v/>
      </c>
      <c r="AI2833">
        <f t="shared" si="284"/>
        <v>0</v>
      </c>
      <c r="AJ2833">
        <f t="shared" si="285"/>
        <v>0</v>
      </c>
      <c r="AK2833">
        <v>0</v>
      </c>
      <c r="AL2833" t="str">
        <f>IF(AA2833="","",IFERROR(IF(ISNUMBER('Procyclean 520'!F335),'Procyclean 520'!F335,IF(ISNUMBER(SEARCH("12",'Procyclean 520'!F335)),EDATE(AB2833,12),IF(ISNUMBER(SEARCH("6",'Procyclean 520'!F335)),EDATE(AB2833,6),IF(ISNUMBER(SEARCH("3",'Procyclean 520'!F335)),EDATE(AB2833,3),DATEVALUE('Procyclean 520'!F335))))),""))</f>
        <v/>
      </c>
      <c r="AM2833" t="str">
        <f t="shared" ca="1" si="286"/>
        <v/>
      </c>
    </row>
    <row r="2834" spans="27:39" x14ac:dyDescent="0.3">
      <c r="AA2834" t="str">
        <f>IF(COUNTA('Procyclean 520'!C336,'Procyclean 520'!D336,'Procyclean 520'!E336)&gt;0,"520","")</f>
        <v/>
      </c>
      <c r="AB2834" t="str">
        <f>IFERROR(IF(ISNUMBER('Procyclean 520'!C336),'Procyclean 520'!C336,DATEVALUE('Procyclean 520'!C336)),"")</f>
        <v/>
      </c>
      <c r="AC2834" t="str">
        <f>IF(AA2834="","",'Procyclean 520'!D336)</f>
        <v/>
      </c>
      <c r="AD2834" t="str">
        <f>IF(AA2834="","",IFERROR(1*'Procyclean 520'!E336,IFERROR(_xludf.NUMBERVALUE('Procyclean 520'!E336,".",","),IFERROR(_xludf.NUMBERVALUE('Procyclean 520'!E336,",","."),0))))</f>
        <v/>
      </c>
      <c r="AE2834" t="str">
        <f>IF(AA2834="","",'Procyclean 520'!B336)</f>
        <v/>
      </c>
      <c r="AF2834">
        <f t="shared" si="281"/>
        <v>0</v>
      </c>
      <c r="AG2834" t="str">
        <f t="shared" si="282"/>
        <v/>
      </c>
      <c r="AH2834" t="str">
        <f t="shared" si="283"/>
        <v/>
      </c>
      <c r="AI2834">
        <f t="shared" si="284"/>
        <v>0</v>
      </c>
      <c r="AJ2834">
        <f t="shared" si="285"/>
        <v>0</v>
      </c>
      <c r="AK2834">
        <v>0</v>
      </c>
      <c r="AL2834" t="str">
        <f>IF(AA2834="","",IFERROR(IF(ISNUMBER('Procyclean 520'!F336),'Procyclean 520'!F336,IF(ISNUMBER(SEARCH("12",'Procyclean 520'!F336)),EDATE(AB2834,12),IF(ISNUMBER(SEARCH("6",'Procyclean 520'!F336)),EDATE(AB2834,6),IF(ISNUMBER(SEARCH("3",'Procyclean 520'!F336)),EDATE(AB2834,3),DATEVALUE('Procyclean 520'!F336))))),""))</f>
        <v/>
      </c>
      <c r="AM2834" t="str">
        <f t="shared" ca="1" si="286"/>
        <v/>
      </c>
    </row>
    <row r="2835" spans="27:39" x14ac:dyDescent="0.3">
      <c r="AA2835" t="str">
        <f>IF(COUNTA('Procyclean 520'!C337,'Procyclean 520'!D337,'Procyclean 520'!E337)&gt;0,"520","")</f>
        <v/>
      </c>
      <c r="AB2835" t="str">
        <f>IFERROR(IF(ISNUMBER('Procyclean 520'!C337),'Procyclean 520'!C337,DATEVALUE('Procyclean 520'!C337)),"")</f>
        <v/>
      </c>
      <c r="AC2835" t="str">
        <f>IF(AA2835="","",'Procyclean 520'!D337)</f>
        <v/>
      </c>
      <c r="AD2835" t="str">
        <f>IF(AA2835="","",IFERROR(1*'Procyclean 520'!E337,IFERROR(_xludf.NUMBERVALUE('Procyclean 520'!E337,".",","),IFERROR(_xludf.NUMBERVALUE('Procyclean 520'!E337,",","."),0))))</f>
        <v/>
      </c>
      <c r="AE2835" t="str">
        <f>IF(AA2835="","",'Procyclean 520'!B337)</f>
        <v/>
      </c>
      <c r="AF2835">
        <f t="shared" si="281"/>
        <v>0</v>
      </c>
      <c r="AG2835" t="str">
        <f t="shared" si="282"/>
        <v/>
      </c>
      <c r="AH2835" t="str">
        <f t="shared" si="283"/>
        <v/>
      </c>
      <c r="AI2835">
        <f t="shared" si="284"/>
        <v>0</v>
      </c>
      <c r="AJ2835">
        <f t="shared" si="285"/>
        <v>0</v>
      </c>
      <c r="AK2835">
        <v>0</v>
      </c>
      <c r="AL2835" t="str">
        <f>IF(AA2835="","",IFERROR(IF(ISNUMBER('Procyclean 520'!F337),'Procyclean 520'!F337,IF(ISNUMBER(SEARCH("12",'Procyclean 520'!F337)),EDATE(AB2835,12),IF(ISNUMBER(SEARCH("6",'Procyclean 520'!F337)),EDATE(AB2835,6),IF(ISNUMBER(SEARCH("3",'Procyclean 520'!F337)),EDATE(AB2835,3),DATEVALUE('Procyclean 520'!F337))))),""))</f>
        <v/>
      </c>
      <c r="AM2835" t="str">
        <f t="shared" ca="1" si="286"/>
        <v/>
      </c>
    </row>
    <row r="2836" spans="27:39" x14ac:dyDescent="0.3">
      <c r="AA2836" t="str">
        <f>IF(COUNTA('Procyclean 520'!C338,'Procyclean 520'!D338,'Procyclean 520'!E338)&gt;0,"520","")</f>
        <v/>
      </c>
      <c r="AB2836" t="str">
        <f>IFERROR(IF(ISNUMBER('Procyclean 520'!C338),'Procyclean 520'!C338,DATEVALUE('Procyclean 520'!C338)),"")</f>
        <v/>
      </c>
      <c r="AC2836" t="str">
        <f>IF(AA2836="","",'Procyclean 520'!D338)</f>
        <v/>
      </c>
      <c r="AD2836" t="str">
        <f>IF(AA2836="","",IFERROR(1*'Procyclean 520'!E338,IFERROR(_xludf.NUMBERVALUE('Procyclean 520'!E338,".",","),IFERROR(_xludf.NUMBERVALUE('Procyclean 520'!E338,",","."),0))))</f>
        <v/>
      </c>
      <c r="AE2836" t="str">
        <f>IF(AA2836="","",'Procyclean 520'!B338)</f>
        <v/>
      </c>
      <c r="AF2836">
        <f t="shared" si="281"/>
        <v>0</v>
      </c>
      <c r="AG2836" t="str">
        <f t="shared" si="282"/>
        <v/>
      </c>
      <c r="AH2836" t="str">
        <f t="shared" si="283"/>
        <v/>
      </c>
      <c r="AI2836">
        <f t="shared" si="284"/>
        <v>0</v>
      </c>
      <c r="AJ2836">
        <f t="shared" si="285"/>
        <v>0</v>
      </c>
      <c r="AK2836">
        <v>0</v>
      </c>
      <c r="AL2836" t="str">
        <f>IF(AA2836="","",IFERROR(IF(ISNUMBER('Procyclean 520'!F338),'Procyclean 520'!F338,IF(ISNUMBER(SEARCH("12",'Procyclean 520'!F338)),EDATE(AB2836,12),IF(ISNUMBER(SEARCH("6",'Procyclean 520'!F338)),EDATE(AB2836,6),IF(ISNUMBER(SEARCH("3",'Procyclean 520'!F338)),EDATE(AB2836,3),DATEVALUE('Procyclean 520'!F338))))),""))</f>
        <v/>
      </c>
      <c r="AM2836" t="str">
        <f t="shared" ca="1" si="286"/>
        <v/>
      </c>
    </row>
    <row r="2837" spans="27:39" x14ac:dyDescent="0.3">
      <c r="AA2837" t="str">
        <f>IF(COUNTA('Procyclean 520'!C339,'Procyclean 520'!D339,'Procyclean 520'!E339)&gt;0,"520","")</f>
        <v/>
      </c>
      <c r="AB2837" t="str">
        <f>IFERROR(IF(ISNUMBER('Procyclean 520'!C339),'Procyclean 520'!C339,DATEVALUE('Procyclean 520'!C339)),"")</f>
        <v/>
      </c>
      <c r="AC2837" t="str">
        <f>IF(AA2837="","",'Procyclean 520'!D339)</f>
        <v/>
      </c>
      <c r="AD2837" t="str">
        <f>IF(AA2837="","",IFERROR(1*'Procyclean 520'!E339,IFERROR(_xludf.NUMBERVALUE('Procyclean 520'!E339,".",","),IFERROR(_xludf.NUMBERVALUE('Procyclean 520'!E339,",","."),0))))</f>
        <v/>
      </c>
      <c r="AE2837" t="str">
        <f>IF(AA2837="","",'Procyclean 520'!B339)</f>
        <v/>
      </c>
      <c r="AF2837">
        <f t="shared" si="281"/>
        <v>0</v>
      </c>
      <c r="AG2837" t="str">
        <f t="shared" si="282"/>
        <v/>
      </c>
      <c r="AH2837" t="str">
        <f t="shared" si="283"/>
        <v/>
      </c>
      <c r="AI2837">
        <f t="shared" si="284"/>
        <v>0</v>
      </c>
      <c r="AJ2837">
        <f t="shared" si="285"/>
        <v>0</v>
      </c>
      <c r="AK2837">
        <v>0</v>
      </c>
      <c r="AL2837" t="str">
        <f>IF(AA2837="","",IFERROR(IF(ISNUMBER('Procyclean 520'!F339),'Procyclean 520'!F339,IF(ISNUMBER(SEARCH("12",'Procyclean 520'!F339)),EDATE(AB2837,12),IF(ISNUMBER(SEARCH("6",'Procyclean 520'!F339)),EDATE(AB2837,6),IF(ISNUMBER(SEARCH("3",'Procyclean 520'!F339)),EDATE(AB2837,3),DATEVALUE('Procyclean 520'!F339))))),""))</f>
        <v/>
      </c>
      <c r="AM2837" t="str">
        <f t="shared" ca="1" si="286"/>
        <v/>
      </c>
    </row>
    <row r="2838" spans="27:39" x14ac:dyDescent="0.3">
      <c r="AA2838" t="str">
        <f>IF(COUNTA('Procyclean 520'!C340,'Procyclean 520'!D340,'Procyclean 520'!E340)&gt;0,"520","")</f>
        <v/>
      </c>
      <c r="AB2838" t="str">
        <f>IFERROR(IF(ISNUMBER('Procyclean 520'!C340),'Procyclean 520'!C340,DATEVALUE('Procyclean 520'!C340)),"")</f>
        <v/>
      </c>
      <c r="AC2838" t="str">
        <f>IF(AA2838="","",'Procyclean 520'!D340)</f>
        <v/>
      </c>
      <c r="AD2838" t="str">
        <f>IF(AA2838="","",IFERROR(1*'Procyclean 520'!E340,IFERROR(_xludf.NUMBERVALUE('Procyclean 520'!E340,".",","),IFERROR(_xludf.NUMBERVALUE('Procyclean 520'!E340,",","."),0))))</f>
        <v/>
      </c>
      <c r="AE2838" t="str">
        <f>IF(AA2838="","",'Procyclean 520'!B340)</f>
        <v/>
      </c>
      <c r="AF2838">
        <f t="shared" si="281"/>
        <v>0</v>
      </c>
      <c r="AG2838" t="str">
        <f t="shared" si="282"/>
        <v/>
      </c>
      <c r="AH2838" t="str">
        <f t="shared" si="283"/>
        <v/>
      </c>
      <c r="AI2838">
        <f t="shared" si="284"/>
        <v>0</v>
      </c>
      <c r="AJ2838">
        <f t="shared" si="285"/>
        <v>0</v>
      </c>
      <c r="AK2838">
        <v>0</v>
      </c>
      <c r="AL2838" t="str">
        <f>IF(AA2838="","",IFERROR(IF(ISNUMBER('Procyclean 520'!F340),'Procyclean 520'!F340,IF(ISNUMBER(SEARCH("12",'Procyclean 520'!F340)),EDATE(AB2838,12),IF(ISNUMBER(SEARCH("6",'Procyclean 520'!F340)),EDATE(AB2838,6),IF(ISNUMBER(SEARCH("3",'Procyclean 520'!F340)),EDATE(AB2838,3),DATEVALUE('Procyclean 520'!F340))))),""))</f>
        <v/>
      </c>
      <c r="AM2838" t="str">
        <f t="shared" ca="1" si="286"/>
        <v/>
      </c>
    </row>
    <row r="2839" spans="27:39" x14ac:dyDescent="0.3">
      <c r="AA2839" t="str">
        <f>IF(COUNTA('Procyclean 520'!C341,'Procyclean 520'!D341,'Procyclean 520'!E341)&gt;0,"520","")</f>
        <v/>
      </c>
      <c r="AB2839" t="str">
        <f>IFERROR(IF(ISNUMBER('Procyclean 520'!C341),'Procyclean 520'!C341,DATEVALUE('Procyclean 520'!C341)),"")</f>
        <v/>
      </c>
      <c r="AC2839" t="str">
        <f>IF(AA2839="","",'Procyclean 520'!D341)</f>
        <v/>
      </c>
      <c r="AD2839" t="str">
        <f>IF(AA2839="","",IFERROR(1*'Procyclean 520'!E341,IFERROR(_xludf.NUMBERVALUE('Procyclean 520'!E341,".",","),IFERROR(_xludf.NUMBERVALUE('Procyclean 520'!E341,",","."),0))))</f>
        <v/>
      </c>
      <c r="AE2839" t="str">
        <f>IF(AA2839="","",'Procyclean 520'!B341)</f>
        <v/>
      </c>
      <c r="AF2839">
        <f t="shared" si="281"/>
        <v>0</v>
      </c>
      <c r="AG2839" t="str">
        <f t="shared" si="282"/>
        <v/>
      </c>
      <c r="AH2839" t="str">
        <f t="shared" si="283"/>
        <v/>
      </c>
      <c r="AI2839">
        <f t="shared" si="284"/>
        <v>0</v>
      </c>
      <c r="AJ2839">
        <f t="shared" si="285"/>
        <v>0</v>
      </c>
      <c r="AK2839">
        <v>0</v>
      </c>
      <c r="AL2839" t="str">
        <f>IF(AA2839="","",IFERROR(IF(ISNUMBER('Procyclean 520'!F341),'Procyclean 520'!F341,IF(ISNUMBER(SEARCH("12",'Procyclean 520'!F341)),EDATE(AB2839,12),IF(ISNUMBER(SEARCH("6",'Procyclean 520'!F341)),EDATE(AB2839,6),IF(ISNUMBER(SEARCH("3",'Procyclean 520'!F341)),EDATE(AB2839,3),DATEVALUE('Procyclean 520'!F341))))),""))</f>
        <v/>
      </c>
      <c r="AM2839" t="str">
        <f t="shared" ca="1" si="286"/>
        <v/>
      </c>
    </row>
    <row r="2840" spans="27:39" x14ac:dyDescent="0.3">
      <c r="AA2840" t="str">
        <f>IF(COUNTA('Procyclean 520'!C342,'Procyclean 520'!D342,'Procyclean 520'!E342)&gt;0,"520","")</f>
        <v/>
      </c>
      <c r="AB2840" t="str">
        <f>IFERROR(IF(ISNUMBER('Procyclean 520'!C342),'Procyclean 520'!C342,DATEVALUE('Procyclean 520'!C342)),"")</f>
        <v/>
      </c>
      <c r="AC2840" t="str">
        <f>IF(AA2840="","",'Procyclean 520'!D342)</f>
        <v/>
      </c>
      <c r="AD2840" t="str">
        <f>IF(AA2840="","",IFERROR(1*'Procyclean 520'!E342,IFERROR(_xludf.NUMBERVALUE('Procyclean 520'!E342,".",","),IFERROR(_xludf.NUMBERVALUE('Procyclean 520'!E342,",","."),0))))</f>
        <v/>
      </c>
      <c r="AE2840" t="str">
        <f>IF(AA2840="","",'Procyclean 520'!B342)</f>
        <v/>
      </c>
      <c r="AF2840">
        <f t="shared" si="281"/>
        <v>0</v>
      </c>
      <c r="AG2840" t="str">
        <f t="shared" si="282"/>
        <v/>
      </c>
      <c r="AH2840" t="str">
        <f t="shared" si="283"/>
        <v/>
      </c>
      <c r="AI2840">
        <f t="shared" si="284"/>
        <v>0</v>
      </c>
      <c r="AJ2840">
        <f t="shared" si="285"/>
        <v>0</v>
      </c>
      <c r="AK2840">
        <v>0</v>
      </c>
      <c r="AL2840" t="str">
        <f>IF(AA2840="","",IFERROR(IF(ISNUMBER('Procyclean 520'!F342),'Procyclean 520'!F342,IF(ISNUMBER(SEARCH("12",'Procyclean 520'!F342)),EDATE(AB2840,12),IF(ISNUMBER(SEARCH("6",'Procyclean 520'!F342)),EDATE(AB2840,6),IF(ISNUMBER(SEARCH("3",'Procyclean 520'!F342)),EDATE(AB2840,3),DATEVALUE('Procyclean 520'!F342))))),""))</f>
        <v/>
      </c>
      <c r="AM2840" t="str">
        <f t="shared" ca="1" si="286"/>
        <v/>
      </c>
    </row>
    <row r="2841" spans="27:39" x14ac:dyDescent="0.3">
      <c r="AA2841" t="str">
        <f>IF(COUNTA('Procyclean 520'!C343,'Procyclean 520'!D343,'Procyclean 520'!E343)&gt;0,"520","")</f>
        <v/>
      </c>
      <c r="AB2841" t="str">
        <f>IFERROR(IF(ISNUMBER('Procyclean 520'!C343),'Procyclean 520'!C343,DATEVALUE('Procyclean 520'!C343)),"")</f>
        <v/>
      </c>
      <c r="AC2841" t="str">
        <f>IF(AA2841="","",'Procyclean 520'!D343)</f>
        <v/>
      </c>
      <c r="AD2841" t="str">
        <f>IF(AA2841="","",IFERROR(1*'Procyclean 520'!E343,IFERROR(_xludf.NUMBERVALUE('Procyclean 520'!E343,".",","),IFERROR(_xludf.NUMBERVALUE('Procyclean 520'!E343,",","."),0))))</f>
        <v/>
      </c>
      <c r="AE2841" t="str">
        <f>IF(AA2841="","",'Procyclean 520'!B343)</f>
        <v/>
      </c>
      <c r="AF2841">
        <f t="shared" si="281"/>
        <v>0</v>
      </c>
      <c r="AG2841" t="str">
        <f t="shared" si="282"/>
        <v/>
      </c>
      <c r="AH2841" t="str">
        <f t="shared" si="283"/>
        <v/>
      </c>
      <c r="AI2841">
        <f t="shared" si="284"/>
        <v>0</v>
      </c>
      <c r="AJ2841">
        <f t="shared" si="285"/>
        <v>0</v>
      </c>
      <c r="AK2841">
        <v>0</v>
      </c>
      <c r="AL2841" t="str">
        <f>IF(AA2841="","",IFERROR(IF(ISNUMBER('Procyclean 520'!F343),'Procyclean 520'!F343,IF(ISNUMBER(SEARCH("12",'Procyclean 520'!F343)),EDATE(AB2841,12),IF(ISNUMBER(SEARCH("6",'Procyclean 520'!F343)),EDATE(AB2841,6),IF(ISNUMBER(SEARCH("3",'Procyclean 520'!F343)),EDATE(AB2841,3),DATEVALUE('Procyclean 520'!F343))))),""))</f>
        <v/>
      </c>
      <c r="AM2841" t="str">
        <f t="shared" ca="1" si="286"/>
        <v/>
      </c>
    </row>
    <row r="2842" spans="27:39" x14ac:dyDescent="0.3">
      <c r="AA2842" t="str">
        <f>IF(COUNTA('Procyclean 520'!C344,'Procyclean 520'!D344,'Procyclean 520'!E344)&gt;0,"520","")</f>
        <v/>
      </c>
      <c r="AB2842" t="str">
        <f>IFERROR(IF(ISNUMBER('Procyclean 520'!C344),'Procyclean 520'!C344,DATEVALUE('Procyclean 520'!C344)),"")</f>
        <v/>
      </c>
      <c r="AC2842" t="str">
        <f>IF(AA2842="","",'Procyclean 520'!D344)</f>
        <v/>
      </c>
      <c r="AD2842" t="str">
        <f>IF(AA2842="","",IFERROR(1*'Procyclean 520'!E344,IFERROR(_xludf.NUMBERVALUE('Procyclean 520'!E344,".",","),IFERROR(_xludf.NUMBERVALUE('Procyclean 520'!E344,",","."),0))))</f>
        <v/>
      </c>
      <c r="AE2842" t="str">
        <f>IF(AA2842="","",'Procyclean 520'!B344)</f>
        <v/>
      </c>
      <c r="AF2842">
        <f t="shared" si="281"/>
        <v>0</v>
      </c>
      <c r="AG2842" t="str">
        <f t="shared" si="282"/>
        <v/>
      </c>
      <c r="AH2842" t="str">
        <f t="shared" si="283"/>
        <v/>
      </c>
      <c r="AI2842">
        <f t="shared" si="284"/>
        <v>0</v>
      </c>
      <c r="AJ2842">
        <f t="shared" si="285"/>
        <v>0</v>
      </c>
      <c r="AK2842">
        <v>0</v>
      </c>
      <c r="AL2842" t="str">
        <f>IF(AA2842="","",IFERROR(IF(ISNUMBER('Procyclean 520'!F344),'Procyclean 520'!F344,IF(ISNUMBER(SEARCH("12",'Procyclean 520'!F344)),EDATE(AB2842,12),IF(ISNUMBER(SEARCH("6",'Procyclean 520'!F344)),EDATE(AB2842,6),IF(ISNUMBER(SEARCH("3",'Procyclean 520'!F344)),EDATE(AB2842,3),DATEVALUE('Procyclean 520'!F344))))),""))</f>
        <v/>
      </c>
      <c r="AM2842" t="str">
        <f t="shared" ca="1" si="286"/>
        <v/>
      </c>
    </row>
    <row r="2843" spans="27:39" x14ac:dyDescent="0.3">
      <c r="AA2843" t="str">
        <f>IF(COUNTA('Procyclean 520'!C345,'Procyclean 520'!D345,'Procyclean 520'!E345)&gt;0,"520","")</f>
        <v/>
      </c>
      <c r="AB2843" t="str">
        <f>IFERROR(IF(ISNUMBER('Procyclean 520'!C345),'Procyclean 520'!C345,DATEVALUE('Procyclean 520'!C345)),"")</f>
        <v/>
      </c>
      <c r="AC2843" t="str">
        <f>IF(AA2843="","",'Procyclean 520'!D345)</f>
        <v/>
      </c>
      <c r="AD2843" t="str">
        <f>IF(AA2843="","",IFERROR(1*'Procyclean 520'!E345,IFERROR(_xludf.NUMBERVALUE('Procyclean 520'!E345,".",","),IFERROR(_xludf.NUMBERVALUE('Procyclean 520'!E345,",","."),0))))</f>
        <v/>
      </c>
      <c r="AE2843" t="str">
        <f>IF(AA2843="","",'Procyclean 520'!B345)</f>
        <v/>
      </c>
      <c r="AF2843">
        <f t="shared" si="281"/>
        <v>0</v>
      </c>
      <c r="AG2843" t="str">
        <f t="shared" si="282"/>
        <v/>
      </c>
      <c r="AH2843" t="str">
        <f t="shared" si="283"/>
        <v/>
      </c>
      <c r="AI2843">
        <f t="shared" si="284"/>
        <v>0</v>
      </c>
      <c r="AJ2843">
        <f t="shared" si="285"/>
        <v>0</v>
      </c>
      <c r="AK2843">
        <v>0</v>
      </c>
      <c r="AL2843" t="str">
        <f>IF(AA2843="","",IFERROR(IF(ISNUMBER('Procyclean 520'!F345),'Procyclean 520'!F345,IF(ISNUMBER(SEARCH("12",'Procyclean 520'!F345)),EDATE(AB2843,12),IF(ISNUMBER(SEARCH("6",'Procyclean 520'!F345)),EDATE(AB2843,6),IF(ISNUMBER(SEARCH("3",'Procyclean 520'!F345)),EDATE(AB2843,3),DATEVALUE('Procyclean 520'!F345))))),""))</f>
        <v/>
      </c>
      <c r="AM2843" t="str">
        <f t="shared" ca="1" si="286"/>
        <v/>
      </c>
    </row>
    <row r="2844" spans="27:39" x14ac:dyDescent="0.3">
      <c r="AA2844" t="str">
        <f>IF(COUNTA('Procyclean 520'!C346,'Procyclean 520'!D346,'Procyclean 520'!E346)&gt;0,"520","")</f>
        <v/>
      </c>
      <c r="AB2844" t="str">
        <f>IFERROR(IF(ISNUMBER('Procyclean 520'!C346),'Procyclean 520'!C346,DATEVALUE('Procyclean 520'!C346)),"")</f>
        <v/>
      </c>
      <c r="AC2844" t="str">
        <f>IF(AA2844="","",'Procyclean 520'!D346)</f>
        <v/>
      </c>
      <c r="AD2844" t="str">
        <f>IF(AA2844="","",IFERROR(1*'Procyclean 520'!E346,IFERROR(_xludf.NUMBERVALUE('Procyclean 520'!E346,".",","),IFERROR(_xludf.NUMBERVALUE('Procyclean 520'!E346,",","."),0))))</f>
        <v/>
      </c>
      <c r="AE2844" t="str">
        <f>IF(AA2844="","",'Procyclean 520'!B346)</f>
        <v/>
      </c>
      <c r="AF2844">
        <f t="shared" si="281"/>
        <v>0</v>
      </c>
      <c r="AG2844" t="str">
        <f t="shared" si="282"/>
        <v/>
      </c>
      <c r="AH2844" t="str">
        <f t="shared" si="283"/>
        <v/>
      </c>
      <c r="AI2844">
        <f t="shared" si="284"/>
        <v>0</v>
      </c>
      <c r="AJ2844">
        <f t="shared" si="285"/>
        <v>0</v>
      </c>
      <c r="AK2844">
        <v>0</v>
      </c>
      <c r="AL2844" t="str">
        <f>IF(AA2844="","",IFERROR(IF(ISNUMBER('Procyclean 520'!F346),'Procyclean 520'!F346,IF(ISNUMBER(SEARCH("12",'Procyclean 520'!F346)),EDATE(AB2844,12),IF(ISNUMBER(SEARCH("6",'Procyclean 520'!F346)),EDATE(AB2844,6),IF(ISNUMBER(SEARCH("3",'Procyclean 520'!F346)),EDATE(AB2844,3),DATEVALUE('Procyclean 520'!F346))))),""))</f>
        <v/>
      </c>
      <c r="AM2844" t="str">
        <f t="shared" ca="1" si="286"/>
        <v/>
      </c>
    </row>
    <row r="2845" spans="27:39" x14ac:dyDescent="0.3">
      <c r="AA2845" t="str">
        <f>IF(COUNTA('Procyclean 520'!C347,'Procyclean 520'!D347,'Procyclean 520'!E347)&gt;0,"520","")</f>
        <v/>
      </c>
      <c r="AB2845" t="str">
        <f>IFERROR(IF(ISNUMBER('Procyclean 520'!C347),'Procyclean 520'!C347,DATEVALUE('Procyclean 520'!C347)),"")</f>
        <v/>
      </c>
      <c r="AC2845" t="str">
        <f>IF(AA2845="","",'Procyclean 520'!D347)</f>
        <v/>
      </c>
      <c r="AD2845" t="str">
        <f>IF(AA2845="","",IFERROR(1*'Procyclean 520'!E347,IFERROR(_xludf.NUMBERVALUE('Procyclean 520'!E347,".",","),IFERROR(_xludf.NUMBERVALUE('Procyclean 520'!E347,",","."),0))))</f>
        <v/>
      </c>
      <c r="AE2845" t="str">
        <f>IF(AA2845="","",'Procyclean 520'!B347)</f>
        <v/>
      </c>
      <c r="AF2845">
        <f t="shared" si="281"/>
        <v>0</v>
      </c>
      <c r="AG2845" t="str">
        <f t="shared" si="282"/>
        <v/>
      </c>
      <c r="AH2845" t="str">
        <f t="shared" si="283"/>
        <v/>
      </c>
      <c r="AI2845">
        <f t="shared" si="284"/>
        <v>0</v>
      </c>
      <c r="AJ2845">
        <f t="shared" si="285"/>
        <v>0</v>
      </c>
      <c r="AK2845">
        <v>0</v>
      </c>
      <c r="AL2845" t="str">
        <f>IF(AA2845="","",IFERROR(IF(ISNUMBER('Procyclean 520'!F347),'Procyclean 520'!F347,IF(ISNUMBER(SEARCH("12",'Procyclean 520'!F347)),EDATE(AB2845,12),IF(ISNUMBER(SEARCH("6",'Procyclean 520'!F347)),EDATE(AB2845,6),IF(ISNUMBER(SEARCH("3",'Procyclean 520'!F347)),EDATE(AB2845,3),DATEVALUE('Procyclean 520'!F347))))),""))</f>
        <v/>
      </c>
      <c r="AM2845" t="str">
        <f t="shared" ca="1" si="286"/>
        <v/>
      </c>
    </row>
    <row r="2846" spans="27:39" x14ac:dyDescent="0.3">
      <c r="AA2846" t="str">
        <f>IF(COUNTA('Procyclean 520'!C348,'Procyclean 520'!D348,'Procyclean 520'!E348)&gt;0,"520","")</f>
        <v/>
      </c>
      <c r="AB2846" t="str">
        <f>IFERROR(IF(ISNUMBER('Procyclean 520'!C348),'Procyclean 520'!C348,DATEVALUE('Procyclean 520'!C348)),"")</f>
        <v/>
      </c>
      <c r="AC2846" t="str">
        <f>IF(AA2846="","",'Procyclean 520'!D348)</f>
        <v/>
      </c>
      <c r="AD2846" t="str">
        <f>IF(AA2846="","",IFERROR(1*'Procyclean 520'!E348,IFERROR(_xludf.NUMBERVALUE('Procyclean 520'!E348,".",","),IFERROR(_xludf.NUMBERVALUE('Procyclean 520'!E348,",","."),0))))</f>
        <v/>
      </c>
      <c r="AE2846" t="str">
        <f>IF(AA2846="","",'Procyclean 520'!B348)</f>
        <v/>
      </c>
      <c r="AF2846">
        <f t="shared" si="281"/>
        <v>0</v>
      </c>
      <c r="AG2846" t="str">
        <f t="shared" si="282"/>
        <v/>
      </c>
      <c r="AH2846" t="str">
        <f t="shared" si="283"/>
        <v/>
      </c>
      <c r="AI2846">
        <f t="shared" si="284"/>
        <v>0</v>
      </c>
      <c r="AJ2846">
        <f t="shared" si="285"/>
        <v>0</v>
      </c>
      <c r="AK2846">
        <v>0</v>
      </c>
      <c r="AL2846" t="str">
        <f>IF(AA2846="","",IFERROR(IF(ISNUMBER('Procyclean 520'!F348),'Procyclean 520'!F348,IF(ISNUMBER(SEARCH("12",'Procyclean 520'!F348)),EDATE(AB2846,12),IF(ISNUMBER(SEARCH("6",'Procyclean 520'!F348)),EDATE(AB2846,6),IF(ISNUMBER(SEARCH("3",'Procyclean 520'!F348)),EDATE(AB2846,3),DATEVALUE('Procyclean 520'!F348))))),""))</f>
        <v/>
      </c>
      <c r="AM2846" t="str">
        <f t="shared" ca="1" si="286"/>
        <v/>
      </c>
    </row>
    <row r="2847" spans="27:39" x14ac:dyDescent="0.3">
      <c r="AA2847" t="str">
        <f>IF(COUNTA('Procyclean 520'!C349,'Procyclean 520'!D349,'Procyclean 520'!E349)&gt;0,"520","")</f>
        <v/>
      </c>
      <c r="AB2847" t="str">
        <f>IFERROR(IF(ISNUMBER('Procyclean 520'!C349),'Procyclean 520'!C349,DATEVALUE('Procyclean 520'!C349)),"")</f>
        <v/>
      </c>
      <c r="AC2847" t="str">
        <f>IF(AA2847="","",'Procyclean 520'!D349)</f>
        <v/>
      </c>
      <c r="AD2847" t="str">
        <f>IF(AA2847="","",IFERROR(1*'Procyclean 520'!E349,IFERROR(_xludf.NUMBERVALUE('Procyclean 520'!E349,".",","),IFERROR(_xludf.NUMBERVALUE('Procyclean 520'!E349,",","."),0))))</f>
        <v/>
      </c>
      <c r="AE2847" t="str">
        <f>IF(AA2847="","",'Procyclean 520'!B349)</f>
        <v/>
      </c>
      <c r="AF2847">
        <f t="shared" si="281"/>
        <v>0</v>
      </c>
      <c r="AG2847" t="str">
        <f t="shared" si="282"/>
        <v/>
      </c>
      <c r="AH2847" t="str">
        <f t="shared" si="283"/>
        <v/>
      </c>
      <c r="AI2847">
        <f t="shared" si="284"/>
        <v>0</v>
      </c>
      <c r="AJ2847">
        <f t="shared" si="285"/>
        <v>0</v>
      </c>
      <c r="AK2847">
        <v>0</v>
      </c>
      <c r="AL2847" t="str">
        <f>IF(AA2847="","",IFERROR(IF(ISNUMBER('Procyclean 520'!F349),'Procyclean 520'!F349,IF(ISNUMBER(SEARCH("12",'Procyclean 520'!F349)),EDATE(AB2847,12),IF(ISNUMBER(SEARCH("6",'Procyclean 520'!F349)),EDATE(AB2847,6),IF(ISNUMBER(SEARCH("3",'Procyclean 520'!F349)),EDATE(AB2847,3),DATEVALUE('Procyclean 520'!F349))))),""))</f>
        <v/>
      </c>
      <c r="AM2847" t="str">
        <f t="shared" ca="1" si="286"/>
        <v/>
      </c>
    </row>
    <row r="2848" spans="27:39" x14ac:dyDescent="0.3">
      <c r="AA2848" t="str">
        <f>IF(COUNTA('Procyclean 520'!C350,'Procyclean 520'!D350,'Procyclean 520'!E350)&gt;0,"520","")</f>
        <v/>
      </c>
      <c r="AB2848" t="str">
        <f>IFERROR(IF(ISNUMBER('Procyclean 520'!C350),'Procyclean 520'!C350,DATEVALUE('Procyclean 520'!C350)),"")</f>
        <v/>
      </c>
      <c r="AC2848" t="str">
        <f>IF(AA2848="","",'Procyclean 520'!D350)</f>
        <v/>
      </c>
      <c r="AD2848" t="str">
        <f>IF(AA2848="","",IFERROR(1*'Procyclean 520'!E350,IFERROR(_xludf.NUMBERVALUE('Procyclean 520'!E350,".",","),IFERROR(_xludf.NUMBERVALUE('Procyclean 520'!E350,",","."),0))))</f>
        <v/>
      </c>
      <c r="AE2848" t="str">
        <f>IF(AA2848="","",'Procyclean 520'!B350)</f>
        <v/>
      </c>
      <c r="AF2848">
        <f t="shared" si="281"/>
        <v>0</v>
      </c>
      <c r="AG2848" t="str">
        <f t="shared" si="282"/>
        <v/>
      </c>
      <c r="AH2848" t="str">
        <f t="shared" si="283"/>
        <v/>
      </c>
      <c r="AI2848">
        <f t="shared" si="284"/>
        <v>0</v>
      </c>
      <c r="AJ2848">
        <f t="shared" si="285"/>
        <v>0</v>
      </c>
      <c r="AK2848">
        <v>0</v>
      </c>
      <c r="AL2848" t="str">
        <f>IF(AA2848="","",IFERROR(IF(ISNUMBER('Procyclean 520'!F350),'Procyclean 520'!F350,IF(ISNUMBER(SEARCH("12",'Procyclean 520'!F350)),EDATE(AB2848,12),IF(ISNUMBER(SEARCH("6",'Procyclean 520'!F350)),EDATE(AB2848,6),IF(ISNUMBER(SEARCH("3",'Procyclean 520'!F350)),EDATE(AB2848,3),DATEVALUE('Procyclean 520'!F350))))),""))</f>
        <v/>
      </c>
      <c r="AM2848" t="str">
        <f t="shared" ca="1" si="286"/>
        <v/>
      </c>
    </row>
    <row r="2849" spans="27:39" x14ac:dyDescent="0.3">
      <c r="AA2849" t="str">
        <f>IF(COUNTA('Procyclean 520'!C351,'Procyclean 520'!D351,'Procyclean 520'!E351)&gt;0,"520","")</f>
        <v/>
      </c>
      <c r="AB2849" t="str">
        <f>IFERROR(IF(ISNUMBER('Procyclean 520'!C351),'Procyclean 520'!C351,DATEVALUE('Procyclean 520'!C351)),"")</f>
        <v/>
      </c>
      <c r="AC2849" t="str">
        <f>IF(AA2849="","",'Procyclean 520'!D351)</f>
        <v/>
      </c>
      <c r="AD2849" t="str">
        <f>IF(AA2849="","",IFERROR(1*'Procyclean 520'!E351,IFERROR(_xludf.NUMBERVALUE('Procyclean 520'!E351,".",","),IFERROR(_xludf.NUMBERVALUE('Procyclean 520'!E351,",","."),0))))</f>
        <v/>
      </c>
      <c r="AE2849" t="str">
        <f>IF(AA2849="","",'Procyclean 520'!B351)</f>
        <v/>
      </c>
      <c r="AF2849">
        <f t="shared" si="281"/>
        <v>0</v>
      </c>
      <c r="AG2849" t="str">
        <f t="shared" si="282"/>
        <v/>
      </c>
      <c r="AH2849" t="str">
        <f t="shared" si="283"/>
        <v/>
      </c>
      <c r="AI2849">
        <f t="shared" si="284"/>
        <v>0</v>
      </c>
      <c r="AJ2849">
        <f t="shared" si="285"/>
        <v>0</v>
      </c>
      <c r="AK2849">
        <v>0</v>
      </c>
      <c r="AL2849" t="str">
        <f>IF(AA2849="","",IFERROR(IF(ISNUMBER('Procyclean 520'!F351),'Procyclean 520'!F351,IF(ISNUMBER(SEARCH("12",'Procyclean 520'!F351)),EDATE(AB2849,12),IF(ISNUMBER(SEARCH("6",'Procyclean 520'!F351)),EDATE(AB2849,6),IF(ISNUMBER(SEARCH("3",'Procyclean 520'!F351)),EDATE(AB2849,3),DATEVALUE('Procyclean 520'!F351))))),""))</f>
        <v/>
      </c>
      <c r="AM2849" t="str">
        <f t="shared" ca="1" si="286"/>
        <v/>
      </c>
    </row>
    <row r="2850" spans="27:39" x14ac:dyDescent="0.3">
      <c r="AA2850" t="str">
        <f>IF(COUNTA('Procyclean 520'!C352,'Procyclean 520'!D352,'Procyclean 520'!E352)&gt;0,"520","")</f>
        <v/>
      </c>
      <c r="AB2850" t="str">
        <f>IFERROR(IF(ISNUMBER('Procyclean 520'!C352),'Procyclean 520'!C352,DATEVALUE('Procyclean 520'!C352)),"")</f>
        <v/>
      </c>
      <c r="AC2850" t="str">
        <f>IF(AA2850="","",'Procyclean 520'!D352)</f>
        <v/>
      </c>
      <c r="AD2850" t="str">
        <f>IF(AA2850="","",IFERROR(1*'Procyclean 520'!E352,IFERROR(_xludf.NUMBERVALUE('Procyclean 520'!E352,".",","),IFERROR(_xludf.NUMBERVALUE('Procyclean 520'!E352,",","."),0))))</f>
        <v/>
      </c>
      <c r="AE2850" t="str">
        <f>IF(AA2850="","",'Procyclean 520'!B352)</f>
        <v/>
      </c>
      <c r="AF2850">
        <f t="shared" si="281"/>
        <v>0</v>
      </c>
      <c r="AG2850" t="str">
        <f t="shared" si="282"/>
        <v/>
      </c>
      <c r="AH2850" t="str">
        <f t="shared" si="283"/>
        <v/>
      </c>
      <c r="AI2850">
        <f t="shared" si="284"/>
        <v>0</v>
      </c>
      <c r="AJ2850">
        <f t="shared" si="285"/>
        <v>0</v>
      </c>
      <c r="AK2850">
        <v>0</v>
      </c>
      <c r="AL2850" t="str">
        <f>IF(AA2850="","",IFERROR(IF(ISNUMBER('Procyclean 520'!F352),'Procyclean 520'!F352,IF(ISNUMBER(SEARCH("12",'Procyclean 520'!F352)),EDATE(AB2850,12),IF(ISNUMBER(SEARCH("6",'Procyclean 520'!F352)),EDATE(AB2850,6),IF(ISNUMBER(SEARCH("3",'Procyclean 520'!F352)),EDATE(AB2850,3),DATEVALUE('Procyclean 520'!F352))))),""))</f>
        <v/>
      </c>
      <c r="AM2850" t="str">
        <f t="shared" ca="1" si="286"/>
        <v/>
      </c>
    </row>
    <row r="2851" spans="27:39" x14ac:dyDescent="0.3">
      <c r="AA2851" t="str">
        <f>IF(COUNTA('Procyclean 520'!C353,'Procyclean 520'!D353,'Procyclean 520'!E353)&gt;0,"520","")</f>
        <v/>
      </c>
      <c r="AB2851" t="str">
        <f>IFERROR(IF(ISNUMBER('Procyclean 520'!C353),'Procyclean 520'!C353,DATEVALUE('Procyclean 520'!C353)),"")</f>
        <v/>
      </c>
      <c r="AC2851" t="str">
        <f>IF(AA2851="","",'Procyclean 520'!D353)</f>
        <v/>
      </c>
      <c r="AD2851" t="str">
        <f>IF(AA2851="","",IFERROR(1*'Procyclean 520'!E353,IFERROR(_xludf.NUMBERVALUE('Procyclean 520'!E353,".",","),IFERROR(_xludf.NUMBERVALUE('Procyclean 520'!E353,",","."),0))))</f>
        <v/>
      </c>
      <c r="AE2851" t="str">
        <f>IF(AA2851="","",'Procyclean 520'!B353)</f>
        <v/>
      </c>
      <c r="AF2851">
        <f t="shared" si="281"/>
        <v>0</v>
      </c>
      <c r="AG2851" t="str">
        <f t="shared" si="282"/>
        <v/>
      </c>
      <c r="AH2851" t="str">
        <f t="shared" si="283"/>
        <v/>
      </c>
      <c r="AI2851">
        <f t="shared" si="284"/>
        <v>0</v>
      </c>
      <c r="AJ2851">
        <f t="shared" si="285"/>
        <v>0</v>
      </c>
      <c r="AK2851">
        <v>0</v>
      </c>
      <c r="AL2851" t="str">
        <f>IF(AA2851="","",IFERROR(IF(ISNUMBER('Procyclean 520'!F353),'Procyclean 520'!F353,IF(ISNUMBER(SEARCH("12",'Procyclean 520'!F353)),EDATE(AB2851,12),IF(ISNUMBER(SEARCH("6",'Procyclean 520'!F353)),EDATE(AB2851,6),IF(ISNUMBER(SEARCH("3",'Procyclean 520'!F353)),EDATE(AB2851,3),DATEVALUE('Procyclean 520'!F353))))),""))</f>
        <v/>
      </c>
      <c r="AM2851" t="str">
        <f t="shared" ca="1" si="286"/>
        <v/>
      </c>
    </row>
    <row r="2852" spans="27:39" x14ac:dyDescent="0.3">
      <c r="AA2852" t="str">
        <f>IF(COUNTA('Procyclean 520'!C354,'Procyclean 520'!D354,'Procyclean 520'!E354)&gt;0,"520","")</f>
        <v/>
      </c>
      <c r="AB2852" t="str">
        <f>IFERROR(IF(ISNUMBER('Procyclean 520'!C354),'Procyclean 520'!C354,DATEVALUE('Procyclean 520'!C354)),"")</f>
        <v/>
      </c>
      <c r="AC2852" t="str">
        <f>IF(AA2852="","",'Procyclean 520'!D354)</f>
        <v/>
      </c>
      <c r="AD2852" t="str">
        <f>IF(AA2852="","",IFERROR(1*'Procyclean 520'!E354,IFERROR(_xludf.NUMBERVALUE('Procyclean 520'!E354,".",","),IFERROR(_xludf.NUMBERVALUE('Procyclean 520'!E354,",","."),0))))</f>
        <v/>
      </c>
      <c r="AE2852" t="str">
        <f>IF(AA2852="","",'Procyclean 520'!B354)</f>
        <v/>
      </c>
      <c r="AF2852">
        <f t="shared" si="281"/>
        <v>0</v>
      </c>
      <c r="AG2852" t="str">
        <f t="shared" si="282"/>
        <v/>
      </c>
      <c r="AH2852" t="str">
        <f t="shared" si="283"/>
        <v/>
      </c>
      <c r="AI2852">
        <f t="shared" si="284"/>
        <v>0</v>
      </c>
      <c r="AJ2852">
        <f t="shared" si="285"/>
        <v>0</v>
      </c>
      <c r="AK2852">
        <v>0</v>
      </c>
      <c r="AL2852" t="str">
        <f>IF(AA2852="","",IFERROR(IF(ISNUMBER('Procyclean 520'!F354),'Procyclean 520'!F354,IF(ISNUMBER(SEARCH("12",'Procyclean 520'!F354)),EDATE(AB2852,12),IF(ISNUMBER(SEARCH("6",'Procyclean 520'!F354)),EDATE(AB2852,6),IF(ISNUMBER(SEARCH("3",'Procyclean 520'!F354)),EDATE(AB2852,3),DATEVALUE('Procyclean 520'!F354))))),""))</f>
        <v/>
      </c>
      <c r="AM2852" t="str">
        <f t="shared" ca="1" si="286"/>
        <v/>
      </c>
    </row>
    <row r="2853" spans="27:39" x14ac:dyDescent="0.3">
      <c r="AA2853" t="str">
        <f>IF(COUNTA('Procyclean 520'!C355,'Procyclean 520'!D355,'Procyclean 520'!E355)&gt;0,"520","")</f>
        <v/>
      </c>
      <c r="AB2853" t="str">
        <f>IFERROR(IF(ISNUMBER('Procyclean 520'!C355),'Procyclean 520'!C355,DATEVALUE('Procyclean 520'!C355)),"")</f>
        <v/>
      </c>
      <c r="AC2853" t="str">
        <f>IF(AA2853="","",'Procyclean 520'!D355)</f>
        <v/>
      </c>
      <c r="AD2853" t="str">
        <f>IF(AA2853="","",IFERROR(1*'Procyclean 520'!E355,IFERROR(_xludf.NUMBERVALUE('Procyclean 520'!E355,".",","),IFERROR(_xludf.NUMBERVALUE('Procyclean 520'!E355,",","."),0))))</f>
        <v/>
      </c>
      <c r="AE2853" t="str">
        <f>IF(AA2853="","",'Procyclean 520'!B355)</f>
        <v/>
      </c>
      <c r="AF2853">
        <f t="shared" si="281"/>
        <v>0</v>
      </c>
      <c r="AG2853" t="str">
        <f t="shared" si="282"/>
        <v/>
      </c>
      <c r="AH2853" t="str">
        <f t="shared" si="283"/>
        <v/>
      </c>
      <c r="AI2853">
        <f t="shared" si="284"/>
        <v>0</v>
      </c>
      <c r="AJ2853">
        <f t="shared" si="285"/>
        <v>0</v>
      </c>
      <c r="AK2853">
        <v>0</v>
      </c>
      <c r="AL2853" t="str">
        <f>IF(AA2853="","",IFERROR(IF(ISNUMBER('Procyclean 520'!F355),'Procyclean 520'!F355,IF(ISNUMBER(SEARCH("12",'Procyclean 520'!F355)),EDATE(AB2853,12),IF(ISNUMBER(SEARCH("6",'Procyclean 520'!F355)),EDATE(AB2853,6),IF(ISNUMBER(SEARCH("3",'Procyclean 520'!F355)),EDATE(AB2853,3),DATEVALUE('Procyclean 520'!F355))))),""))</f>
        <v/>
      </c>
      <c r="AM2853" t="str">
        <f t="shared" ca="1" si="286"/>
        <v/>
      </c>
    </row>
    <row r="2854" spans="27:39" x14ac:dyDescent="0.3">
      <c r="AA2854" t="str">
        <f>IF(COUNTA('Procyclean 520'!C356,'Procyclean 520'!D356,'Procyclean 520'!E356)&gt;0,"520","")</f>
        <v/>
      </c>
      <c r="AB2854" t="str">
        <f>IFERROR(IF(ISNUMBER('Procyclean 520'!C356),'Procyclean 520'!C356,DATEVALUE('Procyclean 520'!C356)),"")</f>
        <v/>
      </c>
      <c r="AC2854" t="str">
        <f>IF(AA2854="","",'Procyclean 520'!D356)</f>
        <v/>
      </c>
      <c r="AD2854" t="str">
        <f>IF(AA2854="","",IFERROR(1*'Procyclean 520'!E356,IFERROR(_xludf.NUMBERVALUE('Procyclean 520'!E356,".",","),IFERROR(_xludf.NUMBERVALUE('Procyclean 520'!E356,",","."),0))))</f>
        <v/>
      </c>
      <c r="AE2854" t="str">
        <f>IF(AA2854="","",'Procyclean 520'!B356)</f>
        <v/>
      </c>
      <c r="AF2854">
        <f t="shared" si="281"/>
        <v>0</v>
      </c>
      <c r="AG2854" t="str">
        <f t="shared" si="282"/>
        <v/>
      </c>
      <c r="AH2854" t="str">
        <f t="shared" si="283"/>
        <v/>
      </c>
      <c r="AI2854">
        <f t="shared" si="284"/>
        <v>0</v>
      </c>
      <c r="AJ2854">
        <f t="shared" si="285"/>
        <v>0</v>
      </c>
      <c r="AK2854">
        <v>0</v>
      </c>
      <c r="AL2854" t="str">
        <f>IF(AA2854="","",IFERROR(IF(ISNUMBER('Procyclean 520'!F356),'Procyclean 520'!F356,IF(ISNUMBER(SEARCH("12",'Procyclean 520'!F356)),EDATE(AB2854,12),IF(ISNUMBER(SEARCH("6",'Procyclean 520'!F356)),EDATE(AB2854,6),IF(ISNUMBER(SEARCH("3",'Procyclean 520'!F356)),EDATE(AB2854,3),DATEVALUE('Procyclean 520'!F356))))),""))</f>
        <v/>
      </c>
      <c r="AM2854" t="str">
        <f t="shared" ca="1" si="286"/>
        <v/>
      </c>
    </row>
    <row r="2855" spans="27:39" x14ac:dyDescent="0.3">
      <c r="AA2855" t="str">
        <f>IF(COUNTA('Procyclean 520'!C357,'Procyclean 520'!D357,'Procyclean 520'!E357)&gt;0,"520","")</f>
        <v/>
      </c>
      <c r="AB2855" t="str">
        <f>IFERROR(IF(ISNUMBER('Procyclean 520'!C357),'Procyclean 520'!C357,DATEVALUE('Procyclean 520'!C357)),"")</f>
        <v/>
      </c>
      <c r="AC2855" t="str">
        <f>IF(AA2855="","",'Procyclean 520'!D357)</f>
        <v/>
      </c>
      <c r="AD2855" t="str">
        <f>IF(AA2855="","",IFERROR(1*'Procyclean 520'!E357,IFERROR(_xludf.NUMBERVALUE('Procyclean 520'!E357,".",","),IFERROR(_xludf.NUMBERVALUE('Procyclean 520'!E357,",","."),0))))</f>
        <v/>
      </c>
      <c r="AE2855" t="str">
        <f>IF(AA2855="","",'Procyclean 520'!B357)</f>
        <v/>
      </c>
      <c r="AF2855">
        <f t="shared" si="281"/>
        <v>0</v>
      </c>
      <c r="AG2855" t="str">
        <f t="shared" si="282"/>
        <v/>
      </c>
      <c r="AH2855" t="str">
        <f t="shared" si="283"/>
        <v/>
      </c>
      <c r="AI2855">
        <f t="shared" si="284"/>
        <v>0</v>
      </c>
      <c r="AJ2855">
        <f t="shared" si="285"/>
        <v>0</v>
      </c>
      <c r="AK2855">
        <v>0</v>
      </c>
      <c r="AL2855" t="str">
        <f>IF(AA2855="","",IFERROR(IF(ISNUMBER('Procyclean 520'!F357),'Procyclean 520'!F357,IF(ISNUMBER(SEARCH("12",'Procyclean 520'!F357)),EDATE(AB2855,12),IF(ISNUMBER(SEARCH("6",'Procyclean 520'!F357)),EDATE(AB2855,6),IF(ISNUMBER(SEARCH("3",'Procyclean 520'!F357)),EDATE(AB2855,3),DATEVALUE('Procyclean 520'!F357))))),""))</f>
        <v/>
      </c>
      <c r="AM2855" t="str">
        <f t="shared" ca="1" si="286"/>
        <v/>
      </c>
    </row>
    <row r="2856" spans="27:39" x14ac:dyDescent="0.3">
      <c r="AA2856" t="str">
        <f>IF(COUNTA('Procyclean 520'!C358,'Procyclean 520'!D358,'Procyclean 520'!E358)&gt;0,"520","")</f>
        <v/>
      </c>
      <c r="AB2856" t="str">
        <f>IFERROR(IF(ISNUMBER('Procyclean 520'!C358),'Procyclean 520'!C358,DATEVALUE('Procyclean 520'!C358)),"")</f>
        <v/>
      </c>
      <c r="AC2856" t="str">
        <f>IF(AA2856="","",'Procyclean 520'!D358)</f>
        <v/>
      </c>
      <c r="AD2856" t="str">
        <f>IF(AA2856="","",IFERROR(1*'Procyclean 520'!E358,IFERROR(_xludf.NUMBERVALUE('Procyclean 520'!E358,".",","),IFERROR(_xludf.NUMBERVALUE('Procyclean 520'!E358,",","."),0))))</f>
        <v/>
      </c>
      <c r="AE2856" t="str">
        <f>IF(AA2856="","",'Procyclean 520'!B358)</f>
        <v/>
      </c>
      <c r="AF2856">
        <f t="shared" si="281"/>
        <v>0</v>
      </c>
      <c r="AG2856" t="str">
        <f t="shared" si="282"/>
        <v/>
      </c>
      <c r="AH2856" t="str">
        <f t="shared" si="283"/>
        <v/>
      </c>
      <c r="AI2856">
        <f t="shared" si="284"/>
        <v>0</v>
      </c>
      <c r="AJ2856">
        <f t="shared" si="285"/>
        <v>0</v>
      </c>
      <c r="AK2856">
        <v>0</v>
      </c>
      <c r="AL2856" t="str">
        <f>IF(AA2856="","",IFERROR(IF(ISNUMBER('Procyclean 520'!F358),'Procyclean 520'!F358,IF(ISNUMBER(SEARCH("12",'Procyclean 520'!F358)),EDATE(AB2856,12),IF(ISNUMBER(SEARCH("6",'Procyclean 520'!F358)),EDATE(AB2856,6),IF(ISNUMBER(SEARCH("3",'Procyclean 520'!F358)),EDATE(AB2856,3),DATEVALUE('Procyclean 520'!F358))))),""))</f>
        <v/>
      </c>
      <c r="AM2856" t="str">
        <f t="shared" ca="1" si="286"/>
        <v/>
      </c>
    </row>
    <row r="2857" spans="27:39" x14ac:dyDescent="0.3">
      <c r="AA2857" t="str">
        <f>IF(COUNTA('Procyclean 520'!C359,'Procyclean 520'!D359,'Procyclean 520'!E359)&gt;0,"520","")</f>
        <v/>
      </c>
      <c r="AB2857" t="str">
        <f>IFERROR(IF(ISNUMBER('Procyclean 520'!C359),'Procyclean 520'!C359,DATEVALUE('Procyclean 520'!C359)),"")</f>
        <v/>
      </c>
      <c r="AC2857" t="str">
        <f>IF(AA2857="","",'Procyclean 520'!D359)</f>
        <v/>
      </c>
      <c r="AD2857" t="str">
        <f>IF(AA2857="","",IFERROR(1*'Procyclean 520'!E359,IFERROR(_xludf.NUMBERVALUE('Procyclean 520'!E359,".",","),IFERROR(_xludf.NUMBERVALUE('Procyclean 520'!E359,",","."),0))))</f>
        <v/>
      </c>
      <c r="AE2857" t="str">
        <f>IF(AA2857="","",'Procyclean 520'!B359)</f>
        <v/>
      </c>
      <c r="AF2857">
        <f t="shared" si="281"/>
        <v>0</v>
      </c>
      <c r="AG2857" t="str">
        <f t="shared" si="282"/>
        <v/>
      </c>
      <c r="AH2857" t="str">
        <f t="shared" si="283"/>
        <v/>
      </c>
      <c r="AI2857">
        <f t="shared" si="284"/>
        <v>0</v>
      </c>
      <c r="AJ2857">
        <f t="shared" si="285"/>
        <v>0</v>
      </c>
      <c r="AK2857">
        <v>0</v>
      </c>
      <c r="AL2857" t="str">
        <f>IF(AA2857="","",IFERROR(IF(ISNUMBER('Procyclean 520'!F359),'Procyclean 520'!F359,IF(ISNUMBER(SEARCH("12",'Procyclean 520'!F359)),EDATE(AB2857,12),IF(ISNUMBER(SEARCH("6",'Procyclean 520'!F359)),EDATE(AB2857,6),IF(ISNUMBER(SEARCH("3",'Procyclean 520'!F359)),EDATE(AB2857,3),DATEVALUE('Procyclean 520'!F359))))),""))</f>
        <v/>
      </c>
      <c r="AM2857" t="str">
        <f t="shared" ca="1" si="286"/>
        <v/>
      </c>
    </row>
    <row r="2858" spans="27:39" x14ac:dyDescent="0.3">
      <c r="AA2858" t="str">
        <f>IF(COUNTA('Procyclean 520'!C360,'Procyclean 520'!D360,'Procyclean 520'!E360)&gt;0,"520","")</f>
        <v/>
      </c>
      <c r="AB2858" t="str">
        <f>IFERROR(IF(ISNUMBER('Procyclean 520'!C360),'Procyclean 520'!C360,DATEVALUE('Procyclean 520'!C360)),"")</f>
        <v/>
      </c>
      <c r="AC2858" t="str">
        <f>IF(AA2858="","",'Procyclean 520'!D360)</f>
        <v/>
      </c>
      <c r="AD2858" t="str">
        <f>IF(AA2858="","",IFERROR(1*'Procyclean 520'!E360,IFERROR(_xludf.NUMBERVALUE('Procyclean 520'!E360,".",","),IFERROR(_xludf.NUMBERVALUE('Procyclean 520'!E360,",","."),0))))</f>
        <v/>
      </c>
      <c r="AE2858" t="str">
        <f>IF(AA2858="","",'Procyclean 520'!B360)</f>
        <v/>
      </c>
      <c r="AF2858">
        <f t="shared" si="281"/>
        <v>0</v>
      </c>
      <c r="AG2858" t="str">
        <f t="shared" si="282"/>
        <v/>
      </c>
      <c r="AH2858" t="str">
        <f t="shared" si="283"/>
        <v/>
      </c>
      <c r="AI2858">
        <f t="shared" si="284"/>
        <v>0</v>
      </c>
      <c r="AJ2858">
        <f t="shared" si="285"/>
        <v>0</v>
      </c>
      <c r="AK2858">
        <v>0</v>
      </c>
      <c r="AL2858" t="str">
        <f>IF(AA2858="","",IFERROR(IF(ISNUMBER('Procyclean 520'!F360),'Procyclean 520'!F360,IF(ISNUMBER(SEARCH("12",'Procyclean 520'!F360)),EDATE(AB2858,12),IF(ISNUMBER(SEARCH("6",'Procyclean 520'!F360)),EDATE(AB2858,6),IF(ISNUMBER(SEARCH("3",'Procyclean 520'!F360)),EDATE(AB2858,3),DATEVALUE('Procyclean 520'!F360))))),""))</f>
        <v/>
      </c>
      <c r="AM2858" t="str">
        <f t="shared" ca="1" si="286"/>
        <v/>
      </c>
    </row>
    <row r="2859" spans="27:39" x14ac:dyDescent="0.3">
      <c r="AA2859" t="str">
        <f>IF(COUNTA('Procyclean 520'!C361,'Procyclean 520'!D361,'Procyclean 520'!E361)&gt;0,"520","")</f>
        <v/>
      </c>
      <c r="AB2859" t="str">
        <f>IFERROR(IF(ISNUMBER('Procyclean 520'!C361),'Procyclean 520'!C361,DATEVALUE('Procyclean 520'!C361)),"")</f>
        <v/>
      </c>
      <c r="AC2859" t="str">
        <f>IF(AA2859="","",'Procyclean 520'!D361)</f>
        <v/>
      </c>
      <c r="AD2859" t="str">
        <f>IF(AA2859="","",IFERROR(1*'Procyclean 520'!E361,IFERROR(_xludf.NUMBERVALUE('Procyclean 520'!E361,".",","),IFERROR(_xludf.NUMBERVALUE('Procyclean 520'!E361,",","."),0))))</f>
        <v/>
      </c>
      <c r="AE2859" t="str">
        <f>IF(AA2859="","",'Procyclean 520'!B361)</f>
        <v/>
      </c>
      <c r="AF2859">
        <f t="shared" si="281"/>
        <v>0</v>
      </c>
      <c r="AG2859" t="str">
        <f t="shared" si="282"/>
        <v/>
      </c>
      <c r="AH2859" t="str">
        <f t="shared" si="283"/>
        <v/>
      </c>
      <c r="AI2859">
        <f t="shared" si="284"/>
        <v>0</v>
      </c>
      <c r="AJ2859">
        <f t="shared" si="285"/>
        <v>0</v>
      </c>
      <c r="AK2859">
        <v>0</v>
      </c>
      <c r="AL2859" t="str">
        <f>IF(AA2859="","",IFERROR(IF(ISNUMBER('Procyclean 520'!F361),'Procyclean 520'!F361,IF(ISNUMBER(SEARCH("12",'Procyclean 520'!F361)),EDATE(AB2859,12),IF(ISNUMBER(SEARCH("6",'Procyclean 520'!F361)),EDATE(AB2859,6),IF(ISNUMBER(SEARCH("3",'Procyclean 520'!F361)),EDATE(AB2859,3),DATEVALUE('Procyclean 520'!F361))))),""))</f>
        <v/>
      </c>
      <c r="AM2859" t="str">
        <f t="shared" ca="1" si="286"/>
        <v/>
      </c>
    </row>
    <row r="2860" spans="27:39" x14ac:dyDescent="0.3">
      <c r="AA2860" t="str">
        <f>IF(COUNTA('Procyclean 520'!C362,'Procyclean 520'!D362,'Procyclean 520'!E362)&gt;0,"520","")</f>
        <v/>
      </c>
      <c r="AB2860" t="str">
        <f>IFERROR(IF(ISNUMBER('Procyclean 520'!C362),'Procyclean 520'!C362,DATEVALUE('Procyclean 520'!C362)),"")</f>
        <v/>
      </c>
      <c r="AC2860" t="str">
        <f>IF(AA2860="","",'Procyclean 520'!D362)</f>
        <v/>
      </c>
      <c r="AD2860" t="str">
        <f>IF(AA2860="","",IFERROR(1*'Procyclean 520'!E362,IFERROR(_xludf.NUMBERVALUE('Procyclean 520'!E362,".",","),IFERROR(_xludf.NUMBERVALUE('Procyclean 520'!E362,",","."),0))))</f>
        <v/>
      </c>
      <c r="AE2860" t="str">
        <f>IF(AA2860="","",'Procyclean 520'!B362)</f>
        <v/>
      </c>
      <c r="AF2860">
        <f t="shared" si="281"/>
        <v>0</v>
      </c>
      <c r="AG2860" t="str">
        <f t="shared" si="282"/>
        <v/>
      </c>
      <c r="AH2860" t="str">
        <f t="shared" si="283"/>
        <v/>
      </c>
      <c r="AI2860">
        <f t="shared" si="284"/>
        <v>0</v>
      </c>
      <c r="AJ2860">
        <f t="shared" si="285"/>
        <v>0</v>
      </c>
      <c r="AK2860">
        <v>0</v>
      </c>
      <c r="AL2860" t="str">
        <f>IF(AA2860="","",IFERROR(IF(ISNUMBER('Procyclean 520'!F362),'Procyclean 520'!F362,IF(ISNUMBER(SEARCH("12",'Procyclean 520'!F362)),EDATE(AB2860,12),IF(ISNUMBER(SEARCH("6",'Procyclean 520'!F362)),EDATE(AB2860,6),IF(ISNUMBER(SEARCH("3",'Procyclean 520'!F362)),EDATE(AB2860,3),DATEVALUE('Procyclean 520'!F362))))),""))</f>
        <v/>
      </c>
      <c r="AM2860" t="str">
        <f t="shared" ca="1" si="286"/>
        <v/>
      </c>
    </row>
    <row r="2861" spans="27:39" x14ac:dyDescent="0.3">
      <c r="AA2861" t="str">
        <f>IF(COUNTA('Procyclean 520'!C363,'Procyclean 520'!D363,'Procyclean 520'!E363)&gt;0,"520","")</f>
        <v/>
      </c>
      <c r="AB2861" t="str">
        <f>IFERROR(IF(ISNUMBER('Procyclean 520'!C363),'Procyclean 520'!C363,DATEVALUE('Procyclean 520'!C363)),"")</f>
        <v/>
      </c>
      <c r="AC2861" t="str">
        <f>IF(AA2861="","",'Procyclean 520'!D363)</f>
        <v/>
      </c>
      <c r="AD2861" t="str">
        <f>IF(AA2861="","",IFERROR(1*'Procyclean 520'!E363,IFERROR(_xludf.NUMBERVALUE('Procyclean 520'!E363,".",","),IFERROR(_xludf.NUMBERVALUE('Procyclean 520'!E363,",","."),0))))</f>
        <v/>
      </c>
      <c r="AE2861" t="str">
        <f>IF(AA2861="","",'Procyclean 520'!B363)</f>
        <v/>
      </c>
      <c r="AF2861">
        <f t="shared" si="281"/>
        <v>0</v>
      </c>
      <c r="AG2861" t="str">
        <f t="shared" si="282"/>
        <v/>
      </c>
      <c r="AH2861" t="str">
        <f t="shared" si="283"/>
        <v/>
      </c>
      <c r="AI2861">
        <f t="shared" si="284"/>
        <v>0</v>
      </c>
      <c r="AJ2861">
        <f t="shared" si="285"/>
        <v>0</v>
      </c>
      <c r="AK2861">
        <v>0</v>
      </c>
      <c r="AL2861" t="str">
        <f>IF(AA2861="","",IFERROR(IF(ISNUMBER('Procyclean 520'!F363),'Procyclean 520'!F363,IF(ISNUMBER(SEARCH("12",'Procyclean 520'!F363)),EDATE(AB2861,12),IF(ISNUMBER(SEARCH("6",'Procyclean 520'!F363)),EDATE(AB2861,6),IF(ISNUMBER(SEARCH("3",'Procyclean 520'!F363)),EDATE(AB2861,3),DATEVALUE('Procyclean 520'!F363))))),""))</f>
        <v/>
      </c>
      <c r="AM2861" t="str">
        <f t="shared" ca="1" si="286"/>
        <v/>
      </c>
    </row>
    <row r="2862" spans="27:39" x14ac:dyDescent="0.3">
      <c r="AA2862" t="str">
        <f>IF(COUNTA('Procyclean 520'!C364,'Procyclean 520'!D364,'Procyclean 520'!E364)&gt;0,"520","")</f>
        <v/>
      </c>
      <c r="AB2862" t="str">
        <f>IFERROR(IF(ISNUMBER('Procyclean 520'!C364),'Procyclean 520'!C364,DATEVALUE('Procyclean 520'!C364)),"")</f>
        <v/>
      </c>
      <c r="AC2862" t="str">
        <f>IF(AA2862="","",'Procyclean 520'!D364)</f>
        <v/>
      </c>
      <c r="AD2862" t="str">
        <f>IF(AA2862="","",IFERROR(1*'Procyclean 520'!E364,IFERROR(_xludf.NUMBERVALUE('Procyclean 520'!E364,".",","),IFERROR(_xludf.NUMBERVALUE('Procyclean 520'!E364,",","."),0))))</f>
        <v/>
      </c>
      <c r="AE2862" t="str">
        <f>IF(AA2862="","",'Procyclean 520'!B364)</f>
        <v/>
      </c>
      <c r="AF2862">
        <f t="shared" si="281"/>
        <v>0</v>
      </c>
      <c r="AG2862" t="str">
        <f t="shared" si="282"/>
        <v/>
      </c>
      <c r="AH2862" t="str">
        <f t="shared" si="283"/>
        <v/>
      </c>
      <c r="AI2862">
        <f t="shared" si="284"/>
        <v>0</v>
      </c>
      <c r="AJ2862">
        <f t="shared" si="285"/>
        <v>0</v>
      </c>
      <c r="AK2862">
        <v>0</v>
      </c>
      <c r="AL2862" t="str">
        <f>IF(AA2862="","",IFERROR(IF(ISNUMBER('Procyclean 520'!F364),'Procyclean 520'!F364,IF(ISNUMBER(SEARCH("12",'Procyclean 520'!F364)),EDATE(AB2862,12),IF(ISNUMBER(SEARCH("6",'Procyclean 520'!F364)),EDATE(AB2862,6),IF(ISNUMBER(SEARCH("3",'Procyclean 520'!F364)),EDATE(AB2862,3),DATEVALUE('Procyclean 520'!F364))))),""))</f>
        <v/>
      </c>
      <c r="AM2862" t="str">
        <f t="shared" ca="1" si="286"/>
        <v/>
      </c>
    </row>
    <row r="2863" spans="27:39" x14ac:dyDescent="0.3">
      <c r="AA2863" t="str">
        <f>IF(COUNTA('Procyclean 520'!C365,'Procyclean 520'!D365,'Procyclean 520'!E365)&gt;0,"520","")</f>
        <v/>
      </c>
      <c r="AB2863" t="str">
        <f>IFERROR(IF(ISNUMBER('Procyclean 520'!C365),'Procyclean 520'!C365,DATEVALUE('Procyclean 520'!C365)),"")</f>
        <v/>
      </c>
      <c r="AC2863" t="str">
        <f>IF(AA2863="","",'Procyclean 520'!D365)</f>
        <v/>
      </c>
      <c r="AD2863" t="str">
        <f>IF(AA2863="","",IFERROR(1*'Procyclean 520'!E365,IFERROR(_xludf.NUMBERVALUE('Procyclean 520'!E365,".",","),IFERROR(_xludf.NUMBERVALUE('Procyclean 520'!E365,",","."),0))))</f>
        <v/>
      </c>
      <c r="AE2863" t="str">
        <f>IF(AA2863="","",'Procyclean 520'!B365)</f>
        <v/>
      </c>
      <c r="AF2863">
        <f t="shared" si="281"/>
        <v>0</v>
      </c>
      <c r="AG2863" t="str">
        <f t="shared" si="282"/>
        <v/>
      </c>
      <c r="AH2863" t="str">
        <f t="shared" si="283"/>
        <v/>
      </c>
      <c r="AI2863">
        <f t="shared" si="284"/>
        <v>0</v>
      </c>
      <c r="AJ2863">
        <f t="shared" si="285"/>
        <v>0</v>
      </c>
      <c r="AK2863">
        <v>0</v>
      </c>
      <c r="AL2863" t="str">
        <f>IF(AA2863="","",IFERROR(IF(ISNUMBER('Procyclean 520'!F365),'Procyclean 520'!F365,IF(ISNUMBER(SEARCH("12",'Procyclean 520'!F365)),EDATE(AB2863,12),IF(ISNUMBER(SEARCH("6",'Procyclean 520'!F365)),EDATE(AB2863,6),IF(ISNUMBER(SEARCH("3",'Procyclean 520'!F365)),EDATE(AB2863,3),DATEVALUE('Procyclean 520'!F365))))),""))</f>
        <v/>
      </c>
      <c r="AM2863" t="str">
        <f t="shared" ca="1" si="286"/>
        <v/>
      </c>
    </row>
    <row r="2864" spans="27:39" x14ac:dyDescent="0.3">
      <c r="AA2864" t="str">
        <f>IF(COUNTA('Procyclean 520'!C366,'Procyclean 520'!D366,'Procyclean 520'!E366)&gt;0,"520","")</f>
        <v/>
      </c>
      <c r="AB2864" t="str">
        <f>IFERROR(IF(ISNUMBER('Procyclean 520'!C366),'Procyclean 520'!C366,DATEVALUE('Procyclean 520'!C366)),"")</f>
        <v/>
      </c>
      <c r="AC2864" t="str">
        <f>IF(AA2864="","",'Procyclean 520'!D366)</f>
        <v/>
      </c>
      <c r="AD2864" t="str">
        <f>IF(AA2864="","",IFERROR(1*'Procyclean 520'!E366,IFERROR(_xludf.NUMBERVALUE('Procyclean 520'!E366,".",","),IFERROR(_xludf.NUMBERVALUE('Procyclean 520'!E366,",","."),0))))</f>
        <v/>
      </c>
      <c r="AE2864" t="str">
        <f>IF(AA2864="","",'Procyclean 520'!B366)</f>
        <v/>
      </c>
      <c r="AF2864">
        <f t="shared" si="281"/>
        <v>0</v>
      </c>
      <c r="AG2864" t="str">
        <f t="shared" si="282"/>
        <v/>
      </c>
      <c r="AH2864" t="str">
        <f t="shared" si="283"/>
        <v/>
      </c>
      <c r="AI2864">
        <f t="shared" si="284"/>
        <v>0</v>
      </c>
      <c r="AJ2864">
        <f t="shared" si="285"/>
        <v>0</v>
      </c>
      <c r="AK2864">
        <v>0</v>
      </c>
      <c r="AL2864" t="str">
        <f>IF(AA2864="","",IFERROR(IF(ISNUMBER('Procyclean 520'!F366),'Procyclean 520'!F366,IF(ISNUMBER(SEARCH("12",'Procyclean 520'!F366)),EDATE(AB2864,12),IF(ISNUMBER(SEARCH("6",'Procyclean 520'!F366)),EDATE(AB2864,6),IF(ISNUMBER(SEARCH("3",'Procyclean 520'!F366)),EDATE(AB2864,3),DATEVALUE('Procyclean 520'!F366))))),""))</f>
        <v/>
      </c>
      <c r="AM2864" t="str">
        <f t="shared" ca="1" si="286"/>
        <v/>
      </c>
    </row>
    <row r="2865" spans="27:39" x14ac:dyDescent="0.3">
      <c r="AA2865" t="str">
        <f>IF(COUNTA('Procyclean 520'!C367,'Procyclean 520'!D367,'Procyclean 520'!E367)&gt;0,"520","")</f>
        <v/>
      </c>
      <c r="AB2865" t="str">
        <f>IFERROR(IF(ISNUMBER('Procyclean 520'!C367),'Procyclean 520'!C367,DATEVALUE('Procyclean 520'!C367)),"")</f>
        <v/>
      </c>
      <c r="AC2865" t="str">
        <f>IF(AA2865="","",'Procyclean 520'!D367)</f>
        <v/>
      </c>
      <c r="AD2865" t="str">
        <f>IF(AA2865="","",IFERROR(1*'Procyclean 520'!E367,IFERROR(_xludf.NUMBERVALUE('Procyclean 520'!E367,".",","),IFERROR(_xludf.NUMBERVALUE('Procyclean 520'!E367,",","."),0))))</f>
        <v/>
      </c>
      <c r="AE2865" t="str">
        <f>IF(AA2865="","",'Procyclean 520'!B367)</f>
        <v/>
      </c>
      <c r="AF2865">
        <f t="shared" si="281"/>
        <v>0</v>
      </c>
      <c r="AG2865" t="str">
        <f t="shared" si="282"/>
        <v/>
      </c>
      <c r="AH2865" t="str">
        <f t="shared" si="283"/>
        <v/>
      </c>
      <c r="AI2865">
        <f t="shared" si="284"/>
        <v>0</v>
      </c>
      <c r="AJ2865">
        <f t="shared" si="285"/>
        <v>0</v>
      </c>
      <c r="AK2865">
        <v>0</v>
      </c>
      <c r="AL2865" t="str">
        <f>IF(AA2865="","",IFERROR(IF(ISNUMBER('Procyclean 520'!F367),'Procyclean 520'!F367,IF(ISNUMBER(SEARCH("12",'Procyclean 520'!F367)),EDATE(AB2865,12),IF(ISNUMBER(SEARCH("6",'Procyclean 520'!F367)),EDATE(AB2865,6),IF(ISNUMBER(SEARCH("3",'Procyclean 520'!F367)),EDATE(AB2865,3),DATEVALUE('Procyclean 520'!F367))))),""))</f>
        <v/>
      </c>
      <c r="AM2865" t="str">
        <f t="shared" ca="1" si="286"/>
        <v/>
      </c>
    </row>
    <row r="2866" spans="27:39" x14ac:dyDescent="0.3">
      <c r="AA2866" t="str">
        <f>IF(COUNTA('Procyclean 520'!C368,'Procyclean 520'!D368,'Procyclean 520'!E368)&gt;0,"520","")</f>
        <v/>
      </c>
      <c r="AB2866" t="str">
        <f>IFERROR(IF(ISNUMBER('Procyclean 520'!C368),'Procyclean 520'!C368,DATEVALUE('Procyclean 520'!C368)),"")</f>
        <v/>
      </c>
      <c r="AC2866" t="str">
        <f>IF(AA2866="","",'Procyclean 520'!D368)</f>
        <v/>
      </c>
      <c r="AD2866" t="str">
        <f>IF(AA2866="","",IFERROR(1*'Procyclean 520'!E368,IFERROR(_xludf.NUMBERVALUE('Procyclean 520'!E368,".",","),IFERROR(_xludf.NUMBERVALUE('Procyclean 520'!E368,",","."),0))))</f>
        <v/>
      </c>
      <c r="AE2866" t="str">
        <f>IF(AA2866="","",'Procyclean 520'!B368)</f>
        <v/>
      </c>
      <c r="AF2866">
        <f t="shared" si="281"/>
        <v>0</v>
      </c>
      <c r="AG2866" t="str">
        <f t="shared" si="282"/>
        <v/>
      </c>
      <c r="AH2866" t="str">
        <f t="shared" si="283"/>
        <v/>
      </c>
      <c r="AI2866">
        <f t="shared" si="284"/>
        <v>0</v>
      </c>
      <c r="AJ2866">
        <f t="shared" si="285"/>
        <v>0</v>
      </c>
      <c r="AK2866">
        <v>0</v>
      </c>
      <c r="AL2866" t="str">
        <f>IF(AA2866="","",IFERROR(IF(ISNUMBER('Procyclean 520'!F368),'Procyclean 520'!F368,IF(ISNUMBER(SEARCH("12",'Procyclean 520'!F368)),EDATE(AB2866,12),IF(ISNUMBER(SEARCH("6",'Procyclean 520'!F368)),EDATE(AB2866,6),IF(ISNUMBER(SEARCH("3",'Procyclean 520'!F368)),EDATE(AB2866,3),DATEVALUE('Procyclean 520'!F368))))),""))</f>
        <v/>
      </c>
      <c r="AM2866" t="str">
        <f t="shared" ca="1" si="286"/>
        <v/>
      </c>
    </row>
    <row r="2867" spans="27:39" x14ac:dyDescent="0.3">
      <c r="AA2867" t="str">
        <f>IF(COUNTA('Procyclean 520'!C369,'Procyclean 520'!D369,'Procyclean 520'!E369)&gt;0,"520","")</f>
        <v/>
      </c>
      <c r="AB2867" t="str">
        <f>IFERROR(IF(ISNUMBER('Procyclean 520'!C369),'Procyclean 520'!C369,DATEVALUE('Procyclean 520'!C369)),"")</f>
        <v/>
      </c>
      <c r="AC2867" t="str">
        <f>IF(AA2867="","",'Procyclean 520'!D369)</f>
        <v/>
      </c>
      <c r="AD2867" t="str">
        <f>IF(AA2867="","",IFERROR(1*'Procyclean 520'!E369,IFERROR(_xludf.NUMBERVALUE('Procyclean 520'!E369,".",","),IFERROR(_xludf.NUMBERVALUE('Procyclean 520'!E369,",","."),0))))</f>
        <v/>
      </c>
      <c r="AE2867" t="str">
        <f>IF(AA2867="","",'Procyclean 520'!B369)</f>
        <v/>
      </c>
      <c r="AF2867">
        <f t="shared" si="281"/>
        <v>0</v>
      </c>
      <c r="AG2867" t="str">
        <f t="shared" si="282"/>
        <v/>
      </c>
      <c r="AH2867" t="str">
        <f t="shared" si="283"/>
        <v/>
      </c>
      <c r="AI2867">
        <f t="shared" si="284"/>
        <v>0</v>
      </c>
      <c r="AJ2867">
        <f t="shared" si="285"/>
        <v>0</v>
      </c>
      <c r="AK2867">
        <v>0</v>
      </c>
      <c r="AL2867" t="str">
        <f>IF(AA2867="","",IFERROR(IF(ISNUMBER('Procyclean 520'!F369),'Procyclean 520'!F369,IF(ISNUMBER(SEARCH("12",'Procyclean 520'!F369)),EDATE(AB2867,12),IF(ISNUMBER(SEARCH("6",'Procyclean 520'!F369)),EDATE(AB2867,6),IF(ISNUMBER(SEARCH("3",'Procyclean 520'!F369)),EDATE(AB2867,3),DATEVALUE('Procyclean 520'!F369))))),""))</f>
        <v/>
      </c>
      <c r="AM2867" t="str">
        <f t="shared" ca="1" si="286"/>
        <v/>
      </c>
    </row>
    <row r="2868" spans="27:39" x14ac:dyDescent="0.3">
      <c r="AA2868" t="str">
        <f>IF(COUNTA('Procyclean 520'!C370,'Procyclean 520'!D370,'Procyclean 520'!E370)&gt;0,"520","")</f>
        <v/>
      </c>
      <c r="AB2868" t="str">
        <f>IFERROR(IF(ISNUMBER('Procyclean 520'!C370),'Procyclean 520'!C370,DATEVALUE('Procyclean 520'!C370)),"")</f>
        <v/>
      </c>
      <c r="AC2868" t="str">
        <f>IF(AA2868="","",'Procyclean 520'!D370)</f>
        <v/>
      </c>
      <c r="AD2868" t="str">
        <f>IF(AA2868="","",IFERROR(1*'Procyclean 520'!E370,IFERROR(_xludf.NUMBERVALUE('Procyclean 520'!E370,".",","),IFERROR(_xludf.NUMBERVALUE('Procyclean 520'!E370,",","."),0))))</f>
        <v/>
      </c>
      <c r="AE2868" t="str">
        <f>IF(AA2868="","",'Procyclean 520'!B370)</f>
        <v/>
      </c>
      <c r="AF2868">
        <f t="shared" si="281"/>
        <v>0</v>
      </c>
      <c r="AG2868" t="str">
        <f t="shared" si="282"/>
        <v/>
      </c>
      <c r="AH2868" t="str">
        <f t="shared" si="283"/>
        <v/>
      </c>
      <c r="AI2868">
        <f t="shared" si="284"/>
        <v>0</v>
      </c>
      <c r="AJ2868">
        <f t="shared" si="285"/>
        <v>0</v>
      </c>
      <c r="AK2868">
        <v>0</v>
      </c>
      <c r="AL2868" t="str">
        <f>IF(AA2868="","",IFERROR(IF(ISNUMBER('Procyclean 520'!F370),'Procyclean 520'!F370,IF(ISNUMBER(SEARCH("12",'Procyclean 520'!F370)),EDATE(AB2868,12),IF(ISNUMBER(SEARCH("6",'Procyclean 520'!F370)),EDATE(AB2868,6),IF(ISNUMBER(SEARCH("3",'Procyclean 520'!F370)),EDATE(AB2868,3),DATEVALUE('Procyclean 520'!F370))))),""))</f>
        <v/>
      </c>
      <c r="AM2868" t="str">
        <f t="shared" ca="1" si="286"/>
        <v/>
      </c>
    </row>
    <row r="2869" spans="27:39" x14ac:dyDescent="0.3">
      <c r="AA2869" t="str">
        <f>IF(COUNTA('Procyclean 520'!C371,'Procyclean 520'!D371,'Procyclean 520'!E371)&gt;0,"520","")</f>
        <v/>
      </c>
      <c r="AB2869" t="str">
        <f>IFERROR(IF(ISNUMBER('Procyclean 520'!C371),'Procyclean 520'!C371,DATEVALUE('Procyclean 520'!C371)),"")</f>
        <v/>
      </c>
      <c r="AC2869" t="str">
        <f>IF(AA2869="","",'Procyclean 520'!D371)</f>
        <v/>
      </c>
      <c r="AD2869" t="str">
        <f>IF(AA2869="","",IFERROR(1*'Procyclean 520'!E371,IFERROR(_xludf.NUMBERVALUE('Procyclean 520'!E371,".",","),IFERROR(_xludf.NUMBERVALUE('Procyclean 520'!E371,",","."),0))))</f>
        <v/>
      </c>
      <c r="AE2869" t="str">
        <f>IF(AA2869="","",'Procyclean 520'!B371)</f>
        <v/>
      </c>
      <c r="AF2869">
        <f t="shared" si="281"/>
        <v>0</v>
      </c>
      <c r="AG2869" t="str">
        <f t="shared" si="282"/>
        <v/>
      </c>
      <c r="AH2869" t="str">
        <f t="shared" si="283"/>
        <v/>
      </c>
      <c r="AI2869">
        <f t="shared" si="284"/>
        <v>0</v>
      </c>
      <c r="AJ2869">
        <f t="shared" si="285"/>
        <v>0</v>
      </c>
      <c r="AK2869">
        <v>0</v>
      </c>
      <c r="AL2869" t="str">
        <f>IF(AA2869="","",IFERROR(IF(ISNUMBER('Procyclean 520'!F371),'Procyclean 520'!F371,IF(ISNUMBER(SEARCH("12",'Procyclean 520'!F371)),EDATE(AB2869,12),IF(ISNUMBER(SEARCH("6",'Procyclean 520'!F371)),EDATE(AB2869,6),IF(ISNUMBER(SEARCH("3",'Procyclean 520'!F371)),EDATE(AB2869,3),DATEVALUE('Procyclean 520'!F371))))),""))</f>
        <v/>
      </c>
      <c r="AM2869" t="str">
        <f t="shared" ca="1" si="286"/>
        <v/>
      </c>
    </row>
    <row r="2870" spans="27:39" x14ac:dyDescent="0.3">
      <c r="AA2870" t="str">
        <f>IF(COUNTA('Procyclean 520'!C372,'Procyclean 520'!D372,'Procyclean 520'!E372)&gt;0,"520","")</f>
        <v/>
      </c>
      <c r="AB2870" t="str">
        <f>IFERROR(IF(ISNUMBER('Procyclean 520'!C372),'Procyclean 520'!C372,DATEVALUE('Procyclean 520'!C372)),"")</f>
        <v/>
      </c>
      <c r="AC2870" t="str">
        <f>IF(AA2870="","",'Procyclean 520'!D372)</f>
        <v/>
      </c>
      <c r="AD2870" t="str">
        <f>IF(AA2870="","",IFERROR(1*'Procyclean 520'!E372,IFERROR(_xludf.NUMBERVALUE('Procyclean 520'!E372,".",","),IFERROR(_xludf.NUMBERVALUE('Procyclean 520'!E372,",","."),0))))</f>
        <v/>
      </c>
      <c r="AE2870" t="str">
        <f>IF(AA2870="","",'Procyclean 520'!B372)</f>
        <v/>
      </c>
      <c r="AF2870">
        <f t="shared" si="281"/>
        <v>0</v>
      </c>
      <c r="AG2870" t="str">
        <f t="shared" si="282"/>
        <v/>
      </c>
      <c r="AH2870" t="str">
        <f t="shared" si="283"/>
        <v/>
      </c>
      <c r="AI2870">
        <f t="shared" si="284"/>
        <v>0</v>
      </c>
      <c r="AJ2870">
        <f t="shared" si="285"/>
        <v>0</v>
      </c>
      <c r="AK2870">
        <v>0</v>
      </c>
      <c r="AL2870" t="str">
        <f>IF(AA2870="","",IFERROR(IF(ISNUMBER('Procyclean 520'!F372),'Procyclean 520'!F372,IF(ISNUMBER(SEARCH("12",'Procyclean 520'!F372)),EDATE(AB2870,12),IF(ISNUMBER(SEARCH("6",'Procyclean 520'!F372)),EDATE(AB2870,6),IF(ISNUMBER(SEARCH("3",'Procyclean 520'!F372)),EDATE(AB2870,3),DATEVALUE('Procyclean 520'!F372))))),""))</f>
        <v/>
      </c>
      <c r="AM2870" t="str">
        <f t="shared" ca="1" si="286"/>
        <v/>
      </c>
    </row>
    <row r="2871" spans="27:39" x14ac:dyDescent="0.3">
      <c r="AA2871" t="str">
        <f>IF(COUNTA('Procyclean 520'!C373,'Procyclean 520'!D373,'Procyclean 520'!E373)&gt;0,"520","")</f>
        <v/>
      </c>
      <c r="AB2871" t="str">
        <f>IFERROR(IF(ISNUMBER('Procyclean 520'!C373),'Procyclean 520'!C373,DATEVALUE('Procyclean 520'!C373)),"")</f>
        <v/>
      </c>
      <c r="AC2871" t="str">
        <f>IF(AA2871="","",'Procyclean 520'!D373)</f>
        <v/>
      </c>
      <c r="AD2871" t="str">
        <f>IF(AA2871="","",IFERROR(1*'Procyclean 520'!E373,IFERROR(_xludf.NUMBERVALUE('Procyclean 520'!E373,".",","),IFERROR(_xludf.NUMBERVALUE('Procyclean 520'!E373,",","."),0))))</f>
        <v/>
      </c>
      <c r="AE2871" t="str">
        <f>IF(AA2871="","",'Procyclean 520'!B373)</f>
        <v/>
      </c>
      <c r="AF2871">
        <f t="shared" si="281"/>
        <v>0</v>
      </c>
      <c r="AG2871" t="str">
        <f t="shared" si="282"/>
        <v/>
      </c>
      <c r="AH2871" t="str">
        <f t="shared" si="283"/>
        <v/>
      </c>
      <c r="AI2871">
        <f t="shared" si="284"/>
        <v>0</v>
      </c>
      <c r="AJ2871">
        <f t="shared" si="285"/>
        <v>0</v>
      </c>
      <c r="AK2871">
        <v>0</v>
      </c>
      <c r="AL2871" t="str">
        <f>IF(AA2871="","",IFERROR(IF(ISNUMBER('Procyclean 520'!F373),'Procyclean 520'!F373,IF(ISNUMBER(SEARCH("12",'Procyclean 520'!F373)),EDATE(AB2871,12),IF(ISNUMBER(SEARCH("6",'Procyclean 520'!F373)),EDATE(AB2871,6),IF(ISNUMBER(SEARCH("3",'Procyclean 520'!F373)),EDATE(AB2871,3),DATEVALUE('Procyclean 520'!F373))))),""))</f>
        <v/>
      </c>
      <c r="AM2871" t="str">
        <f t="shared" ca="1" si="286"/>
        <v/>
      </c>
    </row>
    <row r="2872" spans="27:39" x14ac:dyDescent="0.3">
      <c r="AA2872" t="str">
        <f>IF(COUNTA('Procyclean 520'!C374,'Procyclean 520'!D374,'Procyclean 520'!E374)&gt;0,"520","")</f>
        <v/>
      </c>
      <c r="AB2872" t="str">
        <f>IFERROR(IF(ISNUMBER('Procyclean 520'!C374),'Procyclean 520'!C374,DATEVALUE('Procyclean 520'!C374)),"")</f>
        <v/>
      </c>
      <c r="AC2872" t="str">
        <f>IF(AA2872="","",'Procyclean 520'!D374)</f>
        <v/>
      </c>
      <c r="AD2872" t="str">
        <f>IF(AA2872="","",IFERROR(1*'Procyclean 520'!E374,IFERROR(_xludf.NUMBERVALUE('Procyclean 520'!E374,".",","),IFERROR(_xludf.NUMBERVALUE('Procyclean 520'!E374,",","."),0))))</f>
        <v/>
      </c>
      <c r="AE2872" t="str">
        <f>IF(AA2872="","",'Procyclean 520'!B374)</f>
        <v/>
      </c>
      <c r="AF2872">
        <f t="shared" si="281"/>
        <v>0</v>
      </c>
      <c r="AG2872" t="str">
        <f t="shared" si="282"/>
        <v/>
      </c>
      <c r="AH2872" t="str">
        <f t="shared" si="283"/>
        <v/>
      </c>
      <c r="AI2872">
        <f t="shared" si="284"/>
        <v>0</v>
      </c>
      <c r="AJ2872">
        <f t="shared" si="285"/>
        <v>0</v>
      </c>
      <c r="AK2872">
        <v>0</v>
      </c>
      <c r="AL2872" t="str">
        <f>IF(AA2872="","",IFERROR(IF(ISNUMBER('Procyclean 520'!F374),'Procyclean 520'!F374,IF(ISNUMBER(SEARCH("12",'Procyclean 520'!F374)),EDATE(AB2872,12),IF(ISNUMBER(SEARCH("6",'Procyclean 520'!F374)),EDATE(AB2872,6),IF(ISNUMBER(SEARCH("3",'Procyclean 520'!F374)),EDATE(AB2872,3),DATEVALUE('Procyclean 520'!F374))))),""))</f>
        <v/>
      </c>
      <c r="AM2872" t="str">
        <f t="shared" ca="1" si="286"/>
        <v/>
      </c>
    </row>
    <row r="2873" spans="27:39" x14ac:dyDescent="0.3">
      <c r="AA2873" t="str">
        <f>IF(COUNTA('Procyclean 520'!C375,'Procyclean 520'!D375,'Procyclean 520'!E375)&gt;0,"520","")</f>
        <v/>
      </c>
      <c r="AB2873" t="str">
        <f>IFERROR(IF(ISNUMBER('Procyclean 520'!C375),'Procyclean 520'!C375,DATEVALUE('Procyclean 520'!C375)),"")</f>
        <v/>
      </c>
      <c r="AC2873" t="str">
        <f>IF(AA2873="","",'Procyclean 520'!D375)</f>
        <v/>
      </c>
      <c r="AD2873" t="str">
        <f>IF(AA2873="","",IFERROR(1*'Procyclean 520'!E375,IFERROR(_xludf.NUMBERVALUE('Procyclean 520'!E375,".",","),IFERROR(_xludf.NUMBERVALUE('Procyclean 520'!E375,",","."),0))))</f>
        <v/>
      </c>
      <c r="AE2873" t="str">
        <f>IF(AA2873="","",'Procyclean 520'!B375)</f>
        <v/>
      </c>
      <c r="AF2873">
        <f t="shared" si="281"/>
        <v>0</v>
      </c>
      <c r="AG2873" t="str">
        <f t="shared" si="282"/>
        <v/>
      </c>
      <c r="AH2873" t="str">
        <f t="shared" si="283"/>
        <v/>
      </c>
      <c r="AI2873">
        <f t="shared" si="284"/>
        <v>0</v>
      </c>
      <c r="AJ2873">
        <f t="shared" si="285"/>
        <v>0</v>
      </c>
      <c r="AK2873">
        <v>0</v>
      </c>
      <c r="AL2873" t="str">
        <f>IF(AA2873="","",IFERROR(IF(ISNUMBER('Procyclean 520'!F375),'Procyclean 520'!F375,IF(ISNUMBER(SEARCH("12",'Procyclean 520'!F375)),EDATE(AB2873,12),IF(ISNUMBER(SEARCH("6",'Procyclean 520'!F375)),EDATE(AB2873,6),IF(ISNUMBER(SEARCH("3",'Procyclean 520'!F375)),EDATE(AB2873,3),DATEVALUE('Procyclean 520'!F375))))),""))</f>
        <v/>
      </c>
      <c r="AM2873" t="str">
        <f t="shared" ca="1" si="286"/>
        <v/>
      </c>
    </row>
    <row r="2874" spans="27:39" x14ac:dyDescent="0.3">
      <c r="AA2874" t="str">
        <f>IF(COUNTA('Procyclean 520'!C376,'Procyclean 520'!D376,'Procyclean 520'!E376)&gt;0,"520","")</f>
        <v/>
      </c>
      <c r="AB2874" t="str">
        <f>IFERROR(IF(ISNUMBER('Procyclean 520'!C376),'Procyclean 520'!C376,DATEVALUE('Procyclean 520'!C376)),"")</f>
        <v/>
      </c>
      <c r="AC2874" t="str">
        <f>IF(AA2874="","",'Procyclean 520'!D376)</f>
        <v/>
      </c>
      <c r="AD2874" t="str">
        <f>IF(AA2874="","",IFERROR(1*'Procyclean 520'!E376,IFERROR(_xludf.NUMBERVALUE('Procyclean 520'!E376,".",","),IFERROR(_xludf.NUMBERVALUE('Procyclean 520'!E376,",","."),0))))</f>
        <v/>
      </c>
      <c r="AE2874" t="str">
        <f>IF(AA2874="","",'Procyclean 520'!B376)</f>
        <v/>
      </c>
      <c r="AF2874">
        <f t="shared" si="281"/>
        <v>0</v>
      </c>
      <c r="AG2874" t="str">
        <f t="shared" si="282"/>
        <v/>
      </c>
      <c r="AH2874" t="str">
        <f t="shared" si="283"/>
        <v/>
      </c>
      <c r="AI2874">
        <f t="shared" si="284"/>
        <v>0</v>
      </c>
      <c r="AJ2874">
        <f t="shared" si="285"/>
        <v>0</v>
      </c>
      <c r="AK2874">
        <v>0</v>
      </c>
      <c r="AL2874" t="str">
        <f>IF(AA2874="","",IFERROR(IF(ISNUMBER('Procyclean 520'!F376),'Procyclean 520'!F376,IF(ISNUMBER(SEARCH("12",'Procyclean 520'!F376)),EDATE(AB2874,12),IF(ISNUMBER(SEARCH("6",'Procyclean 520'!F376)),EDATE(AB2874,6),IF(ISNUMBER(SEARCH("3",'Procyclean 520'!F376)),EDATE(AB2874,3),DATEVALUE('Procyclean 520'!F376))))),""))</f>
        <v/>
      </c>
      <c r="AM2874" t="str">
        <f t="shared" ca="1" si="286"/>
        <v/>
      </c>
    </row>
    <row r="2875" spans="27:39" x14ac:dyDescent="0.3">
      <c r="AA2875" t="str">
        <f>IF(COUNTA('Procyclean 520'!C377,'Procyclean 520'!D377,'Procyclean 520'!E377)&gt;0,"520","")</f>
        <v/>
      </c>
      <c r="AB2875" t="str">
        <f>IFERROR(IF(ISNUMBER('Procyclean 520'!C377),'Procyclean 520'!C377,DATEVALUE('Procyclean 520'!C377)),"")</f>
        <v/>
      </c>
      <c r="AC2875" t="str">
        <f>IF(AA2875="","",'Procyclean 520'!D377)</f>
        <v/>
      </c>
      <c r="AD2875" t="str">
        <f>IF(AA2875="","",IFERROR(1*'Procyclean 520'!E377,IFERROR(_xludf.NUMBERVALUE('Procyclean 520'!E377,".",","),IFERROR(_xludf.NUMBERVALUE('Procyclean 520'!E377,",","."),0))))</f>
        <v/>
      </c>
      <c r="AE2875" t="str">
        <f>IF(AA2875="","",'Procyclean 520'!B377)</f>
        <v/>
      </c>
      <c r="AF2875">
        <f t="shared" si="281"/>
        <v>0</v>
      </c>
      <c r="AG2875" t="str">
        <f t="shared" si="282"/>
        <v/>
      </c>
      <c r="AH2875" t="str">
        <f t="shared" si="283"/>
        <v/>
      </c>
      <c r="AI2875">
        <f t="shared" si="284"/>
        <v>0</v>
      </c>
      <c r="AJ2875">
        <f t="shared" si="285"/>
        <v>0</v>
      </c>
      <c r="AK2875">
        <v>0</v>
      </c>
      <c r="AL2875" t="str">
        <f>IF(AA2875="","",IFERROR(IF(ISNUMBER('Procyclean 520'!F377),'Procyclean 520'!F377,IF(ISNUMBER(SEARCH("12",'Procyclean 520'!F377)),EDATE(AB2875,12),IF(ISNUMBER(SEARCH("6",'Procyclean 520'!F377)),EDATE(AB2875,6),IF(ISNUMBER(SEARCH("3",'Procyclean 520'!F377)),EDATE(AB2875,3),DATEVALUE('Procyclean 520'!F377))))),""))</f>
        <v/>
      </c>
      <c r="AM2875" t="str">
        <f t="shared" ca="1" si="286"/>
        <v/>
      </c>
    </row>
    <row r="2876" spans="27:39" x14ac:dyDescent="0.3">
      <c r="AA2876" t="str">
        <f>IF(COUNTA('Procyclean 520'!C378,'Procyclean 520'!D378,'Procyclean 520'!E378)&gt;0,"520","")</f>
        <v/>
      </c>
      <c r="AB2876" t="str">
        <f>IFERROR(IF(ISNUMBER('Procyclean 520'!C378),'Procyclean 520'!C378,DATEVALUE('Procyclean 520'!C378)),"")</f>
        <v/>
      </c>
      <c r="AC2876" t="str">
        <f>IF(AA2876="","",'Procyclean 520'!D378)</f>
        <v/>
      </c>
      <c r="AD2876" t="str">
        <f>IF(AA2876="","",IFERROR(1*'Procyclean 520'!E378,IFERROR(_xludf.NUMBERVALUE('Procyclean 520'!E378,".",","),IFERROR(_xludf.NUMBERVALUE('Procyclean 520'!E378,",","."),0))))</f>
        <v/>
      </c>
      <c r="AE2876" t="str">
        <f>IF(AA2876="","",'Procyclean 520'!B378)</f>
        <v/>
      </c>
      <c r="AF2876">
        <f t="shared" si="281"/>
        <v>0</v>
      </c>
      <c r="AG2876" t="str">
        <f t="shared" si="282"/>
        <v/>
      </c>
      <c r="AH2876" t="str">
        <f t="shared" si="283"/>
        <v/>
      </c>
      <c r="AI2876">
        <f t="shared" si="284"/>
        <v>0</v>
      </c>
      <c r="AJ2876">
        <f t="shared" si="285"/>
        <v>0</v>
      </c>
      <c r="AK2876">
        <v>0</v>
      </c>
      <c r="AL2876" t="str">
        <f>IF(AA2876="","",IFERROR(IF(ISNUMBER('Procyclean 520'!F378),'Procyclean 520'!F378,IF(ISNUMBER(SEARCH("12",'Procyclean 520'!F378)),EDATE(AB2876,12),IF(ISNUMBER(SEARCH("6",'Procyclean 520'!F378)),EDATE(AB2876,6),IF(ISNUMBER(SEARCH("3",'Procyclean 520'!F378)),EDATE(AB2876,3),DATEVALUE('Procyclean 520'!F378))))),""))</f>
        <v/>
      </c>
      <c r="AM2876" t="str">
        <f t="shared" ca="1" si="286"/>
        <v/>
      </c>
    </row>
    <row r="2877" spans="27:39" x14ac:dyDescent="0.3">
      <c r="AA2877" t="str">
        <f>IF(COUNTA('Procyclean 520'!C379,'Procyclean 520'!D379,'Procyclean 520'!E379)&gt;0,"520","")</f>
        <v/>
      </c>
      <c r="AB2877" t="str">
        <f>IFERROR(IF(ISNUMBER('Procyclean 520'!C379),'Procyclean 520'!C379,DATEVALUE('Procyclean 520'!C379)),"")</f>
        <v/>
      </c>
      <c r="AC2877" t="str">
        <f>IF(AA2877="","",'Procyclean 520'!D379)</f>
        <v/>
      </c>
      <c r="AD2877" t="str">
        <f>IF(AA2877="","",IFERROR(1*'Procyclean 520'!E379,IFERROR(_xludf.NUMBERVALUE('Procyclean 520'!E379,".",","),IFERROR(_xludf.NUMBERVALUE('Procyclean 520'!E379,",","."),0))))</f>
        <v/>
      </c>
      <c r="AE2877" t="str">
        <f>IF(AA2877="","",'Procyclean 520'!B379)</f>
        <v/>
      </c>
      <c r="AF2877">
        <f t="shared" si="281"/>
        <v>0</v>
      </c>
      <c r="AG2877" t="str">
        <f t="shared" si="282"/>
        <v/>
      </c>
      <c r="AH2877" t="str">
        <f t="shared" si="283"/>
        <v/>
      </c>
      <c r="AI2877">
        <f t="shared" si="284"/>
        <v>0</v>
      </c>
      <c r="AJ2877">
        <f t="shared" si="285"/>
        <v>0</v>
      </c>
      <c r="AK2877">
        <v>0</v>
      </c>
      <c r="AL2877" t="str">
        <f>IF(AA2877="","",IFERROR(IF(ISNUMBER('Procyclean 520'!F379),'Procyclean 520'!F379,IF(ISNUMBER(SEARCH("12",'Procyclean 520'!F379)),EDATE(AB2877,12),IF(ISNUMBER(SEARCH("6",'Procyclean 520'!F379)),EDATE(AB2877,6),IF(ISNUMBER(SEARCH("3",'Procyclean 520'!F379)),EDATE(AB2877,3),DATEVALUE('Procyclean 520'!F379))))),""))</f>
        <v/>
      </c>
      <c r="AM2877" t="str">
        <f t="shared" ca="1" si="286"/>
        <v/>
      </c>
    </row>
    <row r="2878" spans="27:39" x14ac:dyDescent="0.3">
      <c r="AA2878" t="str">
        <f>IF(COUNTA('Procyclean 520'!C380,'Procyclean 520'!D380,'Procyclean 520'!E380)&gt;0,"520","")</f>
        <v/>
      </c>
      <c r="AB2878" t="str">
        <f>IFERROR(IF(ISNUMBER('Procyclean 520'!C380),'Procyclean 520'!C380,DATEVALUE('Procyclean 520'!C380)),"")</f>
        <v/>
      </c>
      <c r="AC2878" t="str">
        <f>IF(AA2878="","",'Procyclean 520'!D380)</f>
        <v/>
      </c>
      <c r="AD2878" t="str">
        <f>IF(AA2878="","",IFERROR(1*'Procyclean 520'!E380,IFERROR(_xludf.NUMBERVALUE('Procyclean 520'!E380,".",","),IFERROR(_xludf.NUMBERVALUE('Procyclean 520'!E380,",","."),0))))</f>
        <v/>
      </c>
      <c r="AE2878" t="str">
        <f>IF(AA2878="","",'Procyclean 520'!B380)</f>
        <v/>
      </c>
      <c r="AF2878">
        <f t="shared" si="281"/>
        <v>0</v>
      </c>
      <c r="AG2878" t="str">
        <f t="shared" si="282"/>
        <v/>
      </c>
      <c r="AH2878" t="str">
        <f t="shared" si="283"/>
        <v/>
      </c>
      <c r="AI2878">
        <f t="shared" si="284"/>
        <v>0</v>
      </c>
      <c r="AJ2878">
        <f t="shared" si="285"/>
        <v>0</v>
      </c>
      <c r="AK2878">
        <v>0</v>
      </c>
      <c r="AL2878" t="str">
        <f>IF(AA2878="","",IFERROR(IF(ISNUMBER('Procyclean 520'!F380),'Procyclean 520'!F380,IF(ISNUMBER(SEARCH("12",'Procyclean 520'!F380)),EDATE(AB2878,12),IF(ISNUMBER(SEARCH("6",'Procyclean 520'!F380)),EDATE(AB2878,6),IF(ISNUMBER(SEARCH("3",'Procyclean 520'!F380)),EDATE(AB2878,3),DATEVALUE('Procyclean 520'!F380))))),""))</f>
        <v/>
      </c>
      <c r="AM2878" t="str">
        <f t="shared" ca="1" si="286"/>
        <v/>
      </c>
    </row>
    <row r="2879" spans="27:39" x14ac:dyDescent="0.3">
      <c r="AA2879" t="str">
        <f>IF(COUNTA('Procyclean 520'!C381,'Procyclean 520'!D381,'Procyclean 520'!E381)&gt;0,"520","")</f>
        <v/>
      </c>
      <c r="AB2879" t="str">
        <f>IFERROR(IF(ISNUMBER('Procyclean 520'!C381),'Procyclean 520'!C381,DATEVALUE('Procyclean 520'!C381)),"")</f>
        <v/>
      </c>
      <c r="AC2879" t="str">
        <f>IF(AA2879="","",'Procyclean 520'!D381)</f>
        <v/>
      </c>
      <c r="AD2879" t="str">
        <f>IF(AA2879="","",IFERROR(1*'Procyclean 520'!E381,IFERROR(_xludf.NUMBERVALUE('Procyclean 520'!E381,".",","),IFERROR(_xludf.NUMBERVALUE('Procyclean 520'!E381,",","."),0))))</f>
        <v/>
      </c>
      <c r="AE2879" t="str">
        <f>IF(AA2879="","",'Procyclean 520'!B381)</f>
        <v/>
      </c>
      <c r="AF2879">
        <f t="shared" si="281"/>
        <v>0</v>
      </c>
      <c r="AG2879" t="str">
        <f t="shared" si="282"/>
        <v/>
      </c>
      <c r="AH2879" t="str">
        <f t="shared" si="283"/>
        <v/>
      </c>
      <c r="AI2879">
        <f t="shared" si="284"/>
        <v>0</v>
      </c>
      <c r="AJ2879">
        <f t="shared" si="285"/>
        <v>0</v>
      </c>
      <c r="AK2879">
        <v>0</v>
      </c>
      <c r="AL2879" t="str">
        <f>IF(AA2879="","",IFERROR(IF(ISNUMBER('Procyclean 520'!F381),'Procyclean 520'!F381,IF(ISNUMBER(SEARCH("12",'Procyclean 520'!F381)),EDATE(AB2879,12),IF(ISNUMBER(SEARCH("6",'Procyclean 520'!F381)),EDATE(AB2879,6),IF(ISNUMBER(SEARCH("3",'Procyclean 520'!F381)),EDATE(AB2879,3),DATEVALUE('Procyclean 520'!F381))))),""))</f>
        <v/>
      </c>
      <c r="AM2879" t="str">
        <f t="shared" ca="1" si="286"/>
        <v/>
      </c>
    </row>
    <row r="2880" spans="27:39" x14ac:dyDescent="0.3">
      <c r="AA2880" t="str">
        <f>IF(COUNTA('Procyclean 520'!C382,'Procyclean 520'!D382,'Procyclean 520'!E382)&gt;0,"520","")</f>
        <v/>
      </c>
      <c r="AB2880" t="str">
        <f>IFERROR(IF(ISNUMBER('Procyclean 520'!C382),'Procyclean 520'!C382,DATEVALUE('Procyclean 520'!C382)),"")</f>
        <v/>
      </c>
      <c r="AC2880" t="str">
        <f>IF(AA2880="","",'Procyclean 520'!D382)</f>
        <v/>
      </c>
      <c r="AD2880" t="str">
        <f>IF(AA2880="","",IFERROR(1*'Procyclean 520'!E382,IFERROR(_xludf.NUMBERVALUE('Procyclean 520'!E382,".",","),IFERROR(_xludf.NUMBERVALUE('Procyclean 520'!E382,",","."),0))))</f>
        <v/>
      </c>
      <c r="AE2880" t="str">
        <f>IF(AA2880="","",'Procyclean 520'!B382)</f>
        <v/>
      </c>
      <c r="AF2880">
        <f t="shared" si="281"/>
        <v>0</v>
      </c>
      <c r="AG2880" t="str">
        <f t="shared" si="282"/>
        <v/>
      </c>
      <c r="AH2880" t="str">
        <f t="shared" si="283"/>
        <v/>
      </c>
      <c r="AI2880">
        <f t="shared" si="284"/>
        <v>0</v>
      </c>
      <c r="AJ2880">
        <f t="shared" si="285"/>
        <v>0</v>
      </c>
      <c r="AK2880">
        <v>0</v>
      </c>
      <c r="AL2880" t="str">
        <f>IF(AA2880="","",IFERROR(IF(ISNUMBER('Procyclean 520'!F382),'Procyclean 520'!F382,IF(ISNUMBER(SEARCH("12",'Procyclean 520'!F382)),EDATE(AB2880,12),IF(ISNUMBER(SEARCH("6",'Procyclean 520'!F382)),EDATE(AB2880,6),IF(ISNUMBER(SEARCH("3",'Procyclean 520'!F382)),EDATE(AB2880,3),DATEVALUE('Procyclean 520'!F382))))),""))</f>
        <v/>
      </c>
      <c r="AM2880" t="str">
        <f t="shared" ca="1" si="286"/>
        <v/>
      </c>
    </row>
    <row r="2881" spans="27:39" x14ac:dyDescent="0.3">
      <c r="AA2881" t="str">
        <f>IF(COUNTA('Procyclean 520'!C383,'Procyclean 520'!D383,'Procyclean 520'!E383)&gt;0,"520","")</f>
        <v/>
      </c>
      <c r="AB2881" t="str">
        <f>IFERROR(IF(ISNUMBER('Procyclean 520'!C383),'Procyclean 520'!C383,DATEVALUE('Procyclean 520'!C383)),"")</f>
        <v/>
      </c>
      <c r="AC2881" t="str">
        <f>IF(AA2881="","",'Procyclean 520'!D383)</f>
        <v/>
      </c>
      <c r="AD2881" t="str">
        <f>IF(AA2881="","",IFERROR(1*'Procyclean 520'!E383,IFERROR(_xludf.NUMBERVALUE('Procyclean 520'!E383,".",","),IFERROR(_xludf.NUMBERVALUE('Procyclean 520'!E383,",","."),0))))</f>
        <v/>
      </c>
      <c r="AE2881" t="str">
        <f>IF(AA2881="","",'Procyclean 520'!B383)</f>
        <v/>
      </c>
      <c r="AF2881">
        <f t="shared" si="281"/>
        <v>0</v>
      </c>
      <c r="AG2881" t="str">
        <f t="shared" si="282"/>
        <v/>
      </c>
      <c r="AH2881" t="str">
        <f t="shared" si="283"/>
        <v/>
      </c>
      <c r="AI2881">
        <f t="shared" si="284"/>
        <v>0</v>
      </c>
      <c r="AJ2881">
        <f t="shared" si="285"/>
        <v>0</v>
      </c>
      <c r="AK2881">
        <v>0</v>
      </c>
      <c r="AL2881" t="str">
        <f>IF(AA2881="","",IFERROR(IF(ISNUMBER('Procyclean 520'!F383),'Procyclean 520'!F383,IF(ISNUMBER(SEARCH("12",'Procyclean 520'!F383)),EDATE(AB2881,12),IF(ISNUMBER(SEARCH("6",'Procyclean 520'!F383)),EDATE(AB2881,6),IF(ISNUMBER(SEARCH("3",'Procyclean 520'!F383)),EDATE(AB2881,3),DATEVALUE('Procyclean 520'!F383))))),""))</f>
        <v/>
      </c>
      <c r="AM2881" t="str">
        <f t="shared" ca="1" si="286"/>
        <v/>
      </c>
    </row>
    <row r="2882" spans="27:39" x14ac:dyDescent="0.3">
      <c r="AA2882" t="str">
        <f>IF(COUNTA('Procyclean 520'!C384,'Procyclean 520'!D384,'Procyclean 520'!E384)&gt;0,"520","")</f>
        <v/>
      </c>
      <c r="AB2882" t="str">
        <f>IFERROR(IF(ISNUMBER('Procyclean 520'!C384),'Procyclean 520'!C384,DATEVALUE('Procyclean 520'!C384)),"")</f>
        <v/>
      </c>
      <c r="AC2882" t="str">
        <f>IF(AA2882="","",'Procyclean 520'!D384)</f>
        <v/>
      </c>
      <c r="AD2882" t="str">
        <f>IF(AA2882="","",IFERROR(1*'Procyclean 520'!E384,IFERROR(_xludf.NUMBERVALUE('Procyclean 520'!E384,".",","),IFERROR(_xludf.NUMBERVALUE('Procyclean 520'!E384,",","."),0))))</f>
        <v/>
      </c>
      <c r="AE2882" t="str">
        <f>IF(AA2882="","",'Procyclean 520'!B384)</f>
        <v/>
      </c>
      <c r="AF2882">
        <f t="shared" ref="AF2882:AF2945" si="287">IF(AA2882="",0,--AND(ISNUMBER(SEARCH("aprov",AE2882)),NOT(ISNUMBER(SEARCH("reprov",AE2882)))))</f>
        <v>0</v>
      </c>
      <c r="AG2882" t="str">
        <f t="shared" ref="AG2882:AG2945" si="288">IF(AB2882="","",YEAR(AB2882))</f>
        <v/>
      </c>
      <c r="AH2882" t="str">
        <f t="shared" ref="AH2882:AH2945" si="289">IF(AB2882="","",MONTH(AB2882))</f>
        <v/>
      </c>
      <c r="AI2882">
        <f t="shared" ref="AI2882:AI2945" si="290">IF(AB2882="",0,AB2882+ROW()/1000000)</f>
        <v>0</v>
      </c>
      <c r="AJ2882">
        <f t="shared" ref="AJ2882:AJ2945" si="291">--(AA2882&lt;&gt;"")</f>
        <v>0</v>
      </c>
      <c r="AK2882">
        <v>0</v>
      </c>
      <c r="AL2882" t="str">
        <f>IF(AA2882="","",IFERROR(IF(ISNUMBER('Procyclean 520'!F384),'Procyclean 520'!F384,IF(ISNUMBER(SEARCH("12",'Procyclean 520'!F384)),EDATE(AB2882,12),IF(ISNUMBER(SEARCH("6",'Procyclean 520'!F384)),EDATE(AB2882,6),IF(ISNUMBER(SEARCH("3",'Procyclean 520'!F384)),EDATE(AB2882,3),DATEVALUE('Procyclean 520'!F384))))),""))</f>
        <v/>
      </c>
      <c r="AM2882" t="str">
        <f t="shared" ref="AM2882:AM2945" ca="1" si="292">IF(AND(AJ2882=1,AL2882&lt;&gt;"",AL2882&gt;=TODAY(),AG2882=$W$3),AL2882+ROW()/1000000,"")</f>
        <v/>
      </c>
    </row>
    <row r="2883" spans="27:39" x14ac:dyDescent="0.3">
      <c r="AA2883" t="str">
        <f>IF(COUNTA('Procyclean 520'!C385,'Procyclean 520'!D385,'Procyclean 520'!E385)&gt;0,"520","")</f>
        <v/>
      </c>
      <c r="AB2883" t="str">
        <f>IFERROR(IF(ISNUMBER('Procyclean 520'!C385),'Procyclean 520'!C385,DATEVALUE('Procyclean 520'!C385)),"")</f>
        <v/>
      </c>
      <c r="AC2883" t="str">
        <f>IF(AA2883="","",'Procyclean 520'!D385)</f>
        <v/>
      </c>
      <c r="AD2883" t="str">
        <f>IF(AA2883="","",IFERROR(1*'Procyclean 520'!E385,IFERROR(_xludf.NUMBERVALUE('Procyclean 520'!E385,".",","),IFERROR(_xludf.NUMBERVALUE('Procyclean 520'!E385,",","."),0))))</f>
        <v/>
      </c>
      <c r="AE2883" t="str">
        <f>IF(AA2883="","",'Procyclean 520'!B385)</f>
        <v/>
      </c>
      <c r="AF2883">
        <f t="shared" si="287"/>
        <v>0</v>
      </c>
      <c r="AG2883" t="str">
        <f t="shared" si="288"/>
        <v/>
      </c>
      <c r="AH2883" t="str">
        <f t="shared" si="289"/>
        <v/>
      </c>
      <c r="AI2883">
        <f t="shared" si="290"/>
        <v>0</v>
      </c>
      <c r="AJ2883">
        <f t="shared" si="291"/>
        <v>0</v>
      </c>
      <c r="AK2883">
        <v>0</v>
      </c>
      <c r="AL2883" t="str">
        <f>IF(AA2883="","",IFERROR(IF(ISNUMBER('Procyclean 520'!F385),'Procyclean 520'!F385,IF(ISNUMBER(SEARCH("12",'Procyclean 520'!F385)),EDATE(AB2883,12),IF(ISNUMBER(SEARCH("6",'Procyclean 520'!F385)),EDATE(AB2883,6),IF(ISNUMBER(SEARCH("3",'Procyclean 520'!F385)),EDATE(AB2883,3),DATEVALUE('Procyclean 520'!F385))))),""))</f>
        <v/>
      </c>
      <c r="AM2883" t="str">
        <f t="shared" ca="1" si="292"/>
        <v/>
      </c>
    </row>
    <row r="2884" spans="27:39" x14ac:dyDescent="0.3">
      <c r="AA2884" t="str">
        <f>IF(COUNTA('Procyclean 520'!C386,'Procyclean 520'!D386,'Procyclean 520'!E386)&gt;0,"520","")</f>
        <v/>
      </c>
      <c r="AB2884" t="str">
        <f>IFERROR(IF(ISNUMBER('Procyclean 520'!C386),'Procyclean 520'!C386,DATEVALUE('Procyclean 520'!C386)),"")</f>
        <v/>
      </c>
      <c r="AC2884" t="str">
        <f>IF(AA2884="","",'Procyclean 520'!D386)</f>
        <v/>
      </c>
      <c r="AD2884" t="str">
        <f>IF(AA2884="","",IFERROR(1*'Procyclean 520'!E386,IFERROR(_xludf.NUMBERVALUE('Procyclean 520'!E386,".",","),IFERROR(_xludf.NUMBERVALUE('Procyclean 520'!E386,",","."),0))))</f>
        <v/>
      </c>
      <c r="AE2884" t="str">
        <f>IF(AA2884="","",'Procyclean 520'!B386)</f>
        <v/>
      </c>
      <c r="AF2884">
        <f t="shared" si="287"/>
        <v>0</v>
      </c>
      <c r="AG2884" t="str">
        <f t="shared" si="288"/>
        <v/>
      </c>
      <c r="AH2884" t="str">
        <f t="shared" si="289"/>
        <v/>
      </c>
      <c r="AI2884">
        <f t="shared" si="290"/>
        <v>0</v>
      </c>
      <c r="AJ2884">
        <f t="shared" si="291"/>
        <v>0</v>
      </c>
      <c r="AK2884">
        <v>0</v>
      </c>
      <c r="AL2884" t="str">
        <f>IF(AA2884="","",IFERROR(IF(ISNUMBER('Procyclean 520'!F386),'Procyclean 520'!F386,IF(ISNUMBER(SEARCH("12",'Procyclean 520'!F386)),EDATE(AB2884,12),IF(ISNUMBER(SEARCH("6",'Procyclean 520'!F386)),EDATE(AB2884,6),IF(ISNUMBER(SEARCH("3",'Procyclean 520'!F386)),EDATE(AB2884,3),DATEVALUE('Procyclean 520'!F386))))),""))</f>
        <v/>
      </c>
      <c r="AM2884" t="str">
        <f t="shared" ca="1" si="292"/>
        <v/>
      </c>
    </row>
    <row r="2885" spans="27:39" x14ac:dyDescent="0.3">
      <c r="AA2885" t="str">
        <f>IF(COUNTA('Procyclean 520'!C387,'Procyclean 520'!D387,'Procyclean 520'!E387)&gt;0,"520","")</f>
        <v/>
      </c>
      <c r="AB2885" t="str">
        <f>IFERROR(IF(ISNUMBER('Procyclean 520'!C387),'Procyclean 520'!C387,DATEVALUE('Procyclean 520'!C387)),"")</f>
        <v/>
      </c>
      <c r="AC2885" t="str">
        <f>IF(AA2885="","",'Procyclean 520'!D387)</f>
        <v/>
      </c>
      <c r="AD2885" t="str">
        <f>IF(AA2885="","",IFERROR(1*'Procyclean 520'!E387,IFERROR(_xludf.NUMBERVALUE('Procyclean 520'!E387,".",","),IFERROR(_xludf.NUMBERVALUE('Procyclean 520'!E387,",","."),0))))</f>
        <v/>
      </c>
      <c r="AE2885" t="str">
        <f>IF(AA2885="","",'Procyclean 520'!B387)</f>
        <v/>
      </c>
      <c r="AF2885">
        <f t="shared" si="287"/>
        <v>0</v>
      </c>
      <c r="AG2885" t="str">
        <f t="shared" si="288"/>
        <v/>
      </c>
      <c r="AH2885" t="str">
        <f t="shared" si="289"/>
        <v/>
      </c>
      <c r="AI2885">
        <f t="shared" si="290"/>
        <v>0</v>
      </c>
      <c r="AJ2885">
        <f t="shared" si="291"/>
        <v>0</v>
      </c>
      <c r="AK2885">
        <v>0</v>
      </c>
      <c r="AL2885" t="str">
        <f>IF(AA2885="","",IFERROR(IF(ISNUMBER('Procyclean 520'!F387),'Procyclean 520'!F387,IF(ISNUMBER(SEARCH("12",'Procyclean 520'!F387)),EDATE(AB2885,12),IF(ISNUMBER(SEARCH("6",'Procyclean 520'!F387)),EDATE(AB2885,6),IF(ISNUMBER(SEARCH("3",'Procyclean 520'!F387)),EDATE(AB2885,3),DATEVALUE('Procyclean 520'!F387))))),""))</f>
        <v/>
      </c>
      <c r="AM2885" t="str">
        <f t="shared" ca="1" si="292"/>
        <v/>
      </c>
    </row>
    <row r="2886" spans="27:39" x14ac:dyDescent="0.3">
      <c r="AA2886" t="str">
        <f>IF(COUNTA('Procyclean 520'!C388,'Procyclean 520'!D388,'Procyclean 520'!E388)&gt;0,"520","")</f>
        <v/>
      </c>
      <c r="AB2886" t="str">
        <f>IFERROR(IF(ISNUMBER('Procyclean 520'!C388),'Procyclean 520'!C388,DATEVALUE('Procyclean 520'!C388)),"")</f>
        <v/>
      </c>
      <c r="AC2886" t="str">
        <f>IF(AA2886="","",'Procyclean 520'!D388)</f>
        <v/>
      </c>
      <c r="AD2886" t="str">
        <f>IF(AA2886="","",IFERROR(1*'Procyclean 520'!E388,IFERROR(_xludf.NUMBERVALUE('Procyclean 520'!E388,".",","),IFERROR(_xludf.NUMBERVALUE('Procyclean 520'!E388,",","."),0))))</f>
        <v/>
      </c>
      <c r="AE2886" t="str">
        <f>IF(AA2886="","",'Procyclean 520'!B388)</f>
        <v/>
      </c>
      <c r="AF2886">
        <f t="shared" si="287"/>
        <v>0</v>
      </c>
      <c r="AG2886" t="str">
        <f t="shared" si="288"/>
        <v/>
      </c>
      <c r="AH2886" t="str">
        <f t="shared" si="289"/>
        <v/>
      </c>
      <c r="AI2886">
        <f t="shared" si="290"/>
        <v>0</v>
      </c>
      <c r="AJ2886">
        <f t="shared" si="291"/>
        <v>0</v>
      </c>
      <c r="AK2886">
        <v>0</v>
      </c>
      <c r="AL2886" t="str">
        <f>IF(AA2886="","",IFERROR(IF(ISNUMBER('Procyclean 520'!F388),'Procyclean 520'!F388,IF(ISNUMBER(SEARCH("12",'Procyclean 520'!F388)),EDATE(AB2886,12),IF(ISNUMBER(SEARCH("6",'Procyclean 520'!F388)),EDATE(AB2886,6),IF(ISNUMBER(SEARCH("3",'Procyclean 520'!F388)),EDATE(AB2886,3),DATEVALUE('Procyclean 520'!F388))))),""))</f>
        <v/>
      </c>
      <c r="AM2886" t="str">
        <f t="shared" ca="1" si="292"/>
        <v/>
      </c>
    </row>
    <row r="2887" spans="27:39" x14ac:dyDescent="0.3">
      <c r="AA2887" t="str">
        <f>IF(COUNTA('Procyclean 520'!C389,'Procyclean 520'!D389,'Procyclean 520'!E389)&gt;0,"520","")</f>
        <v/>
      </c>
      <c r="AB2887" t="str">
        <f>IFERROR(IF(ISNUMBER('Procyclean 520'!C389),'Procyclean 520'!C389,DATEVALUE('Procyclean 520'!C389)),"")</f>
        <v/>
      </c>
      <c r="AC2887" t="str">
        <f>IF(AA2887="","",'Procyclean 520'!D389)</f>
        <v/>
      </c>
      <c r="AD2887" t="str">
        <f>IF(AA2887="","",IFERROR(1*'Procyclean 520'!E389,IFERROR(_xludf.NUMBERVALUE('Procyclean 520'!E389,".",","),IFERROR(_xludf.NUMBERVALUE('Procyclean 520'!E389,",","."),0))))</f>
        <v/>
      </c>
      <c r="AE2887" t="str">
        <f>IF(AA2887="","",'Procyclean 520'!B389)</f>
        <v/>
      </c>
      <c r="AF2887">
        <f t="shared" si="287"/>
        <v>0</v>
      </c>
      <c r="AG2887" t="str">
        <f t="shared" si="288"/>
        <v/>
      </c>
      <c r="AH2887" t="str">
        <f t="shared" si="289"/>
        <v/>
      </c>
      <c r="AI2887">
        <f t="shared" si="290"/>
        <v>0</v>
      </c>
      <c r="AJ2887">
        <f t="shared" si="291"/>
        <v>0</v>
      </c>
      <c r="AK2887">
        <v>0</v>
      </c>
      <c r="AL2887" t="str">
        <f>IF(AA2887="","",IFERROR(IF(ISNUMBER('Procyclean 520'!F389),'Procyclean 520'!F389,IF(ISNUMBER(SEARCH("12",'Procyclean 520'!F389)),EDATE(AB2887,12),IF(ISNUMBER(SEARCH("6",'Procyclean 520'!F389)),EDATE(AB2887,6),IF(ISNUMBER(SEARCH("3",'Procyclean 520'!F389)),EDATE(AB2887,3),DATEVALUE('Procyclean 520'!F389))))),""))</f>
        <v/>
      </c>
      <c r="AM2887" t="str">
        <f t="shared" ca="1" si="292"/>
        <v/>
      </c>
    </row>
    <row r="2888" spans="27:39" x14ac:dyDescent="0.3">
      <c r="AA2888" t="str">
        <f>IF(COUNTA('Procyclean 520'!C390,'Procyclean 520'!D390,'Procyclean 520'!E390)&gt;0,"520","")</f>
        <v/>
      </c>
      <c r="AB2888" t="str">
        <f>IFERROR(IF(ISNUMBER('Procyclean 520'!C390),'Procyclean 520'!C390,DATEVALUE('Procyclean 520'!C390)),"")</f>
        <v/>
      </c>
      <c r="AC2888" t="str">
        <f>IF(AA2888="","",'Procyclean 520'!D390)</f>
        <v/>
      </c>
      <c r="AD2888" t="str">
        <f>IF(AA2888="","",IFERROR(1*'Procyclean 520'!E390,IFERROR(_xludf.NUMBERVALUE('Procyclean 520'!E390,".",","),IFERROR(_xludf.NUMBERVALUE('Procyclean 520'!E390,",","."),0))))</f>
        <v/>
      </c>
      <c r="AE2888" t="str">
        <f>IF(AA2888="","",'Procyclean 520'!B390)</f>
        <v/>
      </c>
      <c r="AF2888">
        <f t="shared" si="287"/>
        <v>0</v>
      </c>
      <c r="AG2888" t="str">
        <f t="shared" si="288"/>
        <v/>
      </c>
      <c r="AH2888" t="str">
        <f t="shared" si="289"/>
        <v/>
      </c>
      <c r="AI2888">
        <f t="shared" si="290"/>
        <v>0</v>
      </c>
      <c r="AJ2888">
        <f t="shared" si="291"/>
        <v>0</v>
      </c>
      <c r="AK2888">
        <v>0</v>
      </c>
      <c r="AL2888" t="str">
        <f>IF(AA2888="","",IFERROR(IF(ISNUMBER('Procyclean 520'!F390),'Procyclean 520'!F390,IF(ISNUMBER(SEARCH("12",'Procyclean 520'!F390)),EDATE(AB2888,12),IF(ISNUMBER(SEARCH("6",'Procyclean 520'!F390)),EDATE(AB2888,6),IF(ISNUMBER(SEARCH("3",'Procyclean 520'!F390)),EDATE(AB2888,3),DATEVALUE('Procyclean 520'!F390))))),""))</f>
        <v/>
      </c>
      <c r="AM2888" t="str">
        <f t="shared" ca="1" si="292"/>
        <v/>
      </c>
    </row>
    <row r="2889" spans="27:39" x14ac:dyDescent="0.3">
      <c r="AA2889" t="str">
        <f>IF(COUNTA('Procyclean 520'!C391,'Procyclean 520'!D391,'Procyclean 520'!E391)&gt;0,"520","")</f>
        <v/>
      </c>
      <c r="AB2889" t="str">
        <f>IFERROR(IF(ISNUMBER('Procyclean 520'!C391),'Procyclean 520'!C391,DATEVALUE('Procyclean 520'!C391)),"")</f>
        <v/>
      </c>
      <c r="AC2889" t="str">
        <f>IF(AA2889="","",'Procyclean 520'!D391)</f>
        <v/>
      </c>
      <c r="AD2889" t="str">
        <f>IF(AA2889="","",IFERROR(1*'Procyclean 520'!E391,IFERROR(_xludf.NUMBERVALUE('Procyclean 520'!E391,".",","),IFERROR(_xludf.NUMBERVALUE('Procyclean 520'!E391,",","."),0))))</f>
        <v/>
      </c>
      <c r="AE2889" t="str">
        <f>IF(AA2889="","",'Procyclean 520'!B391)</f>
        <v/>
      </c>
      <c r="AF2889">
        <f t="shared" si="287"/>
        <v>0</v>
      </c>
      <c r="AG2889" t="str">
        <f t="shared" si="288"/>
        <v/>
      </c>
      <c r="AH2889" t="str">
        <f t="shared" si="289"/>
        <v/>
      </c>
      <c r="AI2889">
        <f t="shared" si="290"/>
        <v>0</v>
      </c>
      <c r="AJ2889">
        <f t="shared" si="291"/>
        <v>0</v>
      </c>
      <c r="AK2889">
        <v>0</v>
      </c>
      <c r="AL2889" t="str">
        <f>IF(AA2889="","",IFERROR(IF(ISNUMBER('Procyclean 520'!F391),'Procyclean 520'!F391,IF(ISNUMBER(SEARCH("12",'Procyclean 520'!F391)),EDATE(AB2889,12),IF(ISNUMBER(SEARCH("6",'Procyclean 520'!F391)),EDATE(AB2889,6),IF(ISNUMBER(SEARCH("3",'Procyclean 520'!F391)),EDATE(AB2889,3),DATEVALUE('Procyclean 520'!F391))))),""))</f>
        <v/>
      </c>
      <c r="AM2889" t="str">
        <f t="shared" ca="1" si="292"/>
        <v/>
      </c>
    </row>
    <row r="2890" spans="27:39" x14ac:dyDescent="0.3">
      <c r="AA2890" t="str">
        <f>IF(COUNTA('Procyclean 520'!C392,'Procyclean 520'!D392,'Procyclean 520'!E392)&gt;0,"520","")</f>
        <v/>
      </c>
      <c r="AB2890" t="str">
        <f>IFERROR(IF(ISNUMBER('Procyclean 520'!C392),'Procyclean 520'!C392,DATEVALUE('Procyclean 520'!C392)),"")</f>
        <v/>
      </c>
      <c r="AC2890" t="str">
        <f>IF(AA2890="","",'Procyclean 520'!D392)</f>
        <v/>
      </c>
      <c r="AD2890" t="str">
        <f>IF(AA2890="","",IFERROR(1*'Procyclean 520'!E392,IFERROR(_xludf.NUMBERVALUE('Procyclean 520'!E392,".",","),IFERROR(_xludf.NUMBERVALUE('Procyclean 520'!E392,",","."),0))))</f>
        <v/>
      </c>
      <c r="AE2890" t="str">
        <f>IF(AA2890="","",'Procyclean 520'!B392)</f>
        <v/>
      </c>
      <c r="AF2890">
        <f t="shared" si="287"/>
        <v>0</v>
      </c>
      <c r="AG2890" t="str">
        <f t="shared" si="288"/>
        <v/>
      </c>
      <c r="AH2890" t="str">
        <f t="shared" si="289"/>
        <v/>
      </c>
      <c r="AI2890">
        <f t="shared" si="290"/>
        <v>0</v>
      </c>
      <c r="AJ2890">
        <f t="shared" si="291"/>
        <v>0</v>
      </c>
      <c r="AK2890">
        <v>0</v>
      </c>
      <c r="AL2890" t="str">
        <f>IF(AA2890="","",IFERROR(IF(ISNUMBER('Procyclean 520'!F392),'Procyclean 520'!F392,IF(ISNUMBER(SEARCH("12",'Procyclean 520'!F392)),EDATE(AB2890,12),IF(ISNUMBER(SEARCH("6",'Procyclean 520'!F392)),EDATE(AB2890,6),IF(ISNUMBER(SEARCH("3",'Procyclean 520'!F392)),EDATE(AB2890,3),DATEVALUE('Procyclean 520'!F392))))),""))</f>
        <v/>
      </c>
      <c r="AM2890" t="str">
        <f t="shared" ca="1" si="292"/>
        <v/>
      </c>
    </row>
    <row r="2891" spans="27:39" x14ac:dyDescent="0.3">
      <c r="AA2891" t="str">
        <f>IF(COUNTA('Procyclean 520'!C393,'Procyclean 520'!D393,'Procyclean 520'!E393)&gt;0,"520","")</f>
        <v/>
      </c>
      <c r="AB2891" t="str">
        <f>IFERROR(IF(ISNUMBER('Procyclean 520'!C393),'Procyclean 520'!C393,DATEVALUE('Procyclean 520'!C393)),"")</f>
        <v/>
      </c>
      <c r="AC2891" t="str">
        <f>IF(AA2891="","",'Procyclean 520'!D393)</f>
        <v/>
      </c>
      <c r="AD2891" t="str">
        <f>IF(AA2891="","",IFERROR(1*'Procyclean 520'!E393,IFERROR(_xludf.NUMBERVALUE('Procyclean 520'!E393,".",","),IFERROR(_xludf.NUMBERVALUE('Procyclean 520'!E393,",","."),0))))</f>
        <v/>
      </c>
      <c r="AE2891" t="str">
        <f>IF(AA2891="","",'Procyclean 520'!B393)</f>
        <v/>
      </c>
      <c r="AF2891">
        <f t="shared" si="287"/>
        <v>0</v>
      </c>
      <c r="AG2891" t="str">
        <f t="shared" si="288"/>
        <v/>
      </c>
      <c r="AH2891" t="str">
        <f t="shared" si="289"/>
        <v/>
      </c>
      <c r="AI2891">
        <f t="shared" si="290"/>
        <v>0</v>
      </c>
      <c r="AJ2891">
        <f t="shared" si="291"/>
        <v>0</v>
      </c>
      <c r="AK2891">
        <v>0</v>
      </c>
      <c r="AL2891" t="str">
        <f>IF(AA2891="","",IFERROR(IF(ISNUMBER('Procyclean 520'!F393),'Procyclean 520'!F393,IF(ISNUMBER(SEARCH("12",'Procyclean 520'!F393)),EDATE(AB2891,12),IF(ISNUMBER(SEARCH("6",'Procyclean 520'!F393)),EDATE(AB2891,6),IF(ISNUMBER(SEARCH("3",'Procyclean 520'!F393)),EDATE(AB2891,3),DATEVALUE('Procyclean 520'!F393))))),""))</f>
        <v/>
      </c>
      <c r="AM2891" t="str">
        <f t="shared" ca="1" si="292"/>
        <v/>
      </c>
    </row>
    <row r="2892" spans="27:39" x14ac:dyDescent="0.3">
      <c r="AA2892" t="str">
        <f>IF(COUNTA('Procyclean 520'!C394,'Procyclean 520'!D394,'Procyclean 520'!E394)&gt;0,"520","")</f>
        <v/>
      </c>
      <c r="AB2892" t="str">
        <f>IFERROR(IF(ISNUMBER('Procyclean 520'!C394),'Procyclean 520'!C394,DATEVALUE('Procyclean 520'!C394)),"")</f>
        <v/>
      </c>
      <c r="AC2892" t="str">
        <f>IF(AA2892="","",'Procyclean 520'!D394)</f>
        <v/>
      </c>
      <c r="AD2892" t="str">
        <f>IF(AA2892="","",IFERROR(1*'Procyclean 520'!E394,IFERROR(_xludf.NUMBERVALUE('Procyclean 520'!E394,".",","),IFERROR(_xludf.NUMBERVALUE('Procyclean 520'!E394,",","."),0))))</f>
        <v/>
      </c>
      <c r="AE2892" t="str">
        <f>IF(AA2892="","",'Procyclean 520'!B394)</f>
        <v/>
      </c>
      <c r="AF2892">
        <f t="shared" si="287"/>
        <v>0</v>
      </c>
      <c r="AG2892" t="str">
        <f t="shared" si="288"/>
        <v/>
      </c>
      <c r="AH2892" t="str">
        <f t="shared" si="289"/>
        <v/>
      </c>
      <c r="AI2892">
        <f t="shared" si="290"/>
        <v>0</v>
      </c>
      <c r="AJ2892">
        <f t="shared" si="291"/>
        <v>0</v>
      </c>
      <c r="AK2892">
        <v>0</v>
      </c>
      <c r="AL2892" t="str">
        <f>IF(AA2892="","",IFERROR(IF(ISNUMBER('Procyclean 520'!F394),'Procyclean 520'!F394,IF(ISNUMBER(SEARCH("12",'Procyclean 520'!F394)),EDATE(AB2892,12),IF(ISNUMBER(SEARCH("6",'Procyclean 520'!F394)),EDATE(AB2892,6),IF(ISNUMBER(SEARCH("3",'Procyclean 520'!F394)),EDATE(AB2892,3),DATEVALUE('Procyclean 520'!F394))))),""))</f>
        <v/>
      </c>
      <c r="AM2892" t="str">
        <f t="shared" ca="1" si="292"/>
        <v/>
      </c>
    </row>
    <row r="2893" spans="27:39" x14ac:dyDescent="0.3">
      <c r="AA2893" t="str">
        <f>IF(COUNTA('Procyclean 520'!C395,'Procyclean 520'!D395,'Procyclean 520'!E395)&gt;0,"520","")</f>
        <v/>
      </c>
      <c r="AB2893" t="str">
        <f>IFERROR(IF(ISNUMBER('Procyclean 520'!C395),'Procyclean 520'!C395,DATEVALUE('Procyclean 520'!C395)),"")</f>
        <v/>
      </c>
      <c r="AC2893" t="str">
        <f>IF(AA2893="","",'Procyclean 520'!D395)</f>
        <v/>
      </c>
      <c r="AD2893" t="str">
        <f>IF(AA2893="","",IFERROR(1*'Procyclean 520'!E395,IFERROR(_xludf.NUMBERVALUE('Procyclean 520'!E395,".",","),IFERROR(_xludf.NUMBERVALUE('Procyclean 520'!E395,",","."),0))))</f>
        <v/>
      </c>
      <c r="AE2893" t="str">
        <f>IF(AA2893="","",'Procyclean 520'!B395)</f>
        <v/>
      </c>
      <c r="AF2893">
        <f t="shared" si="287"/>
        <v>0</v>
      </c>
      <c r="AG2893" t="str">
        <f t="shared" si="288"/>
        <v/>
      </c>
      <c r="AH2893" t="str">
        <f t="shared" si="289"/>
        <v/>
      </c>
      <c r="AI2893">
        <f t="shared" si="290"/>
        <v>0</v>
      </c>
      <c r="AJ2893">
        <f t="shared" si="291"/>
        <v>0</v>
      </c>
      <c r="AK2893">
        <v>0</v>
      </c>
      <c r="AL2893" t="str">
        <f>IF(AA2893="","",IFERROR(IF(ISNUMBER('Procyclean 520'!F395),'Procyclean 520'!F395,IF(ISNUMBER(SEARCH("12",'Procyclean 520'!F395)),EDATE(AB2893,12),IF(ISNUMBER(SEARCH("6",'Procyclean 520'!F395)),EDATE(AB2893,6),IF(ISNUMBER(SEARCH("3",'Procyclean 520'!F395)),EDATE(AB2893,3),DATEVALUE('Procyclean 520'!F395))))),""))</f>
        <v/>
      </c>
      <c r="AM2893" t="str">
        <f t="shared" ca="1" si="292"/>
        <v/>
      </c>
    </row>
    <row r="2894" spans="27:39" x14ac:dyDescent="0.3">
      <c r="AA2894" t="str">
        <f>IF(COUNTA('Procyclean 520'!C396,'Procyclean 520'!D396,'Procyclean 520'!E396)&gt;0,"520","")</f>
        <v/>
      </c>
      <c r="AB2894" t="str">
        <f>IFERROR(IF(ISNUMBER('Procyclean 520'!C396),'Procyclean 520'!C396,DATEVALUE('Procyclean 520'!C396)),"")</f>
        <v/>
      </c>
      <c r="AC2894" t="str">
        <f>IF(AA2894="","",'Procyclean 520'!D396)</f>
        <v/>
      </c>
      <c r="AD2894" t="str">
        <f>IF(AA2894="","",IFERROR(1*'Procyclean 520'!E396,IFERROR(_xludf.NUMBERVALUE('Procyclean 520'!E396,".",","),IFERROR(_xludf.NUMBERVALUE('Procyclean 520'!E396,",","."),0))))</f>
        <v/>
      </c>
      <c r="AE2894" t="str">
        <f>IF(AA2894="","",'Procyclean 520'!B396)</f>
        <v/>
      </c>
      <c r="AF2894">
        <f t="shared" si="287"/>
        <v>0</v>
      </c>
      <c r="AG2894" t="str">
        <f t="shared" si="288"/>
        <v/>
      </c>
      <c r="AH2894" t="str">
        <f t="shared" si="289"/>
        <v/>
      </c>
      <c r="AI2894">
        <f t="shared" si="290"/>
        <v>0</v>
      </c>
      <c r="AJ2894">
        <f t="shared" si="291"/>
        <v>0</v>
      </c>
      <c r="AK2894">
        <v>0</v>
      </c>
      <c r="AL2894" t="str">
        <f>IF(AA2894="","",IFERROR(IF(ISNUMBER('Procyclean 520'!F396),'Procyclean 520'!F396,IF(ISNUMBER(SEARCH("12",'Procyclean 520'!F396)),EDATE(AB2894,12),IF(ISNUMBER(SEARCH("6",'Procyclean 520'!F396)),EDATE(AB2894,6),IF(ISNUMBER(SEARCH("3",'Procyclean 520'!F396)),EDATE(AB2894,3),DATEVALUE('Procyclean 520'!F396))))),""))</f>
        <v/>
      </c>
      <c r="AM2894" t="str">
        <f t="shared" ca="1" si="292"/>
        <v/>
      </c>
    </row>
    <row r="2895" spans="27:39" x14ac:dyDescent="0.3">
      <c r="AA2895" t="str">
        <f>IF(COUNTA('Procyclean 520'!C397,'Procyclean 520'!D397,'Procyclean 520'!E397)&gt;0,"520","")</f>
        <v/>
      </c>
      <c r="AB2895" t="str">
        <f>IFERROR(IF(ISNUMBER('Procyclean 520'!C397),'Procyclean 520'!C397,DATEVALUE('Procyclean 520'!C397)),"")</f>
        <v/>
      </c>
      <c r="AC2895" t="str">
        <f>IF(AA2895="","",'Procyclean 520'!D397)</f>
        <v/>
      </c>
      <c r="AD2895" t="str">
        <f>IF(AA2895="","",IFERROR(1*'Procyclean 520'!E397,IFERROR(_xludf.NUMBERVALUE('Procyclean 520'!E397,".",","),IFERROR(_xludf.NUMBERVALUE('Procyclean 520'!E397,",","."),0))))</f>
        <v/>
      </c>
      <c r="AE2895" t="str">
        <f>IF(AA2895="","",'Procyclean 520'!B397)</f>
        <v/>
      </c>
      <c r="AF2895">
        <f t="shared" si="287"/>
        <v>0</v>
      </c>
      <c r="AG2895" t="str">
        <f t="shared" si="288"/>
        <v/>
      </c>
      <c r="AH2895" t="str">
        <f t="shared" si="289"/>
        <v/>
      </c>
      <c r="AI2895">
        <f t="shared" si="290"/>
        <v>0</v>
      </c>
      <c r="AJ2895">
        <f t="shared" si="291"/>
        <v>0</v>
      </c>
      <c r="AK2895">
        <v>0</v>
      </c>
      <c r="AL2895" t="str">
        <f>IF(AA2895="","",IFERROR(IF(ISNUMBER('Procyclean 520'!F397),'Procyclean 520'!F397,IF(ISNUMBER(SEARCH("12",'Procyclean 520'!F397)),EDATE(AB2895,12),IF(ISNUMBER(SEARCH("6",'Procyclean 520'!F397)),EDATE(AB2895,6),IF(ISNUMBER(SEARCH("3",'Procyclean 520'!F397)),EDATE(AB2895,3),DATEVALUE('Procyclean 520'!F397))))),""))</f>
        <v/>
      </c>
      <c r="AM2895" t="str">
        <f t="shared" ca="1" si="292"/>
        <v/>
      </c>
    </row>
    <row r="2896" spans="27:39" x14ac:dyDescent="0.3">
      <c r="AA2896" t="str">
        <f>IF(COUNTA('Procyclean 520'!C398,'Procyclean 520'!D398,'Procyclean 520'!E398)&gt;0,"520","")</f>
        <v/>
      </c>
      <c r="AB2896" t="str">
        <f>IFERROR(IF(ISNUMBER('Procyclean 520'!C398),'Procyclean 520'!C398,DATEVALUE('Procyclean 520'!C398)),"")</f>
        <v/>
      </c>
      <c r="AC2896" t="str">
        <f>IF(AA2896="","",'Procyclean 520'!D398)</f>
        <v/>
      </c>
      <c r="AD2896" t="str">
        <f>IF(AA2896="","",IFERROR(1*'Procyclean 520'!E398,IFERROR(_xludf.NUMBERVALUE('Procyclean 520'!E398,".",","),IFERROR(_xludf.NUMBERVALUE('Procyclean 520'!E398,",","."),0))))</f>
        <v/>
      </c>
      <c r="AE2896" t="str">
        <f>IF(AA2896="","",'Procyclean 520'!B398)</f>
        <v/>
      </c>
      <c r="AF2896">
        <f t="shared" si="287"/>
        <v>0</v>
      </c>
      <c r="AG2896" t="str">
        <f t="shared" si="288"/>
        <v/>
      </c>
      <c r="AH2896" t="str">
        <f t="shared" si="289"/>
        <v/>
      </c>
      <c r="AI2896">
        <f t="shared" si="290"/>
        <v>0</v>
      </c>
      <c r="AJ2896">
        <f t="shared" si="291"/>
        <v>0</v>
      </c>
      <c r="AK2896">
        <v>0</v>
      </c>
      <c r="AL2896" t="str">
        <f>IF(AA2896="","",IFERROR(IF(ISNUMBER('Procyclean 520'!F398),'Procyclean 520'!F398,IF(ISNUMBER(SEARCH("12",'Procyclean 520'!F398)),EDATE(AB2896,12),IF(ISNUMBER(SEARCH("6",'Procyclean 520'!F398)),EDATE(AB2896,6),IF(ISNUMBER(SEARCH("3",'Procyclean 520'!F398)),EDATE(AB2896,3),DATEVALUE('Procyclean 520'!F398))))),""))</f>
        <v/>
      </c>
      <c r="AM2896" t="str">
        <f t="shared" ca="1" si="292"/>
        <v/>
      </c>
    </row>
    <row r="2897" spans="27:39" x14ac:dyDescent="0.3">
      <c r="AA2897" t="str">
        <f>IF(COUNTA('Procyclean 520'!C399,'Procyclean 520'!D399,'Procyclean 520'!E399)&gt;0,"520","")</f>
        <v/>
      </c>
      <c r="AB2897" t="str">
        <f>IFERROR(IF(ISNUMBER('Procyclean 520'!C399),'Procyclean 520'!C399,DATEVALUE('Procyclean 520'!C399)),"")</f>
        <v/>
      </c>
      <c r="AC2897" t="str">
        <f>IF(AA2897="","",'Procyclean 520'!D399)</f>
        <v/>
      </c>
      <c r="AD2897" t="str">
        <f>IF(AA2897="","",IFERROR(1*'Procyclean 520'!E399,IFERROR(_xludf.NUMBERVALUE('Procyclean 520'!E399,".",","),IFERROR(_xludf.NUMBERVALUE('Procyclean 520'!E399,",","."),0))))</f>
        <v/>
      </c>
      <c r="AE2897" t="str">
        <f>IF(AA2897="","",'Procyclean 520'!B399)</f>
        <v/>
      </c>
      <c r="AF2897">
        <f t="shared" si="287"/>
        <v>0</v>
      </c>
      <c r="AG2897" t="str">
        <f t="shared" si="288"/>
        <v/>
      </c>
      <c r="AH2897" t="str">
        <f t="shared" si="289"/>
        <v/>
      </c>
      <c r="AI2897">
        <f t="shared" si="290"/>
        <v>0</v>
      </c>
      <c r="AJ2897">
        <f t="shared" si="291"/>
        <v>0</v>
      </c>
      <c r="AK2897">
        <v>0</v>
      </c>
      <c r="AL2897" t="str">
        <f>IF(AA2897="","",IFERROR(IF(ISNUMBER('Procyclean 520'!F399),'Procyclean 520'!F399,IF(ISNUMBER(SEARCH("12",'Procyclean 520'!F399)),EDATE(AB2897,12),IF(ISNUMBER(SEARCH("6",'Procyclean 520'!F399)),EDATE(AB2897,6),IF(ISNUMBER(SEARCH("3",'Procyclean 520'!F399)),EDATE(AB2897,3),DATEVALUE('Procyclean 520'!F399))))),""))</f>
        <v/>
      </c>
      <c r="AM2897" t="str">
        <f t="shared" ca="1" si="292"/>
        <v/>
      </c>
    </row>
    <row r="2898" spans="27:39" x14ac:dyDescent="0.3">
      <c r="AA2898" t="str">
        <f>IF(COUNTA('Procyclean 520'!C400,'Procyclean 520'!D400,'Procyclean 520'!E400)&gt;0,"520","")</f>
        <v/>
      </c>
      <c r="AB2898" t="str">
        <f>IFERROR(IF(ISNUMBER('Procyclean 520'!C400),'Procyclean 520'!C400,DATEVALUE('Procyclean 520'!C400)),"")</f>
        <v/>
      </c>
      <c r="AC2898" t="str">
        <f>IF(AA2898="","",'Procyclean 520'!D400)</f>
        <v/>
      </c>
      <c r="AD2898" t="str">
        <f>IF(AA2898="","",IFERROR(1*'Procyclean 520'!E400,IFERROR(_xludf.NUMBERVALUE('Procyclean 520'!E400,".",","),IFERROR(_xludf.NUMBERVALUE('Procyclean 520'!E400,",","."),0))))</f>
        <v/>
      </c>
      <c r="AE2898" t="str">
        <f>IF(AA2898="","",'Procyclean 520'!B400)</f>
        <v/>
      </c>
      <c r="AF2898">
        <f t="shared" si="287"/>
        <v>0</v>
      </c>
      <c r="AG2898" t="str">
        <f t="shared" si="288"/>
        <v/>
      </c>
      <c r="AH2898" t="str">
        <f t="shared" si="289"/>
        <v/>
      </c>
      <c r="AI2898">
        <f t="shared" si="290"/>
        <v>0</v>
      </c>
      <c r="AJ2898">
        <f t="shared" si="291"/>
        <v>0</v>
      </c>
      <c r="AK2898">
        <v>0</v>
      </c>
      <c r="AL2898" t="str">
        <f>IF(AA2898="","",IFERROR(IF(ISNUMBER('Procyclean 520'!F400),'Procyclean 520'!F400,IF(ISNUMBER(SEARCH("12",'Procyclean 520'!F400)),EDATE(AB2898,12),IF(ISNUMBER(SEARCH("6",'Procyclean 520'!F400)),EDATE(AB2898,6),IF(ISNUMBER(SEARCH("3",'Procyclean 520'!F400)),EDATE(AB2898,3),DATEVALUE('Procyclean 520'!F400))))),""))</f>
        <v/>
      </c>
      <c r="AM2898" t="str">
        <f t="shared" ca="1" si="292"/>
        <v/>
      </c>
    </row>
    <row r="2899" spans="27:39" x14ac:dyDescent="0.3">
      <c r="AA2899" t="str">
        <f>IF(COUNTA('Procyclean 520'!C401,'Procyclean 520'!D401,'Procyclean 520'!E401)&gt;0,"520","")</f>
        <v/>
      </c>
      <c r="AB2899" t="str">
        <f>IFERROR(IF(ISNUMBER('Procyclean 520'!C401),'Procyclean 520'!C401,DATEVALUE('Procyclean 520'!C401)),"")</f>
        <v/>
      </c>
      <c r="AC2899" t="str">
        <f>IF(AA2899="","",'Procyclean 520'!D401)</f>
        <v/>
      </c>
      <c r="AD2899" t="str">
        <f>IF(AA2899="","",IFERROR(1*'Procyclean 520'!E401,IFERROR(_xludf.NUMBERVALUE('Procyclean 520'!E401,".",","),IFERROR(_xludf.NUMBERVALUE('Procyclean 520'!E401,",","."),0))))</f>
        <v/>
      </c>
      <c r="AE2899" t="str">
        <f>IF(AA2899="","",'Procyclean 520'!B401)</f>
        <v/>
      </c>
      <c r="AF2899">
        <f t="shared" si="287"/>
        <v>0</v>
      </c>
      <c r="AG2899" t="str">
        <f t="shared" si="288"/>
        <v/>
      </c>
      <c r="AH2899" t="str">
        <f t="shared" si="289"/>
        <v/>
      </c>
      <c r="AI2899">
        <f t="shared" si="290"/>
        <v>0</v>
      </c>
      <c r="AJ2899">
        <f t="shared" si="291"/>
        <v>0</v>
      </c>
      <c r="AK2899">
        <v>0</v>
      </c>
      <c r="AL2899" t="str">
        <f>IF(AA2899="","",IFERROR(IF(ISNUMBER('Procyclean 520'!F401),'Procyclean 520'!F401,IF(ISNUMBER(SEARCH("12",'Procyclean 520'!F401)),EDATE(AB2899,12),IF(ISNUMBER(SEARCH("6",'Procyclean 520'!F401)),EDATE(AB2899,6),IF(ISNUMBER(SEARCH("3",'Procyclean 520'!F401)),EDATE(AB2899,3),DATEVALUE('Procyclean 520'!F401))))),""))</f>
        <v/>
      </c>
      <c r="AM2899" t="str">
        <f t="shared" ca="1" si="292"/>
        <v/>
      </c>
    </row>
    <row r="2900" spans="27:39" x14ac:dyDescent="0.3">
      <c r="AA2900" t="str">
        <f>IF(COUNTA('Procyclean 520'!C402,'Procyclean 520'!D402,'Procyclean 520'!E402)&gt;0,"520","")</f>
        <v/>
      </c>
      <c r="AB2900" t="str">
        <f>IFERROR(IF(ISNUMBER('Procyclean 520'!C402),'Procyclean 520'!C402,DATEVALUE('Procyclean 520'!C402)),"")</f>
        <v/>
      </c>
      <c r="AC2900" t="str">
        <f>IF(AA2900="","",'Procyclean 520'!D402)</f>
        <v/>
      </c>
      <c r="AD2900" t="str">
        <f>IF(AA2900="","",IFERROR(1*'Procyclean 520'!E402,IFERROR(_xludf.NUMBERVALUE('Procyclean 520'!E402,".",","),IFERROR(_xludf.NUMBERVALUE('Procyclean 520'!E402,",","."),0))))</f>
        <v/>
      </c>
      <c r="AE2900" t="str">
        <f>IF(AA2900="","",'Procyclean 520'!B402)</f>
        <v/>
      </c>
      <c r="AF2900">
        <f t="shared" si="287"/>
        <v>0</v>
      </c>
      <c r="AG2900" t="str">
        <f t="shared" si="288"/>
        <v/>
      </c>
      <c r="AH2900" t="str">
        <f t="shared" si="289"/>
        <v/>
      </c>
      <c r="AI2900">
        <f t="shared" si="290"/>
        <v>0</v>
      </c>
      <c r="AJ2900">
        <f t="shared" si="291"/>
        <v>0</v>
      </c>
      <c r="AK2900">
        <v>0</v>
      </c>
      <c r="AL2900" t="str">
        <f>IF(AA2900="","",IFERROR(IF(ISNUMBER('Procyclean 520'!F402),'Procyclean 520'!F402,IF(ISNUMBER(SEARCH("12",'Procyclean 520'!F402)),EDATE(AB2900,12),IF(ISNUMBER(SEARCH("6",'Procyclean 520'!F402)),EDATE(AB2900,6),IF(ISNUMBER(SEARCH("3",'Procyclean 520'!F402)),EDATE(AB2900,3),DATEVALUE('Procyclean 520'!F402))))),""))</f>
        <v/>
      </c>
      <c r="AM2900" t="str">
        <f t="shared" ca="1" si="292"/>
        <v/>
      </c>
    </row>
    <row r="2901" spans="27:39" x14ac:dyDescent="0.3">
      <c r="AA2901" t="str">
        <f>IF(COUNTA('Procyclean 520'!C403,'Procyclean 520'!D403,'Procyclean 520'!E403)&gt;0,"520","")</f>
        <v/>
      </c>
      <c r="AB2901" t="str">
        <f>IFERROR(IF(ISNUMBER('Procyclean 520'!C403),'Procyclean 520'!C403,DATEVALUE('Procyclean 520'!C403)),"")</f>
        <v/>
      </c>
      <c r="AC2901" t="str">
        <f>IF(AA2901="","",'Procyclean 520'!D403)</f>
        <v/>
      </c>
      <c r="AD2901" t="str">
        <f>IF(AA2901="","",IFERROR(1*'Procyclean 520'!E403,IFERROR(_xludf.NUMBERVALUE('Procyclean 520'!E403,".",","),IFERROR(_xludf.NUMBERVALUE('Procyclean 520'!E403,",","."),0))))</f>
        <v/>
      </c>
      <c r="AE2901" t="str">
        <f>IF(AA2901="","",'Procyclean 520'!B403)</f>
        <v/>
      </c>
      <c r="AF2901">
        <f t="shared" si="287"/>
        <v>0</v>
      </c>
      <c r="AG2901" t="str">
        <f t="shared" si="288"/>
        <v/>
      </c>
      <c r="AH2901" t="str">
        <f t="shared" si="289"/>
        <v/>
      </c>
      <c r="AI2901">
        <f t="shared" si="290"/>
        <v>0</v>
      </c>
      <c r="AJ2901">
        <f t="shared" si="291"/>
        <v>0</v>
      </c>
      <c r="AK2901">
        <v>0</v>
      </c>
      <c r="AL2901" t="str">
        <f>IF(AA2901="","",IFERROR(IF(ISNUMBER('Procyclean 520'!F403),'Procyclean 520'!F403,IF(ISNUMBER(SEARCH("12",'Procyclean 520'!F403)),EDATE(AB2901,12),IF(ISNUMBER(SEARCH("6",'Procyclean 520'!F403)),EDATE(AB2901,6),IF(ISNUMBER(SEARCH("3",'Procyclean 520'!F403)),EDATE(AB2901,3),DATEVALUE('Procyclean 520'!F403))))),""))</f>
        <v/>
      </c>
      <c r="AM2901" t="str">
        <f t="shared" ca="1" si="292"/>
        <v/>
      </c>
    </row>
    <row r="2902" spans="27:39" x14ac:dyDescent="0.3">
      <c r="AA2902" t="str">
        <f>IF(COUNTA('Procyclean 520'!C404,'Procyclean 520'!D404,'Procyclean 520'!E404)&gt;0,"520","")</f>
        <v/>
      </c>
      <c r="AB2902" t="str">
        <f>IFERROR(IF(ISNUMBER('Procyclean 520'!C404),'Procyclean 520'!C404,DATEVALUE('Procyclean 520'!C404)),"")</f>
        <v/>
      </c>
      <c r="AC2902" t="str">
        <f>IF(AA2902="","",'Procyclean 520'!D404)</f>
        <v/>
      </c>
      <c r="AD2902" t="str">
        <f>IF(AA2902="","",IFERROR(1*'Procyclean 520'!E404,IFERROR(_xludf.NUMBERVALUE('Procyclean 520'!E404,".",","),IFERROR(_xludf.NUMBERVALUE('Procyclean 520'!E404,",","."),0))))</f>
        <v/>
      </c>
      <c r="AE2902" t="str">
        <f>IF(AA2902="","",'Procyclean 520'!B404)</f>
        <v/>
      </c>
      <c r="AF2902">
        <f t="shared" si="287"/>
        <v>0</v>
      </c>
      <c r="AG2902" t="str">
        <f t="shared" si="288"/>
        <v/>
      </c>
      <c r="AH2902" t="str">
        <f t="shared" si="289"/>
        <v/>
      </c>
      <c r="AI2902">
        <f t="shared" si="290"/>
        <v>0</v>
      </c>
      <c r="AJ2902">
        <f t="shared" si="291"/>
        <v>0</v>
      </c>
      <c r="AK2902">
        <v>0</v>
      </c>
      <c r="AL2902" t="str">
        <f>IF(AA2902="","",IFERROR(IF(ISNUMBER('Procyclean 520'!F404),'Procyclean 520'!F404,IF(ISNUMBER(SEARCH("12",'Procyclean 520'!F404)),EDATE(AB2902,12),IF(ISNUMBER(SEARCH("6",'Procyclean 520'!F404)),EDATE(AB2902,6),IF(ISNUMBER(SEARCH("3",'Procyclean 520'!F404)),EDATE(AB2902,3),DATEVALUE('Procyclean 520'!F404))))),""))</f>
        <v/>
      </c>
      <c r="AM2902" t="str">
        <f t="shared" ca="1" si="292"/>
        <v/>
      </c>
    </row>
    <row r="2903" spans="27:39" x14ac:dyDescent="0.3">
      <c r="AA2903" t="str">
        <f>IF(COUNTA('Procyclean 520'!C405,'Procyclean 520'!D405,'Procyclean 520'!E405)&gt;0,"520","")</f>
        <v/>
      </c>
      <c r="AB2903" t="str">
        <f>IFERROR(IF(ISNUMBER('Procyclean 520'!C405),'Procyclean 520'!C405,DATEVALUE('Procyclean 520'!C405)),"")</f>
        <v/>
      </c>
      <c r="AC2903" t="str">
        <f>IF(AA2903="","",'Procyclean 520'!D405)</f>
        <v/>
      </c>
      <c r="AD2903" t="str">
        <f>IF(AA2903="","",IFERROR(1*'Procyclean 520'!E405,IFERROR(_xludf.NUMBERVALUE('Procyclean 520'!E405,".",","),IFERROR(_xludf.NUMBERVALUE('Procyclean 520'!E405,",","."),0))))</f>
        <v/>
      </c>
      <c r="AE2903" t="str">
        <f>IF(AA2903="","",'Procyclean 520'!B405)</f>
        <v/>
      </c>
      <c r="AF2903">
        <f t="shared" si="287"/>
        <v>0</v>
      </c>
      <c r="AG2903" t="str">
        <f t="shared" si="288"/>
        <v/>
      </c>
      <c r="AH2903" t="str">
        <f t="shared" si="289"/>
        <v/>
      </c>
      <c r="AI2903">
        <f t="shared" si="290"/>
        <v>0</v>
      </c>
      <c r="AJ2903">
        <f t="shared" si="291"/>
        <v>0</v>
      </c>
      <c r="AK2903">
        <v>0</v>
      </c>
      <c r="AL2903" t="str">
        <f>IF(AA2903="","",IFERROR(IF(ISNUMBER('Procyclean 520'!F405),'Procyclean 520'!F405,IF(ISNUMBER(SEARCH("12",'Procyclean 520'!F405)),EDATE(AB2903,12),IF(ISNUMBER(SEARCH("6",'Procyclean 520'!F405)),EDATE(AB2903,6),IF(ISNUMBER(SEARCH("3",'Procyclean 520'!F405)),EDATE(AB2903,3),DATEVALUE('Procyclean 520'!F405))))),""))</f>
        <v/>
      </c>
      <c r="AM2903" t="str">
        <f t="shared" ca="1" si="292"/>
        <v/>
      </c>
    </row>
    <row r="2904" spans="27:39" x14ac:dyDescent="0.3">
      <c r="AA2904" t="str">
        <f>IF(COUNTA('Procyclean 520'!C406,'Procyclean 520'!D406,'Procyclean 520'!E406)&gt;0,"520","")</f>
        <v/>
      </c>
      <c r="AB2904" t="str">
        <f>IFERROR(IF(ISNUMBER('Procyclean 520'!C406),'Procyclean 520'!C406,DATEVALUE('Procyclean 520'!C406)),"")</f>
        <v/>
      </c>
      <c r="AC2904" t="str">
        <f>IF(AA2904="","",'Procyclean 520'!D406)</f>
        <v/>
      </c>
      <c r="AD2904" t="str">
        <f>IF(AA2904="","",IFERROR(1*'Procyclean 520'!E406,IFERROR(_xludf.NUMBERVALUE('Procyclean 520'!E406,".",","),IFERROR(_xludf.NUMBERVALUE('Procyclean 520'!E406,",","."),0))))</f>
        <v/>
      </c>
      <c r="AE2904" t="str">
        <f>IF(AA2904="","",'Procyclean 520'!B406)</f>
        <v/>
      </c>
      <c r="AF2904">
        <f t="shared" si="287"/>
        <v>0</v>
      </c>
      <c r="AG2904" t="str">
        <f t="shared" si="288"/>
        <v/>
      </c>
      <c r="AH2904" t="str">
        <f t="shared" si="289"/>
        <v/>
      </c>
      <c r="AI2904">
        <f t="shared" si="290"/>
        <v>0</v>
      </c>
      <c r="AJ2904">
        <f t="shared" si="291"/>
        <v>0</v>
      </c>
      <c r="AK2904">
        <v>0</v>
      </c>
      <c r="AL2904" t="str">
        <f>IF(AA2904="","",IFERROR(IF(ISNUMBER('Procyclean 520'!F406),'Procyclean 520'!F406,IF(ISNUMBER(SEARCH("12",'Procyclean 520'!F406)),EDATE(AB2904,12),IF(ISNUMBER(SEARCH("6",'Procyclean 520'!F406)),EDATE(AB2904,6),IF(ISNUMBER(SEARCH("3",'Procyclean 520'!F406)),EDATE(AB2904,3),DATEVALUE('Procyclean 520'!F406))))),""))</f>
        <v/>
      </c>
      <c r="AM2904" t="str">
        <f t="shared" ca="1" si="292"/>
        <v/>
      </c>
    </row>
    <row r="2905" spans="27:39" x14ac:dyDescent="0.3">
      <c r="AA2905" t="str">
        <f>IF(COUNTA('Procyclean 520'!C407,'Procyclean 520'!D407,'Procyclean 520'!E407)&gt;0,"520","")</f>
        <v/>
      </c>
      <c r="AB2905" t="str">
        <f>IFERROR(IF(ISNUMBER('Procyclean 520'!C407),'Procyclean 520'!C407,DATEVALUE('Procyclean 520'!C407)),"")</f>
        <v/>
      </c>
      <c r="AC2905" t="str">
        <f>IF(AA2905="","",'Procyclean 520'!D407)</f>
        <v/>
      </c>
      <c r="AD2905" t="str">
        <f>IF(AA2905="","",IFERROR(1*'Procyclean 520'!E407,IFERROR(_xludf.NUMBERVALUE('Procyclean 520'!E407,".",","),IFERROR(_xludf.NUMBERVALUE('Procyclean 520'!E407,",","."),0))))</f>
        <v/>
      </c>
      <c r="AE2905" t="str">
        <f>IF(AA2905="","",'Procyclean 520'!B407)</f>
        <v/>
      </c>
      <c r="AF2905">
        <f t="shared" si="287"/>
        <v>0</v>
      </c>
      <c r="AG2905" t="str">
        <f t="shared" si="288"/>
        <v/>
      </c>
      <c r="AH2905" t="str">
        <f t="shared" si="289"/>
        <v/>
      </c>
      <c r="AI2905">
        <f t="shared" si="290"/>
        <v>0</v>
      </c>
      <c r="AJ2905">
        <f t="shared" si="291"/>
        <v>0</v>
      </c>
      <c r="AK2905">
        <v>0</v>
      </c>
      <c r="AL2905" t="str">
        <f>IF(AA2905="","",IFERROR(IF(ISNUMBER('Procyclean 520'!F407),'Procyclean 520'!F407,IF(ISNUMBER(SEARCH("12",'Procyclean 520'!F407)),EDATE(AB2905,12),IF(ISNUMBER(SEARCH("6",'Procyclean 520'!F407)),EDATE(AB2905,6),IF(ISNUMBER(SEARCH("3",'Procyclean 520'!F407)),EDATE(AB2905,3),DATEVALUE('Procyclean 520'!F407))))),""))</f>
        <v/>
      </c>
      <c r="AM2905" t="str">
        <f t="shared" ca="1" si="292"/>
        <v/>
      </c>
    </row>
    <row r="2906" spans="27:39" x14ac:dyDescent="0.3">
      <c r="AA2906" t="str">
        <f>IF(COUNTA('Procyclean 520'!C408,'Procyclean 520'!D408,'Procyclean 520'!E408)&gt;0,"520","")</f>
        <v/>
      </c>
      <c r="AB2906" t="str">
        <f>IFERROR(IF(ISNUMBER('Procyclean 520'!C408),'Procyclean 520'!C408,DATEVALUE('Procyclean 520'!C408)),"")</f>
        <v/>
      </c>
      <c r="AC2906" t="str">
        <f>IF(AA2906="","",'Procyclean 520'!D408)</f>
        <v/>
      </c>
      <c r="AD2906" t="str">
        <f>IF(AA2906="","",IFERROR(1*'Procyclean 520'!E408,IFERROR(_xludf.NUMBERVALUE('Procyclean 520'!E408,".",","),IFERROR(_xludf.NUMBERVALUE('Procyclean 520'!E408,",","."),0))))</f>
        <v/>
      </c>
      <c r="AE2906" t="str">
        <f>IF(AA2906="","",'Procyclean 520'!B408)</f>
        <v/>
      </c>
      <c r="AF2906">
        <f t="shared" si="287"/>
        <v>0</v>
      </c>
      <c r="AG2906" t="str">
        <f t="shared" si="288"/>
        <v/>
      </c>
      <c r="AH2906" t="str">
        <f t="shared" si="289"/>
        <v/>
      </c>
      <c r="AI2906">
        <f t="shared" si="290"/>
        <v>0</v>
      </c>
      <c r="AJ2906">
        <f t="shared" si="291"/>
        <v>0</v>
      </c>
      <c r="AK2906">
        <v>0</v>
      </c>
      <c r="AL2906" t="str">
        <f>IF(AA2906="","",IFERROR(IF(ISNUMBER('Procyclean 520'!F408),'Procyclean 520'!F408,IF(ISNUMBER(SEARCH("12",'Procyclean 520'!F408)),EDATE(AB2906,12),IF(ISNUMBER(SEARCH("6",'Procyclean 520'!F408)),EDATE(AB2906,6),IF(ISNUMBER(SEARCH("3",'Procyclean 520'!F408)),EDATE(AB2906,3),DATEVALUE('Procyclean 520'!F408))))),""))</f>
        <v/>
      </c>
      <c r="AM2906" t="str">
        <f t="shared" ca="1" si="292"/>
        <v/>
      </c>
    </row>
    <row r="2907" spans="27:39" x14ac:dyDescent="0.3">
      <c r="AA2907" t="str">
        <f>IF(COUNTA('Procyclean 520'!C409,'Procyclean 520'!D409,'Procyclean 520'!E409)&gt;0,"520","")</f>
        <v/>
      </c>
      <c r="AB2907" t="str">
        <f>IFERROR(IF(ISNUMBER('Procyclean 520'!C409),'Procyclean 520'!C409,DATEVALUE('Procyclean 520'!C409)),"")</f>
        <v/>
      </c>
      <c r="AC2907" t="str">
        <f>IF(AA2907="","",'Procyclean 520'!D409)</f>
        <v/>
      </c>
      <c r="AD2907" t="str">
        <f>IF(AA2907="","",IFERROR(1*'Procyclean 520'!E409,IFERROR(_xludf.NUMBERVALUE('Procyclean 520'!E409,".",","),IFERROR(_xludf.NUMBERVALUE('Procyclean 520'!E409,",","."),0))))</f>
        <v/>
      </c>
      <c r="AE2907" t="str">
        <f>IF(AA2907="","",'Procyclean 520'!B409)</f>
        <v/>
      </c>
      <c r="AF2907">
        <f t="shared" si="287"/>
        <v>0</v>
      </c>
      <c r="AG2907" t="str">
        <f t="shared" si="288"/>
        <v/>
      </c>
      <c r="AH2907" t="str">
        <f t="shared" si="289"/>
        <v/>
      </c>
      <c r="AI2907">
        <f t="shared" si="290"/>
        <v>0</v>
      </c>
      <c r="AJ2907">
        <f t="shared" si="291"/>
        <v>0</v>
      </c>
      <c r="AK2907">
        <v>0</v>
      </c>
      <c r="AL2907" t="str">
        <f>IF(AA2907="","",IFERROR(IF(ISNUMBER('Procyclean 520'!F409),'Procyclean 520'!F409,IF(ISNUMBER(SEARCH("12",'Procyclean 520'!F409)),EDATE(AB2907,12),IF(ISNUMBER(SEARCH("6",'Procyclean 520'!F409)),EDATE(AB2907,6),IF(ISNUMBER(SEARCH("3",'Procyclean 520'!F409)),EDATE(AB2907,3),DATEVALUE('Procyclean 520'!F409))))),""))</f>
        <v/>
      </c>
      <c r="AM2907" t="str">
        <f t="shared" ca="1" si="292"/>
        <v/>
      </c>
    </row>
    <row r="2908" spans="27:39" x14ac:dyDescent="0.3">
      <c r="AA2908" t="str">
        <f>IF(COUNTA('Procyclean 520'!C410,'Procyclean 520'!D410,'Procyclean 520'!E410)&gt;0,"520","")</f>
        <v/>
      </c>
      <c r="AB2908" t="str">
        <f>IFERROR(IF(ISNUMBER('Procyclean 520'!C410),'Procyclean 520'!C410,DATEVALUE('Procyclean 520'!C410)),"")</f>
        <v/>
      </c>
      <c r="AC2908" t="str">
        <f>IF(AA2908="","",'Procyclean 520'!D410)</f>
        <v/>
      </c>
      <c r="AD2908" t="str">
        <f>IF(AA2908="","",IFERROR(1*'Procyclean 520'!E410,IFERROR(_xludf.NUMBERVALUE('Procyclean 520'!E410,".",","),IFERROR(_xludf.NUMBERVALUE('Procyclean 520'!E410,",","."),0))))</f>
        <v/>
      </c>
      <c r="AE2908" t="str">
        <f>IF(AA2908="","",'Procyclean 520'!B410)</f>
        <v/>
      </c>
      <c r="AF2908">
        <f t="shared" si="287"/>
        <v>0</v>
      </c>
      <c r="AG2908" t="str">
        <f t="shared" si="288"/>
        <v/>
      </c>
      <c r="AH2908" t="str">
        <f t="shared" si="289"/>
        <v/>
      </c>
      <c r="AI2908">
        <f t="shared" si="290"/>
        <v>0</v>
      </c>
      <c r="AJ2908">
        <f t="shared" si="291"/>
        <v>0</v>
      </c>
      <c r="AK2908">
        <v>0</v>
      </c>
      <c r="AL2908" t="str">
        <f>IF(AA2908="","",IFERROR(IF(ISNUMBER('Procyclean 520'!F410),'Procyclean 520'!F410,IF(ISNUMBER(SEARCH("12",'Procyclean 520'!F410)),EDATE(AB2908,12),IF(ISNUMBER(SEARCH("6",'Procyclean 520'!F410)),EDATE(AB2908,6),IF(ISNUMBER(SEARCH("3",'Procyclean 520'!F410)),EDATE(AB2908,3),DATEVALUE('Procyclean 520'!F410))))),""))</f>
        <v/>
      </c>
      <c r="AM2908" t="str">
        <f t="shared" ca="1" si="292"/>
        <v/>
      </c>
    </row>
    <row r="2909" spans="27:39" x14ac:dyDescent="0.3">
      <c r="AA2909" t="str">
        <f>IF(COUNTA('Procyclean 520'!C411,'Procyclean 520'!D411,'Procyclean 520'!E411)&gt;0,"520","")</f>
        <v/>
      </c>
      <c r="AB2909" t="str">
        <f>IFERROR(IF(ISNUMBER('Procyclean 520'!C411),'Procyclean 520'!C411,DATEVALUE('Procyclean 520'!C411)),"")</f>
        <v/>
      </c>
      <c r="AC2909" t="str">
        <f>IF(AA2909="","",'Procyclean 520'!D411)</f>
        <v/>
      </c>
      <c r="AD2909" t="str">
        <f>IF(AA2909="","",IFERROR(1*'Procyclean 520'!E411,IFERROR(_xludf.NUMBERVALUE('Procyclean 520'!E411,".",","),IFERROR(_xludf.NUMBERVALUE('Procyclean 520'!E411,",","."),0))))</f>
        <v/>
      </c>
      <c r="AE2909" t="str">
        <f>IF(AA2909="","",'Procyclean 520'!B411)</f>
        <v/>
      </c>
      <c r="AF2909">
        <f t="shared" si="287"/>
        <v>0</v>
      </c>
      <c r="AG2909" t="str">
        <f t="shared" si="288"/>
        <v/>
      </c>
      <c r="AH2909" t="str">
        <f t="shared" si="289"/>
        <v/>
      </c>
      <c r="AI2909">
        <f t="shared" si="290"/>
        <v>0</v>
      </c>
      <c r="AJ2909">
        <f t="shared" si="291"/>
        <v>0</v>
      </c>
      <c r="AK2909">
        <v>0</v>
      </c>
      <c r="AL2909" t="str">
        <f>IF(AA2909="","",IFERROR(IF(ISNUMBER('Procyclean 520'!F411),'Procyclean 520'!F411,IF(ISNUMBER(SEARCH("12",'Procyclean 520'!F411)),EDATE(AB2909,12),IF(ISNUMBER(SEARCH("6",'Procyclean 520'!F411)),EDATE(AB2909,6),IF(ISNUMBER(SEARCH("3",'Procyclean 520'!F411)),EDATE(AB2909,3),DATEVALUE('Procyclean 520'!F411))))),""))</f>
        <v/>
      </c>
      <c r="AM2909" t="str">
        <f t="shared" ca="1" si="292"/>
        <v/>
      </c>
    </row>
    <row r="2910" spans="27:39" x14ac:dyDescent="0.3">
      <c r="AA2910" t="str">
        <f>IF(COUNTA('Procyclean 520'!C412,'Procyclean 520'!D412,'Procyclean 520'!E412)&gt;0,"520","")</f>
        <v/>
      </c>
      <c r="AB2910" t="str">
        <f>IFERROR(IF(ISNUMBER('Procyclean 520'!C412),'Procyclean 520'!C412,DATEVALUE('Procyclean 520'!C412)),"")</f>
        <v/>
      </c>
      <c r="AC2910" t="str">
        <f>IF(AA2910="","",'Procyclean 520'!D412)</f>
        <v/>
      </c>
      <c r="AD2910" t="str">
        <f>IF(AA2910="","",IFERROR(1*'Procyclean 520'!E412,IFERROR(_xludf.NUMBERVALUE('Procyclean 520'!E412,".",","),IFERROR(_xludf.NUMBERVALUE('Procyclean 520'!E412,",","."),0))))</f>
        <v/>
      </c>
      <c r="AE2910" t="str">
        <f>IF(AA2910="","",'Procyclean 520'!B412)</f>
        <v/>
      </c>
      <c r="AF2910">
        <f t="shared" si="287"/>
        <v>0</v>
      </c>
      <c r="AG2910" t="str">
        <f t="shared" si="288"/>
        <v/>
      </c>
      <c r="AH2910" t="str">
        <f t="shared" si="289"/>
        <v/>
      </c>
      <c r="AI2910">
        <f t="shared" si="290"/>
        <v>0</v>
      </c>
      <c r="AJ2910">
        <f t="shared" si="291"/>
        <v>0</v>
      </c>
      <c r="AK2910">
        <v>0</v>
      </c>
      <c r="AL2910" t="str">
        <f>IF(AA2910="","",IFERROR(IF(ISNUMBER('Procyclean 520'!F412),'Procyclean 520'!F412,IF(ISNUMBER(SEARCH("12",'Procyclean 520'!F412)),EDATE(AB2910,12),IF(ISNUMBER(SEARCH("6",'Procyclean 520'!F412)),EDATE(AB2910,6),IF(ISNUMBER(SEARCH("3",'Procyclean 520'!F412)),EDATE(AB2910,3),DATEVALUE('Procyclean 520'!F412))))),""))</f>
        <v/>
      </c>
      <c r="AM2910" t="str">
        <f t="shared" ca="1" si="292"/>
        <v/>
      </c>
    </row>
    <row r="2911" spans="27:39" x14ac:dyDescent="0.3">
      <c r="AA2911" t="str">
        <f>IF(COUNTA('Procyclean 520'!C413,'Procyclean 520'!D413,'Procyclean 520'!E413)&gt;0,"520","")</f>
        <v/>
      </c>
      <c r="AB2911" t="str">
        <f>IFERROR(IF(ISNUMBER('Procyclean 520'!C413),'Procyclean 520'!C413,DATEVALUE('Procyclean 520'!C413)),"")</f>
        <v/>
      </c>
      <c r="AC2911" t="str">
        <f>IF(AA2911="","",'Procyclean 520'!D413)</f>
        <v/>
      </c>
      <c r="AD2911" t="str">
        <f>IF(AA2911="","",IFERROR(1*'Procyclean 520'!E413,IFERROR(_xludf.NUMBERVALUE('Procyclean 520'!E413,".",","),IFERROR(_xludf.NUMBERVALUE('Procyclean 520'!E413,",","."),0))))</f>
        <v/>
      </c>
      <c r="AE2911" t="str">
        <f>IF(AA2911="","",'Procyclean 520'!B413)</f>
        <v/>
      </c>
      <c r="AF2911">
        <f t="shared" si="287"/>
        <v>0</v>
      </c>
      <c r="AG2911" t="str">
        <f t="shared" si="288"/>
        <v/>
      </c>
      <c r="AH2911" t="str">
        <f t="shared" si="289"/>
        <v/>
      </c>
      <c r="AI2911">
        <f t="shared" si="290"/>
        <v>0</v>
      </c>
      <c r="AJ2911">
        <f t="shared" si="291"/>
        <v>0</v>
      </c>
      <c r="AK2911">
        <v>0</v>
      </c>
      <c r="AL2911" t="str">
        <f>IF(AA2911="","",IFERROR(IF(ISNUMBER('Procyclean 520'!F413),'Procyclean 520'!F413,IF(ISNUMBER(SEARCH("12",'Procyclean 520'!F413)),EDATE(AB2911,12),IF(ISNUMBER(SEARCH("6",'Procyclean 520'!F413)),EDATE(AB2911,6),IF(ISNUMBER(SEARCH("3",'Procyclean 520'!F413)),EDATE(AB2911,3),DATEVALUE('Procyclean 520'!F413))))),""))</f>
        <v/>
      </c>
      <c r="AM2911" t="str">
        <f t="shared" ca="1" si="292"/>
        <v/>
      </c>
    </row>
    <row r="2912" spans="27:39" x14ac:dyDescent="0.3">
      <c r="AA2912" t="str">
        <f>IF(COUNTA('Procyclean 520'!C414,'Procyclean 520'!D414,'Procyclean 520'!E414)&gt;0,"520","")</f>
        <v/>
      </c>
      <c r="AB2912" t="str">
        <f>IFERROR(IF(ISNUMBER('Procyclean 520'!C414),'Procyclean 520'!C414,DATEVALUE('Procyclean 520'!C414)),"")</f>
        <v/>
      </c>
      <c r="AC2912" t="str">
        <f>IF(AA2912="","",'Procyclean 520'!D414)</f>
        <v/>
      </c>
      <c r="AD2912" t="str">
        <f>IF(AA2912="","",IFERROR(1*'Procyclean 520'!E414,IFERROR(_xludf.NUMBERVALUE('Procyclean 520'!E414,".",","),IFERROR(_xludf.NUMBERVALUE('Procyclean 520'!E414,",","."),0))))</f>
        <v/>
      </c>
      <c r="AE2912" t="str">
        <f>IF(AA2912="","",'Procyclean 520'!B414)</f>
        <v/>
      </c>
      <c r="AF2912">
        <f t="shared" si="287"/>
        <v>0</v>
      </c>
      <c r="AG2912" t="str">
        <f t="shared" si="288"/>
        <v/>
      </c>
      <c r="AH2912" t="str">
        <f t="shared" si="289"/>
        <v/>
      </c>
      <c r="AI2912">
        <f t="shared" si="290"/>
        <v>0</v>
      </c>
      <c r="AJ2912">
        <f t="shared" si="291"/>
        <v>0</v>
      </c>
      <c r="AK2912">
        <v>0</v>
      </c>
      <c r="AL2912" t="str">
        <f>IF(AA2912="","",IFERROR(IF(ISNUMBER('Procyclean 520'!F414),'Procyclean 520'!F414,IF(ISNUMBER(SEARCH("12",'Procyclean 520'!F414)),EDATE(AB2912,12),IF(ISNUMBER(SEARCH("6",'Procyclean 520'!F414)),EDATE(AB2912,6),IF(ISNUMBER(SEARCH("3",'Procyclean 520'!F414)),EDATE(AB2912,3),DATEVALUE('Procyclean 520'!F414))))),""))</f>
        <v/>
      </c>
      <c r="AM2912" t="str">
        <f t="shared" ca="1" si="292"/>
        <v/>
      </c>
    </row>
    <row r="2913" spans="27:39" x14ac:dyDescent="0.3">
      <c r="AA2913" t="str">
        <f>IF(COUNTA('Procyclean 520'!C415,'Procyclean 520'!D415,'Procyclean 520'!E415)&gt;0,"520","")</f>
        <v/>
      </c>
      <c r="AB2913" t="str">
        <f>IFERROR(IF(ISNUMBER('Procyclean 520'!C415),'Procyclean 520'!C415,DATEVALUE('Procyclean 520'!C415)),"")</f>
        <v/>
      </c>
      <c r="AC2913" t="str">
        <f>IF(AA2913="","",'Procyclean 520'!D415)</f>
        <v/>
      </c>
      <c r="AD2913" t="str">
        <f>IF(AA2913="","",IFERROR(1*'Procyclean 520'!E415,IFERROR(_xludf.NUMBERVALUE('Procyclean 520'!E415,".",","),IFERROR(_xludf.NUMBERVALUE('Procyclean 520'!E415,",","."),0))))</f>
        <v/>
      </c>
      <c r="AE2913" t="str">
        <f>IF(AA2913="","",'Procyclean 520'!B415)</f>
        <v/>
      </c>
      <c r="AF2913">
        <f t="shared" si="287"/>
        <v>0</v>
      </c>
      <c r="AG2913" t="str">
        <f t="shared" si="288"/>
        <v/>
      </c>
      <c r="AH2913" t="str">
        <f t="shared" si="289"/>
        <v/>
      </c>
      <c r="AI2913">
        <f t="shared" si="290"/>
        <v>0</v>
      </c>
      <c r="AJ2913">
        <f t="shared" si="291"/>
        <v>0</v>
      </c>
      <c r="AK2913">
        <v>0</v>
      </c>
      <c r="AL2913" t="str">
        <f>IF(AA2913="","",IFERROR(IF(ISNUMBER('Procyclean 520'!F415),'Procyclean 520'!F415,IF(ISNUMBER(SEARCH("12",'Procyclean 520'!F415)),EDATE(AB2913,12),IF(ISNUMBER(SEARCH("6",'Procyclean 520'!F415)),EDATE(AB2913,6),IF(ISNUMBER(SEARCH("3",'Procyclean 520'!F415)),EDATE(AB2913,3),DATEVALUE('Procyclean 520'!F415))))),""))</f>
        <v/>
      </c>
      <c r="AM2913" t="str">
        <f t="shared" ca="1" si="292"/>
        <v/>
      </c>
    </row>
    <row r="2914" spans="27:39" x14ac:dyDescent="0.3">
      <c r="AA2914" t="str">
        <f>IF(COUNTA('Procyclean 520'!C416,'Procyclean 520'!D416,'Procyclean 520'!E416)&gt;0,"520","")</f>
        <v/>
      </c>
      <c r="AB2914" t="str">
        <f>IFERROR(IF(ISNUMBER('Procyclean 520'!C416),'Procyclean 520'!C416,DATEVALUE('Procyclean 520'!C416)),"")</f>
        <v/>
      </c>
      <c r="AC2914" t="str">
        <f>IF(AA2914="","",'Procyclean 520'!D416)</f>
        <v/>
      </c>
      <c r="AD2914" t="str">
        <f>IF(AA2914="","",IFERROR(1*'Procyclean 520'!E416,IFERROR(_xludf.NUMBERVALUE('Procyclean 520'!E416,".",","),IFERROR(_xludf.NUMBERVALUE('Procyclean 520'!E416,",","."),0))))</f>
        <v/>
      </c>
      <c r="AE2914" t="str">
        <f>IF(AA2914="","",'Procyclean 520'!B416)</f>
        <v/>
      </c>
      <c r="AF2914">
        <f t="shared" si="287"/>
        <v>0</v>
      </c>
      <c r="AG2914" t="str">
        <f t="shared" si="288"/>
        <v/>
      </c>
      <c r="AH2914" t="str">
        <f t="shared" si="289"/>
        <v/>
      </c>
      <c r="AI2914">
        <f t="shared" si="290"/>
        <v>0</v>
      </c>
      <c r="AJ2914">
        <f t="shared" si="291"/>
        <v>0</v>
      </c>
      <c r="AK2914">
        <v>0</v>
      </c>
      <c r="AL2914" t="str">
        <f>IF(AA2914="","",IFERROR(IF(ISNUMBER('Procyclean 520'!F416),'Procyclean 520'!F416,IF(ISNUMBER(SEARCH("12",'Procyclean 520'!F416)),EDATE(AB2914,12),IF(ISNUMBER(SEARCH("6",'Procyclean 520'!F416)),EDATE(AB2914,6),IF(ISNUMBER(SEARCH("3",'Procyclean 520'!F416)),EDATE(AB2914,3),DATEVALUE('Procyclean 520'!F416))))),""))</f>
        <v/>
      </c>
      <c r="AM2914" t="str">
        <f t="shared" ca="1" si="292"/>
        <v/>
      </c>
    </row>
    <row r="2915" spans="27:39" x14ac:dyDescent="0.3">
      <c r="AA2915" t="str">
        <f>IF(COUNTA('Procyclean 520'!C417,'Procyclean 520'!D417,'Procyclean 520'!E417)&gt;0,"520","")</f>
        <v/>
      </c>
      <c r="AB2915" t="str">
        <f>IFERROR(IF(ISNUMBER('Procyclean 520'!C417),'Procyclean 520'!C417,DATEVALUE('Procyclean 520'!C417)),"")</f>
        <v/>
      </c>
      <c r="AC2915" t="str">
        <f>IF(AA2915="","",'Procyclean 520'!D417)</f>
        <v/>
      </c>
      <c r="AD2915" t="str">
        <f>IF(AA2915="","",IFERROR(1*'Procyclean 520'!E417,IFERROR(_xludf.NUMBERVALUE('Procyclean 520'!E417,".",","),IFERROR(_xludf.NUMBERVALUE('Procyclean 520'!E417,",","."),0))))</f>
        <v/>
      </c>
      <c r="AE2915" t="str">
        <f>IF(AA2915="","",'Procyclean 520'!B417)</f>
        <v/>
      </c>
      <c r="AF2915">
        <f t="shared" si="287"/>
        <v>0</v>
      </c>
      <c r="AG2915" t="str">
        <f t="shared" si="288"/>
        <v/>
      </c>
      <c r="AH2915" t="str">
        <f t="shared" si="289"/>
        <v/>
      </c>
      <c r="AI2915">
        <f t="shared" si="290"/>
        <v>0</v>
      </c>
      <c r="AJ2915">
        <f t="shared" si="291"/>
        <v>0</v>
      </c>
      <c r="AK2915">
        <v>0</v>
      </c>
      <c r="AL2915" t="str">
        <f>IF(AA2915="","",IFERROR(IF(ISNUMBER('Procyclean 520'!F417),'Procyclean 520'!F417,IF(ISNUMBER(SEARCH("12",'Procyclean 520'!F417)),EDATE(AB2915,12),IF(ISNUMBER(SEARCH("6",'Procyclean 520'!F417)),EDATE(AB2915,6),IF(ISNUMBER(SEARCH("3",'Procyclean 520'!F417)),EDATE(AB2915,3),DATEVALUE('Procyclean 520'!F417))))),""))</f>
        <v/>
      </c>
      <c r="AM2915" t="str">
        <f t="shared" ca="1" si="292"/>
        <v/>
      </c>
    </row>
    <row r="2916" spans="27:39" x14ac:dyDescent="0.3">
      <c r="AA2916" t="str">
        <f>IF(COUNTA('Procyclean 520'!C418,'Procyclean 520'!D418,'Procyclean 520'!E418)&gt;0,"520","")</f>
        <v/>
      </c>
      <c r="AB2916" t="str">
        <f>IFERROR(IF(ISNUMBER('Procyclean 520'!C418),'Procyclean 520'!C418,DATEVALUE('Procyclean 520'!C418)),"")</f>
        <v/>
      </c>
      <c r="AC2916" t="str">
        <f>IF(AA2916="","",'Procyclean 520'!D418)</f>
        <v/>
      </c>
      <c r="AD2916" t="str">
        <f>IF(AA2916="","",IFERROR(1*'Procyclean 520'!E418,IFERROR(_xludf.NUMBERVALUE('Procyclean 520'!E418,".",","),IFERROR(_xludf.NUMBERVALUE('Procyclean 520'!E418,",","."),0))))</f>
        <v/>
      </c>
      <c r="AE2916" t="str">
        <f>IF(AA2916="","",'Procyclean 520'!B418)</f>
        <v/>
      </c>
      <c r="AF2916">
        <f t="shared" si="287"/>
        <v>0</v>
      </c>
      <c r="AG2916" t="str">
        <f t="shared" si="288"/>
        <v/>
      </c>
      <c r="AH2916" t="str">
        <f t="shared" si="289"/>
        <v/>
      </c>
      <c r="AI2916">
        <f t="shared" si="290"/>
        <v>0</v>
      </c>
      <c r="AJ2916">
        <f t="shared" si="291"/>
        <v>0</v>
      </c>
      <c r="AK2916">
        <v>0</v>
      </c>
      <c r="AL2916" t="str">
        <f>IF(AA2916="","",IFERROR(IF(ISNUMBER('Procyclean 520'!F418),'Procyclean 520'!F418,IF(ISNUMBER(SEARCH("12",'Procyclean 520'!F418)),EDATE(AB2916,12),IF(ISNUMBER(SEARCH("6",'Procyclean 520'!F418)),EDATE(AB2916,6),IF(ISNUMBER(SEARCH("3",'Procyclean 520'!F418)),EDATE(AB2916,3),DATEVALUE('Procyclean 520'!F418))))),""))</f>
        <v/>
      </c>
      <c r="AM2916" t="str">
        <f t="shared" ca="1" si="292"/>
        <v/>
      </c>
    </row>
    <row r="2917" spans="27:39" x14ac:dyDescent="0.3">
      <c r="AA2917" t="str">
        <f>IF(COUNTA('Procyclean 520'!C419,'Procyclean 520'!D419,'Procyclean 520'!E419)&gt;0,"520","")</f>
        <v/>
      </c>
      <c r="AB2917" t="str">
        <f>IFERROR(IF(ISNUMBER('Procyclean 520'!C419),'Procyclean 520'!C419,DATEVALUE('Procyclean 520'!C419)),"")</f>
        <v/>
      </c>
      <c r="AC2917" t="str">
        <f>IF(AA2917="","",'Procyclean 520'!D419)</f>
        <v/>
      </c>
      <c r="AD2917" t="str">
        <f>IF(AA2917="","",IFERROR(1*'Procyclean 520'!E419,IFERROR(_xludf.NUMBERVALUE('Procyclean 520'!E419,".",","),IFERROR(_xludf.NUMBERVALUE('Procyclean 520'!E419,",","."),0))))</f>
        <v/>
      </c>
      <c r="AE2917" t="str">
        <f>IF(AA2917="","",'Procyclean 520'!B419)</f>
        <v/>
      </c>
      <c r="AF2917">
        <f t="shared" si="287"/>
        <v>0</v>
      </c>
      <c r="AG2917" t="str">
        <f t="shared" si="288"/>
        <v/>
      </c>
      <c r="AH2917" t="str">
        <f t="shared" si="289"/>
        <v/>
      </c>
      <c r="AI2917">
        <f t="shared" si="290"/>
        <v>0</v>
      </c>
      <c r="AJ2917">
        <f t="shared" si="291"/>
        <v>0</v>
      </c>
      <c r="AK2917">
        <v>0</v>
      </c>
      <c r="AL2917" t="str">
        <f>IF(AA2917="","",IFERROR(IF(ISNUMBER('Procyclean 520'!F419),'Procyclean 520'!F419,IF(ISNUMBER(SEARCH("12",'Procyclean 520'!F419)),EDATE(AB2917,12),IF(ISNUMBER(SEARCH("6",'Procyclean 520'!F419)),EDATE(AB2917,6),IF(ISNUMBER(SEARCH("3",'Procyclean 520'!F419)),EDATE(AB2917,3),DATEVALUE('Procyclean 520'!F419))))),""))</f>
        <v/>
      </c>
      <c r="AM2917" t="str">
        <f t="shared" ca="1" si="292"/>
        <v/>
      </c>
    </row>
    <row r="2918" spans="27:39" x14ac:dyDescent="0.3">
      <c r="AA2918" t="str">
        <f>IF(COUNTA('Procyclean 520'!C420,'Procyclean 520'!D420,'Procyclean 520'!E420)&gt;0,"520","")</f>
        <v/>
      </c>
      <c r="AB2918" t="str">
        <f>IFERROR(IF(ISNUMBER('Procyclean 520'!C420),'Procyclean 520'!C420,DATEVALUE('Procyclean 520'!C420)),"")</f>
        <v/>
      </c>
      <c r="AC2918" t="str">
        <f>IF(AA2918="","",'Procyclean 520'!D420)</f>
        <v/>
      </c>
      <c r="AD2918" t="str">
        <f>IF(AA2918="","",IFERROR(1*'Procyclean 520'!E420,IFERROR(_xludf.NUMBERVALUE('Procyclean 520'!E420,".",","),IFERROR(_xludf.NUMBERVALUE('Procyclean 520'!E420,",","."),0))))</f>
        <v/>
      </c>
      <c r="AE2918" t="str">
        <f>IF(AA2918="","",'Procyclean 520'!B420)</f>
        <v/>
      </c>
      <c r="AF2918">
        <f t="shared" si="287"/>
        <v>0</v>
      </c>
      <c r="AG2918" t="str">
        <f t="shared" si="288"/>
        <v/>
      </c>
      <c r="AH2918" t="str">
        <f t="shared" si="289"/>
        <v/>
      </c>
      <c r="AI2918">
        <f t="shared" si="290"/>
        <v>0</v>
      </c>
      <c r="AJ2918">
        <f t="shared" si="291"/>
        <v>0</v>
      </c>
      <c r="AK2918">
        <v>0</v>
      </c>
      <c r="AL2918" t="str">
        <f>IF(AA2918="","",IFERROR(IF(ISNUMBER('Procyclean 520'!F420),'Procyclean 520'!F420,IF(ISNUMBER(SEARCH("12",'Procyclean 520'!F420)),EDATE(AB2918,12),IF(ISNUMBER(SEARCH("6",'Procyclean 520'!F420)),EDATE(AB2918,6),IF(ISNUMBER(SEARCH("3",'Procyclean 520'!F420)),EDATE(AB2918,3),DATEVALUE('Procyclean 520'!F420))))),""))</f>
        <v/>
      </c>
      <c r="AM2918" t="str">
        <f t="shared" ca="1" si="292"/>
        <v/>
      </c>
    </row>
    <row r="2919" spans="27:39" x14ac:dyDescent="0.3">
      <c r="AA2919" t="str">
        <f>IF(COUNTA('Procyclean 520'!C421,'Procyclean 520'!D421,'Procyclean 520'!E421)&gt;0,"520","")</f>
        <v/>
      </c>
      <c r="AB2919" t="str">
        <f>IFERROR(IF(ISNUMBER('Procyclean 520'!C421),'Procyclean 520'!C421,DATEVALUE('Procyclean 520'!C421)),"")</f>
        <v/>
      </c>
      <c r="AC2919" t="str">
        <f>IF(AA2919="","",'Procyclean 520'!D421)</f>
        <v/>
      </c>
      <c r="AD2919" t="str">
        <f>IF(AA2919="","",IFERROR(1*'Procyclean 520'!E421,IFERROR(_xludf.NUMBERVALUE('Procyclean 520'!E421,".",","),IFERROR(_xludf.NUMBERVALUE('Procyclean 520'!E421,",","."),0))))</f>
        <v/>
      </c>
      <c r="AE2919" t="str">
        <f>IF(AA2919="","",'Procyclean 520'!B421)</f>
        <v/>
      </c>
      <c r="AF2919">
        <f t="shared" si="287"/>
        <v>0</v>
      </c>
      <c r="AG2919" t="str">
        <f t="shared" si="288"/>
        <v/>
      </c>
      <c r="AH2919" t="str">
        <f t="shared" si="289"/>
        <v/>
      </c>
      <c r="AI2919">
        <f t="shared" si="290"/>
        <v>0</v>
      </c>
      <c r="AJ2919">
        <f t="shared" si="291"/>
        <v>0</v>
      </c>
      <c r="AK2919">
        <v>0</v>
      </c>
      <c r="AL2919" t="str">
        <f>IF(AA2919="","",IFERROR(IF(ISNUMBER('Procyclean 520'!F421),'Procyclean 520'!F421,IF(ISNUMBER(SEARCH("12",'Procyclean 520'!F421)),EDATE(AB2919,12),IF(ISNUMBER(SEARCH("6",'Procyclean 520'!F421)),EDATE(AB2919,6),IF(ISNUMBER(SEARCH("3",'Procyclean 520'!F421)),EDATE(AB2919,3),DATEVALUE('Procyclean 520'!F421))))),""))</f>
        <v/>
      </c>
      <c r="AM2919" t="str">
        <f t="shared" ca="1" si="292"/>
        <v/>
      </c>
    </row>
    <row r="2920" spans="27:39" x14ac:dyDescent="0.3">
      <c r="AA2920" t="str">
        <f>IF(COUNTA('Procyclean 520'!C422,'Procyclean 520'!D422,'Procyclean 520'!E422)&gt;0,"520","")</f>
        <v/>
      </c>
      <c r="AB2920" t="str">
        <f>IFERROR(IF(ISNUMBER('Procyclean 520'!C422),'Procyclean 520'!C422,DATEVALUE('Procyclean 520'!C422)),"")</f>
        <v/>
      </c>
      <c r="AC2920" t="str">
        <f>IF(AA2920="","",'Procyclean 520'!D422)</f>
        <v/>
      </c>
      <c r="AD2920" t="str">
        <f>IF(AA2920="","",IFERROR(1*'Procyclean 520'!E422,IFERROR(_xludf.NUMBERVALUE('Procyclean 520'!E422,".",","),IFERROR(_xludf.NUMBERVALUE('Procyclean 520'!E422,",","."),0))))</f>
        <v/>
      </c>
      <c r="AE2920" t="str">
        <f>IF(AA2920="","",'Procyclean 520'!B422)</f>
        <v/>
      </c>
      <c r="AF2920">
        <f t="shared" si="287"/>
        <v>0</v>
      </c>
      <c r="AG2920" t="str">
        <f t="shared" si="288"/>
        <v/>
      </c>
      <c r="AH2920" t="str">
        <f t="shared" si="289"/>
        <v/>
      </c>
      <c r="AI2920">
        <f t="shared" si="290"/>
        <v>0</v>
      </c>
      <c r="AJ2920">
        <f t="shared" si="291"/>
        <v>0</v>
      </c>
      <c r="AK2920">
        <v>0</v>
      </c>
      <c r="AL2920" t="str">
        <f>IF(AA2920="","",IFERROR(IF(ISNUMBER('Procyclean 520'!F422),'Procyclean 520'!F422,IF(ISNUMBER(SEARCH("12",'Procyclean 520'!F422)),EDATE(AB2920,12),IF(ISNUMBER(SEARCH("6",'Procyclean 520'!F422)),EDATE(AB2920,6),IF(ISNUMBER(SEARCH("3",'Procyclean 520'!F422)),EDATE(AB2920,3),DATEVALUE('Procyclean 520'!F422))))),""))</f>
        <v/>
      </c>
      <c r="AM2920" t="str">
        <f t="shared" ca="1" si="292"/>
        <v/>
      </c>
    </row>
    <row r="2921" spans="27:39" x14ac:dyDescent="0.3">
      <c r="AA2921" t="str">
        <f>IF(COUNTA('Procyclean 520'!C423,'Procyclean 520'!D423,'Procyclean 520'!E423)&gt;0,"520","")</f>
        <v/>
      </c>
      <c r="AB2921" t="str">
        <f>IFERROR(IF(ISNUMBER('Procyclean 520'!C423),'Procyclean 520'!C423,DATEVALUE('Procyclean 520'!C423)),"")</f>
        <v/>
      </c>
      <c r="AC2921" t="str">
        <f>IF(AA2921="","",'Procyclean 520'!D423)</f>
        <v/>
      </c>
      <c r="AD2921" t="str">
        <f>IF(AA2921="","",IFERROR(1*'Procyclean 520'!E423,IFERROR(_xludf.NUMBERVALUE('Procyclean 520'!E423,".",","),IFERROR(_xludf.NUMBERVALUE('Procyclean 520'!E423,",","."),0))))</f>
        <v/>
      </c>
      <c r="AE2921" t="str">
        <f>IF(AA2921="","",'Procyclean 520'!B423)</f>
        <v/>
      </c>
      <c r="AF2921">
        <f t="shared" si="287"/>
        <v>0</v>
      </c>
      <c r="AG2921" t="str">
        <f t="shared" si="288"/>
        <v/>
      </c>
      <c r="AH2921" t="str">
        <f t="shared" si="289"/>
        <v/>
      </c>
      <c r="AI2921">
        <f t="shared" si="290"/>
        <v>0</v>
      </c>
      <c r="AJ2921">
        <f t="shared" si="291"/>
        <v>0</v>
      </c>
      <c r="AK2921">
        <v>0</v>
      </c>
      <c r="AL2921" t="str">
        <f>IF(AA2921="","",IFERROR(IF(ISNUMBER('Procyclean 520'!F423),'Procyclean 520'!F423,IF(ISNUMBER(SEARCH("12",'Procyclean 520'!F423)),EDATE(AB2921,12),IF(ISNUMBER(SEARCH("6",'Procyclean 520'!F423)),EDATE(AB2921,6),IF(ISNUMBER(SEARCH("3",'Procyclean 520'!F423)),EDATE(AB2921,3),DATEVALUE('Procyclean 520'!F423))))),""))</f>
        <v/>
      </c>
      <c r="AM2921" t="str">
        <f t="shared" ca="1" si="292"/>
        <v/>
      </c>
    </row>
    <row r="2922" spans="27:39" x14ac:dyDescent="0.3">
      <c r="AA2922" t="str">
        <f>IF(COUNTA('Procyclean 520'!C424,'Procyclean 520'!D424,'Procyclean 520'!E424)&gt;0,"520","")</f>
        <v/>
      </c>
      <c r="AB2922" t="str">
        <f>IFERROR(IF(ISNUMBER('Procyclean 520'!C424),'Procyclean 520'!C424,DATEVALUE('Procyclean 520'!C424)),"")</f>
        <v/>
      </c>
      <c r="AC2922" t="str">
        <f>IF(AA2922="","",'Procyclean 520'!D424)</f>
        <v/>
      </c>
      <c r="AD2922" t="str">
        <f>IF(AA2922="","",IFERROR(1*'Procyclean 520'!E424,IFERROR(_xludf.NUMBERVALUE('Procyclean 520'!E424,".",","),IFERROR(_xludf.NUMBERVALUE('Procyclean 520'!E424,",","."),0))))</f>
        <v/>
      </c>
      <c r="AE2922" t="str">
        <f>IF(AA2922="","",'Procyclean 520'!B424)</f>
        <v/>
      </c>
      <c r="AF2922">
        <f t="shared" si="287"/>
        <v>0</v>
      </c>
      <c r="AG2922" t="str">
        <f t="shared" si="288"/>
        <v/>
      </c>
      <c r="AH2922" t="str">
        <f t="shared" si="289"/>
        <v/>
      </c>
      <c r="AI2922">
        <f t="shared" si="290"/>
        <v>0</v>
      </c>
      <c r="AJ2922">
        <f t="shared" si="291"/>
        <v>0</v>
      </c>
      <c r="AK2922">
        <v>0</v>
      </c>
      <c r="AL2922" t="str">
        <f>IF(AA2922="","",IFERROR(IF(ISNUMBER('Procyclean 520'!F424),'Procyclean 520'!F424,IF(ISNUMBER(SEARCH("12",'Procyclean 520'!F424)),EDATE(AB2922,12),IF(ISNUMBER(SEARCH("6",'Procyclean 520'!F424)),EDATE(AB2922,6),IF(ISNUMBER(SEARCH("3",'Procyclean 520'!F424)),EDATE(AB2922,3),DATEVALUE('Procyclean 520'!F424))))),""))</f>
        <v/>
      </c>
      <c r="AM2922" t="str">
        <f t="shared" ca="1" si="292"/>
        <v/>
      </c>
    </row>
    <row r="2923" spans="27:39" x14ac:dyDescent="0.3">
      <c r="AA2923" t="str">
        <f>IF(COUNTA('Procyclean 520'!C425,'Procyclean 520'!D425,'Procyclean 520'!E425)&gt;0,"520","")</f>
        <v/>
      </c>
      <c r="AB2923" t="str">
        <f>IFERROR(IF(ISNUMBER('Procyclean 520'!C425),'Procyclean 520'!C425,DATEVALUE('Procyclean 520'!C425)),"")</f>
        <v/>
      </c>
      <c r="AC2923" t="str">
        <f>IF(AA2923="","",'Procyclean 520'!D425)</f>
        <v/>
      </c>
      <c r="AD2923" t="str">
        <f>IF(AA2923="","",IFERROR(1*'Procyclean 520'!E425,IFERROR(_xludf.NUMBERVALUE('Procyclean 520'!E425,".",","),IFERROR(_xludf.NUMBERVALUE('Procyclean 520'!E425,",","."),0))))</f>
        <v/>
      </c>
      <c r="AE2923" t="str">
        <f>IF(AA2923="","",'Procyclean 520'!B425)</f>
        <v/>
      </c>
      <c r="AF2923">
        <f t="shared" si="287"/>
        <v>0</v>
      </c>
      <c r="AG2923" t="str">
        <f t="shared" si="288"/>
        <v/>
      </c>
      <c r="AH2923" t="str">
        <f t="shared" si="289"/>
        <v/>
      </c>
      <c r="AI2923">
        <f t="shared" si="290"/>
        <v>0</v>
      </c>
      <c r="AJ2923">
        <f t="shared" si="291"/>
        <v>0</v>
      </c>
      <c r="AK2923">
        <v>0</v>
      </c>
      <c r="AL2923" t="str">
        <f>IF(AA2923="","",IFERROR(IF(ISNUMBER('Procyclean 520'!F425),'Procyclean 520'!F425,IF(ISNUMBER(SEARCH("12",'Procyclean 520'!F425)),EDATE(AB2923,12),IF(ISNUMBER(SEARCH("6",'Procyclean 520'!F425)),EDATE(AB2923,6),IF(ISNUMBER(SEARCH("3",'Procyclean 520'!F425)),EDATE(AB2923,3),DATEVALUE('Procyclean 520'!F425))))),""))</f>
        <v/>
      </c>
      <c r="AM2923" t="str">
        <f t="shared" ca="1" si="292"/>
        <v/>
      </c>
    </row>
    <row r="2924" spans="27:39" x14ac:dyDescent="0.3">
      <c r="AA2924" t="str">
        <f>IF(COUNTA('Procyclean 520'!C426,'Procyclean 520'!D426,'Procyclean 520'!E426)&gt;0,"520","")</f>
        <v/>
      </c>
      <c r="AB2924" t="str">
        <f>IFERROR(IF(ISNUMBER('Procyclean 520'!C426),'Procyclean 520'!C426,DATEVALUE('Procyclean 520'!C426)),"")</f>
        <v/>
      </c>
      <c r="AC2924" t="str">
        <f>IF(AA2924="","",'Procyclean 520'!D426)</f>
        <v/>
      </c>
      <c r="AD2924" t="str">
        <f>IF(AA2924="","",IFERROR(1*'Procyclean 520'!E426,IFERROR(_xludf.NUMBERVALUE('Procyclean 520'!E426,".",","),IFERROR(_xludf.NUMBERVALUE('Procyclean 520'!E426,",","."),0))))</f>
        <v/>
      </c>
      <c r="AE2924" t="str">
        <f>IF(AA2924="","",'Procyclean 520'!B426)</f>
        <v/>
      </c>
      <c r="AF2924">
        <f t="shared" si="287"/>
        <v>0</v>
      </c>
      <c r="AG2924" t="str">
        <f t="shared" si="288"/>
        <v/>
      </c>
      <c r="AH2924" t="str">
        <f t="shared" si="289"/>
        <v/>
      </c>
      <c r="AI2924">
        <f t="shared" si="290"/>
        <v>0</v>
      </c>
      <c r="AJ2924">
        <f t="shared" si="291"/>
        <v>0</v>
      </c>
      <c r="AK2924">
        <v>0</v>
      </c>
      <c r="AL2924" t="str">
        <f>IF(AA2924="","",IFERROR(IF(ISNUMBER('Procyclean 520'!F426),'Procyclean 520'!F426,IF(ISNUMBER(SEARCH("12",'Procyclean 520'!F426)),EDATE(AB2924,12),IF(ISNUMBER(SEARCH("6",'Procyclean 520'!F426)),EDATE(AB2924,6),IF(ISNUMBER(SEARCH("3",'Procyclean 520'!F426)),EDATE(AB2924,3),DATEVALUE('Procyclean 520'!F426))))),""))</f>
        <v/>
      </c>
      <c r="AM2924" t="str">
        <f t="shared" ca="1" si="292"/>
        <v/>
      </c>
    </row>
    <row r="2925" spans="27:39" x14ac:dyDescent="0.3">
      <c r="AA2925" t="str">
        <f>IF(COUNTA('Procyclean 520'!C427,'Procyclean 520'!D427,'Procyclean 520'!E427)&gt;0,"520","")</f>
        <v/>
      </c>
      <c r="AB2925" t="str">
        <f>IFERROR(IF(ISNUMBER('Procyclean 520'!C427),'Procyclean 520'!C427,DATEVALUE('Procyclean 520'!C427)),"")</f>
        <v/>
      </c>
      <c r="AC2925" t="str">
        <f>IF(AA2925="","",'Procyclean 520'!D427)</f>
        <v/>
      </c>
      <c r="AD2925" t="str">
        <f>IF(AA2925="","",IFERROR(1*'Procyclean 520'!E427,IFERROR(_xludf.NUMBERVALUE('Procyclean 520'!E427,".",","),IFERROR(_xludf.NUMBERVALUE('Procyclean 520'!E427,",","."),0))))</f>
        <v/>
      </c>
      <c r="AE2925" t="str">
        <f>IF(AA2925="","",'Procyclean 520'!B427)</f>
        <v/>
      </c>
      <c r="AF2925">
        <f t="shared" si="287"/>
        <v>0</v>
      </c>
      <c r="AG2925" t="str">
        <f t="shared" si="288"/>
        <v/>
      </c>
      <c r="AH2925" t="str">
        <f t="shared" si="289"/>
        <v/>
      </c>
      <c r="AI2925">
        <f t="shared" si="290"/>
        <v>0</v>
      </c>
      <c r="AJ2925">
        <f t="shared" si="291"/>
        <v>0</v>
      </c>
      <c r="AK2925">
        <v>0</v>
      </c>
      <c r="AL2925" t="str">
        <f>IF(AA2925="","",IFERROR(IF(ISNUMBER('Procyclean 520'!F427),'Procyclean 520'!F427,IF(ISNUMBER(SEARCH("12",'Procyclean 520'!F427)),EDATE(AB2925,12),IF(ISNUMBER(SEARCH("6",'Procyclean 520'!F427)),EDATE(AB2925,6),IF(ISNUMBER(SEARCH("3",'Procyclean 520'!F427)),EDATE(AB2925,3),DATEVALUE('Procyclean 520'!F427))))),""))</f>
        <v/>
      </c>
      <c r="AM2925" t="str">
        <f t="shared" ca="1" si="292"/>
        <v/>
      </c>
    </row>
    <row r="2926" spans="27:39" x14ac:dyDescent="0.3">
      <c r="AA2926" t="str">
        <f>IF(COUNTA('Procyclean 520'!C428,'Procyclean 520'!D428,'Procyclean 520'!E428)&gt;0,"520","")</f>
        <v/>
      </c>
      <c r="AB2926" t="str">
        <f>IFERROR(IF(ISNUMBER('Procyclean 520'!C428),'Procyclean 520'!C428,DATEVALUE('Procyclean 520'!C428)),"")</f>
        <v/>
      </c>
      <c r="AC2926" t="str">
        <f>IF(AA2926="","",'Procyclean 520'!D428)</f>
        <v/>
      </c>
      <c r="AD2926" t="str">
        <f>IF(AA2926="","",IFERROR(1*'Procyclean 520'!E428,IFERROR(_xludf.NUMBERVALUE('Procyclean 520'!E428,".",","),IFERROR(_xludf.NUMBERVALUE('Procyclean 520'!E428,",","."),0))))</f>
        <v/>
      </c>
      <c r="AE2926" t="str">
        <f>IF(AA2926="","",'Procyclean 520'!B428)</f>
        <v/>
      </c>
      <c r="AF2926">
        <f t="shared" si="287"/>
        <v>0</v>
      </c>
      <c r="AG2926" t="str">
        <f t="shared" si="288"/>
        <v/>
      </c>
      <c r="AH2926" t="str">
        <f t="shared" si="289"/>
        <v/>
      </c>
      <c r="AI2926">
        <f t="shared" si="290"/>
        <v>0</v>
      </c>
      <c r="AJ2926">
        <f t="shared" si="291"/>
        <v>0</v>
      </c>
      <c r="AK2926">
        <v>0</v>
      </c>
      <c r="AL2926" t="str">
        <f>IF(AA2926="","",IFERROR(IF(ISNUMBER('Procyclean 520'!F428),'Procyclean 520'!F428,IF(ISNUMBER(SEARCH("12",'Procyclean 520'!F428)),EDATE(AB2926,12),IF(ISNUMBER(SEARCH("6",'Procyclean 520'!F428)),EDATE(AB2926,6),IF(ISNUMBER(SEARCH("3",'Procyclean 520'!F428)),EDATE(AB2926,3),DATEVALUE('Procyclean 520'!F428))))),""))</f>
        <v/>
      </c>
      <c r="AM2926" t="str">
        <f t="shared" ca="1" si="292"/>
        <v/>
      </c>
    </row>
    <row r="2927" spans="27:39" x14ac:dyDescent="0.3">
      <c r="AA2927" t="str">
        <f>IF(COUNTA('Procyclean 520'!C429,'Procyclean 520'!D429,'Procyclean 520'!E429)&gt;0,"520","")</f>
        <v/>
      </c>
      <c r="AB2927" t="str">
        <f>IFERROR(IF(ISNUMBER('Procyclean 520'!C429),'Procyclean 520'!C429,DATEVALUE('Procyclean 520'!C429)),"")</f>
        <v/>
      </c>
      <c r="AC2927" t="str">
        <f>IF(AA2927="","",'Procyclean 520'!D429)</f>
        <v/>
      </c>
      <c r="AD2927" t="str">
        <f>IF(AA2927="","",IFERROR(1*'Procyclean 520'!E429,IFERROR(_xludf.NUMBERVALUE('Procyclean 520'!E429,".",","),IFERROR(_xludf.NUMBERVALUE('Procyclean 520'!E429,",","."),0))))</f>
        <v/>
      </c>
      <c r="AE2927" t="str">
        <f>IF(AA2927="","",'Procyclean 520'!B429)</f>
        <v/>
      </c>
      <c r="AF2927">
        <f t="shared" si="287"/>
        <v>0</v>
      </c>
      <c r="AG2927" t="str">
        <f t="shared" si="288"/>
        <v/>
      </c>
      <c r="AH2927" t="str">
        <f t="shared" si="289"/>
        <v/>
      </c>
      <c r="AI2927">
        <f t="shared" si="290"/>
        <v>0</v>
      </c>
      <c r="AJ2927">
        <f t="shared" si="291"/>
        <v>0</v>
      </c>
      <c r="AK2927">
        <v>0</v>
      </c>
      <c r="AL2927" t="str">
        <f>IF(AA2927="","",IFERROR(IF(ISNUMBER('Procyclean 520'!F429),'Procyclean 520'!F429,IF(ISNUMBER(SEARCH("12",'Procyclean 520'!F429)),EDATE(AB2927,12),IF(ISNUMBER(SEARCH("6",'Procyclean 520'!F429)),EDATE(AB2927,6),IF(ISNUMBER(SEARCH("3",'Procyclean 520'!F429)),EDATE(AB2927,3),DATEVALUE('Procyclean 520'!F429))))),""))</f>
        <v/>
      </c>
      <c r="AM2927" t="str">
        <f t="shared" ca="1" si="292"/>
        <v/>
      </c>
    </row>
    <row r="2928" spans="27:39" x14ac:dyDescent="0.3">
      <c r="AA2928" t="str">
        <f>IF(COUNTA('Procyclean 520'!C430,'Procyclean 520'!D430,'Procyclean 520'!E430)&gt;0,"520","")</f>
        <v/>
      </c>
      <c r="AB2928" t="str">
        <f>IFERROR(IF(ISNUMBER('Procyclean 520'!C430),'Procyclean 520'!C430,DATEVALUE('Procyclean 520'!C430)),"")</f>
        <v/>
      </c>
      <c r="AC2928" t="str">
        <f>IF(AA2928="","",'Procyclean 520'!D430)</f>
        <v/>
      </c>
      <c r="AD2928" t="str">
        <f>IF(AA2928="","",IFERROR(1*'Procyclean 520'!E430,IFERROR(_xludf.NUMBERVALUE('Procyclean 520'!E430,".",","),IFERROR(_xludf.NUMBERVALUE('Procyclean 520'!E430,",","."),0))))</f>
        <v/>
      </c>
      <c r="AE2928" t="str">
        <f>IF(AA2928="","",'Procyclean 520'!B430)</f>
        <v/>
      </c>
      <c r="AF2928">
        <f t="shared" si="287"/>
        <v>0</v>
      </c>
      <c r="AG2928" t="str">
        <f t="shared" si="288"/>
        <v/>
      </c>
      <c r="AH2928" t="str">
        <f t="shared" si="289"/>
        <v/>
      </c>
      <c r="AI2928">
        <f t="shared" si="290"/>
        <v>0</v>
      </c>
      <c r="AJ2928">
        <f t="shared" si="291"/>
        <v>0</v>
      </c>
      <c r="AK2928">
        <v>0</v>
      </c>
      <c r="AL2928" t="str">
        <f>IF(AA2928="","",IFERROR(IF(ISNUMBER('Procyclean 520'!F430),'Procyclean 520'!F430,IF(ISNUMBER(SEARCH("12",'Procyclean 520'!F430)),EDATE(AB2928,12),IF(ISNUMBER(SEARCH("6",'Procyclean 520'!F430)),EDATE(AB2928,6),IF(ISNUMBER(SEARCH("3",'Procyclean 520'!F430)),EDATE(AB2928,3),DATEVALUE('Procyclean 520'!F430))))),""))</f>
        <v/>
      </c>
      <c r="AM2928" t="str">
        <f t="shared" ca="1" si="292"/>
        <v/>
      </c>
    </row>
    <row r="2929" spans="27:39" x14ac:dyDescent="0.3">
      <c r="AA2929" t="str">
        <f>IF(COUNTA('Procyclean 520'!C431,'Procyclean 520'!D431,'Procyclean 520'!E431)&gt;0,"520","")</f>
        <v/>
      </c>
      <c r="AB2929" t="str">
        <f>IFERROR(IF(ISNUMBER('Procyclean 520'!C431),'Procyclean 520'!C431,DATEVALUE('Procyclean 520'!C431)),"")</f>
        <v/>
      </c>
      <c r="AC2929" t="str">
        <f>IF(AA2929="","",'Procyclean 520'!D431)</f>
        <v/>
      </c>
      <c r="AD2929" t="str">
        <f>IF(AA2929="","",IFERROR(1*'Procyclean 520'!E431,IFERROR(_xludf.NUMBERVALUE('Procyclean 520'!E431,".",","),IFERROR(_xludf.NUMBERVALUE('Procyclean 520'!E431,",","."),0))))</f>
        <v/>
      </c>
      <c r="AE2929" t="str">
        <f>IF(AA2929="","",'Procyclean 520'!B431)</f>
        <v/>
      </c>
      <c r="AF2929">
        <f t="shared" si="287"/>
        <v>0</v>
      </c>
      <c r="AG2929" t="str">
        <f t="shared" si="288"/>
        <v/>
      </c>
      <c r="AH2929" t="str">
        <f t="shared" si="289"/>
        <v/>
      </c>
      <c r="AI2929">
        <f t="shared" si="290"/>
        <v>0</v>
      </c>
      <c r="AJ2929">
        <f t="shared" si="291"/>
        <v>0</v>
      </c>
      <c r="AK2929">
        <v>0</v>
      </c>
      <c r="AL2929" t="str">
        <f>IF(AA2929="","",IFERROR(IF(ISNUMBER('Procyclean 520'!F431),'Procyclean 520'!F431,IF(ISNUMBER(SEARCH("12",'Procyclean 520'!F431)),EDATE(AB2929,12),IF(ISNUMBER(SEARCH("6",'Procyclean 520'!F431)),EDATE(AB2929,6),IF(ISNUMBER(SEARCH("3",'Procyclean 520'!F431)),EDATE(AB2929,3),DATEVALUE('Procyclean 520'!F431))))),""))</f>
        <v/>
      </c>
      <c r="AM2929" t="str">
        <f t="shared" ca="1" si="292"/>
        <v/>
      </c>
    </row>
    <row r="2930" spans="27:39" x14ac:dyDescent="0.3">
      <c r="AA2930" t="str">
        <f>IF(COUNTA('Procyclean 520'!C432,'Procyclean 520'!D432,'Procyclean 520'!E432)&gt;0,"520","")</f>
        <v/>
      </c>
      <c r="AB2930" t="str">
        <f>IFERROR(IF(ISNUMBER('Procyclean 520'!C432),'Procyclean 520'!C432,DATEVALUE('Procyclean 520'!C432)),"")</f>
        <v/>
      </c>
      <c r="AC2930" t="str">
        <f>IF(AA2930="","",'Procyclean 520'!D432)</f>
        <v/>
      </c>
      <c r="AD2930" t="str">
        <f>IF(AA2930="","",IFERROR(1*'Procyclean 520'!E432,IFERROR(_xludf.NUMBERVALUE('Procyclean 520'!E432,".",","),IFERROR(_xludf.NUMBERVALUE('Procyclean 520'!E432,",","."),0))))</f>
        <v/>
      </c>
      <c r="AE2930" t="str">
        <f>IF(AA2930="","",'Procyclean 520'!B432)</f>
        <v/>
      </c>
      <c r="AF2930">
        <f t="shared" si="287"/>
        <v>0</v>
      </c>
      <c r="AG2930" t="str">
        <f t="shared" si="288"/>
        <v/>
      </c>
      <c r="AH2930" t="str">
        <f t="shared" si="289"/>
        <v/>
      </c>
      <c r="AI2930">
        <f t="shared" si="290"/>
        <v>0</v>
      </c>
      <c r="AJ2930">
        <f t="shared" si="291"/>
        <v>0</v>
      </c>
      <c r="AK2930">
        <v>0</v>
      </c>
      <c r="AL2930" t="str">
        <f>IF(AA2930="","",IFERROR(IF(ISNUMBER('Procyclean 520'!F432),'Procyclean 520'!F432,IF(ISNUMBER(SEARCH("12",'Procyclean 520'!F432)),EDATE(AB2930,12),IF(ISNUMBER(SEARCH("6",'Procyclean 520'!F432)),EDATE(AB2930,6),IF(ISNUMBER(SEARCH("3",'Procyclean 520'!F432)),EDATE(AB2930,3),DATEVALUE('Procyclean 520'!F432))))),""))</f>
        <v/>
      </c>
      <c r="AM2930" t="str">
        <f t="shared" ca="1" si="292"/>
        <v/>
      </c>
    </row>
    <row r="2931" spans="27:39" x14ac:dyDescent="0.3">
      <c r="AA2931" t="str">
        <f>IF(COUNTA('Procyclean 520'!C433,'Procyclean 520'!D433,'Procyclean 520'!E433)&gt;0,"520","")</f>
        <v/>
      </c>
      <c r="AB2931" t="str">
        <f>IFERROR(IF(ISNUMBER('Procyclean 520'!C433),'Procyclean 520'!C433,DATEVALUE('Procyclean 520'!C433)),"")</f>
        <v/>
      </c>
      <c r="AC2931" t="str">
        <f>IF(AA2931="","",'Procyclean 520'!D433)</f>
        <v/>
      </c>
      <c r="AD2931" t="str">
        <f>IF(AA2931="","",IFERROR(1*'Procyclean 520'!E433,IFERROR(_xludf.NUMBERVALUE('Procyclean 520'!E433,".",","),IFERROR(_xludf.NUMBERVALUE('Procyclean 520'!E433,",","."),0))))</f>
        <v/>
      </c>
      <c r="AE2931" t="str">
        <f>IF(AA2931="","",'Procyclean 520'!B433)</f>
        <v/>
      </c>
      <c r="AF2931">
        <f t="shared" si="287"/>
        <v>0</v>
      </c>
      <c r="AG2931" t="str">
        <f t="shared" si="288"/>
        <v/>
      </c>
      <c r="AH2931" t="str">
        <f t="shared" si="289"/>
        <v/>
      </c>
      <c r="AI2931">
        <f t="shared" si="290"/>
        <v>0</v>
      </c>
      <c r="AJ2931">
        <f t="shared" si="291"/>
        <v>0</v>
      </c>
      <c r="AK2931">
        <v>0</v>
      </c>
      <c r="AL2931" t="str">
        <f>IF(AA2931="","",IFERROR(IF(ISNUMBER('Procyclean 520'!F433),'Procyclean 520'!F433,IF(ISNUMBER(SEARCH("12",'Procyclean 520'!F433)),EDATE(AB2931,12),IF(ISNUMBER(SEARCH("6",'Procyclean 520'!F433)),EDATE(AB2931,6),IF(ISNUMBER(SEARCH("3",'Procyclean 520'!F433)),EDATE(AB2931,3),DATEVALUE('Procyclean 520'!F433))))),""))</f>
        <v/>
      </c>
      <c r="AM2931" t="str">
        <f t="shared" ca="1" si="292"/>
        <v/>
      </c>
    </row>
    <row r="2932" spans="27:39" x14ac:dyDescent="0.3">
      <c r="AA2932" t="str">
        <f>IF(COUNTA('Procyclean 520'!C434,'Procyclean 520'!D434,'Procyclean 520'!E434)&gt;0,"520","")</f>
        <v/>
      </c>
      <c r="AB2932" t="str">
        <f>IFERROR(IF(ISNUMBER('Procyclean 520'!C434),'Procyclean 520'!C434,DATEVALUE('Procyclean 520'!C434)),"")</f>
        <v/>
      </c>
      <c r="AC2932" t="str">
        <f>IF(AA2932="","",'Procyclean 520'!D434)</f>
        <v/>
      </c>
      <c r="AD2932" t="str">
        <f>IF(AA2932="","",IFERROR(1*'Procyclean 520'!E434,IFERROR(_xludf.NUMBERVALUE('Procyclean 520'!E434,".",","),IFERROR(_xludf.NUMBERVALUE('Procyclean 520'!E434,",","."),0))))</f>
        <v/>
      </c>
      <c r="AE2932" t="str">
        <f>IF(AA2932="","",'Procyclean 520'!B434)</f>
        <v/>
      </c>
      <c r="AF2932">
        <f t="shared" si="287"/>
        <v>0</v>
      </c>
      <c r="AG2932" t="str">
        <f t="shared" si="288"/>
        <v/>
      </c>
      <c r="AH2932" t="str">
        <f t="shared" si="289"/>
        <v/>
      </c>
      <c r="AI2932">
        <f t="shared" si="290"/>
        <v>0</v>
      </c>
      <c r="AJ2932">
        <f t="shared" si="291"/>
        <v>0</v>
      </c>
      <c r="AK2932">
        <v>0</v>
      </c>
      <c r="AL2932" t="str">
        <f>IF(AA2932="","",IFERROR(IF(ISNUMBER('Procyclean 520'!F434),'Procyclean 520'!F434,IF(ISNUMBER(SEARCH("12",'Procyclean 520'!F434)),EDATE(AB2932,12),IF(ISNUMBER(SEARCH("6",'Procyclean 520'!F434)),EDATE(AB2932,6),IF(ISNUMBER(SEARCH("3",'Procyclean 520'!F434)),EDATE(AB2932,3),DATEVALUE('Procyclean 520'!F434))))),""))</f>
        <v/>
      </c>
      <c r="AM2932" t="str">
        <f t="shared" ca="1" si="292"/>
        <v/>
      </c>
    </row>
    <row r="2933" spans="27:39" x14ac:dyDescent="0.3">
      <c r="AA2933" t="str">
        <f>IF(COUNTA('Procyclean 520'!C435,'Procyclean 520'!D435,'Procyclean 520'!E435)&gt;0,"520","")</f>
        <v/>
      </c>
      <c r="AB2933" t="str">
        <f>IFERROR(IF(ISNUMBER('Procyclean 520'!C435),'Procyclean 520'!C435,DATEVALUE('Procyclean 520'!C435)),"")</f>
        <v/>
      </c>
      <c r="AC2933" t="str">
        <f>IF(AA2933="","",'Procyclean 520'!D435)</f>
        <v/>
      </c>
      <c r="AD2933" t="str">
        <f>IF(AA2933="","",IFERROR(1*'Procyclean 520'!E435,IFERROR(_xludf.NUMBERVALUE('Procyclean 520'!E435,".",","),IFERROR(_xludf.NUMBERVALUE('Procyclean 520'!E435,",","."),0))))</f>
        <v/>
      </c>
      <c r="AE2933" t="str">
        <f>IF(AA2933="","",'Procyclean 520'!B435)</f>
        <v/>
      </c>
      <c r="AF2933">
        <f t="shared" si="287"/>
        <v>0</v>
      </c>
      <c r="AG2933" t="str">
        <f t="shared" si="288"/>
        <v/>
      </c>
      <c r="AH2933" t="str">
        <f t="shared" si="289"/>
        <v/>
      </c>
      <c r="AI2933">
        <f t="shared" si="290"/>
        <v>0</v>
      </c>
      <c r="AJ2933">
        <f t="shared" si="291"/>
        <v>0</v>
      </c>
      <c r="AK2933">
        <v>0</v>
      </c>
      <c r="AL2933" t="str">
        <f>IF(AA2933="","",IFERROR(IF(ISNUMBER('Procyclean 520'!F435),'Procyclean 520'!F435,IF(ISNUMBER(SEARCH("12",'Procyclean 520'!F435)),EDATE(AB2933,12),IF(ISNUMBER(SEARCH("6",'Procyclean 520'!F435)),EDATE(AB2933,6),IF(ISNUMBER(SEARCH("3",'Procyclean 520'!F435)),EDATE(AB2933,3),DATEVALUE('Procyclean 520'!F435))))),""))</f>
        <v/>
      </c>
      <c r="AM2933" t="str">
        <f t="shared" ca="1" si="292"/>
        <v/>
      </c>
    </row>
    <row r="2934" spans="27:39" x14ac:dyDescent="0.3">
      <c r="AA2934" t="str">
        <f>IF(COUNTA('Procyclean 520'!C436,'Procyclean 520'!D436,'Procyclean 520'!E436)&gt;0,"520","")</f>
        <v/>
      </c>
      <c r="AB2934" t="str">
        <f>IFERROR(IF(ISNUMBER('Procyclean 520'!C436),'Procyclean 520'!C436,DATEVALUE('Procyclean 520'!C436)),"")</f>
        <v/>
      </c>
      <c r="AC2934" t="str">
        <f>IF(AA2934="","",'Procyclean 520'!D436)</f>
        <v/>
      </c>
      <c r="AD2934" t="str">
        <f>IF(AA2934="","",IFERROR(1*'Procyclean 520'!E436,IFERROR(_xludf.NUMBERVALUE('Procyclean 520'!E436,".",","),IFERROR(_xludf.NUMBERVALUE('Procyclean 520'!E436,",","."),0))))</f>
        <v/>
      </c>
      <c r="AE2934" t="str">
        <f>IF(AA2934="","",'Procyclean 520'!B436)</f>
        <v/>
      </c>
      <c r="AF2934">
        <f t="shared" si="287"/>
        <v>0</v>
      </c>
      <c r="AG2934" t="str">
        <f t="shared" si="288"/>
        <v/>
      </c>
      <c r="AH2934" t="str">
        <f t="shared" si="289"/>
        <v/>
      </c>
      <c r="AI2934">
        <f t="shared" si="290"/>
        <v>0</v>
      </c>
      <c r="AJ2934">
        <f t="shared" si="291"/>
        <v>0</v>
      </c>
      <c r="AK2934">
        <v>0</v>
      </c>
      <c r="AL2934" t="str">
        <f>IF(AA2934="","",IFERROR(IF(ISNUMBER('Procyclean 520'!F436),'Procyclean 520'!F436,IF(ISNUMBER(SEARCH("12",'Procyclean 520'!F436)),EDATE(AB2934,12),IF(ISNUMBER(SEARCH("6",'Procyclean 520'!F436)),EDATE(AB2934,6),IF(ISNUMBER(SEARCH("3",'Procyclean 520'!F436)),EDATE(AB2934,3),DATEVALUE('Procyclean 520'!F436))))),""))</f>
        <v/>
      </c>
      <c r="AM2934" t="str">
        <f t="shared" ca="1" si="292"/>
        <v/>
      </c>
    </row>
    <row r="2935" spans="27:39" x14ac:dyDescent="0.3">
      <c r="AA2935" t="str">
        <f>IF(COUNTA('Procyclean 520'!C437,'Procyclean 520'!D437,'Procyclean 520'!E437)&gt;0,"520","")</f>
        <v/>
      </c>
      <c r="AB2935" t="str">
        <f>IFERROR(IF(ISNUMBER('Procyclean 520'!C437),'Procyclean 520'!C437,DATEVALUE('Procyclean 520'!C437)),"")</f>
        <v/>
      </c>
      <c r="AC2935" t="str">
        <f>IF(AA2935="","",'Procyclean 520'!D437)</f>
        <v/>
      </c>
      <c r="AD2935" t="str">
        <f>IF(AA2935="","",IFERROR(1*'Procyclean 520'!E437,IFERROR(_xludf.NUMBERVALUE('Procyclean 520'!E437,".",","),IFERROR(_xludf.NUMBERVALUE('Procyclean 520'!E437,",","."),0))))</f>
        <v/>
      </c>
      <c r="AE2935" t="str">
        <f>IF(AA2935="","",'Procyclean 520'!B437)</f>
        <v/>
      </c>
      <c r="AF2935">
        <f t="shared" si="287"/>
        <v>0</v>
      </c>
      <c r="AG2935" t="str">
        <f t="shared" si="288"/>
        <v/>
      </c>
      <c r="AH2935" t="str">
        <f t="shared" si="289"/>
        <v/>
      </c>
      <c r="AI2935">
        <f t="shared" si="290"/>
        <v>0</v>
      </c>
      <c r="AJ2935">
        <f t="shared" si="291"/>
        <v>0</v>
      </c>
      <c r="AK2935">
        <v>0</v>
      </c>
      <c r="AL2935" t="str">
        <f>IF(AA2935="","",IFERROR(IF(ISNUMBER('Procyclean 520'!F437),'Procyclean 520'!F437,IF(ISNUMBER(SEARCH("12",'Procyclean 520'!F437)),EDATE(AB2935,12),IF(ISNUMBER(SEARCH("6",'Procyclean 520'!F437)),EDATE(AB2935,6),IF(ISNUMBER(SEARCH("3",'Procyclean 520'!F437)),EDATE(AB2935,3),DATEVALUE('Procyclean 520'!F437))))),""))</f>
        <v/>
      </c>
      <c r="AM2935" t="str">
        <f t="shared" ca="1" si="292"/>
        <v/>
      </c>
    </row>
    <row r="2936" spans="27:39" x14ac:dyDescent="0.3">
      <c r="AA2936" t="str">
        <f>IF(COUNTA('Procyclean 520'!C438,'Procyclean 520'!D438,'Procyclean 520'!E438)&gt;0,"520","")</f>
        <v/>
      </c>
      <c r="AB2936" t="str">
        <f>IFERROR(IF(ISNUMBER('Procyclean 520'!C438),'Procyclean 520'!C438,DATEVALUE('Procyclean 520'!C438)),"")</f>
        <v/>
      </c>
      <c r="AC2936" t="str">
        <f>IF(AA2936="","",'Procyclean 520'!D438)</f>
        <v/>
      </c>
      <c r="AD2936" t="str">
        <f>IF(AA2936="","",IFERROR(1*'Procyclean 520'!E438,IFERROR(_xludf.NUMBERVALUE('Procyclean 520'!E438,".",","),IFERROR(_xludf.NUMBERVALUE('Procyclean 520'!E438,",","."),0))))</f>
        <v/>
      </c>
      <c r="AE2936" t="str">
        <f>IF(AA2936="","",'Procyclean 520'!B438)</f>
        <v/>
      </c>
      <c r="AF2936">
        <f t="shared" si="287"/>
        <v>0</v>
      </c>
      <c r="AG2936" t="str">
        <f t="shared" si="288"/>
        <v/>
      </c>
      <c r="AH2936" t="str">
        <f t="shared" si="289"/>
        <v/>
      </c>
      <c r="AI2936">
        <f t="shared" si="290"/>
        <v>0</v>
      </c>
      <c r="AJ2936">
        <f t="shared" si="291"/>
        <v>0</v>
      </c>
      <c r="AK2936">
        <v>0</v>
      </c>
      <c r="AL2936" t="str">
        <f>IF(AA2936="","",IFERROR(IF(ISNUMBER('Procyclean 520'!F438),'Procyclean 520'!F438,IF(ISNUMBER(SEARCH("12",'Procyclean 520'!F438)),EDATE(AB2936,12),IF(ISNUMBER(SEARCH("6",'Procyclean 520'!F438)),EDATE(AB2936,6),IF(ISNUMBER(SEARCH("3",'Procyclean 520'!F438)),EDATE(AB2936,3),DATEVALUE('Procyclean 520'!F438))))),""))</f>
        <v/>
      </c>
      <c r="AM2936" t="str">
        <f t="shared" ca="1" si="292"/>
        <v/>
      </c>
    </row>
    <row r="2937" spans="27:39" x14ac:dyDescent="0.3">
      <c r="AA2937" t="str">
        <f>IF(COUNTA('Procyclean 520'!C439,'Procyclean 520'!D439,'Procyclean 520'!E439)&gt;0,"520","")</f>
        <v/>
      </c>
      <c r="AB2937" t="str">
        <f>IFERROR(IF(ISNUMBER('Procyclean 520'!C439),'Procyclean 520'!C439,DATEVALUE('Procyclean 520'!C439)),"")</f>
        <v/>
      </c>
      <c r="AC2937" t="str">
        <f>IF(AA2937="","",'Procyclean 520'!D439)</f>
        <v/>
      </c>
      <c r="AD2937" t="str">
        <f>IF(AA2937="","",IFERROR(1*'Procyclean 520'!E439,IFERROR(_xludf.NUMBERVALUE('Procyclean 520'!E439,".",","),IFERROR(_xludf.NUMBERVALUE('Procyclean 520'!E439,",","."),0))))</f>
        <v/>
      </c>
      <c r="AE2937" t="str">
        <f>IF(AA2937="","",'Procyclean 520'!B439)</f>
        <v/>
      </c>
      <c r="AF2937">
        <f t="shared" si="287"/>
        <v>0</v>
      </c>
      <c r="AG2937" t="str">
        <f t="shared" si="288"/>
        <v/>
      </c>
      <c r="AH2937" t="str">
        <f t="shared" si="289"/>
        <v/>
      </c>
      <c r="AI2937">
        <f t="shared" si="290"/>
        <v>0</v>
      </c>
      <c r="AJ2937">
        <f t="shared" si="291"/>
        <v>0</v>
      </c>
      <c r="AK2937">
        <v>0</v>
      </c>
      <c r="AL2937" t="str">
        <f>IF(AA2937="","",IFERROR(IF(ISNUMBER('Procyclean 520'!F439),'Procyclean 520'!F439,IF(ISNUMBER(SEARCH("12",'Procyclean 520'!F439)),EDATE(AB2937,12),IF(ISNUMBER(SEARCH("6",'Procyclean 520'!F439)),EDATE(AB2937,6),IF(ISNUMBER(SEARCH("3",'Procyclean 520'!F439)),EDATE(AB2937,3),DATEVALUE('Procyclean 520'!F439))))),""))</f>
        <v/>
      </c>
      <c r="AM2937" t="str">
        <f t="shared" ca="1" si="292"/>
        <v/>
      </c>
    </row>
    <row r="2938" spans="27:39" x14ac:dyDescent="0.3">
      <c r="AA2938" t="str">
        <f>IF(COUNTA('Procyclean 520'!C440,'Procyclean 520'!D440,'Procyclean 520'!E440)&gt;0,"520","")</f>
        <v/>
      </c>
      <c r="AB2938" t="str">
        <f>IFERROR(IF(ISNUMBER('Procyclean 520'!C440),'Procyclean 520'!C440,DATEVALUE('Procyclean 520'!C440)),"")</f>
        <v/>
      </c>
      <c r="AC2938" t="str">
        <f>IF(AA2938="","",'Procyclean 520'!D440)</f>
        <v/>
      </c>
      <c r="AD2938" t="str">
        <f>IF(AA2938="","",IFERROR(1*'Procyclean 520'!E440,IFERROR(_xludf.NUMBERVALUE('Procyclean 520'!E440,".",","),IFERROR(_xludf.NUMBERVALUE('Procyclean 520'!E440,",","."),0))))</f>
        <v/>
      </c>
      <c r="AE2938" t="str">
        <f>IF(AA2938="","",'Procyclean 520'!B440)</f>
        <v/>
      </c>
      <c r="AF2938">
        <f t="shared" si="287"/>
        <v>0</v>
      </c>
      <c r="AG2938" t="str">
        <f t="shared" si="288"/>
        <v/>
      </c>
      <c r="AH2938" t="str">
        <f t="shared" si="289"/>
        <v/>
      </c>
      <c r="AI2938">
        <f t="shared" si="290"/>
        <v>0</v>
      </c>
      <c r="AJ2938">
        <f t="shared" si="291"/>
        <v>0</v>
      </c>
      <c r="AK2938">
        <v>0</v>
      </c>
      <c r="AL2938" t="str">
        <f>IF(AA2938="","",IFERROR(IF(ISNUMBER('Procyclean 520'!F440),'Procyclean 520'!F440,IF(ISNUMBER(SEARCH("12",'Procyclean 520'!F440)),EDATE(AB2938,12),IF(ISNUMBER(SEARCH("6",'Procyclean 520'!F440)),EDATE(AB2938,6),IF(ISNUMBER(SEARCH("3",'Procyclean 520'!F440)),EDATE(AB2938,3),DATEVALUE('Procyclean 520'!F440))))),""))</f>
        <v/>
      </c>
      <c r="AM2938" t="str">
        <f t="shared" ca="1" si="292"/>
        <v/>
      </c>
    </row>
    <row r="2939" spans="27:39" x14ac:dyDescent="0.3">
      <c r="AA2939" t="str">
        <f>IF(COUNTA('Procyclean 520'!C441,'Procyclean 520'!D441,'Procyclean 520'!E441)&gt;0,"520","")</f>
        <v/>
      </c>
      <c r="AB2939" t="str">
        <f>IFERROR(IF(ISNUMBER('Procyclean 520'!C441),'Procyclean 520'!C441,DATEVALUE('Procyclean 520'!C441)),"")</f>
        <v/>
      </c>
      <c r="AC2939" t="str">
        <f>IF(AA2939="","",'Procyclean 520'!D441)</f>
        <v/>
      </c>
      <c r="AD2939" t="str">
        <f>IF(AA2939="","",IFERROR(1*'Procyclean 520'!E441,IFERROR(_xludf.NUMBERVALUE('Procyclean 520'!E441,".",","),IFERROR(_xludf.NUMBERVALUE('Procyclean 520'!E441,",","."),0))))</f>
        <v/>
      </c>
      <c r="AE2939" t="str">
        <f>IF(AA2939="","",'Procyclean 520'!B441)</f>
        <v/>
      </c>
      <c r="AF2939">
        <f t="shared" si="287"/>
        <v>0</v>
      </c>
      <c r="AG2939" t="str">
        <f t="shared" si="288"/>
        <v/>
      </c>
      <c r="AH2939" t="str">
        <f t="shared" si="289"/>
        <v/>
      </c>
      <c r="AI2939">
        <f t="shared" si="290"/>
        <v>0</v>
      </c>
      <c r="AJ2939">
        <f t="shared" si="291"/>
        <v>0</v>
      </c>
      <c r="AK2939">
        <v>0</v>
      </c>
      <c r="AL2939" t="str">
        <f>IF(AA2939="","",IFERROR(IF(ISNUMBER('Procyclean 520'!F441),'Procyclean 520'!F441,IF(ISNUMBER(SEARCH("12",'Procyclean 520'!F441)),EDATE(AB2939,12),IF(ISNUMBER(SEARCH("6",'Procyclean 520'!F441)),EDATE(AB2939,6),IF(ISNUMBER(SEARCH("3",'Procyclean 520'!F441)),EDATE(AB2939,3),DATEVALUE('Procyclean 520'!F441))))),""))</f>
        <v/>
      </c>
      <c r="AM2939" t="str">
        <f t="shared" ca="1" si="292"/>
        <v/>
      </c>
    </row>
    <row r="2940" spans="27:39" x14ac:dyDescent="0.3">
      <c r="AA2940" t="str">
        <f>IF(COUNTA('Procyclean 520'!C442,'Procyclean 520'!D442,'Procyclean 520'!E442)&gt;0,"520","")</f>
        <v/>
      </c>
      <c r="AB2940" t="str">
        <f>IFERROR(IF(ISNUMBER('Procyclean 520'!C442),'Procyclean 520'!C442,DATEVALUE('Procyclean 520'!C442)),"")</f>
        <v/>
      </c>
      <c r="AC2940" t="str">
        <f>IF(AA2940="","",'Procyclean 520'!D442)</f>
        <v/>
      </c>
      <c r="AD2940" t="str">
        <f>IF(AA2940="","",IFERROR(1*'Procyclean 520'!E442,IFERROR(_xludf.NUMBERVALUE('Procyclean 520'!E442,".",","),IFERROR(_xludf.NUMBERVALUE('Procyclean 520'!E442,",","."),0))))</f>
        <v/>
      </c>
      <c r="AE2940" t="str">
        <f>IF(AA2940="","",'Procyclean 520'!B442)</f>
        <v/>
      </c>
      <c r="AF2940">
        <f t="shared" si="287"/>
        <v>0</v>
      </c>
      <c r="AG2940" t="str">
        <f t="shared" si="288"/>
        <v/>
      </c>
      <c r="AH2940" t="str">
        <f t="shared" si="289"/>
        <v/>
      </c>
      <c r="AI2940">
        <f t="shared" si="290"/>
        <v>0</v>
      </c>
      <c r="AJ2940">
        <f t="shared" si="291"/>
        <v>0</v>
      </c>
      <c r="AK2940">
        <v>0</v>
      </c>
      <c r="AL2940" t="str">
        <f>IF(AA2940="","",IFERROR(IF(ISNUMBER('Procyclean 520'!F442),'Procyclean 520'!F442,IF(ISNUMBER(SEARCH("12",'Procyclean 520'!F442)),EDATE(AB2940,12),IF(ISNUMBER(SEARCH("6",'Procyclean 520'!F442)),EDATE(AB2940,6),IF(ISNUMBER(SEARCH("3",'Procyclean 520'!F442)),EDATE(AB2940,3),DATEVALUE('Procyclean 520'!F442))))),""))</f>
        <v/>
      </c>
      <c r="AM2940" t="str">
        <f t="shared" ca="1" si="292"/>
        <v/>
      </c>
    </row>
    <row r="2941" spans="27:39" x14ac:dyDescent="0.3">
      <c r="AA2941" t="str">
        <f>IF(COUNTA('Procyclean 520'!C443,'Procyclean 520'!D443,'Procyclean 520'!E443)&gt;0,"520","")</f>
        <v/>
      </c>
      <c r="AB2941" t="str">
        <f>IFERROR(IF(ISNUMBER('Procyclean 520'!C443),'Procyclean 520'!C443,DATEVALUE('Procyclean 520'!C443)),"")</f>
        <v/>
      </c>
      <c r="AC2941" t="str">
        <f>IF(AA2941="","",'Procyclean 520'!D443)</f>
        <v/>
      </c>
      <c r="AD2941" t="str">
        <f>IF(AA2941="","",IFERROR(1*'Procyclean 520'!E443,IFERROR(_xludf.NUMBERVALUE('Procyclean 520'!E443,".",","),IFERROR(_xludf.NUMBERVALUE('Procyclean 520'!E443,",","."),0))))</f>
        <v/>
      </c>
      <c r="AE2941" t="str">
        <f>IF(AA2941="","",'Procyclean 520'!B443)</f>
        <v/>
      </c>
      <c r="AF2941">
        <f t="shared" si="287"/>
        <v>0</v>
      </c>
      <c r="AG2941" t="str">
        <f t="shared" si="288"/>
        <v/>
      </c>
      <c r="AH2941" t="str">
        <f t="shared" si="289"/>
        <v/>
      </c>
      <c r="AI2941">
        <f t="shared" si="290"/>
        <v>0</v>
      </c>
      <c r="AJ2941">
        <f t="shared" si="291"/>
        <v>0</v>
      </c>
      <c r="AK2941">
        <v>0</v>
      </c>
      <c r="AL2941" t="str">
        <f>IF(AA2941="","",IFERROR(IF(ISNUMBER('Procyclean 520'!F443),'Procyclean 520'!F443,IF(ISNUMBER(SEARCH("12",'Procyclean 520'!F443)),EDATE(AB2941,12),IF(ISNUMBER(SEARCH("6",'Procyclean 520'!F443)),EDATE(AB2941,6),IF(ISNUMBER(SEARCH("3",'Procyclean 520'!F443)),EDATE(AB2941,3),DATEVALUE('Procyclean 520'!F443))))),""))</f>
        <v/>
      </c>
      <c r="AM2941" t="str">
        <f t="shared" ca="1" si="292"/>
        <v/>
      </c>
    </row>
    <row r="2942" spans="27:39" x14ac:dyDescent="0.3">
      <c r="AA2942" t="str">
        <f>IF(COUNTA('Procyclean 520'!C444,'Procyclean 520'!D444,'Procyclean 520'!E444)&gt;0,"520","")</f>
        <v/>
      </c>
      <c r="AB2942" t="str">
        <f>IFERROR(IF(ISNUMBER('Procyclean 520'!C444),'Procyclean 520'!C444,DATEVALUE('Procyclean 520'!C444)),"")</f>
        <v/>
      </c>
      <c r="AC2942" t="str">
        <f>IF(AA2942="","",'Procyclean 520'!D444)</f>
        <v/>
      </c>
      <c r="AD2942" t="str">
        <f>IF(AA2942="","",IFERROR(1*'Procyclean 520'!E444,IFERROR(_xludf.NUMBERVALUE('Procyclean 520'!E444,".",","),IFERROR(_xludf.NUMBERVALUE('Procyclean 520'!E444,",","."),0))))</f>
        <v/>
      </c>
      <c r="AE2942" t="str">
        <f>IF(AA2942="","",'Procyclean 520'!B444)</f>
        <v/>
      </c>
      <c r="AF2942">
        <f t="shared" si="287"/>
        <v>0</v>
      </c>
      <c r="AG2942" t="str">
        <f t="shared" si="288"/>
        <v/>
      </c>
      <c r="AH2942" t="str">
        <f t="shared" si="289"/>
        <v/>
      </c>
      <c r="AI2942">
        <f t="shared" si="290"/>
        <v>0</v>
      </c>
      <c r="AJ2942">
        <f t="shared" si="291"/>
        <v>0</v>
      </c>
      <c r="AK2942">
        <v>0</v>
      </c>
      <c r="AL2942" t="str">
        <f>IF(AA2942="","",IFERROR(IF(ISNUMBER('Procyclean 520'!F444),'Procyclean 520'!F444,IF(ISNUMBER(SEARCH("12",'Procyclean 520'!F444)),EDATE(AB2942,12),IF(ISNUMBER(SEARCH("6",'Procyclean 520'!F444)),EDATE(AB2942,6),IF(ISNUMBER(SEARCH("3",'Procyclean 520'!F444)),EDATE(AB2942,3),DATEVALUE('Procyclean 520'!F444))))),""))</f>
        <v/>
      </c>
      <c r="AM2942" t="str">
        <f t="shared" ca="1" si="292"/>
        <v/>
      </c>
    </row>
    <row r="2943" spans="27:39" x14ac:dyDescent="0.3">
      <c r="AA2943" t="str">
        <f>IF(COUNTA('Procyclean 520'!C445,'Procyclean 520'!D445,'Procyclean 520'!E445)&gt;0,"520","")</f>
        <v/>
      </c>
      <c r="AB2943" t="str">
        <f>IFERROR(IF(ISNUMBER('Procyclean 520'!C445),'Procyclean 520'!C445,DATEVALUE('Procyclean 520'!C445)),"")</f>
        <v/>
      </c>
      <c r="AC2943" t="str">
        <f>IF(AA2943="","",'Procyclean 520'!D445)</f>
        <v/>
      </c>
      <c r="AD2943" t="str">
        <f>IF(AA2943="","",IFERROR(1*'Procyclean 520'!E445,IFERROR(_xludf.NUMBERVALUE('Procyclean 520'!E445,".",","),IFERROR(_xludf.NUMBERVALUE('Procyclean 520'!E445,",","."),0))))</f>
        <v/>
      </c>
      <c r="AE2943" t="str">
        <f>IF(AA2943="","",'Procyclean 520'!B445)</f>
        <v/>
      </c>
      <c r="AF2943">
        <f t="shared" si="287"/>
        <v>0</v>
      </c>
      <c r="AG2943" t="str">
        <f t="shared" si="288"/>
        <v/>
      </c>
      <c r="AH2943" t="str">
        <f t="shared" si="289"/>
        <v/>
      </c>
      <c r="AI2943">
        <f t="shared" si="290"/>
        <v>0</v>
      </c>
      <c r="AJ2943">
        <f t="shared" si="291"/>
        <v>0</v>
      </c>
      <c r="AK2943">
        <v>0</v>
      </c>
      <c r="AL2943" t="str">
        <f>IF(AA2943="","",IFERROR(IF(ISNUMBER('Procyclean 520'!F445),'Procyclean 520'!F445,IF(ISNUMBER(SEARCH("12",'Procyclean 520'!F445)),EDATE(AB2943,12),IF(ISNUMBER(SEARCH("6",'Procyclean 520'!F445)),EDATE(AB2943,6),IF(ISNUMBER(SEARCH("3",'Procyclean 520'!F445)),EDATE(AB2943,3),DATEVALUE('Procyclean 520'!F445))))),""))</f>
        <v/>
      </c>
      <c r="AM2943" t="str">
        <f t="shared" ca="1" si="292"/>
        <v/>
      </c>
    </row>
    <row r="2944" spans="27:39" x14ac:dyDescent="0.3">
      <c r="AA2944" t="str">
        <f>IF(COUNTA('Procyclean 520'!C446,'Procyclean 520'!D446,'Procyclean 520'!E446)&gt;0,"520","")</f>
        <v/>
      </c>
      <c r="AB2944" t="str">
        <f>IFERROR(IF(ISNUMBER('Procyclean 520'!C446),'Procyclean 520'!C446,DATEVALUE('Procyclean 520'!C446)),"")</f>
        <v/>
      </c>
      <c r="AC2944" t="str">
        <f>IF(AA2944="","",'Procyclean 520'!D446)</f>
        <v/>
      </c>
      <c r="AD2944" t="str">
        <f>IF(AA2944="","",IFERROR(1*'Procyclean 520'!E446,IFERROR(_xludf.NUMBERVALUE('Procyclean 520'!E446,".",","),IFERROR(_xludf.NUMBERVALUE('Procyclean 520'!E446,",","."),0))))</f>
        <v/>
      </c>
      <c r="AE2944" t="str">
        <f>IF(AA2944="","",'Procyclean 520'!B446)</f>
        <v/>
      </c>
      <c r="AF2944">
        <f t="shared" si="287"/>
        <v>0</v>
      </c>
      <c r="AG2944" t="str">
        <f t="shared" si="288"/>
        <v/>
      </c>
      <c r="AH2944" t="str">
        <f t="shared" si="289"/>
        <v/>
      </c>
      <c r="AI2944">
        <f t="shared" si="290"/>
        <v>0</v>
      </c>
      <c r="AJ2944">
        <f t="shared" si="291"/>
        <v>0</v>
      </c>
      <c r="AK2944">
        <v>0</v>
      </c>
      <c r="AL2944" t="str">
        <f>IF(AA2944="","",IFERROR(IF(ISNUMBER('Procyclean 520'!F446),'Procyclean 520'!F446,IF(ISNUMBER(SEARCH("12",'Procyclean 520'!F446)),EDATE(AB2944,12),IF(ISNUMBER(SEARCH("6",'Procyclean 520'!F446)),EDATE(AB2944,6),IF(ISNUMBER(SEARCH("3",'Procyclean 520'!F446)),EDATE(AB2944,3),DATEVALUE('Procyclean 520'!F446))))),""))</f>
        <v/>
      </c>
      <c r="AM2944" t="str">
        <f t="shared" ca="1" si="292"/>
        <v/>
      </c>
    </row>
    <row r="2945" spans="27:39" x14ac:dyDescent="0.3">
      <c r="AA2945" t="str">
        <f>IF(COUNTA('Procyclean 520'!C447,'Procyclean 520'!D447,'Procyclean 520'!E447)&gt;0,"520","")</f>
        <v/>
      </c>
      <c r="AB2945" t="str">
        <f>IFERROR(IF(ISNUMBER('Procyclean 520'!C447),'Procyclean 520'!C447,DATEVALUE('Procyclean 520'!C447)),"")</f>
        <v/>
      </c>
      <c r="AC2945" t="str">
        <f>IF(AA2945="","",'Procyclean 520'!D447)</f>
        <v/>
      </c>
      <c r="AD2945" t="str">
        <f>IF(AA2945="","",IFERROR(1*'Procyclean 520'!E447,IFERROR(_xludf.NUMBERVALUE('Procyclean 520'!E447,".",","),IFERROR(_xludf.NUMBERVALUE('Procyclean 520'!E447,",","."),0))))</f>
        <v/>
      </c>
      <c r="AE2945" t="str">
        <f>IF(AA2945="","",'Procyclean 520'!B447)</f>
        <v/>
      </c>
      <c r="AF2945">
        <f t="shared" si="287"/>
        <v>0</v>
      </c>
      <c r="AG2945" t="str">
        <f t="shared" si="288"/>
        <v/>
      </c>
      <c r="AH2945" t="str">
        <f t="shared" si="289"/>
        <v/>
      </c>
      <c r="AI2945">
        <f t="shared" si="290"/>
        <v>0</v>
      </c>
      <c r="AJ2945">
        <f t="shared" si="291"/>
        <v>0</v>
      </c>
      <c r="AK2945">
        <v>0</v>
      </c>
      <c r="AL2945" t="str">
        <f>IF(AA2945="","",IFERROR(IF(ISNUMBER('Procyclean 520'!F447),'Procyclean 520'!F447,IF(ISNUMBER(SEARCH("12",'Procyclean 520'!F447)),EDATE(AB2945,12),IF(ISNUMBER(SEARCH("6",'Procyclean 520'!F447)),EDATE(AB2945,6),IF(ISNUMBER(SEARCH("3",'Procyclean 520'!F447)),EDATE(AB2945,3),DATEVALUE('Procyclean 520'!F447))))),""))</f>
        <v/>
      </c>
      <c r="AM2945" t="str">
        <f t="shared" ca="1" si="292"/>
        <v/>
      </c>
    </row>
    <row r="2946" spans="27:39" x14ac:dyDescent="0.3">
      <c r="AA2946" t="str">
        <f>IF(COUNTA('Procyclean 520'!C448,'Procyclean 520'!D448,'Procyclean 520'!E448)&gt;0,"520","")</f>
        <v/>
      </c>
      <c r="AB2946" t="str">
        <f>IFERROR(IF(ISNUMBER('Procyclean 520'!C448),'Procyclean 520'!C448,DATEVALUE('Procyclean 520'!C448)),"")</f>
        <v/>
      </c>
      <c r="AC2946" t="str">
        <f>IF(AA2946="","",'Procyclean 520'!D448)</f>
        <v/>
      </c>
      <c r="AD2946" t="str">
        <f>IF(AA2946="","",IFERROR(1*'Procyclean 520'!E448,IFERROR(_xludf.NUMBERVALUE('Procyclean 520'!E448,".",","),IFERROR(_xludf.NUMBERVALUE('Procyclean 520'!E448,",","."),0))))</f>
        <v/>
      </c>
      <c r="AE2946" t="str">
        <f>IF(AA2946="","",'Procyclean 520'!B448)</f>
        <v/>
      </c>
      <c r="AF2946">
        <f t="shared" ref="AF2946:AF3009" si="293">IF(AA2946="",0,--AND(ISNUMBER(SEARCH("aprov",AE2946)),NOT(ISNUMBER(SEARCH("reprov",AE2946)))))</f>
        <v>0</v>
      </c>
      <c r="AG2946" t="str">
        <f t="shared" ref="AG2946:AG3009" si="294">IF(AB2946="","",YEAR(AB2946))</f>
        <v/>
      </c>
      <c r="AH2946" t="str">
        <f t="shared" ref="AH2946:AH3009" si="295">IF(AB2946="","",MONTH(AB2946))</f>
        <v/>
      </c>
      <c r="AI2946">
        <f t="shared" ref="AI2946:AI3009" si="296">IF(AB2946="",0,AB2946+ROW()/1000000)</f>
        <v>0</v>
      </c>
      <c r="AJ2946">
        <f t="shared" ref="AJ2946:AJ3009" si="297">--(AA2946&lt;&gt;"")</f>
        <v>0</v>
      </c>
      <c r="AK2946">
        <v>0</v>
      </c>
      <c r="AL2946" t="str">
        <f>IF(AA2946="","",IFERROR(IF(ISNUMBER('Procyclean 520'!F448),'Procyclean 520'!F448,IF(ISNUMBER(SEARCH("12",'Procyclean 520'!F448)),EDATE(AB2946,12),IF(ISNUMBER(SEARCH("6",'Procyclean 520'!F448)),EDATE(AB2946,6),IF(ISNUMBER(SEARCH("3",'Procyclean 520'!F448)),EDATE(AB2946,3),DATEVALUE('Procyclean 520'!F448))))),""))</f>
        <v/>
      </c>
      <c r="AM2946" t="str">
        <f t="shared" ref="AM2946:AM3009" ca="1" si="298">IF(AND(AJ2946=1,AL2946&lt;&gt;"",AL2946&gt;=TODAY(),AG2946=$W$3),AL2946+ROW()/1000000,"")</f>
        <v/>
      </c>
    </row>
    <row r="2947" spans="27:39" x14ac:dyDescent="0.3">
      <c r="AA2947" t="str">
        <f>IF(COUNTA('Procyclean 520'!C449,'Procyclean 520'!D449,'Procyclean 520'!E449)&gt;0,"520","")</f>
        <v/>
      </c>
      <c r="AB2947" t="str">
        <f>IFERROR(IF(ISNUMBER('Procyclean 520'!C449),'Procyclean 520'!C449,DATEVALUE('Procyclean 520'!C449)),"")</f>
        <v/>
      </c>
      <c r="AC2947" t="str">
        <f>IF(AA2947="","",'Procyclean 520'!D449)</f>
        <v/>
      </c>
      <c r="AD2947" t="str">
        <f>IF(AA2947="","",IFERROR(1*'Procyclean 520'!E449,IFERROR(_xludf.NUMBERVALUE('Procyclean 520'!E449,".",","),IFERROR(_xludf.NUMBERVALUE('Procyclean 520'!E449,",","."),0))))</f>
        <v/>
      </c>
      <c r="AE2947" t="str">
        <f>IF(AA2947="","",'Procyclean 520'!B449)</f>
        <v/>
      </c>
      <c r="AF2947">
        <f t="shared" si="293"/>
        <v>0</v>
      </c>
      <c r="AG2947" t="str">
        <f t="shared" si="294"/>
        <v/>
      </c>
      <c r="AH2947" t="str">
        <f t="shared" si="295"/>
        <v/>
      </c>
      <c r="AI2947">
        <f t="shared" si="296"/>
        <v>0</v>
      </c>
      <c r="AJ2947">
        <f t="shared" si="297"/>
        <v>0</v>
      </c>
      <c r="AK2947">
        <v>0</v>
      </c>
      <c r="AL2947" t="str">
        <f>IF(AA2947="","",IFERROR(IF(ISNUMBER('Procyclean 520'!F449),'Procyclean 520'!F449,IF(ISNUMBER(SEARCH("12",'Procyclean 520'!F449)),EDATE(AB2947,12),IF(ISNUMBER(SEARCH("6",'Procyclean 520'!F449)),EDATE(AB2947,6),IF(ISNUMBER(SEARCH("3",'Procyclean 520'!F449)),EDATE(AB2947,3),DATEVALUE('Procyclean 520'!F449))))),""))</f>
        <v/>
      </c>
      <c r="AM2947" t="str">
        <f t="shared" ca="1" si="298"/>
        <v/>
      </c>
    </row>
    <row r="2948" spans="27:39" x14ac:dyDescent="0.3">
      <c r="AA2948" t="str">
        <f>IF(COUNTA('Procyclean 520'!C450,'Procyclean 520'!D450,'Procyclean 520'!E450)&gt;0,"520","")</f>
        <v/>
      </c>
      <c r="AB2948" t="str">
        <f>IFERROR(IF(ISNUMBER('Procyclean 520'!C450),'Procyclean 520'!C450,DATEVALUE('Procyclean 520'!C450)),"")</f>
        <v/>
      </c>
      <c r="AC2948" t="str">
        <f>IF(AA2948="","",'Procyclean 520'!D450)</f>
        <v/>
      </c>
      <c r="AD2948" t="str">
        <f>IF(AA2948="","",IFERROR(1*'Procyclean 520'!E450,IFERROR(_xludf.NUMBERVALUE('Procyclean 520'!E450,".",","),IFERROR(_xludf.NUMBERVALUE('Procyclean 520'!E450,",","."),0))))</f>
        <v/>
      </c>
      <c r="AE2948" t="str">
        <f>IF(AA2948="","",'Procyclean 520'!B450)</f>
        <v/>
      </c>
      <c r="AF2948">
        <f t="shared" si="293"/>
        <v>0</v>
      </c>
      <c r="AG2948" t="str">
        <f t="shared" si="294"/>
        <v/>
      </c>
      <c r="AH2948" t="str">
        <f t="shared" si="295"/>
        <v/>
      </c>
      <c r="AI2948">
        <f t="shared" si="296"/>
        <v>0</v>
      </c>
      <c r="AJ2948">
        <f t="shared" si="297"/>
        <v>0</v>
      </c>
      <c r="AK2948">
        <v>0</v>
      </c>
      <c r="AL2948" t="str">
        <f>IF(AA2948="","",IFERROR(IF(ISNUMBER('Procyclean 520'!F450),'Procyclean 520'!F450,IF(ISNUMBER(SEARCH("12",'Procyclean 520'!F450)),EDATE(AB2948,12),IF(ISNUMBER(SEARCH("6",'Procyclean 520'!F450)),EDATE(AB2948,6),IF(ISNUMBER(SEARCH("3",'Procyclean 520'!F450)),EDATE(AB2948,3),DATEVALUE('Procyclean 520'!F450))))),""))</f>
        <v/>
      </c>
      <c r="AM2948" t="str">
        <f t="shared" ca="1" si="298"/>
        <v/>
      </c>
    </row>
    <row r="2949" spans="27:39" x14ac:dyDescent="0.3">
      <c r="AA2949" t="str">
        <f>IF(COUNTA('Procyclean 520'!C451,'Procyclean 520'!D451,'Procyclean 520'!E451)&gt;0,"520","")</f>
        <v/>
      </c>
      <c r="AB2949" t="str">
        <f>IFERROR(IF(ISNUMBER('Procyclean 520'!C451),'Procyclean 520'!C451,DATEVALUE('Procyclean 520'!C451)),"")</f>
        <v/>
      </c>
      <c r="AC2949" t="str">
        <f>IF(AA2949="","",'Procyclean 520'!D451)</f>
        <v/>
      </c>
      <c r="AD2949" t="str">
        <f>IF(AA2949="","",IFERROR(1*'Procyclean 520'!E451,IFERROR(_xludf.NUMBERVALUE('Procyclean 520'!E451,".",","),IFERROR(_xludf.NUMBERVALUE('Procyclean 520'!E451,",","."),0))))</f>
        <v/>
      </c>
      <c r="AE2949" t="str">
        <f>IF(AA2949="","",'Procyclean 520'!B451)</f>
        <v/>
      </c>
      <c r="AF2949">
        <f t="shared" si="293"/>
        <v>0</v>
      </c>
      <c r="AG2949" t="str">
        <f t="shared" si="294"/>
        <v/>
      </c>
      <c r="AH2949" t="str">
        <f t="shared" si="295"/>
        <v/>
      </c>
      <c r="AI2949">
        <f t="shared" si="296"/>
        <v>0</v>
      </c>
      <c r="AJ2949">
        <f t="shared" si="297"/>
        <v>0</v>
      </c>
      <c r="AK2949">
        <v>0</v>
      </c>
      <c r="AL2949" t="str">
        <f>IF(AA2949="","",IFERROR(IF(ISNUMBER('Procyclean 520'!F451),'Procyclean 520'!F451,IF(ISNUMBER(SEARCH("12",'Procyclean 520'!F451)),EDATE(AB2949,12),IF(ISNUMBER(SEARCH("6",'Procyclean 520'!F451)),EDATE(AB2949,6),IF(ISNUMBER(SEARCH("3",'Procyclean 520'!F451)),EDATE(AB2949,3),DATEVALUE('Procyclean 520'!F451))))),""))</f>
        <v/>
      </c>
      <c r="AM2949" t="str">
        <f t="shared" ca="1" si="298"/>
        <v/>
      </c>
    </row>
    <row r="2950" spans="27:39" x14ac:dyDescent="0.3">
      <c r="AA2950" t="str">
        <f>IF(COUNTA('Procyclean 520'!C452,'Procyclean 520'!D452,'Procyclean 520'!E452)&gt;0,"520","")</f>
        <v/>
      </c>
      <c r="AB2950" t="str">
        <f>IFERROR(IF(ISNUMBER('Procyclean 520'!C452),'Procyclean 520'!C452,DATEVALUE('Procyclean 520'!C452)),"")</f>
        <v/>
      </c>
      <c r="AC2950" t="str">
        <f>IF(AA2950="","",'Procyclean 520'!D452)</f>
        <v/>
      </c>
      <c r="AD2950" t="str">
        <f>IF(AA2950="","",IFERROR(1*'Procyclean 520'!E452,IFERROR(_xludf.NUMBERVALUE('Procyclean 520'!E452,".",","),IFERROR(_xludf.NUMBERVALUE('Procyclean 520'!E452,",","."),0))))</f>
        <v/>
      </c>
      <c r="AE2950" t="str">
        <f>IF(AA2950="","",'Procyclean 520'!B452)</f>
        <v/>
      </c>
      <c r="AF2950">
        <f t="shared" si="293"/>
        <v>0</v>
      </c>
      <c r="AG2950" t="str">
        <f t="shared" si="294"/>
        <v/>
      </c>
      <c r="AH2950" t="str">
        <f t="shared" si="295"/>
        <v/>
      </c>
      <c r="AI2950">
        <f t="shared" si="296"/>
        <v>0</v>
      </c>
      <c r="AJ2950">
        <f t="shared" si="297"/>
        <v>0</v>
      </c>
      <c r="AK2950">
        <v>0</v>
      </c>
      <c r="AL2950" t="str">
        <f>IF(AA2950="","",IFERROR(IF(ISNUMBER('Procyclean 520'!F452),'Procyclean 520'!F452,IF(ISNUMBER(SEARCH("12",'Procyclean 520'!F452)),EDATE(AB2950,12),IF(ISNUMBER(SEARCH("6",'Procyclean 520'!F452)),EDATE(AB2950,6),IF(ISNUMBER(SEARCH("3",'Procyclean 520'!F452)),EDATE(AB2950,3),DATEVALUE('Procyclean 520'!F452))))),""))</f>
        <v/>
      </c>
      <c r="AM2950" t="str">
        <f t="shared" ca="1" si="298"/>
        <v/>
      </c>
    </row>
    <row r="2951" spans="27:39" x14ac:dyDescent="0.3">
      <c r="AA2951" t="str">
        <f>IF(COUNTA('Procyclean 520'!C453,'Procyclean 520'!D453,'Procyclean 520'!E453)&gt;0,"520","")</f>
        <v/>
      </c>
      <c r="AB2951" t="str">
        <f>IFERROR(IF(ISNUMBER('Procyclean 520'!C453),'Procyclean 520'!C453,DATEVALUE('Procyclean 520'!C453)),"")</f>
        <v/>
      </c>
      <c r="AC2951" t="str">
        <f>IF(AA2951="","",'Procyclean 520'!D453)</f>
        <v/>
      </c>
      <c r="AD2951" t="str">
        <f>IF(AA2951="","",IFERROR(1*'Procyclean 520'!E453,IFERROR(_xludf.NUMBERVALUE('Procyclean 520'!E453,".",","),IFERROR(_xludf.NUMBERVALUE('Procyclean 520'!E453,",","."),0))))</f>
        <v/>
      </c>
      <c r="AE2951" t="str">
        <f>IF(AA2951="","",'Procyclean 520'!B453)</f>
        <v/>
      </c>
      <c r="AF2951">
        <f t="shared" si="293"/>
        <v>0</v>
      </c>
      <c r="AG2951" t="str">
        <f t="shared" si="294"/>
        <v/>
      </c>
      <c r="AH2951" t="str">
        <f t="shared" si="295"/>
        <v/>
      </c>
      <c r="AI2951">
        <f t="shared" si="296"/>
        <v>0</v>
      </c>
      <c r="AJ2951">
        <f t="shared" si="297"/>
        <v>0</v>
      </c>
      <c r="AK2951">
        <v>0</v>
      </c>
      <c r="AL2951" t="str">
        <f>IF(AA2951="","",IFERROR(IF(ISNUMBER('Procyclean 520'!F453),'Procyclean 520'!F453,IF(ISNUMBER(SEARCH("12",'Procyclean 520'!F453)),EDATE(AB2951,12),IF(ISNUMBER(SEARCH("6",'Procyclean 520'!F453)),EDATE(AB2951,6),IF(ISNUMBER(SEARCH("3",'Procyclean 520'!F453)),EDATE(AB2951,3),DATEVALUE('Procyclean 520'!F453))))),""))</f>
        <v/>
      </c>
      <c r="AM2951" t="str">
        <f t="shared" ca="1" si="298"/>
        <v/>
      </c>
    </row>
    <row r="2952" spans="27:39" x14ac:dyDescent="0.3">
      <c r="AA2952" t="str">
        <f>IF(COUNTA('Procyclean 520'!C454,'Procyclean 520'!D454,'Procyclean 520'!E454)&gt;0,"520","")</f>
        <v/>
      </c>
      <c r="AB2952" t="str">
        <f>IFERROR(IF(ISNUMBER('Procyclean 520'!C454),'Procyclean 520'!C454,DATEVALUE('Procyclean 520'!C454)),"")</f>
        <v/>
      </c>
      <c r="AC2952" t="str">
        <f>IF(AA2952="","",'Procyclean 520'!D454)</f>
        <v/>
      </c>
      <c r="AD2952" t="str">
        <f>IF(AA2952="","",IFERROR(1*'Procyclean 520'!E454,IFERROR(_xludf.NUMBERVALUE('Procyclean 520'!E454,".",","),IFERROR(_xludf.NUMBERVALUE('Procyclean 520'!E454,",","."),0))))</f>
        <v/>
      </c>
      <c r="AE2952" t="str">
        <f>IF(AA2952="","",'Procyclean 520'!B454)</f>
        <v/>
      </c>
      <c r="AF2952">
        <f t="shared" si="293"/>
        <v>0</v>
      </c>
      <c r="AG2952" t="str">
        <f t="shared" si="294"/>
        <v/>
      </c>
      <c r="AH2952" t="str">
        <f t="shared" si="295"/>
        <v/>
      </c>
      <c r="AI2952">
        <f t="shared" si="296"/>
        <v>0</v>
      </c>
      <c r="AJ2952">
        <f t="shared" si="297"/>
        <v>0</v>
      </c>
      <c r="AK2952">
        <v>0</v>
      </c>
      <c r="AL2952" t="str">
        <f>IF(AA2952="","",IFERROR(IF(ISNUMBER('Procyclean 520'!F454),'Procyclean 520'!F454,IF(ISNUMBER(SEARCH("12",'Procyclean 520'!F454)),EDATE(AB2952,12),IF(ISNUMBER(SEARCH("6",'Procyclean 520'!F454)),EDATE(AB2952,6),IF(ISNUMBER(SEARCH("3",'Procyclean 520'!F454)),EDATE(AB2952,3),DATEVALUE('Procyclean 520'!F454))))),""))</f>
        <v/>
      </c>
      <c r="AM2952" t="str">
        <f t="shared" ca="1" si="298"/>
        <v/>
      </c>
    </row>
    <row r="2953" spans="27:39" x14ac:dyDescent="0.3">
      <c r="AA2953" t="str">
        <f>IF(COUNTA('Procyclean 520'!C455,'Procyclean 520'!D455,'Procyclean 520'!E455)&gt;0,"520","")</f>
        <v/>
      </c>
      <c r="AB2953" t="str">
        <f>IFERROR(IF(ISNUMBER('Procyclean 520'!C455),'Procyclean 520'!C455,DATEVALUE('Procyclean 520'!C455)),"")</f>
        <v/>
      </c>
      <c r="AC2953" t="str">
        <f>IF(AA2953="","",'Procyclean 520'!D455)</f>
        <v/>
      </c>
      <c r="AD2953" t="str">
        <f>IF(AA2953="","",IFERROR(1*'Procyclean 520'!E455,IFERROR(_xludf.NUMBERVALUE('Procyclean 520'!E455,".",","),IFERROR(_xludf.NUMBERVALUE('Procyclean 520'!E455,",","."),0))))</f>
        <v/>
      </c>
      <c r="AE2953" t="str">
        <f>IF(AA2953="","",'Procyclean 520'!B455)</f>
        <v/>
      </c>
      <c r="AF2953">
        <f t="shared" si="293"/>
        <v>0</v>
      </c>
      <c r="AG2953" t="str">
        <f t="shared" si="294"/>
        <v/>
      </c>
      <c r="AH2953" t="str">
        <f t="shared" si="295"/>
        <v/>
      </c>
      <c r="AI2953">
        <f t="shared" si="296"/>
        <v>0</v>
      </c>
      <c r="AJ2953">
        <f t="shared" si="297"/>
        <v>0</v>
      </c>
      <c r="AK2953">
        <v>0</v>
      </c>
      <c r="AL2953" t="str">
        <f>IF(AA2953="","",IFERROR(IF(ISNUMBER('Procyclean 520'!F455),'Procyclean 520'!F455,IF(ISNUMBER(SEARCH("12",'Procyclean 520'!F455)),EDATE(AB2953,12),IF(ISNUMBER(SEARCH("6",'Procyclean 520'!F455)),EDATE(AB2953,6),IF(ISNUMBER(SEARCH("3",'Procyclean 520'!F455)),EDATE(AB2953,3),DATEVALUE('Procyclean 520'!F455))))),""))</f>
        <v/>
      </c>
      <c r="AM2953" t="str">
        <f t="shared" ca="1" si="298"/>
        <v/>
      </c>
    </row>
    <row r="2954" spans="27:39" x14ac:dyDescent="0.3">
      <c r="AA2954" t="str">
        <f>IF(COUNTA('Procyclean 520'!C456,'Procyclean 520'!D456,'Procyclean 520'!E456)&gt;0,"520","")</f>
        <v/>
      </c>
      <c r="AB2954" t="str">
        <f>IFERROR(IF(ISNUMBER('Procyclean 520'!C456),'Procyclean 520'!C456,DATEVALUE('Procyclean 520'!C456)),"")</f>
        <v/>
      </c>
      <c r="AC2954" t="str">
        <f>IF(AA2954="","",'Procyclean 520'!D456)</f>
        <v/>
      </c>
      <c r="AD2954" t="str">
        <f>IF(AA2954="","",IFERROR(1*'Procyclean 520'!E456,IFERROR(_xludf.NUMBERVALUE('Procyclean 520'!E456,".",","),IFERROR(_xludf.NUMBERVALUE('Procyclean 520'!E456,",","."),0))))</f>
        <v/>
      </c>
      <c r="AE2954" t="str">
        <f>IF(AA2954="","",'Procyclean 520'!B456)</f>
        <v/>
      </c>
      <c r="AF2954">
        <f t="shared" si="293"/>
        <v>0</v>
      </c>
      <c r="AG2954" t="str">
        <f t="shared" si="294"/>
        <v/>
      </c>
      <c r="AH2954" t="str">
        <f t="shared" si="295"/>
        <v/>
      </c>
      <c r="AI2954">
        <f t="shared" si="296"/>
        <v>0</v>
      </c>
      <c r="AJ2954">
        <f t="shared" si="297"/>
        <v>0</v>
      </c>
      <c r="AK2954">
        <v>0</v>
      </c>
      <c r="AL2954" t="str">
        <f>IF(AA2954="","",IFERROR(IF(ISNUMBER('Procyclean 520'!F456),'Procyclean 520'!F456,IF(ISNUMBER(SEARCH("12",'Procyclean 520'!F456)),EDATE(AB2954,12),IF(ISNUMBER(SEARCH("6",'Procyclean 520'!F456)),EDATE(AB2954,6),IF(ISNUMBER(SEARCH("3",'Procyclean 520'!F456)),EDATE(AB2954,3),DATEVALUE('Procyclean 520'!F456))))),""))</f>
        <v/>
      </c>
      <c r="AM2954" t="str">
        <f t="shared" ca="1" si="298"/>
        <v/>
      </c>
    </row>
    <row r="2955" spans="27:39" x14ac:dyDescent="0.3">
      <c r="AA2955" t="str">
        <f>IF(COUNTA('Procyclean 520'!C457,'Procyclean 520'!D457,'Procyclean 520'!E457)&gt;0,"520","")</f>
        <v/>
      </c>
      <c r="AB2955" t="str">
        <f>IFERROR(IF(ISNUMBER('Procyclean 520'!C457),'Procyclean 520'!C457,DATEVALUE('Procyclean 520'!C457)),"")</f>
        <v/>
      </c>
      <c r="AC2955" t="str">
        <f>IF(AA2955="","",'Procyclean 520'!D457)</f>
        <v/>
      </c>
      <c r="AD2955" t="str">
        <f>IF(AA2955="","",IFERROR(1*'Procyclean 520'!E457,IFERROR(_xludf.NUMBERVALUE('Procyclean 520'!E457,".",","),IFERROR(_xludf.NUMBERVALUE('Procyclean 520'!E457,",","."),0))))</f>
        <v/>
      </c>
      <c r="AE2955" t="str">
        <f>IF(AA2955="","",'Procyclean 520'!B457)</f>
        <v/>
      </c>
      <c r="AF2955">
        <f t="shared" si="293"/>
        <v>0</v>
      </c>
      <c r="AG2955" t="str">
        <f t="shared" si="294"/>
        <v/>
      </c>
      <c r="AH2955" t="str">
        <f t="shared" si="295"/>
        <v/>
      </c>
      <c r="AI2955">
        <f t="shared" si="296"/>
        <v>0</v>
      </c>
      <c r="AJ2955">
        <f t="shared" si="297"/>
        <v>0</v>
      </c>
      <c r="AK2955">
        <v>0</v>
      </c>
      <c r="AL2955" t="str">
        <f>IF(AA2955="","",IFERROR(IF(ISNUMBER('Procyclean 520'!F457),'Procyclean 520'!F457,IF(ISNUMBER(SEARCH("12",'Procyclean 520'!F457)),EDATE(AB2955,12),IF(ISNUMBER(SEARCH("6",'Procyclean 520'!F457)),EDATE(AB2955,6),IF(ISNUMBER(SEARCH("3",'Procyclean 520'!F457)),EDATE(AB2955,3),DATEVALUE('Procyclean 520'!F457))))),""))</f>
        <v/>
      </c>
      <c r="AM2955" t="str">
        <f t="shared" ca="1" si="298"/>
        <v/>
      </c>
    </row>
    <row r="2956" spans="27:39" x14ac:dyDescent="0.3">
      <c r="AA2956" t="str">
        <f>IF(COUNTA('Procyclean 520'!C458,'Procyclean 520'!D458,'Procyclean 520'!E458)&gt;0,"520","")</f>
        <v/>
      </c>
      <c r="AB2956" t="str">
        <f>IFERROR(IF(ISNUMBER('Procyclean 520'!C458),'Procyclean 520'!C458,DATEVALUE('Procyclean 520'!C458)),"")</f>
        <v/>
      </c>
      <c r="AC2956" t="str">
        <f>IF(AA2956="","",'Procyclean 520'!D458)</f>
        <v/>
      </c>
      <c r="AD2956" t="str">
        <f>IF(AA2956="","",IFERROR(1*'Procyclean 520'!E458,IFERROR(_xludf.NUMBERVALUE('Procyclean 520'!E458,".",","),IFERROR(_xludf.NUMBERVALUE('Procyclean 520'!E458,",","."),0))))</f>
        <v/>
      </c>
      <c r="AE2956" t="str">
        <f>IF(AA2956="","",'Procyclean 520'!B458)</f>
        <v/>
      </c>
      <c r="AF2956">
        <f t="shared" si="293"/>
        <v>0</v>
      </c>
      <c r="AG2956" t="str">
        <f t="shared" si="294"/>
        <v/>
      </c>
      <c r="AH2956" t="str">
        <f t="shared" si="295"/>
        <v/>
      </c>
      <c r="AI2956">
        <f t="shared" si="296"/>
        <v>0</v>
      </c>
      <c r="AJ2956">
        <f t="shared" si="297"/>
        <v>0</v>
      </c>
      <c r="AK2956">
        <v>0</v>
      </c>
      <c r="AL2956" t="str">
        <f>IF(AA2956="","",IFERROR(IF(ISNUMBER('Procyclean 520'!F458),'Procyclean 520'!F458,IF(ISNUMBER(SEARCH("12",'Procyclean 520'!F458)),EDATE(AB2956,12),IF(ISNUMBER(SEARCH("6",'Procyclean 520'!F458)),EDATE(AB2956,6),IF(ISNUMBER(SEARCH("3",'Procyclean 520'!F458)),EDATE(AB2956,3),DATEVALUE('Procyclean 520'!F458))))),""))</f>
        <v/>
      </c>
      <c r="AM2956" t="str">
        <f t="shared" ca="1" si="298"/>
        <v/>
      </c>
    </row>
    <row r="2957" spans="27:39" x14ac:dyDescent="0.3">
      <c r="AA2957" t="str">
        <f>IF(COUNTA('Procyclean 520'!C459,'Procyclean 520'!D459,'Procyclean 520'!E459)&gt;0,"520","")</f>
        <v/>
      </c>
      <c r="AB2957" t="str">
        <f>IFERROR(IF(ISNUMBER('Procyclean 520'!C459),'Procyclean 520'!C459,DATEVALUE('Procyclean 520'!C459)),"")</f>
        <v/>
      </c>
      <c r="AC2957" t="str">
        <f>IF(AA2957="","",'Procyclean 520'!D459)</f>
        <v/>
      </c>
      <c r="AD2957" t="str">
        <f>IF(AA2957="","",IFERROR(1*'Procyclean 520'!E459,IFERROR(_xludf.NUMBERVALUE('Procyclean 520'!E459,".",","),IFERROR(_xludf.NUMBERVALUE('Procyclean 520'!E459,",","."),0))))</f>
        <v/>
      </c>
      <c r="AE2957" t="str">
        <f>IF(AA2957="","",'Procyclean 520'!B459)</f>
        <v/>
      </c>
      <c r="AF2957">
        <f t="shared" si="293"/>
        <v>0</v>
      </c>
      <c r="AG2957" t="str">
        <f t="shared" si="294"/>
        <v/>
      </c>
      <c r="AH2957" t="str">
        <f t="shared" si="295"/>
        <v/>
      </c>
      <c r="AI2957">
        <f t="shared" si="296"/>
        <v>0</v>
      </c>
      <c r="AJ2957">
        <f t="shared" si="297"/>
        <v>0</v>
      </c>
      <c r="AK2957">
        <v>0</v>
      </c>
      <c r="AL2957" t="str">
        <f>IF(AA2957="","",IFERROR(IF(ISNUMBER('Procyclean 520'!F459),'Procyclean 520'!F459,IF(ISNUMBER(SEARCH("12",'Procyclean 520'!F459)),EDATE(AB2957,12),IF(ISNUMBER(SEARCH("6",'Procyclean 520'!F459)),EDATE(AB2957,6),IF(ISNUMBER(SEARCH("3",'Procyclean 520'!F459)),EDATE(AB2957,3),DATEVALUE('Procyclean 520'!F459))))),""))</f>
        <v/>
      </c>
      <c r="AM2957" t="str">
        <f t="shared" ca="1" si="298"/>
        <v/>
      </c>
    </row>
    <row r="2958" spans="27:39" x14ac:dyDescent="0.3">
      <c r="AA2958" t="str">
        <f>IF(COUNTA('Procyclean 520'!C460,'Procyclean 520'!D460,'Procyclean 520'!E460)&gt;0,"520","")</f>
        <v/>
      </c>
      <c r="AB2958" t="str">
        <f>IFERROR(IF(ISNUMBER('Procyclean 520'!C460),'Procyclean 520'!C460,DATEVALUE('Procyclean 520'!C460)),"")</f>
        <v/>
      </c>
      <c r="AC2958" t="str">
        <f>IF(AA2958="","",'Procyclean 520'!D460)</f>
        <v/>
      </c>
      <c r="AD2958" t="str">
        <f>IF(AA2958="","",IFERROR(1*'Procyclean 520'!E460,IFERROR(_xludf.NUMBERVALUE('Procyclean 520'!E460,".",","),IFERROR(_xludf.NUMBERVALUE('Procyclean 520'!E460,",","."),0))))</f>
        <v/>
      </c>
      <c r="AE2958" t="str">
        <f>IF(AA2958="","",'Procyclean 520'!B460)</f>
        <v/>
      </c>
      <c r="AF2958">
        <f t="shared" si="293"/>
        <v>0</v>
      </c>
      <c r="AG2958" t="str">
        <f t="shared" si="294"/>
        <v/>
      </c>
      <c r="AH2958" t="str">
        <f t="shared" si="295"/>
        <v/>
      </c>
      <c r="AI2958">
        <f t="shared" si="296"/>
        <v>0</v>
      </c>
      <c r="AJ2958">
        <f t="shared" si="297"/>
        <v>0</v>
      </c>
      <c r="AK2958">
        <v>0</v>
      </c>
      <c r="AL2958" t="str">
        <f>IF(AA2958="","",IFERROR(IF(ISNUMBER('Procyclean 520'!F460),'Procyclean 520'!F460,IF(ISNUMBER(SEARCH("12",'Procyclean 520'!F460)),EDATE(AB2958,12),IF(ISNUMBER(SEARCH("6",'Procyclean 520'!F460)),EDATE(AB2958,6),IF(ISNUMBER(SEARCH("3",'Procyclean 520'!F460)),EDATE(AB2958,3),DATEVALUE('Procyclean 520'!F460))))),""))</f>
        <v/>
      </c>
      <c r="AM2958" t="str">
        <f t="shared" ca="1" si="298"/>
        <v/>
      </c>
    </row>
    <row r="2959" spans="27:39" x14ac:dyDescent="0.3">
      <c r="AA2959" t="str">
        <f>IF(COUNTA('Procyclean 520'!C461,'Procyclean 520'!D461,'Procyclean 520'!E461)&gt;0,"520","")</f>
        <v/>
      </c>
      <c r="AB2959" t="str">
        <f>IFERROR(IF(ISNUMBER('Procyclean 520'!C461),'Procyclean 520'!C461,DATEVALUE('Procyclean 520'!C461)),"")</f>
        <v/>
      </c>
      <c r="AC2959" t="str">
        <f>IF(AA2959="","",'Procyclean 520'!D461)</f>
        <v/>
      </c>
      <c r="AD2959" t="str">
        <f>IF(AA2959="","",IFERROR(1*'Procyclean 520'!E461,IFERROR(_xludf.NUMBERVALUE('Procyclean 520'!E461,".",","),IFERROR(_xludf.NUMBERVALUE('Procyclean 520'!E461,",","."),0))))</f>
        <v/>
      </c>
      <c r="AE2959" t="str">
        <f>IF(AA2959="","",'Procyclean 520'!B461)</f>
        <v/>
      </c>
      <c r="AF2959">
        <f t="shared" si="293"/>
        <v>0</v>
      </c>
      <c r="AG2959" t="str">
        <f t="shared" si="294"/>
        <v/>
      </c>
      <c r="AH2959" t="str">
        <f t="shared" si="295"/>
        <v/>
      </c>
      <c r="AI2959">
        <f t="shared" si="296"/>
        <v>0</v>
      </c>
      <c r="AJ2959">
        <f t="shared" si="297"/>
        <v>0</v>
      </c>
      <c r="AK2959">
        <v>0</v>
      </c>
      <c r="AL2959" t="str">
        <f>IF(AA2959="","",IFERROR(IF(ISNUMBER('Procyclean 520'!F461),'Procyclean 520'!F461,IF(ISNUMBER(SEARCH("12",'Procyclean 520'!F461)),EDATE(AB2959,12),IF(ISNUMBER(SEARCH("6",'Procyclean 520'!F461)),EDATE(AB2959,6),IF(ISNUMBER(SEARCH("3",'Procyclean 520'!F461)),EDATE(AB2959,3),DATEVALUE('Procyclean 520'!F461))))),""))</f>
        <v/>
      </c>
      <c r="AM2959" t="str">
        <f t="shared" ca="1" si="298"/>
        <v/>
      </c>
    </row>
    <row r="2960" spans="27:39" x14ac:dyDescent="0.3">
      <c r="AA2960" t="str">
        <f>IF(COUNTA('Procyclean 520'!C462,'Procyclean 520'!D462,'Procyclean 520'!E462)&gt;0,"520","")</f>
        <v/>
      </c>
      <c r="AB2960" t="str">
        <f>IFERROR(IF(ISNUMBER('Procyclean 520'!C462),'Procyclean 520'!C462,DATEVALUE('Procyclean 520'!C462)),"")</f>
        <v/>
      </c>
      <c r="AC2960" t="str">
        <f>IF(AA2960="","",'Procyclean 520'!D462)</f>
        <v/>
      </c>
      <c r="AD2960" t="str">
        <f>IF(AA2960="","",IFERROR(1*'Procyclean 520'!E462,IFERROR(_xludf.NUMBERVALUE('Procyclean 520'!E462,".",","),IFERROR(_xludf.NUMBERVALUE('Procyclean 520'!E462,",","."),0))))</f>
        <v/>
      </c>
      <c r="AE2960" t="str">
        <f>IF(AA2960="","",'Procyclean 520'!B462)</f>
        <v/>
      </c>
      <c r="AF2960">
        <f t="shared" si="293"/>
        <v>0</v>
      </c>
      <c r="AG2960" t="str">
        <f t="shared" si="294"/>
        <v/>
      </c>
      <c r="AH2960" t="str">
        <f t="shared" si="295"/>
        <v/>
      </c>
      <c r="AI2960">
        <f t="shared" si="296"/>
        <v>0</v>
      </c>
      <c r="AJ2960">
        <f t="shared" si="297"/>
        <v>0</v>
      </c>
      <c r="AK2960">
        <v>0</v>
      </c>
      <c r="AL2960" t="str">
        <f>IF(AA2960="","",IFERROR(IF(ISNUMBER('Procyclean 520'!F462),'Procyclean 520'!F462,IF(ISNUMBER(SEARCH("12",'Procyclean 520'!F462)),EDATE(AB2960,12),IF(ISNUMBER(SEARCH("6",'Procyclean 520'!F462)),EDATE(AB2960,6),IF(ISNUMBER(SEARCH("3",'Procyclean 520'!F462)),EDATE(AB2960,3),DATEVALUE('Procyclean 520'!F462))))),""))</f>
        <v/>
      </c>
      <c r="AM2960" t="str">
        <f t="shared" ca="1" si="298"/>
        <v/>
      </c>
    </row>
    <row r="2961" spans="27:39" x14ac:dyDescent="0.3">
      <c r="AA2961" t="str">
        <f>IF(COUNTA('Procyclean 520'!C463,'Procyclean 520'!D463,'Procyclean 520'!E463)&gt;0,"520","")</f>
        <v/>
      </c>
      <c r="AB2961" t="str">
        <f>IFERROR(IF(ISNUMBER('Procyclean 520'!C463),'Procyclean 520'!C463,DATEVALUE('Procyclean 520'!C463)),"")</f>
        <v/>
      </c>
      <c r="AC2961" t="str">
        <f>IF(AA2961="","",'Procyclean 520'!D463)</f>
        <v/>
      </c>
      <c r="AD2961" t="str">
        <f>IF(AA2961="","",IFERROR(1*'Procyclean 520'!E463,IFERROR(_xludf.NUMBERVALUE('Procyclean 520'!E463,".",","),IFERROR(_xludf.NUMBERVALUE('Procyclean 520'!E463,",","."),0))))</f>
        <v/>
      </c>
      <c r="AE2961" t="str">
        <f>IF(AA2961="","",'Procyclean 520'!B463)</f>
        <v/>
      </c>
      <c r="AF2961">
        <f t="shared" si="293"/>
        <v>0</v>
      </c>
      <c r="AG2961" t="str">
        <f t="shared" si="294"/>
        <v/>
      </c>
      <c r="AH2961" t="str">
        <f t="shared" si="295"/>
        <v/>
      </c>
      <c r="AI2961">
        <f t="shared" si="296"/>
        <v>0</v>
      </c>
      <c r="AJ2961">
        <f t="shared" si="297"/>
        <v>0</v>
      </c>
      <c r="AK2961">
        <v>0</v>
      </c>
      <c r="AL2961" t="str">
        <f>IF(AA2961="","",IFERROR(IF(ISNUMBER('Procyclean 520'!F463),'Procyclean 520'!F463,IF(ISNUMBER(SEARCH("12",'Procyclean 520'!F463)),EDATE(AB2961,12),IF(ISNUMBER(SEARCH("6",'Procyclean 520'!F463)),EDATE(AB2961,6),IF(ISNUMBER(SEARCH("3",'Procyclean 520'!F463)),EDATE(AB2961,3),DATEVALUE('Procyclean 520'!F463))))),""))</f>
        <v/>
      </c>
      <c r="AM2961" t="str">
        <f t="shared" ca="1" si="298"/>
        <v/>
      </c>
    </row>
    <row r="2962" spans="27:39" x14ac:dyDescent="0.3">
      <c r="AA2962" t="str">
        <f>IF(COUNTA('Procyclean 520'!C464,'Procyclean 520'!D464,'Procyclean 520'!E464)&gt;0,"520","")</f>
        <v/>
      </c>
      <c r="AB2962" t="str">
        <f>IFERROR(IF(ISNUMBER('Procyclean 520'!C464),'Procyclean 520'!C464,DATEVALUE('Procyclean 520'!C464)),"")</f>
        <v/>
      </c>
      <c r="AC2962" t="str">
        <f>IF(AA2962="","",'Procyclean 520'!D464)</f>
        <v/>
      </c>
      <c r="AD2962" t="str">
        <f>IF(AA2962="","",IFERROR(1*'Procyclean 520'!E464,IFERROR(_xludf.NUMBERVALUE('Procyclean 520'!E464,".",","),IFERROR(_xludf.NUMBERVALUE('Procyclean 520'!E464,",","."),0))))</f>
        <v/>
      </c>
      <c r="AE2962" t="str">
        <f>IF(AA2962="","",'Procyclean 520'!B464)</f>
        <v/>
      </c>
      <c r="AF2962">
        <f t="shared" si="293"/>
        <v>0</v>
      </c>
      <c r="AG2962" t="str">
        <f t="shared" si="294"/>
        <v/>
      </c>
      <c r="AH2962" t="str">
        <f t="shared" si="295"/>
        <v/>
      </c>
      <c r="AI2962">
        <f t="shared" si="296"/>
        <v>0</v>
      </c>
      <c r="AJ2962">
        <f t="shared" si="297"/>
        <v>0</v>
      </c>
      <c r="AK2962">
        <v>0</v>
      </c>
      <c r="AL2962" t="str">
        <f>IF(AA2962="","",IFERROR(IF(ISNUMBER('Procyclean 520'!F464),'Procyclean 520'!F464,IF(ISNUMBER(SEARCH("12",'Procyclean 520'!F464)),EDATE(AB2962,12),IF(ISNUMBER(SEARCH("6",'Procyclean 520'!F464)),EDATE(AB2962,6),IF(ISNUMBER(SEARCH("3",'Procyclean 520'!F464)),EDATE(AB2962,3),DATEVALUE('Procyclean 520'!F464))))),""))</f>
        <v/>
      </c>
      <c r="AM2962" t="str">
        <f t="shared" ca="1" si="298"/>
        <v/>
      </c>
    </row>
    <row r="2963" spans="27:39" x14ac:dyDescent="0.3">
      <c r="AA2963" t="str">
        <f>IF(COUNTA('Procyclean 520'!C465,'Procyclean 520'!D465,'Procyclean 520'!E465)&gt;0,"520","")</f>
        <v/>
      </c>
      <c r="AB2963" t="str">
        <f>IFERROR(IF(ISNUMBER('Procyclean 520'!C465),'Procyclean 520'!C465,DATEVALUE('Procyclean 520'!C465)),"")</f>
        <v/>
      </c>
      <c r="AC2963" t="str">
        <f>IF(AA2963="","",'Procyclean 520'!D465)</f>
        <v/>
      </c>
      <c r="AD2963" t="str">
        <f>IF(AA2963="","",IFERROR(1*'Procyclean 520'!E465,IFERROR(_xludf.NUMBERVALUE('Procyclean 520'!E465,".",","),IFERROR(_xludf.NUMBERVALUE('Procyclean 520'!E465,",","."),0))))</f>
        <v/>
      </c>
      <c r="AE2963" t="str">
        <f>IF(AA2963="","",'Procyclean 520'!B465)</f>
        <v/>
      </c>
      <c r="AF2963">
        <f t="shared" si="293"/>
        <v>0</v>
      </c>
      <c r="AG2963" t="str">
        <f t="shared" si="294"/>
        <v/>
      </c>
      <c r="AH2963" t="str">
        <f t="shared" si="295"/>
        <v/>
      </c>
      <c r="AI2963">
        <f t="shared" si="296"/>
        <v>0</v>
      </c>
      <c r="AJ2963">
        <f t="shared" si="297"/>
        <v>0</v>
      </c>
      <c r="AK2963">
        <v>0</v>
      </c>
      <c r="AL2963" t="str">
        <f>IF(AA2963="","",IFERROR(IF(ISNUMBER('Procyclean 520'!F465),'Procyclean 520'!F465,IF(ISNUMBER(SEARCH("12",'Procyclean 520'!F465)),EDATE(AB2963,12),IF(ISNUMBER(SEARCH("6",'Procyclean 520'!F465)),EDATE(AB2963,6),IF(ISNUMBER(SEARCH("3",'Procyclean 520'!F465)),EDATE(AB2963,3),DATEVALUE('Procyclean 520'!F465))))),""))</f>
        <v/>
      </c>
      <c r="AM2963" t="str">
        <f t="shared" ca="1" si="298"/>
        <v/>
      </c>
    </row>
    <row r="2964" spans="27:39" x14ac:dyDescent="0.3">
      <c r="AA2964" t="str">
        <f>IF(COUNTA('Procyclean 520'!C466,'Procyclean 520'!D466,'Procyclean 520'!E466)&gt;0,"520","")</f>
        <v/>
      </c>
      <c r="AB2964" t="str">
        <f>IFERROR(IF(ISNUMBER('Procyclean 520'!C466),'Procyclean 520'!C466,DATEVALUE('Procyclean 520'!C466)),"")</f>
        <v/>
      </c>
      <c r="AC2964" t="str">
        <f>IF(AA2964="","",'Procyclean 520'!D466)</f>
        <v/>
      </c>
      <c r="AD2964" t="str">
        <f>IF(AA2964="","",IFERROR(1*'Procyclean 520'!E466,IFERROR(_xludf.NUMBERVALUE('Procyclean 520'!E466,".",","),IFERROR(_xludf.NUMBERVALUE('Procyclean 520'!E466,",","."),0))))</f>
        <v/>
      </c>
      <c r="AE2964" t="str">
        <f>IF(AA2964="","",'Procyclean 520'!B466)</f>
        <v/>
      </c>
      <c r="AF2964">
        <f t="shared" si="293"/>
        <v>0</v>
      </c>
      <c r="AG2964" t="str">
        <f t="shared" si="294"/>
        <v/>
      </c>
      <c r="AH2964" t="str">
        <f t="shared" si="295"/>
        <v/>
      </c>
      <c r="AI2964">
        <f t="shared" si="296"/>
        <v>0</v>
      </c>
      <c r="AJ2964">
        <f t="shared" si="297"/>
        <v>0</v>
      </c>
      <c r="AK2964">
        <v>0</v>
      </c>
      <c r="AL2964" t="str">
        <f>IF(AA2964="","",IFERROR(IF(ISNUMBER('Procyclean 520'!F466),'Procyclean 520'!F466,IF(ISNUMBER(SEARCH("12",'Procyclean 520'!F466)),EDATE(AB2964,12),IF(ISNUMBER(SEARCH("6",'Procyclean 520'!F466)),EDATE(AB2964,6),IF(ISNUMBER(SEARCH("3",'Procyclean 520'!F466)),EDATE(AB2964,3),DATEVALUE('Procyclean 520'!F466))))),""))</f>
        <v/>
      </c>
      <c r="AM2964" t="str">
        <f t="shared" ca="1" si="298"/>
        <v/>
      </c>
    </row>
    <row r="2965" spans="27:39" x14ac:dyDescent="0.3">
      <c r="AA2965" t="str">
        <f>IF(COUNTA('Procyclean 520'!C467,'Procyclean 520'!D467,'Procyclean 520'!E467)&gt;0,"520","")</f>
        <v/>
      </c>
      <c r="AB2965" t="str">
        <f>IFERROR(IF(ISNUMBER('Procyclean 520'!C467),'Procyclean 520'!C467,DATEVALUE('Procyclean 520'!C467)),"")</f>
        <v/>
      </c>
      <c r="AC2965" t="str">
        <f>IF(AA2965="","",'Procyclean 520'!D467)</f>
        <v/>
      </c>
      <c r="AD2965" t="str">
        <f>IF(AA2965="","",IFERROR(1*'Procyclean 520'!E467,IFERROR(_xludf.NUMBERVALUE('Procyclean 520'!E467,".",","),IFERROR(_xludf.NUMBERVALUE('Procyclean 520'!E467,",","."),0))))</f>
        <v/>
      </c>
      <c r="AE2965" t="str">
        <f>IF(AA2965="","",'Procyclean 520'!B467)</f>
        <v/>
      </c>
      <c r="AF2965">
        <f t="shared" si="293"/>
        <v>0</v>
      </c>
      <c r="AG2965" t="str">
        <f t="shared" si="294"/>
        <v/>
      </c>
      <c r="AH2965" t="str">
        <f t="shared" si="295"/>
        <v/>
      </c>
      <c r="AI2965">
        <f t="shared" si="296"/>
        <v>0</v>
      </c>
      <c r="AJ2965">
        <f t="shared" si="297"/>
        <v>0</v>
      </c>
      <c r="AK2965">
        <v>0</v>
      </c>
      <c r="AL2965" t="str">
        <f>IF(AA2965="","",IFERROR(IF(ISNUMBER('Procyclean 520'!F467),'Procyclean 520'!F467,IF(ISNUMBER(SEARCH("12",'Procyclean 520'!F467)),EDATE(AB2965,12),IF(ISNUMBER(SEARCH("6",'Procyclean 520'!F467)),EDATE(AB2965,6),IF(ISNUMBER(SEARCH("3",'Procyclean 520'!F467)),EDATE(AB2965,3),DATEVALUE('Procyclean 520'!F467))))),""))</f>
        <v/>
      </c>
      <c r="AM2965" t="str">
        <f t="shared" ca="1" si="298"/>
        <v/>
      </c>
    </row>
    <row r="2966" spans="27:39" x14ac:dyDescent="0.3">
      <c r="AA2966" t="str">
        <f>IF(COUNTA('Procyclean 520'!C468,'Procyclean 520'!D468,'Procyclean 520'!E468)&gt;0,"520","")</f>
        <v/>
      </c>
      <c r="AB2966" t="str">
        <f>IFERROR(IF(ISNUMBER('Procyclean 520'!C468),'Procyclean 520'!C468,DATEVALUE('Procyclean 520'!C468)),"")</f>
        <v/>
      </c>
      <c r="AC2966" t="str">
        <f>IF(AA2966="","",'Procyclean 520'!D468)</f>
        <v/>
      </c>
      <c r="AD2966" t="str">
        <f>IF(AA2966="","",IFERROR(1*'Procyclean 520'!E468,IFERROR(_xludf.NUMBERVALUE('Procyclean 520'!E468,".",","),IFERROR(_xludf.NUMBERVALUE('Procyclean 520'!E468,",","."),0))))</f>
        <v/>
      </c>
      <c r="AE2966" t="str">
        <f>IF(AA2966="","",'Procyclean 520'!B468)</f>
        <v/>
      </c>
      <c r="AF2966">
        <f t="shared" si="293"/>
        <v>0</v>
      </c>
      <c r="AG2966" t="str">
        <f t="shared" si="294"/>
        <v/>
      </c>
      <c r="AH2966" t="str">
        <f t="shared" si="295"/>
        <v/>
      </c>
      <c r="AI2966">
        <f t="shared" si="296"/>
        <v>0</v>
      </c>
      <c r="AJ2966">
        <f t="shared" si="297"/>
        <v>0</v>
      </c>
      <c r="AK2966">
        <v>0</v>
      </c>
      <c r="AL2966" t="str">
        <f>IF(AA2966="","",IFERROR(IF(ISNUMBER('Procyclean 520'!F468),'Procyclean 520'!F468,IF(ISNUMBER(SEARCH("12",'Procyclean 520'!F468)),EDATE(AB2966,12),IF(ISNUMBER(SEARCH("6",'Procyclean 520'!F468)),EDATE(AB2966,6),IF(ISNUMBER(SEARCH("3",'Procyclean 520'!F468)),EDATE(AB2966,3),DATEVALUE('Procyclean 520'!F468))))),""))</f>
        <v/>
      </c>
      <c r="AM2966" t="str">
        <f t="shared" ca="1" si="298"/>
        <v/>
      </c>
    </row>
    <row r="2967" spans="27:39" x14ac:dyDescent="0.3">
      <c r="AA2967" t="str">
        <f>IF(COUNTA('Procyclean 520'!C469,'Procyclean 520'!D469,'Procyclean 520'!E469)&gt;0,"520","")</f>
        <v/>
      </c>
      <c r="AB2967" t="str">
        <f>IFERROR(IF(ISNUMBER('Procyclean 520'!C469),'Procyclean 520'!C469,DATEVALUE('Procyclean 520'!C469)),"")</f>
        <v/>
      </c>
      <c r="AC2967" t="str">
        <f>IF(AA2967="","",'Procyclean 520'!D469)</f>
        <v/>
      </c>
      <c r="AD2967" t="str">
        <f>IF(AA2967="","",IFERROR(1*'Procyclean 520'!E469,IFERROR(_xludf.NUMBERVALUE('Procyclean 520'!E469,".",","),IFERROR(_xludf.NUMBERVALUE('Procyclean 520'!E469,",","."),0))))</f>
        <v/>
      </c>
      <c r="AE2967" t="str">
        <f>IF(AA2967="","",'Procyclean 520'!B469)</f>
        <v/>
      </c>
      <c r="AF2967">
        <f t="shared" si="293"/>
        <v>0</v>
      </c>
      <c r="AG2967" t="str">
        <f t="shared" si="294"/>
        <v/>
      </c>
      <c r="AH2967" t="str">
        <f t="shared" si="295"/>
        <v/>
      </c>
      <c r="AI2967">
        <f t="shared" si="296"/>
        <v>0</v>
      </c>
      <c r="AJ2967">
        <f t="shared" si="297"/>
        <v>0</v>
      </c>
      <c r="AK2967">
        <v>0</v>
      </c>
      <c r="AL2967" t="str">
        <f>IF(AA2967="","",IFERROR(IF(ISNUMBER('Procyclean 520'!F469),'Procyclean 520'!F469,IF(ISNUMBER(SEARCH("12",'Procyclean 520'!F469)),EDATE(AB2967,12),IF(ISNUMBER(SEARCH("6",'Procyclean 520'!F469)),EDATE(AB2967,6),IF(ISNUMBER(SEARCH("3",'Procyclean 520'!F469)),EDATE(AB2967,3),DATEVALUE('Procyclean 520'!F469))))),""))</f>
        <v/>
      </c>
      <c r="AM2967" t="str">
        <f t="shared" ca="1" si="298"/>
        <v/>
      </c>
    </row>
    <row r="2968" spans="27:39" x14ac:dyDescent="0.3">
      <c r="AA2968" t="str">
        <f>IF(COUNTA('Procyclean 520'!C470,'Procyclean 520'!D470,'Procyclean 520'!E470)&gt;0,"520","")</f>
        <v/>
      </c>
      <c r="AB2968" t="str">
        <f>IFERROR(IF(ISNUMBER('Procyclean 520'!C470),'Procyclean 520'!C470,DATEVALUE('Procyclean 520'!C470)),"")</f>
        <v/>
      </c>
      <c r="AC2968" t="str">
        <f>IF(AA2968="","",'Procyclean 520'!D470)</f>
        <v/>
      </c>
      <c r="AD2968" t="str">
        <f>IF(AA2968="","",IFERROR(1*'Procyclean 520'!E470,IFERROR(_xludf.NUMBERVALUE('Procyclean 520'!E470,".",","),IFERROR(_xludf.NUMBERVALUE('Procyclean 520'!E470,",","."),0))))</f>
        <v/>
      </c>
      <c r="AE2968" t="str">
        <f>IF(AA2968="","",'Procyclean 520'!B470)</f>
        <v/>
      </c>
      <c r="AF2968">
        <f t="shared" si="293"/>
        <v>0</v>
      </c>
      <c r="AG2968" t="str">
        <f t="shared" si="294"/>
        <v/>
      </c>
      <c r="AH2968" t="str">
        <f t="shared" si="295"/>
        <v/>
      </c>
      <c r="AI2968">
        <f t="shared" si="296"/>
        <v>0</v>
      </c>
      <c r="AJ2968">
        <f t="shared" si="297"/>
        <v>0</v>
      </c>
      <c r="AK2968">
        <v>0</v>
      </c>
      <c r="AL2968" t="str">
        <f>IF(AA2968="","",IFERROR(IF(ISNUMBER('Procyclean 520'!F470),'Procyclean 520'!F470,IF(ISNUMBER(SEARCH("12",'Procyclean 520'!F470)),EDATE(AB2968,12),IF(ISNUMBER(SEARCH("6",'Procyclean 520'!F470)),EDATE(AB2968,6),IF(ISNUMBER(SEARCH("3",'Procyclean 520'!F470)),EDATE(AB2968,3),DATEVALUE('Procyclean 520'!F470))))),""))</f>
        <v/>
      </c>
      <c r="AM2968" t="str">
        <f t="shared" ca="1" si="298"/>
        <v/>
      </c>
    </row>
    <row r="2969" spans="27:39" x14ac:dyDescent="0.3">
      <c r="AA2969" t="str">
        <f>IF(COUNTA('Procyclean 520'!C471,'Procyclean 520'!D471,'Procyclean 520'!E471)&gt;0,"520","")</f>
        <v/>
      </c>
      <c r="AB2969" t="str">
        <f>IFERROR(IF(ISNUMBER('Procyclean 520'!C471),'Procyclean 520'!C471,DATEVALUE('Procyclean 520'!C471)),"")</f>
        <v/>
      </c>
      <c r="AC2969" t="str">
        <f>IF(AA2969="","",'Procyclean 520'!D471)</f>
        <v/>
      </c>
      <c r="AD2969" t="str">
        <f>IF(AA2969="","",IFERROR(1*'Procyclean 520'!E471,IFERROR(_xludf.NUMBERVALUE('Procyclean 520'!E471,".",","),IFERROR(_xludf.NUMBERVALUE('Procyclean 520'!E471,",","."),0))))</f>
        <v/>
      </c>
      <c r="AE2969" t="str">
        <f>IF(AA2969="","",'Procyclean 520'!B471)</f>
        <v/>
      </c>
      <c r="AF2969">
        <f t="shared" si="293"/>
        <v>0</v>
      </c>
      <c r="AG2969" t="str">
        <f t="shared" si="294"/>
        <v/>
      </c>
      <c r="AH2969" t="str">
        <f t="shared" si="295"/>
        <v/>
      </c>
      <c r="AI2969">
        <f t="shared" si="296"/>
        <v>0</v>
      </c>
      <c r="AJ2969">
        <f t="shared" si="297"/>
        <v>0</v>
      </c>
      <c r="AK2969">
        <v>0</v>
      </c>
      <c r="AL2969" t="str">
        <f>IF(AA2969="","",IFERROR(IF(ISNUMBER('Procyclean 520'!F471),'Procyclean 520'!F471,IF(ISNUMBER(SEARCH("12",'Procyclean 520'!F471)),EDATE(AB2969,12),IF(ISNUMBER(SEARCH("6",'Procyclean 520'!F471)),EDATE(AB2969,6),IF(ISNUMBER(SEARCH("3",'Procyclean 520'!F471)),EDATE(AB2969,3),DATEVALUE('Procyclean 520'!F471))))),""))</f>
        <v/>
      </c>
      <c r="AM2969" t="str">
        <f t="shared" ca="1" si="298"/>
        <v/>
      </c>
    </row>
    <row r="2970" spans="27:39" x14ac:dyDescent="0.3">
      <c r="AA2970" t="str">
        <f>IF(COUNTA('Procyclean 520'!C472,'Procyclean 520'!D472,'Procyclean 520'!E472)&gt;0,"520","")</f>
        <v/>
      </c>
      <c r="AB2970" t="str">
        <f>IFERROR(IF(ISNUMBER('Procyclean 520'!C472),'Procyclean 520'!C472,DATEVALUE('Procyclean 520'!C472)),"")</f>
        <v/>
      </c>
      <c r="AC2970" t="str">
        <f>IF(AA2970="","",'Procyclean 520'!D472)</f>
        <v/>
      </c>
      <c r="AD2970" t="str">
        <f>IF(AA2970="","",IFERROR(1*'Procyclean 520'!E472,IFERROR(_xludf.NUMBERVALUE('Procyclean 520'!E472,".",","),IFERROR(_xludf.NUMBERVALUE('Procyclean 520'!E472,",","."),0))))</f>
        <v/>
      </c>
      <c r="AE2970" t="str">
        <f>IF(AA2970="","",'Procyclean 520'!B472)</f>
        <v/>
      </c>
      <c r="AF2970">
        <f t="shared" si="293"/>
        <v>0</v>
      </c>
      <c r="AG2970" t="str">
        <f t="shared" si="294"/>
        <v/>
      </c>
      <c r="AH2970" t="str">
        <f t="shared" si="295"/>
        <v/>
      </c>
      <c r="AI2970">
        <f t="shared" si="296"/>
        <v>0</v>
      </c>
      <c r="AJ2970">
        <f t="shared" si="297"/>
        <v>0</v>
      </c>
      <c r="AK2970">
        <v>0</v>
      </c>
      <c r="AL2970" t="str">
        <f>IF(AA2970="","",IFERROR(IF(ISNUMBER('Procyclean 520'!F472),'Procyclean 520'!F472,IF(ISNUMBER(SEARCH("12",'Procyclean 520'!F472)),EDATE(AB2970,12),IF(ISNUMBER(SEARCH("6",'Procyclean 520'!F472)),EDATE(AB2970,6),IF(ISNUMBER(SEARCH("3",'Procyclean 520'!F472)),EDATE(AB2970,3),DATEVALUE('Procyclean 520'!F472))))),""))</f>
        <v/>
      </c>
      <c r="AM2970" t="str">
        <f t="shared" ca="1" si="298"/>
        <v/>
      </c>
    </row>
    <row r="2971" spans="27:39" x14ac:dyDescent="0.3">
      <c r="AA2971" t="str">
        <f>IF(COUNTA('Procyclean 520'!C473,'Procyclean 520'!D473,'Procyclean 520'!E473)&gt;0,"520","")</f>
        <v/>
      </c>
      <c r="AB2971" t="str">
        <f>IFERROR(IF(ISNUMBER('Procyclean 520'!C473),'Procyclean 520'!C473,DATEVALUE('Procyclean 520'!C473)),"")</f>
        <v/>
      </c>
      <c r="AC2971" t="str">
        <f>IF(AA2971="","",'Procyclean 520'!D473)</f>
        <v/>
      </c>
      <c r="AD2971" t="str">
        <f>IF(AA2971="","",IFERROR(1*'Procyclean 520'!E473,IFERROR(_xludf.NUMBERVALUE('Procyclean 520'!E473,".",","),IFERROR(_xludf.NUMBERVALUE('Procyclean 520'!E473,",","."),0))))</f>
        <v/>
      </c>
      <c r="AE2971" t="str">
        <f>IF(AA2971="","",'Procyclean 520'!B473)</f>
        <v/>
      </c>
      <c r="AF2971">
        <f t="shared" si="293"/>
        <v>0</v>
      </c>
      <c r="AG2971" t="str">
        <f t="shared" si="294"/>
        <v/>
      </c>
      <c r="AH2971" t="str">
        <f t="shared" si="295"/>
        <v/>
      </c>
      <c r="AI2971">
        <f t="shared" si="296"/>
        <v>0</v>
      </c>
      <c r="AJ2971">
        <f t="shared" si="297"/>
        <v>0</v>
      </c>
      <c r="AK2971">
        <v>0</v>
      </c>
      <c r="AL2971" t="str">
        <f>IF(AA2971="","",IFERROR(IF(ISNUMBER('Procyclean 520'!F473),'Procyclean 520'!F473,IF(ISNUMBER(SEARCH("12",'Procyclean 520'!F473)),EDATE(AB2971,12),IF(ISNUMBER(SEARCH("6",'Procyclean 520'!F473)),EDATE(AB2971,6),IF(ISNUMBER(SEARCH("3",'Procyclean 520'!F473)),EDATE(AB2971,3),DATEVALUE('Procyclean 520'!F473))))),""))</f>
        <v/>
      </c>
      <c r="AM2971" t="str">
        <f t="shared" ca="1" si="298"/>
        <v/>
      </c>
    </row>
    <row r="2972" spans="27:39" x14ac:dyDescent="0.3">
      <c r="AA2972" t="str">
        <f>IF(COUNTA('Procyclean 520'!C474,'Procyclean 520'!D474,'Procyclean 520'!E474)&gt;0,"520","")</f>
        <v/>
      </c>
      <c r="AB2972" t="str">
        <f>IFERROR(IF(ISNUMBER('Procyclean 520'!C474),'Procyclean 520'!C474,DATEVALUE('Procyclean 520'!C474)),"")</f>
        <v/>
      </c>
      <c r="AC2972" t="str">
        <f>IF(AA2972="","",'Procyclean 520'!D474)</f>
        <v/>
      </c>
      <c r="AD2972" t="str">
        <f>IF(AA2972="","",IFERROR(1*'Procyclean 520'!E474,IFERROR(_xludf.NUMBERVALUE('Procyclean 520'!E474,".",","),IFERROR(_xludf.NUMBERVALUE('Procyclean 520'!E474,",","."),0))))</f>
        <v/>
      </c>
      <c r="AE2972" t="str">
        <f>IF(AA2972="","",'Procyclean 520'!B474)</f>
        <v/>
      </c>
      <c r="AF2972">
        <f t="shared" si="293"/>
        <v>0</v>
      </c>
      <c r="AG2972" t="str">
        <f t="shared" si="294"/>
        <v/>
      </c>
      <c r="AH2972" t="str">
        <f t="shared" si="295"/>
        <v/>
      </c>
      <c r="AI2972">
        <f t="shared" si="296"/>
        <v>0</v>
      </c>
      <c r="AJ2972">
        <f t="shared" si="297"/>
        <v>0</v>
      </c>
      <c r="AK2972">
        <v>0</v>
      </c>
      <c r="AL2972" t="str">
        <f>IF(AA2972="","",IFERROR(IF(ISNUMBER('Procyclean 520'!F474),'Procyclean 520'!F474,IF(ISNUMBER(SEARCH("12",'Procyclean 520'!F474)),EDATE(AB2972,12),IF(ISNUMBER(SEARCH("6",'Procyclean 520'!F474)),EDATE(AB2972,6),IF(ISNUMBER(SEARCH("3",'Procyclean 520'!F474)),EDATE(AB2972,3),DATEVALUE('Procyclean 520'!F474))))),""))</f>
        <v/>
      </c>
      <c r="AM2972" t="str">
        <f t="shared" ca="1" si="298"/>
        <v/>
      </c>
    </row>
    <row r="2973" spans="27:39" x14ac:dyDescent="0.3">
      <c r="AA2973" t="str">
        <f>IF(COUNTA('Procyclean 520'!C475,'Procyclean 520'!D475,'Procyclean 520'!E475)&gt;0,"520","")</f>
        <v/>
      </c>
      <c r="AB2973" t="str">
        <f>IFERROR(IF(ISNUMBER('Procyclean 520'!C475),'Procyclean 520'!C475,DATEVALUE('Procyclean 520'!C475)),"")</f>
        <v/>
      </c>
      <c r="AC2973" t="str">
        <f>IF(AA2973="","",'Procyclean 520'!D475)</f>
        <v/>
      </c>
      <c r="AD2973" t="str">
        <f>IF(AA2973="","",IFERROR(1*'Procyclean 520'!E475,IFERROR(_xludf.NUMBERVALUE('Procyclean 520'!E475,".",","),IFERROR(_xludf.NUMBERVALUE('Procyclean 520'!E475,",","."),0))))</f>
        <v/>
      </c>
      <c r="AE2973" t="str">
        <f>IF(AA2973="","",'Procyclean 520'!B475)</f>
        <v/>
      </c>
      <c r="AF2973">
        <f t="shared" si="293"/>
        <v>0</v>
      </c>
      <c r="AG2973" t="str">
        <f t="shared" si="294"/>
        <v/>
      </c>
      <c r="AH2973" t="str">
        <f t="shared" si="295"/>
        <v/>
      </c>
      <c r="AI2973">
        <f t="shared" si="296"/>
        <v>0</v>
      </c>
      <c r="AJ2973">
        <f t="shared" si="297"/>
        <v>0</v>
      </c>
      <c r="AK2973">
        <v>0</v>
      </c>
      <c r="AL2973" t="str">
        <f>IF(AA2973="","",IFERROR(IF(ISNUMBER('Procyclean 520'!F475),'Procyclean 520'!F475,IF(ISNUMBER(SEARCH("12",'Procyclean 520'!F475)),EDATE(AB2973,12),IF(ISNUMBER(SEARCH("6",'Procyclean 520'!F475)),EDATE(AB2973,6),IF(ISNUMBER(SEARCH("3",'Procyclean 520'!F475)),EDATE(AB2973,3),DATEVALUE('Procyclean 520'!F475))))),""))</f>
        <v/>
      </c>
      <c r="AM2973" t="str">
        <f t="shared" ca="1" si="298"/>
        <v/>
      </c>
    </row>
    <row r="2974" spans="27:39" x14ac:dyDescent="0.3">
      <c r="AA2974" t="str">
        <f>IF(COUNTA('Procyclean 520'!C476,'Procyclean 520'!D476,'Procyclean 520'!E476)&gt;0,"520","")</f>
        <v/>
      </c>
      <c r="AB2974" t="str">
        <f>IFERROR(IF(ISNUMBER('Procyclean 520'!C476),'Procyclean 520'!C476,DATEVALUE('Procyclean 520'!C476)),"")</f>
        <v/>
      </c>
      <c r="AC2974" t="str">
        <f>IF(AA2974="","",'Procyclean 520'!D476)</f>
        <v/>
      </c>
      <c r="AD2974" t="str">
        <f>IF(AA2974="","",IFERROR(1*'Procyclean 520'!E476,IFERROR(_xludf.NUMBERVALUE('Procyclean 520'!E476,".",","),IFERROR(_xludf.NUMBERVALUE('Procyclean 520'!E476,",","."),0))))</f>
        <v/>
      </c>
      <c r="AE2974" t="str">
        <f>IF(AA2974="","",'Procyclean 520'!B476)</f>
        <v/>
      </c>
      <c r="AF2974">
        <f t="shared" si="293"/>
        <v>0</v>
      </c>
      <c r="AG2974" t="str">
        <f t="shared" si="294"/>
        <v/>
      </c>
      <c r="AH2974" t="str">
        <f t="shared" si="295"/>
        <v/>
      </c>
      <c r="AI2974">
        <f t="shared" si="296"/>
        <v>0</v>
      </c>
      <c r="AJ2974">
        <f t="shared" si="297"/>
        <v>0</v>
      </c>
      <c r="AK2974">
        <v>0</v>
      </c>
      <c r="AL2974" t="str">
        <f>IF(AA2974="","",IFERROR(IF(ISNUMBER('Procyclean 520'!F476),'Procyclean 520'!F476,IF(ISNUMBER(SEARCH("12",'Procyclean 520'!F476)),EDATE(AB2974,12),IF(ISNUMBER(SEARCH("6",'Procyclean 520'!F476)),EDATE(AB2974,6),IF(ISNUMBER(SEARCH("3",'Procyclean 520'!F476)),EDATE(AB2974,3),DATEVALUE('Procyclean 520'!F476))))),""))</f>
        <v/>
      </c>
      <c r="AM2974" t="str">
        <f t="shared" ca="1" si="298"/>
        <v/>
      </c>
    </row>
    <row r="2975" spans="27:39" x14ac:dyDescent="0.3">
      <c r="AA2975" t="str">
        <f>IF(COUNTA('Procyclean 520'!C477,'Procyclean 520'!D477,'Procyclean 520'!E477)&gt;0,"520","")</f>
        <v/>
      </c>
      <c r="AB2975" t="str">
        <f>IFERROR(IF(ISNUMBER('Procyclean 520'!C477),'Procyclean 520'!C477,DATEVALUE('Procyclean 520'!C477)),"")</f>
        <v/>
      </c>
      <c r="AC2975" t="str">
        <f>IF(AA2975="","",'Procyclean 520'!D477)</f>
        <v/>
      </c>
      <c r="AD2975" t="str">
        <f>IF(AA2975="","",IFERROR(1*'Procyclean 520'!E477,IFERROR(_xludf.NUMBERVALUE('Procyclean 520'!E477,".",","),IFERROR(_xludf.NUMBERVALUE('Procyclean 520'!E477,",","."),0))))</f>
        <v/>
      </c>
      <c r="AE2975" t="str">
        <f>IF(AA2975="","",'Procyclean 520'!B477)</f>
        <v/>
      </c>
      <c r="AF2975">
        <f t="shared" si="293"/>
        <v>0</v>
      </c>
      <c r="AG2975" t="str">
        <f t="shared" si="294"/>
        <v/>
      </c>
      <c r="AH2975" t="str">
        <f t="shared" si="295"/>
        <v/>
      </c>
      <c r="AI2975">
        <f t="shared" si="296"/>
        <v>0</v>
      </c>
      <c r="AJ2975">
        <f t="shared" si="297"/>
        <v>0</v>
      </c>
      <c r="AK2975">
        <v>0</v>
      </c>
      <c r="AL2975" t="str">
        <f>IF(AA2975="","",IFERROR(IF(ISNUMBER('Procyclean 520'!F477),'Procyclean 520'!F477,IF(ISNUMBER(SEARCH("12",'Procyclean 520'!F477)),EDATE(AB2975,12),IF(ISNUMBER(SEARCH("6",'Procyclean 520'!F477)),EDATE(AB2975,6),IF(ISNUMBER(SEARCH("3",'Procyclean 520'!F477)),EDATE(AB2975,3),DATEVALUE('Procyclean 520'!F477))))),""))</f>
        <v/>
      </c>
      <c r="AM2975" t="str">
        <f t="shared" ca="1" si="298"/>
        <v/>
      </c>
    </row>
    <row r="2976" spans="27:39" x14ac:dyDescent="0.3">
      <c r="AA2976" t="str">
        <f>IF(COUNTA('Procyclean 520'!C478,'Procyclean 520'!D478,'Procyclean 520'!E478)&gt;0,"520","")</f>
        <v/>
      </c>
      <c r="AB2976" t="str">
        <f>IFERROR(IF(ISNUMBER('Procyclean 520'!C478),'Procyclean 520'!C478,DATEVALUE('Procyclean 520'!C478)),"")</f>
        <v/>
      </c>
      <c r="AC2976" t="str">
        <f>IF(AA2976="","",'Procyclean 520'!D478)</f>
        <v/>
      </c>
      <c r="AD2976" t="str">
        <f>IF(AA2976="","",IFERROR(1*'Procyclean 520'!E478,IFERROR(_xludf.NUMBERVALUE('Procyclean 520'!E478,".",","),IFERROR(_xludf.NUMBERVALUE('Procyclean 520'!E478,",","."),0))))</f>
        <v/>
      </c>
      <c r="AE2976" t="str">
        <f>IF(AA2976="","",'Procyclean 520'!B478)</f>
        <v/>
      </c>
      <c r="AF2976">
        <f t="shared" si="293"/>
        <v>0</v>
      </c>
      <c r="AG2976" t="str">
        <f t="shared" si="294"/>
        <v/>
      </c>
      <c r="AH2976" t="str">
        <f t="shared" si="295"/>
        <v/>
      </c>
      <c r="AI2976">
        <f t="shared" si="296"/>
        <v>0</v>
      </c>
      <c r="AJ2976">
        <f t="shared" si="297"/>
        <v>0</v>
      </c>
      <c r="AK2976">
        <v>0</v>
      </c>
      <c r="AL2976" t="str">
        <f>IF(AA2976="","",IFERROR(IF(ISNUMBER('Procyclean 520'!F478),'Procyclean 520'!F478,IF(ISNUMBER(SEARCH("12",'Procyclean 520'!F478)),EDATE(AB2976,12),IF(ISNUMBER(SEARCH("6",'Procyclean 520'!F478)),EDATE(AB2976,6),IF(ISNUMBER(SEARCH("3",'Procyclean 520'!F478)),EDATE(AB2976,3),DATEVALUE('Procyclean 520'!F478))))),""))</f>
        <v/>
      </c>
      <c r="AM2976" t="str">
        <f t="shared" ca="1" si="298"/>
        <v/>
      </c>
    </row>
    <row r="2977" spans="27:39" x14ac:dyDescent="0.3">
      <c r="AA2977" t="str">
        <f>IF(COUNTA('Procyclean 520'!C479,'Procyclean 520'!D479,'Procyclean 520'!E479)&gt;0,"520","")</f>
        <v/>
      </c>
      <c r="AB2977" t="str">
        <f>IFERROR(IF(ISNUMBER('Procyclean 520'!C479),'Procyclean 520'!C479,DATEVALUE('Procyclean 520'!C479)),"")</f>
        <v/>
      </c>
      <c r="AC2977" t="str">
        <f>IF(AA2977="","",'Procyclean 520'!D479)</f>
        <v/>
      </c>
      <c r="AD2977" t="str">
        <f>IF(AA2977="","",IFERROR(1*'Procyclean 520'!E479,IFERROR(_xludf.NUMBERVALUE('Procyclean 520'!E479,".",","),IFERROR(_xludf.NUMBERVALUE('Procyclean 520'!E479,",","."),0))))</f>
        <v/>
      </c>
      <c r="AE2977" t="str">
        <f>IF(AA2977="","",'Procyclean 520'!B479)</f>
        <v/>
      </c>
      <c r="AF2977">
        <f t="shared" si="293"/>
        <v>0</v>
      </c>
      <c r="AG2977" t="str">
        <f t="shared" si="294"/>
        <v/>
      </c>
      <c r="AH2977" t="str">
        <f t="shared" si="295"/>
        <v/>
      </c>
      <c r="AI2977">
        <f t="shared" si="296"/>
        <v>0</v>
      </c>
      <c r="AJ2977">
        <f t="shared" si="297"/>
        <v>0</v>
      </c>
      <c r="AK2977">
        <v>0</v>
      </c>
      <c r="AL2977" t="str">
        <f>IF(AA2977="","",IFERROR(IF(ISNUMBER('Procyclean 520'!F479),'Procyclean 520'!F479,IF(ISNUMBER(SEARCH("12",'Procyclean 520'!F479)),EDATE(AB2977,12),IF(ISNUMBER(SEARCH("6",'Procyclean 520'!F479)),EDATE(AB2977,6),IF(ISNUMBER(SEARCH("3",'Procyclean 520'!F479)),EDATE(AB2977,3),DATEVALUE('Procyclean 520'!F479))))),""))</f>
        <v/>
      </c>
      <c r="AM2977" t="str">
        <f t="shared" ca="1" si="298"/>
        <v/>
      </c>
    </row>
    <row r="2978" spans="27:39" x14ac:dyDescent="0.3">
      <c r="AA2978" t="str">
        <f>IF(COUNTA('Procyclean 520'!C480,'Procyclean 520'!D480,'Procyclean 520'!E480)&gt;0,"520","")</f>
        <v/>
      </c>
      <c r="AB2978" t="str">
        <f>IFERROR(IF(ISNUMBER('Procyclean 520'!C480),'Procyclean 520'!C480,DATEVALUE('Procyclean 520'!C480)),"")</f>
        <v/>
      </c>
      <c r="AC2978" t="str">
        <f>IF(AA2978="","",'Procyclean 520'!D480)</f>
        <v/>
      </c>
      <c r="AD2978" t="str">
        <f>IF(AA2978="","",IFERROR(1*'Procyclean 520'!E480,IFERROR(_xludf.NUMBERVALUE('Procyclean 520'!E480,".",","),IFERROR(_xludf.NUMBERVALUE('Procyclean 520'!E480,",","."),0))))</f>
        <v/>
      </c>
      <c r="AE2978" t="str">
        <f>IF(AA2978="","",'Procyclean 520'!B480)</f>
        <v/>
      </c>
      <c r="AF2978">
        <f t="shared" si="293"/>
        <v>0</v>
      </c>
      <c r="AG2978" t="str">
        <f t="shared" si="294"/>
        <v/>
      </c>
      <c r="AH2978" t="str">
        <f t="shared" si="295"/>
        <v/>
      </c>
      <c r="AI2978">
        <f t="shared" si="296"/>
        <v>0</v>
      </c>
      <c r="AJ2978">
        <f t="shared" si="297"/>
        <v>0</v>
      </c>
      <c r="AK2978">
        <v>0</v>
      </c>
      <c r="AL2978" t="str">
        <f>IF(AA2978="","",IFERROR(IF(ISNUMBER('Procyclean 520'!F480),'Procyclean 520'!F480,IF(ISNUMBER(SEARCH("12",'Procyclean 520'!F480)),EDATE(AB2978,12),IF(ISNUMBER(SEARCH("6",'Procyclean 520'!F480)),EDATE(AB2978,6),IF(ISNUMBER(SEARCH("3",'Procyclean 520'!F480)),EDATE(AB2978,3),DATEVALUE('Procyclean 520'!F480))))),""))</f>
        <v/>
      </c>
      <c r="AM2978" t="str">
        <f t="shared" ca="1" si="298"/>
        <v/>
      </c>
    </row>
    <row r="2979" spans="27:39" x14ac:dyDescent="0.3">
      <c r="AA2979" t="str">
        <f>IF(COUNTA('Procyclean 520'!C481,'Procyclean 520'!D481,'Procyclean 520'!E481)&gt;0,"520","")</f>
        <v/>
      </c>
      <c r="AB2979" t="str">
        <f>IFERROR(IF(ISNUMBER('Procyclean 520'!C481),'Procyclean 520'!C481,DATEVALUE('Procyclean 520'!C481)),"")</f>
        <v/>
      </c>
      <c r="AC2979" t="str">
        <f>IF(AA2979="","",'Procyclean 520'!D481)</f>
        <v/>
      </c>
      <c r="AD2979" t="str">
        <f>IF(AA2979="","",IFERROR(1*'Procyclean 520'!E481,IFERROR(_xludf.NUMBERVALUE('Procyclean 520'!E481,".",","),IFERROR(_xludf.NUMBERVALUE('Procyclean 520'!E481,",","."),0))))</f>
        <v/>
      </c>
      <c r="AE2979" t="str">
        <f>IF(AA2979="","",'Procyclean 520'!B481)</f>
        <v/>
      </c>
      <c r="AF2979">
        <f t="shared" si="293"/>
        <v>0</v>
      </c>
      <c r="AG2979" t="str">
        <f t="shared" si="294"/>
        <v/>
      </c>
      <c r="AH2979" t="str">
        <f t="shared" si="295"/>
        <v/>
      </c>
      <c r="AI2979">
        <f t="shared" si="296"/>
        <v>0</v>
      </c>
      <c r="AJ2979">
        <f t="shared" si="297"/>
        <v>0</v>
      </c>
      <c r="AK2979">
        <v>0</v>
      </c>
      <c r="AL2979" t="str">
        <f>IF(AA2979="","",IFERROR(IF(ISNUMBER('Procyclean 520'!F481),'Procyclean 520'!F481,IF(ISNUMBER(SEARCH("12",'Procyclean 520'!F481)),EDATE(AB2979,12),IF(ISNUMBER(SEARCH("6",'Procyclean 520'!F481)),EDATE(AB2979,6),IF(ISNUMBER(SEARCH("3",'Procyclean 520'!F481)),EDATE(AB2979,3),DATEVALUE('Procyclean 520'!F481))))),""))</f>
        <v/>
      </c>
      <c r="AM2979" t="str">
        <f t="shared" ca="1" si="298"/>
        <v/>
      </c>
    </row>
    <row r="2980" spans="27:39" x14ac:dyDescent="0.3">
      <c r="AA2980" t="str">
        <f>IF(COUNTA('Procyclean 520'!C482,'Procyclean 520'!D482,'Procyclean 520'!E482)&gt;0,"520","")</f>
        <v/>
      </c>
      <c r="AB2980" t="str">
        <f>IFERROR(IF(ISNUMBER('Procyclean 520'!C482),'Procyclean 520'!C482,DATEVALUE('Procyclean 520'!C482)),"")</f>
        <v/>
      </c>
      <c r="AC2980" t="str">
        <f>IF(AA2980="","",'Procyclean 520'!D482)</f>
        <v/>
      </c>
      <c r="AD2980" t="str">
        <f>IF(AA2980="","",IFERROR(1*'Procyclean 520'!E482,IFERROR(_xludf.NUMBERVALUE('Procyclean 520'!E482,".",","),IFERROR(_xludf.NUMBERVALUE('Procyclean 520'!E482,",","."),0))))</f>
        <v/>
      </c>
      <c r="AE2980" t="str">
        <f>IF(AA2980="","",'Procyclean 520'!B482)</f>
        <v/>
      </c>
      <c r="AF2980">
        <f t="shared" si="293"/>
        <v>0</v>
      </c>
      <c r="AG2980" t="str">
        <f t="shared" si="294"/>
        <v/>
      </c>
      <c r="AH2980" t="str">
        <f t="shared" si="295"/>
        <v/>
      </c>
      <c r="AI2980">
        <f t="shared" si="296"/>
        <v>0</v>
      </c>
      <c r="AJ2980">
        <f t="shared" si="297"/>
        <v>0</v>
      </c>
      <c r="AK2980">
        <v>0</v>
      </c>
      <c r="AL2980" t="str">
        <f>IF(AA2980="","",IFERROR(IF(ISNUMBER('Procyclean 520'!F482),'Procyclean 520'!F482,IF(ISNUMBER(SEARCH("12",'Procyclean 520'!F482)),EDATE(AB2980,12),IF(ISNUMBER(SEARCH("6",'Procyclean 520'!F482)),EDATE(AB2980,6),IF(ISNUMBER(SEARCH("3",'Procyclean 520'!F482)),EDATE(AB2980,3),DATEVALUE('Procyclean 520'!F482))))),""))</f>
        <v/>
      </c>
      <c r="AM2980" t="str">
        <f t="shared" ca="1" si="298"/>
        <v/>
      </c>
    </row>
    <row r="2981" spans="27:39" x14ac:dyDescent="0.3">
      <c r="AA2981" t="str">
        <f>IF(COUNTA('Procyclean 520'!C483,'Procyclean 520'!D483,'Procyclean 520'!E483)&gt;0,"520","")</f>
        <v/>
      </c>
      <c r="AB2981" t="str">
        <f>IFERROR(IF(ISNUMBER('Procyclean 520'!C483),'Procyclean 520'!C483,DATEVALUE('Procyclean 520'!C483)),"")</f>
        <v/>
      </c>
      <c r="AC2981" t="str">
        <f>IF(AA2981="","",'Procyclean 520'!D483)</f>
        <v/>
      </c>
      <c r="AD2981" t="str">
        <f>IF(AA2981="","",IFERROR(1*'Procyclean 520'!E483,IFERROR(_xludf.NUMBERVALUE('Procyclean 520'!E483,".",","),IFERROR(_xludf.NUMBERVALUE('Procyclean 520'!E483,",","."),0))))</f>
        <v/>
      </c>
      <c r="AE2981" t="str">
        <f>IF(AA2981="","",'Procyclean 520'!B483)</f>
        <v/>
      </c>
      <c r="AF2981">
        <f t="shared" si="293"/>
        <v>0</v>
      </c>
      <c r="AG2981" t="str">
        <f t="shared" si="294"/>
        <v/>
      </c>
      <c r="AH2981" t="str">
        <f t="shared" si="295"/>
        <v/>
      </c>
      <c r="AI2981">
        <f t="shared" si="296"/>
        <v>0</v>
      </c>
      <c r="AJ2981">
        <f t="shared" si="297"/>
        <v>0</v>
      </c>
      <c r="AK2981">
        <v>0</v>
      </c>
      <c r="AL2981" t="str">
        <f>IF(AA2981="","",IFERROR(IF(ISNUMBER('Procyclean 520'!F483),'Procyclean 520'!F483,IF(ISNUMBER(SEARCH("12",'Procyclean 520'!F483)),EDATE(AB2981,12),IF(ISNUMBER(SEARCH("6",'Procyclean 520'!F483)),EDATE(AB2981,6),IF(ISNUMBER(SEARCH("3",'Procyclean 520'!F483)),EDATE(AB2981,3),DATEVALUE('Procyclean 520'!F483))))),""))</f>
        <v/>
      </c>
      <c r="AM2981" t="str">
        <f t="shared" ca="1" si="298"/>
        <v/>
      </c>
    </row>
    <row r="2982" spans="27:39" x14ac:dyDescent="0.3">
      <c r="AA2982" t="str">
        <f>IF(COUNTA('Procyclean 520'!C484,'Procyclean 520'!D484,'Procyclean 520'!E484)&gt;0,"520","")</f>
        <v/>
      </c>
      <c r="AB2982" t="str">
        <f>IFERROR(IF(ISNUMBER('Procyclean 520'!C484),'Procyclean 520'!C484,DATEVALUE('Procyclean 520'!C484)),"")</f>
        <v/>
      </c>
      <c r="AC2982" t="str">
        <f>IF(AA2982="","",'Procyclean 520'!D484)</f>
        <v/>
      </c>
      <c r="AD2982" t="str">
        <f>IF(AA2982="","",IFERROR(1*'Procyclean 520'!E484,IFERROR(_xludf.NUMBERVALUE('Procyclean 520'!E484,".",","),IFERROR(_xludf.NUMBERVALUE('Procyclean 520'!E484,",","."),0))))</f>
        <v/>
      </c>
      <c r="AE2982" t="str">
        <f>IF(AA2982="","",'Procyclean 520'!B484)</f>
        <v/>
      </c>
      <c r="AF2982">
        <f t="shared" si="293"/>
        <v>0</v>
      </c>
      <c r="AG2982" t="str">
        <f t="shared" si="294"/>
        <v/>
      </c>
      <c r="AH2982" t="str">
        <f t="shared" si="295"/>
        <v/>
      </c>
      <c r="AI2982">
        <f t="shared" si="296"/>
        <v>0</v>
      </c>
      <c r="AJ2982">
        <f t="shared" si="297"/>
        <v>0</v>
      </c>
      <c r="AK2982">
        <v>0</v>
      </c>
      <c r="AL2982" t="str">
        <f>IF(AA2982="","",IFERROR(IF(ISNUMBER('Procyclean 520'!F484),'Procyclean 520'!F484,IF(ISNUMBER(SEARCH("12",'Procyclean 520'!F484)),EDATE(AB2982,12),IF(ISNUMBER(SEARCH("6",'Procyclean 520'!F484)),EDATE(AB2982,6),IF(ISNUMBER(SEARCH("3",'Procyclean 520'!F484)),EDATE(AB2982,3),DATEVALUE('Procyclean 520'!F484))))),""))</f>
        <v/>
      </c>
      <c r="AM2982" t="str">
        <f t="shared" ca="1" si="298"/>
        <v/>
      </c>
    </row>
    <row r="2983" spans="27:39" x14ac:dyDescent="0.3">
      <c r="AA2983" t="str">
        <f>IF(COUNTA('Procyclean 520'!C485,'Procyclean 520'!D485,'Procyclean 520'!E485)&gt;0,"520","")</f>
        <v/>
      </c>
      <c r="AB2983" t="str">
        <f>IFERROR(IF(ISNUMBER('Procyclean 520'!C485),'Procyclean 520'!C485,DATEVALUE('Procyclean 520'!C485)),"")</f>
        <v/>
      </c>
      <c r="AC2983" t="str">
        <f>IF(AA2983="","",'Procyclean 520'!D485)</f>
        <v/>
      </c>
      <c r="AD2983" t="str">
        <f>IF(AA2983="","",IFERROR(1*'Procyclean 520'!E485,IFERROR(_xludf.NUMBERVALUE('Procyclean 520'!E485,".",","),IFERROR(_xludf.NUMBERVALUE('Procyclean 520'!E485,",","."),0))))</f>
        <v/>
      </c>
      <c r="AE2983" t="str">
        <f>IF(AA2983="","",'Procyclean 520'!B485)</f>
        <v/>
      </c>
      <c r="AF2983">
        <f t="shared" si="293"/>
        <v>0</v>
      </c>
      <c r="AG2983" t="str">
        <f t="shared" si="294"/>
        <v/>
      </c>
      <c r="AH2983" t="str">
        <f t="shared" si="295"/>
        <v/>
      </c>
      <c r="AI2983">
        <f t="shared" si="296"/>
        <v>0</v>
      </c>
      <c r="AJ2983">
        <f t="shared" si="297"/>
        <v>0</v>
      </c>
      <c r="AK2983">
        <v>0</v>
      </c>
      <c r="AL2983" t="str">
        <f>IF(AA2983="","",IFERROR(IF(ISNUMBER('Procyclean 520'!F485),'Procyclean 520'!F485,IF(ISNUMBER(SEARCH("12",'Procyclean 520'!F485)),EDATE(AB2983,12),IF(ISNUMBER(SEARCH("6",'Procyclean 520'!F485)),EDATE(AB2983,6),IF(ISNUMBER(SEARCH("3",'Procyclean 520'!F485)),EDATE(AB2983,3),DATEVALUE('Procyclean 520'!F485))))),""))</f>
        <v/>
      </c>
      <c r="AM2983" t="str">
        <f t="shared" ca="1" si="298"/>
        <v/>
      </c>
    </row>
    <row r="2984" spans="27:39" x14ac:dyDescent="0.3">
      <c r="AA2984" t="str">
        <f>IF(COUNTA('Procyclean 520'!C486,'Procyclean 520'!D486,'Procyclean 520'!E486)&gt;0,"520","")</f>
        <v/>
      </c>
      <c r="AB2984" t="str">
        <f>IFERROR(IF(ISNUMBER('Procyclean 520'!C486),'Procyclean 520'!C486,DATEVALUE('Procyclean 520'!C486)),"")</f>
        <v/>
      </c>
      <c r="AC2984" t="str">
        <f>IF(AA2984="","",'Procyclean 520'!D486)</f>
        <v/>
      </c>
      <c r="AD2984" t="str">
        <f>IF(AA2984="","",IFERROR(1*'Procyclean 520'!E486,IFERROR(_xludf.NUMBERVALUE('Procyclean 520'!E486,".",","),IFERROR(_xludf.NUMBERVALUE('Procyclean 520'!E486,",","."),0))))</f>
        <v/>
      </c>
      <c r="AE2984" t="str">
        <f>IF(AA2984="","",'Procyclean 520'!B486)</f>
        <v/>
      </c>
      <c r="AF2984">
        <f t="shared" si="293"/>
        <v>0</v>
      </c>
      <c r="AG2984" t="str">
        <f t="shared" si="294"/>
        <v/>
      </c>
      <c r="AH2984" t="str">
        <f t="shared" si="295"/>
        <v/>
      </c>
      <c r="AI2984">
        <f t="shared" si="296"/>
        <v>0</v>
      </c>
      <c r="AJ2984">
        <f t="shared" si="297"/>
        <v>0</v>
      </c>
      <c r="AK2984">
        <v>0</v>
      </c>
      <c r="AL2984" t="str">
        <f>IF(AA2984="","",IFERROR(IF(ISNUMBER('Procyclean 520'!F486),'Procyclean 520'!F486,IF(ISNUMBER(SEARCH("12",'Procyclean 520'!F486)),EDATE(AB2984,12),IF(ISNUMBER(SEARCH("6",'Procyclean 520'!F486)),EDATE(AB2984,6),IF(ISNUMBER(SEARCH("3",'Procyclean 520'!F486)),EDATE(AB2984,3),DATEVALUE('Procyclean 520'!F486))))),""))</f>
        <v/>
      </c>
      <c r="AM2984" t="str">
        <f t="shared" ca="1" si="298"/>
        <v/>
      </c>
    </row>
    <row r="2985" spans="27:39" x14ac:dyDescent="0.3">
      <c r="AA2985" t="str">
        <f>IF(COUNTA('Procyclean 520'!C487,'Procyclean 520'!D487,'Procyclean 520'!E487)&gt;0,"520","")</f>
        <v/>
      </c>
      <c r="AB2985" t="str">
        <f>IFERROR(IF(ISNUMBER('Procyclean 520'!C487),'Procyclean 520'!C487,DATEVALUE('Procyclean 520'!C487)),"")</f>
        <v/>
      </c>
      <c r="AC2985" t="str">
        <f>IF(AA2985="","",'Procyclean 520'!D487)</f>
        <v/>
      </c>
      <c r="AD2985" t="str">
        <f>IF(AA2985="","",IFERROR(1*'Procyclean 520'!E487,IFERROR(_xludf.NUMBERVALUE('Procyclean 520'!E487,".",","),IFERROR(_xludf.NUMBERVALUE('Procyclean 520'!E487,",","."),0))))</f>
        <v/>
      </c>
      <c r="AE2985" t="str">
        <f>IF(AA2985="","",'Procyclean 520'!B487)</f>
        <v/>
      </c>
      <c r="AF2985">
        <f t="shared" si="293"/>
        <v>0</v>
      </c>
      <c r="AG2985" t="str">
        <f t="shared" si="294"/>
        <v/>
      </c>
      <c r="AH2985" t="str">
        <f t="shared" si="295"/>
        <v/>
      </c>
      <c r="AI2985">
        <f t="shared" si="296"/>
        <v>0</v>
      </c>
      <c r="AJ2985">
        <f t="shared" si="297"/>
        <v>0</v>
      </c>
      <c r="AK2985">
        <v>0</v>
      </c>
      <c r="AL2985" t="str">
        <f>IF(AA2985="","",IFERROR(IF(ISNUMBER('Procyclean 520'!F487),'Procyclean 520'!F487,IF(ISNUMBER(SEARCH("12",'Procyclean 520'!F487)),EDATE(AB2985,12),IF(ISNUMBER(SEARCH("6",'Procyclean 520'!F487)),EDATE(AB2985,6),IF(ISNUMBER(SEARCH("3",'Procyclean 520'!F487)),EDATE(AB2985,3),DATEVALUE('Procyclean 520'!F487))))),""))</f>
        <v/>
      </c>
      <c r="AM2985" t="str">
        <f t="shared" ca="1" si="298"/>
        <v/>
      </c>
    </row>
    <row r="2986" spans="27:39" x14ac:dyDescent="0.3">
      <c r="AA2986" t="str">
        <f>IF(COUNTA('Procyclean 520'!C488,'Procyclean 520'!D488,'Procyclean 520'!E488)&gt;0,"520","")</f>
        <v/>
      </c>
      <c r="AB2986" t="str">
        <f>IFERROR(IF(ISNUMBER('Procyclean 520'!C488),'Procyclean 520'!C488,DATEVALUE('Procyclean 520'!C488)),"")</f>
        <v/>
      </c>
      <c r="AC2986" t="str">
        <f>IF(AA2986="","",'Procyclean 520'!D488)</f>
        <v/>
      </c>
      <c r="AD2986" t="str">
        <f>IF(AA2986="","",IFERROR(1*'Procyclean 520'!E488,IFERROR(_xludf.NUMBERVALUE('Procyclean 520'!E488,".",","),IFERROR(_xludf.NUMBERVALUE('Procyclean 520'!E488,",","."),0))))</f>
        <v/>
      </c>
      <c r="AE2986" t="str">
        <f>IF(AA2986="","",'Procyclean 520'!B488)</f>
        <v/>
      </c>
      <c r="AF2986">
        <f t="shared" si="293"/>
        <v>0</v>
      </c>
      <c r="AG2986" t="str">
        <f t="shared" si="294"/>
        <v/>
      </c>
      <c r="AH2986" t="str">
        <f t="shared" si="295"/>
        <v/>
      </c>
      <c r="AI2986">
        <f t="shared" si="296"/>
        <v>0</v>
      </c>
      <c r="AJ2986">
        <f t="shared" si="297"/>
        <v>0</v>
      </c>
      <c r="AK2986">
        <v>0</v>
      </c>
      <c r="AL2986" t="str">
        <f>IF(AA2986="","",IFERROR(IF(ISNUMBER('Procyclean 520'!F488),'Procyclean 520'!F488,IF(ISNUMBER(SEARCH("12",'Procyclean 520'!F488)),EDATE(AB2986,12),IF(ISNUMBER(SEARCH("6",'Procyclean 520'!F488)),EDATE(AB2986,6),IF(ISNUMBER(SEARCH("3",'Procyclean 520'!F488)),EDATE(AB2986,3),DATEVALUE('Procyclean 520'!F488))))),""))</f>
        <v/>
      </c>
      <c r="AM2986" t="str">
        <f t="shared" ca="1" si="298"/>
        <v/>
      </c>
    </row>
    <row r="2987" spans="27:39" x14ac:dyDescent="0.3">
      <c r="AA2987" t="str">
        <f>IF(COUNTA('Procyclean 520'!C489,'Procyclean 520'!D489,'Procyclean 520'!E489)&gt;0,"520","")</f>
        <v/>
      </c>
      <c r="AB2987" t="str">
        <f>IFERROR(IF(ISNUMBER('Procyclean 520'!C489),'Procyclean 520'!C489,DATEVALUE('Procyclean 520'!C489)),"")</f>
        <v/>
      </c>
      <c r="AC2987" t="str">
        <f>IF(AA2987="","",'Procyclean 520'!D489)</f>
        <v/>
      </c>
      <c r="AD2987" t="str">
        <f>IF(AA2987="","",IFERROR(1*'Procyclean 520'!E489,IFERROR(_xludf.NUMBERVALUE('Procyclean 520'!E489,".",","),IFERROR(_xludf.NUMBERVALUE('Procyclean 520'!E489,",","."),0))))</f>
        <v/>
      </c>
      <c r="AE2987" t="str">
        <f>IF(AA2987="","",'Procyclean 520'!B489)</f>
        <v/>
      </c>
      <c r="AF2987">
        <f t="shared" si="293"/>
        <v>0</v>
      </c>
      <c r="AG2987" t="str">
        <f t="shared" si="294"/>
        <v/>
      </c>
      <c r="AH2987" t="str">
        <f t="shared" si="295"/>
        <v/>
      </c>
      <c r="AI2987">
        <f t="shared" si="296"/>
        <v>0</v>
      </c>
      <c r="AJ2987">
        <f t="shared" si="297"/>
        <v>0</v>
      </c>
      <c r="AK2987">
        <v>0</v>
      </c>
      <c r="AL2987" t="str">
        <f>IF(AA2987="","",IFERROR(IF(ISNUMBER('Procyclean 520'!F489),'Procyclean 520'!F489,IF(ISNUMBER(SEARCH("12",'Procyclean 520'!F489)),EDATE(AB2987,12),IF(ISNUMBER(SEARCH("6",'Procyclean 520'!F489)),EDATE(AB2987,6),IF(ISNUMBER(SEARCH("3",'Procyclean 520'!F489)),EDATE(AB2987,3),DATEVALUE('Procyclean 520'!F489))))),""))</f>
        <v/>
      </c>
      <c r="AM2987" t="str">
        <f t="shared" ca="1" si="298"/>
        <v/>
      </c>
    </row>
    <row r="2988" spans="27:39" x14ac:dyDescent="0.3">
      <c r="AA2988" t="str">
        <f>IF(COUNTA('Procyclean 520'!C490,'Procyclean 520'!D490,'Procyclean 520'!E490)&gt;0,"520","")</f>
        <v/>
      </c>
      <c r="AB2988" t="str">
        <f>IFERROR(IF(ISNUMBER('Procyclean 520'!C490),'Procyclean 520'!C490,DATEVALUE('Procyclean 520'!C490)),"")</f>
        <v/>
      </c>
      <c r="AC2988" t="str">
        <f>IF(AA2988="","",'Procyclean 520'!D490)</f>
        <v/>
      </c>
      <c r="AD2988" t="str">
        <f>IF(AA2988="","",IFERROR(1*'Procyclean 520'!E490,IFERROR(_xludf.NUMBERVALUE('Procyclean 520'!E490,".",","),IFERROR(_xludf.NUMBERVALUE('Procyclean 520'!E490,",","."),0))))</f>
        <v/>
      </c>
      <c r="AE2988" t="str">
        <f>IF(AA2988="","",'Procyclean 520'!B490)</f>
        <v/>
      </c>
      <c r="AF2988">
        <f t="shared" si="293"/>
        <v>0</v>
      </c>
      <c r="AG2988" t="str">
        <f t="shared" si="294"/>
        <v/>
      </c>
      <c r="AH2988" t="str">
        <f t="shared" si="295"/>
        <v/>
      </c>
      <c r="AI2988">
        <f t="shared" si="296"/>
        <v>0</v>
      </c>
      <c r="AJ2988">
        <f t="shared" si="297"/>
        <v>0</v>
      </c>
      <c r="AK2988">
        <v>0</v>
      </c>
      <c r="AL2988" t="str">
        <f>IF(AA2988="","",IFERROR(IF(ISNUMBER('Procyclean 520'!F490),'Procyclean 520'!F490,IF(ISNUMBER(SEARCH("12",'Procyclean 520'!F490)),EDATE(AB2988,12),IF(ISNUMBER(SEARCH("6",'Procyclean 520'!F490)),EDATE(AB2988,6),IF(ISNUMBER(SEARCH("3",'Procyclean 520'!F490)),EDATE(AB2988,3),DATEVALUE('Procyclean 520'!F490))))),""))</f>
        <v/>
      </c>
      <c r="AM2988" t="str">
        <f t="shared" ca="1" si="298"/>
        <v/>
      </c>
    </row>
    <row r="2989" spans="27:39" x14ac:dyDescent="0.3">
      <c r="AA2989" t="str">
        <f>IF(COUNTA('Procyclean 520'!C491,'Procyclean 520'!D491,'Procyclean 520'!E491)&gt;0,"520","")</f>
        <v/>
      </c>
      <c r="AB2989" t="str">
        <f>IFERROR(IF(ISNUMBER('Procyclean 520'!C491),'Procyclean 520'!C491,DATEVALUE('Procyclean 520'!C491)),"")</f>
        <v/>
      </c>
      <c r="AC2989" t="str">
        <f>IF(AA2989="","",'Procyclean 520'!D491)</f>
        <v/>
      </c>
      <c r="AD2989" t="str">
        <f>IF(AA2989="","",IFERROR(1*'Procyclean 520'!E491,IFERROR(_xludf.NUMBERVALUE('Procyclean 520'!E491,".",","),IFERROR(_xludf.NUMBERVALUE('Procyclean 520'!E491,",","."),0))))</f>
        <v/>
      </c>
      <c r="AE2989" t="str">
        <f>IF(AA2989="","",'Procyclean 520'!B491)</f>
        <v/>
      </c>
      <c r="AF2989">
        <f t="shared" si="293"/>
        <v>0</v>
      </c>
      <c r="AG2989" t="str">
        <f t="shared" si="294"/>
        <v/>
      </c>
      <c r="AH2989" t="str">
        <f t="shared" si="295"/>
        <v/>
      </c>
      <c r="AI2989">
        <f t="shared" si="296"/>
        <v>0</v>
      </c>
      <c r="AJ2989">
        <f t="shared" si="297"/>
        <v>0</v>
      </c>
      <c r="AK2989">
        <v>0</v>
      </c>
      <c r="AL2989" t="str">
        <f>IF(AA2989="","",IFERROR(IF(ISNUMBER('Procyclean 520'!F491),'Procyclean 520'!F491,IF(ISNUMBER(SEARCH("12",'Procyclean 520'!F491)),EDATE(AB2989,12),IF(ISNUMBER(SEARCH("6",'Procyclean 520'!F491)),EDATE(AB2989,6),IF(ISNUMBER(SEARCH("3",'Procyclean 520'!F491)),EDATE(AB2989,3),DATEVALUE('Procyclean 520'!F491))))),""))</f>
        <v/>
      </c>
      <c r="AM2989" t="str">
        <f t="shared" ca="1" si="298"/>
        <v/>
      </c>
    </row>
    <row r="2990" spans="27:39" x14ac:dyDescent="0.3">
      <c r="AA2990" t="str">
        <f>IF(COUNTA('Procyclean 520'!C492,'Procyclean 520'!D492,'Procyclean 520'!E492)&gt;0,"520","")</f>
        <v/>
      </c>
      <c r="AB2990" t="str">
        <f>IFERROR(IF(ISNUMBER('Procyclean 520'!C492),'Procyclean 520'!C492,DATEVALUE('Procyclean 520'!C492)),"")</f>
        <v/>
      </c>
      <c r="AC2990" t="str">
        <f>IF(AA2990="","",'Procyclean 520'!D492)</f>
        <v/>
      </c>
      <c r="AD2990" t="str">
        <f>IF(AA2990="","",IFERROR(1*'Procyclean 520'!E492,IFERROR(_xludf.NUMBERVALUE('Procyclean 520'!E492,".",","),IFERROR(_xludf.NUMBERVALUE('Procyclean 520'!E492,",","."),0))))</f>
        <v/>
      </c>
      <c r="AE2990" t="str">
        <f>IF(AA2990="","",'Procyclean 520'!B492)</f>
        <v/>
      </c>
      <c r="AF2990">
        <f t="shared" si="293"/>
        <v>0</v>
      </c>
      <c r="AG2990" t="str">
        <f t="shared" si="294"/>
        <v/>
      </c>
      <c r="AH2990" t="str">
        <f t="shared" si="295"/>
        <v/>
      </c>
      <c r="AI2990">
        <f t="shared" si="296"/>
        <v>0</v>
      </c>
      <c r="AJ2990">
        <f t="shared" si="297"/>
        <v>0</v>
      </c>
      <c r="AK2990">
        <v>0</v>
      </c>
      <c r="AL2990" t="str">
        <f>IF(AA2990="","",IFERROR(IF(ISNUMBER('Procyclean 520'!F492),'Procyclean 520'!F492,IF(ISNUMBER(SEARCH("12",'Procyclean 520'!F492)),EDATE(AB2990,12),IF(ISNUMBER(SEARCH("6",'Procyclean 520'!F492)),EDATE(AB2990,6),IF(ISNUMBER(SEARCH("3",'Procyclean 520'!F492)),EDATE(AB2990,3),DATEVALUE('Procyclean 520'!F492))))),""))</f>
        <v/>
      </c>
      <c r="AM2990" t="str">
        <f t="shared" ca="1" si="298"/>
        <v/>
      </c>
    </row>
    <row r="2991" spans="27:39" x14ac:dyDescent="0.3">
      <c r="AA2991" t="str">
        <f>IF(COUNTA('Procyclean 520'!C493,'Procyclean 520'!D493,'Procyclean 520'!E493)&gt;0,"520","")</f>
        <v/>
      </c>
      <c r="AB2991" t="str">
        <f>IFERROR(IF(ISNUMBER('Procyclean 520'!C493),'Procyclean 520'!C493,DATEVALUE('Procyclean 520'!C493)),"")</f>
        <v/>
      </c>
      <c r="AC2991" t="str">
        <f>IF(AA2991="","",'Procyclean 520'!D493)</f>
        <v/>
      </c>
      <c r="AD2991" t="str">
        <f>IF(AA2991="","",IFERROR(1*'Procyclean 520'!E493,IFERROR(_xludf.NUMBERVALUE('Procyclean 520'!E493,".",","),IFERROR(_xludf.NUMBERVALUE('Procyclean 520'!E493,",","."),0))))</f>
        <v/>
      </c>
      <c r="AE2991" t="str">
        <f>IF(AA2991="","",'Procyclean 520'!B493)</f>
        <v/>
      </c>
      <c r="AF2991">
        <f t="shared" si="293"/>
        <v>0</v>
      </c>
      <c r="AG2991" t="str">
        <f t="shared" si="294"/>
        <v/>
      </c>
      <c r="AH2991" t="str">
        <f t="shared" si="295"/>
        <v/>
      </c>
      <c r="AI2991">
        <f t="shared" si="296"/>
        <v>0</v>
      </c>
      <c r="AJ2991">
        <f t="shared" si="297"/>
        <v>0</v>
      </c>
      <c r="AK2991">
        <v>0</v>
      </c>
      <c r="AL2991" t="str">
        <f>IF(AA2991="","",IFERROR(IF(ISNUMBER('Procyclean 520'!F493),'Procyclean 520'!F493,IF(ISNUMBER(SEARCH("12",'Procyclean 520'!F493)),EDATE(AB2991,12),IF(ISNUMBER(SEARCH("6",'Procyclean 520'!F493)),EDATE(AB2991,6),IF(ISNUMBER(SEARCH("3",'Procyclean 520'!F493)),EDATE(AB2991,3),DATEVALUE('Procyclean 520'!F493))))),""))</f>
        <v/>
      </c>
      <c r="AM2991" t="str">
        <f t="shared" ca="1" si="298"/>
        <v/>
      </c>
    </row>
    <row r="2992" spans="27:39" x14ac:dyDescent="0.3">
      <c r="AA2992" t="str">
        <f>IF(COUNTA('Procyclean 520'!C494,'Procyclean 520'!D494,'Procyclean 520'!E494)&gt;0,"520","")</f>
        <v/>
      </c>
      <c r="AB2992" t="str">
        <f>IFERROR(IF(ISNUMBER('Procyclean 520'!C494),'Procyclean 520'!C494,DATEVALUE('Procyclean 520'!C494)),"")</f>
        <v/>
      </c>
      <c r="AC2992" t="str">
        <f>IF(AA2992="","",'Procyclean 520'!D494)</f>
        <v/>
      </c>
      <c r="AD2992" t="str">
        <f>IF(AA2992="","",IFERROR(1*'Procyclean 520'!E494,IFERROR(_xludf.NUMBERVALUE('Procyclean 520'!E494,".",","),IFERROR(_xludf.NUMBERVALUE('Procyclean 520'!E494,",","."),0))))</f>
        <v/>
      </c>
      <c r="AE2992" t="str">
        <f>IF(AA2992="","",'Procyclean 520'!B494)</f>
        <v/>
      </c>
      <c r="AF2992">
        <f t="shared" si="293"/>
        <v>0</v>
      </c>
      <c r="AG2992" t="str">
        <f t="shared" si="294"/>
        <v/>
      </c>
      <c r="AH2992" t="str">
        <f t="shared" si="295"/>
        <v/>
      </c>
      <c r="AI2992">
        <f t="shared" si="296"/>
        <v>0</v>
      </c>
      <c r="AJ2992">
        <f t="shared" si="297"/>
        <v>0</v>
      </c>
      <c r="AK2992">
        <v>0</v>
      </c>
      <c r="AL2992" t="str">
        <f>IF(AA2992="","",IFERROR(IF(ISNUMBER('Procyclean 520'!F494),'Procyclean 520'!F494,IF(ISNUMBER(SEARCH("12",'Procyclean 520'!F494)),EDATE(AB2992,12),IF(ISNUMBER(SEARCH("6",'Procyclean 520'!F494)),EDATE(AB2992,6),IF(ISNUMBER(SEARCH("3",'Procyclean 520'!F494)),EDATE(AB2992,3),DATEVALUE('Procyclean 520'!F494))))),""))</f>
        <v/>
      </c>
      <c r="AM2992" t="str">
        <f t="shared" ca="1" si="298"/>
        <v/>
      </c>
    </row>
    <row r="2993" spans="27:39" x14ac:dyDescent="0.3">
      <c r="AA2993" t="str">
        <f>IF(COUNTA('Procyclean 520'!C495,'Procyclean 520'!D495,'Procyclean 520'!E495)&gt;0,"520","")</f>
        <v/>
      </c>
      <c r="AB2993" t="str">
        <f>IFERROR(IF(ISNUMBER('Procyclean 520'!C495),'Procyclean 520'!C495,DATEVALUE('Procyclean 520'!C495)),"")</f>
        <v/>
      </c>
      <c r="AC2993" t="str">
        <f>IF(AA2993="","",'Procyclean 520'!D495)</f>
        <v/>
      </c>
      <c r="AD2993" t="str">
        <f>IF(AA2993="","",IFERROR(1*'Procyclean 520'!E495,IFERROR(_xludf.NUMBERVALUE('Procyclean 520'!E495,".",","),IFERROR(_xludf.NUMBERVALUE('Procyclean 520'!E495,",","."),0))))</f>
        <v/>
      </c>
      <c r="AE2993" t="str">
        <f>IF(AA2993="","",'Procyclean 520'!B495)</f>
        <v/>
      </c>
      <c r="AF2993">
        <f t="shared" si="293"/>
        <v>0</v>
      </c>
      <c r="AG2993" t="str">
        <f t="shared" si="294"/>
        <v/>
      </c>
      <c r="AH2993" t="str">
        <f t="shared" si="295"/>
        <v/>
      </c>
      <c r="AI2993">
        <f t="shared" si="296"/>
        <v>0</v>
      </c>
      <c r="AJ2993">
        <f t="shared" si="297"/>
        <v>0</v>
      </c>
      <c r="AK2993">
        <v>0</v>
      </c>
      <c r="AL2993" t="str">
        <f>IF(AA2993="","",IFERROR(IF(ISNUMBER('Procyclean 520'!F495),'Procyclean 520'!F495,IF(ISNUMBER(SEARCH("12",'Procyclean 520'!F495)),EDATE(AB2993,12),IF(ISNUMBER(SEARCH("6",'Procyclean 520'!F495)),EDATE(AB2993,6),IF(ISNUMBER(SEARCH("3",'Procyclean 520'!F495)),EDATE(AB2993,3),DATEVALUE('Procyclean 520'!F495))))),""))</f>
        <v/>
      </c>
      <c r="AM2993" t="str">
        <f t="shared" ca="1" si="298"/>
        <v/>
      </c>
    </row>
    <row r="2994" spans="27:39" x14ac:dyDescent="0.3">
      <c r="AA2994" t="str">
        <f>IF(COUNTA('Procyclean 520'!C496,'Procyclean 520'!D496,'Procyclean 520'!E496)&gt;0,"520","")</f>
        <v/>
      </c>
      <c r="AB2994" t="str">
        <f>IFERROR(IF(ISNUMBER('Procyclean 520'!C496),'Procyclean 520'!C496,DATEVALUE('Procyclean 520'!C496)),"")</f>
        <v/>
      </c>
      <c r="AC2994" t="str">
        <f>IF(AA2994="","",'Procyclean 520'!D496)</f>
        <v/>
      </c>
      <c r="AD2994" t="str">
        <f>IF(AA2994="","",IFERROR(1*'Procyclean 520'!E496,IFERROR(_xludf.NUMBERVALUE('Procyclean 520'!E496,".",","),IFERROR(_xludf.NUMBERVALUE('Procyclean 520'!E496,",","."),0))))</f>
        <v/>
      </c>
      <c r="AE2994" t="str">
        <f>IF(AA2994="","",'Procyclean 520'!B496)</f>
        <v/>
      </c>
      <c r="AF2994">
        <f t="shared" si="293"/>
        <v>0</v>
      </c>
      <c r="AG2994" t="str">
        <f t="shared" si="294"/>
        <v/>
      </c>
      <c r="AH2994" t="str">
        <f t="shared" si="295"/>
        <v/>
      </c>
      <c r="AI2994">
        <f t="shared" si="296"/>
        <v>0</v>
      </c>
      <c r="AJ2994">
        <f t="shared" si="297"/>
        <v>0</v>
      </c>
      <c r="AK2994">
        <v>0</v>
      </c>
      <c r="AL2994" t="str">
        <f>IF(AA2994="","",IFERROR(IF(ISNUMBER('Procyclean 520'!F496),'Procyclean 520'!F496,IF(ISNUMBER(SEARCH("12",'Procyclean 520'!F496)),EDATE(AB2994,12),IF(ISNUMBER(SEARCH("6",'Procyclean 520'!F496)),EDATE(AB2994,6),IF(ISNUMBER(SEARCH("3",'Procyclean 520'!F496)),EDATE(AB2994,3),DATEVALUE('Procyclean 520'!F496))))),""))</f>
        <v/>
      </c>
      <c r="AM2994" t="str">
        <f t="shared" ca="1" si="298"/>
        <v/>
      </c>
    </row>
    <row r="2995" spans="27:39" x14ac:dyDescent="0.3">
      <c r="AA2995" t="str">
        <f>IF(COUNTA('Procyclean 520'!C497,'Procyclean 520'!D497,'Procyclean 520'!E497)&gt;0,"520","")</f>
        <v/>
      </c>
      <c r="AB2995" t="str">
        <f>IFERROR(IF(ISNUMBER('Procyclean 520'!C497),'Procyclean 520'!C497,DATEVALUE('Procyclean 520'!C497)),"")</f>
        <v/>
      </c>
      <c r="AC2995" t="str">
        <f>IF(AA2995="","",'Procyclean 520'!D497)</f>
        <v/>
      </c>
      <c r="AD2995" t="str">
        <f>IF(AA2995="","",IFERROR(1*'Procyclean 520'!E497,IFERROR(_xludf.NUMBERVALUE('Procyclean 520'!E497,".",","),IFERROR(_xludf.NUMBERVALUE('Procyclean 520'!E497,",","."),0))))</f>
        <v/>
      </c>
      <c r="AE2995" t="str">
        <f>IF(AA2995="","",'Procyclean 520'!B497)</f>
        <v/>
      </c>
      <c r="AF2995">
        <f t="shared" si="293"/>
        <v>0</v>
      </c>
      <c r="AG2995" t="str">
        <f t="shared" si="294"/>
        <v/>
      </c>
      <c r="AH2995" t="str">
        <f t="shared" si="295"/>
        <v/>
      </c>
      <c r="AI2995">
        <f t="shared" si="296"/>
        <v>0</v>
      </c>
      <c r="AJ2995">
        <f t="shared" si="297"/>
        <v>0</v>
      </c>
      <c r="AK2995">
        <v>0</v>
      </c>
      <c r="AL2995" t="str">
        <f>IF(AA2995="","",IFERROR(IF(ISNUMBER('Procyclean 520'!F497),'Procyclean 520'!F497,IF(ISNUMBER(SEARCH("12",'Procyclean 520'!F497)),EDATE(AB2995,12),IF(ISNUMBER(SEARCH("6",'Procyclean 520'!F497)),EDATE(AB2995,6),IF(ISNUMBER(SEARCH("3",'Procyclean 520'!F497)),EDATE(AB2995,3),DATEVALUE('Procyclean 520'!F497))))),""))</f>
        <v/>
      </c>
      <c r="AM2995" t="str">
        <f t="shared" ca="1" si="298"/>
        <v/>
      </c>
    </row>
    <row r="2996" spans="27:39" x14ac:dyDescent="0.3">
      <c r="AA2996" t="str">
        <f>IF(COUNTA('Procyclean 520'!C498,'Procyclean 520'!D498,'Procyclean 520'!E498)&gt;0,"520","")</f>
        <v/>
      </c>
      <c r="AB2996" t="str">
        <f>IFERROR(IF(ISNUMBER('Procyclean 520'!C498),'Procyclean 520'!C498,DATEVALUE('Procyclean 520'!C498)),"")</f>
        <v/>
      </c>
      <c r="AC2996" t="str">
        <f>IF(AA2996="","",'Procyclean 520'!D498)</f>
        <v/>
      </c>
      <c r="AD2996" t="str">
        <f>IF(AA2996="","",IFERROR(1*'Procyclean 520'!E498,IFERROR(_xludf.NUMBERVALUE('Procyclean 520'!E498,".",","),IFERROR(_xludf.NUMBERVALUE('Procyclean 520'!E498,",","."),0))))</f>
        <v/>
      </c>
      <c r="AE2996" t="str">
        <f>IF(AA2996="","",'Procyclean 520'!B498)</f>
        <v/>
      </c>
      <c r="AF2996">
        <f t="shared" si="293"/>
        <v>0</v>
      </c>
      <c r="AG2996" t="str">
        <f t="shared" si="294"/>
        <v/>
      </c>
      <c r="AH2996" t="str">
        <f t="shared" si="295"/>
        <v/>
      </c>
      <c r="AI2996">
        <f t="shared" si="296"/>
        <v>0</v>
      </c>
      <c r="AJ2996">
        <f t="shared" si="297"/>
        <v>0</v>
      </c>
      <c r="AK2996">
        <v>0</v>
      </c>
      <c r="AL2996" t="str">
        <f>IF(AA2996="","",IFERROR(IF(ISNUMBER('Procyclean 520'!F498),'Procyclean 520'!F498,IF(ISNUMBER(SEARCH("12",'Procyclean 520'!F498)),EDATE(AB2996,12),IF(ISNUMBER(SEARCH("6",'Procyclean 520'!F498)),EDATE(AB2996,6),IF(ISNUMBER(SEARCH("3",'Procyclean 520'!F498)),EDATE(AB2996,3),DATEVALUE('Procyclean 520'!F498))))),""))</f>
        <v/>
      </c>
      <c r="AM2996" t="str">
        <f t="shared" ca="1" si="298"/>
        <v/>
      </c>
    </row>
    <row r="2997" spans="27:39" x14ac:dyDescent="0.3">
      <c r="AA2997" t="str">
        <f>IF(COUNTA('Procyclean 520'!C499,'Procyclean 520'!D499,'Procyclean 520'!E499)&gt;0,"520","")</f>
        <v/>
      </c>
      <c r="AB2997" t="str">
        <f>IFERROR(IF(ISNUMBER('Procyclean 520'!C499),'Procyclean 520'!C499,DATEVALUE('Procyclean 520'!C499)),"")</f>
        <v/>
      </c>
      <c r="AC2997" t="str">
        <f>IF(AA2997="","",'Procyclean 520'!D499)</f>
        <v/>
      </c>
      <c r="AD2997" t="str">
        <f>IF(AA2997="","",IFERROR(1*'Procyclean 520'!E499,IFERROR(_xludf.NUMBERVALUE('Procyclean 520'!E499,".",","),IFERROR(_xludf.NUMBERVALUE('Procyclean 520'!E499,",","."),0))))</f>
        <v/>
      </c>
      <c r="AE2997" t="str">
        <f>IF(AA2997="","",'Procyclean 520'!B499)</f>
        <v/>
      </c>
      <c r="AF2997">
        <f t="shared" si="293"/>
        <v>0</v>
      </c>
      <c r="AG2997" t="str">
        <f t="shared" si="294"/>
        <v/>
      </c>
      <c r="AH2997" t="str">
        <f t="shared" si="295"/>
        <v/>
      </c>
      <c r="AI2997">
        <f t="shared" si="296"/>
        <v>0</v>
      </c>
      <c r="AJ2997">
        <f t="shared" si="297"/>
        <v>0</v>
      </c>
      <c r="AK2997">
        <v>0</v>
      </c>
      <c r="AL2997" t="str">
        <f>IF(AA2997="","",IFERROR(IF(ISNUMBER('Procyclean 520'!F499),'Procyclean 520'!F499,IF(ISNUMBER(SEARCH("12",'Procyclean 520'!F499)),EDATE(AB2997,12),IF(ISNUMBER(SEARCH("6",'Procyclean 520'!F499)),EDATE(AB2997,6),IF(ISNUMBER(SEARCH("3",'Procyclean 520'!F499)),EDATE(AB2997,3),DATEVALUE('Procyclean 520'!F499))))),""))</f>
        <v/>
      </c>
      <c r="AM2997" t="str">
        <f t="shared" ca="1" si="298"/>
        <v/>
      </c>
    </row>
    <row r="2998" spans="27:39" x14ac:dyDescent="0.3">
      <c r="AA2998" t="str">
        <f>IF(COUNTA('Procyclean 520'!C500,'Procyclean 520'!D500,'Procyclean 520'!E500)&gt;0,"520","")</f>
        <v/>
      </c>
      <c r="AB2998" t="str">
        <f>IFERROR(IF(ISNUMBER('Procyclean 520'!C500),'Procyclean 520'!C500,DATEVALUE('Procyclean 520'!C500)),"")</f>
        <v/>
      </c>
      <c r="AC2998" t="str">
        <f>IF(AA2998="","",'Procyclean 520'!D500)</f>
        <v/>
      </c>
      <c r="AD2998" t="str">
        <f>IF(AA2998="","",IFERROR(1*'Procyclean 520'!E500,IFERROR(_xludf.NUMBERVALUE('Procyclean 520'!E500,".",","),IFERROR(_xludf.NUMBERVALUE('Procyclean 520'!E500,",","."),0))))</f>
        <v/>
      </c>
      <c r="AE2998" t="str">
        <f>IF(AA2998="","",'Procyclean 520'!B500)</f>
        <v/>
      </c>
      <c r="AF2998">
        <f t="shared" si="293"/>
        <v>0</v>
      </c>
      <c r="AG2998" t="str">
        <f t="shared" si="294"/>
        <v/>
      </c>
      <c r="AH2998" t="str">
        <f t="shared" si="295"/>
        <v/>
      </c>
      <c r="AI2998">
        <f t="shared" si="296"/>
        <v>0</v>
      </c>
      <c r="AJ2998">
        <f t="shared" si="297"/>
        <v>0</v>
      </c>
      <c r="AK2998">
        <v>0</v>
      </c>
      <c r="AL2998" t="str">
        <f>IF(AA2998="","",IFERROR(IF(ISNUMBER('Procyclean 520'!F500),'Procyclean 520'!F500,IF(ISNUMBER(SEARCH("12",'Procyclean 520'!F500)),EDATE(AB2998,12),IF(ISNUMBER(SEARCH("6",'Procyclean 520'!F500)),EDATE(AB2998,6),IF(ISNUMBER(SEARCH("3",'Procyclean 520'!F500)),EDATE(AB2998,3),DATEVALUE('Procyclean 520'!F500))))),""))</f>
        <v/>
      </c>
      <c r="AM2998" t="str">
        <f t="shared" ca="1" si="298"/>
        <v/>
      </c>
    </row>
    <row r="2999" spans="27:39" x14ac:dyDescent="0.3">
      <c r="AA2999" t="str">
        <f>IF(COUNTA('Procyclean 520'!C501,'Procyclean 520'!D501,'Procyclean 520'!E501)&gt;0,"520","")</f>
        <v/>
      </c>
      <c r="AB2999" t="str">
        <f>IFERROR(IF(ISNUMBER('Procyclean 520'!C501),'Procyclean 520'!C501,DATEVALUE('Procyclean 520'!C501)),"")</f>
        <v/>
      </c>
      <c r="AC2999" t="str">
        <f>IF(AA2999="","",'Procyclean 520'!D501)</f>
        <v/>
      </c>
      <c r="AD2999" t="str">
        <f>IF(AA2999="","",IFERROR(1*'Procyclean 520'!E501,IFERROR(_xludf.NUMBERVALUE('Procyclean 520'!E501,".",","),IFERROR(_xludf.NUMBERVALUE('Procyclean 520'!E501,",","."),0))))</f>
        <v/>
      </c>
      <c r="AE2999" t="str">
        <f>IF(AA2999="","",'Procyclean 520'!B501)</f>
        <v/>
      </c>
      <c r="AF2999">
        <f t="shared" si="293"/>
        <v>0</v>
      </c>
      <c r="AG2999" t="str">
        <f t="shared" si="294"/>
        <v/>
      </c>
      <c r="AH2999" t="str">
        <f t="shared" si="295"/>
        <v/>
      </c>
      <c r="AI2999">
        <f t="shared" si="296"/>
        <v>0</v>
      </c>
      <c r="AJ2999">
        <f t="shared" si="297"/>
        <v>0</v>
      </c>
      <c r="AK2999">
        <v>0</v>
      </c>
      <c r="AL2999" t="str">
        <f>IF(AA2999="","",IFERROR(IF(ISNUMBER('Procyclean 520'!F501),'Procyclean 520'!F501,IF(ISNUMBER(SEARCH("12",'Procyclean 520'!F501)),EDATE(AB2999,12),IF(ISNUMBER(SEARCH("6",'Procyclean 520'!F501)),EDATE(AB2999,6),IF(ISNUMBER(SEARCH("3",'Procyclean 520'!F501)),EDATE(AB2999,3),DATEVALUE('Procyclean 520'!F501))))),""))</f>
        <v/>
      </c>
      <c r="AM2999" t="str">
        <f t="shared" ca="1" si="298"/>
        <v/>
      </c>
    </row>
    <row r="3000" spans="27:39" x14ac:dyDescent="0.3">
      <c r="AA3000" t="str">
        <f>IF(COUNTA('Procyclean 520'!C502,'Procyclean 520'!D502,'Procyclean 520'!E502)&gt;0,"520","")</f>
        <v/>
      </c>
      <c r="AB3000" t="str">
        <f>IFERROR(IF(ISNUMBER('Procyclean 520'!C502),'Procyclean 520'!C502,DATEVALUE('Procyclean 520'!C502)),"")</f>
        <v/>
      </c>
      <c r="AC3000" t="str">
        <f>IF(AA3000="","",'Procyclean 520'!D502)</f>
        <v/>
      </c>
      <c r="AD3000" t="str">
        <f>IF(AA3000="","",IFERROR(1*'Procyclean 520'!E502,IFERROR(_xludf.NUMBERVALUE('Procyclean 520'!E502,".",","),IFERROR(_xludf.NUMBERVALUE('Procyclean 520'!E502,",","."),0))))</f>
        <v/>
      </c>
      <c r="AE3000" t="str">
        <f>IF(AA3000="","",'Procyclean 520'!B502)</f>
        <v/>
      </c>
      <c r="AF3000">
        <f t="shared" si="293"/>
        <v>0</v>
      </c>
      <c r="AG3000" t="str">
        <f t="shared" si="294"/>
        <v/>
      </c>
      <c r="AH3000" t="str">
        <f t="shared" si="295"/>
        <v/>
      </c>
      <c r="AI3000">
        <f t="shared" si="296"/>
        <v>0</v>
      </c>
      <c r="AJ3000">
        <f t="shared" si="297"/>
        <v>0</v>
      </c>
      <c r="AK3000">
        <v>0</v>
      </c>
      <c r="AL3000" t="str">
        <f>IF(AA3000="","",IFERROR(IF(ISNUMBER('Procyclean 520'!F502),'Procyclean 520'!F502,IF(ISNUMBER(SEARCH("12",'Procyclean 520'!F502)),EDATE(AB3000,12),IF(ISNUMBER(SEARCH("6",'Procyclean 520'!F502)),EDATE(AB3000,6),IF(ISNUMBER(SEARCH("3",'Procyclean 520'!F502)),EDATE(AB3000,3),DATEVALUE('Procyclean 520'!F502))))),""))</f>
        <v/>
      </c>
      <c r="AM3000" t="str">
        <f t="shared" ca="1" si="298"/>
        <v/>
      </c>
    </row>
    <row r="3001" spans="27:39" x14ac:dyDescent="0.3">
      <c r="AA3001" t="str">
        <f>IF(COUNTA('Procyclean 520'!C503,'Procyclean 520'!D503,'Procyclean 520'!E503)&gt;0,"520","")</f>
        <v/>
      </c>
      <c r="AB3001" t="str">
        <f>IFERROR(IF(ISNUMBER('Procyclean 520'!C503),'Procyclean 520'!C503,DATEVALUE('Procyclean 520'!C503)),"")</f>
        <v/>
      </c>
      <c r="AC3001" t="str">
        <f>IF(AA3001="","",'Procyclean 520'!D503)</f>
        <v/>
      </c>
      <c r="AD3001" t="str">
        <f>IF(AA3001="","",IFERROR(1*'Procyclean 520'!E503,IFERROR(_xludf.NUMBERVALUE('Procyclean 520'!E503,".",","),IFERROR(_xludf.NUMBERVALUE('Procyclean 520'!E503,",","."),0))))</f>
        <v/>
      </c>
      <c r="AE3001" t="str">
        <f>IF(AA3001="","",'Procyclean 520'!B503)</f>
        <v/>
      </c>
      <c r="AF3001">
        <f t="shared" si="293"/>
        <v>0</v>
      </c>
      <c r="AG3001" t="str">
        <f t="shared" si="294"/>
        <v/>
      </c>
      <c r="AH3001" t="str">
        <f t="shared" si="295"/>
        <v/>
      </c>
      <c r="AI3001">
        <f t="shared" si="296"/>
        <v>0</v>
      </c>
      <c r="AJ3001">
        <f t="shared" si="297"/>
        <v>0</v>
      </c>
      <c r="AK3001">
        <v>0</v>
      </c>
      <c r="AL3001" t="str">
        <f>IF(AA3001="","",IFERROR(IF(ISNUMBER('Procyclean 520'!F503),'Procyclean 520'!F503,IF(ISNUMBER(SEARCH("12",'Procyclean 520'!F503)),EDATE(AB3001,12),IF(ISNUMBER(SEARCH("6",'Procyclean 520'!F503)),EDATE(AB3001,6),IF(ISNUMBER(SEARCH("3",'Procyclean 520'!F503)),EDATE(AB3001,3),DATEVALUE('Procyclean 520'!F503))))),""))</f>
        <v/>
      </c>
      <c r="AM3001" t="str">
        <f t="shared" ca="1" si="298"/>
        <v/>
      </c>
    </row>
    <row r="3002" spans="27:39" x14ac:dyDescent="0.3">
      <c r="AA3002" t="str">
        <f>IF(COUNTA('Procyclean 600'!B4,'Procyclean 600'!C4,'Procyclean 600'!D4)&gt;0,"600","")</f>
        <v/>
      </c>
      <c r="AB3002" t="str">
        <f>IFERROR(IF(ISNUMBER('Procyclean 600'!B4),'Procyclean 600'!B4,DATEVALUE('Procyclean 600'!B4)),"")</f>
        <v/>
      </c>
      <c r="AC3002" t="str">
        <f>IF(AA3002="","",'Procyclean 600'!C4)</f>
        <v/>
      </c>
      <c r="AD3002" t="str">
        <f>IF(AA3002="","",IFERROR(1*'Procyclean 600'!D4,IFERROR(_xludf.NUMBERVALUE('Procyclean 600'!D4,".",","),IFERROR(_xludf.NUMBERVALUE('Procyclean 600'!D4,",","."),0))))</f>
        <v/>
      </c>
      <c r="AE3002" t="str">
        <f>IF(AA3002="","",'Procyclean 600'!K4)</f>
        <v/>
      </c>
      <c r="AF3002">
        <f t="shared" si="293"/>
        <v>0</v>
      </c>
      <c r="AG3002" t="str">
        <f t="shared" si="294"/>
        <v/>
      </c>
      <c r="AH3002" t="str">
        <f t="shared" si="295"/>
        <v/>
      </c>
      <c r="AI3002">
        <f t="shared" si="296"/>
        <v>0</v>
      </c>
      <c r="AJ3002">
        <f t="shared" si="297"/>
        <v>0</v>
      </c>
      <c r="AK3002">
        <v>0</v>
      </c>
      <c r="AL3002" t="str">
        <f>IF(AA3002="","",IFERROR(IF(ISNUMBER('Procyclean 600'!E4),'Procyclean 600'!E4,IF(ISNUMBER(SEARCH("12",'Procyclean 600'!E4)),EDATE(AB3002,12),IF(ISNUMBER(SEARCH("6",'Procyclean 600'!E4)),EDATE(AB3002,6),IF(ISNUMBER(SEARCH("3",'Procyclean 600'!E4)),EDATE(AB3002,3),DATEVALUE('Procyclean 600'!E4))))),""))</f>
        <v/>
      </c>
      <c r="AM3002" t="str">
        <f t="shared" ca="1" si="298"/>
        <v/>
      </c>
    </row>
    <row r="3003" spans="27:39" x14ac:dyDescent="0.3">
      <c r="AA3003" t="str">
        <f>IF(COUNTA('Procyclean 600'!B5,'Procyclean 600'!C5,'Procyclean 600'!D5)&gt;0,"600","")</f>
        <v/>
      </c>
      <c r="AB3003" t="str">
        <f>IFERROR(IF(ISNUMBER('Procyclean 600'!B5),'Procyclean 600'!B5,DATEVALUE('Procyclean 600'!B5)),"")</f>
        <v/>
      </c>
      <c r="AC3003" t="str">
        <f>IF(AA3003="","",'Procyclean 600'!C5)</f>
        <v/>
      </c>
      <c r="AD3003" t="str">
        <f>IF(AA3003="","",IFERROR(1*'Procyclean 600'!D5,IFERROR(_xludf.NUMBERVALUE('Procyclean 600'!D5,".",","),IFERROR(_xludf.NUMBERVALUE('Procyclean 600'!D5,",","."),0))))</f>
        <v/>
      </c>
      <c r="AE3003" t="str">
        <f>IF(AA3003="","",'Procyclean 600'!K5)</f>
        <v/>
      </c>
      <c r="AF3003">
        <f t="shared" si="293"/>
        <v>0</v>
      </c>
      <c r="AG3003" t="str">
        <f t="shared" si="294"/>
        <v/>
      </c>
      <c r="AH3003" t="str">
        <f t="shared" si="295"/>
        <v/>
      </c>
      <c r="AI3003">
        <f t="shared" si="296"/>
        <v>0</v>
      </c>
      <c r="AJ3003">
        <f t="shared" si="297"/>
        <v>0</v>
      </c>
      <c r="AK3003">
        <v>0</v>
      </c>
      <c r="AL3003" t="str">
        <f>IF(AA3003="","",IFERROR(IF(ISNUMBER('Procyclean 600'!E5),'Procyclean 600'!E5,IF(ISNUMBER(SEARCH("12",'Procyclean 600'!E5)),EDATE(AB3003,12),IF(ISNUMBER(SEARCH("6",'Procyclean 600'!E5)),EDATE(AB3003,6),IF(ISNUMBER(SEARCH("3",'Procyclean 600'!E5)),EDATE(AB3003,3),DATEVALUE('Procyclean 600'!E5))))),""))</f>
        <v/>
      </c>
      <c r="AM3003" t="str">
        <f t="shared" ca="1" si="298"/>
        <v/>
      </c>
    </row>
    <row r="3004" spans="27:39" x14ac:dyDescent="0.3">
      <c r="AA3004" t="str">
        <f>IF(COUNTA('Procyclean 600'!B6,'Procyclean 600'!C6,'Procyclean 600'!D6)&gt;0,"600","")</f>
        <v/>
      </c>
      <c r="AB3004" t="str">
        <f>IFERROR(IF(ISNUMBER('Procyclean 600'!B6),'Procyclean 600'!B6,DATEVALUE('Procyclean 600'!B6)),"")</f>
        <v/>
      </c>
      <c r="AC3004" t="str">
        <f>IF(AA3004="","",'Procyclean 600'!C6)</f>
        <v/>
      </c>
      <c r="AD3004" t="str">
        <f>IF(AA3004="","",IFERROR(1*'Procyclean 600'!D6,IFERROR(_xludf.NUMBERVALUE('Procyclean 600'!D6,".",","),IFERROR(_xludf.NUMBERVALUE('Procyclean 600'!D6,",","."),0))))</f>
        <v/>
      </c>
      <c r="AE3004" t="str">
        <f>IF(AA3004="","",'Procyclean 600'!K6)</f>
        <v/>
      </c>
      <c r="AF3004">
        <f t="shared" si="293"/>
        <v>0</v>
      </c>
      <c r="AG3004" t="str">
        <f t="shared" si="294"/>
        <v/>
      </c>
      <c r="AH3004" t="str">
        <f t="shared" si="295"/>
        <v/>
      </c>
      <c r="AI3004">
        <f t="shared" si="296"/>
        <v>0</v>
      </c>
      <c r="AJ3004">
        <f t="shared" si="297"/>
        <v>0</v>
      </c>
      <c r="AK3004">
        <v>0</v>
      </c>
      <c r="AL3004" t="str">
        <f>IF(AA3004="","",IFERROR(IF(ISNUMBER('Procyclean 600'!E6),'Procyclean 600'!E6,IF(ISNUMBER(SEARCH("12",'Procyclean 600'!E6)),EDATE(AB3004,12),IF(ISNUMBER(SEARCH("6",'Procyclean 600'!E6)),EDATE(AB3004,6),IF(ISNUMBER(SEARCH("3",'Procyclean 600'!E6)),EDATE(AB3004,3),DATEVALUE('Procyclean 600'!E6))))),""))</f>
        <v/>
      </c>
      <c r="AM3004" t="str">
        <f t="shared" ca="1" si="298"/>
        <v/>
      </c>
    </row>
    <row r="3005" spans="27:39" x14ac:dyDescent="0.3">
      <c r="AA3005" t="str">
        <f>IF(COUNTA('Procyclean 600'!B7,'Procyclean 600'!C7,'Procyclean 600'!D7)&gt;0,"600","")</f>
        <v/>
      </c>
      <c r="AB3005" t="str">
        <f>IFERROR(IF(ISNUMBER('Procyclean 600'!B7),'Procyclean 600'!B7,DATEVALUE('Procyclean 600'!B7)),"")</f>
        <v/>
      </c>
      <c r="AC3005" t="str">
        <f>IF(AA3005="","",'Procyclean 600'!C7)</f>
        <v/>
      </c>
      <c r="AD3005" t="str">
        <f>IF(AA3005="","",IFERROR(1*'Procyclean 600'!D7,IFERROR(_xludf.NUMBERVALUE('Procyclean 600'!D7,".",","),IFERROR(_xludf.NUMBERVALUE('Procyclean 600'!D7,",","."),0))))</f>
        <v/>
      </c>
      <c r="AE3005" t="str">
        <f>IF(AA3005="","",'Procyclean 600'!K7)</f>
        <v/>
      </c>
      <c r="AF3005">
        <f t="shared" si="293"/>
        <v>0</v>
      </c>
      <c r="AG3005" t="str">
        <f t="shared" si="294"/>
        <v/>
      </c>
      <c r="AH3005" t="str">
        <f t="shared" si="295"/>
        <v/>
      </c>
      <c r="AI3005">
        <f t="shared" si="296"/>
        <v>0</v>
      </c>
      <c r="AJ3005">
        <f t="shared" si="297"/>
        <v>0</v>
      </c>
      <c r="AK3005">
        <v>0</v>
      </c>
      <c r="AL3005" t="str">
        <f>IF(AA3005="","",IFERROR(IF(ISNUMBER('Procyclean 600'!E7),'Procyclean 600'!E7,IF(ISNUMBER(SEARCH("12",'Procyclean 600'!E7)),EDATE(AB3005,12),IF(ISNUMBER(SEARCH("6",'Procyclean 600'!E7)),EDATE(AB3005,6),IF(ISNUMBER(SEARCH("3",'Procyclean 600'!E7)),EDATE(AB3005,3),DATEVALUE('Procyclean 600'!E7))))),""))</f>
        <v/>
      </c>
      <c r="AM3005" t="str">
        <f t="shared" ca="1" si="298"/>
        <v/>
      </c>
    </row>
    <row r="3006" spans="27:39" x14ac:dyDescent="0.3">
      <c r="AA3006" t="str">
        <f>IF(COUNTA('Procyclean 600'!B8,'Procyclean 600'!C8,'Procyclean 600'!D8)&gt;0,"600","")</f>
        <v/>
      </c>
      <c r="AB3006" t="str">
        <f>IFERROR(IF(ISNUMBER('Procyclean 600'!B8),'Procyclean 600'!B8,DATEVALUE('Procyclean 600'!B8)),"")</f>
        <v/>
      </c>
      <c r="AC3006" t="str">
        <f>IF(AA3006="","",'Procyclean 600'!C8)</f>
        <v/>
      </c>
      <c r="AD3006" t="str">
        <f>IF(AA3006="","",IFERROR(1*'Procyclean 600'!D8,IFERROR(_xludf.NUMBERVALUE('Procyclean 600'!D8,".",","),IFERROR(_xludf.NUMBERVALUE('Procyclean 600'!D8,",","."),0))))</f>
        <v/>
      </c>
      <c r="AE3006" t="str">
        <f>IF(AA3006="","",'Procyclean 600'!K8)</f>
        <v/>
      </c>
      <c r="AF3006">
        <f t="shared" si="293"/>
        <v>0</v>
      </c>
      <c r="AG3006" t="str">
        <f t="shared" si="294"/>
        <v/>
      </c>
      <c r="AH3006" t="str">
        <f t="shared" si="295"/>
        <v/>
      </c>
      <c r="AI3006">
        <f t="shared" si="296"/>
        <v>0</v>
      </c>
      <c r="AJ3006">
        <f t="shared" si="297"/>
        <v>0</v>
      </c>
      <c r="AK3006">
        <v>0</v>
      </c>
      <c r="AL3006" t="str">
        <f>IF(AA3006="","",IFERROR(IF(ISNUMBER('Procyclean 600'!E8),'Procyclean 600'!E8,IF(ISNUMBER(SEARCH("12",'Procyclean 600'!E8)),EDATE(AB3006,12),IF(ISNUMBER(SEARCH("6",'Procyclean 600'!E8)),EDATE(AB3006,6),IF(ISNUMBER(SEARCH("3",'Procyclean 600'!E8)),EDATE(AB3006,3),DATEVALUE('Procyclean 600'!E8))))),""))</f>
        <v/>
      </c>
      <c r="AM3006" t="str">
        <f t="shared" ca="1" si="298"/>
        <v/>
      </c>
    </row>
    <row r="3007" spans="27:39" x14ac:dyDescent="0.3">
      <c r="AA3007" t="str">
        <f>IF(COUNTA('Procyclean 600'!B9,'Procyclean 600'!C9,'Procyclean 600'!D9)&gt;0,"600","")</f>
        <v/>
      </c>
      <c r="AB3007" t="str">
        <f>IFERROR(IF(ISNUMBER('Procyclean 600'!B9),'Procyclean 600'!B9,DATEVALUE('Procyclean 600'!B9)),"")</f>
        <v/>
      </c>
      <c r="AC3007" t="str">
        <f>IF(AA3007="","",'Procyclean 600'!C9)</f>
        <v/>
      </c>
      <c r="AD3007" t="str">
        <f>IF(AA3007="","",IFERROR(1*'Procyclean 600'!D9,IFERROR(_xludf.NUMBERVALUE('Procyclean 600'!D9,".",","),IFERROR(_xludf.NUMBERVALUE('Procyclean 600'!D9,",","."),0))))</f>
        <v/>
      </c>
      <c r="AE3007" t="str">
        <f>IF(AA3007="","",'Procyclean 600'!K9)</f>
        <v/>
      </c>
      <c r="AF3007">
        <f t="shared" si="293"/>
        <v>0</v>
      </c>
      <c r="AG3007" t="str">
        <f t="shared" si="294"/>
        <v/>
      </c>
      <c r="AH3007" t="str">
        <f t="shared" si="295"/>
        <v/>
      </c>
      <c r="AI3007">
        <f t="shared" si="296"/>
        <v>0</v>
      </c>
      <c r="AJ3007">
        <f t="shared" si="297"/>
        <v>0</v>
      </c>
      <c r="AK3007">
        <v>0</v>
      </c>
      <c r="AL3007" t="str">
        <f>IF(AA3007="","",IFERROR(IF(ISNUMBER('Procyclean 600'!E9),'Procyclean 600'!E9,IF(ISNUMBER(SEARCH("12",'Procyclean 600'!E9)),EDATE(AB3007,12),IF(ISNUMBER(SEARCH("6",'Procyclean 600'!E9)),EDATE(AB3007,6),IF(ISNUMBER(SEARCH("3",'Procyclean 600'!E9)),EDATE(AB3007,3),DATEVALUE('Procyclean 600'!E9))))),""))</f>
        <v/>
      </c>
      <c r="AM3007" t="str">
        <f t="shared" ca="1" si="298"/>
        <v/>
      </c>
    </row>
    <row r="3008" spans="27:39" x14ac:dyDescent="0.3">
      <c r="AA3008" t="str">
        <f>IF(COUNTA('Procyclean 600'!B10,'Procyclean 600'!C10,'Procyclean 600'!D10)&gt;0,"600","")</f>
        <v/>
      </c>
      <c r="AB3008" t="str">
        <f>IFERROR(IF(ISNUMBER('Procyclean 600'!B10),'Procyclean 600'!B10,DATEVALUE('Procyclean 600'!B10)),"")</f>
        <v/>
      </c>
      <c r="AC3008" t="str">
        <f>IF(AA3008="","",'Procyclean 600'!C10)</f>
        <v/>
      </c>
      <c r="AD3008" t="str">
        <f>IF(AA3008="","",IFERROR(1*'Procyclean 600'!D10,IFERROR(_xludf.NUMBERVALUE('Procyclean 600'!D10,".",","),IFERROR(_xludf.NUMBERVALUE('Procyclean 600'!D10,",","."),0))))</f>
        <v/>
      </c>
      <c r="AE3008" t="str">
        <f>IF(AA3008="","",'Procyclean 600'!K10)</f>
        <v/>
      </c>
      <c r="AF3008">
        <f t="shared" si="293"/>
        <v>0</v>
      </c>
      <c r="AG3008" t="str">
        <f t="shared" si="294"/>
        <v/>
      </c>
      <c r="AH3008" t="str">
        <f t="shared" si="295"/>
        <v/>
      </c>
      <c r="AI3008">
        <f t="shared" si="296"/>
        <v>0</v>
      </c>
      <c r="AJ3008">
        <f t="shared" si="297"/>
        <v>0</v>
      </c>
      <c r="AK3008">
        <v>0</v>
      </c>
      <c r="AL3008" t="str">
        <f>IF(AA3008="","",IFERROR(IF(ISNUMBER('Procyclean 600'!E10),'Procyclean 600'!E10,IF(ISNUMBER(SEARCH("12",'Procyclean 600'!E10)),EDATE(AB3008,12),IF(ISNUMBER(SEARCH("6",'Procyclean 600'!E10)),EDATE(AB3008,6),IF(ISNUMBER(SEARCH("3",'Procyclean 600'!E10)),EDATE(AB3008,3),DATEVALUE('Procyclean 600'!E10))))),""))</f>
        <v/>
      </c>
      <c r="AM3008" t="str">
        <f t="shared" ca="1" si="298"/>
        <v/>
      </c>
    </row>
    <row r="3009" spans="27:39" x14ac:dyDescent="0.3">
      <c r="AA3009" t="str">
        <f>IF(COUNTA('Procyclean 600'!B11,'Procyclean 600'!C11,'Procyclean 600'!D11)&gt;0,"600","")</f>
        <v/>
      </c>
      <c r="AB3009" t="str">
        <f>IFERROR(IF(ISNUMBER('Procyclean 600'!B11),'Procyclean 600'!B11,DATEVALUE('Procyclean 600'!B11)),"")</f>
        <v/>
      </c>
      <c r="AC3009" t="str">
        <f>IF(AA3009="","",'Procyclean 600'!C11)</f>
        <v/>
      </c>
      <c r="AD3009" t="str">
        <f>IF(AA3009="","",IFERROR(1*'Procyclean 600'!D11,IFERROR(_xludf.NUMBERVALUE('Procyclean 600'!D11,".",","),IFERROR(_xludf.NUMBERVALUE('Procyclean 600'!D11,",","."),0))))</f>
        <v/>
      </c>
      <c r="AE3009" t="str">
        <f>IF(AA3009="","",'Procyclean 600'!K11)</f>
        <v/>
      </c>
      <c r="AF3009">
        <f t="shared" si="293"/>
        <v>0</v>
      </c>
      <c r="AG3009" t="str">
        <f t="shared" si="294"/>
        <v/>
      </c>
      <c r="AH3009" t="str">
        <f t="shared" si="295"/>
        <v/>
      </c>
      <c r="AI3009">
        <f t="shared" si="296"/>
        <v>0</v>
      </c>
      <c r="AJ3009">
        <f t="shared" si="297"/>
        <v>0</v>
      </c>
      <c r="AK3009">
        <v>0</v>
      </c>
      <c r="AL3009" t="str">
        <f>IF(AA3009="","",IFERROR(IF(ISNUMBER('Procyclean 600'!E11),'Procyclean 600'!E11,IF(ISNUMBER(SEARCH("12",'Procyclean 600'!E11)),EDATE(AB3009,12),IF(ISNUMBER(SEARCH("6",'Procyclean 600'!E11)),EDATE(AB3009,6),IF(ISNUMBER(SEARCH("3",'Procyclean 600'!E11)),EDATE(AB3009,3),DATEVALUE('Procyclean 600'!E11))))),""))</f>
        <v/>
      </c>
      <c r="AM3009" t="str">
        <f t="shared" ca="1" si="298"/>
        <v/>
      </c>
    </row>
    <row r="3010" spans="27:39" x14ac:dyDescent="0.3">
      <c r="AA3010" t="str">
        <f>IF(COUNTA('Procyclean 600'!B12,'Procyclean 600'!C12,'Procyclean 600'!D12)&gt;0,"600","")</f>
        <v/>
      </c>
      <c r="AB3010" t="str">
        <f>IFERROR(IF(ISNUMBER('Procyclean 600'!B12),'Procyclean 600'!B12,DATEVALUE('Procyclean 600'!B12)),"")</f>
        <v/>
      </c>
      <c r="AC3010" t="str">
        <f>IF(AA3010="","",'Procyclean 600'!C12)</f>
        <v/>
      </c>
      <c r="AD3010" t="str">
        <f>IF(AA3010="","",IFERROR(1*'Procyclean 600'!D12,IFERROR(_xludf.NUMBERVALUE('Procyclean 600'!D12,".",","),IFERROR(_xludf.NUMBERVALUE('Procyclean 600'!D12,",","."),0))))</f>
        <v/>
      </c>
      <c r="AE3010" t="str">
        <f>IF(AA3010="","",'Procyclean 600'!K12)</f>
        <v/>
      </c>
      <c r="AF3010">
        <f t="shared" ref="AF3010:AF3073" si="299">IF(AA3010="",0,--AND(ISNUMBER(SEARCH("aprov",AE3010)),NOT(ISNUMBER(SEARCH("reprov",AE3010)))))</f>
        <v>0</v>
      </c>
      <c r="AG3010" t="str">
        <f t="shared" ref="AG3010:AG3073" si="300">IF(AB3010="","",YEAR(AB3010))</f>
        <v/>
      </c>
      <c r="AH3010" t="str">
        <f t="shared" ref="AH3010:AH3073" si="301">IF(AB3010="","",MONTH(AB3010))</f>
        <v/>
      </c>
      <c r="AI3010">
        <f t="shared" ref="AI3010:AI3073" si="302">IF(AB3010="",0,AB3010+ROW()/1000000)</f>
        <v>0</v>
      </c>
      <c r="AJ3010">
        <f t="shared" ref="AJ3010:AJ3073" si="303">--(AA3010&lt;&gt;"")</f>
        <v>0</v>
      </c>
      <c r="AK3010">
        <v>0</v>
      </c>
      <c r="AL3010" t="str">
        <f>IF(AA3010="","",IFERROR(IF(ISNUMBER('Procyclean 600'!E12),'Procyclean 600'!E12,IF(ISNUMBER(SEARCH("12",'Procyclean 600'!E12)),EDATE(AB3010,12),IF(ISNUMBER(SEARCH("6",'Procyclean 600'!E12)),EDATE(AB3010,6),IF(ISNUMBER(SEARCH("3",'Procyclean 600'!E12)),EDATE(AB3010,3),DATEVALUE('Procyclean 600'!E12))))),""))</f>
        <v/>
      </c>
      <c r="AM3010" t="str">
        <f t="shared" ref="AM3010:AM3073" ca="1" si="304">IF(AND(AJ3010=1,AL3010&lt;&gt;"",AL3010&gt;=TODAY(),AG3010=$W$3),AL3010+ROW()/1000000,"")</f>
        <v/>
      </c>
    </row>
    <row r="3011" spans="27:39" x14ac:dyDescent="0.3">
      <c r="AA3011" t="str">
        <f>IF(COUNTA('Procyclean 600'!B13,'Procyclean 600'!C13,'Procyclean 600'!D13)&gt;0,"600","")</f>
        <v/>
      </c>
      <c r="AB3011" t="str">
        <f>IFERROR(IF(ISNUMBER('Procyclean 600'!B13),'Procyclean 600'!B13,DATEVALUE('Procyclean 600'!B13)),"")</f>
        <v/>
      </c>
      <c r="AC3011" t="str">
        <f>IF(AA3011="","",'Procyclean 600'!C13)</f>
        <v/>
      </c>
      <c r="AD3011" t="str">
        <f>IF(AA3011="","",IFERROR(1*'Procyclean 600'!D13,IFERROR(_xludf.NUMBERVALUE('Procyclean 600'!D13,".",","),IFERROR(_xludf.NUMBERVALUE('Procyclean 600'!D13,",","."),0))))</f>
        <v/>
      </c>
      <c r="AE3011" t="str">
        <f>IF(AA3011="","",'Procyclean 600'!K13)</f>
        <v/>
      </c>
      <c r="AF3011">
        <f t="shared" si="299"/>
        <v>0</v>
      </c>
      <c r="AG3011" t="str">
        <f t="shared" si="300"/>
        <v/>
      </c>
      <c r="AH3011" t="str">
        <f t="shared" si="301"/>
        <v/>
      </c>
      <c r="AI3011">
        <f t="shared" si="302"/>
        <v>0</v>
      </c>
      <c r="AJ3011">
        <f t="shared" si="303"/>
        <v>0</v>
      </c>
      <c r="AK3011">
        <v>0</v>
      </c>
      <c r="AL3011" t="str">
        <f>IF(AA3011="","",IFERROR(IF(ISNUMBER('Procyclean 600'!E13),'Procyclean 600'!E13,IF(ISNUMBER(SEARCH("12",'Procyclean 600'!E13)),EDATE(AB3011,12),IF(ISNUMBER(SEARCH("6",'Procyclean 600'!E13)),EDATE(AB3011,6),IF(ISNUMBER(SEARCH("3",'Procyclean 600'!E13)),EDATE(AB3011,3),DATEVALUE('Procyclean 600'!E13))))),""))</f>
        <v/>
      </c>
      <c r="AM3011" t="str">
        <f t="shared" ca="1" si="304"/>
        <v/>
      </c>
    </row>
    <row r="3012" spans="27:39" x14ac:dyDescent="0.3">
      <c r="AA3012" t="str">
        <f>IF(COUNTA('Procyclean 600'!B14,'Procyclean 600'!C14,'Procyclean 600'!D14)&gt;0,"600","")</f>
        <v/>
      </c>
      <c r="AB3012" t="str">
        <f>IFERROR(IF(ISNUMBER('Procyclean 600'!B14),'Procyclean 600'!B14,DATEVALUE('Procyclean 600'!B14)),"")</f>
        <v/>
      </c>
      <c r="AC3012" t="str">
        <f>IF(AA3012="","",'Procyclean 600'!C14)</f>
        <v/>
      </c>
      <c r="AD3012" t="str">
        <f>IF(AA3012="","",IFERROR(1*'Procyclean 600'!D14,IFERROR(_xludf.NUMBERVALUE('Procyclean 600'!D14,".",","),IFERROR(_xludf.NUMBERVALUE('Procyclean 600'!D14,",","."),0))))</f>
        <v/>
      </c>
      <c r="AE3012" t="str">
        <f>IF(AA3012="","",'Procyclean 600'!K14)</f>
        <v/>
      </c>
      <c r="AF3012">
        <f t="shared" si="299"/>
        <v>0</v>
      </c>
      <c r="AG3012" t="str">
        <f t="shared" si="300"/>
        <v/>
      </c>
      <c r="AH3012" t="str">
        <f t="shared" si="301"/>
        <v/>
      </c>
      <c r="AI3012">
        <f t="shared" si="302"/>
        <v>0</v>
      </c>
      <c r="AJ3012">
        <f t="shared" si="303"/>
        <v>0</v>
      </c>
      <c r="AK3012">
        <v>0</v>
      </c>
      <c r="AL3012" t="str">
        <f>IF(AA3012="","",IFERROR(IF(ISNUMBER('Procyclean 600'!E14),'Procyclean 600'!E14,IF(ISNUMBER(SEARCH("12",'Procyclean 600'!E14)),EDATE(AB3012,12),IF(ISNUMBER(SEARCH("6",'Procyclean 600'!E14)),EDATE(AB3012,6),IF(ISNUMBER(SEARCH("3",'Procyclean 600'!E14)),EDATE(AB3012,3),DATEVALUE('Procyclean 600'!E14))))),""))</f>
        <v/>
      </c>
      <c r="AM3012" t="str">
        <f t="shared" ca="1" si="304"/>
        <v/>
      </c>
    </row>
    <row r="3013" spans="27:39" x14ac:dyDescent="0.3">
      <c r="AA3013" t="str">
        <f>IF(COUNTA('Procyclean 600'!B15,'Procyclean 600'!C15,'Procyclean 600'!D15)&gt;0,"600","")</f>
        <v/>
      </c>
      <c r="AB3013" t="str">
        <f>IFERROR(IF(ISNUMBER('Procyclean 600'!B15),'Procyclean 600'!B15,DATEVALUE('Procyclean 600'!B15)),"")</f>
        <v/>
      </c>
      <c r="AC3013" t="str">
        <f>IF(AA3013="","",'Procyclean 600'!C15)</f>
        <v/>
      </c>
      <c r="AD3013" t="str">
        <f>IF(AA3013="","",IFERROR(1*'Procyclean 600'!D15,IFERROR(_xludf.NUMBERVALUE('Procyclean 600'!D15,".",","),IFERROR(_xludf.NUMBERVALUE('Procyclean 600'!D15,",","."),0))))</f>
        <v/>
      </c>
      <c r="AE3013" t="str">
        <f>IF(AA3013="","",'Procyclean 600'!K15)</f>
        <v/>
      </c>
      <c r="AF3013">
        <f t="shared" si="299"/>
        <v>0</v>
      </c>
      <c r="AG3013" t="str">
        <f t="shared" si="300"/>
        <v/>
      </c>
      <c r="AH3013" t="str">
        <f t="shared" si="301"/>
        <v/>
      </c>
      <c r="AI3013">
        <f t="shared" si="302"/>
        <v>0</v>
      </c>
      <c r="AJ3013">
        <f t="shared" si="303"/>
        <v>0</v>
      </c>
      <c r="AK3013">
        <v>0</v>
      </c>
      <c r="AL3013" t="str">
        <f>IF(AA3013="","",IFERROR(IF(ISNUMBER('Procyclean 600'!E15),'Procyclean 600'!E15,IF(ISNUMBER(SEARCH("12",'Procyclean 600'!E15)),EDATE(AB3013,12),IF(ISNUMBER(SEARCH("6",'Procyclean 600'!E15)),EDATE(AB3013,6),IF(ISNUMBER(SEARCH("3",'Procyclean 600'!E15)),EDATE(AB3013,3),DATEVALUE('Procyclean 600'!E15))))),""))</f>
        <v/>
      </c>
      <c r="AM3013" t="str">
        <f t="shared" ca="1" si="304"/>
        <v/>
      </c>
    </row>
    <row r="3014" spans="27:39" x14ac:dyDescent="0.3">
      <c r="AA3014" t="str">
        <f>IF(COUNTA('Procyclean 600'!B16,'Procyclean 600'!C16,'Procyclean 600'!D16)&gt;0,"600","")</f>
        <v/>
      </c>
      <c r="AB3014" t="str">
        <f>IFERROR(IF(ISNUMBER('Procyclean 600'!B16),'Procyclean 600'!B16,DATEVALUE('Procyclean 600'!B16)),"")</f>
        <v/>
      </c>
      <c r="AC3014" t="str">
        <f>IF(AA3014="","",'Procyclean 600'!C16)</f>
        <v/>
      </c>
      <c r="AD3014" t="str">
        <f>IF(AA3014="","",IFERROR(1*'Procyclean 600'!D16,IFERROR(_xludf.NUMBERVALUE('Procyclean 600'!D16,".",","),IFERROR(_xludf.NUMBERVALUE('Procyclean 600'!D16,",","."),0))))</f>
        <v/>
      </c>
      <c r="AE3014" t="str">
        <f>IF(AA3014="","",'Procyclean 600'!K16)</f>
        <v/>
      </c>
      <c r="AF3014">
        <f t="shared" si="299"/>
        <v>0</v>
      </c>
      <c r="AG3014" t="str">
        <f t="shared" si="300"/>
        <v/>
      </c>
      <c r="AH3014" t="str">
        <f t="shared" si="301"/>
        <v/>
      </c>
      <c r="AI3014">
        <f t="shared" si="302"/>
        <v>0</v>
      </c>
      <c r="AJ3014">
        <f t="shared" si="303"/>
        <v>0</v>
      </c>
      <c r="AK3014">
        <v>0</v>
      </c>
      <c r="AL3014" t="str">
        <f>IF(AA3014="","",IFERROR(IF(ISNUMBER('Procyclean 600'!E16),'Procyclean 600'!E16,IF(ISNUMBER(SEARCH("12",'Procyclean 600'!E16)),EDATE(AB3014,12),IF(ISNUMBER(SEARCH("6",'Procyclean 600'!E16)),EDATE(AB3014,6),IF(ISNUMBER(SEARCH("3",'Procyclean 600'!E16)),EDATE(AB3014,3),DATEVALUE('Procyclean 600'!E16))))),""))</f>
        <v/>
      </c>
      <c r="AM3014" t="str">
        <f t="shared" ca="1" si="304"/>
        <v/>
      </c>
    </row>
    <row r="3015" spans="27:39" x14ac:dyDescent="0.3">
      <c r="AA3015" t="str">
        <f>IF(COUNTA('Procyclean 600'!B17,'Procyclean 600'!C17,'Procyclean 600'!D17)&gt;0,"600","")</f>
        <v/>
      </c>
      <c r="AB3015" t="str">
        <f>IFERROR(IF(ISNUMBER('Procyclean 600'!B17),'Procyclean 600'!B17,DATEVALUE('Procyclean 600'!B17)),"")</f>
        <v/>
      </c>
      <c r="AC3015" t="str">
        <f>IF(AA3015="","",'Procyclean 600'!C17)</f>
        <v/>
      </c>
      <c r="AD3015" t="str">
        <f>IF(AA3015="","",IFERROR(1*'Procyclean 600'!D17,IFERROR(_xludf.NUMBERVALUE('Procyclean 600'!D17,".",","),IFERROR(_xludf.NUMBERVALUE('Procyclean 600'!D17,",","."),0))))</f>
        <v/>
      </c>
      <c r="AE3015" t="str">
        <f>IF(AA3015="","",'Procyclean 600'!K17)</f>
        <v/>
      </c>
      <c r="AF3015">
        <f t="shared" si="299"/>
        <v>0</v>
      </c>
      <c r="AG3015" t="str">
        <f t="shared" si="300"/>
        <v/>
      </c>
      <c r="AH3015" t="str">
        <f t="shared" si="301"/>
        <v/>
      </c>
      <c r="AI3015">
        <f t="shared" si="302"/>
        <v>0</v>
      </c>
      <c r="AJ3015">
        <f t="shared" si="303"/>
        <v>0</v>
      </c>
      <c r="AK3015">
        <v>0</v>
      </c>
      <c r="AL3015" t="str">
        <f>IF(AA3015="","",IFERROR(IF(ISNUMBER('Procyclean 600'!E17),'Procyclean 600'!E17,IF(ISNUMBER(SEARCH("12",'Procyclean 600'!E17)),EDATE(AB3015,12),IF(ISNUMBER(SEARCH("6",'Procyclean 600'!E17)),EDATE(AB3015,6),IF(ISNUMBER(SEARCH("3",'Procyclean 600'!E17)),EDATE(AB3015,3),DATEVALUE('Procyclean 600'!E17))))),""))</f>
        <v/>
      </c>
      <c r="AM3015" t="str">
        <f t="shared" ca="1" si="304"/>
        <v/>
      </c>
    </row>
    <row r="3016" spans="27:39" x14ac:dyDescent="0.3">
      <c r="AA3016" t="str">
        <f>IF(COUNTA('Procyclean 600'!B18,'Procyclean 600'!C18,'Procyclean 600'!D18)&gt;0,"600","")</f>
        <v/>
      </c>
      <c r="AB3016" t="str">
        <f>IFERROR(IF(ISNUMBER('Procyclean 600'!B18),'Procyclean 600'!B18,DATEVALUE('Procyclean 600'!B18)),"")</f>
        <v/>
      </c>
      <c r="AC3016" t="str">
        <f>IF(AA3016="","",'Procyclean 600'!C18)</f>
        <v/>
      </c>
      <c r="AD3016" t="str">
        <f>IF(AA3016="","",IFERROR(1*'Procyclean 600'!D18,IFERROR(_xludf.NUMBERVALUE('Procyclean 600'!D18,".",","),IFERROR(_xludf.NUMBERVALUE('Procyclean 600'!D18,",","."),0))))</f>
        <v/>
      </c>
      <c r="AE3016" t="str">
        <f>IF(AA3016="","",'Procyclean 600'!K18)</f>
        <v/>
      </c>
      <c r="AF3016">
        <f t="shared" si="299"/>
        <v>0</v>
      </c>
      <c r="AG3016" t="str">
        <f t="shared" si="300"/>
        <v/>
      </c>
      <c r="AH3016" t="str">
        <f t="shared" si="301"/>
        <v/>
      </c>
      <c r="AI3016">
        <f t="shared" si="302"/>
        <v>0</v>
      </c>
      <c r="AJ3016">
        <f t="shared" si="303"/>
        <v>0</v>
      </c>
      <c r="AK3016">
        <v>0</v>
      </c>
      <c r="AL3016" t="str">
        <f>IF(AA3016="","",IFERROR(IF(ISNUMBER('Procyclean 600'!E18),'Procyclean 600'!E18,IF(ISNUMBER(SEARCH("12",'Procyclean 600'!E18)),EDATE(AB3016,12),IF(ISNUMBER(SEARCH("6",'Procyclean 600'!E18)),EDATE(AB3016,6),IF(ISNUMBER(SEARCH("3",'Procyclean 600'!E18)),EDATE(AB3016,3),DATEVALUE('Procyclean 600'!E18))))),""))</f>
        <v/>
      </c>
      <c r="AM3016" t="str">
        <f t="shared" ca="1" si="304"/>
        <v/>
      </c>
    </row>
    <row r="3017" spans="27:39" x14ac:dyDescent="0.3">
      <c r="AA3017" t="str">
        <f>IF(COUNTA('Procyclean 600'!B19,'Procyclean 600'!C19,'Procyclean 600'!D19)&gt;0,"600","")</f>
        <v/>
      </c>
      <c r="AB3017" t="str">
        <f>IFERROR(IF(ISNUMBER('Procyclean 600'!B19),'Procyclean 600'!B19,DATEVALUE('Procyclean 600'!B19)),"")</f>
        <v/>
      </c>
      <c r="AC3017" t="str">
        <f>IF(AA3017="","",'Procyclean 600'!C19)</f>
        <v/>
      </c>
      <c r="AD3017" t="str">
        <f>IF(AA3017="","",IFERROR(1*'Procyclean 600'!D19,IFERROR(_xludf.NUMBERVALUE('Procyclean 600'!D19,".",","),IFERROR(_xludf.NUMBERVALUE('Procyclean 600'!D19,",","."),0))))</f>
        <v/>
      </c>
      <c r="AE3017" t="str">
        <f>IF(AA3017="","",'Procyclean 600'!K19)</f>
        <v/>
      </c>
      <c r="AF3017">
        <f t="shared" si="299"/>
        <v>0</v>
      </c>
      <c r="AG3017" t="str">
        <f t="shared" si="300"/>
        <v/>
      </c>
      <c r="AH3017" t="str">
        <f t="shared" si="301"/>
        <v/>
      </c>
      <c r="AI3017">
        <f t="shared" si="302"/>
        <v>0</v>
      </c>
      <c r="AJ3017">
        <f t="shared" si="303"/>
        <v>0</v>
      </c>
      <c r="AK3017">
        <v>0</v>
      </c>
      <c r="AL3017" t="str">
        <f>IF(AA3017="","",IFERROR(IF(ISNUMBER('Procyclean 600'!E19),'Procyclean 600'!E19,IF(ISNUMBER(SEARCH("12",'Procyclean 600'!E19)),EDATE(AB3017,12),IF(ISNUMBER(SEARCH("6",'Procyclean 600'!E19)),EDATE(AB3017,6),IF(ISNUMBER(SEARCH("3",'Procyclean 600'!E19)),EDATE(AB3017,3),DATEVALUE('Procyclean 600'!E19))))),""))</f>
        <v/>
      </c>
      <c r="AM3017" t="str">
        <f t="shared" ca="1" si="304"/>
        <v/>
      </c>
    </row>
    <row r="3018" spans="27:39" x14ac:dyDescent="0.3">
      <c r="AA3018" t="str">
        <f>IF(COUNTA('Procyclean 600'!B20,'Procyclean 600'!C20,'Procyclean 600'!D20)&gt;0,"600","")</f>
        <v/>
      </c>
      <c r="AB3018" t="str">
        <f>IFERROR(IF(ISNUMBER('Procyclean 600'!B20),'Procyclean 600'!B20,DATEVALUE('Procyclean 600'!B20)),"")</f>
        <v/>
      </c>
      <c r="AC3018" t="str">
        <f>IF(AA3018="","",'Procyclean 600'!C20)</f>
        <v/>
      </c>
      <c r="AD3018" t="str">
        <f>IF(AA3018="","",IFERROR(1*'Procyclean 600'!D20,IFERROR(_xludf.NUMBERVALUE('Procyclean 600'!D20,".",","),IFERROR(_xludf.NUMBERVALUE('Procyclean 600'!D20,",","."),0))))</f>
        <v/>
      </c>
      <c r="AE3018" t="str">
        <f>IF(AA3018="","",'Procyclean 600'!K20)</f>
        <v/>
      </c>
      <c r="AF3018">
        <f t="shared" si="299"/>
        <v>0</v>
      </c>
      <c r="AG3018" t="str">
        <f t="shared" si="300"/>
        <v/>
      </c>
      <c r="AH3018" t="str">
        <f t="shared" si="301"/>
        <v/>
      </c>
      <c r="AI3018">
        <f t="shared" si="302"/>
        <v>0</v>
      </c>
      <c r="AJ3018">
        <f t="shared" si="303"/>
        <v>0</v>
      </c>
      <c r="AK3018">
        <v>0</v>
      </c>
      <c r="AL3018" t="str">
        <f>IF(AA3018="","",IFERROR(IF(ISNUMBER('Procyclean 600'!E20),'Procyclean 600'!E20,IF(ISNUMBER(SEARCH("12",'Procyclean 600'!E20)),EDATE(AB3018,12),IF(ISNUMBER(SEARCH("6",'Procyclean 600'!E20)),EDATE(AB3018,6),IF(ISNUMBER(SEARCH("3",'Procyclean 600'!E20)),EDATE(AB3018,3),DATEVALUE('Procyclean 600'!E20))))),""))</f>
        <v/>
      </c>
      <c r="AM3018" t="str">
        <f t="shared" ca="1" si="304"/>
        <v/>
      </c>
    </row>
    <row r="3019" spans="27:39" x14ac:dyDescent="0.3">
      <c r="AA3019" t="str">
        <f>IF(COUNTA('Procyclean 600'!B21,'Procyclean 600'!C21,'Procyclean 600'!D21)&gt;0,"600","")</f>
        <v/>
      </c>
      <c r="AB3019" t="str">
        <f>IFERROR(IF(ISNUMBER('Procyclean 600'!B21),'Procyclean 600'!B21,DATEVALUE('Procyclean 600'!B21)),"")</f>
        <v/>
      </c>
      <c r="AC3019" t="str">
        <f>IF(AA3019="","",'Procyclean 600'!C21)</f>
        <v/>
      </c>
      <c r="AD3019" t="str">
        <f>IF(AA3019="","",IFERROR(1*'Procyclean 600'!D21,IFERROR(_xludf.NUMBERVALUE('Procyclean 600'!D21,".",","),IFERROR(_xludf.NUMBERVALUE('Procyclean 600'!D21,",","."),0))))</f>
        <v/>
      </c>
      <c r="AE3019" t="str">
        <f>IF(AA3019="","",'Procyclean 600'!K21)</f>
        <v/>
      </c>
      <c r="AF3019">
        <f t="shared" si="299"/>
        <v>0</v>
      </c>
      <c r="AG3019" t="str">
        <f t="shared" si="300"/>
        <v/>
      </c>
      <c r="AH3019" t="str">
        <f t="shared" si="301"/>
        <v/>
      </c>
      <c r="AI3019">
        <f t="shared" si="302"/>
        <v>0</v>
      </c>
      <c r="AJ3019">
        <f t="shared" si="303"/>
        <v>0</v>
      </c>
      <c r="AK3019">
        <v>0</v>
      </c>
      <c r="AL3019" t="str">
        <f>IF(AA3019="","",IFERROR(IF(ISNUMBER('Procyclean 600'!E21),'Procyclean 600'!E21,IF(ISNUMBER(SEARCH("12",'Procyclean 600'!E21)),EDATE(AB3019,12),IF(ISNUMBER(SEARCH("6",'Procyclean 600'!E21)),EDATE(AB3019,6),IF(ISNUMBER(SEARCH("3",'Procyclean 600'!E21)),EDATE(AB3019,3),DATEVALUE('Procyclean 600'!E21))))),""))</f>
        <v/>
      </c>
      <c r="AM3019" t="str">
        <f t="shared" ca="1" si="304"/>
        <v/>
      </c>
    </row>
    <row r="3020" spans="27:39" x14ac:dyDescent="0.3">
      <c r="AA3020" t="str">
        <f>IF(COUNTA('Procyclean 600'!B22,'Procyclean 600'!C22,'Procyclean 600'!D22)&gt;0,"600","")</f>
        <v/>
      </c>
      <c r="AB3020" t="str">
        <f>IFERROR(IF(ISNUMBER('Procyclean 600'!B22),'Procyclean 600'!B22,DATEVALUE('Procyclean 600'!B22)),"")</f>
        <v/>
      </c>
      <c r="AC3020" t="str">
        <f>IF(AA3020="","",'Procyclean 600'!C22)</f>
        <v/>
      </c>
      <c r="AD3020" t="str">
        <f>IF(AA3020="","",IFERROR(1*'Procyclean 600'!D22,IFERROR(_xludf.NUMBERVALUE('Procyclean 600'!D22,".",","),IFERROR(_xludf.NUMBERVALUE('Procyclean 600'!D22,",","."),0))))</f>
        <v/>
      </c>
      <c r="AE3020" t="str">
        <f>IF(AA3020="","",'Procyclean 600'!K22)</f>
        <v/>
      </c>
      <c r="AF3020">
        <f t="shared" si="299"/>
        <v>0</v>
      </c>
      <c r="AG3020" t="str">
        <f t="shared" si="300"/>
        <v/>
      </c>
      <c r="AH3020" t="str">
        <f t="shared" si="301"/>
        <v/>
      </c>
      <c r="AI3020">
        <f t="shared" si="302"/>
        <v>0</v>
      </c>
      <c r="AJ3020">
        <f t="shared" si="303"/>
        <v>0</v>
      </c>
      <c r="AK3020">
        <v>0</v>
      </c>
      <c r="AL3020" t="str">
        <f>IF(AA3020="","",IFERROR(IF(ISNUMBER('Procyclean 600'!E22),'Procyclean 600'!E22,IF(ISNUMBER(SEARCH("12",'Procyclean 600'!E22)),EDATE(AB3020,12),IF(ISNUMBER(SEARCH("6",'Procyclean 600'!E22)),EDATE(AB3020,6),IF(ISNUMBER(SEARCH("3",'Procyclean 600'!E22)),EDATE(AB3020,3),DATEVALUE('Procyclean 600'!E22))))),""))</f>
        <v/>
      </c>
      <c r="AM3020" t="str">
        <f t="shared" ca="1" si="304"/>
        <v/>
      </c>
    </row>
    <row r="3021" spans="27:39" x14ac:dyDescent="0.3">
      <c r="AA3021" t="str">
        <f>IF(COUNTA('Procyclean 600'!B23,'Procyclean 600'!C23,'Procyclean 600'!D23)&gt;0,"600","")</f>
        <v/>
      </c>
      <c r="AB3021" t="str">
        <f>IFERROR(IF(ISNUMBER('Procyclean 600'!B23),'Procyclean 600'!B23,DATEVALUE('Procyclean 600'!B23)),"")</f>
        <v/>
      </c>
      <c r="AC3021" t="str">
        <f>IF(AA3021="","",'Procyclean 600'!C23)</f>
        <v/>
      </c>
      <c r="AD3021" t="str">
        <f>IF(AA3021="","",IFERROR(1*'Procyclean 600'!D23,IFERROR(_xludf.NUMBERVALUE('Procyclean 600'!D23,".",","),IFERROR(_xludf.NUMBERVALUE('Procyclean 600'!D23,",","."),0))))</f>
        <v/>
      </c>
      <c r="AE3021" t="str">
        <f>IF(AA3021="","",'Procyclean 600'!K23)</f>
        <v/>
      </c>
      <c r="AF3021">
        <f t="shared" si="299"/>
        <v>0</v>
      </c>
      <c r="AG3021" t="str">
        <f t="shared" si="300"/>
        <v/>
      </c>
      <c r="AH3021" t="str">
        <f t="shared" si="301"/>
        <v/>
      </c>
      <c r="AI3021">
        <f t="shared" si="302"/>
        <v>0</v>
      </c>
      <c r="AJ3021">
        <f t="shared" si="303"/>
        <v>0</v>
      </c>
      <c r="AK3021">
        <v>0</v>
      </c>
      <c r="AL3021" t="str">
        <f>IF(AA3021="","",IFERROR(IF(ISNUMBER('Procyclean 600'!E23),'Procyclean 600'!E23,IF(ISNUMBER(SEARCH("12",'Procyclean 600'!E23)),EDATE(AB3021,12),IF(ISNUMBER(SEARCH("6",'Procyclean 600'!E23)),EDATE(AB3021,6),IF(ISNUMBER(SEARCH("3",'Procyclean 600'!E23)),EDATE(AB3021,3),DATEVALUE('Procyclean 600'!E23))))),""))</f>
        <v/>
      </c>
      <c r="AM3021" t="str">
        <f t="shared" ca="1" si="304"/>
        <v/>
      </c>
    </row>
    <row r="3022" spans="27:39" x14ac:dyDescent="0.3">
      <c r="AA3022" t="str">
        <f>IF(COUNTA('Procyclean 600'!B24,'Procyclean 600'!C24,'Procyclean 600'!D24)&gt;0,"600","")</f>
        <v/>
      </c>
      <c r="AB3022" t="str">
        <f>IFERROR(IF(ISNUMBER('Procyclean 600'!B24),'Procyclean 600'!B24,DATEVALUE('Procyclean 600'!B24)),"")</f>
        <v/>
      </c>
      <c r="AC3022" t="str">
        <f>IF(AA3022="","",'Procyclean 600'!C24)</f>
        <v/>
      </c>
      <c r="AD3022" t="str">
        <f>IF(AA3022="","",IFERROR(1*'Procyclean 600'!D24,IFERROR(_xludf.NUMBERVALUE('Procyclean 600'!D24,".",","),IFERROR(_xludf.NUMBERVALUE('Procyclean 600'!D24,",","."),0))))</f>
        <v/>
      </c>
      <c r="AE3022" t="str">
        <f>IF(AA3022="","",'Procyclean 600'!K24)</f>
        <v/>
      </c>
      <c r="AF3022">
        <f t="shared" si="299"/>
        <v>0</v>
      </c>
      <c r="AG3022" t="str">
        <f t="shared" si="300"/>
        <v/>
      </c>
      <c r="AH3022" t="str">
        <f t="shared" si="301"/>
        <v/>
      </c>
      <c r="AI3022">
        <f t="shared" si="302"/>
        <v>0</v>
      </c>
      <c r="AJ3022">
        <f t="shared" si="303"/>
        <v>0</v>
      </c>
      <c r="AK3022">
        <v>0</v>
      </c>
      <c r="AL3022" t="str">
        <f>IF(AA3022="","",IFERROR(IF(ISNUMBER('Procyclean 600'!E24),'Procyclean 600'!E24,IF(ISNUMBER(SEARCH("12",'Procyclean 600'!E24)),EDATE(AB3022,12),IF(ISNUMBER(SEARCH("6",'Procyclean 600'!E24)),EDATE(AB3022,6),IF(ISNUMBER(SEARCH("3",'Procyclean 600'!E24)),EDATE(AB3022,3),DATEVALUE('Procyclean 600'!E24))))),""))</f>
        <v/>
      </c>
      <c r="AM3022" t="str">
        <f t="shared" ca="1" si="304"/>
        <v/>
      </c>
    </row>
    <row r="3023" spans="27:39" x14ac:dyDescent="0.3">
      <c r="AA3023" t="str">
        <f>IF(COUNTA('Procyclean 600'!B25,'Procyclean 600'!C25,'Procyclean 600'!D25)&gt;0,"600","")</f>
        <v/>
      </c>
      <c r="AB3023" t="str">
        <f>IFERROR(IF(ISNUMBER('Procyclean 600'!B25),'Procyclean 600'!B25,DATEVALUE('Procyclean 600'!B25)),"")</f>
        <v/>
      </c>
      <c r="AC3023" t="str">
        <f>IF(AA3023="","",'Procyclean 600'!C25)</f>
        <v/>
      </c>
      <c r="AD3023" t="str">
        <f>IF(AA3023="","",IFERROR(1*'Procyclean 600'!D25,IFERROR(_xludf.NUMBERVALUE('Procyclean 600'!D25,".",","),IFERROR(_xludf.NUMBERVALUE('Procyclean 600'!D25,",","."),0))))</f>
        <v/>
      </c>
      <c r="AE3023" t="str">
        <f>IF(AA3023="","",'Procyclean 600'!K25)</f>
        <v/>
      </c>
      <c r="AF3023">
        <f t="shared" si="299"/>
        <v>0</v>
      </c>
      <c r="AG3023" t="str">
        <f t="shared" si="300"/>
        <v/>
      </c>
      <c r="AH3023" t="str">
        <f t="shared" si="301"/>
        <v/>
      </c>
      <c r="AI3023">
        <f t="shared" si="302"/>
        <v>0</v>
      </c>
      <c r="AJ3023">
        <f t="shared" si="303"/>
        <v>0</v>
      </c>
      <c r="AK3023">
        <v>0</v>
      </c>
      <c r="AL3023" t="str">
        <f>IF(AA3023="","",IFERROR(IF(ISNUMBER('Procyclean 600'!E25),'Procyclean 600'!E25,IF(ISNUMBER(SEARCH("12",'Procyclean 600'!E25)),EDATE(AB3023,12),IF(ISNUMBER(SEARCH("6",'Procyclean 600'!E25)),EDATE(AB3023,6),IF(ISNUMBER(SEARCH("3",'Procyclean 600'!E25)),EDATE(AB3023,3),DATEVALUE('Procyclean 600'!E25))))),""))</f>
        <v/>
      </c>
      <c r="AM3023" t="str">
        <f t="shared" ca="1" si="304"/>
        <v/>
      </c>
    </row>
    <row r="3024" spans="27:39" x14ac:dyDescent="0.3">
      <c r="AA3024" t="str">
        <f>IF(COUNTA('Procyclean 600'!B26,'Procyclean 600'!C26,'Procyclean 600'!D26)&gt;0,"600","")</f>
        <v/>
      </c>
      <c r="AB3024" t="str">
        <f>IFERROR(IF(ISNUMBER('Procyclean 600'!B26),'Procyclean 600'!B26,DATEVALUE('Procyclean 600'!B26)),"")</f>
        <v/>
      </c>
      <c r="AC3024" t="str">
        <f>IF(AA3024="","",'Procyclean 600'!C26)</f>
        <v/>
      </c>
      <c r="AD3024" t="str">
        <f>IF(AA3024="","",IFERROR(1*'Procyclean 600'!D26,IFERROR(_xludf.NUMBERVALUE('Procyclean 600'!D26,".",","),IFERROR(_xludf.NUMBERVALUE('Procyclean 600'!D26,",","."),0))))</f>
        <v/>
      </c>
      <c r="AE3024" t="str">
        <f>IF(AA3024="","",'Procyclean 600'!K26)</f>
        <v/>
      </c>
      <c r="AF3024">
        <f t="shared" si="299"/>
        <v>0</v>
      </c>
      <c r="AG3024" t="str">
        <f t="shared" si="300"/>
        <v/>
      </c>
      <c r="AH3024" t="str">
        <f t="shared" si="301"/>
        <v/>
      </c>
      <c r="AI3024">
        <f t="shared" si="302"/>
        <v>0</v>
      </c>
      <c r="AJ3024">
        <f t="shared" si="303"/>
        <v>0</v>
      </c>
      <c r="AK3024">
        <v>0</v>
      </c>
      <c r="AL3024" t="str">
        <f>IF(AA3024="","",IFERROR(IF(ISNUMBER('Procyclean 600'!E26),'Procyclean 600'!E26,IF(ISNUMBER(SEARCH("12",'Procyclean 600'!E26)),EDATE(AB3024,12),IF(ISNUMBER(SEARCH("6",'Procyclean 600'!E26)),EDATE(AB3024,6),IF(ISNUMBER(SEARCH("3",'Procyclean 600'!E26)),EDATE(AB3024,3),DATEVALUE('Procyclean 600'!E26))))),""))</f>
        <v/>
      </c>
      <c r="AM3024" t="str">
        <f t="shared" ca="1" si="304"/>
        <v/>
      </c>
    </row>
    <row r="3025" spans="27:39" x14ac:dyDescent="0.3">
      <c r="AA3025" t="str">
        <f>IF(COUNTA('Procyclean 600'!B27,'Procyclean 600'!C27,'Procyclean 600'!D27)&gt;0,"600","")</f>
        <v/>
      </c>
      <c r="AB3025" t="str">
        <f>IFERROR(IF(ISNUMBER('Procyclean 600'!B27),'Procyclean 600'!B27,DATEVALUE('Procyclean 600'!B27)),"")</f>
        <v/>
      </c>
      <c r="AC3025" t="str">
        <f>IF(AA3025="","",'Procyclean 600'!C27)</f>
        <v/>
      </c>
      <c r="AD3025" t="str">
        <f>IF(AA3025="","",IFERROR(1*'Procyclean 600'!D27,IFERROR(_xludf.NUMBERVALUE('Procyclean 600'!D27,".",","),IFERROR(_xludf.NUMBERVALUE('Procyclean 600'!D27,",","."),0))))</f>
        <v/>
      </c>
      <c r="AE3025" t="str">
        <f>IF(AA3025="","",'Procyclean 600'!K27)</f>
        <v/>
      </c>
      <c r="AF3025">
        <f t="shared" si="299"/>
        <v>0</v>
      </c>
      <c r="AG3025" t="str">
        <f t="shared" si="300"/>
        <v/>
      </c>
      <c r="AH3025" t="str">
        <f t="shared" si="301"/>
        <v/>
      </c>
      <c r="AI3025">
        <f t="shared" si="302"/>
        <v>0</v>
      </c>
      <c r="AJ3025">
        <f t="shared" si="303"/>
        <v>0</v>
      </c>
      <c r="AK3025">
        <v>0</v>
      </c>
      <c r="AL3025" t="str">
        <f>IF(AA3025="","",IFERROR(IF(ISNUMBER('Procyclean 600'!E27),'Procyclean 600'!E27,IF(ISNUMBER(SEARCH("12",'Procyclean 600'!E27)),EDATE(AB3025,12),IF(ISNUMBER(SEARCH("6",'Procyclean 600'!E27)),EDATE(AB3025,6),IF(ISNUMBER(SEARCH("3",'Procyclean 600'!E27)),EDATE(AB3025,3),DATEVALUE('Procyclean 600'!E27))))),""))</f>
        <v/>
      </c>
      <c r="AM3025" t="str">
        <f t="shared" ca="1" si="304"/>
        <v/>
      </c>
    </row>
    <row r="3026" spans="27:39" x14ac:dyDescent="0.3">
      <c r="AA3026" t="str">
        <f>IF(COUNTA('Procyclean 600'!B28,'Procyclean 600'!C28,'Procyclean 600'!D28)&gt;0,"600","")</f>
        <v/>
      </c>
      <c r="AB3026" t="str">
        <f>IFERROR(IF(ISNUMBER('Procyclean 600'!B28),'Procyclean 600'!B28,DATEVALUE('Procyclean 600'!B28)),"")</f>
        <v/>
      </c>
      <c r="AC3026" t="str">
        <f>IF(AA3026="","",'Procyclean 600'!C28)</f>
        <v/>
      </c>
      <c r="AD3026" t="str">
        <f>IF(AA3026="","",IFERROR(1*'Procyclean 600'!D28,IFERROR(_xludf.NUMBERVALUE('Procyclean 600'!D28,".",","),IFERROR(_xludf.NUMBERVALUE('Procyclean 600'!D28,",","."),0))))</f>
        <v/>
      </c>
      <c r="AE3026" t="str">
        <f>IF(AA3026="","",'Procyclean 600'!K28)</f>
        <v/>
      </c>
      <c r="AF3026">
        <f t="shared" si="299"/>
        <v>0</v>
      </c>
      <c r="AG3026" t="str">
        <f t="shared" si="300"/>
        <v/>
      </c>
      <c r="AH3026" t="str">
        <f t="shared" si="301"/>
        <v/>
      </c>
      <c r="AI3026">
        <f t="shared" si="302"/>
        <v>0</v>
      </c>
      <c r="AJ3026">
        <f t="shared" si="303"/>
        <v>0</v>
      </c>
      <c r="AK3026">
        <v>0</v>
      </c>
      <c r="AL3026" t="str">
        <f>IF(AA3026="","",IFERROR(IF(ISNUMBER('Procyclean 600'!E28),'Procyclean 600'!E28,IF(ISNUMBER(SEARCH("12",'Procyclean 600'!E28)),EDATE(AB3026,12),IF(ISNUMBER(SEARCH("6",'Procyclean 600'!E28)),EDATE(AB3026,6),IF(ISNUMBER(SEARCH("3",'Procyclean 600'!E28)),EDATE(AB3026,3),DATEVALUE('Procyclean 600'!E28))))),""))</f>
        <v/>
      </c>
      <c r="AM3026" t="str">
        <f t="shared" ca="1" si="304"/>
        <v/>
      </c>
    </row>
    <row r="3027" spans="27:39" x14ac:dyDescent="0.3">
      <c r="AA3027" t="str">
        <f>IF(COUNTA('Procyclean 600'!B29,'Procyclean 600'!C29,'Procyclean 600'!D29)&gt;0,"600","")</f>
        <v/>
      </c>
      <c r="AB3027" t="str">
        <f>IFERROR(IF(ISNUMBER('Procyclean 600'!B29),'Procyclean 600'!B29,DATEVALUE('Procyclean 600'!B29)),"")</f>
        <v/>
      </c>
      <c r="AC3027" t="str">
        <f>IF(AA3027="","",'Procyclean 600'!C29)</f>
        <v/>
      </c>
      <c r="AD3027" t="str">
        <f>IF(AA3027="","",IFERROR(1*'Procyclean 600'!D29,IFERROR(_xludf.NUMBERVALUE('Procyclean 600'!D29,".",","),IFERROR(_xludf.NUMBERVALUE('Procyclean 600'!D29,",","."),0))))</f>
        <v/>
      </c>
      <c r="AE3027" t="str">
        <f>IF(AA3027="","",'Procyclean 600'!K29)</f>
        <v/>
      </c>
      <c r="AF3027">
        <f t="shared" si="299"/>
        <v>0</v>
      </c>
      <c r="AG3027" t="str">
        <f t="shared" si="300"/>
        <v/>
      </c>
      <c r="AH3027" t="str">
        <f t="shared" si="301"/>
        <v/>
      </c>
      <c r="AI3027">
        <f t="shared" si="302"/>
        <v>0</v>
      </c>
      <c r="AJ3027">
        <f t="shared" si="303"/>
        <v>0</v>
      </c>
      <c r="AK3027">
        <v>0</v>
      </c>
      <c r="AL3027" t="str">
        <f>IF(AA3027="","",IFERROR(IF(ISNUMBER('Procyclean 600'!E29),'Procyclean 600'!E29,IF(ISNUMBER(SEARCH("12",'Procyclean 600'!E29)),EDATE(AB3027,12),IF(ISNUMBER(SEARCH("6",'Procyclean 600'!E29)),EDATE(AB3027,6),IF(ISNUMBER(SEARCH("3",'Procyclean 600'!E29)),EDATE(AB3027,3),DATEVALUE('Procyclean 600'!E29))))),""))</f>
        <v/>
      </c>
      <c r="AM3027" t="str">
        <f t="shared" ca="1" si="304"/>
        <v/>
      </c>
    </row>
    <row r="3028" spans="27:39" x14ac:dyDescent="0.3">
      <c r="AA3028" t="str">
        <f>IF(COUNTA('Procyclean 600'!B30,'Procyclean 600'!C30,'Procyclean 600'!D30)&gt;0,"600","")</f>
        <v/>
      </c>
      <c r="AB3028" t="str">
        <f>IFERROR(IF(ISNUMBER('Procyclean 600'!B30),'Procyclean 600'!B30,DATEVALUE('Procyclean 600'!B30)),"")</f>
        <v/>
      </c>
      <c r="AC3028" t="str">
        <f>IF(AA3028="","",'Procyclean 600'!C30)</f>
        <v/>
      </c>
      <c r="AD3028" t="str">
        <f>IF(AA3028="","",IFERROR(1*'Procyclean 600'!D30,IFERROR(_xludf.NUMBERVALUE('Procyclean 600'!D30,".",","),IFERROR(_xludf.NUMBERVALUE('Procyclean 600'!D30,",","."),0))))</f>
        <v/>
      </c>
      <c r="AE3028" t="str">
        <f>IF(AA3028="","",'Procyclean 600'!K30)</f>
        <v/>
      </c>
      <c r="AF3028">
        <f t="shared" si="299"/>
        <v>0</v>
      </c>
      <c r="AG3028" t="str">
        <f t="shared" si="300"/>
        <v/>
      </c>
      <c r="AH3028" t="str">
        <f t="shared" si="301"/>
        <v/>
      </c>
      <c r="AI3028">
        <f t="shared" si="302"/>
        <v>0</v>
      </c>
      <c r="AJ3028">
        <f t="shared" si="303"/>
        <v>0</v>
      </c>
      <c r="AK3028">
        <v>0</v>
      </c>
      <c r="AL3028" t="str">
        <f>IF(AA3028="","",IFERROR(IF(ISNUMBER('Procyclean 600'!E30),'Procyclean 600'!E30,IF(ISNUMBER(SEARCH("12",'Procyclean 600'!E30)),EDATE(AB3028,12),IF(ISNUMBER(SEARCH("6",'Procyclean 600'!E30)),EDATE(AB3028,6),IF(ISNUMBER(SEARCH("3",'Procyclean 600'!E30)),EDATE(AB3028,3),DATEVALUE('Procyclean 600'!E30))))),""))</f>
        <v/>
      </c>
      <c r="AM3028" t="str">
        <f t="shared" ca="1" si="304"/>
        <v/>
      </c>
    </row>
    <row r="3029" spans="27:39" x14ac:dyDescent="0.3">
      <c r="AA3029" t="str">
        <f>IF(COUNTA('Procyclean 600'!B31,'Procyclean 600'!C31,'Procyclean 600'!D31)&gt;0,"600","")</f>
        <v/>
      </c>
      <c r="AB3029" t="str">
        <f>IFERROR(IF(ISNUMBER('Procyclean 600'!B31),'Procyclean 600'!B31,DATEVALUE('Procyclean 600'!B31)),"")</f>
        <v/>
      </c>
      <c r="AC3029" t="str">
        <f>IF(AA3029="","",'Procyclean 600'!C31)</f>
        <v/>
      </c>
      <c r="AD3029" t="str">
        <f>IF(AA3029="","",IFERROR(1*'Procyclean 600'!D31,IFERROR(_xludf.NUMBERVALUE('Procyclean 600'!D31,".",","),IFERROR(_xludf.NUMBERVALUE('Procyclean 600'!D31,",","."),0))))</f>
        <v/>
      </c>
      <c r="AE3029" t="str">
        <f>IF(AA3029="","",'Procyclean 600'!K31)</f>
        <v/>
      </c>
      <c r="AF3029">
        <f t="shared" si="299"/>
        <v>0</v>
      </c>
      <c r="AG3029" t="str">
        <f t="shared" si="300"/>
        <v/>
      </c>
      <c r="AH3029" t="str">
        <f t="shared" si="301"/>
        <v/>
      </c>
      <c r="AI3029">
        <f t="shared" si="302"/>
        <v>0</v>
      </c>
      <c r="AJ3029">
        <f t="shared" si="303"/>
        <v>0</v>
      </c>
      <c r="AK3029">
        <v>0</v>
      </c>
      <c r="AL3029" t="str">
        <f>IF(AA3029="","",IFERROR(IF(ISNUMBER('Procyclean 600'!E31),'Procyclean 600'!E31,IF(ISNUMBER(SEARCH("12",'Procyclean 600'!E31)),EDATE(AB3029,12),IF(ISNUMBER(SEARCH("6",'Procyclean 600'!E31)),EDATE(AB3029,6),IF(ISNUMBER(SEARCH("3",'Procyclean 600'!E31)),EDATE(AB3029,3),DATEVALUE('Procyclean 600'!E31))))),""))</f>
        <v/>
      </c>
      <c r="AM3029" t="str">
        <f t="shared" ca="1" si="304"/>
        <v/>
      </c>
    </row>
    <row r="3030" spans="27:39" x14ac:dyDescent="0.3">
      <c r="AA3030" t="str">
        <f>IF(COUNTA('Procyclean 600'!B32,'Procyclean 600'!C32,'Procyclean 600'!D32)&gt;0,"600","")</f>
        <v/>
      </c>
      <c r="AB3030" t="str">
        <f>IFERROR(IF(ISNUMBER('Procyclean 600'!B32),'Procyclean 600'!B32,DATEVALUE('Procyclean 600'!B32)),"")</f>
        <v/>
      </c>
      <c r="AC3030" t="str">
        <f>IF(AA3030="","",'Procyclean 600'!C32)</f>
        <v/>
      </c>
      <c r="AD3030" t="str">
        <f>IF(AA3030="","",IFERROR(1*'Procyclean 600'!D32,IFERROR(_xludf.NUMBERVALUE('Procyclean 600'!D32,".",","),IFERROR(_xludf.NUMBERVALUE('Procyclean 600'!D32,",","."),0))))</f>
        <v/>
      </c>
      <c r="AE3030" t="str">
        <f>IF(AA3030="","",'Procyclean 600'!K32)</f>
        <v/>
      </c>
      <c r="AF3030">
        <f t="shared" si="299"/>
        <v>0</v>
      </c>
      <c r="AG3030" t="str">
        <f t="shared" si="300"/>
        <v/>
      </c>
      <c r="AH3030" t="str">
        <f t="shared" si="301"/>
        <v/>
      </c>
      <c r="AI3030">
        <f t="shared" si="302"/>
        <v>0</v>
      </c>
      <c r="AJ3030">
        <f t="shared" si="303"/>
        <v>0</v>
      </c>
      <c r="AK3030">
        <v>0</v>
      </c>
      <c r="AL3030" t="str">
        <f>IF(AA3030="","",IFERROR(IF(ISNUMBER('Procyclean 600'!E32),'Procyclean 600'!E32,IF(ISNUMBER(SEARCH("12",'Procyclean 600'!E32)),EDATE(AB3030,12),IF(ISNUMBER(SEARCH("6",'Procyclean 600'!E32)),EDATE(AB3030,6),IF(ISNUMBER(SEARCH("3",'Procyclean 600'!E32)),EDATE(AB3030,3),DATEVALUE('Procyclean 600'!E32))))),""))</f>
        <v/>
      </c>
      <c r="AM3030" t="str">
        <f t="shared" ca="1" si="304"/>
        <v/>
      </c>
    </row>
    <row r="3031" spans="27:39" x14ac:dyDescent="0.3">
      <c r="AA3031" t="str">
        <f>IF(COUNTA('Procyclean 600'!B33,'Procyclean 600'!C33,'Procyclean 600'!D33)&gt;0,"600","")</f>
        <v/>
      </c>
      <c r="AB3031" t="str">
        <f>IFERROR(IF(ISNUMBER('Procyclean 600'!B33),'Procyclean 600'!B33,DATEVALUE('Procyclean 600'!B33)),"")</f>
        <v/>
      </c>
      <c r="AC3031" t="str">
        <f>IF(AA3031="","",'Procyclean 600'!C33)</f>
        <v/>
      </c>
      <c r="AD3031" t="str">
        <f>IF(AA3031="","",IFERROR(1*'Procyclean 600'!D33,IFERROR(_xludf.NUMBERVALUE('Procyclean 600'!D33,".",","),IFERROR(_xludf.NUMBERVALUE('Procyclean 600'!D33,",","."),0))))</f>
        <v/>
      </c>
      <c r="AE3031" t="str">
        <f>IF(AA3031="","",'Procyclean 600'!K33)</f>
        <v/>
      </c>
      <c r="AF3031">
        <f t="shared" si="299"/>
        <v>0</v>
      </c>
      <c r="AG3031" t="str">
        <f t="shared" si="300"/>
        <v/>
      </c>
      <c r="AH3031" t="str">
        <f t="shared" si="301"/>
        <v/>
      </c>
      <c r="AI3031">
        <f t="shared" si="302"/>
        <v>0</v>
      </c>
      <c r="AJ3031">
        <f t="shared" si="303"/>
        <v>0</v>
      </c>
      <c r="AK3031">
        <v>0</v>
      </c>
      <c r="AL3031" t="str">
        <f>IF(AA3031="","",IFERROR(IF(ISNUMBER('Procyclean 600'!E33),'Procyclean 600'!E33,IF(ISNUMBER(SEARCH("12",'Procyclean 600'!E33)),EDATE(AB3031,12),IF(ISNUMBER(SEARCH("6",'Procyclean 600'!E33)),EDATE(AB3031,6),IF(ISNUMBER(SEARCH("3",'Procyclean 600'!E33)),EDATE(AB3031,3),DATEVALUE('Procyclean 600'!E33))))),""))</f>
        <v/>
      </c>
      <c r="AM3031" t="str">
        <f t="shared" ca="1" si="304"/>
        <v/>
      </c>
    </row>
    <row r="3032" spans="27:39" x14ac:dyDescent="0.3">
      <c r="AA3032" t="str">
        <f>IF(COUNTA('Procyclean 600'!B34,'Procyclean 600'!C34,'Procyclean 600'!D34)&gt;0,"600","")</f>
        <v/>
      </c>
      <c r="AB3032" t="str">
        <f>IFERROR(IF(ISNUMBER('Procyclean 600'!B34),'Procyclean 600'!B34,DATEVALUE('Procyclean 600'!B34)),"")</f>
        <v/>
      </c>
      <c r="AC3032" t="str">
        <f>IF(AA3032="","",'Procyclean 600'!C34)</f>
        <v/>
      </c>
      <c r="AD3032" t="str">
        <f>IF(AA3032="","",IFERROR(1*'Procyclean 600'!D34,IFERROR(_xludf.NUMBERVALUE('Procyclean 600'!D34,".",","),IFERROR(_xludf.NUMBERVALUE('Procyclean 600'!D34,",","."),0))))</f>
        <v/>
      </c>
      <c r="AE3032" t="str">
        <f>IF(AA3032="","",'Procyclean 600'!K34)</f>
        <v/>
      </c>
      <c r="AF3032">
        <f t="shared" si="299"/>
        <v>0</v>
      </c>
      <c r="AG3032" t="str">
        <f t="shared" si="300"/>
        <v/>
      </c>
      <c r="AH3032" t="str">
        <f t="shared" si="301"/>
        <v/>
      </c>
      <c r="AI3032">
        <f t="shared" si="302"/>
        <v>0</v>
      </c>
      <c r="AJ3032">
        <f t="shared" si="303"/>
        <v>0</v>
      </c>
      <c r="AK3032">
        <v>0</v>
      </c>
      <c r="AL3032" t="str">
        <f>IF(AA3032="","",IFERROR(IF(ISNUMBER('Procyclean 600'!E34),'Procyclean 600'!E34,IF(ISNUMBER(SEARCH("12",'Procyclean 600'!E34)),EDATE(AB3032,12),IF(ISNUMBER(SEARCH("6",'Procyclean 600'!E34)),EDATE(AB3032,6),IF(ISNUMBER(SEARCH("3",'Procyclean 600'!E34)),EDATE(AB3032,3),DATEVALUE('Procyclean 600'!E34))))),""))</f>
        <v/>
      </c>
      <c r="AM3032" t="str">
        <f t="shared" ca="1" si="304"/>
        <v/>
      </c>
    </row>
    <row r="3033" spans="27:39" x14ac:dyDescent="0.3">
      <c r="AA3033" t="str">
        <f>IF(COUNTA('Procyclean 600'!B35,'Procyclean 600'!C35,'Procyclean 600'!D35)&gt;0,"600","")</f>
        <v/>
      </c>
      <c r="AB3033" t="str">
        <f>IFERROR(IF(ISNUMBER('Procyclean 600'!B35),'Procyclean 600'!B35,DATEVALUE('Procyclean 600'!B35)),"")</f>
        <v/>
      </c>
      <c r="AC3033" t="str">
        <f>IF(AA3033="","",'Procyclean 600'!C35)</f>
        <v/>
      </c>
      <c r="AD3033" t="str">
        <f>IF(AA3033="","",IFERROR(1*'Procyclean 600'!D35,IFERROR(_xludf.NUMBERVALUE('Procyclean 600'!D35,".",","),IFERROR(_xludf.NUMBERVALUE('Procyclean 600'!D35,",","."),0))))</f>
        <v/>
      </c>
      <c r="AE3033" t="str">
        <f>IF(AA3033="","",'Procyclean 600'!K35)</f>
        <v/>
      </c>
      <c r="AF3033">
        <f t="shared" si="299"/>
        <v>0</v>
      </c>
      <c r="AG3033" t="str">
        <f t="shared" si="300"/>
        <v/>
      </c>
      <c r="AH3033" t="str">
        <f t="shared" si="301"/>
        <v/>
      </c>
      <c r="AI3033">
        <f t="shared" si="302"/>
        <v>0</v>
      </c>
      <c r="AJ3033">
        <f t="shared" si="303"/>
        <v>0</v>
      </c>
      <c r="AK3033">
        <v>0</v>
      </c>
      <c r="AL3033" t="str">
        <f>IF(AA3033="","",IFERROR(IF(ISNUMBER('Procyclean 600'!E35),'Procyclean 600'!E35,IF(ISNUMBER(SEARCH("12",'Procyclean 600'!E35)),EDATE(AB3033,12),IF(ISNUMBER(SEARCH("6",'Procyclean 600'!E35)),EDATE(AB3033,6),IF(ISNUMBER(SEARCH("3",'Procyclean 600'!E35)),EDATE(AB3033,3),DATEVALUE('Procyclean 600'!E35))))),""))</f>
        <v/>
      </c>
      <c r="AM3033" t="str">
        <f t="shared" ca="1" si="304"/>
        <v/>
      </c>
    </row>
    <row r="3034" spans="27:39" x14ac:dyDescent="0.3">
      <c r="AA3034" t="str">
        <f>IF(COUNTA('Procyclean 600'!B36,'Procyclean 600'!C36,'Procyclean 600'!D36)&gt;0,"600","")</f>
        <v/>
      </c>
      <c r="AB3034" t="str">
        <f>IFERROR(IF(ISNUMBER('Procyclean 600'!B36),'Procyclean 600'!B36,DATEVALUE('Procyclean 600'!B36)),"")</f>
        <v/>
      </c>
      <c r="AC3034" t="str">
        <f>IF(AA3034="","",'Procyclean 600'!C36)</f>
        <v/>
      </c>
      <c r="AD3034" t="str">
        <f>IF(AA3034="","",IFERROR(1*'Procyclean 600'!D36,IFERROR(_xludf.NUMBERVALUE('Procyclean 600'!D36,".",","),IFERROR(_xludf.NUMBERVALUE('Procyclean 600'!D36,",","."),0))))</f>
        <v/>
      </c>
      <c r="AE3034" t="str">
        <f>IF(AA3034="","",'Procyclean 600'!K36)</f>
        <v/>
      </c>
      <c r="AF3034">
        <f t="shared" si="299"/>
        <v>0</v>
      </c>
      <c r="AG3034" t="str">
        <f t="shared" si="300"/>
        <v/>
      </c>
      <c r="AH3034" t="str">
        <f t="shared" si="301"/>
        <v/>
      </c>
      <c r="AI3034">
        <f t="shared" si="302"/>
        <v>0</v>
      </c>
      <c r="AJ3034">
        <f t="shared" si="303"/>
        <v>0</v>
      </c>
      <c r="AK3034">
        <v>0</v>
      </c>
      <c r="AL3034" t="str">
        <f>IF(AA3034="","",IFERROR(IF(ISNUMBER('Procyclean 600'!E36),'Procyclean 600'!E36,IF(ISNUMBER(SEARCH("12",'Procyclean 600'!E36)),EDATE(AB3034,12),IF(ISNUMBER(SEARCH("6",'Procyclean 600'!E36)),EDATE(AB3034,6),IF(ISNUMBER(SEARCH("3",'Procyclean 600'!E36)),EDATE(AB3034,3),DATEVALUE('Procyclean 600'!E36))))),""))</f>
        <v/>
      </c>
      <c r="AM3034" t="str">
        <f t="shared" ca="1" si="304"/>
        <v/>
      </c>
    </row>
    <row r="3035" spans="27:39" x14ac:dyDescent="0.3">
      <c r="AA3035" t="str">
        <f>IF(COUNTA('Procyclean 600'!B37,'Procyclean 600'!C37,'Procyclean 600'!D37)&gt;0,"600","")</f>
        <v/>
      </c>
      <c r="AB3035" t="str">
        <f>IFERROR(IF(ISNUMBER('Procyclean 600'!B37),'Procyclean 600'!B37,DATEVALUE('Procyclean 600'!B37)),"")</f>
        <v/>
      </c>
      <c r="AC3035" t="str">
        <f>IF(AA3035="","",'Procyclean 600'!C37)</f>
        <v/>
      </c>
      <c r="AD3035" t="str">
        <f>IF(AA3035="","",IFERROR(1*'Procyclean 600'!D37,IFERROR(_xludf.NUMBERVALUE('Procyclean 600'!D37,".",","),IFERROR(_xludf.NUMBERVALUE('Procyclean 600'!D37,",","."),0))))</f>
        <v/>
      </c>
      <c r="AE3035" t="str">
        <f>IF(AA3035="","",'Procyclean 600'!K37)</f>
        <v/>
      </c>
      <c r="AF3035">
        <f t="shared" si="299"/>
        <v>0</v>
      </c>
      <c r="AG3035" t="str">
        <f t="shared" si="300"/>
        <v/>
      </c>
      <c r="AH3035" t="str">
        <f t="shared" si="301"/>
        <v/>
      </c>
      <c r="AI3035">
        <f t="shared" si="302"/>
        <v>0</v>
      </c>
      <c r="AJ3035">
        <f t="shared" si="303"/>
        <v>0</v>
      </c>
      <c r="AK3035">
        <v>0</v>
      </c>
      <c r="AL3035" t="str">
        <f>IF(AA3035="","",IFERROR(IF(ISNUMBER('Procyclean 600'!E37),'Procyclean 600'!E37,IF(ISNUMBER(SEARCH("12",'Procyclean 600'!E37)),EDATE(AB3035,12),IF(ISNUMBER(SEARCH("6",'Procyclean 600'!E37)),EDATE(AB3035,6),IF(ISNUMBER(SEARCH("3",'Procyclean 600'!E37)),EDATE(AB3035,3),DATEVALUE('Procyclean 600'!E37))))),""))</f>
        <v/>
      </c>
      <c r="AM3035" t="str">
        <f t="shared" ca="1" si="304"/>
        <v/>
      </c>
    </row>
    <row r="3036" spans="27:39" x14ac:dyDescent="0.3">
      <c r="AA3036" t="str">
        <f>IF(COUNTA('Procyclean 600'!B38,'Procyclean 600'!C38,'Procyclean 600'!D38)&gt;0,"600","")</f>
        <v/>
      </c>
      <c r="AB3036" t="str">
        <f>IFERROR(IF(ISNUMBER('Procyclean 600'!B38),'Procyclean 600'!B38,DATEVALUE('Procyclean 600'!B38)),"")</f>
        <v/>
      </c>
      <c r="AC3036" t="str">
        <f>IF(AA3036="","",'Procyclean 600'!C38)</f>
        <v/>
      </c>
      <c r="AD3036" t="str">
        <f>IF(AA3036="","",IFERROR(1*'Procyclean 600'!D38,IFERROR(_xludf.NUMBERVALUE('Procyclean 600'!D38,".",","),IFERROR(_xludf.NUMBERVALUE('Procyclean 600'!D38,",","."),0))))</f>
        <v/>
      </c>
      <c r="AE3036" t="str">
        <f>IF(AA3036="","",'Procyclean 600'!K38)</f>
        <v/>
      </c>
      <c r="AF3036">
        <f t="shared" si="299"/>
        <v>0</v>
      </c>
      <c r="AG3036" t="str">
        <f t="shared" si="300"/>
        <v/>
      </c>
      <c r="AH3036" t="str">
        <f t="shared" si="301"/>
        <v/>
      </c>
      <c r="AI3036">
        <f t="shared" si="302"/>
        <v>0</v>
      </c>
      <c r="AJ3036">
        <f t="shared" si="303"/>
        <v>0</v>
      </c>
      <c r="AK3036">
        <v>0</v>
      </c>
      <c r="AL3036" t="str">
        <f>IF(AA3036="","",IFERROR(IF(ISNUMBER('Procyclean 600'!E38),'Procyclean 600'!E38,IF(ISNUMBER(SEARCH("12",'Procyclean 600'!E38)),EDATE(AB3036,12),IF(ISNUMBER(SEARCH("6",'Procyclean 600'!E38)),EDATE(AB3036,6),IF(ISNUMBER(SEARCH("3",'Procyclean 600'!E38)),EDATE(AB3036,3),DATEVALUE('Procyclean 600'!E38))))),""))</f>
        <v/>
      </c>
      <c r="AM3036" t="str">
        <f t="shared" ca="1" si="304"/>
        <v/>
      </c>
    </row>
    <row r="3037" spans="27:39" x14ac:dyDescent="0.3">
      <c r="AA3037" t="str">
        <f>IF(COUNTA('Procyclean 600'!B39,'Procyclean 600'!C39,'Procyclean 600'!D39)&gt;0,"600","")</f>
        <v/>
      </c>
      <c r="AB3037" t="str">
        <f>IFERROR(IF(ISNUMBER('Procyclean 600'!B39),'Procyclean 600'!B39,DATEVALUE('Procyclean 600'!B39)),"")</f>
        <v/>
      </c>
      <c r="AC3037" t="str">
        <f>IF(AA3037="","",'Procyclean 600'!C39)</f>
        <v/>
      </c>
      <c r="AD3037" t="str">
        <f>IF(AA3037="","",IFERROR(1*'Procyclean 600'!D39,IFERROR(_xludf.NUMBERVALUE('Procyclean 600'!D39,".",","),IFERROR(_xludf.NUMBERVALUE('Procyclean 600'!D39,",","."),0))))</f>
        <v/>
      </c>
      <c r="AE3037" t="str">
        <f>IF(AA3037="","",'Procyclean 600'!K39)</f>
        <v/>
      </c>
      <c r="AF3037">
        <f t="shared" si="299"/>
        <v>0</v>
      </c>
      <c r="AG3037" t="str">
        <f t="shared" si="300"/>
        <v/>
      </c>
      <c r="AH3037" t="str">
        <f t="shared" si="301"/>
        <v/>
      </c>
      <c r="AI3037">
        <f t="shared" si="302"/>
        <v>0</v>
      </c>
      <c r="AJ3037">
        <f t="shared" si="303"/>
        <v>0</v>
      </c>
      <c r="AK3037">
        <v>0</v>
      </c>
      <c r="AL3037" t="str">
        <f>IF(AA3037="","",IFERROR(IF(ISNUMBER('Procyclean 600'!E39),'Procyclean 600'!E39,IF(ISNUMBER(SEARCH("12",'Procyclean 600'!E39)),EDATE(AB3037,12),IF(ISNUMBER(SEARCH("6",'Procyclean 600'!E39)),EDATE(AB3037,6),IF(ISNUMBER(SEARCH("3",'Procyclean 600'!E39)),EDATE(AB3037,3),DATEVALUE('Procyclean 600'!E39))))),""))</f>
        <v/>
      </c>
      <c r="AM3037" t="str">
        <f t="shared" ca="1" si="304"/>
        <v/>
      </c>
    </row>
    <row r="3038" spans="27:39" x14ac:dyDescent="0.3">
      <c r="AA3038" t="str">
        <f>IF(COUNTA('Procyclean 600'!B40,'Procyclean 600'!C40,'Procyclean 600'!D40)&gt;0,"600","")</f>
        <v/>
      </c>
      <c r="AB3038" t="str">
        <f>IFERROR(IF(ISNUMBER('Procyclean 600'!B40),'Procyclean 600'!B40,DATEVALUE('Procyclean 600'!B40)),"")</f>
        <v/>
      </c>
      <c r="AC3038" t="str">
        <f>IF(AA3038="","",'Procyclean 600'!C40)</f>
        <v/>
      </c>
      <c r="AD3038" t="str">
        <f>IF(AA3038="","",IFERROR(1*'Procyclean 600'!D40,IFERROR(_xludf.NUMBERVALUE('Procyclean 600'!D40,".",","),IFERROR(_xludf.NUMBERVALUE('Procyclean 600'!D40,",","."),0))))</f>
        <v/>
      </c>
      <c r="AE3038" t="str">
        <f>IF(AA3038="","",'Procyclean 600'!K40)</f>
        <v/>
      </c>
      <c r="AF3038">
        <f t="shared" si="299"/>
        <v>0</v>
      </c>
      <c r="AG3038" t="str">
        <f t="shared" si="300"/>
        <v/>
      </c>
      <c r="AH3038" t="str">
        <f t="shared" si="301"/>
        <v/>
      </c>
      <c r="AI3038">
        <f t="shared" si="302"/>
        <v>0</v>
      </c>
      <c r="AJ3038">
        <f t="shared" si="303"/>
        <v>0</v>
      </c>
      <c r="AK3038">
        <v>0</v>
      </c>
      <c r="AL3038" t="str">
        <f>IF(AA3038="","",IFERROR(IF(ISNUMBER('Procyclean 600'!E40),'Procyclean 600'!E40,IF(ISNUMBER(SEARCH("12",'Procyclean 600'!E40)),EDATE(AB3038,12),IF(ISNUMBER(SEARCH("6",'Procyclean 600'!E40)),EDATE(AB3038,6),IF(ISNUMBER(SEARCH("3",'Procyclean 600'!E40)),EDATE(AB3038,3),DATEVALUE('Procyclean 600'!E40))))),""))</f>
        <v/>
      </c>
      <c r="AM3038" t="str">
        <f t="shared" ca="1" si="304"/>
        <v/>
      </c>
    </row>
    <row r="3039" spans="27:39" x14ac:dyDescent="0.3">
      <c r="AA3039" t="str">
        <f>IF(COUNTA('Procyclean 600'!B41,'Procyclean 600'!C41,'Procyclean 600'!D41)&gt;0,"600","")</f>
        <v/>
      </c>
      <c r="AB3039" t="str">
        <f>IFERROR(IF(ISNUMBER('Procyclean 600'!B41),'Procyclean 600'!B41,DATEVALUE('Procyclean 600'!B41)),"")</f>
        <v/>
      </c>
      <c r="AC3039" t="str">
        <f>IF(AA3039="","",'Procyclean 600'!C41)</f>
        <v/>
      </c>
      <c r="AD3039" t="str">
        <f>IF(AA3039="","",IFERROR(1*'Procyclean 600'!D41,IFERROR(_xludf.NUMBERVALUE('Procyclean 600'!D41,".",","),IFERROR(_xludf.NUMBERVALUE('Procyclean 600'!D41,",","."),0))))</f>
        <v/>
      </c>
      <c r="AE3039" t="str">
        <f>IF(AA3039="","",'Procyclean 600'!K41)</f>
        <v/>
      </c>
      <c r="AF3039">
        <f t="shared" si="299"/>
        <v>0</v>
      </c>
      <c r="AG3039" t="str">
        <f t="shared" si="300"/>
        <v/>
      </c>
      <c r="AH3039" t="str">
        <f t="shared" si="301"/>
        <v/>
      </c>
      <c r="AI3039">
        <f t="shared" si="302"/>
        <v>0</v>
      </c>
      <c r="AJ3039">
        <f t="shared" si="303"/>
        <v>0</v>
      </c>
      <c r="AK3039">
        <v>0</v>
      </c>
      <c r="AL3039" t="str">
        <f>IF(AA3039="","",IFERROR(IF(ISNUMBER('Procyclean 600'!E41),'Procyclean 600'!E41,IF(ISNUMBER(SEARCH("12",'Procyclean 600'!E41)),EDATE(AB3039,12),IF(ISNUMBER(SEARCH("6",'Procyclean 600'!E41)),EDATE(AB3039,6),IF(ISNUMBER(SEARCH("3",'Procyclean 600'!E41)),EDATE(AB3039,3),DATEVALUE('Procyclean 600'!E41))))),""))</f>
        <v/>
      </c>
      <c r="AM3039" t="str">
        <f t="shared" ca="1" si="304"/>
        <v/>
      </c>
    </row>
    <row r="3040" spans="27:39" x14ac:dyDescent="0.3">
      <c r="AA3040" t="str">
        <f>IF(COUNTA('Procyclean 600'!B42,'Procyclean 600'!C42,'Procyclean 600'!D42)&gt;0,"600","")</f>
        <v/>
      </c>
      <c r="AB3040" t="str">
        <f>IFERROR(IF(ISNUMBER('Procyclean 600'!B42),'Procyclean 600'!B42,DATEVALUE('Procyclean 600'!B42)),"")</f>
        <v/>
      </c>
      <c r="AC3040" t="str">
        <f>IF(AA3040="","",'Procyclean 600'!C42)</f>
        <v/>
      </c>
      <c r="AD3040" t="str">
        <f>IF(AA3040="","",IFERROR(1*'Procyclean 600'!D42,IFERROR(_xludf.NUMBERVALUE('Procyclean 600'!D42,".",","),IFERROR(_xludf.NUMBERVALUE('Procyclean 600'!D42,",","."),0))))</f>
        <v/>
      </c>
      <c r="AE3040" t="str">
        <f>IF(AA3040="","",'Procyclean 600'!K42)</f>
        <v/>
      </c>
      <c r="AF3040">
        <f t="shared" si="299"/>
        <v>0</v>
      </c>
      <c r="AG3040" t="str">
        <f t="shared" si="300"/>
        <v/>
      </c>
      <c r="AH3040" t="str">
        <f t="shared" si="301"/>
        <v/>
      </c>
      <c r="AI3040">
        <f t="shared" si="302"/>
        <v>0</v>
      </c>
      <c r="AJ3040">
        <f t="shared" si="303"/>
        <v>0</v>
      </c>
      <c r="AK3040">
        <v>0</v>
      </c>
      <c r="AL3040" t="str">
        <f>IF(AA3040="","",IFERROR(IF(ISNUMBER('Procyclean 600'!E42),'Procyclean 600'!E42,IF(ISNUMBER(SEARCH("12",'Procyclean 600'!E42)),EDATE(AB3040,12),IF(ISNUMBER(SEARCH("6",'Procyclean 600'!E42)),EDATE(AB3040,6),IF(ISNUMBER(SEARCH("3",'Procyclean 600'!E42)),EDATE(AB3040,3),DATEVALUE('Procyclean 600'!E42))))),""))</f>
        <v/>
      </c>
      <c r="AM3040" t="str">
        <f t="shared" ca="1" si="304"/>
        <v/>
      </c>
    </row>
    <row r="3041" spans="27:39" x14ac:dyDescent="0.3">
      <c r="AA3041" t="str">
        <f>IF(COUNTA('Procyclean 600'!B43,'Procyclean 600'!C43,'Procyclean 600'!D43)&gt;0,"600","")</f>
        <v/>
      </c>
      <c r="AB3041" t="str">
        <f>IFERROR(IF(ISNUMBER('Procyclean 600'!B43),'Procyclean 600'!B43,DATEVALUE('Procyclean 600'!B43)),"")</f>
        <v/>
      </c>
      <c r="AC3041" t="str">
        <f>IF(AA3041="","",'Procyclean 600'!C43)</f>
        <v/>
      </c>
      <c r="AD3041" t="str">
        <f>IF(AA3041="","",IFERROR(1*'Procyclean 600'!D43,IFERROR(_xludf.NUMBERVALUE('Procyclean 600'!D43,".",","),IFERROR(_xludf.NUMBERVALUE('Procyclean 600'!D43,",","."),0))))</f>
        <v/>
      </c>
      <c r="AE3041" t="str">
        <f>IF(AA3041="","",'Procyclean 600'!K43)</f>
        <v/>
      </c>
      <c r="AF3041">
        <f t="shared" si="299"/>
        <v>0</v>
      </c>
      <c r="AG3041" t="str">
        <f t="shared" si="300"/>
        <v/>
      </c>
      <c r="AH3041" t="str">
        <f t="shared" si="301"/>
        <v/>
      </c>
      <c r="AI3041">
        <f t="shared" si="302"/>
        <v>0</v>
      </c>
      <c r="AJ3041">
        <f t="shared" si="303"/>
        <v>0</v>
      </c>
      <c r="AK3041">
        <v>0</v>
      </c>
      <c r="AL3041" t="str">
        <f>IF(AA3041="","",IFERROR(IF(ISNUMBER('Procyclean 600'!E43),'Procyclean 600'!E43,IF(ISNUMBER(SEARCH("12",'Procyclean 600'!E43)),EDATE(AB3041,12),IF(ISNUMBER(SEARCH("6",'Procyclean 600'!E43)),EDATE(AB3041,6),IF(ISNUMBER(SEARCH("3",'Procyclean 600'!E43)),EDATE(AB3041,3),DATEVALUE('Procyclean 600'!E43))))),""))</f>
        <v/>
      </c>
      <c r="AM3041" t="str">
        <f t="shared" ca="1" si="304"/>
        <v/>
      </c>
    </row>
    <row r="3042" spans="27:39" x14ac:dyDescent="0.3">
      <c r="AA3042" t="str">
        <f>IF(COUNTA('Procyclean 600'!B44,'Procyclean 600'!C44,'Procyclean 600'!D44)&gt;0,"600","")</f>
        <v/>
      </c>
      <c r="AB3042" t="str">
        <f>IFERROR(IF(ISNUMBER('Procyclean 600'!B44),'Procyclean 600'!B44,DATEVALUE('Procyclean 600'!B44)),"")</f>
        <v/>
      </c>
      <c r="AC3042" t="str">
        <f>IF(AA3042="","",'Procyclean 600'!C44)</f>
        <v/>
      </c>
      <c r="AD3042" t="str">
        <f>IF(AA3042="","",IFERROR(1*'Procyclean 600'!D44,IFERROR(_xludf.NUMBERVALUE('Procyclean 600'!D44,".",","),IFERROR(_xludf.NUMBERVALUE('Procyclean 600'!D44,",","."),0))))</f>
        <v/>
      </c>
      <c r="AE3042" t="str">
        <f>IF(AA3042="","",'Procyclean 600'!K44)</f>
        <v/>
      </c>
      <c r="AF3042">
        <f t="shared" si="299"/>
        <v>0</v>
      </c>
      <c r="AG3042" t="str">
        <f t="shared" si="300"/>
        <v/>
      </c>
      <c r="AH3042" t="str">
        <f t="shared" si="301"/>
        <v/>
      </c>
      <c r="AI3042">
        <f t="shared" si="302"/>
        <v>0</v>
      </c>
      <c r="AJ3042">
        <f t="shared" si="303"/>
        <v>0</v>
      </c>
      <c r="AK3042">
        <v>0</v>
      </c>
      <c r="AL3042" t="str">
        <f>IF(AA3042="","",IFERROR(IF(ISNUMBER('Procyclean 600'!E44),'Procyclean 600'!E44,IF(ISNUMBER(SEARCH("12",'Procyclean 600'!E44)),EDATE(AB3042,12),IF(ISNUMBER(SEARCH("6",'Procyclean 600'!E44)),EDATE(AB3042,6),IF(ISNUMBER(SEARCH("3",'Procyclean 600'!E44)),EDATE(AB3042,3),DATEVALUE('Procyclean 600'!E44))))),""))</f>
        <v/>
      </c>
      <c r="AM3042" t="str">
        <f t="shared" ca="1" si="304"/>
        <v/>
      </c>
    </row>
    <row r="3043" spans="27:39" x14ac:dyDescent="0.3">
      <c r="AA3043" t="str">
        <f>IF(COUNTA('Procyclean 600'!B45,'Procyclean 600'!C45,'Procyclean 600'!D45)&gt;0,"600","")</f>
        <v/>
      </c>
      <c r="AB3043" t="str">
        <f>IFERROR(IF(ISNUMBER('Procyclean 600'!B45),'Procyclean 600'!B45,DATEVALUE('Procyclean 600'!B45)),"")</f>
        <v/>
      </c>
      <c r="AC3043" t="str">
        <f>IF(AA3043="","",'Procyclean 600'!C45)</f>
        <v/>
      </c>
      <c r="AD3043" t="str">
        <f>IF(AA3043="","",IFERROR(1*'Procyclean 600'!D45,IFERROR(_xludf.NUMBERVALUE('Procyclean 600'!D45,".",","),IFERROR(_xludf.NUMBERVALUE('Procyclean 600'!D45,",","."),0))))</f>
        <v/>
      </c>
      <c r="AE3043" t="str">
        <f>IF(AA3043="","",'Procyclean 600'!K45)</f>
        <v/>
      </c>
      <c r="AF3043">
        <f t="shared" si="299"/>
        <v>0</v>
      </c>
      <c r="AG3043" t="str">
        <f t="shared" si="300"/>
        <v/>
      </c>
      <c r="AH3043" t="str">
        <f t="shared" si="301"/>
        <v/>
      </c>
      <c r="AI3043">
        <f t="shared" si="302"/>
        <v>0</v>
      </c>
      <c r="AJ3043">
        <f t="shared" si="303"/>
        <v>0</v>
      </c>
      <c r="AK3043">
        <v>0</v>
      </c>
      <c r="AL3043" t="str">
        <f>IF(AA3043="","",IFERROR(IF(ISNUMBER('Procyclean 600'!E45),'Procyclean 600'!E45,IF(ISNUMBER(SEARCH("12",'Procyclean 600'!E45)),EDATE(AB3043,12),IF(ISNUMBER(SEARCH("6",'Procyclean 600'!E45)),EDATE(AB3043,6),IF(ISNUMBER(SEARCH("3",'Procyclean 600'!E45)),EDATE(AB3043,3),DATEVALUE('Procyclean 600'!E45))))),""))</f>
        <v/>
      </c>
      <c r="AM3043" t="str">
        <f t="shared" ca="1" si="304"/>
        <v/>
      </c>
    </row>
    <row r="3044" spans="27:39" x14ac:dyDescent="0.3">
      <c r="AA3044" t="str">
        <f>IF(COUNTA('Procyclean 600'!B46,'Procyclean 600'!C46,'Procyclean 600'!D46)&gt;0,"600","")</f>
        <v/>
      </c>
      <c r="AB3044" t="str">
        <f>IFERROR(IF(ISNUMBER('Procyclean 600'!B46),'Procyclean 600'!B46,DATEVALUE('Procyclean 600'!B46)),"")</f>
        <v/>
      </c>
      <c r="AC3044" t="str">
        <f>IF(AA3044="","",'Procyclean 600'!C46)</f>
        <v/>
      </c>
      <c r="AD3044" t="str">
        <f>IF(AA3044="","",IFERROR(1*'Procyclean 600'!D46,IFERROR(_xludf.NUMBERVALUE('Procyclean 600'!D46,".",","),IFERROR(_xludf.NUMBERVALUE('Procyclean 600'!D46,",","."),0))))</f>
        <v/>
      </c>
      <c r="AE3044" t="str">
        <f>IF(AA3044="","",'Procyclean 600'!K46)</f>
        <v/>
      </c>
      <c r="AF3044">
        <f t="shared" si="299"/>
        <v>0</v>
      </c>
      <c r="AG3044" t="str">
        <f t="shared" si="300"/>
        <v/>
      </c>
      <c r="AH3044" t="str">
        <f t="shared" si="301"/>
        <v/>
      </c>
      <c r="AI3044">
        <f t="shared" si="302"/>
        <v>0</v>
      </c>
      <c r="AJ3044">
        <f t="shared" si="303"/>
        <v>0</v>
      </c>
      <c r="AK3044">
        <v>0</v>
      </c>
      <c r="AL3044" t="str">
        <f>IF(AA3044="","",IFERROR(IF(ISNUMBER('Procyclean 600'!E46),'Procyclean 600'!E46,IF(ISNUMBER(SEARCH("12",'Procyclean 600'!E46)),EDATE(AB3044,12),IF(ISNUMBER(SEARCH("6",'Procyclean 600'!E46)),EDATE(AB3044,6),IF(ISNUMBER(SEARCH("3",'Procyclean 600'!E46)),EDATE(AB3044,3),DATEVALUE('Procyclean 600'!E46))))),""))</f>
        <v/>
      </c>
      <c r="AM3044" t="str">
        <f t="shared" ca="1" si="304"/>
        <v/>
      </c>
    </row>
    <row r="3045" spans="27:39" x14ac:dyDescent="0.3">
      <c r="AA3045" t="str">
        <f>IF(COUNTA('Procyclean 600'!B47,'Procyclean 600'!C47,'Procyclean 600'!D47)&gt;0,"600","")</f>
        <v/>
      </c>
      <c r="AB3045" t="str">
        <f>IFERROR(IF(ISNUMBER('Procyclean 600'!B47),'Procyclean 600'!B47,DATEVALUE('Procyclean 600'!B47)),"")</f>
        <v/>
      </c>
      <c r="AC3045" t="str">
        <f>IF(AA3045="","",'Procyclean 600'!C47)</f>
        <v/>
      </c>
      <c r="AD3045" t="str">
        <f>IF(AA3045="","",IFERROR(1*'Procyclean 600'!D47,IFERROR(_xludf.NUMBERVALUE('Procyclean 600'!D47,".",","),IFERROR(_xludf.NUMBERVALUE('Procyclean 600'!D47,",","."),0))))</f>
        <v/>
      </c>
      <c r="AE3045" t="str">
        <f>IF(AA3045="","",'Procyclean 600'!K47)</f>
        <v/>
      </c>
      <c r="AF3045">
        <f t="shared" si="299"/>
        <v>0</v>
      </c>
      <c r="AG3045" t="str">
        <f t="shared" si="300"/>
        <v/>
      </c>
      <c r="AH3045" t="str">
        <f t="shared" si="301"/>
        <v/>
      </c>
      <c r="AI3045">
        <f t="shared" si="302"/>
        <v>0</v>
      </c>
      <c r="AJ3045">
        <f t="shared" si="303"/>
        <v>0</v>
      </c>
      <c r="AK3045">
        <v>0</v>
      </c>
      <c r="AL3045" t="str">
        <f>IF(AA3045="","",IFERROR(IF(ISNUMBER('Procyclean 600'!E47),'Procyclean 600'!E47,IF(ISNUMBER(SEARCH("12",'Procyclean 600'!E47)),EDATE(AB3045,12),IF(ISNUMBER(SEARCH("6",'Procyclean 600'!E47)),EDATE(AB3045,6),IF(ISNUMBER(SEARCH("3",'Procyclean 600'!E47)),EDATE(AB3045,3),DATEVALUE('Procyclean 600'!E47))))),""))</f>
        <v/>
      </c>
      <c r="AM3045" t="str">
        <f t="shared" ca="1" si="304"/>
        <v/>
      </c>
    </row>
    <row r="3046" spans="27:39" x14ac:dyDescent="0.3">
      <c r="AA3046" t="str">
        <f>IF(COUNTA('Procyclean 600'!B48,'Procyclean 600'!C48,'Procyclean 600'!D48)&gt;0,"600","")</f>
        <v/>
      </c>
      <c r="AB3046" t="str">
        <f>IFERROR(IF(ISNUMBER('Procyclean 600'!B48),'Procyclean 600'!B48,DATEVALUE('Procyclean 600'!B48)),"")</f>
        <v/>
      </c>
      <c r="AC3046" t="str">
        <f>IF(AA3046="","",'Procyclean 600'!C48)</f>
        <v/>
      </c>
      <c r="AD3046" t="str">
        <f>IF(AA3046="","",IFERROR(1*'Procyclean 600'!D48,IFERROR(_xludf.NUMBERVALUE('Procyclean 600'!D48,".",","),IFERROR(_xludf.NUMBERVALUE('Procyclean 600'!D48,",","."),0))))</f>
        <v/>
      </c>
      <c r="AE3046" t="str">
        <f>IF(AA3046="","",'Procyclean 600'!K48)</f>
        <v/>
      </c>
      <c r="AF3046">
        <f t="shared" si="299"/>
        <v>0</v>
      </c>
      <c r="AG3046" t="str">
        <f t="shared" si="300"/>
        <v/>
      </c>
      <c r="AH3046" t="str">
        <f t="shared" si="301"/>
        <v/>
      </c>
      <c r="AI3046">
        <f t="shared" si="302"/>
        <v>0</v>
      </c>
      <c r="AJ3046">
        <f t="shared" si="303"/>
        <v>0</v>
      </c>
      <c r="AK3046">
        <v>0</v>
      </c>
      <c r="AL3046" t="str">
        <f>IF(AA3046="","",IFERROR(IF(ISNUMBER('Procyclean 600'!E48),'Procyclean 600'!E48,IF(ISNUMBER(SEARCH("12",'Procyclean 600'!E48)),EDATE(AB3046,12),IF(ISNUMBER(SEARCH("6",'Procyclean 600'!E48)),EDATE(AB3046,6),IF(ISNUMBER(SEARCH("3",'Procyclean 600'!E48)),EDATE(AB3046,3),DATEVALUE('Procyclean 600'!E48))))),""))</f>
        <v/>
      </c>
      <c r="AM3046" t="str">
        <f t="shared" ca="1" si="304"/>
        <v/>
      </c>
    </row>
    <row r="3047" spans="27:39" x14ac:dyDescent="0.3">
      <c r="AA3047" t="str">
        <f>IF(COUNTA('Procyclean 600'!B49,'Procyclean 600'!C49,'Procyclean 600'!D49)&gt;0,"600","")</f>
        <v/>
      </c>
      <c r="AB3047" t="str">
        <f>IFERROR(IF(ISNUMBER('Procyclean 600'!B49),'Procyclean 600'!B49,DATEVALUE('Procyclean 600'!B49)),"")</f>
        <v/>
      </c>
      <c r="AC3047" t="str">
        <f>IF(AA3047="","",'Procyclean 600'!C49)</f>
        <v/>
      </c>
      <c r="AD3047" t="str">
        <f>IF(AA3047="","",IFERROR(1*'Procyclean 600'!D49,IFERROR(_xludf.NUMBERVALUE('Procyclean 600'!D49,".",","),IFERROR(_xludf.NUMBERVALUE('Procyclean 600'!D49,",","."),0))))</f>
        <v/>
      </c>
      <c r="AE3047" t="str">
        <f>IF(AA3047="","",'Procyclean 600'!K49)</f>
        <v/>
      </c>
      <c r="AF3047">
        <f t="shared" si="299"/>
        <v>0</v>
      </c>
      <c r="AG3047" t="str">
        <f t="shared" si="300"/>
        <v/>
      </c>
      <c r="AH3047" t="str">
        <f t="shared" si="301"/>
        <v/>
      </c>
      <c r="AI3047">
        <f t="shared" si="302"/>
        <v>0</v>
      </c>
      <c r="AJ3047">
        <f t="shared" si="303"/>
        <v>0</v>
      </c>
      <c r="AK3047">
        <v>0</v>
      </c>
      <c r="AL3047" t="str">
        <f>IF(AA3047="","",IFERROR(IF(ISNUMBER('Procyclean 600'!E49),'Procyclean 600'!E49,IF(ISNUMBER(SEARCH("12",'Procyclean 600'!E49)),EDATE(AB3047,12),IF(ISNUMBER(SEARCH("6",'Procyclean 600'!E49)),EDATE(AB3047,6),IF(ISNUMBER(SEARCH("3",'Procyclean 600'!E49)),EDATE(AB3047,3),DATEVALUE('Procyclean 600'!E49))))),""))</f>
        <v/>
      </c>
      <c r="AM3047" t="str">
        <f t="shared" ca="1" si="304"/>
        <v/>
      </c>
    </row>
    <row r="3048" spans="27:39" x14ac:dyDescent="0.3">
      <c r="AA3048" t="str">
        <f>IF(COUNTA('Procyclean 600'!B50,'Procyclean 600'!C50,'Procyclean 600'!D50)&gt;0,"600","")</f>
        <v/>
      </c>
      <c r="AB3048" t="str">
        <f>IFERROR(IF(ISNUMBER('Procyclean 600'!B50),'Procyclean 600'!B50,DATEVALUE('Procyclean 600'!B50)),"")</f>
        <v/>
      </c>
      <c r="AC3048" t="str">
        <f>IF(AA3048="","",'Procyclean 600'!C50)</f>
        <v/>
      </c>
      <c r="AD3048" t="str">
        <f>IF(AA3048="","",IFERROR(1*'Procyclean 600'!D50,IFERROR(_xludf.NUMBERVALUE('Procyclean 600'!D50,".",","),IFERROR(_xludf.NUMBERVALUE('Procyclean 600'!D50,",","."),0))))</f>
        <v/>
      </c>
      <c r="AE3048" t="str">
        <f>IF(AA3048="","",'Procyclean 600'!K50)</f>
        <v/>
      </c>
      <c r="AF3048">
        <f t="shared" si="299"/>
        <v>0</v>
      </c>
      <c r="AG3048" t="str">
        <f t="shared" si="300"/>
        <v/>
      </c>
      <c r="AH3048" t="str">
        <f t="shared" si="301"/>
        <v/>
      </c>
      <c r="AI3048">
        <f t="shared" si="302"/>
        <v>0</v>
      </c>
      <c r="AJ3048">
        <f t="shared" si="303"/>
        <v>0</v>
      </c>
      <c r="AK3048">
        <v>0</v>
      </c>
      <c r="AL3048" t="str">
        <f>IF(AA3048="","",IFERROR(IF(ISNUMBER('Procyclean 600'!E50),'Procyclean 600'!E50,IF(ISNUMBER(SEARCH("12",'Procyclean 600'!E50)),EDATE(AB3048,12),IF(ISNUMBER(SEARCH("6",'Procyclean 600'!E50)),EDATE(AB3048,6),IF(ISNUMBER(SEARCH("3",'Procyclean 600'!E50)),EDATE(AB3048,3),DATEVALUE('Procyclean 600'!E50))))),""))</f>
        <v/>
      </c>
      <c r="AM3048" t="str">
        <f t="shared" ca="1" si="304"/>
        <v/>
      </c>
    </row>
    <row r="3049" spans="27:39" x14ac:dyDescent="0.3">
      <c r="AA3049" t="str">
        <f>IF(COUNTA('Procyclean 600'!B51,'Procyclean 600'!C51,'Procyclean 600'!D51)&gt;0,"600","")</f>
        <v/>
      </c>
      <c r="AB3049" t="str">
        <f>IFERROR(IF(ISNUMBER('Procyclean 600'!B51),'Procyclean 600'!B51,DATEVALUE('Procyclean 600'!B51)),"")</f>
        <v/>
      </c>
      <c r="AC3049" t="str">
        <f>IF(AA3049="","",'Procyclean 600'!C51)</f>
        <v/>
      </c>
      <c r="AD3049" t="str">
        <f>IF(AA3049="","",IFERROR(1*'Procyclean 600'!D51,IFERROR(_xludf.NUMBERVALUE('Procyclean 600'!D51,".",","),IFERROR(_xludf.NUMBERVALUE('Procyclean 600'!D51,",","."),0))))</f>
        <v/>
      </c>
      <c r="AE3049" t="str">
        <f>IF(AA3049="","",'Procyclean 600'!K51)</f>
        <v/>
      </c>
      <c r="AF3049">
        <f t="shared" si="299"/>
        <v>0</v>
      </c>
      <c r="AG3049" t="str">
        <f t="shared" si="300"/>
        <v/>
      </c>
      <c r="AH3049" t="str">
        <f t="shared" si="301"/>
        <v/>
      </c>
      <c r="AI3049">
        <f t="shared" si="302"/>
        <v>0</v>
      </c>
      <c r="AJ3049">
        <f t="shared" si="303"/>
        <v>0</v>
      </c>
      <c r="AK3049">
        <v>0</v>
      </c>
      <c r="AL3049" t="str">
        <f>IF(AA3049="","",IFERROR(IF(ISNUMBER('Procyclean 600'!E51),'Procyclean 600'!E51,IF(ISNUMBER(SEARCH("12",'Procyclean 600'!E51)),EDATE(AB3049,12),IF(ISNUMBER(SEARCH("6",'Procyclean 600'!E51)),EDATE(AB3049,6),IF(ISNUMBER(SEARCH("3",'Procyclean 600'!E51)),EDATE(AB3049,3),DATEVALUE('Procyclean 600'!E51))))),""))</f>
        <v/>
      </c>
      <c r="AM3049" t="str">
        <f t="shared" ca="1" si="304"/>
        <v/>
      </c>
    </row>
    <row r="3050" spans="27:39" x14ac:dyDescent="0.3">
      <c r="AA3050" t="str">
        <f>IF(COUNTA('Procyclean 600'!B52,'Procyclean 600'!C52,'Procyclean 600'!D52)&gt;0,"600","")</f>
        <v/>
      </c>
      <c r="AB3050" t="str">
        <f>IFERROR(IF(ISNUMBER('Procyclean 600'!B52),'Procyclean 600'!B52,DATEVALUE('Procyclean 600'!B52)),"")</f>
        <v/>
      </c>
      <c r="AC3050" t="str">
        <f>IF(AA3050="","",'Procyclean 600'!C52)</f>
        <v/>
      </c>
      <c r="AD3050" t="str">
        <f>IF(AA3050="","",IFERROR(1*'Procyclean 600'!D52,IFERROR(_xludf.NUMBERVALUE('Procyclean 600'!D52,".",","),IFERROR(_xludf.NUMBERVALUE('Procyclean 600'!D52,",","."),0))))</f>
        <v/>
      </c>
      <c r="AE3050" t="str">
        <f>IF(AA3050="","",'Procyclean 600'!K52)</f>
        <v/>
      </c>
      <c r="AF3050">
        <f t="shared" si="299"/>
        <v>0</v>
      </c>
      <c r="AG3050" t="str">
        <f t="shared" si="300"/>
        <v/>
      </c>
      <c r="AH3050" t="str">
        <f t="shared" si="301"/>
        <v/>
      </c>
      <c r="AI3050">
        <f t="shared" si="302"/>
        <v>0</v>
      </c>
      <c r="AJ3050">
        <f t="shared" si="303"/>
        <v>0</v>
      </c>
      <c r="AK3050">
        <v>0</v>
      </c>
      <c r="AL3050" t="str">
        <f>IF(AA3050="","",IFERROR(IF(ISNUMBER('Procyclean 600'!E52),'Procyclean 600'!E52,IF(ISNUMBER(SEARCH("12",'Procyclean 600'!E52)),EDATE(AB3050,12),IF(ISNUMBER(SEARCH("6",'Procyclean 600'!E52)),EDATE(AB3050,6),IF(ISNUMBER(SEARCH("3",'Procyclean 600'!E52)),EDATE(AB3050,3),DATEVALUE('Procyclean 600'!E52))))),""))</f>
        <v/>
      </c>
      <c r="AM3050" t="str">
        <f t="shared" ca="1" si="304"/>
        <v/>
      </c>
    </row>
    <row r="3051" spans="27:39" x14ac:dyDescent="0.3">
      <c r="AA3051" t="str">
        <f>IF(COUNTA('Procyclean 600'!B53,'Procyclean 600'!C53,'Procyclean 600'!D53)&gt;0,"600","")</f>
        <v/>
      </c>
      <c r="AB3051" t="str">
        <f>IFERROR(IF(ISNUMBER('Procyclean 600'!B53),'Procyclean 600'!B53,DATEVALUE('Procyclean 600'!B53)),"")</f>
        <v/>
      </c>
      <c r="AC3051" t="str">
        <f>IF(AA3051="","",'Procyclean 600'!C53)</f>
        <v/>
      </c>
      <c r="AD3051" t="str">
        <f>IF(AA3051="","",IFERROR(1*'Procyclean 600'!D53,IFERROR(_xludf.NUMBERVALUE('Procyclean 600'!D53,".",","),IFERROR(_xludf.NUMBERVALUE('Procyclean 600'!D53,",","."),0))))</f>
        <v/>
      </c>
      <c r="AE3051" t="str">
        <f>IF(AA3051="","",'Procyclean 600'!K53)</f>
        <v/>
      </c>
      <c r="AF3051">
        <f t="shared" si="299"/>
        <v>0</v>
      </c>
      <c r="AG3051" t="str">
        <f t="shared" si="300"/>
        <v/>
      </c>
      <c r="AH3051" t="str">
        <f t="shared" si="301"/>
        <v/>
      </c>
      <c r="AI3051">
        <f t="shared" si="302"/>
        <v>0</v>
      </c>
      <c r="AJ3051">
        <f t="shared" si="303"/>
        <v>0</v>
      </c>
      <c r="AK3051">
        <v>0</v>
      </c>
      <c r="AL3051" t="str">
        <f>IF(AA3051="","",IFERROR(IF(ISNUMBER('Procyclean 600'!E53),'Procyclean 600'!E53,IF(ISNUMBER(SEARCH("12",'Procyclean 600'!E53)),EDATE(AB3051,12),IF(ISNUMBER(SEARCH("6",'Procyclean 600'!E53)),EDATE(AB3051,6),IF(ISNUMBER(SEARCH("3",'Procyclean 600'!E53)),EDATE(AB3051,3),DATEVALUE('Procyclean 600'!E53))))),""))</f>
        <v/>
      </c>
      <c r="AM3051" t="str">
        <f t="shared" ca="1" si="304"/>
        <v/>
      </c>
    </row>
    <row r="3052" spans="27:39" x14ac:dyDescent="0.3">
      <c r="AA3052" t="str">
        <f>IF(COUNTA('Procyclean 600'!B54,'Procyclean 600'!C54,'Procyclean 600'!D54)&gt;0,"600","")</f>
        <v/>
      </c>
      <c r="AB3052" t="str">
        <f>IFERROR(IF(ISNUMBER('Procyclean 600'!B54),'Procyclean 600'!B54,DATEVALUE('Procyclean 600'!B54)),"")</f>
        <v/>
      </c>
      <c r="AC3052" t="str">
        <f>IF(AA3052="","",'Procyclean 600'!C54)</f>
        <v/>
      </c>
      <c r="AD3052" t="str">
        <f>IF(AA3052="","",IFERROR(1*'Procyclean 600'!D54,IFERROR(_xludf.NUMBERVALUE('Procyclean 600'!D54,".",","),IFERROR(_xludf.NUMBERVALUE('Procyclean 600'!D54,",","."),0))))</f>
        <v/>
      </c>
      <c r="AE3052" t="str">
        <f>IF(AA3052="","",'Procyclean 600'!K54)</f>
        <v/>
      </c>
      <c r="AF3052">
        <f t="shared" si="299"/>
        <v>0</v>
      </c>
      <c r="AG3052" t="str">
        <f t="shared" si="300"/>
        <v/>
      </c>
      <c r="AH3052" t="str">
        <f t="shared" si="301"/>
        <v/>
      </c>
      <c r="AI3052">
        <f t="shared" si="302"/>
        <v>0</v>
      </c>
      <c r="AJ3052">
        <f t="shared" si="303"/>
        <v>0</v>
      </c>
      <c r="AK3052">
        <v>0</v>
      </c>
      <c r="AL3052" t="str">
        <f>IF(AA3052="","",IFERROR(IF(ISNUMBER('Procyclean 600'!E54),'Procyclean 600'!E54,IF(ISNUMBER(SEARCH("12",'Procyclean 600'!E54)),EDATE(AB3052,12),IF(ISNUMBER(SEARCH("6",'Procyclean 600'!E54)),EDATE(AB3052,6),IF(ISNUMBER(SEARCH("3",'Procyclean 600'!E54)),EDATE(AB3052,3),DATEVALUE('Procyclean 600'!E54))))),""))</f>
        <v/>
      </c>
      <c r="AM3052" t="str">
        <f t="shared" ca="1" si="304"/>
        <v/>
      </c>
    </row>
    <row r="3053" spans="27:39" x14ac:dyDescent="0.3">
      <c r="AA3053" t="str">
        <f>IF(COUNTA('Procyclean 600'!B55,'Procyclean 600'!C55,'Procyclean 600'!D55)&gt;0,"600","")</f>
        <v/>
      </c>
      <c r="AB3053" t="str">
        <f>IFERROR(IF(ISNUMBER('Procyclean 600'!B55),'Procyclean 600'!B55,DATEVALUE('Procyclean 600'!B55)),"")</f>
        <v/>
      </c>
      <c r="AC3053" t="str">
        <f>IF(AA3053="","",'Procyclean 600'!C55)</f>
        <v/>
      </c>
      <c r="AD3053" t="str">
        <f>IF(AA3053="","",IFERROR(1*'Procyclean 600'!D55,IFERROR(_xludf.NUMBERVALUE('Procyclean 600'!D55,".",","),IFERROR(_xludf.NUMBERVALUE('Procyclean 600'!D55,",","."),0))))</f>
        <v/>
      </c>
      <c r="AE3053" t="str">
        <f>IF(AA3053="","",'Procyclean 600'!K55)</f>
        <v/>
      </c>
      <c r="AF3053">
        <f t="shared" si="299"/>
        <v>0</v>
      </c>
      <c r="AG3053" t="str">
        <f t="shared" si="300"/>
        <v/>
      </c>
      <c r="AH3053" t="str">
        <f t="shared" si="301"/>
        <v/>
      </c>
      <c r="AI3053">
        <f t="shared" si="302"/>
        <v>0</v>
      </c>
      <c r="AJ3053">
        <f t="shared" si="303"/>
        <v>0</v>
      </c>
      <c r="AK3053">
        <v>0</v>
      </c>
      <c r="AL3053" t="str">
        <f>IF(AA3053="","",IFERROR(IF(ISNUMBER('Procyclean 600'!E55),'Procyclean 600'!E55,IF(ISNUMBER(SEARCH("12",'Procyclean 600'!E55)),EDATE(AB3053,12),IF(ISNUMBER(SEARCH("6",'Procyclean 600'!E55)),EDATE(AB3053,6),IF(ISNUMBER(SEARCH("3",'Procyclean 600'!E55)),EDATE(AB3053,3),DATEVALUE('Procyclean 600'!E55))))),""))</f>
        <v/>
      </c>
      <c r="AM3053" t="str">
        <f t="shared" ca="1" si="304"/>
        <v/>
      </c>
    </row>
    <row r="3054" spans="27:39" x14ac:dyDescent="0.3">
      <c r="AA3054" t="str">
        <f>IF(COUNTA('Procyclean 600'!B56,'Procyclean 600'!C56,'Procyclean 600'!D56)&gt;0,"600","")</f>
        <v/>
      </c>
      <c r="AB3054" t="str">
        <f>IFERROR(IF(ISNUMBER('Procyclean 600'!B56),'Procyclean 600'!B56,DATEVALUE('Procyclean 600'!B56)),"")</f>
        <v/>
      </c>
      <c r="AC3054" t="str">
        <f>IF(AA3054="","",'Procyclean 600'!C56)</f>
        <v/>
      </c>
      <c r="AD3054" t="str">
        <f>IF(AA3054="","",IFERROR(1*'Procyclean 600'!D56,IFERROR(_xludf.NUMBERVALUE('Procyclean 600'!D56,".",","),IFERROR(_xludf.NUMBERVALUE('Procyclean 600'!D56,",","."),0))))</f>
        <v/>
      </c>
      <c r="AE3054" t="str">
        <f>IF(AA3054="","",'Procyclean 600'!K56)</f>
        <v/>
      </c>
      <c r="AF3054">
        <f t="shared" si="299"/>
        <v>0</v>
      </c>
      <c r="AG3054" t="str">
        <f t="shared" si="300"/>
        <v/>
      </c>
      <c r="AH3054" t="str">
        <f t="shared" si="301"/>
        <v/>
      </c>
      <c r="AI3054">
        <f t="shared" si="302"/>
        <v>0</v>
      </c>
      <c r="AJ3054">
        <f t="shared" si="303"/>
        <v>0</v>
      </c>
      <c r="AK3054">
        <v>0</v>
      </c>
      <c r="AL3054" t="str">
        <f>IF(AA3054="","",IFERROR(IF(ISNUMBER('Procyclean 600'!E56),'Procyclean 600'!E56,IF(ISNUMBER(SEARCH("12",'Procyclean 600'!E56)),EDATE(AB3054,12),IF(ISNUMBER(SEARCH("6",'Procyclean 600'!E56)),EDATE(AB3054,6),IF(ISNUMBER(SEARCH("3",'Procyclean 600'!E56)),EDATE(AB3054,3),DATEVALUE('Procyclean 600'!E56))))),""))</f>
        <v/>
      </c>
      <c r="AM3054" t="str">
        <f t="shared" ca="1" si="304"/>
        <v/>
      </c>
    </row>
    <row r="3055" spans="27:39" x14ac:dyDescent="0.3">
      <c r="AA3055" t="str">
        <f>IF(COUNTA('Procyclean 600'!B57,'Procyclean 600'!C57,'Procyclean 600'!D57)&gt;0,"600","")</f>
        <v/>
      </c>
      <c r="AB3055" t="str">
        <f>IFERROR(IF(ISNUMBER('Procyclean 600'!B57),'Procyclean 600'!B57,DATEVALUE('Procyclean 600'!B57)),"")</f>
        <v/>
      </c>
      <c r="AC3055" t="str">
        <f>IF(AA3055="","",'Procyclean 600'!C57)</f>
        <v/>
      </c>
      <c r="AD3055" t="str">
        <f>IF(AA3055="","",IFERROR(1*'Procyclean 600'!D57,IFERROR(_xludf.NUMBERVALUE('Procyclean 600'!D57,".",","),IFERROR(_xludf.NUMBERVALUE('Procyclean 600'!D57,",","."),0))))</f>
        <v/>
      </c>
      <c r="AE3055" t="str">
        <f>IF(AA3055="","",'Procyclean 600'!K57)</f>
        <v/>
      </c>
      <c r="AF3055">
        <f t="shared" si="299"/>
        <v>0</v>
      </c>
      <c r="AG3055" t="str">
        <f t="shared" si="300"/>
        <v/>
      </c>
      <c r="AH3055" t="str">
        <f t="shared" si="301"/>
        <v/>
      </c>
      <c r="AI3055">
        <f t="shared" si="302"/>
        <v>0</v>
      </c>
      <c r="AJ3055">
        <f t="shared" si="303"/>
        <v>0</v>
      </c>
      <c r="AK3055">
        <v>0</v>
      </c>
      <c r="AL3055" t="str">
        <f>IF(AA3055="","",IFERROR(IF(ISNUMBER('Procyclean 600'!E57),'Procyclean 600'!E57,IF(ISNUMBER(SEARCH("12",'Procyclean 600'!E57)),EDATE(AB3055,12),IF(ISNUMBER(SEARCH("6",'Procyclean 600'!E57)),EDATE(AB3055,6),IF(ISNUMBER(SEARCH("3",'Procyclean 600'!E57)),EDATE(AB3055,3),DATEVALUE('Procyclean 600'!E57))))),""))</f>
        <v/>
      </c>
      <c r="AM3055" t="str">
        <f t="shared" ca="1" si="304"/>
        <v/>
      </c>
    </row>
    <row r="3056" spans="27:39" x14ac:dyDescent="0.3">
      <c r="AA3056" t="str">
        <f>IF(COUNTA('Procyclean 600'!B58,'Procyclean 600'!C58,'Procyclean 600'!D58)&gt;0,"600","")</f>
        <v/>
      </c>
      <c r="AB3056" t="str">
        <f>IFERROR(IF(ISNUMBER('Procyclean 600'!B58),'Procyclean 600'!B58,DATEVALUE('Procyclean 600'!B58)),"")</f>
        <v/>
      </c>
      <c r="AC3056" t="str">
        <f>IF(AA3056="","",'Procyclean 600'!C58)</f>
        <v/>
      </c>
      <c r="AD3056" t="str">
        <f>IF(AA3056="","",IFERROR(1*'Procyclean 600'!D58,IFERROR(_xludf.NUMBERVALUE('Procyclean 600'!D58,".",","),IFERROR(_xludf.NUMBERVALUE('Procyclean 600'!D58,",","."),0))))</f>
        <v/>
      </c>
      <c r="AE3056" t="str">
        <f>IF(AA3056="","",'Procyclean 600'!K58)</f>
        <v/>
      </c>
      <c r="AF3056">
        <f t="shared" si="299"/>
        <v>0</v>
      </c>
      <c r="AG3056" t="str">
        <f t="shared" si="300"/>
        <v/>
      </c>
      <c r="AH3056" t="str">
        <f t="shared" si="301"/>
        <v/>
      </c>
      <c r="AI3056">
        <f t="shared" si="302"/>
        <v>0</v>
      </c>
      <c r="AJ3056">
        <f t="shared" si="303"/>
        <v>0</v>
      </c>
      <c r="AK3056">
        <v>0</v>
      </c>
      <c r="AL3056" t="str">
        <f>IF(AA3056="","",IFERROR(IF(ISNUMBER('Procyclean 600'!E58),'Procyclean 600'!E58,IF(ISNUMBER(SEARCH("12",'Procyclean 600'!E58)),EDATE(AB3056,12),IF(ISNUMBER(SEARCH("6",'Procyclean 600'!E58)),EDATE(AB3056,6),IF(ISNUMBER(SEARCH("3",'Procyclean 600'!E58)),EDATE(AB3056,3),DATEVALUE('Procyclean 600'!E58))))),""))</f>
        <v/>
      </c>
      <c r="AM3056" t="str">
        <f t="shared" ca="1" si="304"/>
        <v/>
      </c>
    </row>
    <row r="3057" spans="27:39" x14ac:dyDescent="0.3">
      <c r="AA3057" t="str">
        <f>IF(COUNTA('Procyclean 600'!B59,'Procyclean 600'!C59,'Procyclean 600'!D59)&gt;0,"600","")</f>
        <v/>
      </c>
      <c r="AB3057" t="str">
        <f>IFERROR(IF(ISNUMBER('Procyclean 600'!B59),'Procyclean 600'!B59,DATEVALUE('Procyclean 600'!B59)),"")</f>
        <v/>
      </c>
      <c r="AC3057" t="str">
        <f>IF(AA3057="","",'Procyclean 600'!C59)</f>
        <v/>
      </c>
      <c r="AD3057" t="str">
        <f>IF(AA3057="","",IFERROR(1*'Procyclean 600'!D59,IFERROR(_xludf.NUMBERVALUE('Procyclean 600'!D59,".",","),IFERROR(_xludf.NUMBERVALUE('Procyclean 600'!D59,",","."),0))))</f>
        <v/>
      </c>
      <c r="AE3057" t="str">
        <f>IF(AA3057="","",'Procyclean 600'!K59)</f>
        <v/>
      </c>
      <c r="AF3057">
        <f t="shared" si="299"/>
        <v>0</v>
      </c>
      <c r="AG3057" t="str">
        <f t="shared" si="300"/>
        <v/>
      </c>
      <c r="AH3057" t="str">
        <f t="shared" si="301"/>
        <v/>
      </c>
      <c r="AI3057">
        <f t="shared" si="302"/>
        <v>0</v>
      </c>
      <c r="AJ3057">
        <f t="shared" si="303"/>
        <v>0</v>
      </c>
      <c r="AK3057">
        <v>0</v>
      </c>
      <c r="AL3057" t="str">
        <f>IF(AA3057="","",IFERROR(IF(ISNUMBER('Procyclean 600'!E59),'Procyclean 600'!E59,IF(ISNUMBER(SEARCH("12",'Procyclean 600'!E59)),EDATE(AB3057,12),IF(ISNUMBER(SEARCH("6",'Procyclean 600'!E59)),EDATE(AB3057,6),IF(ISNUMBER(SEARCH("3",'Procyclean 600'!E59)),EDATE(AB3057,3),DATEVALUE('Procyclean 600'!E59))))),""))</f>
        <v/>
      </c>
      <c r="AM3057" t="str">
        <f t="shared" ca="1" si="304"/>
        <v/>
      </c>
    </row>
    <row r="3058" spans="27:39" x14ac:dyDescent="0.3">
      <c r="AA3058" t="str">
        <f>IF(COUNTA('Procyclean 600'!B60,'Procyclean 600'!C60,'Procyclean 600'!D60)&gt;0,"600","")</f>
        <v/>
      </c>
      <c r="AB3058" t="str">
        <f>IFERROR(IF(ISNUMBER('Procyclean 600'!B60),'Procyclean 600'!B60,DATEVALUE('Procyclean 600'!B60)),"")</f>
        <v/>
      </c>
      <c r="AC3058" t="str">
        <f>IF(AA3058="","",'Procyclean 600'!C60)</f>
        <v/>
      </c>
      <c r="AD3058" t="str">
        <f>IF(AA3058="","",IFERROR(1*'Procyclean 600'!D60,IFERROR(_xludf.NUMBERVALUE('Procyclean 600'!D60,".",","),IFERROR(_xludf.NUMBERVALUE('Procyclean 600'!D60,",","."),0))))</f>
        <v/>
      </c>
      <c r="AE3058" t="str">
        <f>IF(AA3058="","",'Procyclean 600'!K60)</f>
        <v/>
      </c>
      <c r="AF3058">
        <f t="shared" si="299"/>
        <v>0</v>
      </c>
      <c r="AG3058" t="str">
        <f t="shared" si="300"/>
        <v/>
      </c>
      <c r="AH3058" t="str">
        <f t="shared" si="301"/>
        <v/>
      </c>
      <c r="AI3058">
        <f t="shared" si="302"/>
        <v>0</v>
      </c>
      <c r="AJ3058">
        <f t="shared" si="303"/>
        <v>0</v>
      </c>
      <c r="AK3058">
        <v>0</v>
      </c>
      <c r="AL3058" t="str">
        <f>IF(AA3058="","",IFERROR(IF(ISNUMBER('Procyclean 600'!E60),'Procyclean 600'!E60,IF(ISNUMBER(SEARCH("12",'Procyclean 600'!E60)),EDATE(AB3058,12),IF(ISNUMBER(SEARCH("6",'Procyclean 600'!E60)),EDATE(AB3058,6),IF(ISNUMBER(SEARCH("3",'Procyclean 600'!E60)),EDATE(AB3058,3),DATEVALUE('Procyclean 600'!E60))))),""))</f>
        <v/>
      </c>
      <c r="AM3058" t="str">
        <f t="shared" ca="1" si="304"/>
        <v/>
      </c>
    </row>
    <row r="3059" spans="27:39" x14ac:dyDescent="0.3">
      <c r="AA3059" t="str">
        <f>IF(COUNTA('Procyclean 600'!B61,'Procyclean 600'!C61,'Procyclean 600'!D61)&gt;0,"600","")</f>
        <v/>
      </c>
      <c r="AB3059" t="str">
        <f>IFERROR(IF(ISNUMBER('Procyclean 600'!B61),'Procyclean 600'!B61,DATEVALUE('Procyclean 600'!B61)),"")</f>
        <v/>
      </c>
      <c r="AC3059" t="str">
        <f>IF(AA3059="","",'Procyclean 600'!C61)</f>
        <v/>
      </c>
      <c r="AD3059" t="str">
        <f>IF(AA3059="","",IFERROR(1*'Procyclean 600'!D61,IFERROR(_xludf.NUMBERVALUE('Procyclean 600'!D61,".",","),IFERROR(_xludf.NUMBERVALUE('Procyclean 600'!D61,",","."),0))))</f>
        <v/>
      </c>
      <c r="AE3059" t="str">
        <f>IF(AA3059="","",'Procyclean 600'!K61)</f>
        <v/>
      </c>
      <c r="AF3059">
        <f t="shared" si="299"/>
        <v>0</v>
      </c>
      <c r="AG3059" t="str">
        <f t="shared" si="300"/>
        <v/>
      </c>
      <c r="AH3059" t="str">
        <f t="shared" si="301"/>
        <v/>
      </c>
      <c r="AI3059">
        <f t="shared" si="302"/>
        <v>0</v>
      </c>
      <c r="AJ3059">
        <f t="shared" si="303"/>
        <v>0</v>
      </c>
      <c r="AK3059">
        <v>0</v>
      </c>
      <c r="AL3059" t="str">
        <f>IF(AA3059="","",IFERROR(IF(ISNUMBER('Procyclean 600'!E61),'Procyclean 600'!E61,IF(ISNUMBER(SEARCH("12",'Procyclean 600'!E61)),EDATE(AB3059,12),IF(ISNUMBER(SEARCH("6",'Procyclean 600'!E61)),EDATE(AB3059,6),IF(ISNUMBER(SEARCH("3",'Procyclean 600'!E61)),EDATE(AB3059,3),DATEVALUE('Procyclean 600'!E61))))),""))</f>
        <v/>
      </c>
      <c r="AM3059" t="str">
        <f t="shared" ca="1" si="304"/>
        <v/>
      </c>
    </row>
    <row r="3060" spans="27:39" x14ac:dyDescent="0.3">
      <c r="AA3060" t="str">
        <f>IF(COUNTA('Procyclean 600'!B62,'Procyclean 600'!C62,'Procyclean 600'!D62)&gt;0,"600","")</f>
        <v/>
      </c>
      <c r="AB3060" t="str">
        <f>IFERROR(IF(ISNUMBER('Procyclean 600'!B62),'Procyclean 600'!B62,DATEVALUE('Procyclean 600'!B62)),"")</f>
        <v/>
      </c>
      <c r="AC3060" t="str">
        <f>IF(AA3060="","",'Procyclean 600'!C62)</f>
        <v/>
      </c>
      <c r="AD3060" t="str">
        <f>IF(AA3060="","",IFERROR(1*'Procyclean 600'!D62,IFERROR(_xludf.NUMBERVALUE('Procyclean 600'!D62,".",","),IFERROR(_xludf.NUMBERVALUE('Procyclean 600'!D62,",","."),0))))</f>
        <v/>
      </c>
      <c r="AE3060" t="str">
        <f>IF(AA3060="","",'Procyclean 600'!K62)</f>
        <v/>
      </c>
      <c r="AF3060">
        <f t="shared" si="299"/>
        <v>0</v>
      </c>
      <c r="AG3060" t="str">
        <f t="shared" si="300"/>
        <v/>
      </c>
      <c r="AH3060" t="str">
        <f t="shared" si="301"/>
        <v/>
      </c>
      <c r="AI3060">
        <f t="shared" si="302"/>
        <v>0</v>
      </c>
      <c r="AJ3060">
        <f t="shared" si="303"/>
        <v>0</v>
      </c>
      <c r="AK3060">
        <v>0</v>
      </c>
      <c r="AL3060" t="str">
        <f>IF(AA3060="","",IFERROR(IF(ISNUMBER('Procyclean 600'!E62),'Procyclean 600'!E62,IF(ISNUMBER(SEARCH("12",'Procyclean 600'!E62)),EDATE(AB3060,12),IF(ISNUMBER(SEARCH("6",'Procyclean 600'!E62)),EDATE(AB3060,6),IF(ISNUMBER(SEARCH("3",'Procyclean 600'!E62)),EDATE(AB3060,3),DATEVALUE('Procyclean 600'!E62))))),""))</f>
        <v/>
      </c>
      <c r="AM3060" t="str">
        <f t="shared" ca="1" si="304"/>
        <v/>
      </c>
    </row>
    <row r="3061" spans="27:39" x14ac:dyDescent="0.3">
      <c r="AA3061" t="str">
        <f>IF(COUNTA('Procyclean 600'!B63,'Procyclean 600'!C63,'Procyclean 600'!D63)&gt;0,"600","")</f>
        <v/>
      </c>
      <c r="AB3061" t="str">
        <f>IFERROR(IF(ISNUMBER('Procyclean 600'!B63),'Procyclean 600'!B63,DATEVALUE('Procyclean 600'!B63)),"")</f>
        <v/>
      </c>
      <c r="AC3061" t="str">
        <f>IF(AA3061="","",'Procyclean 600'!C63)</f>
        <v/>
      </c>
      <c r="AD3061" t="str">
        <f>IF(AA3061="","",IFERROR(1*'Procyclean 600'!D63,IFERROR(_xludf.NUMBERVALUE('Procyclean 600'!D63,".",","),IFERROR(_xludf.NUMBERVALUE('Procyclean 600'!D63,",","."),0))))</f>
        <v/>
      </c>
      <c r="AE3061" t="str">
        <f>IF(AA3061="","",'Procyclean 600'!K63)</f>
        <v/>
      </c>
      <c r="AF3061">
        <f t="shared" si="299"/>
        <v>0</v>
      </c>
      <c r="AG3061" t="str">
        <f t="shared" si="300"/>
        <v/>
      </c>
      <c r="AH3061" t="str">
        <f t="shared" si="301"/>
        <v/>
      </c>
      <c r="AI3061">
        <f t="shared" si="302"/>
        <v>0</v>
      </c>
      <c r="AJ3061">
        <f t="shared" si="303"/>
        <v>0</v>
      </c>
      <c r="AK3061">
        <v>0</v>
      </c>
      <c r="AL3061" t="str">
        <f>IF(AA3061="","",IFERROR(IF(ISNUMBER('Procyclean 600'!E63),'Procyclean 600'!E63,IF(ISNUMBER(SEARCH("12",'Procyclean 600'!E63)),EDATE(AB3061,12),IF(ISNUMBER(SEARCH("6",'Procyclean 600'!E63)),EDATE(AB3061,6),IF(ISNUMBER(SEARCH("3",'Procyclean 600'!E63)),EDATE(AB3061,3),DATEVALUE('Procyclean 600'!E63))))),""))</f>
        <v/>
      </c>
      <c r="AM3061" t="str">
        <f t="shared" ca="1" si="304"/>
        <v/>
      </c>
    </row>
    <row r="3062" spans="27:39" x14ac:dyDescent="0.3">
      <c r="AA3062" t="str">
        <f>IF(COUNTA('Procyclean 600'!B64,'Procyclean 600'!C64,'Procyclean 600'!D64)&gt;0,"600","")</f>
        <v/>
      </c>
      <c r="AB3062" t="str">
        <f>IFERROR(IF(ISNUMBER('Procyclean 600'!B64),'Procyclean 600'!B64,DATEVALUE('Procyclean 600'!B64)),"")</f>
        <v/>
      </c>
      <c r="AC3062" t="str">
        <f>IF(AA3062="","",'Procyclean 600'!C64)</f>
        <v/>
      </c>
      <c r="AD3062" t="str">
        <f>IF(AA3062="","",IFERROR(1*'Procyclean 600'!D64,IFERROR(_xludf.NUMBERVALUE('Procyclean 600'!D64,".",","),IFERROR(_xludf.NUMBERVALUE('Procyclean 600'!D64,",","."),0))))</f>
        <v/>
      </c>
      <c r="AE3062" t="str">
        <f>IF(AA3062="","",'Procyclean 600'!K64)</f>
        <v/>
      </c>
      <c r="AF3062">
        <f t="shared" si="299"/>
        <v>0</v>
      </c>
      <c r="AG3062" t="str">
        <f t="shared" si="300"/>
        <v/>
      </c>
      <c r="AH3062" t="str">
        <f t="shared" si="301"/>
        <v/>
      </c>
      <c r="AI3062">
        <f t="shared" si="302"/>
        <v>0</v>
      </c>
      <c r="AJ3062">
        <f t="shared" si="303"/>
        <v>0</v>
      </c>
      <c r="AK3062">
        <v>0</v>
      </c>
      <c r="AL3062" t="str">
        <f>IF(AA3062="","",IFERROR(IF(ISNUMBER('Procyclean 600'!E64),'Procyclean 600'!E64,IF(ISNUMBER(SEARCH("12",'Procyclean 600'!E64)),EDATE(AB3062,12),IF(ISNUMBER(SEARCH("6",'Procyclean 600'!E64)),EDATE(AB3062,6),IF(ISNUMBER(SEARCH("3",'Procyclean 600'!E64)),EDATE(AB3062,3),DATEVALUE('Procyclean 600'!E64))))),""))</f>
        <v/>
      </c>
      <c r="AM3062" t="str">
        <f t="shared" ca="1" si="304"/>
        <v/>
      </c>
    </row>
    <row r="3063" spans="27:39" x14ac:dyDescent="0.3">
      <c r="AA3063" t="str">
        <f>IF(COUNTA('Procyclean 600'!B65,'Procyclean 600'!C65,'Procyclean 600'!D65)&gt;0,"600","")</f>
        <v/>
      </c>
      <c r="AB3063" t="str">
        <f>IFERROR(IF(ISNUMBER('Procyclean 600'!B65),'Procyclean 600'!B65,DATEVALUE('Procyclean 600'!B65)),"")</f>
        <v/>
      </c>
      <c r="AC3063" t="str">
        <f>IF(AA3063="","",'Procyclean 600'!C65)</f>
        <v/>
      </c>
      <c r="AD3063" t="str">
        <f>IF(AA3063="","",IFERROR(1*'Procyclean 600'!D65,IFERROR(_xludf.NUMBERVALUE('Procyclean 600'!D65,".",","),IFERROR(_xludf.NUMBERVALUE('Procyclean 600'!D65,",","."),0))))</f>
        <v/>
      </c>
      <c r="AE3063" t="str">
        <f>IF(AA3063="","",'Procyclean 600'!K65)</f>
        <v/>
      </c>
      <c r="AF3063">
        <f t="shared" si="299"/>
        <v>0</v>
      </c>
      <c r="AG3063" t="str">
        <f t="shared" si="300"/>
        <v/>
      </c>
      <c r="AH3063" t="str">
        <f t="shared" si="301"/>
        <v/>
      </c>
      <c r="AI3063">
        <f t="shared" si="302"/>
        <v>0</v>
      </c>
      <c r="AJ3063">
        <f t="shared" si="303"/>
        <v>0</v>
      </c>
      <c r="AK3063">
        <v>0</v>
      </c>
      <c r="AL3063" t="str">
        <f>IF(AA3063="","",IFERROR(IF(ISNUMBER('Procyclean 600'!E65),'Procyclean 600'!E65,IF(ISNUMBER(SEARCH("12",'Procyclean 600'!E65)),EDATE(AB3063,12),IF(ISNUMBER(SEARCH("6",'Procyclean 600'!E65)),EDATE(AB3063,6),IF(ISNUMBER(SEARCH("3",'Procyclean 600'!E65)),EDATE(AB3063,3),DATEVALUE('Procyclean 600'!E65))))),""))</f>
        <v/>
      </c>
      <c r="AM3063" t="str">
        <f t="shared" ca="1" si="304"/>
        <v/>
      </c>
    </row>
    <row r="3064" spans="27:39" x14ac:dyDescent="0.3">
      <c r="AA3064" t="str">
        <f>IF(COUNTA('Procyclean 600'!B66,'Procyclean 600'!C66,'Procyclean 600'!D66)&gt;0,"600","")</f>
        <v/>
      </c>
      <c r="AB3064" t="str">
        <f>IFERROR(IF(ISNUMBER('Procyclean 600'!B66),'Procyclean 600'!B66,DATEVALUE('Procyclean 600'!B66)),"")</f>
        <v/>
      </c>
      <c r="AC3064" t="str">
        <f>IF(AA3064="","",'Procyclean 600'!C66)</f>
        <v/>
      </c>
      <c r="AD3064" t="str">
        <f>IF(AA3064="","",IFERROR(1*'Procyclean 600'!D66,IFERROR(_xludf.NUMBERVALUE('Procyclean 600'!D66,".",","),IFERROR(_xludf.NUMBERVALUE('Procyclean 600'!D66,",","."),0))))</f>
        <v/>
      </c>
      <c r="AE3064" t="str">
        <f>IF(AA3064="","",'Procyclean 600'!K66)</f>
        <v/>
      </c>
      <c r="AF3064">
        <f t="shared" si="299"/>
        <v>0</v>
      </c>
      <c r="AG3064" t="str">
        <f t="shared" si="300"/>
        <v/>
      </c>
      <c r="AH3064" t="str">
        <f t="shared" si="301"/>
        <v/>
      </c>
      <c r="AI3064">
        <f t="shared" si="302"/>
        <v>0</v>
      </c>
      <c r="AJ3064">
        <f t="shared" si="303"/>
        <v>0</v>
      </c>
      <c r="AK3064">
        <v>0</v>
      </c>
      <c r="AL3064" t="str">
        <f>IF(AA3064="","",IFERROR(IF(ISNUMBER('Procyclean 600'!E66),'Procyclean 600'!E66,IF(ISNUMBER(SEARCH("12",'Procyclean 600'!E66)),EDATE(AB3064,12),IF(ISNUMBER(SEARCH("6",'Procyclean 600'!E66)),EDATE(AB3064,6),IF(ISNUMBER(SEARCH("3",'Procyclean 600'!E66)),EDATE(AB3064,3),DATEVALUE('Procyclean 600'!E66))))),""))</f>
        <v/>
      </c>
      <c r="AM3064" t="str">
        <f t="shared" ca="1" si="304"/>
        <v/>
      </c>
    </row>
    <row r="3065" spans="27:39" x14ac:dyDescent="0.3">
      <c r="AA3065" t="str">
        <f>IF(COUNTA('Procyclean 600'!B67,'Procyclean 600'!C67,'Procyclean 600'!D67)&gt;0,"600","")</f>
        <v/>
      </c>
      <c r="AB3065" t="str">
        <f>IFERROR(IF(ISNUMBER('Procyclean 600'!B67),'Procyclean 600'!B67,DATEVALUE('Procyclean 600'!B67)),"")</f>
        <v/>
      </c>
      <c r="AC3065" t="str">
        <f>IF(AA3065="","",'Procyclean 600'!C67)</f>
        <v/>
      </c>
      <c r="AD3065" t="str">
        <f>IF(AA3065="","",IFERROR(1*'Procyclean 600'!D67,IFERROR(_xludf.NUMBERVALUE('Procyclean 600'!D67,".",","),IFERROR(_xludf.NUMBERVALUE('Procyclean 600'!D67,",","."),0))))</f>
        <v/>
      </c>
      <c r="AE3065" t="str">
        <f>IF(AA3065="","",'Procyclean 600'!K67)</f>
        <v/>
      </c>
      <c r="AF3065">
        <f t="shared" si="299"/>
        <v>0</v>
      </c>
      <c r="AG3065" t="str">
        <f t="shared" si="300"/>
        <v/>
      </c>
      <c r="AH3065" t="str">
        <f t="shared" si="301"/>
        <v/>
      </c>
      <c r="AI3065">
        <f t="shared" si="302"/>
        <v>0</v>
      </c>
      <c r="AJ3065">
        <f t="shared" si="303"/>
        <v>0</v>
      </c>
      <c r="AK3065">
        <v>0</v>
      </c>
      <c r="AL3065" t="str">
        <f>IF(AA3065="","",IFERROR(IF(ISNUMBER('Procyclean 600'!E67),'Procyclean 600'!E67,IF(ISNUMBER(SEARCH("12",'Procyclean 600'!E67)),EDATE(AB3065,12),IF(ISNUMBER(SEARCH("6",'Procyclean 600'!E67)),EDATE(AB3065,6),IF(ISNUMBER(SEARCH("3",'Procyclean 600'!E67)),EDATE(AB3065,3),DATEVALUE('Procyclean 600'!E67))))),""))</f>
        <v/>
      </c>
      <c r="AM3065" t="str">
        <f t="shared" ca="1" si="304"/>
        <v/>
      </c>
    </row>
    <row r="3066" spans="27:39" x14ac:dyDescent="0.3">
      <c r="AA3066" t="str">
        <f>IF(COUNTA('Procyclean 600'!B68,'Procyclean 600'!C68,'Procyclean 600'!D68)&gt;0,"600","")</f>
        <v/>
      </c>
      <c r="AB3066" t="str">
        <f>IFERROR(IF(ISNUMBER('Procyclean 600'!B68),'Procyclean 600'!B68,DATEVALUE('Procyclean 600'!B68)),"")</f>
        <v/>
      </c>
      <c r="AC3066" t="str">
        <f>IF(AA3066="","",'Procyclean 600'!C68)</f>
        <v/>
      </c>
      <c r="AD3066" t="str">
        <f>IF(AA3066="","",IFERROR(1*'Procyclean 600'!D68,IFERROR(_xludf.NUMBERVALUE('Procyclean 600'!D68,".",","),IFERROR(_xludf.NUMBERVALUE('Procyclean 600'!D68,",","."),0))))</f>
        <v/>
      </c>
      <c r="AE3066" t="str">
        <f>IF(AA3066="","",'Procyclean 600'!K68)</f>
        <v/>
      </c>
      <c r="AF3066">
        <f t="shared" si="299"/>
        <v>0</v>
      </c>
      <c r="AG3066" t="str">
        <f t="shared" si="300"/>
        <v/>
      </c>
      <c r="AH3066" t="str">
        <f t="shared" si="301"/>
        <v/>
      </c>
      <c r="AI3066">
        <f t="shared" si="302"/>
        <v>0</v>
      </c>
      <c r="AJ3066">
        <f t="shared" si="303"/>
        <v>0</v>
      </c>
      <c r="AK3066">
        <v>0</v>
      </c>
      <c r="AL3066" t="str">
        <f>IF(AA3066="","",IFERROR(IF(ISNUMBER('Procyclean 600'!E68),'Procyclean 600'!E68,IF(ISNUMBER(SEARCH("12",'Procyclean 600'!E68)),EDATE(AB3066,12),IF(ISNUMBER(SEARCH("6",'Procyclean 600'!E68)),EDATE(AB3066,6),IF(ISNUMBER(SEARCH("3",'Procyclean 600'!E68)),EDATE(AB3066,3),DATEVALUE('Procyclean 600'!E68))))),""))</f>
        <v/>
      </c>
      <c r="AM3066" t="str">
        <f t="shared" ca="1" si="304"/>
        <v/>
      </c>
    </row>
    <row r="3067" spans="27:39" x14ac:dyDescent="0.3">
      <c r="AA3067" t="str">
        <f>IF(COUNTA('Procyclean 600'!B69,'Procyclean 600'!C69,'Procyclean 600'!D69)&gt;0,"600","")</f>
        <v/>
      </c>
      <c r="AB3067" t="str">
        <f>IFERROR(IF(ISNUMBER('Procyclean 600'!B69),'Procyclean 600'!B69,DATEVALUE('Procyclean 600'!B69)),"")</f>
        <v/>
      </c>
      <c r="AC3067" t="str">
        <f>IF(AA3067="","",'Procyclean 600'!C69)</f>
        <v/>
      </c>
      <c r="AD3067" t="str">
        <f>IF(AA3067="","",IFERROR(1*'Procyclean 600'!D69,IFERROR(_xludf.NUMBERVALUE('Procyclean 600'!D69,".",","),IFERROR(_xludf.NUMBERVALUE('Procyclean 600'!D69,",","."),0))))</f>
        <v/>
      </c>
      <c r="AE3067" t="str">
        <f>IF(AA3067="","",'Procyclean 600'!K69)</f>
        <v/>
      </c>
      <c r="AF3067">
        <f t="shared" si="299"/>
        <v>0</v>
      </c>
      <c r="AG3067" t="str">
        <f t="shared" si="300"/>
        <v/>
      </c>
      <c r="AH3067" t="str">
        <f t="shared" si="301"/>
        <v/>
      </c>
      <c r="AI3067">
        <f t="shared" si="302"/>
        <v>0</v>
      </c>
      <c r="AJ3067">
        <f t="shared" si="303"/>
        <v>0</v>
      </c>
      <c r="AK3067">
        <v>0</v>
      </c>
      <c r="AL3067" t="str">
        <f>IF(AA3067="","",IFERROR(IF(ISNUMBER('Procyclean 600'!E69),'Procyclean 600'!E69,IF(ISNUMBER(SEARCH("12",'Procyclean 600'!E69)),EDATE(AB3067,12),IF(ISNUMBER(SEARCH("6",'Procyclean 600'!E69)),EDATE(AB3067,6),IF(ISNUMBER(SEARCH("3",'Procyclean 600'!E69)),EDATE(AB3067,3),DATEVALUE('Procyclean 600'!E69))))),""))</f>
        <v/>
      </c>
      <c r="AM3067" t="str">
        <f t="shared" ca="1" si="304"/>
        <v/>
      </c>
    </row>
    <row r="3068" spans="27:39" x14ac:dyDescent="0.3">
      <c r="AA3068" t="str">
        <f>IF(COUNTA('Procyclean 600'!B70,'Procyclean 600'!C70,'Procyclean 600'!D70)&gt;0,"600","")</f>
        <v/>
      </c>
      <c r="AB3068" t="str">
        <f>IFERROR(IF(ISNUMBER('Procyclean 600'!B70),'Procyclean 600'!B70,DATEVALUE('Procyclean 600'!B70)),"")</f>
        <v/>
      </c>
      <c r="AC3068" t="str">
        <f>IF(AA3068="","",'Procyclean 600'!C70)</f>
        <v/>
      </c>
      <c r="AD3068" t="str">
        <f>IF(AA3068="","",IFERROR(1*'Procyclean 600'!D70,IFERROR(_xludf.NUMBERVALUE('Procyclean 600'!D70,".",","),IFERROR(_xludf.NUMBERVALUE('Procyclean 600'!D70,",","."),0))))</f>
        <v/>
      </c>
      <c r="AE3068" t="str">
        <f>IF(AA3068="","",'Procyclean 600'!K70)</f>
        <v/>
      </c>
      <c r="AF3068">
        <f t="shared" si="299"/>
        <v>0</v>
      </c>
      <c r="AG3068" t="str">
        <f t="shared" si="300"/>
        <v/>
      </c>
      <c r="AH3068" t="str">
        <f t="shared" si="301"/>
        <v/>
      </c>
      <c r="AI3068">
        <f t="shared" si="302"/>
        <v>0</v>
      </c>
      <c r="AJ3068">
        <f t="shared" si="303"/>
        <v>0</v>
      </c>
      <c r="AK3068">
        <v>0</v>
      </c>
      <c r="AL3068" t="str">
        <f>IF(AA3068="","",IFERROR(IF(ISNUMBER('Procyclean 600'!E70),'Procyclean 600'!E70,IF(ISNUMBER(SEARCH("12",'Procyclean 600'!E70)),EDATE(AB3068,12),IF(ISNUMBER(SEARCH("6",'Procyclean 600'!E70)),EDATE(AB3068,6),IF(ISNUMBER(SEARCH("3",'Procyclean 600'!E70)),EDATE(AB3068,3),DATEVALUE('Procyclean 600'!E70))))),""))</f>
        <v/>
      </c>
      <c r="AM3068" t="str">
        <f t="shared" ca="1" si="304"/>
        <v/>
      </c>
    </row>
    <row r="3069" spans="27:39" x14ac:dyDescent="0.3">
      <c r="AA3069" t="str">
        <f>IF(COUNTA('Procyclean 600'!B71,'Procyclean 600'!C71,'Procyclean 600'!D71)&gt;0,"600","")</f>
        <v/>
      </c>
      <c r="AB3069" t="str">
        <f>IFERROR(IF(ISNUMBER('Procyclean 600'!B71),'Procyclean 600'!B71,DATEVALUE('Procyclean 600'!B71)),"")</f>
        <v/>
      </c>
      <c r="AC3069" t="str">
        <f>IF(AA3069="","",'Procyclean 600'!C71)</f>
        <v/>
      </c>
      <c r="AD3069" t="str">
        <f>IF(AA3069="","",IFERROR(1*'Procyclean 600'!D71,IFERROR(_xludf.NUMBERVALUE('Procyclean 600'!D71,".",","),IFERROR(_xludf.NUMBERVALUE('Procyclean 600'!D71,",","."),0))))</f>
        <v/>
      </c>
      <c r="AE3069" t="str">
        <f>IF(AA3069="","",'Procyclean 600'!K71)</f>
        <v/>
      </c>
      <c r="AF3069">
        <f t="shared" si="299"/>
        <v>0</v>
      </c>
      <c r="AG3069" t="str">
        <f t="shared" si="300"/>
        <v/>
      </c>
      <c r="AH3069" t="str">
        <f t="shared" si="301"/>
        <v/>
      </c>
      <c r="AI3069">
        <f t="shared" si="302"/>
        <v>0</v>
      </c>
      <c r="AJ3069">
        <f t="shared" si="303"/>
        <v>0</v>
      </c>
      <c r="AK3069">
        <v>0</v>
      </c>
      <c r="AL3069" t="str">
        <f>IF(AA3069="","",IFERROR(IF(ISNUMBER('Procyclean 600'!E71),'Procyclean 600'!E71,IF(ISNUMBER(SEARCH("12",'Procyclean 600'!E71)),EDATE(AB3069,12),IF(ISNUMBER(SEARCH("6",'Procyclean 600'!E71)),EDATE(AB3069,6),IF(ISNUMBER(SEARCH("3",'Procyclean 600'!E71)),EDATE(AB3069,3),DATEVALUE('Procyclean 600'!E71))))),""))</f>
        <v/>
      </c>
      <c r="AM3069" t="str">
        <f t="shared" ca="1" si="304"/>
        <v/>
      </c>
    </row>
    <row r="3070" spans="27:39" x14ac:dyDescent="0.3">
      <c r="AA3070" t="str">
        <f>IF(COUNTA('Procyclean 600'!B72,'Procyclean 600'!C72,'Procyclean 600'!D72)&gt;0,"600","")</f>
        <v/>
      </c>
      <c r="AB3070" t="str">
        <f>IFERROR(IF(ISNUMBER('Procyclean 600'!B72),'Procyclean 600'!B72,DATEVALUE('Procyclean 600'!B72)),"")</f>
        <v/>
      </c>
      <c r="AC3070" t="str">
        <f>IF(AA3070="","",'Procyclean 600'!C72)</f>
        <v/>
      </c>
      <c r="AD3070" t="str">
        <f>IF(AA3070="","",IFERROR(1*'Procyclean 600'!D72,IFERROR(_xludf.NUMBERVALUE('Procyclean 600'!D72,".",","),IFERROR(_xludf.NUMBERVALUE('Procyclean 600'!D72,",","."),0))))</f>
        <v/>
      </c>
      <c r="AE3070" t="str">
        <f>IF(AA3070="","",'Procyclean 600'!K72)</f>
        <v/>
      </c>
      <c r="AF3070">
        <f t="shared" si="299"/>
        <v>0</v>
      </c>
      <c r="AG3070" t="str">
        <f t="shared" si="300"/>
        <v/>
      </c>
      <c r="AH3070" t="str">
        <f t="shared" si="301"/>
        <v/>
      </c>
      <c r="AI3070">
        <f t="shared" si="302"/>
        <v>0</v>
      </c>
      <c r="AJ3070">
        <f t="shared" si="303"/>
        <v>0</v>
      </c>
      <c r="AK3070">
        <v>0</v>
      </c>
      <c r="AL3070" t="str">
        <f>IF(AA3070="","",IFERROR(IF(ISNUMBER('Procyclean 600'!E72),'Procyclean 600'!E72,IF(ISNUMBER(SEARCH("12",'Procyclean 600'!E72)),EDATE(AB3070,12),IF(ISNUMBER(SEARCH("6",'Procyclean 600'!E72)),EDATE(AB3070,6),IF(ISNUMBER(SEARCH("3",'Procyclean 600'!E72)),EDATE(AB3070,3),DATEVALUE('Procyclean 600'!E72))))),""))</f>
        <v/>
      </c>
      <c r="AM3070" t="str">
        <f t="shared" ca="1" si="304"/>
        <v/>
      </c>
    </row>
    <row r="3071" spans="27:39" x14ac:dyDescent="0.3">
      <c r="AA3071" t="str">
        <f>IF(COUNTA('Procyclean 600'!B73,'Procyclean 600'!C73,'Procyclean 600'!D73)&gt;0,"600","")</f>
        <v/>
      </c>
      <c r="AB3071" t="str">
        <f>IFERROR(IF(ISNUMBER('Procyclean 600'!B73),'Procyclean 600'!B73,DATEVALUE('Procyclean 600'!B73)),"")</f>
        <v/>
      </c>
      <c r="AC3071" t="str">
        <f>IF(AA3071="","",'Procyclean 600'!C73)</f>
        <v/>
      </c>
      <c r="AD3071" t="str">
        <f>IF(AA3071="","",IFERROR(1*'Procyclean 600'!D73,IFERROR(_xludf.NUMBERVALUE('Procyclean 600'!D73,".",","),IFERROR(_xludf.NUMBERVALUE('Procyclean 600'!D73,",","."),0))))</f>
        <v/>
      </c>
      <c r="AE3071" t="str">
        <f>IF(AA3071="","",'Procyclean 600'!K73)</f>
        <v/>
      </c>
      <c r="AF3071">
        <f t="shared" si="299"/>
        <v>0</v>
      </c>
      <c r="AG3071" t="str">
        <f t="shared" si="300"/>
        <v/>
      </c>
      <c r="AH3071" t="str">
        <f t="shared" si="301"/>
        <v/>
      </c>
      <c r="AI3071">
        <f t="shared" si="302"/>
        <v>0</v>
      </c>
      <c r="AJ3071">
        <f t="shared" si="303"/>
        <v>0</v>
      </c>
      <c r="AK3071">
        <v>0</v>
      </c>
      <c r="AL3071" t="str">
        <f>IF(AA3071="","",IFERROR(IF(ISNUMBER('Procyclean 600'!E73),'Procyclean 600'!E73,IF(ISNUMBER(SEARCH("12",'Procyclean 600'!E73)),EDATE(AB3071,12),IF(ISNUMBER(SEARCH("6",'Procyclean 600'!E73)),EDATE(AB3071,6),IF(ISNUMBER(SEARCH("3",'Procyclean 600'!E73)),EDATE(AB3071,3),DATEVALUE('Procyclean 600'!E73))))),""))</f>
        <v/>
      </c>
      <c r="AM3071" t="str">
        <f t="shared" ca="1" si="304"/>
        <v/>
      </c>
    </row>
    <row r="3072" spans="27:39" x14ac:dyDescent="0.3">
      <c r="AA3072" t="str">
        <f>IF(COUNTA('Procyclean 600'!B74,'Procyclean 600'!C74,'Procyclean 600'!D74)&gt;0,"600","")</f>
        <v/>
      </c>
      <c r="AB3072" t="str">
        <f>IFERROR(IF(ISNUMBER('Procyclean 600'!B74),'Procyclean 600'!B74,DATEVALUE('Procyclean 600'!B74)),"")</f>
        <v/>
      </c>
      <c r="AC3072" t="str">
        <f>IF(AA3072="","",'Procyclean 600'!C74)</f>
        <v/>
      </c>
      <c r="AD3072" t="str">
        <f>IF(AA3072="","",IFERROR(1*'Procyclean 600'!D74,IFERROR(_xludf.NUMBERVALUE('Procyclean 600'!D74,".",","),IFERROR(_xludf.NUMBERVALUE('Procyclean 600'!D74,",","."),0))))</f>
        <v/>
      </c>
      <c r="AE3072" t="str">
        <f>IF(AA3072="","",'Procyclean 600'!K74)</f>
        <v/>
      </c>
      <c r="AF3072">
        <f t="shared" si="299"/>
        <v>0</v>
      </c>
      <c r="AG3072" t="str">
        <f t="shared" si="300"/>
        <v/>
      </c>
      <c r="AH3072" t="str">
        <f t="shared" si="301"/>
        <v/>
      </c>
      <c r="AI3072">
        <f t="shared" si="302"/>
        <v>0</v>
      </c>
      <c r="AJ3072">
        <f t="shared" si="303"/>
        <v>0</v>
      </c>
      <c r="AK3072">
        <v>0</v>
      </c>
      <c r="AL3072" t="str">
        <f>IF(AA3072="","",IFERROR(IF(ISNUMBER('Procyclean 600'!E74),'Procyclean 600'!E74,IF(ISNUMBER(SEARCH("12",'Procyclean 600'!E74)),EDATE(AB3072,12),IF(ISNUMBER(SEARCH("6",'Procyclean 600'!E74)),EDATE(AB3072,6),IF(ISNUMBER(SEARCH("3",'Procyclean 600'!E74)),EDATE(AB3072,3),DATEVALUE('Procyclean 600'!E74))))),""))</f>
        <v/>
      </c>
      <c r="AM3072" t="str">
        <f t="shared" ca="1" si="304"/>
        <v/>
      </c>
    </row>
    <row r="3073" spans="27:39" x14ac:dyDescent="0.3">
      <c r="AA3073" t="str">
        <f>IF(COUNTA('Procyclean 600'!B75,'Procyclean 600'!C75,'Procyclean 600'!D75)&gt;0,"600","")</f>
        <v/>
      </c>
      <c r="AB3073" t="str">
        <f>IFERROR(IF(ISNUMBER('Procyclean 600'!B75),'Procyclean 600'!B75,DATEVALUE('Procyclean 600'!B75)),"")</f>
        <v/>
      </c>
      <c r="AC3073" t="str">
        <f>IF(AA3073="","",'Procyclean 600'!C75)</f>
        <v/>
      </c>
      <c r="AD3073" t="str">
        <f>IF(AA3073="","",IFERROR(1*'Procyclean 600'!D75,IFERROR(_xludf.NUMBERVALUE('Procyclean 600'!D75,".",","),IFERROR(_xludf.NUMBERVALUE('Procyclean 600'!D75,",","."),0))))</f>
        <v/>
      </c>
      <c r="AE3073" t="str">
        <f>IF(AA3073="","",'Procyclean 600'!K75)</f>
        <v/>
      </c>
      <c r="AF3073">
        <f t="shared" si="299"/>
        <v>0</v>
      </c>
      <c r="AG3073" t="str">
        <f t="shared" si="300"/>
        <v/>
      </c>
      <c r="AH3073" t="str">
        <f t="shared" si="301"/>
        <v/>
      </c>
      <c r="AI3073">
        <f t="shared" si="302"/>
        <v>0</v>
      </c>
      <c r="AJ3073">
        <f t="shared" si="303"/>
        <v>0</v>
      </c>
      <c r="AK3073">
        <v>0</v>
      </c>
      <c r="AL3073" t="str">
        <f>IF(AA3073="","",IFERROR(IF(ISNUMBER('Procyclean 600'!E75),'Procyclean 600'!E75,IF(ISNUMBER(SEARCH("12",'Procyclean 600'!E75)),EDATE(AB3073,12),IF(ISNUMBER(SEARCH("6",'Procyclean 600'!E75)),EDATE(AB3073,6),IF(ISNUMBER(SEARCH("3",'Procyclean 600'!E75)),EDATE(AB3073,3),DATEVALUE('Procyclean 600'!E75))))),""))</f>
        <v/>
      </c>
      <c r="AM3073" t="str">
        <f t="shared" ca="1" si="304"/>
        <v/>
      </c>
    </row>
    <row r="3074" spans="27:39" x14ac:dyDescent="0.3">
      <c r="AA3074" t="str">
        <f>IF(COUNTA('Procyclean 600'!B76,'Procyclean 600'!C76,'Procyclean 600'!D76)&gt;0,"600","")</f>
        <v/>
      </c>
      <c r="AB3074" t="str">
        <f>IFERROR(IF(ISNUMBER('Procyclean 600'!B76),'Procyclean 600'!B76,DATEVALUE('Procyclean 600'!B76)),"")</f>
        <v/>
      </c>
      <c r="AC3074" t="str">
        <f>IF(AA3074="","",'Procyclean 600'!C76)</f>
        <v/>
      </c>
      <c r="AD3074" t="str">
        <f>IF(AA3074="","",IFERROR(1*'Procyclean 600'!D76,IFERROR(_xludf.NUMBERVALUE('Procyclean 600'!D76,".",","),IFERROR(_xludf.NUMBERVALUE('Procyclean 600'!D76,",","."),0))))</f>
        <v/>
      </c>
      <c r="AE3074" t="str">
        <f>IF(AA3074="","",'Procyclean 600'!K76)</f>
        <v/>
      </c>
      <c r="AF3074">
        <f t="shared" ref="AF3074:AF3137" si="305">IF(AA3074="",0,--AND(ISNUMBER(SEARCH("aprov",AE3074)),NOT(ISNUMBER(SEARCH("reprov",AE3074)))))</f>
        <v>0</v>
      </c>
      <c r="AG3074" t="str">
        <f t="shared" ref="AG3074:AG3137" si="306">IF(AB3074="","",YEAR(AB3074))</f>
        <v/>
      </c>
      <c r="AH3074" t="str">
        <f t="shared" ref="AH3074:AH3137" si="307">IF(AB3074="","",MONTH(AB3074))</f>
        <v/>
      </c>
      <c r="AI3074">
        <f t="shared" ref="AI3074:AI3137" si="308">IF(AB3074="",0,AB3074+ROW()/1000000)</f>
        <v>0</v>
      </c>
      <c r="AJ3074">
        <f t="shared" ref="AJ3074:AJ3137" si="309">--(AA3074&lt;&gt;"")</f>
        <v>0</v>
      </c>
      <c r="AK3074">
        <v>0</v>
      </c>
      <c r="AL3074" t="str">
        <f>IF(AA3074="","",IFERROR(IF(ISNUMBER('Procyclean 600'!E76),'Procyclean 600'!E76,IF(ISNUMBER(SEARCH("12",'Procyclean 600'!E76)),EDATE(AB3074,12),IF(ISNUMBER(SEARCH("6",'Procyclean 600'!E76)),EDATE(AB3074,6),IF(ISNUMBER(SEARCH("3",'Procyclean 600'!E76)),EDATE(AB3074,3),DATEVALUE('Procyclean 600'!E76))))),""))</f>
        <v/>
      </c>
      <c r="AM3074" t="str">
        <f t="shared" ref="AM3074:AM3137" ca="1" si="310">IF(AND(AJ3074=1,AL3074&lt;&gt;"",AL3074&gt;=TODAY(),AG3074=$W$3),AL3074+ROW()/1000000,"")</f>
        <v/>
      </c>
    </row>
    <row r="3075" spans="27:39" x14ac:dyDescent="0.3">
      <c r="AA3075" t="str">
        <f>IF(COUNTA('Procyclean 600'!B77,'Procyclean 600'!C77,'Procyclean 600'!D77)&gt;0,"600","")</f>
        <v/>
      </c>
      <c r="AB3075" t="str">
        <f>IFERROR(IF(ISNUMBER('Procyclean 600'!B77),'Procyclean 600'!B77,DATEVALUE('Procyclean 600'!B77)),"")</f>
        <v/>
      </c>
      <c r="AC3075" t="str">
        <f>IF(AA3075="","",'Procyclean 600'!C77)</f>
        <v/>
      </c>
      <c r="AD3075" t="str">
        <f>IF(AA3075="","",IFERROR(1*'Procyclean 600'!D77,IFERROR(_xludf.NUMBERVALUE('Procyclean 600'!D77,".",","),IFERROR(_xludf.NUMBERVALUE('Procyclean 600'!D77,",","."),0))))</f>
        <v/>
      </c>
      <c r="AE3075" t="str">
        <f>IF(AA3075="","",'Procyclean 600'!K77)</f>
        <v/>
      </c>
      <c r="AF3075">
        <f t="shared" si="305"/>
        <v>0</v>
      </c>
      <c r="AG3075" t="str">
        <f t="shared" si="306"/>
        <v/>
      </c>
      <c r="AH3075" t="str">
        <f t="shared" si="307"/>
        <v/>
      </c>
      <c r="AI3075">
        <f t="shared" si="308"/>
        <v>0</v>
      </c>
      <c r="AJ3075">
        <f t="shared" si="309"/>
        <v>0</v>
      </c>
      <c r="AK3075">
        <v>0</v>
      </c>
      <c r="AL3075" t="str">
        <f>IF(AA3075="","",IFERROR(IF(ISNUMBER('Procyclean 600'!E77),'Procyclean 600'!E77,IF(ISNUMBER(SEARCH("12",'Procyclean 600'!E77)),EDATE(AB3075,12),IF(ISNUMBER(SEARCH("6",'Procyclean 600'!E77)),EDATE(AB3075,6),IF(ISNUMBER(SEARCH("3",'Procyclean 600'!E77)),EDATE(AB3075,3),DATEVALUE('Procyclean 600'!E77))))),""))</f>
        <v/>
      </c>
      <c r="AM3075" t="str">
        <f t="shared" ca="1" si="310"/>
        <v/>
      </c>
    </row>
    <row r="3076" spans="27:39" x14ac:dyDescent="0.3">
      <c r="AA3076" t="str">
        <f>IF(COUNTA('Procyclean 600'!B78,'Procyclean 600'!C78,'Procyclean 600'!D78)&gt;0,"600","")</f>
        <v/>
      </c>
      <c r="AB3076" t="str">
        <f>IFERROR(IF(ISNUMBER('Procyclean 600'!B78),'Procyclean 600'!B78,DATEVALUE('Procyclean 600'!B78)),"")</f>
        <v/>
      </c>
      <c r="AC3076" t="str">
        <f>IF(AA3076="","",'Procyclean 600'!C78)</f>
        <v/>
      </c>
      <c r="AD3076" t="str">
        <f>IF(AA3076="","",IFERROR(1*'Procyclean 600'!D78,IFERROR(_xludf.NUMBERVALUE('Procyclean 600'!D78,".",","),IFERROR(_xludf.NUMBERVALUE('Procyclean 600'!D78,",","."),0))))</f>
        <v/>
      </c>
      <c r="AE3076" t="str">
        <f>IF(AA3076="","",'Procyclean 600'!K78)</f>
        <v/>
      </c>
      <c r="AF3076">
        <f t="shared" si="305"/>
        <v>0</v>
      </c>
      <c r="AG3076" t="str">
        <f t="shared" si="306"/>
        <v/>
      </c>
      <c r="AH3076" t="str">
        <f t="shared" si="307"/>
        <v/>
      </c>
      <c r="AI3076">
        <f t="shared" si="308"/>
        <v>0</v>
      </c>
      <c r="AJ3076">
        <f t="shared" si="309"/>
        <v>0</v>
      </c>
      <c r="AK3076">
        <v>0</v>
      </c>
      <c r="AL3076" t="str">
        <f>IF(AA3076="","",IFERROR(IF(ISNUMBER('Procyclean 600'!E78),'Procyclean 600'!E78,IF(ISNUMBER(SEARCH("12",'Procyclean 600'!E78)),EDATE(AB3076,12),IF(ISNUMBER(SEARCH("6",'Procyclean 600'!E78)),EDATE(AB3076,6),IF(ISNUMBER(SEARCH("3",'Procyclean 600'!E78)),EDATE(AB3076,3),DATEVALUE('Procyclean 600'!E78))))),""))</f>
        <v/>
      </c>
      <c r="AM3076" t="str">
        <f t="shared" ca="1" si="310"/>
        <v/>
      </c>
    </row>
    <row r="3077" spans="27:39" x14ac:dyDescent="0.3">
      <c r="AA3077" t="str">
        <f>IF(COUNTA('Procyclean 600'!B79,'Procyclean 600'!C79,'Procyclean 600'!D79)&gt;0,"600","")</f>
        <v/>
      </c>
      <c r="AB3077" t="str">
        <f>IFERROR(IF(ISNUMBER('Procyclean 600'!B79),'Procyclean 600'!B79,DATEVALUE('Procyclean 600'!B79)),"")</f>
        <v/>
      </c>
      <c r="AC3077" t="str">
        <f>IF(AA3077="","",'Procyclean 600'!C79)</f>
        <v/>
      </c>
      <c r="AD3077" t="str">
        <f>IF(AA3077="","",IFERROR(1*'Procyclean 600'!D79,IFERROR(_xludf.NUMBERVALUE('Procyclean 600'!D79,".",","),IFERROR(_xludf.NUMBERVALUE('Procyclean 600'!D79,",","."),0))))</f>
        <v/>
      </c>
      <c r="AE3077" t="str">
        <f>IF(AA3077="","",'Procyclean 600'!K79)</f>
        <v/>
      </c>
      <c r="AF3077">
        <f t="shared" si="305"/>
        <v>0</v>
      </c>
      <c r="AG3077" t="str">
        <f t="shared" si="306"/>
        <v/>
      </c>
      <c r="AH3077" t="str">
        <f t="shared" si="307"/>
        <v/>
      </c>
      <c r="AI3077">
        <f t="shared" si="308"/>
        <v>0</v>
      </c>
      <c r="AJ3077">
        <f t="shared" si="309"/>
        <v>0</v>
      </c>
      <c r="AK3077">
        <v>0</v>
      </c>
      <c r="AL3077" t="str">
        <f>IF(AA3077="","",IFERROR(IF(ISNUMBER('Procyclean 600'!E79),'Procyclean 600'!E79,IF(ISNUMBER(SEARCH("12",'Procyclean 600'!E79)),EDATE(AB3077,12),IF(ISNUMBER(SEARCH("6",'Procyclean 600'!E79)),EDATE(AB3077,6),IF(ISNUMBER(SEARCH("3",'Procyclean 600'!E79)),EDATE(AB3077,3),DATEVALUE('Procyclean 600'!E79))))),""))</f>
        <v/>
      </c>
      <c r="AM3077" t="str">
        <f t="shared" ca="1" si="310"/>
        <v/>
      </c>
    </row>
    <row r="3078" spans="27:39" x14ac:dyDescent="0.3">
      <c r="AA3078" t="str">
        <f>IF(COUNTA('Procyclean 600'!B80,'Procyclean 600'!C80,'Procyclean 600'!D80)&gt;0,"600","")</f>
        <v/>
      </c>
      <c r="AB3078" t="str">
        <f>IFERROR(IF(ISNUMBER('Procyclean 600'!B80),'Procyclean 600'!B80,DATEVALUE('Procyclean 600'!B80)),"")</f>
        <v/>
      </c>
      <c r="AC3078" t="str">
        <f>IF(AA3078="","",'Procyclean 600'!C80)</f>
        <v/>
      </c>
      <c r="AD3078" t="str">
        <f>IF(AA3078="","",IFERROR(1*'Procyclean 600'!D80,IFERROR(_xludf.NUMBERVALUE('Procyclean 600'!D80,".",","),IFERROR(_xludf.NUMBERVALUE('Procyclean 600'!D80,",","."),0))))</f>
        <v/>
      </c>
      <c r="AE3078" t="str">
        <f>IF(AA3078="","",'Procyclean 600'!K80)</f>
        <v/>
      </c>
      <c r="AF3078">
        <f t="shared" si="305"/>
        <v>0</v>
      </c>
      <c r="AG3078" t="str">
        <f t="shared" si="306"/>
        <v/>
      </c>
      <c r="AH3078" t="str">
        <f t="shared" si="307"/>
        <v/>
      </c>
      <c r="AI3078">
        <f t="shared" si="308"/>
        <v>0</v>
      </c>
      <c r="AJ3078">
        <f t="shared" si="309"/>
        <v>0</v>
      </c>
      <c r="AK3078">
        <v>0</v>
      </c>
      <c r="AL3078" t="str">
        <f>IF(AA3078="","",IFERROR(IF(ISNUMBER('Procyclean 600'!E80),'Procyclean 600'!E80,IF(ISNUMBER(SEARCH("12",'Procyclean 600'!E80)),EDATE(AB3078,12),IF(ISNUMBER(SEARCH("6",'Procyclean 600'!E80)),EDATE(AB3078,6),IF(ISNUMBER(SEARCH("3",'Procyclean 600'!E80)),EDATE(AB3078,3),DATEVALUE('Procyclean 600'!E80))))),""))</f>
        <v/>
      </c>
      <c r="AM3078" t="str">
        <f t="shared" ca="1" si="310"/>
        <v/>
      </c>
    </row>
    <row r="3079" spans="27:39" x14ac:dyDescent="0.3">
      <c r="AA3079" t="str">
        <f>IF(COUNTA('Procyclean 600'!B81,'Procyclean 600'!C81,'Procyclean 600'!D81)&gt;0,"600","")</f>
        <v/>
      </c>
      <c r="AB3079" t="str">
        <f>IFERROR(IF(ISNUMBER('Procyclean 600'!B81),'Procyclean 600'!B81,DATEVALUE('Procyclean 600'!B81)),"")</f>
        <v/>
      </c>
      <c r="AC3079" t="str">
        <f>IF(AA3079="","",'Procyclean 600'!C81)</f>
        <v/>
      </c>
      <c r="AD3079" t="str">
        <f>IF(AA3079="","",IFERROR(1*'Procyclean 600'!D81,IFERROR(_xludf.NUMBERVALUE('Procyclean 600'!D81,".",","),IFERROR(_xludf.NUMBERVALUE('Procyclean 600'!D81,",","."),0))))</f>
        <v/>
      </c>
      <c r="AE3079" t="str">
        <f>IF(AA3079="","",'Procyclean 600'!K81)</f>
        <v/>
      </c>
      <c r="AF3079">
        <f t="shared" si="305"/>
        <v>0</v>
      </c>
      <c r="AG3079" t="str">
        <f t="shared" si="306"/>
        <v/>
      </c>
      <c r="AH3079" t="str">
        <f t="shared" si="307"/>
        <v/>
      </c>
      <c r="AI3079">
        <f t="shared" si="308"/>
        <v>0</v>
      </c>
      <c r="AJ3079">
        <f t="shared" si="309"/>
        <v>0</v>
      </c>
      <c r="AK3079">
        <v>0</v>
      </c>
      <c r="AL3079" t="str">
        <f>IF(AA3079="","",IFERROR(IF(ISNUMBER('Procyclean 600'!E81),'Procyclean 600'!E81,IF(ISNUMBER(SEARCH("12",'Procyclean 600'!E81)),EDATE(AB3079,12),IF(ISNUMBER(SEARCH("6",'Procyclean 600'!E81)),EDATE(AB3079,6),IF(ISNUMBER(SEARCH("3",'Procyclean 600'!E81)),EDATE(AB3079,3),DATEVALUE('Procyclean 600'!E81))))),""))</f>
        <v/>
      </c>
      <c r="AM3079" t="str">
        <f t="shared" ca="1" si="310"/>
        <v/>
      </c>
    </row>
    <row r="3080" spans="27:39" x14ac:dyDescent="0.3">
      <c r="AA3080" t="str">
        <f>IF(COUNTA('Procyclean 600'!B82,'Procyclean 600'!C82,'Procyclean 600'!D82)&gt;0,"600","")</f>
        <v/>
      </c>
      <c r="AB3080" t="str">
        <f>IFERROR(IF(ISNUMBER('Procyclean 600'!B82),'Procyclean 600'!B82,DATEVALUE('Procyclean 600'!B82)),"")</f>
        <v/>
      </c>
      <c r="AC3080" t="str">
        <f>IF(AA3080="","",'Procyclean 600'!C82)</f>
        <v/>
      </c>
      <c r="AD3080" t="str">
        <f>IF(AA3080="","",IFERROR(1*'Procyclean 600'!D82,IFERROR(_xludf.NUMBERVALUE('Procyclean 600'!D82,".",","),IFERROR(_xludf.NUMBERVALUE('Procyclean 600'!D82,",","."),0))))</f>
        <v/>
      </c>
      <c r="AE3080" t="str">
        <f>IF(AA3080="","",'Procyclean 600'!K82)</f>
        <v/>
      </c>
      <c r="AF3080">
        <f t="shared" si="305"/>
        <v>0</v>
      </c>
      <c r="AG3080" t="str">
        <f t="shared" si="306"/>
        <v/>
      </c>
      <c r="AH3080" t="str">
        <f t="shared" si="307"/>
        <v/>
      </c>
      <c r="AI3080">
        <f t="shared" si="308"/>
        <v>0</v>
      </c>
      <c r="AJ3080">
        <f t="shared" si="309"/>
        <v>0</v>
      </c>
      <c r="AK3080">
        <v>0</v>
      </c>
      <c r="AL3080" t="str">
        <f>IF(AA3080="","",IFERROR(IF(ISNUMBER('Procyclean 600'!E82),'Procyclean 600'!E82,IF(ISNUMBER(SEARCH("12",'Procyclean 600'!E82)),EDATE(AB3080,12),IF(ISNUMBER(SEARCH("6",'Procyclean 600'!E82)),EDATE(AB3080,6),IF(ISNUMBER(SEARCH("3",'Procyclean 600'!E82)),EDATE(AB3080,3),DATEVALUE('Procyclean 600'!E82))))),""))</f>
        <v/>
      </c>
      <c r="AM3080" t="str">
        <f t="shared" ca="1" si="310"/>
        <v/>
      </c>
    </row>
    <row r="3081" spans="27:39" x14ac:dyDescent="0.3">
      <c r="AA3081" t="str">
        <f>IF(COUNTA('Procyclean 600'!B83,'Procyclean 600'!C83,'Procyclean 600'!D83)&gt;0,"600","")</f>
        <v/>
      </c>
      <c r="AB3081" t="str">
        <f>IFERROR(IF(ISNUMBER('Procyclean 600'!B83),'Procyclean 600'!B83,DATEVALUE('Procyclean 600'!B83)),"")</f>
        <v/>
      </c>
      <c r="AC3081" t="str">
        <f>IF(AA3081="","",'Procyclean 600'!C83)</f>
        <v/>
      </c>
      <c r="AD3081" t="str">
        <f>IF(AA3081="","",IFERROR(1*'Procyclean 600'!D83,IFERROR(_xludf.NUMBERVALUE('Procyclean 600'!D83,".",","),IFERROR(_xludf.NUMBERVALUE('Procyclean 600'!D83,",","."),0))))</f>
        <v/>
      </c>
      <c r="AE3081" t="str">
        <f>IF(AA3081="","",'Procyclean 600'!K83)</f>
        <v/>
      </c>
      <c r="AF3081">
        <f t="shared" si="305"/>
        <v>0</v>
      </c>
      <c r="AG3081" t="str">
        <f t="shared" si="306"/>
        <v/>
      </c>
      <c r="AH3081" t="str">
        <f t="shared" si="307"/>
        <v/>
      </c>
      <c r="AI3081">
        <f t="shared" si="308"/>
        <v>0</v>
      </c>
      <c r="AJ3081">
        <f t="shared" si="309"/>
        <v>0</v>
      </c>
      <c r="AK3081">
        <v>0</v>
      </c>
      <c r="AL3081" t="str">
        <f>IF(AA3081="","",IFERROR(IF(ISNUMBER('Procyclean 600'!E83),'Procyclean 600'!E83,IF(ISNUMBER(SEARCH("12",'Procyclean 600'!E83)),EDATE(AB3081,12),IF(ISNUMBER(SEARCH("6",'Procyclean 600'!E83)),EDATE(AB3081,6),IF(ISNUMBER(SEARCH("3",'Procyclean 600'!E83)),EDATE(AB3081,3),DATEVALUE('Procyclean 600'!E83))))),""))</f>
        <v/>
      </c>
      <c r="AM3081" t="str">
        <f t="shared" ca="1" si="310"/>
        <v/>
      </c>
    </row>
    <row r="3082" spans="27:39" x14ac:dyDescent="0.3">
      <c r="AA3082" t="str">
        <f>IF(COUNTA('Procyclean 600'!B84,'Procyclean 600'!C84,'Procyclean 600'!D84)&gt;0,"600","")</f>
        <v/>
      </c>
      <c r="AB3082" t="str">
        <f>IFERROR(IF(ISNUMBER('Procyclean 600'!B84),'Procyclean 600'!B84,DATEVALUE('Procyclean 600'!B84)),"")</f>
        <v/>
      </c>
      <c r="AC3082" t="str">
        <f>IF(AA3082="","",'Procyclean 600'!C84)</f>
        <v/>
      </c>
      <c r="AD3082" t="str">
        <f>IF(AA3082="","",IFERROR(1*'Procyclean 600'!D84,IFERROR(_xludf.NUMBERVALUE('Procyclean 600'!D84,".",","),IFERROR(_xludf.NUMBERVALUE('Procyclean 600'!D84,",","."),0))))</f>
        <v/>
      </c>
      <c r="AE3082" t="str">
        <f>IF(AA3082="","",'Procyclean 600'!K84)</f>
        <v/>
      </c>
      <c r="AF3082">
        <f t="shared" si="305"/>
        <v>0</v>
      </c>
      <c r="AG3082" t="str">
        <f t="shared" si="306"/>
        <v/>
      </c>
      <c r="AH3082" t="str">
        <f t="shared" si="307"/>
        <v/>
      </c>
      <c r="AI3082">
        <f t="shared" si="308"/>
        <v>0</v>
      </c>
      <c r="AJ3082">
        <f t="shared" si="309"/>
        <v>0</v>
      </c>
      <c r="AK3082">
        <v>0</v>
      </c>
      <c r="AL3082" t="str">
        <f>IF(AA3082="","",IFERROR(IF(ISNUMBER('Procyclean 600'!E84),'Procyclean 600'!E84,IF(ISNUMBER(SEARCH("12",'Procyclean 600'!E84)),EDATE(AB3082,12),IF(ISNUMBER(SEARCH("6",'Procyclean 600'!E84)),EDATE(AB3082,6),IF(ISNUMBER(SEARCH("3",'Procyclean 600'!E84)),EDATE(AB3082,3),DATEVALUE('Procyclean 600'!E84))))),""))</f>
        <v/>
      </c>
      <c r="AM3082" t="str">
        <f t="shared" ca="1" si="310"/>
        <v/>
      </c>
    </row>
    <row r="3083" spans="27:39" x14ac:dyDescent="0.3">
      <c r="AA3083" t="str">
        <f>IF(COUNTA('Procyclean 600'!B85,'Procyclean 600'!C85,'Procyclean 600'!D85)&gt;0,"600","")</f>
        <v/>
      </c>
      <c r="AB3083" t="str">
        <f>IFERROR(IF(ISNUMBER('Procyclean 600'!B85),'Procyclean 600'!B85,DATEVALUE('Procyclean 600'!B85)),"")</f>
        <v/>
      </c>
      <c r="AC3083" t="str">
        <f>IF(AA3083="","",'Procyclean 600'!C85)</f>
        <v/>
      </c>
      <c r="AD3083" t="str">
        <f>IF(AA3083="","",IFERROR(1*'Procyclean 600'!D85,IFERROR(_xludf.NUMBERVALUE('Procyclean 600'!D85,".",","),IFERROR(_xludf.NUMBERVALUE('Procyclean 600'!D85,",","."),0))))</f>
        <v/>
      </c>
      <c r="AE3083" t="str">
        <f>IF(AA3083="","",'Procyclean 600'!K85)</f>
        <v/>
      </c>
      <c r="AF3083">
        <f t="shared" si="305"/>
        <v>0</v>
      </c>
      <c r="AG3083" t="str">
        <f t="shared" si="306"/>
        <v/>
      </c>
      <c r="AH3083" t="str">
        <f t="shared" si="307"/>
        <v/>
      </c>
      <c r="AI3083">
        <f t="shared" si="308"/>
        <v>0</v>
      </c>
      <c r="AJ3083">
        <f t="shared" si="309"/>
        <v>0</v>
      </c>
      <c r="AK3083">
        <v>0</v>
      </c>
      <c r="AL3083" t="str">
        <f>IF(AA3083="","",IFERROR(IF(ISNUMBER('Procyclean 600'!E85),'Procyclean 600'!E85,IF(ISNUMBER(SEARCH("12",'Procyclean 600'!E85)),EDATE(AB3083,12),IF(ISNUMBER(SEARCH("6",'Procyclean 600'!E85)),EDATE(AB3083,6),IF(ISNUMBER(SEARCH("3",'Procyclean 600'!E85)),EDATE(AB3083,3),DATEVALUE('Procyclean 600'!E85))))),""))</f>
        <v/>
      </c>
      <c r="AM3083" t="str">
        <f t="shared" ca="1" si="310"/>
        <v/>
      </c>
    </row>
    <row r="3084" spans="27:39" x14ac:dyDescent="0.3">
      <c r="AA3084" t="str">
        <f>IF(COUNTA('Procyclean 600'!B86,'Procyclean 600'!C86,'Procyclean 600'!D86)&gt;0,"600","")</f>
        <v/>
      </c>
      <c r="AB3084" t="str">
        <f>IFERROR(IF(ISNUMBER('Procyclean 600'!B86),'Procyclean 600'!B86,DATEVALUE('Procyclean 600'!B86)),"")</f>
        <v/>
      </c>
      <c r="AC3084" t="str">
        <f>IF(AA3084="","",'Procyclean 600'!C86)</f>
        <v/>
      </c>
      <c r="AD3084" t="str">
        <f>IF(AA3084="","",IFERROR(1*'Procyclean 600'!D86,IFERROR(_xludf.NUMBERVALUE('Procyclean 600'!D86,".",","),IFERROR(_xludf.NUMBERVALUE('Procyclean 600'!D86,",","."),0))))</f>
        <v/>
      </c>
      <c r="AE3084" t="str">
        <f>IF(AA3084="","",'Procyclean 600'!K86)</f>
        <v/>
      </c>
      <c r="AF3084">
        <f t="shared" si="305"/>
        <v>0</v>
      </c>
      <c r="AG3084" t="str">
        <f t="shared" si="306"/>
        <v/>
      </c>
      <c r="AH3084" t="str">
        <f t="shared" si="307"/>
        <v/>
      </c>
      <c r="AI3084">
        <f t="shared" si="308"/>
        <v>0</v>
      </c>
      <c r="AJ3084">
        <f t="shared" si="309"/>
        <v>0</v>
      </c>
      <c r="AK3084">
        <v>0</v>
      </c>
      <c r="AL3084" t="str">
        <f>IF(AA3084="","",IFERROR(IF(ISNUMBER('Procyclean 600'!E86),'Procyclean 600'!E86,IF(ISNUMBER(SEARCH("12",'Procyclean 600'!E86)),EDATE(AB3084,12),IF(ISNUMBER(SEARCH("6",'Procyclean 600'!E86)),EDATE(AB3084,6),IF(ISNUMBER(SEARCH("3",'Procyclean 600'!E86)),EDATE(AB3084,3),DATEVALUE('Procyclean 600'!E86))))),""))</f>
        <v/>
      </c>
      <c r="AM3084" t="str">
        <f t="shared" ca="1" si="310"/>
        <v/>
      </c>
    </row>
    <row r="3085" spans="27:39" x14ac:dyDescent="0.3">
      <c r="AA3085" t="str">
        <f>IF(COUNTA('Procyclean 600'!B87,'Procyclean 600'!C87,'Procyclean 600'!D87)&gt;0,"600","")</f>
        <v/>
      </c>
      <c r="AB3085" t="str">
        <f>IFERROR(IF(ISNUMBER('Procyclean 600'!B87),'Procyclean 600'!B87,DATEVALUE('Procyclean 600'!B87)),"")</f>
        <v/>
      </c>
      <c r="AC3085" t="str">
        <f>IF(AA3085="","",'Procyclean 600'!C87)</f>
        <v/>
      </c>
      <c r="AD3085" t="str">
        <f>IF(AA3085="","",IFERROR(1*'Procyclean 600'!D87,IFERROR(_xludf.NUMBERVALUE('Procyclean 600'!D87,".",","),IFERROR(_xludf.NUMBERVALUE('Procyclean 600'!D87,",","."),0))))</f>
        <v/>
      </c>
      <c r="AE3085" t="str">
        <f>IF(AA3085="","",'Procyclean 600'!K87)</f>
        <v/>
      </c>
      <c r="AF3085">
        <f t="shared" si="305"/>
        <v>0</v>
      </c>
      <c r="AG3085" t="str">
        <f t="shared" si="306"/>
        <v/>
      </c>
      <c r="AH3085" t="str">
        <f t="shared" si="307"/>
        <v/>
      </c>
      <c r="AI3085">
        <f t="shared" si="308"/>
        <v>0</v>
      </c>
      <c r="AJ3085">
        <f t="shared" si="309"/>
        <v>0</v>
      </c>
      <c r="AK3085">
        <v>0</v>
      </c>
      <c r="AL3085" t="str">
        <f>IF(AA3085="","",IFERROR(IF(ISNUMBER('Procyclean 600'!E87),'Procyclean 600'!E87,IF(ISNUMBER(SEARCH("12",'Procyclean 600'!E87)),EDATE(AB3085,12),IF(ISNUMBER(SEARCH("6",'Procyclean 600'!E87)),EDATE(AB3085,6),IF(ISNUMBER(SEARCH("3",'Procyclean 600'!E87)),EDATE(AB3085,3),DATEVALUE('Procyclean 600'!E87))))),""))</f>
        <v/>
      </c>
      <c r="AM3085" t="str">
        <f t="shared" ca="1" si="310"/>
        <v/>
      </c>
    </row>
    <row r="3086" spans="27:39" x14ac:dyDescent="0.3">
      <c r="AA3086" t="str">
        <f>IF(COUNTA('Procyclean 600'!B88,'Procyclean 600'!C88,'Procyclean 600'!D88)&gt;0,"600","")</f>
        <v/>
      </c>
      <c r="AB3086" t="str">
        <f>IFERROR(IF(ISNUMBER('Procyclean 600'!B88),'Procyclean 600'!B88,DATEVALUE('Procyclean 600'!B88)),"")</f>
        <v/>
      </c>
      <c r="AC3086" t="str">
        <f>IF(AA3086="","",'Procyclean 600'!C88)</f>
        <v/>
      </c>
      <c r="AD3086" t="str">
        <f>IF(AA3086="","",IFERROR(1*'Procyclean 600'!D88,IFERROR(_xludf.NUMBERVALUE('Procyclean 600'!D88,".",","),IFERROR(_xludf.NUMBERVALUE('Procyclean 600'!D88,",","."),0))))</f>
        <v/>
      </c>
      <c r="AE3086" t="str">
        <f>IF(AA3086="","",'Procyclean 600'!K88)</f>
        <v/>
      </c>
      <c r="AF3086">
        <f t="shared" si="305"/>
        <v>0</v>
      </c>
      <c r="AG3086" t="str">
        <f t="shared" si="306"/>
        <v/>
      </c>
      <c r="AH3086" t="str">
        <f t="shared" si="307"/>
        <v/>
      </c>
      <c r="AI3086">
        <f t="shared" si="308"/>
        <v>0</v>
      </c>
      <c r="AJ3086">
        <f t="shared" si="309"/>
        <v>0</v>
      </c>
      <c r="AK3086">
        <v>0</v>
      </c>
      <c r="AL3086" t="str">
        <f>IF(AA3086="","",IFERROR(IF(ISNUMBER('Procyclean 600'!E88),'Procyclean 600'!E88,IF(ISNUMBER(SEARCH("12",'Procyclean 600'!E88)),EDATE(AB3086,12),IF(ISNUMBER(SEARCH("6",'Procyclean 600'!E88)),EDATE(AB3086,6),IF(ISNUMBER(SEARCH("3",'Procyclean 600'!E88)),EDATE(AB3086,3),DATEVALUE('Procyclean 600'!E88))))),""))</f>
        <v/>
      </c>
      <c r="AM3086" t="str">
        <f t="shared" ca="1" si="310"/>
        <v/>
      </c>
    </row>
    <row r="3087" spans="27:39" x14ac:dyDescent="0.3">
      <c r="AA3087" t="str">
        <f>IF(COUNTA('Procyclean 600'!B89,'Procyclean 600'!C89,'Procyclean 600'!D89)&gt;0,"600","")</f>
        <v/>
      </c>
      <c r="AB3087" t="str">
        <f>IFERROR(IF(ISNUMBER('Procyclean 600'!B89),'Procyclean 600'!B89,DATEVALUE('Procyclean 600'!B89)),"")</f>
        <v/>
      </c>
      <c r="AC3087" t="str">
        <f>IF(AA3087="","",'Procyclean 600'!C89)</f>
        <v/>
      </c>
      <c r="AD3087" t="str">
        <f>IF(AA3087="","",IFERROR(1*'Procyclean 600'!D89,IFERROR(_xludf.NUMBERVALUE('Procyclean 600'!D89,".",","),IFERROR(_xludf.NUMBERVALUE('Procyclean 600'!D89,",","."),0))))</f>
        <v/>
      </c>
      <c r="AE3087" t="str">
        <f>IF(AA3087="","",'Procyclean 600'!K89)</f>
        <v/>
      </c>
      <c r="AF3087">
        <f t="shared" si="305"/>
        <v>0</v>
      </c>
      <c r="AG3087" t="str">
        <f t="shared" si="306"/>
        <v/>
      </c>
      <c r="AH3087" t="str">
        <f t="shared" si="307"/>
        <v/>
      </c>
      <c r="AI3087">
        <f t="shared" si="308"/>
        <v>0</v>
      </c>
      <c r="AJ3087">
        <f t="shared" si="309"/>
        <v>0</v>
      </c>
      <c r="AK3087">
        <v>0</v>
      </c>
      <c r="AL3087" t="str">
        <f>IF(AA3087="","",IFERROR(IF(ISNUMBER('Procyclean 600'!E89),'Procyclean 600'!E89,IF(ISNUMBER(SEARCH("12",'Procyclean 600'!E89)),EDATE(AB3087,12),IF(ISNUMBER(SEARCH("6",'Procyclean 600'!E89)),EDATE(AB3087,6),IF(ISNUMBER(SEARCH("3",'Procyclean 600'!E89)),EDATE(AB3087,3),DATEVALUE('Procyclean 600'!E89))))),""))</f>
        <v/>
      </c>
      <c r="AM3087" t="str">
        <f t="shared" ca="1" si="310"/>
        <v/>
      </c>
    </row>
    <row r="3088" spans="27:39" x14ac:dyDescent="0.3">
      <c r="AA3088" t="str">
        <f>IF(COUNTA('Procyclean 600'!B90,'Procyclean 600'!C90,'Procyclean 600'!D90)&gt;0,"600","")</f>
        <v/>
      </c>
      <c r="AB3088" t="str">
        <f>IFERROR(IF(ISNUMBER('Procyclean 600'!B90),'Procyclean 600'!B90,DATEVALUE('Procyclean 600'!B90)),"")</f>
        <v/>
      </c>
      <c r="AC3088" t="str">
        <f>IF(AA3088="","",'Procyclean 600'!C90)</f>
        <v/>
      </c>
      <c r="AD3088" t="str">
        <f>IF(AA3088="","",IFERROR(1*'Procyclean 600'!D90,IFERROR(_xludf.NUMBERVALUE('Procyclean 600'!D90,".",","),IFERROR(_xludf.NUMBERVALUE('Procyclean 600'!D90,",","."),0))))</f>
        <v/>
      </c>
      <c r="AE3088" t="str">
        <f>IF(AA3088="","",'Procyclean 600'!K90)</f>
        <v/>
      </c>
      <c r="AF3088">
        <f t="shared" si="305"/>
        <v>0</v>
      </c>
      <c r="AG3088" t="str">
        <f t="shared" si="306"/>
        <v/>
      </c>
      <c r="AH3088" t="str">
        <f t="shared" si="307"/>
        <v/>
      </c>
      <c r="AI3088">
        <f t="shared" si="308"/>
        <v>0</v>
      </c>
      <c r="AJ3088">
        <f t="shared" si="309"/>
        <v>0</v>
      </c>
      <c r="AK3088">
        <v>0</v>
      </c>
      <c r="AL3088" t="str">
        <f>IF(AA3088="","",IFERROR(IF(ISNUMBER('Procyclean 600'!E90),'Procyclean 600'!E90,IF(ISNUMBER(SEARCH("12",'Procyclean 600'!E90)),EDATE(AB3088,12),IF(ISNUMBER(SEARCH("6",'Procyclean 600'!E90)),EDATE(AB3088,6),IF(ISNUMBER(SEARCH("3",'Procyclean 600'!E90)),EDATE(AB3088,3),DATEVALUE('Procyclean 600'!E90))))),""))</f>
        <v/>
      </c>
      <c r="AM3088" t="str">
        <f t="shared" ca="1" si="310"/>
        <v/>
      </c>
    </row>
    <row r="3089" spans="27:39" x14ac:dyDescent="0.3">
      <c r="AA3089" t="str">
        <f>IF(COUNTA('Procyclean 600'!B91,'Procyclean 600'!C91,'Procyclean 600'!D91)&gt;0,"600","")</f>
        <v/>
      </c>
      <c r="AB3089" t="str">
        <f>IFERROR(IF(ISNUMBER('Procyclean 600'!B91),'Procyclean 600'!B91,DATEVALUE('Procyclean 600'!B91)),"")</f>
        <v/>
      </c>
      <c r="AC3089" t="str">
        <f>IF(AA3089="","",'Procyclean 600'!C91)</f>
        <v/>
      </c>
      <c r="AD3089" t="str">
        <f>IF(AA3089="","",IFERROR(1*'Procyclean 600'!D91,IFERROR(_xludf.NUMBERVALUE('Procyclean 600'!D91,".",","),IFERROR(_xludf.NUMBERVALUE('Procyclean 600'!D91,",","."),0))))</f>
        <v/>
      </c>
      <c r="AE3089" t="str">
        <f>IF(AA3089="","",'Procyclean 600'!K91)</f>
        <v/>
      </c>
      <c r="AF3089">
        <f t="shared" si="305"/>
        <v>0</v>
      </c>
      <c r="AG3089" t="str">
        <f t="shared" si="306"/>
        <v/>
      </c>
      <c r="AH3089" t="str">
        <f t="shared" si="307"/>
        <v/>
      </c>
      <c r="AI3089">
        <f t="shared" si="308"/>
        <v>0</v>
      </c>
      <c r="AJ3089">
        <f t="shared" si="309"/>
        <v>0</v>
      </c>
      <c r="AK3089">
        <v>0</v>
      </c>
      <c r="AL3089" t="str">
        <f>IF(AA3089="","",IFERROR(IF(ISNUMBER('Procyclean 600'!E91),'Procyclean 600'!E91,IF(ISNUMBER(SEARCH("12",'Procyclean 600'!E91)),EDATE(AB3089,12),IF(ISNUMBER(SEARCH("6",'Procyclean 600'!E91)),EDATE(AB3089,6),IF(ISNUMBER(SEARCH("3",'Procyclean 600'!E91)),EDATE(AB3089,3),DATEVALUE('Procyclean 600'!E91))))),""))</f>
        <v/>
      </c>
      <c r="AM3089" t="str">
        <f t="shared" ca="1" si="310"/>
        <v/>
      </c>
    </row>
    <row r="3090" spans="27:39" x14ac:dyDescent="0.3">
      <c r="AA3090" t="str">
        <f>IF(COUNTA('Procyclean 600'!B92,'Procyclean 600'!C92,'Procyclean 600'!D92)&gt;0,"600","")</f>
        <v/>
      </c>
      <c r="AB3090" t="str">
        <f>IFERROR(IF(ISNUMBER('Procyclean 600'!B92),'Procyclean 600'!B92,DATEVALUE('Procyclean 600'!B92)),"")</f>
        <v/>
      </c>
      <c r="AC3090" t="str">
        <f>IF(AA3090="","",'Procyclean 600'!C92)</f>
        <v/>
      </c>
      <c r="AD3090" t="str">
        <f>IF(AA3090="","",IFERROR(1*'Procyclean 600'!D92,IFERROR(_xludf.NUMBERVALUE('Procyclean 600'!D92,".",","),IFERROR(_xludf.NUMBERVALUE('Procyclean 600'!D92,",","."),0))))</f>
        <v/>
      </c>
      <c r="AE3090" t="str">
        <f>IF(AA3090="","",'Procyclean 600'!K92)</f>
        <v/>
      </c>
      <c r="AF3090">
        <f t="shared" si="305"/>
        <v>0</v>
      </c>
      <c r="AG3090" t="str">
        <f t="shared" si="306"/>
        <v/>
      </c>
      <c r="AH3090" t="str">
        <f t="shared" si="307"/>
        <v/>
      </c>
      <c r="AI3090">
        <f t="shared" si="308"/>
        <v>0</v>
      </c>
      <c r="AJ3090">
        <f t="shared" si="309"/>
        <v>0</v>
      </c>
      <c r="AK3090">
        <v>0</v>
      </c>
      <c r="AL3090" t="str">
        <f>IF(AA3090="","",IFERROR(IF(ISNUMBER('Procyclean 600'!E92),'Procyclean 600'!E92,IF(ISNUMBER(SEARCH("12",'Procyclean 600'!E92)),EDATE(AB3090,12),IF(ISNUMBER(SEARCH("6",'Procyclean 600'!E92)),EDATE(AB3090,6),IF(ISNUMBER(SEARCH("3",'Procyclean 600'!E92)),EDATE(AB3090,3),DATEVALUE('Procyclean 600'!E92))))),""))</f>
        <v/>
      </c>
      <c r="AM3090" t="str">
        <f t="shared" ca="1" si="310"/>
        <v/>
      </c>
    </row>
    <row r="3091" spans="27:39" x14ac:dyDescent="0.3">
      <c r="AA3091" t="str">
        <f>IF(COUNTA('Procyclean 600'!B93,'Procyclean 600'!C93,'Procyclean 600'!D93)&gt;0,"600","")</f>
        <v/>
      </c>
      <c r="AB3091" t="str">
        <f>IFERROR(IF(ISNUMBER('Procyclean 600'!B93),'Procyclean 600'!B93,DATEVALUE('Procyclean 600'!B93)),"")</f>
        <v/>
      </c>
      <c r="AC3091" t="str">
        <f>IF(AA3091="","",'Procyclean 600'!C93)</f>
        <v/>
      </c>
      <c r="AD3091" t="str">
        <f>IF(AA3091="","",IFERROR(1*'Procyclean 600'!D93,IFERROR(_xludf.NUMBERVALUE('Procyclean 600'!D93,".",","),IFERROR(_xludf.NUMBERVALUE('Procyclean 600'!D93,",","."),0))))</f>
        <v/>
      </c>
      <c r="AE3091" t="str">
        <f>IF(AA3091="","",'Procyclean 600'!K93)</f>
        <v/>
      </c>
      <c r="AF3091">
        <f t="shared" si="305"/>
        <v>0</v>
      </c>
      <c r="AG3091" t="str">
        <f t="shared" si="306"/>
        <v/>
      </c>
      <c r="AH3091" t="str">
        <f t="shared" si="307"/>
        <v/>
      </c>
      <c r="AI3091">
        <f t="shared" si="308"/>
        <v>0</v>
      </c>
      <c r="AJ3091">
        <f t="shared" si="309"/>
        <v>0</v>
      </c>
      <c r="AK3091">
        <v>0</v>
      </c>
      <c r="AL3091" t="str">
        <f>IF(AA3091="","",IFERROR(IF(ISNUMBER('Procyclean 600'!E93),'Procyclean 600'!E93,IF(ISNUMBER(SEARCH("12",'Procyclean 600'!E93)),EDATE(AB3091,12),IF(ISNUMBER(SEARCH("6",'Procyclean 600'!E93)),EDATE(AB3091,6),IF(ISNUMBER(SEARCH("3",'Procyclean 600'!E93)),EDATE(AB3091,3),DATEVALUE('Procyclean 600'!E93))))),""))</f>
        <v/>
      </c>
      <c r="AM3091" t="str">
        <f t="shared" ca="1" si="310"/>
        <v/>
      </c>
    </row>
    <row r="3092" spans="27:39" x14ac:dyDescent="0.3">
      <c r="AA3092" t="str">
        <f>IF(COUNTA('Procyclean 600'!B94,'Procyclean 600'!C94,'Procyclean 600'!D94)&gt;0,"600","")</f>
        <v/>
      </c>
      <c r="AB3092" t="str">
        <f>IFERROR(IF(ISNUMBER('Procyclean 600'!B94),'Procyclean 600'!B94,DATEVALUE('Procyclean 600'!B94)),"")</f>
        <v/>
      </c>
      <c r="AC3092" t="str">
        <f>IF(AA3092="","",'Procyclean 600'!C94)</f>
        <v/>
      </c>
      <c r="AD3092" t="str">
        <f>IF(AA3092="","",IFERROR(1*'Procyclean 600'!D94,IFERROR(_xludf.NUMBERVALUE('Procyclean 600'!D94,".",","),IFERROR(_xludf.NUMBERVALUE('Procyclean 600'!D94,",","."),0))))</f>
        <v/>
      </c>
      <c r="AE3092" t="str">
        <f>IF(AA3092="","",'Procyclean 600'!K94)</f>
        <v/>
      </c>
      <c r="AF3092">
        <f t="shared" si="305"/>
        <v>0</v>
      </c>
      <c r="AG3092" t="str">
        <f t="shared" si="306"/>
        <v/>
      </c>
      <c r="AH3092" t="str">
        <f t="shared" si="307"/>
        <v/>
      </c>
      <c r="AI3092">
        <f t="shared" si="308"/>
        <v>0</v>
      </c>
      <c r="AJ3092">
        <f t="shared" si="309"/>
        <v>0</v>
      </c>
      <c r="AK3092">
        <v>0</v>
      </c>
      <c r="AL3092" t="str">
        <f>IF(AA3092="","",IFERROR(IF(ISNUMBER('Procyclean 600'!E94),'Procyclean 600'!E94,IF(ISNUMBER(SEARCH("12",'Procyclean 600'!E94)),EDATE(AB3092,12),IF(ISNUMBER(SEARCH("6",'Procyclean 600'!E94)),EDATE(AB3092,6),IF(ISNUMBER(SEARCH("3",'Procyclean 600'!E94)),EDATE(AB3092,3),DATEVALUE('Procyclean 600'!E94))))),""))</f>
        <v/>
      </c>
      <c r="AM3092" t="str">
        <f t="shared" ca="1" si="310"/>
        <v/>
      </c>
    </row>
    <row r="3093" spans="27:39" x14ac:dyDescent="0.3">
      <c r="AA3093" t="str">
        <f>IF(COUNTA('Procyclean 600'!B95,'Procyclean 600'!C95,'Procyclean 600'!D95)&gt;0,"600","")</f>
        <v/>
      </c>
      <c r="AB3093" t="str">
        <f>IFERROR(IF(ISNUMBER('Procyclean 600'!B95),'Procyclean 600'!B95,DATEVALUE('Procyclean 600'!B95)),"")</f>
        <v/>
      </c>
      <c r="AC3093" t="str">
        <f>IF(AA3093="","",'Procyclean 600'!C95)</f>
        <v/>
      </c>
      <c r="AD3093" t="str">
        <f>IF(AA3093="","",IFERROR(1*'Procyclean 600'!D95,IFERROR(_xludf.NUMBERVALUE('Procyclean 600'!D95,".",","),IFERROR(_xludf.NUMBERVALUE('Procyclean 600'!D95,",","."),0))))</f>
        <v/>
      </c>
      <c r="AE3093" t="str">
        <f>IF(AA3093="","",'Procyclean 600'!K95)</f>
        <v/>
      </c>
      <c r="AF3093">
        <f t="shared" si="305"/>
        <v>0</v>
      </c>
      <c r="AG3093" t="str">
        <f t="shared" si="306"/>
        <v/>
      </c>
      <c r="AH3093" t="str">
        <f t="shared" si="307"/>
        <v/>
      </c>
      <c r="AI3093">
        <f t="shared" si="308"/>
        <v>0</v>
      </c>
      <c r="AJ3093">
        <f t="shared" si="309"/>
        <v>0</v>
      </c>
      <c r="AK3093">
        <v>0</v>
      </c>
      <c r="AL3093" t="str">
        <f>IF(AA3093="","",IFERROR(IF(ISNUMBER('Procyclean 600'!E95),'Procyclean 600'!E95,IF(ISNUMBER(SEARCH("12",'Procyclean 600'!E95)),EDATE(AB3093,12),IF(ISNUMBER(SEARCH("6",'Procyclean 600'!E95)),EDATE(AB3093,6),IF(ISNUMBER(SEARCH("3",'Procyclean 600'!E95)),EDATE(AB3093,3),DATEVALUE('Procyclean 600'!E95))))),""))</f>
        <v/>
      </c>
      <c r="AM3093" t="str">
        <f t="shared" ca="1" si="310"/>
        <v/>
      </c>
    </row>
    <row r="3094" spans="27:39" x14ac:dyDescent="0.3">
      <c r="AA3094" t="str">
        <f>IF(COUNTA('Procyclean 600'!B96,'Procyclean 600'!C96,'Procyclean 600'!D96)&gt;0,"600","")</f>
        <v/>
      </c>
      <c r="AB3094" t="str">
        <f>IFERROR(IF(ISNUMBER('Procyclean 600'!B96),'Procyclean 600'!B96,DATEVALUE('Procyclean 600'!B96)),"")</f>
        <v/>
      </c>
      <c r="AC3094" t="str">
        <f>IF(AA3094="","",'Procyclean 600'!C96)</f>
        <v/>
      </c>
      <c r="AD3094" t="str">
        <f>IF(AA3094="","",IFERROR(1*'Procyclean 600'!D96,IFERROR(_xludf.NUMBERVALUE('Procyclean 600'!D96,".",","),IFERROR(_xludf.NUMBERVALUE('Procyclean 600'!D96,",","."),0))))</f>
        <v/>
      </c>
      <c r="AE3094" t="str">
        <f>IF(AA3094="","",'Procyclean 600'!K96)</f>
        <v/>
      </c>
      <c r="AF3094">
        <f t="shared" si="305"/>
        <v>0</v>
      </c>
      <c r="AG3094" t="str">
        <f t="shared" si="306"/>
        <v/>
      </c>
      <c r="AH3094" t="str">
        <f t="shared" si="307"/>
        <v/>
      </c>
      <c r="AI3094">
        <f t="shared" si="308"/>
        <v>0</v>
      </c>
      <c r="AJ3094">
        <f t="shared" si="309"/>
        <v>0</v>
      </c>
      <c r="AK3094">
        <v>0</v>
      </c>
      <c r="AL3094" t="str">
        <f>IF(AA3094="","",IFERROR(IF(ISNUMBER('Procyclean 600'!E96),'Procyclean 600'!E96,IF(ISNUMBER(SEARCH("12",'Procyclean 600'!E96)),EDATE(AB3094,12),IF(ISNUMBER(SEARCH("6",'Procyclean 600'!E96)),EDATE(AB3094,6),IF(ISNUMBER(SEARCH("3",'Procyclean 600'!E96)),EDATE(AB3094,3),DATEVALUE('Procyclean 600'!E96))))),""))</f>
        <v/>
      </c>
      <c r="AM3094" t="str">
        <f t="shared" ca="1" si="310"/>
        <v/>
      </c>
    </row>
    <row r="3095" spans="27:39" x14ac:dyDescent="0.3">
      <c r="AA3095" t="str">
        <f>IF(COUNTA('Procyclean 600'!B97,'Procyclean 600'!C97,'Procyclean 600'!D97)&gt;0,"600","")</f>
        <v/>
      </c>
      <c r="AB3095" t="str">
        <f>IFERROR(IF(ISNUMBER('Procyclean 600'!B97),'Procyclean 600'!B97,DATEVALUE('Procyclean 600'!B97)),"")</f>
        <v/>
      </c>
      <c r="AC3095" t="str">
        <f>IF(AA3095="","",'Procyclean 600'!C97)</f>
        <v/>
      </c>
      <c r="AD3095" t="str">
        <f>IF(AA3095="","",IFERROR(1*'Procyclean 600'!D97,IFERROR(_xludf.NUMBERVALUE('Procyclean 600'!D97,".",","),IFERROR(_xludf.NUMBERVALUE('Procyclean 600'!D97,",","."),0))))</f>
        <v/>
      </c>
      <c r="AE3095" t="str">
        <f>IF(AA3095="","",'Procyclean 600'!K97)</f>
        <v/>
      </c>
      <c r="AF3095">
        <f t="shared" si="305"/>
        <v>0</v>
      </c>
      <c r="AG3095" t="str">
        <f t="shared" si="306"/>
        <v/>
      </c>
      <c r="AH3095" t="str">
        <f t="shared" si="307"/>
        <v/>
      </c>
      <c r="AI3095">
        <f t="shared" si="308"/>
        <v>0</v>
      </c>
      <c r="AJ3095">
        <f t="shared" si="309"/>
        <v>0</v>
      </c>
      <c r="AK3095">
        <v>0</v>
      </c>
      <c r="AL3095" t="str">
        <f>IF(AA3095="","",IFERROR(IF(ISNUMBER('Procyclean 600'!E97),'Procyclean 600'!E97,IF(ISNUMBER(SEARCH("12",'Procyclean 600'!E97)),EDATE(AB3095,12),IF(ISNUMBER(SEARCH("6",'Procyclean 600'!E97)),EDATE(AB3095,6),IF(ISNUMBER(SEARCH("3",'Procyclean 600'!E97)),EDATE(AB3095,3),DATEVALUE('Procyclean 600'!E97))))),""))</f>
        <v/>
      </c>
      <c r="AM3095" t="str">
        <f t="shared" ca="1" si="310"/>
        <v/>
      </c>
    </row>
    <row r="3096" spans="27:39" x14ac:dyDescent="0.3">
      <c r="AA3096" t="str">
        <f>IF(COUNTA('Procyclean 600'!B98,'Procyclean 600'!C98,'Procyclean 600'!D98)&gt;0,"600","")</f>
        <v/>
      </c>
      <c r="AB3096" t="str">
        <f>IFERROR(IF(ISNUMBER('Procyclean 600'!B98),'Procyclean 600'!B98,DATEVALUE('Procyclean 600'!B98)),"")</f>
        <v/>
      </c>
      <c r="AC3096" t="str">
        <f>IF(AA3096="","",'Procyclean 600'!C98)</f>
        <v/>
      </c>
      <c r="AD3096" t="str">
        <f>IF(AA3096="","",IFERROR(1*'Procyclean 600'!D98,IFERROR(_xludf.NUMBERVALUE('Procyclean 600'!D98,".",","),IFERROR(_xludf.NUMBERVALUE('Procyclean 600'!D98,",","."),0))))</f>
        <v/>
      </c>
      <c r="AE3096" t="str">
        <f>IF(AA3096="","",'Procyclean 600'!K98)</f>
        <v/>
      </c>
      <c r="AF3096">
        <f t="shared" si="305"/>
        <v>0</v>
      </c>
      <c r="AG3096" t="str">
        <f t="shared" si="306"/>
        <v/>
      </c>
      <c r="AH3096" t="str">
        <f t="shared" si="307"/>
        <v/>
      </c>
      <c r="AI3096">
        <f t="shared" si="308"/>
        <v>0</v>
      </c>
      <c r="AJ3096">
        <f t="shared" si="309"/>
        <v>0</v>
      </c>
      <c r="AK3096">
        <v>0</v>
      </c>
      <c r="AL3096" t="str">
        <f>IF(AA3096="","",IFERROR(IF(ISNUMBER('Procyclean 600'!E98),'Procyclean 600'!E98,IF(ISNUMBER(SEARCH("12",'Procyclean 600'!E98)),EDATE(AB3096,12),IF(ISNUMBER(SEARCH("6",'Procyclean 600'!E98)),EDATE(AB3096,6),IF(ISNUMBER(SEARCH("3",'Procyclean 600'!E98)),EDATE(AB3096,3),DATEVALUE('Procyclean 600'!E98))))),""))</f>
        <v/>
      </c>
      <c r="AM3096" t="str">
        <f t="shared" ca="1" si="310"/>
        <v/>
      </c>
    </row>
    <row r="3097" spans="27:39" x14ac:dyDescent="0.3">
      <c r="AA3097" t="str">
        <f>IF(COUNTA('Procyclean 600'!B99,'Procyclean 600'!C99,'Procyclean 600'!D99)&gt;0,"600","")</f>
        <v/>
      </c>
      <c r="AB3097" t="str">
        <f>IFERROR(IF(ISNUMBER('Procyclean 600'!B99),'Procyclean 600'!B99,DATEVALUE('Procyclean 600'!B99)),"")</f>
        <v/>
      </c>
      <c r="AC3097" t="str">
        <f>IF(AA3097="","",'Procyclean 600'!C99)</f>
        <v/>
      </c>
      <c r="AD3097" t="str">
        <f>IF(AA3097="","",IFERROR(1*'Procyclean 600'!D99,IFERROR(_xludf.NUMBERVALUE('Procyclean 600'!D99,".",","),IFERROR(_xludf.NUMBERVALUE('Procyclean 600'!D99,",","."),0))))</f>
        <v/>
      </c>
      <c r="AE3097" t="str">
        <f>IF(AA3097="","",'Procyclean 600'!K99)</f>
        <v/>
      </c>
      <c r="AF3097">
        <f t="shared" si="305"/>
        <v>0</v>
      </c>
      <c r="AG3097" t="str">
        <f t="shared" si="306"/>
        <v/>
      </c>
      <c r="AH3097" t="str">
        <f t="shared" si="307"/>
        <v/>
      </c>
      <c r="AI3097">
        <f t="shared" si="308"/>
        <v>0</v>
      </c>
      <c r="AJ3097">
        <f t="shared" si="309"/>
        <v>0</v>
      </c>
      <c r="AK3097">
        <v>0</v>
      </c>
      <c r="AL3097" t="str">
        <f>IF(AA3097="","",IFERROR(IF(ISNUMBER('Procyclean 600'!E99),'Procyclean 600'!E99,IF(ISNUMBER(SEARCH("12",'Procyclean 600'!E99)),EDATE(AB3097,12),IF(ISNUMBER(SEARCH("6",'Procyclean 600'!E99)),EDATE(AB3097,6),IF(ISNUMBER(SEARCH("3",'Procyclean 600'!E99)),EDATE(AB3097,3),DATEVALUE('Procyclean 600'!E99))))),""))</f>
        <v/>
      </c>
      <c r="AM3097" t="str">
        <f t="shared" ca="1" si="310"/>
        <v/>
      </c>
    </row>
    <row r="3098" spans="27:39" x14ac:dyDescent="0.3">
      <c r="AA3098" t="str">
        <f>IF(COUNTA('Procyclean 600'!B100,'Procyclean 600'!C100,'Procyclean 600'!D100)&gt;0,"600","")</f>
        <v/>
      </c>
      <c r="AB3098" t="str">
        <f>IFERROR(IF(ISNUMBER('Procyclean 600'!B100),'Procyclean 600'!B100,DATEVALUE('Procyclean 600'!B100)),"")</f>
        <v/>
      </c>
      <c r="AC3098" t="str">
        <f>IF(AA3098="","",'Procyclean 600'!C100)</f>
        <v/>
      </c>
      <c r="AD3098" t="str">
        <f>IF(AA3098="","",IFERROR(1*'Procyclean 600'!D100,IFERROR(_xludf.NUMBERVALUE('Procyclean 600'!D100,".",","),IFERROR(_xludf.NUMBERVALUE('Procyclean 600'!D100,",","."),0))))</f>
        <v/>
      </c>
      <c r="AE3098" t="str">
        <f>IF(AA3098="","",'Procyclean 600'!K100)</f>
        <v/>
      </c>
      <c r="AF3098">
        <f t="shared" si="305"/>
        <v>0</v>
      </c>
      <c r="AG3098" t="str">
        <f t="shared" si="306"/>
        <v/>
      </c>
      <c r="AH3098" t="str">
        <f t="shared" si="307"/>
        <v/>
      </c>
      <c r="AI3098">
        <f t="shared" si="308"/>
        <v>0</v>
      </c>
      <c r="AJ3098">
        <f t="shared" si="309"/>
        <v>0</v>
      </c>
      <c r="AK3098">
        <v>0</v>
      </c>
      <c r="AL3098" t="str">
        <f>IF(AA3098="","",IFERROR(IF(ISNUMBER('Procyclean 600'!E100),'Procyclean 600'!E100,IF(ISNUMBER(SEARCH("12",'Procyclean 600'!E100)),EDATE(AB3098,12),IF(ISNUMBER(SEARCH("6",'Procyclean 600'!E100)),EDATE(AB3098,6),IF(ISNUMBER(SEARCH("3",'Procyclean 600'!E100)),EDATE(AB3098,3),DATEVALUE('Procyclean 600'!E100))))),""))</f>
        <v/>
      </c>
      <c r="AM3098" t="str">
        <f t="shared" ca="1" si="310"/>
        <v/>
      </c>
    </row>
    <row r="3099" spans="27:39" x14ac:dyDescent="0.3">
      <c r="AA3099" t="str">
        <f>IF(COUNTA('Procyclean 600'!B101,'Procyclean 600'!C101,'Procyclean 600'!D101)&gt;0,"600","")</f>
        <v/>
      </c>
      <c r="AB3099" t="str">
        <f>IFERROR(IF(ISNUMBER('Procyclean 600'!B101),'Procyclean 600'!B101,DATEVALUE('Procyclean 600'!B101)),"")</f>
        <v/>
      </c>
      <c r="AC3099" t="str">
        <f>IF(AA3099="","",'Procyclean 600'!C101)</f>
        <v/>
      </c>
      <c r="AD3099" t="str">
        <f>IF(AA3099="","",IFERROR(1*'Procyclean 600'!D101,IFERROR(_xludf.NUMBERVALUE('Procyclean 600'!D101,".",","),IFERROR(_xludf.NUMBERVALUE('Procyclean 600'!D101,",","."),0))))</f>
        <v/>
      </c>
      <c r="AE3099" t="str">
        <f>IF(AA3099="","",'Procyclean 600'!K101)</f>
        <v/>
      </c>
      <c r="AF3099">
        <f t="shared" si="305"/>
        <v>0</v>
      </c>
      <c r="AG3099" t="str">
        <f t="shared" si="306"/>
        <v/>
      </c>
      <c r="AH3099" t="str">
        <f t="shared" si="307"/>
        <v/>
      </c>
      <c r="AI3099">
        <f t="shared" si="308"/>
        <v>0</v>
      </c>
      <c r="AJ3099">
        <f t="shared" si="309"/>
        <v>0</v>
      </c>
      <c r="AK3099">
        <v>0</v>
      </c>
      <c r="AL3099" t="str">
        <f>IF(AA3099="","",IFERROR(IF(ISNUMBER('Procyclean 600'!E101),'Procyclean 600'!E101,IF(ISNUMBER(SEARCH("12",'Procyclean 600'!E101)),EDATE(AB3099,12),IF(ISNUMBER(SEARCH("6",'Procyclean 600'!E101)),EDATE(AB3099,6),IF(ISNUMBER(SEARCH("3",'Procyclean 600'!E101)),EDATE(AB3099,3),DATEVALUE('Procyclean 600'!E101))))),""))</f>
        <v/>
      </c>
      <c r="AM3099" t="str">
        <f t="shared" ca="1" si="310"/>
        <v/>
      </c>
    </row>
    <row r="3100" spans="27:39" x14ac:dyDescent="0.3">
      <c r="AA3100" t="str">
        <f>IF(COUNTA('Procyclean 600'!B102,'Procyclean 600'!C102,'Procyclean 600'!D102)&gt;0,"600","")</f>
        <v/>
      </c>
      <c r="AB3100" t="str">
        <f>IFERROR(IF(ISNUMBER('Procyclean 600'!B102),'Procyclean 600'!B102,DATEVALUE('Procyclean 600'!B102)),"")</f>
        <v/>
      </c>
      <c r="AC3100" t="str">
        <f>IF(AA3100="","",'Procyclean 600'!C102)</f>
        <v/>
      </c>
      <c r="AD3100" t="str">
        <f>IF(AA3100="","",IFERROR(1*'Procyclean 600'!D102,IFERROR(_xludf.NUMBERVALUE('Procyclean 600'!D102,".",","),IFERROR(_xludf.NUMBERVALUE('Procyclean 600'!D102,",","."),0))))</f>
        <v/>
      </c>
      <c r="AE3100" t="str">
        <f>IF(AA3100="","",'Procyclean 600'!K102)</f>
        <v/>
      </c>
      <c r="AF3100">
        <f t="shared" si="305"/>
        <v>0</v>
      </c>
      <c r="AG3100" t="str">
        <f t="shared" si="306"/>
        <v/>
      </c>
      <c r="AH3100" t="str">
        <f t="shared" si="307"/>
        <v/>
      </c>
      <c r="AI3100">
        <f t="shared" si="308"/>
        <v>0</v>
      </c>
      <c r="AJ3100">
        <f t="shared" si="309"/>
        <v>0</v>
      </c>
      <c r="AK3100">
        <v>0</v>
      </c>
      <c r="AL3100" t="str">
        <f>IF(AA3100="","",IFERROR(IF(ISNUMBER('Procyclean 600'!E102),'Procyclean 600'!E102,IF(ISNUMBER(SEARCH("12",'Procyclean 600'!E102)),EDATE(AB3100,12),IF(ISNUMBER(SEARCH("6",'Procyclean 600'!E102)),EDATE(AB3100,6),IF(ISNUMBER(SEARCH("3",'Procyclean 600'!E102)),EDATE(AB3100,3),DATEVALUE('Procyclean 600'!E102))))),""))</f>
        <v/>
      </c>
      <c r="AM3100" t="str">
        <f t="shared" ca="1" si="310"/>
        <v/>
      </c>
    </row>
    <row r="3101" spans="27:39" x14ac:dyDescent="0.3">
      <c r="AA3101" t="str">
        <f>IF(COUNTA('Procyclean 600'!B103,'Procyclean 600'!C103,'Procyclean 600'!D103)&gt;0,"600","")</f>
        <v/>
      </c>
      <c r="AB3101" t="str">
        <f>IFERROR(IF(ISNUMBER('Procyclean 600'!B103),'Procyclean 600'!B103,DATEVALUE('Procyclean 600'!B103)),"")</f>
        <v/>
      </c>
      <c r="AC3101" t="str">
        <f>IF(AA3101="","",'Procyclean 600'!C103)</f>
        <v/>
      </c>
      <c r="AD3101" t="str">
        <f>IF(AA3101="","",IFERROR(1*'Procyclean 600'!D103,IFERROR(_xludf.NUMBERVALUE('Procyclean 600'!D103,".",","),IFERROR(_xludf.NUMBERVALUE('Procyclean 600'!D103,",","."),0))))</f>
        <v/>
      </c>
      <c r="AE3101" t="str">
        <f>IF(AA3101="","",'Procyclean 600'!K103)</f>
        <v/>
      </c>
      <c r="AF3101">
        <f t="shared" si="305"/>
        <v>0</v>
      </c>
      <c r="AG3101" t="str">
        <f t="shared" si="306"/>
        <v/>
      </c>
      <c r="AH3101" t="str">
        <f t="shared" si="307"/>
        <v/>
      </c>
      <c r="AI3101">
        <f t="shared" si="308"/>
        <v>0</v>
      </c>
      <c r="AJ3101">
        <f t="shared" si="309"/>
        <v>0</v>
      </c>
      <c r="AK3101">
        <v>0</v>
      </c>
      <c r="AL3101" t="str">
        <f>IF(AA3101="","",IFERROR(IF(ISNUMBER('Procyclean 600'!E103),'Procyclean 600'!E103,IF(ISNUMBER(SEARCH("12",'Procyclean 600'!E103)),EDATE(AB3101,12),IF(ISNUMBER(SEARCH("6",'Procyclean 600'!E103)),EDATE(AB3101,6),IF(ISNUMBER(SEARCH("3",'Procyclean 600'!E103)),EDATE(AB3101,3),DATEVALUE('Procyclean 600'!E103))))),""))</f>
        <v/>
      </c>
      <c r="AM3101" t="str">
        <f t="shared" ca="1" si="310"/>
        <v/>
      </c>
    </row>
    <row r="3102" spans="27:39" x14ac:dyDescent="0.3">
      <c r="AA3102" t="str">
        <f>IF(COUNTA('Procyclean 600'!B104,'Procyclean 600'!C104,'Procyclean 600'!D104)&gt;0,"600","")</f>
        <v/>
      </c>
      <c r="AB3102" t="str">
        <f>IFERROR(IF(ISNUMBER('Procyclean 600'!B104),'Procyclean 600'!B104,DATEVALUE('Procyclean 600'!B104)),"")</f>
        <v/>
      </c>
      <c r="AC3102" t="str">
        <f>IF(AA3102="","",'Procyclean 600'!C104)</f>
        <v/>
      </c>
      <c r="AD3102" t="str">
        <f>IF(AA3102="","",IFERROR(1*'Procyclean 600'!D104,IFERROR(_xludf.NUMBERVALUE('Procyclean 600'!D104,".",","),IFERROR(_xludf.NUMBERVALUE('Procyclean 600'!D104,",","."),0))))</f>
        <v/>
      </c>
      <c r="AE3102" t="str">
        <f>IF(AA3102="","",'Procyclean 600'!K104)</f>
        <v/>
      </c>
      <c r="AF3102">
        <f t="shared" si="305"/>
        <v>0</v>
      </c>
      <c r="AG3102" t="str">
        <f t="shared" si="306"/>
        <v/>
      </c>
      <c r="AH3102" t="str">
        <f t="shared" si="307"/>
        <v/>
      </c>
      <c r="AI3102">
        <f t="shared" si="308"/>
        <v>0</v>
      </c>
      <c r="AJ3102">
        <f t="shared" si="309"/>
        <v>0</v>
      </c>
      <c r="AK3102">
        <v>0</v>
      </c>
      <c r="AL3102" t="str">
        <f>IF(AA3102="","",IFERROR(IF(ISNUMBER('Procyclean 600'!E104),'Procyclean 600'!E104,IF(ISNUMBER(SEARCH("12",'Procyclean 600'!E104)),EDATE(AB3102,12),IF(ISNUMBER(SEARCH("6",'Procyclean 600'!E104)),EDATE(AB3102,6),IF(ISNUMBER(SEARCH("3",'Procyclean 600'!E104)),EDATE(AB3102,3),DATEVALUE('Procyclean 600'!E104))))),""))</f>
        <v/>
      </c>
      <c r="AM3102" t="str">
        <f t="shared" ca="1" si="310"/>
        <v/>
      </c>
    </row>
    <row r="3103" spans="27:39" x14ac:dyDescent="0.3">
      <c r="AA3103" t="str">
        <f>IF(COUNTA('Procyclean 600'!B105,'Procyclean 600'!C105,'Procyclean 600'!D105)&gt;0,"600","")</f>
        <v/>
      </c>
      <c r="AB3103" t="str">
        <f>IFERROR(IF(ISNUMBER('Procyclean 600'!B105),'Procyclean 600'!B105,DATEVALUE('Procyclean 600'!B105)),"")</f>
        <v/>
      </c>
      <c r="AC3103" t="str">
        <f>IF(AA3103="","",'Procyclean 600'!C105)</f>
        <v/>
      </c>
      <c r="AD3103" t="str">
        <f>IF(AA3103="","",IFERROR(1*'Procyclean 600'!D105,IFERROR(_xludf.NUMBERVALUE('Procyclean 600'!D105,".",","),IFERROR(_xludf.NUMBERVALUE('Procyclean 600'!D105,",","."),0))))</f>
        <v/>
      </c>
      <c r="AE3103" t="str">
        <f>IF(AA3103="","",'Procyclean 600'!K105)</f>
        <v/>
      </c>
      <c r="AF3103">
        <f t="shared" si="305"/>
        <v>0</v>
      </c>
      <c r="AG3103" t="str">
        <f t="shared" si="306"/>
        <v/>
      </c>
      <c r="AH3103" t="str">
        <f t="shared" si="307"/>
        <v/>
      </c>
      <c r="AI3103">
        <f t="shared" si="308"/>
        <v>0</v>
      </c>
      <c r="AJ3103">
        <f t="shared" si="309"/>
        <v>0</v>
      </c>
      <c r="AK3103">
        <v>0</v>
      </c>
      <c r="AL3103" t="str">
        <f>IF(AA3103="","",IFERROR(IF(ISNUMBER('Procyclean 600'!E105),'Procyclean 600'!E105,IF(ISNUMBER(SEARCH("12",'Procyclean 600'!E105)),EDATE(AB3103,12),IF(ISNUMBER(SEARCH("6",'Procyclean 600'!E105)),EDATE(AB3103,6),IF(ISNUMBER(SEARCH("3",'Procyclean 600'!E105)),EDATE(AB3103,3),DATEVALUE('Procyclean 600'!E105))))),""))</f>
        <v/>
      </c>
      <c r="AM3103" t="str">
        <f t="shared" ca="1" si="310"/>
        <v/>
      </c>
    </row>
    <row r="3104" spans="27:39" x14ac:dyDescent="0.3">
      <c r="AA3104" t="str">
        <f>IF(COUNTA('Procyclean 600'!B106,'Procyclean 600'!C106,'Procyclean 600'!D106)&gt;0,"600","")</f>
        <v/>
      </c>
      <c r="AB3104" t="str">
        <f>IFERROR(IF(ISNUMBER('Procyclean 600'!B106),'Procyclean 600'!B106,DATEVALUE('Procyclean 600'!B106)),"")</f>
        <v/>
      </c>
      <c r="AC3104" t="str">
        <f>IF(AA3104="","",'Procyclean 600'!C106)</f>
        <v/>
      </c>
      <c r="AD3104" t="str">
        <f>IF(AA3104="","",IFERROR(1*'Procyclean 600'!D106,IFERROR(_xludf.NUMBERVALUE('Procyclean 600'!D106,".",","),IFERROR(_xludf.NUMBERVALUE('Procyclean 600'!D106,",","."),0))))</f>
        <v/>
      </c>
      <c r="AE3104" t="str">
        <f>IF(AA3104="","",'Procyclean 600'!K106)</f>
        <v/>
      </c>
      <c r="AF3104">
        <f t="shared" si="305"/>
        <v>0</v>
      </c>
      <c r="AG3104" t="str">
        <f t="shared" si="306"/>
        <v/>
      </c>
      <c r="AH3104" t="str">
        <f t="shared" si="307"/>
        <v/>
      </c>
      <c r="AI3104">
        <f t="shared" si="308"/>
        <v>0</v>
      </c>
      <c r="AJ3104">
        <f t="shared" si="309"/>
        <v>0</v>
      </c>
      <c r="AK3104">
        <v>0</v>
      </c>
      <c r="AL3104" t="str">
        <f>IF(AA3104="","",IFERROR(IF(ISNUMBER('Procyclean 600'!E106),'Procyclean 600'!E106,IF(ISNUMBER(SEARCH("12",'Procyclean 600'!E106)),EDATE(AB3104,12),IF(ISNUMBER(SEARCH("6",'Procyclean 600'!E106)),EDATE(AB3104,6),IF(ISNUMBER(SEARCH("3",'Procyclean 600'!E106)),EDATE(AB3104,3),DATEVALUE('Procyclean 600'!E106))))),""))</f>
        <v/>
      </c>
      <c r="AM3104" t="str">
        <f t="shared" ca="1" si="310"/>
        <v/>
      </c>
    </row>
    <row r="3105" spans="27:39" x14ac:dyDescent="0.3">
      <c r="AA3105" t="str">
        <f>IF(COUNTA('Procyclean 600'!B107,'Procyclean 600'!C107,'Procyclean 600'!D107)&gt;0,"600","")</f>
        <v/>
      </c>
      <c r="AB3105" t="str">
        <f>IFERROR(IF(ISNUMBER('Procyclean 600'!B107),'Procyclean 600'!B107,DATEVALUE('Procyclean 600'!B107)),"")</f>
        <v/>
      </c>
      <c r="AC3105" t="str">
        <f>IF(AA3105="","",'Procyclean 600'!C107)</f>
        <v/>
      </c>
      <c r="AD3105" t="str">
        <f>IF(AA3105="","",IFERROR(1*'Procyclean 600'!D107,IFERROR(_xludf.NUMBERVALUE('Procyclean 600'!D107,".",","),IFERROR(_xludf.NUMBERVALUE('Procyclean 600'!D107,",","."),0))))</f>
        <v/>
      </c>
      <c r="AE3105" t="str">
        <f>IF(AA3105="","",'Procyclean 600'!K107)</f>
        <v/>
      </c>
      <c r="AF3105">
        <f t="shared" si="305"/>
        <v>0</v>
      </c>
      <c r="AG3105" t="str">
        <f t="shared" si="306"/>
        <v/>
      </c>
      <c r="AH3105" t="str">
        <f t="shared" si="307"/>
        <v/>
      </c>
      <c r="AI3105">
        <f t="shared" si="308"/>
        <v>0</v>
      </c>
      <c r="AJ3105">
        <f t="shared" si="309"/>
        <v>0</v>
      </c>
      <c r="AK3105">
        <v>0</v>
      </c>
      <c r="AL3105" t="str">
        <f>IF(AA3105="","",IFERROR(IF(ISNUMBER('Procyclean 600'!E107),'Procyclean 600'!E107,IF(ISNUMBER(SEARCH("12",'Procyclean 600'!E107)),EDATE(AB3105,12),IF(ISNUMBER(SEARCH("6",'Procyclean 600'!E107)),EDATE(AB3105,6),IF(ISNUMBER(SEARCH("3",'Procyclean 600'!E107)),EDATE(AB3105,3),DATEVALUE('Procyclean 600'!E107))))),""))</f>
        <v/>
      </c>
      <c r="AM3105" t="str">
        <f t="shared" ca="1" si="310"/>
        <v/>
      </c>
    </row>
    <row r="3106" spans="27:39" x14ac:dyDescent="0.3">
      <c r="AA3106" t="str">
        <f>IF(COUNTA('Procyclean 600'!B108,'Procyclean 600'!C108,'Procyclean 600'!D108)&gt;0,"600","")</f>
        <v/>
      </c>
      <c r="AB3106" t="str">
        <f>IFERROR(IF(ISNUMBER('Procyclean 600'!B108),'Procyclean 600'!B108,DATEVALUE('Procyclean 600'!B108)),"")</f>
        <v/>
      </c>
      <c r="AC3106" t="str">
        <f>IF(AA3106="","",'Procyclean 600'!C108)</f>
        <v/>
      </c>
      <c r="AD3106" t="str">
        <f>IF(AA3106="","",IFERROR(1*'Procyclean 600'!D108,IFERROR(_xludf.NUMBERVALUE('Procyclean 600'!D108,".",","),IFERROR(_xludf.NUMBERVALUE('Procyclean 600'!D108,",","."),0))))</f>
        <v/>
      </c>
      <c r="AE3106" t="str">
        <f>IF(AA3106="","",'Procyclean 600'!K108)</f>
        <v/>
      </c>
      <c r="AF3106">
        <f t="shared" si="305"/>
        <v>0</v>
      </c>
      <c r="AG3106" t="str">
        <f t="shared" si="306"/>
        <v/>
      </c>
      <c r="AH3106" t="str">
        <f t="shared" si="307"/>
        <v/>
      </c>
      <c r="AI3106">
        <f t="shared" si="308"/>
        <v>0</v>
      </c>
      <c r="AJ3106">
        <f t="shared" si="309"/>
        <v>0</v>
      </c>
      <c r="AK3106">
        <v>0</v>
      </c>
      <c r="AL3106" t="str">
        <f>IF(AA3106="","",IFERROR(IF(ISNUMBER('Procyclean 600'!E108),'Procyclean 600'!E108,IF(ISNUMBER(SEARCH("12",'Procyclean 600'!E108)),EDATE(AB3106,12),IF(ISNUMBER(SEARCH("6",'Procyclean 600'!E108)),EDATE(AB3106,6),IF(ISNUMBER(SEARCH("3",'Procyclean 600'!E108)),EDATE(AB3106,3),DATEVALUE('Procyclean 600'!E108))))),""))</f>
        <v/>
      </c>
      <c r="AM3106" t="str">
        <f t="shared" ca="1" si="310"/>
        <v/>
      </c>
    </row>
    <row r="3107" spans="27:39" x14ac:dyDescent="0.3">
      <c r="AA3107" t="str">
        <f>IF(COUNTA('Procyclean 600'!B109,'Procyclean 600'!C109,'Procyclean 600'!D109)&gt;0,"600","")</f>
        <v/>
      </c>
      <c r="AB3107" t="str">
        <f>IFERROR(IF(ISNUMBER('Procyclean 600'!B109),'Procyclean 600'!B109,DATEVALUE('Procyclean 600'!B109)),"")</f>
        <v/>
      </c>
      <c r="AC3107" t="str">
        <f>IF(AA3107="","",'Procyclean 600'!C109)</f>
        <v/>
      </c>
      <c r="AD3107" t="str">
        <f>IF(AA3107="","",IFERROR(1*'Procyclean 600'!D109,IFERROR(_xludf.NUMBERVALUE('Procyclean 600'!D109,".",","),IFERROR(_xludf.NUMBERVALUE('Procyclean 600'!D109,",","."),0))))</f>
        <v/>
      </c>
      <c r="AE3107" t="str">
        <f>IF(AA3107="","",'Procyclean 600'!K109)</f>
        <v/>
      </c>
      <c r="AF3107">
        <f t="shared" si="305"/>
        <v>0</v>
      </c>
      <c r="AG3107" t="str">
        <f t="shared" si="306"/>
        <v/>
      </c>
      <c r="AH3107" t="str">
        <f t="shared" si="307"/>
        <v/>
      </c>
      <c r="AI3107">
        <f t="shared" si="308"/>
        <v>0</v>
      </c>
      <c r="AJ3107">
        <f t="shared" si="309"/>
        <v>0</v>
      </c>
      <c r="AK3107">
        <v>0</v>
      </c>
      <c r="AL3107" t="str">
        <f>IF(AA3107="","",IFERROR(IF(ISNUMBER('Procyclean 600'!E109),'Procyclean 600'!E109,IF(ISNUMBER(SEARCH("12",'Procyclean 600'!E109)),EDATE(AB3107,12),IF(ISNUMBER(SEARCH("6",'Procyclean 600'!E109)),EDATE(AB3107,6),IF(ISNUMBER(SEARCH("3",'Procyclean 600'!E109)),EDATE(AB3107,3),DATEVALUE('Procyclean 600'!E109))))),""))</f>
        <v/>
      </c>
      <c r="AM3107" t="str">
        <f t="shared" ca="1" si="310"/>
        <v/>
      </c>
    </row>
    <row r="3108" spans="27:39" x14ac:dyDescent="0.3">
      <c r="AA3108" t="str">
        <f>IF(COUNTA('Procyclean 600'!B110,'Procyclean 600'!C110,'Procyclean 600'!D110)&gt;0,"600","")</f>
        <v/>
      </c>
      <c r="AB3108" t="str">
        <f>IFERROR(IF(ISNUMBER('Procyclean 600'!B110),'Procyclean 600'!B110,DATEVALUE('Procyclean 600'!B110)),"")</f>
        <v/>
      </c>
      <c r="AC3108" t="str">
        <f>IF(AA3108="","",'Procyclean 600'!C110)</f>
        <v/>
      </c>
      <c r="AD3108" t="str">
        <f>IF(AA3108="","",IFERROR(1*'Procyclean 600'!D110,IFERROR(_xludf.NUMBERVALUE('Procyclean 600'!D110,".",","),IFERROR(_xludf.NUMBERVALUE('Procyclean 600'!D110,",","."),0))))</f>
        <v/>
      </c>
      <c r="AE3108" t="str">
        <f>IF(AA3108="","",'Procyclean 600'!K110)</f>
        <v/>
      </c>
      <c r="AF3108">
        <f t="shared" si="305"/>
        <v>0</v>
      </c>
      <c r="AG3108" t="str">
        <f t="shared" si="306"/>
        <v/>
      </c>
      <c r="AH3108" t="str">
        <f t="shared" si="307"/>
        <v/>
      </c>
      <c r="AI3108">
        <f t="shared" si="308"/>
        <v>0</v>
      </c>
      <c r="AJ3108">
        <f t="shared" si="309"/>
        <v>0</v>
      </c>
      <c r="AK3108">
        <v>0</v>
      </c>
      <c r="AL3108" t="str">
        <f>IF(AA3108="","",IFERROR(IF(ISNUMBER('Procyclean 600'!E110),'Procyclean 600'!E110,IF(ISNUMBER(SEARCH("12",'Procyclean 600'!E110)),EDATE(AB3108,12),IF(ISNUMBER(SEARCH("6",'Procyclean 600'!E110)),EDATE(AB3108,6),IF(ISNUMBER(SEARCH("3",'Procyclean 600'!E110)),EDATE(AB3108,3),DATEVALUE('Procyclean 600'!E110))))),""))</f>
        <v/>
      </c>
      <c r="AM3108" t="str">
        <f t="shared" ca="1" si="310"/>
        <v/>
      </c>
    </row>
    <row r="3109" spans="27:39" x14ac:dyDescent="0.3">
      <c r="AA3109" t="str">
        <f>IF(COUNTA('Procyclean 600'!B111,'Procyclean 600'!C111,'Procyclean 600'!D111)&gt;0,"600","")</f>
        <v/>
      </c>
      <c r="AB3109" t="str">
        <f>IFERROR(IF(ISNUMBER('Procyclean 600'!B111),'Procyclean 600'!B111,DATEVALUE('Procyclean 600'!B111)),"")</f>
        <v/>
      </c>
      <c r="AC3109" t="str">
        <f>IF(AA3109="","",'Procyclean 600'!C111)</f>
        <v/>
      </c>
      <c r="AD3109" t="str">
        <f>IF(AA3109="","",IFERROR(1*'Procyclean 600'!D111,IFERROR(_xludf.NUMBERVALUE('Procyclean 600'!D111,".",","),IFERROR(_xludf.NUMBERVALUE('Procyclean 600'!D111,",","."),0))))</f>
        <v/>
      </c>
      <c r="AE3109" t="str">
        <f>IF(AA3109="","",'Procyclean 600'!K111)</f>
        <v/>
      </c>
      <c r="AF3109">
        <f t="shared" si="305"/>
        <v>0</v>
      </c>
      <c r="AG3109" t="str">
        <f t="shared" si="306"/>
        <v/>
      </c>
      <c r="AH3109" t="str">
        <f t="shared" si="307"/>
        <v/>
      </c>
      <c r="AI3109">
        <f t="shared" si="308"/>
        <v>0</v>
      </c>
      <c r="AJ3109">
        <f t="shared" si="309"/>
        <v>0</v>
      </c>
      <c r="AK3109">
        <v>0</v>
      </c>
      <c r="AL3109" t="str">
        <f>IF(AA3109="","",IFERROR(IF(ISNUMBER('Procyclean 600'!E111),'Procyclean 600'!E111,IF(ISNUMBER(SEARCH("12",'Procyclean 600'!E111)),EDATE(AB3109,12),IF(ISNUMBER(SEARCH("6",'Procyclean 600'!E111)),EDATE(AB3109,6),IF(ISNUMBER(SEARCH("3",'Procyclean 600'!E111)),EDATE(AB3109,3),DATEVALUE('Procyclean 600'!E111))))),""))</f>
        <v/>
      </c>
      <c r="AM3109" t="str">
        <f t="shared" ca="1" si="310"/>
        <v/>
      </c>
    </row>
    <row r="3110" spans="27:39" x14ac:dyDescent="0.3">
      <c r="AA3110" t="str">
        <f>IF(COUNTA('Procyclean 600'!B112,'Procyclean 600'!C112,'Procyclean 600'!D112)&gt;0,"600","")</f>
        <v/>
      </c>
      <c r="AB3110" t="str">
        <f>IFERROR(IF(ISNUMBER('Procyclean 600'!B112),'Procyclean 600'!B112,DATEVALUE('Procyclean 600'!B112)),"")</f>
        <v/>
      </c>
      <c r="AC3110" t="str">
        <f>IF(AA3110="","",'Procyclean 600'!C112)</f>
        <v/>
      </c>
      <c r="AD3110" t="str">
        <f>IF(AA3110="","",IFERROR(1*'Procyclean 600'!D112,IFERROR(_xludf.NUMBERVALUE('Procyclean 600'!D112,".",","),IFERROR(_xludf.NUMBERVALUE('Procyclean 600'!D112,",","."),0))))</f>
        <v/>
      </c>
      <c r="AE3110" t="str">
        <f>IF(AA3110="","",'Procyclean 600'!K112)</f>
        <v/>
      </c>
      <c r="AF3110">
        <f t="shared" si="305"/>
        <v>0</v>
      </c>
      <c r="AG3110" t="str">
        <f t="shared" si="306"/>
        <v/>
      </c>
      <c r="AH3110" t="str">
        <f t="shared" si="307"/>
        <v/>
      </c>
      <c r="AI3110">
        <f t="shared" si="308"/>
        <v>0</v>
      </c>
      <c r="AJ3110">
        <f t="shared" si="309"/>
        <v>0</v>
      </c>
      <c r="AK3110">
        <v>0</v>
      </c>
      <c r="AL3110" t="str">
        <f>IF(AA3110="","",IFERROR(IF(ISNUMBER('Procyclean 600'!E112),'Procyclean 600'!E112,IF(ISNUMBER(SEARCH("12",'Procyclean 600'!E112)),EDATE(AB3110,12),IF(ISNUMBER(SEARCH("6",'Procyclean 600'!E112)),EDATE(AB3110,6),IF(ISNUMBER(SEARCH("3",'Procyclean 600'!E112)),EDATE(AB3110,3),DATEVALUE('Procyclean 600'!E112))))),""))</f>
        <v/>
      </c>
      <c r="AM3110" t="str">
        <f t="shared" ca="1" si="310"/>
        <v/>
      </c>
    </row>
    <row r="3111" spans="27:39" x14ac:dyDescent="0.3">
      <c r="AA3111" t="str">
        <f>IF(COUNTA('Procyclean 600'!B113,'Procyclean 600'!C113,'Procyclean 600'!D113)&gt;0,"600","")</f>
        <v/>
      </c>
      <c r="AB3111" t="str">
        <f>IFERROR(IF(ISNUMBER('Procyclean 600'!B113),'Procyclean 600'!B113,DATEVALUE('Procyclean 600'!B113)),"")</f>
        <v/>
      </c>
      <c r="AC3111" t="str">
        <f>IF(AA3111="","",'Procyclean 600'!C113)</f>
        <v/>
      </c>
      <c r="AD3111" t="str">
        <f>IF(AA3111="","",IFERROR(1*'Procyclean 600'!D113,IFERROR(_xludf.NUMBERVALUE('Procyclean 600'!D113,".",","),IFERROR(_xludf.NUMBERVALUE('Procyclean 600'!D113,",","."),0))))</f>
        <v/>
      </c>
      <c r="AE3111" t="str">
        <f>IF(AA3111="","",'Procyclean 600'!K113)</f>
        <v/>
      </c>
      <c r="AF3111">
        <f t="shared" si="305"/>
        <v>0</v>
      </c>
      <c r="AG3111" t="str">
        <f t="shared" si="306"/>
        <v/>
      </c>
      <c r="AH3111" t="str">
        <f t="shared" si="307"/>
        <v/>
      </c>
      <c r="AI3111">
        <f t="shared" si="308"/>
        <v>0</v>
      </c>
      <c r="AJ3111">
        <f t="shared" si="309"/>
        <v>0</v>
      </c>
      <c r="AK3111">
        <v>0</v>
      </c>
      <c r="AL3111" t="str">
        <f>IF(AA3111="","",IFERROR(IF(ISNUMBER('Procyclean 600'!E113),'Procyclean 600'!E113,IF(ISNUMBER(SEARCH("12",'Procyclean 600'!E113)),EDATE(AB3111,12),IF(ISNUMBER(SEARCH("6",'Procyclean 600'!E113)),EDATE(AB3111,6),IF(ISNUMBER(SEARCH("3",'Procyclean 600'!E113)),EDATE(AB3111,3),DATEVALUE('Procyclean 600'!E113))))),""))</f>
        <v/>
      </c>
      <c r="AM3111" t="str">
        <f t="shared" ca="1" si="310"/>
        <v/>
      </c>
    </row>
    <row r="3112" spans="27:39" x14ac:dyDescent="0.3">
      <c r="AA3112" t="str">
        <f>IF(COUNTA('Procyclean 600'!B114,'Procyclean 600'!C114,'Procyclean 600'!D114)&gt;0,"600","")</f>
        <v/>
      </c>
      <c r="AB3112" t="str">
        <f>IFERROR(IF(ISNUMBER('Procyclean 600'!B114),'Procyclean 600'!B114,DATEVALUE('Procyclean 600'!B114)),"")</f>
        <v/>
      </c>
      <c r="AC3112" t="str">
        <f>IF(AA3112="","",'Procyclean 600'!C114)</f>
        <v/>
      </c>
      <c r="AD3112" t="str">
        <f>IF(AA3112="","",IFERROR(1*'Procyclean 600'!D114,IFERROR(_xludf.NUMBERVALUE('Procyclean 600'!D114,".",","),IFERROR(_xludf.NUMBERVALUE('Procyclean 600'!D114,",","."),0))))</f>
        <v/>
      </c>
      <c r="AE3112" t="str">
        <f>IF(AA3112="","",'Procyclean 600'!K114)</f>
        <v/>
      </c>
      <c r="AF3112">
        <f t="shared" si="305"/>
        <v>0</v>
      </c>
      <c r="AG3112" t="str">
        <f t="shared" si="306"/>
        <v/>
      </c>
      <c r="AH3112" t="str">
        <f t="shared" si="307"/>
        <v/>
      </c>
      <c r="AI3112">
        <f t="shared" si="308"/>
        <v>0</v>
      </c>
      <c r="AJ3112">
        <f t="shared" si="309"/>
        <v>0</v>
      </c>
      <c r="AK3112">
        <v>0</v>
      </c>
      <c r="AL3112" t="str">
        <f>IF(AA3112="","",IFERROR(IF(ISNUMBER('Procyclean 600'!E114),'Procyclean 600'!E114,IF(ISNUMBER(SEARCH("12",'Procyclean 600'!E114)),EDATE(AB3112,12),IF(ISNUMBER(SEARCH("6",'Procyclean 600'!E114)),EDATE(AB3112,6),IF(ISNUMBER(SEARCH("3",'Procyclean 600'!E114)),EDATE(AB3112,3),DATEVALUE('Procyclean 600'!E114))))),""))</f>
        <v/>
      </c>
      <c r="AM3112" t="str">
        <f t="shared" ca="1" si="310"/>
        <v/>
      </c>
    </row>
    <row r="3113" spans="27:39" x14ac:dyDescent="0.3">
      <c r="AA3113" t="str">
        <f>IF(COUNTA('Procyclean 600'!B115,'Procyclean 600'!C115,'Procyclean 600'!D115)&gt;0,"600","")</f>
        <v/>
      </c>
      <c r="AB3113" t="str">
        <f>IFERROR(IF(ISNUMBER('Procyclean 600'!B115),'Procyclean 600'!B115,DATEVALUE('Procyclean 600'!B115)),"")</f>
        <v/>
      </c>
      <c r="AC3113" t="str">
        <f>IF(AA3113="","",'Procyclean 600'!C115)</f>
        <v/>
      </c>
      <c r="AD3113" t="str">
        <f>IF(AA3113="","",IFERROR(1*'Procyclean 600'!D115,IFERROR(_xludf.NUMBERVALUE('Procyclean 600'!D115,".",","),IFERROR(_xludf.NUMBERVALUE('Procyclean 600'!D115,",","."),0))))</f>
        <v/>
      </c>
      <c r="AE3113" t="str">
        <f>IF(AA3113="","",'Procyclean 600'!K115)</f>
        <v/>
      </c>
      <c r="AF3113">
        <f t="shared" si="305"/>
        <v>0</v>
      </c>
      <c r="AG3113" t="str">
        <f t="shared" si="306"/>
        <v/>
      </c>
      <c r="AH3113" t="str">
        <f t="shared" si="307"/>
        <v/>
      </c>
      <c r="AI3113">
        <f t="shared" si="308"/>
        <v>0</v>
      </c>
      <c r="AJ3113">
        <f t="shared" si="309"/>
        <v>0</v>
      </c>
      <c r="AK3113">
        <v>0</v>
      </c>
      <c r="AL3113" t="str">
        <f>IF(AA3113="","",IFERROR(IF(ISNUMBER('Procyclean 600'!E115),'Procyclean 600'!E115,IF(ISNUMBER(SEARCH("12",'Procyclean 600'!E115)),EDATE(AB3113,12),IF(ISNUMBER(SEARCH("6",'Procyclean 600'!E115)),EDATE(AB3113,6),IF(ISNUMBER(SEARCH("3",'Procyclean 600'!E115)),EDATE(AB3113,3),DATEVALUE('Procyclean 600'!E115))))),""))</f>
        <v/>
      </c>
      <c r="AM3113" t="str">
        <f t="shared" ca="1" si="310"/>
        <v/>
      </c>
    </row>
    <row r="3114" spans="27:39" x14ac:dyDescent="0.3">
      <c r="AA3114" t="str">
        <f>IF(COUNTA('Procyclean 600'!B116,'Procyclean 600'!C116,'Procyclean 600'!D116)&gt;0,"600","")</f>
        <v/>
      </c>
      <c r="AB3114" t="str">
        <f>IFERROR(IF(ISNUMBER('Procyclean 600'!B116),'Procyclean 600'!B116,DATEVALUE('Procyclean 600'!B116)),"")</f>
        <v/>
      </c>
      <c r="AC3114" t="str">
        <f>IF(AA3114="","",'Procyclean 600'!C116)</f>
        <v/>
      </c>
      <c r="AD3114" t="str">
        <f>IF(AA3114="","",IFERROR(1*'Procyclean 600'!D116,IFERROR(_xludf.NUMBERVALUE('Procyclean 600'!D116,".",","),IFERROR(_xludf.NUMBERVALUE('Procyclean 600'!D116,",","."),0))))</f>
        <v/>
      </c>
      <c r="AE3114" t="str">
        <f>IF(AA3114="","",'Procyclean 600'!K116)</f>
        <v/>
      </c>
      <c r="AF3114">
        <f t="shared" si="305"/>
        <v>0</v>
      </c>
      <c r="AG3114" t="str">
        <f t="shared" si="306"/>
        <v/>
      </c>
      <c r="AH3114" t="str">
        <f t="shared" si="307"/>
        <v/>
      </c>
      <c r="AI3114">
        <f t="shared" si="308"/>
        <v>0</v>
      </c>
      <c r="AJ3114">
        <f t="shared" si="309"/>
        <v>0</v>
      </c>
      <c r="AK3114">
        <v>0</v>
      </c>
      <c r="AL3114" t="str">
        <f>IF(AA3114="","",IFERROR(IF(ISNUMBER('Procyclean 600'!E116),'Procyclean 600'!E116,IF(ISNUMBER(SEARCH("12",'Procyclean 600'!E116)),EDATE(AB3114,12),IF(ISNUMBER(SEARCH("6",'Procyclean 600'!E116)),EDATE(AB3114,6),IF(ISNUMBER(SEARCH("3",'Procyclean 600'!E116)),EDATE(AB3114,3),DATEVALUE('Procyclean 600'!E116))))),""))</f>
        <v/>
      </c>
      <c r="AM3114" t="str">
        <f t="shared" ca="1" si="310"/>
        <v/>
      </c>
    </row>
    <row r="3115" spans="27:39" x14ac:dyDescent="0.3">
      <c r="AA3115" t="str">
        <f>IF(COUNTA('Procyclean 600'!B117,'Procyclean 600'!C117,'Procyclean 600'!D117)&gt;0,"600","")</f>
        <v/>
      </c>
      <c r="AB3115" t="str">
        <f>IFERROR(IF(ISNUMBER('Procyclean 600'!B117),'Procyclean 600'!B117,DATEVALUE('Procyclean 600'!B117)),"")</f>
        <v/>
      </c>
      <c r="AC3115" t="str">
        <f>IF(AA3115="","",'Procyclean 600'!C117)</f>
        <v/>
      </c>
      <c r="AD3115" t="str">
        <f>IF(AA3115="","",IFERROR(1*'Procyclean 600'!D117,IFERROR(_xludf.NUMBERVALUE('Procyclean 600'!D117,".",","),IFERROR(_xludf.NUMBERVALUE('Procyclean 600'!D117,",","."),0))))</f>
        <v/>
      </c>
      <c r="AE3115" t="str">
        <f>IF(AA3115="","",'Procyclean 600'!K117)</f>
        <v/>
      </c>
      <c r="AF3115">
        <f t="shared" si="305"/>
        <v>0</v>
      </c>
      <c r="AG3115" t="str">
        <f t="shared" si="306"/>
        <v/>
      </c>
      <c r="AH3115" t="str">
        <f t="shared" si="307"/>
        <v/>
      </c>
      <c r="AI3115">
        <f t="shared" si="308"/>
        <v>0</v>
      </c>
      <c r="AJ3115">
        <f t="shared" si="309"/>
        <v>0</v>
      </c>
      <c r="AK3115">
        <v>0</v>
      </c>
      <c r="AL3115" t="str">
        <f>IF(AA3115="","",IFERROR(IF(ISNUMBER('Procyclean 600'!E117),'Procyclean 600'!E117,IF(ISNUMBER(SEARCH("12",'Procyclean 600'!E117)),EDATE(AB3115,12),IF(ISNUMBER(SEARCH("6",'Procyclean 600'!E117)),EDATE(AB3115,6),IF(ISNUMBER(SEARCH("3",'Procyclean 600'!E117)),EDATE(AB3115,3),DATEVALUE('Procyclean 600'!E117))))),""))</f>
        <v/>
      </c>
      <c r="AM3115" t="str">
        <f t="shared" ca="1" si="310"/>
        <v/>
      </c>
    </row>
    <row r="3116" spans="27:39" x14ac:dyDescent="0.3">
      <c r="AA3116" t="str">
        <f>IF(COUNTA('Procyclean 600'!B118,'Procyclean 600'!C118,'Procyclean 600'!D118)&gt;0,"600","")</f>
        <v/>
      </c>
      <c r="AB3116" t="str">
        <f>IFERROR(IF(ISNUMBER('Procyclean 600'!B118),'Procyclean 600'!B118,DATEVALUE('Procyclean 600'!B118)),"")</f>
        <v/>
      </c>
      <c r="AC3116" t="str">
        <f>IF(AA3116="","",'Procyclean 600'!C118)</f>
        <v/>
      </c>
      <c r="AD3116" t="str">
        <f>IF(AA3116="","",IFERROR(1*'Procyclean 600'!D118,IFERROR(_xludf.NUMBERVALUE('Procyclean 600'!D118,".",","),IFERROR(_xludf.NUMBERVALUE('Procyclean 600'!D118,",","."),0))))</f>
        <v/>
      </c>
      <c r="AE3116" t="str">
        <f>IF(AA3116="","",'Procyclean 600'!K118)</f>
        <v/>
      </c>
      <c r="AF3116">
        <f t="shared" si="305"/>
        <v>0</v>
      </c>
      <c r="AG3116" t="str">
        <f t="shared" si="306"/>
        <v/>
      </c>
      <c r="AH3116" t="str">
        <f t="shared" si="307"/>
        <v/>
      </c>
      <c r="AI3116">
        <f t="shared" si="308"/>
        <v>0</v>
      </c>
      <c r="AJ3116">
        <f t="shared" si="309"/>
        <v>0</v>
      </c>
      <c r="AK3116">
        <v>0</v>
      </c>
      <c r="AL3116" t="str">
        <f>IF(AA3116="","",IFERROR(IF(ISNUMBER('Procyclean 600'!E118),'Procyclean 600'!E118,IF(ISNUMBER(SEARCH("12",'Procyclean 600'!E118)),EDATE(AB3116,12),IF(ISNUMBER(SEARCH("6",'Procyclean 600'!E118)),EDATE(AB3116,6),IF(ISNUMBER(SEARCH("3",'Procyclean 600'!E118)),EDATE(AB3116,3),DATEVALUE('Procyclean 600'!E118))))),""))</f>
        <v/>
      </c>
      <c r="AM3116" t="str">
        <f t="shared" ca="1" si="310"/>
        <v/>
      </c>
    </row>
    <row r="3117" spans="27:39" x14ac:dyDescent="0.3">
      <c r="AA3117" t="str">
        <f>IF(COUNTA('Procyclean 600'!B119,'Procyclean 600'!C119,'Procyclean 600'!D119)&gt;0,"600","")</f>
        <v/>
      </c>
      <c r="AB3117" t="str">
        <f>IFERROR(IF(ISNUMBER('Procyclean 600'!B119),'Procyclean 600'!B119,DATEVALUE('Procyclean 600'!B119)),"")</f>
        <v/>
      </c>
      <c r="AC3117" t="str">
        <f>IF(AA3117="","",'Procyclean 600'!C119)</f>
        <v/>
      </c>
      <c r="AD3117" t="str">
        <f>IF(AA3117="","",IFERROR(1*'Procyclean 600'!D119,IFERROR(_xludf.NUMBERVALUE('Procyclean 600'!D119,".",","),IFERROR(_xludf.NUMBERVALUE('Procyclean 600'!D119,",","."),0))))</f>
        <v/>
      </c>
      <c r="AE3117" t="str">
        <f>IF(AA3117="","",'Procyclean 600'!K119)</f>
        <v/>
      </c>
      <c r="AF3117">
        <f t="shared" si="305"/>
        <v>0</v>
      </c>
      <c r="AG3117" t="str">
        <f t="shared" si="306"/>
        <v/>
      </c>
      <c r="AH3117" t="str">
        <f t="shared" si="307"/>
        <v/>
      </c>
      <c r="AI3117">
        <f t="shared" si="308"/>
        <v>0</v>
      </c>
      <c r="AJ3117">
        <f t="shared" si="309"/>
        <v>0</v>
      </c>
      <c r="AK3117">
        <v>0</v>
      </c>
      <c r="AL3117" t="str">
        <f>IF(AA3117="","",IFERROR(IF(ISNUMBER('Procyclean 600'!E119),'Procyclean 600'!E119,IF(ISNUMBER(SEARCH("12",'Procyclean 600'!E119)),EDATE(AB3117,12),IF(ISNUMBER(SEARCH("6",'Procyclean 600'!E119)),EDATE(AB3117,6),IF(ISNUMBER(SEARCH("3",'Procyclean 600'!E119)),EDATE(AB3117,3),DATEVALUE('Procyclean 600'!E119))))),""))</f>
        <v/>
      </c>
      <c r="AM3117" t="str">
        <f t="shared" ca="1" si="310"/>
        <v/>
      </c>
    </row>
    <row r="3118" spans="27:39" x14ac:dyDescent="0.3">
      <c r="AA3118" t="str">
        <f>IF(COUNTA('Procyclean 600'!B120,'Procyclean 600'!C120,'Procyclean 600'!D120)&gt;0,"600","")</f>
        <v/>
      </c>
      <c r="AB3118" t="str">
        <f>IFERROR(IF(ISNUMBER('Procyclean 600'!B120),'Procyclean 600'!B120,DATEVALUE('Procyclean 600'!B120)),"")</f>
        <v/>
      </c>
      <c r="AC3118" t="str">
        <f>IF(AA3118="","",'Procyclean 600'!C120)</f>
        <v/>
      </c>
      <c r="AD3118" t="str">
        <f>IF(AA3118="","",IFERROR(1*'Procyclean 600'!D120,IFERROR(_xludf.NUMBERVALUE('Procyclean 600'!D120,".",","),IFERROR(_xludf.NUMBERVALUE('Procyclean 600'!D120,",","."),0))))</f>
        <v/>
      </c>
      <c r="AE3118" t="str">
        <f>IF(AA3118="","",'Procyclean 600'!K120)</f>
        <v/>
      </c>
      <c r="AF3118">
        <f t="shared" si="305"/>
        <v>0</v>
      </c>
      <c r="AG3118" t="str">
        <f t="shared" si="306"/>
        <v/>
      </c>
      <c r="AH3118" t="str">
        <f t="shared" si="307"/>
        <v/>
      </c>
      <c r="AI3118">
        <f t="shared" si="308"/>
        <v>0</v>
      </c>
      <c r="AJ3118">
        <f t="shared" si="309"/>
        <v>0</v>
      </c>
      <c r="AK3118">
        <v>0</v>
      </c>
      <c r="AL3118" t="str">
        <f>IF(AA3118="","",IFERROR(IF(ISNUMBER('Procyclean 600'!E120),'Procyclean 600'!E120,IF(ISNUMBER(SEARCH("12",'Procyclean 600'!E120)),EDATE(AB3118,12),IF(ISNUMBER(SEARCH("6",'Procyclean 600'!E120)),EDATE(AB3118,6),IF(ISNUMBER(SEARCH("3",'Procyclean 600'!E120)),EDATE(AB3118,3),DATEVALUE('Procyclean 600'!E120))))),""))</f>
        <v/>
      </c>
      <c r="AM3118" t="str">
        <f t="shared" ca="1" si="310"/>
        <v/>
      </c>
    </row>
    <row r="3119" spans="27:39" x14ac:dyDescent="0.3">
      <c r="AA3119" t="str">
        <f>IF(COUNTA('Procyclean 600'!B121,'Procyclean 600'!C121,'Procyclean 600'!D121)&gt;0,"600","")</f>
        <v/>
      </c>
      <c r="AB3119" t="str">
        <f>IFERROR(IF(ISNUMBER('Procyclean 600'!B121),'Procyclean 600'!B121,DATEVALUE('Procyclean 600'!B121)),"")</f>
        <v/>
      </c>
      <c r="AC3119" t="str">
        <f>IF(AA3119="","",'Procyclean 600'!C121)</f>
        <v/>
      </c>
      <c r="AD3119" t="str">
        <f>IF(AA3119="","",IFERROR(1*'Procyclean 600'!D121,IFERROR(_xludf.NUMBERVALUE('Procyclean 600'!D121,".",","),IFERROR(_xludf.NUMBERVALUE('Procyclean 600'!D121,",","."),0))))</f>
        <v/>
      </c>
      <c r="AE3119" t="str">
        <f>IF(AA3119="","",'Procyclean 600'!K121)</f>
        <v/>
      </c>
      <c r="AF3119">
        <f t="shared" si="305"/>
        <v>0</v>
      </c>
      <c r="AG3119" t="str">
        <f t="shared" si="306"/>
        <v/>
      </c>
      <c r="AH3119" t="str">
        <f t="shared" si="307"/>
        <v/>
      </c>
      <c r="AI3119">
        <f t="shared" si="308"/>
        <v>0</v>
      </c>
      <c r="AJ3119">
        <f t="shared" si="309"/>
        <v>0</v>
      </c>
      <c r="AK3119">
        <v>0</v>
      </c>
      <c r="AL3119" t="str">
        <f>IF(AA3119="","",IFERROR(IF(ISNUMBER('Procyclean 600'!E121),'Procyclean 600'!E121,IF(ISNUMBER(SEARCH("12",'Procyclean 600'!E121)),EDATE(AB3119,12),IF(ISNUMBER(SEARCH("6",'Procyclean 600'!E121)),EDATE(AB3119,6),IF(ISNUMBER(SEARCH("3",'Procyclean 600'!E121)),EDATE(AB3119,3),DATEVALUE('Procyclean 600'!E121))))),""))</f>
        <v/>
      </c>
      <c r="AM3119" t="str">
        <f t="shared" ca="1" si="310"/>
        <v/>
      </c>
    </row>
    <row r="3120" spans="27:39" x14ac:dyDescent="0.3">
      <c r="AA3120" t="str">
        <f>IF(COUNTA('Procyclean 600'!B122,'Procyclean 600'!C122,'Procyclean 600'!D122)&gt;0,"600","")</f>
        <v/>
      </c>
      <c r="AB3120" t="str">
        <f>IFERROR(IF(ISNUMBER('Procyclean 600'!B122),'Procyclean 600'!B122,DATEVALUE('Procyclean 600'!B122)),"")</f>
        <v/>
      </c>
      <c r="AC3120" t="str">
        <f>IF(AA3120="","",'Procyclean 600'!C122)</f>
        <v/>
      </c>
      <c r="AD3120" t="str">
        <f>IF(AA3120="","",IFERROR(1*'Procyclean 600'!D122,IFERROR(_xludf.NUMBERVALUE('Procyclean 600'!D122,".",","),IFERROR(_xludf.NUMBERVALUE('Procyclean 600'!D122,",","."),0))))</f>
        <v/>
      </c>
      <c r="AE3120" t="str">
        <f>IF(AA3120="","",'Procyclean 600'!K122)</f>
        <v/>
      </c>
      <c r="AF3120">
        <f t="shared" si="305"/>
        <v>0</v>
      </c>
      <c r="AG3120" t="str">
        <f t="shared" si="306"/>
        <v/>
      </c>
      <c r="AH3120" t="str">
        <f t="shared" si="307"/>
        <v/>
      </c>
      <c r="AI3120">
        <f t="shared" si="308"/>
        <v>0</v>
      </c>
      <c r="AJ3120">
        <f t="shared" si="309"/>
        <v>0</v>
      </c>
      <c r="AK3120">
        <v>0</v>
      </c>
      <c r="AL3120" t="str">
        <f>IF(AA3120="","",IFERROR(IF(ISNUMBER('Procyclean 600'!E122),'Procyclean 600'!E122,IF(ISNUMBER(SEARCH("12",'Procyclean 600'!E122)),EDATE(AB3120,12),IF(ISNUMBER(SEARCH("6",'Procyclean 600'!E122)),EDATE(AB3120,6),IF(ISNUMBER(SEARCH("3",'Procyclean 600'!E122)),EDATE(AB3120,3),DATEVALUE('Procyclean 600'!E122))))),""))</f>
        <v/>
      </c>
      <c r="AM3120" t="str">
        <f t="shared" ca="1" si="310"/>
        <v/>
      </c>
    </row>
    <row r="3121" spans="27:39" x14ac:dyDescent="0.3">
      <c r="AA3121" t="str">
        <f>IF(COUNTA('Procyclean 600'!B123,'Procyclean 600'!C123,'Procyclean 600'!D123)&gt;0,"600","")</f>
        <v/>
      </c>
      <c r="AB3121" t="str">
        <f>IFERROR(IF(ISNUMBER('Procyclean 600'!B123),'Procyclean 600'!B123,DATEVALUE('Procyclean 600'!B123)),"")</f>
        <v/>
      </c>
      <c r="AC3121" t="str">
        <f>IF(AA3121="","",'Procyclean 600'!C123)</f>
        <v/>
      </c>
      <c r="AD3121" t="str">
        <f>IF(AA3121="","",IFERROR(1*'Procyclean 600'!D123,IFERROR(_xludf.NUMBERVALUE('Procyclean 600'!D123,".",","),IFERROR(_xludf.NUMBERVALUE('Procyclean 600'!D123,",","."),0))))</f>
        <v/>
      </c>
      <c r="AE3121" t="str">
        <f>IF(AA3121="","",'Procyclean 600'!K123)</f>
        <v/>
      </c>
      <c r="AF3121">
        <f t="shared" si="305"/>
        <v>0</v>
      </c>
      <c r="AG3121" t="str">
        <f t="shared" si="306"/>
        <v/>
      </c>
      <c r="AH3121" t="str">
        <f t="shared" si="307"/>
        <v/>
      </c>
      <c r="AI3121">
        <f t="shared" si="308"/>
        <v>0</v>
      </c>
      <c r="AJ3121">
        <f t="shared" si="309"/>
        <v>0</v>
      </c>
      <c r="AK3121">
        <v>0</v>
      </c>
      <c r="AL3121" t="str">
        <f>IF(AA3121="","",IFERROR(IF(ISNUMBER('Procyclean 600'!E123),'Procyclean 600'!E123,IF(ISNUMBER(SEARCH("12",'Procyclean 600'!E123)),EDATE(AB3121,12),IF(ISNUMBER(SEARCH("6",'Procyclean 600'!E123)),EDATE(AB3121,6),IF(ISNUMBER(SEARCH("3",'Procyclean 600'!E123)),EDATE(AB3121,3),DATEVALUE('Procyclean 600'!E123))))),""))</f>
        <v/>
      </c>
      <c r="AM3121" t="str">
        <f t="shared" ca="1" si="310"/>
        <v/>
      </c>
    </row>
    <row r="3122" spans="27:39" x14ac:dyDescent="0.3">
      <c r="AA3122" t="str">
        <f>IF(COUNTA('Procyclean 600'!B124,'Procyclean 600'!C124,'Procyclean 600'!D124)&gt;0,"600","")</f>
        <v/>
      </c>
      <c r="AB3122" t="str">
        <f>IFERROR(IF(ISNUMBER('Procyclean 600'!B124),'Procyclean 600'!B124,DATEVALUE('Procyclean 600'!B124)),"")</f>
        <v/>
      </c>
      <c r="AC3122" t="str">
        <f>IF(AA3122="","",'Procyclean 600'!C124)</f>
        <v/>
      </c>
      <c r="AD3122" t="str">
        <f>IF(AA3122="","",IFERROR(1*'Procyclean 600'!D124,IFERROR(_xludf.NUMBERVALUE('Procyclean 600'!D124,".",","),IFERROR(_xludf.NUMBERVALUE('Procyclean 600'!D124,",","."),0))))</f>
        <v/>
      </c>
      <c r="AE3122" t="str">
        <f>IF(AA3122="","",'Procyclean 600'!K124)</f>
        <v/>
      </c>
      <c r="AF3122">
        <f t="shared" si="305"/>
        <v>0</v>
      </c>
      <c r="AG3122" t="str">
        <f t="shared" si="306"/>
        <v/>
      </c>
      <c r="AH3122" t="str">
        <f t="shared" si="307"/>
        <v/>
      </c>
      <c r="AI3122">
        <f t="shared" si="308"/>
        <v>0</v>
      </c>
      <c r="AJ3122">
        <f t="shared" si="309"/>
        <v>0</v>
      </c>
      <c r="AK3122">
        <v>0</v>
      </c>
      <c r="AL3122" t="str">
        <f>IF(AA3122="","",IFERROR(IF(ISNUMBER('Procyclean 600'!E124),'Procyclean 600'!E124,IF(ISNUMBER(SEARCH("12",'Procyclean 600'!E124)),EDATE(AB3122,12),IF(ISNUMBER(SEARCH("6",'Procyclean 600'!E124)),EDATE(AB3122,6),IF(ISNUMBER(SEARCH("3",'Procyclean 600'!E124)),EDATE(AB3122,3),DATEVALUE('Procyclean 600'!E124))))),""))</f>
        <v/>
      </c>
      <c r="AM3122" t="str">
        <f t="shared" ca="1" si="310"/>
        <v/>
      </c>
    </row>
    <row r="3123" spans="27:39" x14ac:dyDescent="0.3">
      <c r="AA3123" t="str">
        <f>IF(COUNTA('Procyclean 600'!B125,'Procyclean 600'!C125,'Procyclean 600'!D125)&gt;0,"600","")</f>
        <v/>
      </c>
      <c r="AB3123" t="str">
        <f>IFERROR(IF(ISNUMBER('Procyclean 600'!B125),'Procyclean 600'!B125,DATEVALUE('Procyclean 600'!B125)),"")</f>
        <v/>
      </c>
      <c r="AC3123" t="str">
        <f>IF(AA3123="","",'Procyclean 600'!C125)</f>
        <v/>
      </c>
      <c r="AD3123" t="str">
        <f>IF(AA3123="","",IFERROR(1*'Procyclean 600'!D125,IFERROR(_xludf.NUMBERVALUE('Procyclean 600'!D125,".",","),IFERROR(_xludf.NUMBERVALUE('Procyclean 600'!D125,",","."),0))))</f>
        <v/>
      </c>
      <c r="AE3123" t="str">
        <f>IF(AA3123="","",'Procyclean 600'!K125)</f>
        <v/>
      </c>
      <c r="AF3123">
        <f t="shared" si="305"/>
        <v>0</v>
      </c>
      <c r="AG3123" t="str">
        <f t="shared" si="306"/>
        <v/>
      </c>
      <c r="AH3123" t="str">
        <f t="shared" si="307"/>
        <v/>
      </c>
      <c r="AI3123">
        <f t="shared" si="308"/>
        <v>0</v>
      </c>
      <c r="AJ3123">
        <f t="shared" si="309"/>
        <v>0</v>
      </c>
      <c r="AK3123">
        <v>0</v>
      </c>
      <c r="AL3123" t="str">
        <f>IF(AA3123="","",IFERROR(IF(ISNUMBER('Procyclean 600'!E125),'Procyclean 600'!E125,IF(ISNUMBER(SEARCH("12",'Procyclean 600'!E125)),EDATE(AB3123,12),IF(ISNUMBER(SEARCH("6",'Procyclean 600'!E125)),EDATE(AB3123,6),IF(ISNUMBER(SEARCH("3",'Procyclean 600'!E125)),EDATE(AB3123,3),DATEVALUE('Procyclean 600'!E125))))),""))</f>
        <v/>
      </c>
      <c r="AM3123" t="str">
        <f t="shared" ca="1" si="310"/>
        <v/>
      </c>
    </row>
    <row r="3124" spans="27:39" x14ac:dyDescent="0.3">
      <c r="AA3124" t="str">
        <f>IF(COUNTA('Procyclean 600'!B126,'Procyclean 600'!C126,'Procyclean 600'!D126)&gt;0,"600","")</f>
        <v/>
      </c>
      <c r="AB3124" t="str">
        <f>IFERROR(IF(ISNUMBER('Procyclean 600'!B126),'Procyclean 600'!B126,DATEVALUE('Procyclean 600'!B126)),"")</f>
        <v/>
      </c>
      <c r="AC3124" t="str">
        <f>IF(AA3124="","",'Procyclean 600'!C126)</f>
        <v/>
      </c>
      <c r="AD3124" t="str">
        <f>IF(AA3124="","",IFERROR(1*'Procyclean 600'!D126,IFERROR(_xludf.NUMBERVALUE('Procyclean 600'!D126,".",","),IFERROR(_xludf.NUMBERVALUE('Procyclean 600'!D126,",","."),0))))</f>
        <v/>
      </c>
      <c r="AE3124" t="str">
        <f>IF(AA3124="","",'Procyclean 600'!K126)</f>
        <v/>
      </c>
      <c r="AF3124">
        <f t="shared" si="305"/>
        <v>0</v>
      </c>
      <c r="AG3124" t="str">
        <f t="shared" si="306"/>
        <v/>
      </c>
      <c r="AH3124" t="str">
        <f t="shared" si="307"/>
        <v/>
      </c>
      <c r="AI3124">
        <f t="shared" si="308"/>
        <v>0</v>
      </c>
      <c r="AJ3124">
        <f t="shared" si="309"/>
        <v>0</v>
      </c>
      <c r="AK3124">
        <v>0</v>
      </c>
      <c r="AL3124" t="str">
        <f>IF(AA3124="","",IFERROR(IF(ISNUMBER('Procyclean 600'!E126),'Procyclean 600'!E126,IF(ISNUMBER(SEARCH("12",'Procyclean 600'!E126)),EDATE(AB3124,12),IF(ISNUMBER(SEARCH("6",'Procyclean 600'!E126)),EDATE(AB3124,6),IF(ISNUMBER(SEARCH("3",'Procyclean 600'!E126)),EDATE(AB3124,3),DATEVALUE('Procyclean 600'!E126))))),""))</f>
        <v/>
      </c>
      <c r="AM3124" t="str">
        <f t="shared" ca="1" si="310"/>
        <v/>
      </c>
    </row>
    <row r="3125" spans="27:39" x14ac:dyDescent="0.3">
      <c r="AA3125" t="str">
        <f>IF(COUNTA('Procyclean 600'!B127,'Procyclean 600'!C127,'Procyclean 600'!D127)&gt;0,"600","")</f>
        <v/>
      </c>
      <c r="AB3125" t="str">
        <f>IFERROR(IF(ISNUMBER('Procyclean 600'!B127),'Procyclean 600'!B127,DATEVALUE('Procyclean 600'!B127)),"")</f>
        <v/>
      </c>
      <c r="AC3125" t="str">
        <f>IF(AA3125="","",'Procyclean 600'!C127)</f>
        <v/>
      </c>
      <c r="AD3125" t="str">
        <f>IF(AA3125="","",IFERROR(1*'Procyclean 600'!D127,IFERROR(_xludf.NUMBERVALUE('Procyclean 600'!D127,".",","),IFERROR(_xludf.NUMBERVALUE('Procyclean 600'!D127,",","."),0))))</f>
        <v/>
      </c>
      <c r="AE3125" t="str">
        <f>IF(AA3125="","",'Procyclean 600'!K127)</f>
        <v/>
      </c>
      <c r="AF3125">
        <f t="shared" si="305"/>
        <v>0</v>
      </c>
      <c r="AG3125" t="str">
        <f t="shared" si="306"/>
        <v/>
      </c>
      <c r="AH3125" t="str">
        <f t="shared" si="307"/>
        <v/>
      </c>
      <c r="AI3125">
        <f t="shared" si="308"/>
        <v>0</v>
      </c>
      <c r="AJ3125">
        <f t="shared" si="309"/>
        <v>0</v>
      </c>
      <c r="AK3125">
        <v>0</v>
      </c>
      <c r="AL3125" t="str">
        <f>IF(AA3125="","",IFERROR(IF(ISNUMBER('Procyclean 600'!E127),'Procyclean 600'!E127,IF(ISNUMBER(SEARCH("12",'Procyclean 600'!E127)),EDATE(AB3125,12),IF(ISNUMBER(SEARCH("6",'Procyclean 600'!E127)),EDATE(AB3125,6),IF(ISNUMBER(SEARCH("3",'Procyclean 600'!E127)),EDATE(AB3125,3),DATEVALUE('Procyclean 600'!E127))))),""))</f>
        <v/>
      </c>
      <c r="AM3125" t="str">
        <f t="shared" ca="1" si="310"/>
        <v/>
      </c>
    </row>
    <row r="3126" spans="27:39" x14ac:dyDescent="0.3">
      <c r="AA3126" t="str">
        <f>IF(COUNTA('Procyclean 600'!B128,'Procyclean 600'!C128,'Procyclean 600'!D128)&gt;0,"600","")</f>
        <v/>
      </c>
      <c r="AB3126" t="str">
        <f>IFERROR(IF(ISNUMBER('Procyclean 600'!B128),'Procyclean 600'!B128,DATEVALUE('Procyclean 600'!B128)),"")</f>
        <v/>
      </c>
      <c r="AC3126" t="str">
        <f>IF(AA3126="","",'Procyclean 600'!C128)</f>
        <v/>
      </c>
      <c r="AD3126" t="str">
        <f>IF(AA3126="","",IFERROR(1*'Procyclean 600'!D128,IFERROR(_xludf.NUMBERVALUE('Procyclean 600'!D128,".",","),IFERROR(_xludf.NUMBERVALUE('Procyclean 600'!D128,",","."),0))))</f>
        <v/>
      </c>
      <c r="AE3126" t="str">
        <f>IF(AA3126="","",'Procyclean 600'!K128)</f>
        <v/>
      </c>
      <c r="AF3126">
        <f t="shared" si="305"/>
        <v>0</v>
      </c>
      <c r="AG3126" t="str">
        <f t="shared" si="306"/>
        <v/>
      </c>
      <c r="AH3126" t="str">
        <f t="shared" si="307"/>
        <v/>
      </c>
      <c r="AI3126">
        <f t="shared" si="308"/>
        <v>0</v>
      </c>
      <c r="AJ3126">
        <f t="shared" si="309"/>
        <v>0</v>
      </c>
      <c r="AK3126">
        <v>0</v>
      </c>
      <c r="AL3126" t="str">
        <f>IF(AA3126="","",IFERROR(IF(ISNUMBER('Procyclean 600'!E128),'Procyclean 600'!E128,IF(ISNUMBER(SEARCH("12",'Procyclean 600'!E128)),EDATE(AB3126,12),IF(ISNUMBER(SEARCH("6",'Procyclean 600'!E128)),EDATE(AB3126,6),IF(ISNUMBER(SEARCH("3",'Procyclean 600'!E128)),EDATE(AB3126,3),DATEVALUE('Procyclean 600'!E128))))),""))</f>
        <v/>
      </c>
      <c r="AM3126" t="str">
        <f t="shared" ca="1" si="310"/>
        <v/>
      </c>
    </row>
    <row r="3127" spans="27:39" x14ac:dyDescent="0.3">
      <c r="AA3127" t="str">
        <f>IF(COUNTA('Procyclean 600'!B129,'Procyclean 600'!C129,'Procyclean 600'!D129)&gt;0,"600","")</f>
        <v/>
      </c>
      <c r="AB3127" t="str">
        <f>IFERROR(IF(ISNUMBER('Procyclean 600'!B129),'Procyclean 600'!B129,DATEVALUE('Procyclean 600'!B129)),"")</f>
        <v/>
      </c>
      <c r="AC3127" t="str">
        <f>IF(AA3127="","",'Procyclean 600'!C129)</f>
        <v/>
      </c>
      <c r="AD3127" t="str">
        <f>IF(AA3127="","",IFERROR(1*'Procyclean 600'!D129,IFERROR(_xludf.NUMBERVALUE('Procyclean 600'!D129,".",","),IFERROR(_xludf.NUMBERVALUE('Procyclean 600'!D129,",","."),0))))</f>
        <v/>
      </c>
      <c r="AE3127" t="str">
        <f>IF(AA3127="","",'Procyclean 600'!K129)</f>
        <v/>
      </c>
      <c r="AF3127">
        <f t="shared" si="305"/>
        <v>0</v>
      </c>
      <c r="AG3127" t="str">
        <f t="shared" si="306"/>
        <v/>
      </c>
      <c r="AH3127" t="str">
        <f t="shared" si="307"/>
        <v/>
      </c>
      <c r="AI3127">
        <f t="shared" si="308"/>
        <v>0</v>
      </c>
      <c r="AJ3127">
        <f t="shared" si="309"/>
        <v>0</v>
      </c>
      <c r="AK3127">
        <v>0</v>
      </c>
      <c r="AL3127" t="str">
        <f>IF(AA3127="","",IFERROR(IF(ISNUMBER('Procyclean 600'!E129),'Procyclean 600'!E129,IF(ISNUMBER(SEARCH("12",'Procyclean 600'!E129)),EDATE(AB3127,12),IF(ISNUMBER(SEARCH("6",'Procyclean 600'!E129)),EDATE(AB3127,6),IF(ISNUMBER(SEARCH("3",'Procyclean 600'!E129)),EDATE(AB3127,3),DATEVALUE('Procyclean 600'!E129))))),""))</f>
        <v/>
      </c>
      <c r="AM3127" t="str">
        <f t="shared" ca="1" si="310"/>
        <v/>
      </c>
    </row>
    <row r="3128" spans="27:39" x14ac:dyDescent="0.3">
      <c r="AA3128" t="str">
        <f>IF(COUNTA('Procyclean 600'!B130,'Procyclean 600'!C130,'Procyclean 600'!D130)&gt;0,"600","")</f>
        <v/>
      </c>
      <c r="AB3128" t="str">
        <f>IFERROR(IF(ISNUMBER('Procyclean 600'!B130),'Procyclean 600'!B130,DATEVALUE('Procyclean 600'!B130)),"")</f>
        <v/>
      </c>
      <c r="AC3128" t="str">
        <f>IF(AA3128="","",'Procyclean 600'!C130)</f>
        <v/>
      </c>
      <c r="AD3128" t="str">
        <f>IF(AA3128="","",IFERROR(1*'Procyclean 600'!D130,IFERROR(_xludf.NUMBERVALUE('Procyclean 600'!D130,".",","),IFERROR(_xludf.NUMBERVALUE('Procyclean 600'!D130,",","."),0))))</f>
        <v/>
      </c>
      <c r="AE3128" t="str">
        <f>IF(AA3128="","",'Procyclean 600'!K130)</f>
        <v/>
      </c>
      <c r="AF3128">
        <f t="shared" si="305"/>
        <v>0</v>
      </c>
      <c r="AG3128" t="str">
        <f t="shared" si="306"/>
        <v/>
      </c>
      <c r="AH3128" t="str">
        <f t="shared" si="307"/>
        <v/>
      </c>
      <c r="AI3128">
        <f t="shared" si="308"/>
        <v>0</v>
      </c>
      <c r="AJ3128">
        <f t="shared" si="309"/>
        <v>0</v>
      </c>
      <c r="AK3128">
        <v>0</v>
      </c>
      <c r="AL3128" t="str">
        <f>IF(AA3128="","",IFERROR(IF(ISNUMBER('Procyclean 600'!E130),'Procyclean 600'!E130,IF(ISNUMBER(SEARCH("12",'Procyclean 600'!E130)),EDATE(AB3128,12),IF(ISNUMBER(SEARCH("6",'Procyclean 600'!E130)),EDATE(AB3128,6),IF(ISNUMBER(SEARCH("3",'Procyclean 600'!E130)),EDATE(AB3128,3),DATEVALUE('Procyclean 600'!E130))))),""))</f>
        <v/>
      </c>
      <c r="AM3128" t="str">
        <f t="shared" ca="1" si="310"/>
        <v/>
      </c>
    </row>
    <row r="3129" spans="27:39" x14ac:dyDescent="0.3">
      <c r="AA3129" t="str">
        <f>IF(COUNTA('Procyclean 600'!B131,'Procyclean 600'!C131,'Procyclean 600'!D131)&gt;0,"600","")</f>
        <v/>
      </c>
      <c r="AB3129" t="str">
        <f>IFERROR(IF(ISNUMBER('Procyclean 600'!B131),'Procyclean 600'!B131,DATEVALUE('Procyclean 600'!B131)),"")</f>
        <v/>
      </c>
      <c r="AC3129" t="str">
        <f>IF(AA3129="","",'Procyclean 600'!C131)</f>
        <v/>
      </c>
      <c r="AD3129" t="str">
        <f>IF(AA3129="","",IFERROR(1*'Procyclean 600'!D131,IFERROR(_xludf.NUMBERVALUE('Procyclean 600'!D131,".",","),IFERROR(_xludf.NUMBERVALUE('Procyclean 600'!D131,",","."),0))))</f>
        <v/>
      </c>
      <c r="AE3129" t="str">
        <f>IF(AA3129="","",'Procyclean 600'!K131)</f>
        <v/>
      </c>
      <c r="AF3129">
        <f t="shared" si="305"/>
        <v>0</v>
      </c>
      <c r="AG3129" t="str">
        <f t="shared" si="306"/>
        <v/>
      </c>
      <c r="AH3129" t="str">
        <f t="shared" si="307"/>
        <v/>
      </c>
      <c r="AI3129">
        <f t="shared" si="308"/>
        <v>0</v>
      </c>
      <c r="AJ3129">
        <f t="shared" si="309"/>
        <v>0</v>
      </c>
      <c r="AK3129">
        <v>0</v>
      </c>
      <c r="AL3129" t="str">
        <f>IF(AA3129="","",IFERROR(IF(ISNUMBER('Procyclean 600'!E131),'Procyclean 600'!E131,IF(ISNUMBER(SEARCH("12",'Procyclean 600'!E131)),EDATE(AB3129,12),IF(ISNUMBER(SEARCH("6",'Procyclean 600'!E131)),EDATE(AB3129,6),IF(ISNUMBER(SEARCH("3",'Procyclean 600'!E131)),EDATE(AB3129,3),DATEVALUE('Procyclean 600'!E131))))),""))</f>
        <v/>
      </c>
      <c r="AM3129" t="str">
        <f t="shared" ca="1" si="310"/>
        <v/>
      </c>
    </row>
    <row r="3130" spans="27:39" x14ac:dyDescent="0.3">
      <c r="AA3130" t="str">
        <f>IF(COUNTA('Procyclean 600'!B132,'Procyclean 600'!C132,'Procyclean 600'!D132)&gt;0,"600","")</f>
        <v/>
      </c>
      <c r="AB3130" t="str">
        <f>IFERROR(IF(ISNUMBER('Procyclean 600'!B132),'Procyclean 600'!B132,DATEVALUE('Procyclean 600'!B132)),"")</f>
        <v/>
      </c>
      <c r="AC3130" t="str">
        <f>IF(AA3130="","",'Procyclean 600'!C132)</f>
        <v/>
      </c>
      <c r="AD3130" t="str">
        <f>IF(AA3130="","",IFERROR(1*'Procyclean 600'!D132,IFERROR(_xludf.NUMBERVALUE('Procyclean 600'!D132,".",","),IFERROR(_xludf.NUMBERVALUE('Procyclean 600'!D132,",","."),0))))</f>
        <v/>
      </c>
      <c r="AE3130" t="str">
        <f>IF(AA3130="","",'Procyclean 600'!K132)</f>
        <v/>
      </c>
      <c r="AF3130">
        <f t="shared" si="305"/>
        <v>0</v>
      </c>
      <c r="AG3130" t="str">
        <f t="shared" si="306"/>
        <v/>
      </c>
      <c r="AH3130" t="str">
        <f t="shared" si="307"/>
        <v/>
      </c>
      <c r="AI3130">
        <f t="shared" si="308"/>
        <v>0</v>
      </c>
      <c r="AJ3130">
        <f t="shared" si="309"/>
        <v>0</v>
      </c>
      <c r="AK3130">
        <v>0</v>
      </c>
      <c r="AL3130" t="str">
        <f>IF(AA3130="","",IFERROR(IF(ISNUMBER('Procyclean 600'!E132),'Procyclean 600'!E132,IF(ISNUMBER(SEARCH("12",'Procyclean 600'!E132)),EDATE(AB3130,12),IF(ISNUMBER(SEARCH("6",'Procyclean 600'!E132)),EDATE(AB3130,6),IF(ISNUMBER(SEARCH("3",'Procyclean 600'!E132)),EDATE(AB3130,3),DATEVALUE('Procyclean 600'!E132))))),""))</f>
        <v/>
      </c>
      <c r="AM3130" t="str">
        <f t="shared" ca="1" si="310"/>
        <v/>
      </c>
    </row>
    <row r="3131" spans="27:39" x14ac:dyDescent="0.3">
      <c r="AA3131" t="str">
        <f>IF(COUNTA('Procyclean 600'!B133,'Procyclean 600'!C133,'Procyclean 600'!D133)&gt;0,"600","")</f>
        <v/>
      </c>
      <c r="AB3131" t="str">
        <f>IFERROR(IF(ISNUMBER('Procyclean 600'!B133),'Procyclean 600'!B133,DATEVALUE('Procyclean 600'!B133)),"")</f>
        <v/>
      </c>
      <c r="AC3131" t="str">
        <f>IF(AA3131="","",'Procyclean 600'!C133)</f>
        <v/>
      </c>
      <c r="AD3131" t="str">
        <f>IF(AA3131="","",IFERROR(1*'Procyclean 600'!D133,IFERROR(_xludf.NUMBERVALUE('Procyclean 600'!D133,".",","),IFERROR(_xludf.NUMBERVALUE('Procyclean 600'!D133,",","."),0))))</f>
        <v/>
      </c>
      <c r="AE3131" t="str">
        <f>IF(AA3131="","",'Procyclean 600'!K133)</f>
        <v/>
      </c>
      <c r="AF3131">
        <f t="shared" si="305"/>
        <v>0</v>
      </c>
      <c r="AG3131" t="str">
        <f t="shared" si="306"/>
        <v/>
      </c>
      <c r="AH3131" t="str">
        <f t="shared" si="307"/>
        <v/>
      </c>
      <c r="AI3131">
        <f t="shared" si="308"/>
        <v>0</v>
      </c>
      <c r="AJ3131">
        <f t="shared" si="309"/>
        <v>0</v>
      </c>
      <c r="AK3131">
        <v>0</v>
      </c>
      <c r="AL3131" t="str">
        <f>IF(AA3131="","",IFERROR(IF(ISNUMBER('Procyclean 600'!E133),'Procyclean 600'!E133,IF(ISNUMBER(SEARCH("12",'Procyclean 600'!E133)),EDATE(AB3131,12),IF(ISNUMBER(SEARCH("6",'Procyclean 600'!E133)),EDATE(AB3131,6),IF(ISNUMBER(SEARCH("3",'Procyclean 600'!E133)),EDATE(AB3131,3),DATEVALUE('Procyclean 600'!E133))))),""))</f>
        <v/>
      </c>
      <c r="AM3131" t="str">
        <f t="shared" ca="1" si="310"/>
        <v/>
      </c>
    </row>
    <row r="3132" spans="27:39" x14ac:dyDescent="0.3">
      <c r="AA3132" t="str">
        <f>IF(COUNTA('Procyclean 600'!B134,'Procyclean 600'!C134,'Procyclean 600'!D134)&gt;0,"600","")</f>
        <v/>
      </c>
      <c r="AB3132" t="str">
        <f>IFERROR(IF(ISNUMBER('Procyclean 600'!B134),'Procyclean 600'!B134,DATEVALUE('Procyclean 600'!B134)),"")</f>
        <v/>
      </c>
      <c r="AC3132" t="str">
        <f>IF(AA3132="","",'Procyclean 600'!C134)</f>
        <v/>
      </c>
      <c r="AD3132" t="str">
        <f>IF(AA3132="","",IFERROR(1*'Procyclean 600'!D134,IFERROR(_xludf.NUMBERVALUE('Procyclean 600'!D134,".",","),IFERROR(_xludf.NUMBERVALUE('Procyclean 600'!D134,",","."),0))))</f>
        <v/>
      </c>
      <c r="AE3132" t="str">
        <f>IF(AA3132="","",'Procyclean 600'!K134)</f>
        <v/>
      </c>
      <c r="AF3132">
        <f t="shared" si="305"/>
        <v>0</v>
      </c>
      <c r="AG3132" t="str">
        <f t="shared" si="306"/>
        <v/>
      </c>
      <c r="AH3132" t="str">
        <f t="shared" si="307"/>
        <v/>
      </c>
      <c r="AI3132">
        <f t="shared" si="308"/>
        <v>0</v>
      </c>
      <c r="AJ3132">
        <f t="shared" si="309"/>
        <v>0</v>
      </c>
      <c r="AK3132">
        <v>0</v>
      </c>
      <c r="AL3132" t="str">
        <f>IF(AA3132="","",IFERROR(IF(ISNUMBER('Procyclean 600'!E134),'Procyclean 600'!E134,IF(ISNUMBER(SEARCH("12",'Procyclean 600'!E134)),EDATE(AB3132,12),IF(ISNUMBER(SEARCH("6",'Procyclean 600'!E134)),EDATE(AB3132,6),IF(ISNUMBER(SEARCH("3",'Procyclean 600'!E134)),EDATE(AB3132,3),DATEVALUE('Procyclean 600'!E134))))),""))</f>
        <v/>
      </c>
      <c r="AM3132" t="str">
        <f t="shared" ca="1" si="310"/>
        <v/>
      </c>
    </row>
    <row r="3133" spans="27:39" x14ac:dyDescent="0.3">
      <c r="AA3133" t="str">
        <f>IF(COUNTA('Procyclean 600'!B135,'Procyclean 600'!C135,'Procyclean 600'!D135)&gt;0,"600","")</f>
        <v/>
      </c>
      <c r="AB3133" t="str">
        <f>IFERROR(IF(ISNUMBER('Procyclean 600'!B135),'Procyclean 600'!B135,DATEVALUE('Procyclean 600'!B135)),"")</f>
        <v/>
      </c>
      <c r="AC3133" t="str">
        <f>IF(AA3133="","",'Procyclean 600'!C135)</f>
        <v/>
      </c>
      <c r="AD3133" t="str">
        <f>IF(AA3133="","",IFERROR(1*'Procyclean 600'!D135,IFERROR(_xludf.NUMBERVALUE('Procyclean 600'!D135,".",","),IFERROR(_xludf.NUMBERVALUE('Procyclean 600'!D135,",","."),0))))</f>
        <v/>
      </c>
      <c r="AE3133" t="str">
        <f>IF(AA3133="","",'Procyclean 600'!K135)</f>
        <v/>
      </c>
      <c r="AF3133">
        <f t="shared" si="305"/>
        <v>0</v>
      </c>
      <c r="AG3133" t="str">
        <f t="shared" si="306"/>
        <v/>
      </c>
      <c r="AH3133" t="str">
        <f t="shared" si="307"/>
        <v/>
      </c>
      <c r="AI3133">
        <f t="shared" si="308"/>
        <v>0</v>
      </c>
      <c r="AJ3133">
        <f t="shared" si="309"/>
        <v>0</v>
      </c>
      <c r="AK3133">
        <v>0</v>
      </c>
      <c r="AL3133" t="str">
        <f>IF(AA3133="","",IFERROR(IF(ISNUMBER('Procyclean 600'!E135),'Procyclean 600'!E135,IF(ISNUMBER(SEARCH("12",'Procyclean 600'!E135)),EDATE(AB3133,12),IF(ISNUMBER(SEARCH("6",'Procyclean 600'!E135)),EDATE(AB3133,6),IF(ISNUMBER(SEARCH("3",'Procyclean 600'!E135)),EDATE(AB3133,3),DATEVALUE('Procyclean 600'!E135))))),""))</f>
        <v/>
      </c>
      <c r="AM3133" t="str">
        <f t="shared" ca="1" si="310"/>
        <v/>
      </c>
    </row>
    <row r="3134" spans="27:39" x14ac:dyDescent="0.3">
      <c r="AA3134" t="str">
        <f>IF(COUNTA('Procyclean 600'!B136,'Procyclean 600'!C136,'Procyclean 600'!D136)&gt;0,"600","")</f>
        <v/>
      </c>
      <c r="AB3134" t="str">
        <f>IFERROR(IF(ISNUMBER('Procyclean 600'!B136),'Procyclean 600'!B136,DATEVALUE('Procyclean 600'!B136)),"")</f>
        <v/>
      </c>
      <c r="AC3134" t="str">
        <f>IF(AA3134="","",'Procyclean 600'!C136)</f>
        <v/>
      </c>
      <c r="AD3134" t="str">
        <f>IF(AA3134="","",IFERROR(1*'Procyclean 600'!D136,IFERROR(_xludf.NUMBERVALUE('Procyclean 600'!D136,".",","),IFERROR(_xludf.NUMBERVALUE('Procyclean 600'!D136,",","."),0))))</f>
        <v/>
      </c>
      <c r="AE3134" t="str">
        <f>IF(AA3134="","",'Procyclean 600'!K136)</f>
        <v/>
      </c>
      <c r="AF3134">
        <f t="shared" si="305"/>
        <v>0</v>
      </c>
      <c r="AG3134" t="str">
        <f t="shared" si="306"/>
        <v/>
      </c>
      <c r="AH3134" t="str">
        <f t="shared" si="307"/>
        <v/>
      </c>
      <c r="AI3134">
        <f t="shared" si="308"/>
        <v>0</v>
      </c>
      <c r="AJ3134">
        <f t="shared" si="309"/>
        <v>0</v>
      </c>
      <c r="AK3134">
        <v>0</v>
      </c>
      <c r="AL3134" t="str">
        <f>IF(AA3134="","",IFERROR(IF(ISNUMBER('Procyclean 600'!E136),'Procyclean 600'!E136,IF(ISNUMBER(SEARCH("12",'Procyclean 600'!E136)),EDATE(AB3134,12),IF(ISNUMBER(SEARCH("6",'Procyclean 600'!E136)),EDATE(AB3134,6),IF(ISNUMBER(SEARCH("3",'Procyclean 600'!E136)),EDATE(AB3134,3),DATEVALUE('Procyclean 600'!E136))))),""))</f>
        <v/>
      </c>
      <c r="AM3134" t="str">
        <f t="shared" ca="1" si="310"/>
        <v/>
      </c>
    </row>
    <row r="3135" spans="27:39" x14ac:dyDescent="0.3">
      <c r="AA3135" t="str">
        <f>IF(COUNTA('Procyclean 600'!B137,'Procyclean 600'!C137,'Procyclean 600'!D137)&gt;0,"600","")</f>
        <v/>
      </c>
      <c r="AB3135" t="str">
        <f>IFERROR(IF(ISNUMBER('Procyclean 600'!B137),'Procyclean 600'!B137,DATEVALUE('Procyclean 600'!B137)),"")</f>
        <v/>
      </c>
      <c r="AC3135" t="str">
        <f>IF(AA3135="","",'Procyclean 600'!C137)</f>
        <v/>
      </c>
      <c r="AD3135" t="str">
        <f>IF(AA3135="","",IFERROR(1*'Procyclean 600'!D137,IFERROR(_xludf.NUMBERVALUE('Procyclean 600'!D137,".",","),IFERROR(_xludf.NUMBERVALUE('Procyclean 600'!D137,",","."),0))))</f>
        <v/>
      </c>
      <c r="AE3135" t="str">
        <f>IF(AA3135="","",'Procyclean 600'!K137)</f>
        <v/>
      </c>
      <c r="AF3135">
        <f t="shared" si="305"/>
        <v>0</v>
      </c>
      <c r="AG3135" t="str">
        <f t="shared" si="306"/>
        <v/>
      </c>
      <c r="AH3135" t="str">
        <f t="shared" si="307"/>
        <v/>
      </c>
      <c r="AI3135">
        <f t="shared" si="308"/>
        <v>0</v>
      </c>
      <c r="AJ3135">
        <f t="shared" si="309"/>
        <v>0</v>
      </c>
      <c r="AK3135">
        <v>0</v>
      </c>
      <c r="AL3135" t="str">
        <f>IF(AA3135="","",IFERROR(IF(ISNUMBER('Procyclean 600'!E137),'Procyclean 600'!E137,IF(ISNUMBER(SEARCH("12",'Procyclean 600'!E137)),EDATE(AB3135,12),IF(ISNUMBER(SEARCH("6",'Procyclean 600'!E137)),EDATE(AB3135,6),IF(ISNUMBER(SEARCH("3",'Procyclean 600'!E137)),EDATE(AB3135,3),DATEVALUE('Procyclean 600'!E137))))),""))</f>
        <v/>
      </c>
      <c r="AM3135" t="str">
        <f t="shared" ca="1" si="310"/>
        <v/>
      </c>
    </row>
    <row r="3136" spans="27:39" x14ac:dyDescent="0.3">
      <c r="AA3136" t="str">
        <f>IF(COUNTA('Procyclean 600'!B138,'Procyclean 600'!C138,'Procyclean 600'!D138)&gt;0,"600","")</f>
        <v/>
      </c>
      <c r="AB3136" t="str">
        <f>IFERROR(IF(ISNUMBER('Procyclean 600'!B138),'Procyclean 600'!B138,DATEVALUE('Procyclean 600'!B138)),"")</f>
        <v/>
      </c>
      <c r="AC3136" t="str">
        <f>IF(AA3136="","",'Procyclean 600'!C138)</f>
        <v/>
      </c>
      <c r="AD3136" t="str">
        <f>IF(AA3136="","",IFERROR(1*'Procyclean 600'!D138,IFERROR(_xludf.NUMBERVALUE('Procyclean 600'!D138,".",","),IFERROR(_xludf.NUMBERVALUE('Procyclean 600'!D138,",","."),0))))</f>
        <v/>
      </c>
      <c r="AE3136" t="str">
        <f>IF(AA3136="","",'Procyclean 600'!K138)</f>
        <v/>
      </c>
      <c r="AF3136">
        <f t="shared" si="305"/>
        <v>0</v>
      </c>
      <c r="AG3136" t="str">
        <f t="shared" si="306"/>
        <v/>
      </c>
      <c r="AH3136" t="str">
        <f t="shared" si="307"/>
        <v/>
      </c>
      <c r="AI3136">
        <f t="shared" si="308"/>
        <v>0</v>
      </c>
      <c r="AJ3136">
        <f t="shared" si="309"/>
        <v>0</v>
      </c>
      <c r="AK3136">
        <v>0</v>
      </c>
      <c r="AL3136" t="str">
        <f>IF(AA3136="","",IFERROR(IF(ISNUMBER('Procyclean 600'!E138),'Procyclean 600'!E138,IF(ISNUMBER(SEARCH("12",'Procyclean 600'!E138)),EDATE(AB3136,12),IF(ISNUMBER(SEARCH("6",'Procyclean 600'!E138)),EDATE(AB3136,6),IF(ISNUMBER(SEARCH("3",'Procyclean 600'!E138)),EDATE(AB3136,3),DATEVALUE('Procyclean 600'!E138))))),""))</f>
        <v/>
      </c>
      <c r="AM3136" t="str">
        <f t="shared" ca="1" si="310"/>
        <v/>
      </c>
    </row>
    <row r="3137" spans="27:39" x14ac:dyDescent="0.3">
      <c r="AA3137" t="str">
        <f>IF(COUNTA('Procyclean 600'!B139,'Procyclean 600'!C139,'Procyclean 600'!D139)&gt;0,"600","")</f>
        <v/>
      </c>
      <c r="AB3137" t="str">
        <f>IFERROR(IF(ISNUMBER('Procyclean 600'!B139),'Procyclean 600'!B139,DATEVALUE('Procyclean 600'!B139)),"")</f>
        <v/>
      </c>
      <c r="AC3137" t="str">
        <f>IF(AA3137="","",'Procyclean 600'!C139)</f>
        <v/>
      </c>
      <c r="AD3137" t="str">
        <f>IF(AA3137="","",IFERROR(1*'Procyclean 600'!D139,IFERROR(_xludf.NUMBERVALUE('Procyclean 600'!D139,".",","),IFERROR(_xludf.NUMBERVALUE('Procyclean 600'!D139,",","."),0))))</f>
        <v/>
      </c>
      <c r="AE3137" t="str">
        <f>IF(AA3137="","",'Procyclean 600'!K139)</f>
        <v/>
      </c>
      <c r="AF3137">
        <f t="shared" si="305"/>
        <v>0</v>
      </c>
      <c r="AG3137" t="str">
        <f t="shared" si="306"/>
        <v/>
      </c>
      <c r="AH3137" t="str">
        <f t="shared" si="307"/>
        <v/>
      </c>
      <c r="AI3137">
        <f t="shared" si="308"/>
        <v>0</v>
      </c>
      <c r="AJ3137">
        <f t="shared" si="309"/>
        <v>0</v>
      </c>
      <c r="AK3137">
        <v>0</v>
      </c>
      <c r="AL3137" t="str">
        <f>IF(AA3137="","",IFERROR(IF(ISNUMBER('Procyclean 600'!E139),'Procyclean 600'!E139,IF(ISNUMBER(SEARCH("12",'Procyclean 600'!E139)),EDATE(AB3137,12),IF(ISNUMBER(SEARCH("6",'Procyclean 600'!E139)),EDATE(AB3137,6),IF(ISNUMBER(SEARCH("3",'Procyclean 600'!E139)),EDATE(AB3137,3),DATEVALUE('Procyclean 600'!E139))))),""))</f>
        <v/>
      </c>
      <c r="AM3137" t="str">
        <f t="shared" ca="1" si="310"/>
        <v/>
      </c>
    </row>
    <row r="3138" spans="27:39" x14ac:dyDescent="0.3">
      <c r="AA3138" t="str">
        <f>IF(COUNTA('Procyclean 600'!B140,'Procyclean 600'!C140,'Procyclean 600'!D140)&gt;0,"600","")</f>
        <v/>
      </c>
      <c r="AB3138" t="str">
        <f>IFERROR(IF(ISNUMBER('Procyclean 600'!B140),'Procyclean 600'!B140,DATEVALUE('Procyclean 600'!B140)),"")</f>
        <v/>
      </c>
      <c r="AC3138" t="str">
        <f>IF(AA3138="","",'Procyclean 600'!C140)</f>
        <v/>
      </c>
      <c r="AD3138" t="str">
        <f>IF(AA3138="","",IFERROR(1*'Procyclean 600'!D140,IFERROR(_xludf.NUMBERVALUE('Procyclean 600'!D140,".",","),IFERROR(_xludf.NUMBERVALUE('Procyclean 600'!D140,",","."),0))))</f>
        <v/>
      </c>
      <c r="AE3138" t="str">
        <f>IF(AA3138="","",'Procyclean 600'!K140)</f>
        <v/>
      </c>
      <c r="AF3138">
        <f t="shared" ref="AF3138:AF3201" si="311">IF(AA3138="",0,--AND(ISNUMBER(SEARCH("aprov",AE3138)),NOT(ISNUMBER(SEARCH("reprov",AE3138)))))</f>
        <v>0</v>
      </c>
      <c r="AG3138" t="str">
        <f t="shared" ref="AG3138:AG3201" si="312">IF(AB3138="","",YEAR(AB3138))</f>
        <v/>
      </c>
      <c r="AH3138" t="str">
        <f t="shared" ref="AH3138:AH3201" si="313">IF(AB3138="","",MONTH(AB3138))</f>
        <v/>
      </c>
      <c r="AI3138">
        <f t="shared" ref="AI3138:AI3201" si="314">IF(AB3138="",0,AB3138+ROW()/1000000)</f>
        <v>0</v>
      </c>
      <c r="AJ3138">
        <f t="shared" ref="AJ3138:AJ3201" si="315">--(AA3138&lt;&gt;"")</f>
        <v>0</v>
      </c>
      <c r="AK3138">
        <v>0</v>
      </c>
      <c r="AL3138" t="str">
        <f>IF(AA3138="","",IFERROR(IF(ISNUMBER('Procyclean 600'!E140),'Procyclean 600'!E140,IF(ISNUMBER(SEARCH("12",'Procyclean 600'!E140)),EDATE(AB3138,12),IF(ISNUMBER(SEARCH("6",'Procyclean 600'!E140)),EDATE(AB3138,6),IF(ISNUMBER(SEARCH("3",'Procyclean 600'!E140)),EDATE(AB3138,3),DATEVALUE('Procyclean 600'!E140))))),""))</f>
        <v/>
      </c>
      <c r="AM3138" t="str">
        <f t="shared" ref="AM3138:AM3201" ca="1" si="316">IF(AND(AJ3138=1,AL3138&lt;&gt;"",AL3138&gt;=TODAY(),AG3138=$W$3),AL3138+ROW()/1000000,"")</f>
        <v/>
      </c>
    </row>
    <row r="3139" spans="27:39" x14ac:dyDescent="0.3">
      <c r="AA3139" t="str">
        <f>IF(COUNTA('Procyclean 600'!B141,'Procyclean 600'!C141,'Procyclean 600'!D141)&gt;0,"600","")</f>
        <v/>
      </c>
      <c r="AB3139" t="str">
        <f>IFERROR(IF(ISNUMBER('Procyclean 600'!B141),'Procyclean 600'!B141,DATEVALUE('Procyclean 600'!B141)),"")</f>
        <v/>
      </c>
      <c r="AC3139" t="str">
        <f>IF(AA3139="","",'Procyclean 600'!C141)</f>
        <v/>
      </c>
      <c r="AD3139" t="str">
        <f>IF(AA3139="","",IFERROR(1*'Procyclean 600'!D141,IFERROR(_xludf.NUMBERVALUE('Procyclean 600'!D141,".",","),IFERROR(_xludf.NUMBERVALUE('Procyclean 600'!D141,",","."),0))))</f>
        <v/>
      </c>
      <c r="AE3139" t="str">
        <f>IF(AA3139="","",'Procyclean 600'!K141)</f>
        <v/>
      </c>
      <c r="AF3139">
        <f t="shared" si="311"/>
        <v>0</v>
      </c>
      <c r="AG3139" t="str">
        <f t="shared" si="312"/>
        <v/>
      </c>
      <c r="AH3139" t="str">
        <f t="shared" si="313"/>
        <v/>
      </c>
      <c r="AI3139">
        <f t="shared" si="314"/>
        <v>0</v>
      </c>
      <c r="AJ3139">
        <f t="shared" si="315"/>
        <v>0</v>
      </c>
      <c r="AK3139">
        <v>0</v>
      </c>
      <c r="AL3139" t="str">
        <f>IF(AA3139="","",IFERROR(IF(ISNUMBER('Procyclean 600'!E141),'Procyclean 600'!E141,IF(ISNUMBER(SEARCH("12",'Procyclean 600'!E141)),EDATE(AB3139,12),IF(ISNUMBER(SEARCH("6",'Procyclean 600'!E141)),EDATE(AB3139,6),IF(ISNUMBER(SEARCH("3",'Procyclean 600'!E141)),EDATE(AB3139,3),DATEVALUE('Procyclean 600'!E141))))),""))</f>
        <v/>
      </c>
      <c r="AM3139" t="str">
        <f t="shared" ca="1" si="316"/>
        <v/>
      </c>
    </row>
    <row r="3140" spans="27:39" x14ac:dyDescent="0.3">
      <c r="AA3140" t="str">
        <f>IF(COUNTA('Procyclean 600'!B142,'Procyclean 600'!C142,'Procyclean 600'!D142)&gt;0,"600","")</f>
        <v/>
      </c>
      <c r="AB3140" t="str">
        <f>IFERROR(IF(ISNUMBER('Procyclean 600'!B142),'Procyclean 600'!B142,DATEVALUE('Procyclean 600'!B142)),"")</f>
        <v/>
      </c>
      <c r="AC3140" t="str">
        <f>IF(AA3140="","",'Procyclean 600'!C142)</f>
        <v/>
      </c>
      <c r="AD3140" t="str">
        <f>IF(AA3140="","",IFERROR(1*'Procyclean 600'!D142,IFERROR(_xludf.NUMBERVALUE('Procyclean 600'!D142,".",","),IFERROR(_xludf.NUMBERVALUE('Procyclean 600'!D142,",","."),0))))</f>
        <v/>
      </c>
      <c r="AE3140" t="str">
        <f>IF(AA3140="","",'Procyclean 600'!K142)</f>
        <v/>
      </c>
      <c r="AF3140">
        <f t="shared" si="311"/>
        <v>0</v>
      </c>
      <c r="AG3140" t="str">
        <f t="shared" si="312"/>
        <v/>
      </c>
      <c r="AH3140" t="str">
        <f t="shared" si="313"/>
        <v/>
      </c>
      <c r="AI3140">
        <f t="shared" si="314"/>
        <v>0</v>
      </c>
      <c r="AJ3140">
        <f t="shared" si="315"/>
        <v>0</v>
      </c>
      <c r="AK3140">
        <v>0</v>
      </c>
      <c r="AL3140" t="str">
        <f>IF(AA3140="","",IFERROR(IF(ISNUMBER('Procyclean 600'!E142),'Procyclean 600'!E142,IF(ISNUMBER(SEARCH("12",'Procyclean 600'!E142)),EDATE(AB3140,12),IF(ISNUMBER(SEARCH("6",'Procyclean 600'!E142)),EDATE(AB3140,6),IF(ISNUMBER(SEARCH("3",'Procyclean 600'!E142)),EDATE(AB3140,3),DATEVALUE('Procyclean 600'!E142))))),""))</f>
        <v/>
      </c>
      <c r="AM3140" t="str">
        <f t="shared" ca="1" si="316"/>
        <v/>
      </c>
    </row>
    <row r="3141" spans="27:39" x14ac:dyDescent="0.3">
      <c r="AA3141" t="str">
        <f>IF(COUNTA('Procyclean 600'!B143,'Procyclean 600'!C143,'Procyclean 600'!D143)&gt;0,"600","")</f>
        <v/>
      </c>
      <c r="AB3141" t="str">
        <f>IFERROR(IF(ISNUMBER('Procyclean 600'!B143),'Procyclean 600'!B143,DATEVALUE('Procyclean 600'!B143)),"")</f>
        <v/>
      </c>
      <c r="AC3141" t="str">
        <f>IF(AA3141="","",'Procyclean 600'!C143)</f>
        <v/>
      </c>
      <c r="AD3141" t="str">
        <f>IF(AA3141="","",IFERROR(1*'Procyclean 600'!D143,IFERROR(_xludf.NUMBERVALUE('Procyclean 600'!D143,".",","),IFERROR(_xludf.NUMBERVALUE('Procyclean 600'!D143,",","."),0))))</f>
        <v/>
      </c>
      <c r="AE3141" t="str">
        <f>IF(AA3141="","",'Procyclean 600'!K143)</f>
        <v/>
      </c>
      <c r="AF3141">
        <f t="shared" si="311"/>
        <v>0</v>
      </c>
      <c r="AG3141" t="str">
        <f t="shared" si="312"/>
        <v/>
      </c>
      <c r="AH3141" t="str">
        <f t="shared" si="313"/>
        <v/>
      </c>
      <c r="AI3141">
        <f t="shared" si="314"/>
        <v>0</v>
      </c>
      <c r="AJ3141">
        <f t="shared" si="315"/>
        <v>0</v>
      </c>
      <c r="AK3141">
        <v>0</v>
      </c>
      <c r="AL3141" t="str">
        <f>IF(AA3141="","",IFERROR(IF(ISNUMBER('Procyclean 600'!E143),'Procyclean 600'!E143,IF(ISNUMBER(SEARCH("12",'Procyclean 600'!E143)),EDATE(AB3141,12),IF(ISNUMBER(SEARCH("6",'Procyclean 600'!E143)),EDATE(AB3141,6),IF(ISNUMBER(SEARCH("3",'Procyclean 600'!E143)),EDATE(AB3141,3),DATEVALUE('Procyclean 600'!E143))))),""))</f>
        <v/>
      </c>
      <c r="AM3141" t="str">
        <f t="shared" ca="1" si="316"/>
        <v/>
      </c>
    </row>
    <row r="3142" spans="27:39" x14ac:dyDescent="0.3">
      <c r="AA3142" t="str">
        <f>IF(COUNTA('Procyclean 600'!B144,'Procyclean 600'!C144,'Procyclean 600'!D144)&gt;0,"600","")</f>
        <v/>
      </c>
      <c r="AB3142" t="str">
        <f>IFERROR(IF(ISNUMBER('Procyclean 600'!B144),'Procyclean 600'!B144,DATEVALUE('Procyclean 600'!B144)),"")</f>
        <v/>
      </c>
      <c r="AC3142" t="str">
        <f>IF(AA3142="","",'Procyclean 600'!C144)</f>
        <v/>
      </c>
      <c r="AD3142" t="str">
        <f>IF(AA3142="","",IFERROR(1*'Procyclean 600'!D144,IFERROR(_xludf.NUMBERVALUE('Procyclean 600'!D144,".",","),IFERROR(_xludf.NUMBERVALUE('Procyclean 600'!D144,",","."),0))))</f>
        <v/>
      </c>
      <c r="AE3142" t="str">
        <f>IF(AA3142="","",'Procyclean 600'!K144)</f>
        <v/>
      </c>
      <c r="AF3142">
        <f t="shared" si="311"/>
        <v>0</v>
      </c>
      <c r="AG3142" t="str">
        <f t="shared" si="312"/>
        <v/>
      </c>
      <c r="AH3142" t="str">
        <f t="shared" si="313"/>
        <v/>
      </c>
      <c r="AI3142">
        <f t="shared" si="314"/>
        <v>0</v>
      </c>
      <c r="AJ3142">
        <f t="shared" si="315"/>
        <v>0</v>
      </c>
      <c r="AK3142">
        <v>0</v>
      </c>
      <c r="AL3142" t="str">
        <f>IF(AA3142="","",IFERROR(IF(ISNUMBER('Procyclean 600'!E144),'Procyclean 600'!E144,IF(ISNUMBER(SEARCH("12",'Procyclean 600'!E144)),EDATE(AB3142,12),IF(ISNUMBER(SEARCH("6",'Procyclean 600'!E144)),EDATE(AB3142,6),IF(ISNUMBER(SEARCH("3",'Procyclean 600'!E144)),EDATE(AB3142,3),DATEVALUE('Procyclean 600'!E144))))),""))</f>
        <v/>
      </c>
      <c r="AM3142" t="str">
        <f t="shared" ca="1" si="316"/>
        <v/>
      </c>
    </row>
    <row r="3143" spans="27:39" x14ac:dyDescent="0.3">
      <c r="AA3143" t="str">
        <f>IF(COUNTA('Procyclean 600'!B145,'Procyclean 600'!C145,'Procyclean 600'!D145)&gt;0,"600","")</f>
        <v/>
      </c>
      <c r="AB3143" t="str">
        <f>IFERROR(IF(ISNUMBER('Procyclean 600'!B145),'Procyclean 600'!B145,DATEVALUE('Procyclean 600'!B145)),"")</f>
        <v/>
      </c>
      <c r="AC3143" t="str">
        <f>IF(AA3143="","",'Procyclean 600'!C145)</f>
        <v/>
      </c>
      <c r="AD3143" t="str">
        <f>IF(AA3143="","",IFERROR(1*'Procyclean 600'!D145,IFERROR(_xludf.NUMBERVALUE('Procyclean 600'!D145,".",","),IFERROR(_xludf.NUMBERVALUE('Procyclean 600'!D145,",","."),0))))</f>
        <v/>
      </c>
      <c r="AE3143" t="str">
        <f>IF(AA3143="","",'Procyclean 600'!K145)</f>
        <v/>
      </c>
      <c r="AF3143">
        <f t="shared" si="311"/>
        <v>0</v>
      </c>
      <c r="AG3143" t="str">
        <f t="shared" si="312"/>
        <v/>
      </c>
      <c r="AH3143" t="str">
        <f t="shared" si="313"/>
        <v/>
      </c>
      <c r="AI3143">
        <f t="shared" si="314"/>
        <v>0</v>
      </c>
      <c r="AJ3143">
        <f t="shared" si="315"/>
        <v>0</v>
      </c>
      <c r="AK3143">
        <v>0</v>
      </c>
      <c r="AL3143" t="str">
        <f>IF(AA3143="","",IFERROR(IF(ISNUMBER('Procyclean 600'!E145),'Procyclean 600'!E145,IF(ISNUMBER(SEARCH("12",'Procyclean 600'!E145)),EDATE(AB3143,12),IF(ISNUMBER(SEARCH("6",'Procyclean 600'!E145)),EDATE(AB3143,6),IF(ISNUMBER(SEARCH("3",'Procyclean 600'!E145)),EDATE(AB3143,3),DATEVALUE('Procyclean 600'!E145))))),""))</f>
        <v/>
      </c>
      <c r="AM3143" t="str">
        <f t="shared" ca="1" si="316"/>
        <v/>
      </c>
    </row>
    <row r="3144" spans="27:39" x14ac:dyDescent="0.3">
      <c r="AA3144" t="str">
        <f>IF(COUNTA('Procyclean 600'!B146,'Procyclean 600'!C146,'Procyclean 600'!D146)&gt;0,"600","")</f>
        <v/>
      </c>
      <c r="AB3144" t="str">
        <f>IFERROR(IF(ISNUMBER('Procyclean 600'!B146),'Procyclean 600'!B146,DATEVALUE('Procyclean 600'!B146)),"")</f>
        <v/>
      </c>
      <c r="AC3144" t="str">
        <f>IF(AA3144="","",'Procyclean 600'!C146)</f>
        <v/>
      </c>
      <c r="AD3144" t="str">
        <f>IF(AA3144="","",IFERROR(1*'Procyclean 600'!D146,IFERROR(_xludf.NUMBERVALUE('Procyclean 600'!D146,".",","),IFERROR(_xludf.NUMBERVALUE('Procyclean 600'!D146,",","."),0))))</f>
        <v/>
      </c>
      <c r="AE3144" t="str">
        <f>IF(AA3144="","",'Procyclean 600'!K146)</f>
        <v/>
      </c>
      <c r="AF3144">
        <f t="shared" si="311"/>
        <v>0</v>
      </c>
      <c r="AG3144" t="str">
        <f t="shared" si="312"/>
        <v/>
      </c>
      <c r="AH3144" t="str">
        <f t="shared" si="313"/>
        <v/>
      </c>
      <c r="AI3144">
        <f t="shared" si="314"/>
        <v>0</v>
      </c>
      <c r="AJ3144">
        <f t="shared" si="315"/>
        <v>0</v>
      </c>
      <c r="AK3144">
        <v>0</v>
      </c>
      <c r="AL3144" t="str">
        <f>IF(AA3144="","",IFERROR(IF(ISNUMBER('Procyclean 600'!E146),'Procyclean 600'!E146,IF(ISNUMBER(SEARCH("12",'Procyclean 600'!E146)),EDATE(AB3144,12),IF(ISNUMBER(SEARCH("6",'Procyclean 600'!E146)),EDATE(AB3144,6),IF(ISNUMBER(SEARCH("3",'Procyclean 600'!E146)),EDATE(AB3144,3),DATEVALUE('Procyclean 600'!E146))))),""))</f>
        <v/>
      </c>
      <c r="AM3144" t="str">
        <f t="shared" ca="1" si="316"/>
        <v/>
      </c>
    </row>
    <row r="3145" spans="27:39" x14ac:dyDescent="0.3">
      <c r="AA3145" t="str">
        <f>IF(COUNTA('Procyclean 600'!B147,'Procyclean 600'!C147,'Procyclean 600'!D147)&gt;0,"600","")</f>
        <v/>
      </c>
      <c r="AB3145" t="str">
        <f>IFERROR(IF(ISNUMBER('Procyclean 600'!B147),'Procyclean 600'!B147,DATEVALUE('Procyclean 600'!B147)),"")</f>
        <v/>
      </c>
      <c r="AC3145" t="str">
        <f>IF(AA3145="","",'Procyclean 600'!C147)</f>
        <v/>
      </c>
      <c r="AD3145" t="str">
        <f>IF(AA3145="","",IFERROR(1*'Procyclean 600'!D147,IFERROR(_xludf.NUMBERVALUE('Procyclean 600'!D147,".",","),IFERROR(_xludf.NUMBERVALUE('Procyclean 600'!D147,",","."),0))))</f>
        <v/>
      </c>
      <c r="AE3145" t="str">
        <f>IF(AA3145="","",'Procyclean 600'!K147)</f>
        <v/>
      </c>
      <c r="AF3145">
        <f t="shared" si="311"/>
        <v>0</v>
      </c>
      <c r="AG3145" t="str">
        <f t="shared" si="312"/>
        <v/>
      </c>
      <c r="AH3145" t="str">
        <f t="shared" si="313"/>
        <v/>
      </c>
      <c r="AI3145">
        <f t="shared" si="314"/>
        <v>0</v>
      </c>
      <c r="AJ3145">
        <f t="shared" si="315"/>
        <v>0</v>
      </c>
      <c r="AK3145">
        <v>0</v>
      </c>
      <c r="AL3145" t="str">
        <f>IF(AA3145="","",IFERROR(IF(ISNUMBER('Procyclean 600'!E147),'Procyclean 600'!E147,IF(ISNUMBER(SEARCH("12",'Procyclean 600'!E147)),EDATE(AB3145,12),IF(ISNUMBER(SEARCH("6",'Procyclean 600'!E147)),EDATE(AB3145,6),IF(ISNUMBER(SEARCH("3",'Procyclean 600'!E147)),EDATE(AB3145,3),DATEVALUE('Procyclean 600'!E147))))),""))</f>
        <v/>
      </c>
      <c r="AM3145" t="str">
        <f t="shared" ca="1" si="316"/>
        <v/>
      </c>
    </row>
    <row r="3146" spans="27:39" x14ac:dyDescent="0.3">
      <c r="AA3146" t="str">
        <f>IF(COUNTA('Procyclean 600'!B148,'Procyclean 600'!C148,'Procyclean 600'!D148)&gt;0,"600","")</f>
        <v/>
      </c>
      <c r="AB3146" t="str">
        <f>IFERROR(IF(ISNUMBER('Procyclean 600'!B148),'Procyclean 600'!B148,DATEVALUE('Procyclean 600'!B148)),"")</f>
        <v/>
      </c>
      <c r="AC3146" t="str">
        <f>IF(AA3146="","",'Procyclean 600'!C148)</f>
        <v/>
      </c>
      <c r="AD3146" t="str">
        <f>IF(AA3146="","",IFERROR(1*'Procyclean 600'!D148,IFERROR(_xludf.NUMBERVALUE('Procyclean 600'!D148,".",","),IFERROR(_xludf.NUMBERVALUE('Procyclean 600'!D148,",","."),0))))</f>
        <v/>
      </c>
      <c r="AE3146" t="str">
        <f>IF(AA3146="","",'Procyclean 600'!K148)</f>
        <v/>
      </c>
      <c r="AF3146">
        <f t="shared" si="311"/>
        <v>0</v>
      </c>
      <c r="AG3146" t="str">
        <f t="shared" si="312"/>
        <v/>
      </c>
      <c r="AH3146" t="str">
        <f t="shared" si="313"/>
        <v/>
      </c>
      <c r="AI3146">
        <f t="shared" si="314"/>
        <v>0</v>
      </c>
      <c r="AJ3146">
        <f t="shared" si="315"/>
        <v>0</v>
      </c>
      <c r="AK3146">
        <v>0</v>
      </c>
      <c r="AL3146" t="str">
        <f>IF(AA3146="","",IFERROR(IF(ISNUMBER('Procyclean 600'!E148),'Procyclean 600'!E148,IF(ISNUMBER(SEARCH("12",'Procyclean 600'!E148)),EDATE(AB3146,12),IF(ISNUMBER(SEARCH("6",'Procyclean 600'!E148)),EDATE(AB3146,6),IF(ISNUMBER(SEARCH("3",'Procyclean 600'!E148)),EDATE(AB3146,3),DATEVALUE('Procyclean 600'!E148))))),""))</f>
        <v/>
      </c>
      <c r="AM3146" t="str">
        <f t="shared" ca="1" si="316"/>
        <v/>
      </c>
    </row>
    <row r="3147" spans="27:39" x14ac:dyDescent="0.3">
      <c r="AA3147" t="str">
        <f>IF(COUNTA('Procyclean 600'!B149,'Procyclean 600'!C149,'Procyclean 600'!D149)&gt;0,"600","")</f>
        <v/>
      </c>
      <c r="AB3147" t="str">
        <f>IFERROR(IF(ISNUMBER('Procyclean 600'!B149),'Procyclean 600'!B149,DATEVALUE('Procyclean 600'!B149)),"")</f>
        <v/>
      </c>
      <c r="AC3147" t="str">
        <f>IF(AA3147="","",'Procyclean 600'!C149)</f>
        <v/>
      </c>
      <c r="AD3147" t="str">
        <f>IF(AA3147="","",IFERROR(1*'Procyclean 600'!D149,IFERROR(_xludf.NUMBERVALUE('Procyclean 600'!D149,".",","),IFERROR(_xludf.NUMBERVALUE('Procyclean 600'!D149,",","."),0))))</f>
        <v/>
      </c>
      <c r="AE3147" t="str">
        <f>IF(AA3147="","",'Procyclean 600'!K149)</f>
        <v/>
      </c>
      <c r="AF3147">
        <f t="shared" si="311"/>
        <v>0</v>
      </c>
      <c r="AG3147" t="str">
        <f t="shared" si="312"/>
        <v/>
      </c>
      <c r="AH3147" t="str">
        <f t="shared" si="313"/>
        <v/>
      </c>
      <c r="AI3147">
        <f t="shared" si="314"/>
        <v>0</v>
      </c>
      <c r="AJ3147">
        <f t="shared" si="315"/>
        <v>0</v>
      </c>
      <c r="AK3147">
        <v>0</v>
      </c>
      <c r="AL3147" t="str">
        <f>IF(AA3147="","",IFERROR(IF(ISNUMBER('Procyclean 600'!E149),'Procyclean 600'!E149,IF(ISNUMBER(SEARCH("12",'Procyclean 600'!E149)),EDATE(AB3147,12),IF(ISNUMBER(SEARCH("6",'Procyclean 600'!E149)),EDATE(AB3147,6),IF(ISNUMBER(SEARCH("3",'Procyclean 600'!E149)),EDATE(AB3147,3),DATEVALUE('Procyclean 600'!E149))))),""))</f>
        <v/>
      </c>
      <c r="AM3147" t="str">
        <f t="shared" ca="1" si="316"/>
        <v/>
      </c>
    </row>
    <row r="3148" spans="27:39" x14ac:dyDescent="0.3">
      <c r="AA3148" t="str">
        <f>IF(COUNTA('Procyclean 600'!B150,'Procyclean 600'!C150,'Procyclean 600'!D150)&gt;0,"600","")</f>
        <v/>
      </c>
      <c r="AB3148" t="str">
        <f>IFERROR(IF(ISNUMBER('Procyclean 600'!B150),'Procyclean 600'!B150,DATEVALUE('Procyclean 600'!B150)),"")</f>
        <v/>
      </c>
      <c r="AC3148" t="str">
        <f>IF(AA3148="","",'Procyclean 600'!C150)</f>
        <v/>
      </c>
      <c r="AD3148" t="str">
        <f>IF(AA3148="","",IFERROR(1*'Procyclean 600'!D150,IFERROR(_xludf.NUMBERVALUE('Procyclean 600'!D150,".",","),IFERROR(_xludf.NUMBERVALUE('Procyclean 600'!D150,",","."),0))))</f>
        <v/>
      </c>
      <c r="AE3148" t="str">
        <f>IF(AA3148="","",'Procyclean 600'!K150)</f>
        <v/>
      </c>
      <c r="AF3148">
        <f t="shared" si="311"/>
        <v>0</v>
      </c>
      <c r="AG3148" t="str">
        <f t="shared" si="312"/>
        <v/>
      </c>
      <c r="AH3148" t="str">
        <f t="shared" si="313"/>
        <v/>
      </c>
      <c r="AI3148">
        <f t="shared" si="314"/>
        <v>0</v>
      </c>
      <c r="AJ3148">
        <f t="shared" si="315"/>
        <v>0</v>
      </c>
      <c r="AK3148">
        <v>0</v>
      </c>
      <c r="AL3148" t="str">
        <f>IF(AA3148="","",IFERROR(IF(ISNUMBER('Procyclean 600'!E150),'Procyclean 600'!E150,IF(ISNUMBER(SEARCH("12",'Procyclean 600'!E150)),EDATE(AB3148,12),IF(ISNUMBER(SEARCH("6",'Procyclean 600'!E150)),EDATE(AB3148,6),IF(ISNUMBER(SEARCH("3",'Procyclean 600'!E150)),EDATE(AB3148,3),DATEVALUE('Procyclean 600'!E150))))),""))</f>
        <v/>
      </c>
      <c r="AM3148" t="str">
        <f t="shared" ca="1" si="316"/>
        <v/>
      </c>
    </row>
    <row r="3149" spans="27:39" x14ac:dyDescent="0.3">
      <c r="AA3149" t="str">
        <f>IF(COUNTA('Procyclean 600'!B151,'Procyclean 600'!C151,'Procyclean 600'!D151)&gt;0,"600","")</f>
        <v/>
      </c>
      <c r="AB3149" t="str">
        <f>IFERROR(IF(ISNUMBER('Procyclean 600'!B151),'Procyclean 600'!B151,DATEVALUE('Procyclean 600'!B151)),"")</f>
        <v/>
      </c>
      <c r="AC3149" t="str">
        <f>IF(AA3149="","",'Procyclean 600'!C151)</f>
        <v/>
      </c>
      <c r="AD3149" t="str">
        <f>IF(AA3149="","",IFERROR(1*'Procyclean 600'!D151,IFERROR(_xludf.NUMBERVALUE('Procyclean 600'!D151,".",","),IFERROR(_xludf.NUMBERVALUE('Procyclean 600'!D151,",","."),0))))</f>
        <v/>
      </c>
      <c r="AE3149" t="str">
        <f>IF(AA3149="","",'Procyclean 600'!K151)</f>
        <v/>
      </c>
      <c r="AF3149">
        <f t="shared" si="311"/>
        <v>0</v>
      </c>
      <c r="AG3149" t="str">
        <f t="shared" si="312"/>
        <v/>
      </c>
      <c r="AH3149" t="str">
        <f t="shared" si="313"/>
        <v/>
      </c>
      <c r="AI3149">
        <f t="shared" si="314"/>
        <v>0</v>
      </c>
      <c r="AJ3149">
        <f t="shared" si="315"/>
        <v>0</v>
      </c>
      <c r="AK3149">
        <v>0</v>
      </c>
      <c r="AL3149" t="str">
        <f>IF(AA3149="","",IFERROR(IF(ISNUMBER('Procyclean 600'!E151),'Procyclean 600'!E151,IF(ISNUMBER(SEARCH("12",'Procyclean 600'!E151)),EDATE(AB3149,12),IF(ISNUMBER(SEARCH("6",'Procyclean 600'!E151)),EDATE(AB3149,6),IF(ISNUMBER(SEARCH("3",'Procyclean 600'!E151)),EDATE(AB3149,3),DATEVALUE('Procyclean 600'!E151))))),""))</f>
        <v/>
      </c>
      <c r="AM3149" t="str">
        <f t="shared" ca="1" si="316"/>
        <v/>
      </c>
    </row>
    <row r="3150" spans="27:39" x14ac:dyDescent="0.3">
      <c r="AA3150" t="str">
        <f>IF(COUNTA('Procyclean 600'!B152,'Procyclean 600'!C152,'Procyclean 600'!D152)&gt;0,"600","")</f>
        <v/>
      </c>
      <c r="AB3150" t="str">
        <f>IFERROR(IF(ISNUMBER('Procyclean 600'!B152),'Procyclean 600'!B152,DATEVALUE('Procyclean 600'!B152)),"")</f>
        <v/>
      </c>
      <c r="AC3150" t="str">
        <f>IF(AA3150="","",'Procyclean 600'!C152)</f>
        <v/>
      </c>
      <c r="AD3150" t="str">
        <f>IF(AA3150="","",IFERROR(1*'Procyclean 600'!D152,IFERROR(_xludf.NUMBERVALUE('Procyclean 600'!D152,".",","),IFERROR(_xludf.NUMBERVALUE('Procyclean 600'!D152,",","."),0))))</f>
        <v/>
      </c>
      <c r="AE3150" t="str">
        <f>IF(AA3150="","",'Procyclean 600'!K152)</f>
        <v/>
      </c>
      <c r="AF3150">
        <f t="shared" si="311"/>
        <v>0</v>
      </c>
      <c r="AG3150" t="str">
        <f t="shared" si="312"/>
        <v/>
      </c>
      <c r="AH3150" t="str">
        <f t="shared" si="313"/>
        <v/>
      </c>
      <c r="AI3150">
        <f t="shared" si="314"/>
        <v>0</v>
      </c>
      <c r="AJ3150">
        <f t="shared" si="315"/>
        <v>0</v>
      </c>
      <c r="AK3150">
        <v>0</v>
      </c>
      <c r="AL3150" t="str">
        <f>IF(AA3150="","",IFERROR(IF(ISNUMBER('Procyclean 600'!E152),'Procyclean 600'!E152,IF(ISNUMBER(SEARCH("12",'Procyclean 600'!E152)),EDATE(AB3150,12),IF(ISNUMBER(SEARCH("6",'Procyclean 600'!E152)),EDATE(AB3150,6),IF(ISNUMBER(SEARCH("3",'Procyclean 600'!E152)),EDATE(AB3150,3),DATEVALUE('Procyclean 600'!E152))))),""))</f>
        <v/>
      </c>
      <c r="AM3150" t="str">
        <f t="shared" ca="1" si="316"/>
        <v/>
      </c>
    </row>
    <row r="3151" spans="27:39" x14ac:dyDescent="0.3">
      <c r="AA3151" t="str">
        <f>IF(COUNTA('Procyclean 600'!B153,'Procyclean 600'!C153,'Procyclean 600'!D153)&gt;0,"600","")</f>
        <v/>
      </c>
      <c r="AB3151" t="str">
        <f>IFERROR(IF(ISNUMBER('Procyclean 600'!B153),'Procyclean 600'!B153,DATEVALUE('Procyclean 600'!B153)),"")</f>
        <v/>
      </c>
      <c r="AC3151" t="str">
        <f>IF(AA3151="","",'Procyclean 600'!C153)</f>
        <v/>
      </c>
      <c r="AD3151" t="str">
        <f>IF(AA3151="","",IFERROR(1*'Procyclean 600'!D153,IFERROR(_xludf.NUMBERVALUE('Procyclean 600'!D153,".",","),IFERROR(_xludf.NUMBERVALUE('Procyclean 600'!D153,",","."),0))))</f>
        <v/>
      </c>
      <c r="AE3151" t="str">
        <f>IF(AA3151="","",'Procyclean 600'!K153)</f>
        <v/>
      </c>
      <c r="AF3151">
        <f t="shared" si="311"/>
        <v>0</v>
      </c>
      <c r="AG3151" t="str">
        <f t="shared" si="312"/>
        <v/>
      </c>
      <c r="AH3151" t="str">
        <f t="shared" si="313"/>
        <v/>
      </c>
      <c r="AI3151">
        <f t="shared" si="314"/>
        <v>0</v>
      </c>
      <c r="AJ3151">
        <f t="shared" si="315"/>
        <v>0</v>
      </c>
      <c r="AK3151">
        <v>0</v>
      </c>
      <c r="AL3151" t="str">
        <f>IF(AA3151="","",IFERROR(IF(ISNUMBER('Procyclean 600'!E153),'Procyclean 600'!E153,IF(ISNUMBER(SEARCH("12",'Procyclean 600'!E153)),EDATE(AB3151,12),IF(ISNUMBER(SEARCH("6",'Procyclean 600'!E153)),EDATE(AB3151,6),IF(ISNUMBER(SEARCH("3",'Procyclean 600'!E153)),EDATE(AB3151,3),DATEVALUE('Procyclean 600'!E153))))),""))</f>
        <v/>
      </c>
      <c r="AM3151" t="str">
        <f t="shared" ca="1" si="316"/>
        <v/>
      </c>
    </row>
    <row r="3152" spans="27:39" x14ac:dyDescent="0.3">
      <c r="AA3152" t="str">
        <f>IF(COUNTA('Procyclean 600'!B154,'Procyclean 600'!C154,'Procyclean 600'!D154)&gt;0,"600","")</f>
        <v/>
      </c>
      <c r="AB3152" t="str">
        <f>IFERROR(IF(ISNUMBER('Procyclean 600'!B154),'Procyclean 600'!B154,DATEVALUE('Procyclean 600'!B154)),"")</f>
        <v/>
      </c>
      <c r="AC3152" t="str">
        <f>IF(AA3152="","",'Procyclean 600'!C154)</f>
        <v/>
      </c>
      <c r="AD3152" t="str">
        <f>IF(AA3152="","",IFERROR(1*'Procyclean 600'!D154,IFERROR(_xludf.NUMBERVALUE('Procyclean 600'!D154,".",","),IFERROR(_xludf.NUMBERVALUE('Procyclean 600'!D154,",","."),0))))</f>
        <v/>
      </c>
      <c r="AE3152" t="str">
        <f>IF(AA3152="","",'Procyclean 600'!K154)</f>
        <v/>
      </c>
      <c r="AF3152">
        <f t="shared" si="311"/>
        <v>0</v>
      </c>
      <c r="AG3152" t="str">
        <f t="shared" si="312"/>
        <v/>
      </c>
      <c r="AH3152" t="str">
        <f t="shared" si="313"/>
        <v/>
      </c>
      <c r="AI3152">
        <f t="shared" si="314"/>
        <v>0</v>
      </c>
      <c r="AJ3152">
        <f t="shared" si="315"/>
        <v>0</v>
      </c>
      <c r="AK3152">
        <v>0</v>
      </c>
      <c r="AL3152" t="str">
        <f>IF(AA3152="","",IFERROR(IF(ISNUMBER('Procyclean 600'!E154),'Procyclean 600'!E154,IF(ISNUMBER(SEARCH("12",'Procyclean 600'!E154)),EDATE(AB3152,12),IF(ISNUMBER(SEARCH("6",'Procyclean 600'!E154)),EDATE(AB3152,6),IF(ISNUMBER(SEARCH("3",'Procyclean 600'!E154)),EDATE(AB3152,3),DATEVALUE('Procyclean 600'!E154))))),""))</f>
        <v/>
      </c>
      <c r="AM3152" t="str">
        <f t="shared" ca="1" si="316"/>
        <v/>
      </c>
    </row>
    <row r="3153" spans="27:39" x14ac:dyDescent="0.3">
      <c r="AA3153" t="str">
        <f>IF(COUNTA('Procyclean 600'!B155,'Procyclean 600'!C155,'Procyclean 600'!D155)&gt;0,"600","")</f>
        <v/>
      </c>
      <c r="AB3153" t="str">
        <f>IFERROR(IF(ISNUMBER('Procyclean 600'!B155),'Procyclean 600'!B155,DATEVALUE('Procyclean 600'!B155)),"")</f>
        <v/>
      </c>
      <c r="AC3153" t="str">
        <f>IF(AA3153="","",'Procyclean 600'!C155)</f>
        <v/>
      </c>
      <c r="AD3153" t="str">
        <f>IF(AA3153="","",IFERROR(1*'Procyclean 600'!D155,IFERROR(_xludf.NUMBERVALUE('Procyclean 600'!D155,".",","),IFERROR(_xludf.NUMBERVALUE('Procyclean 600'!D155,",","."),0))))</f>
        <v/>
      </c>
      <c r="AE3153" t="str">
        <f>IF(AA3153="","",'Procyclean 600'!K155)</f>
        <v/>
      </c>
      <c r="AF3153">
        <f t="shared" si="311"/>
        <v>0</v>
      </c>
      <c r="AG3153" t="str">
        <f t="shared" si="312"/>
        <v/>
      </c>
      <c r="AH3153" t="str">
        <f t="shared" si="313"/>
        <v/>
      </c>
      <c r="AI3153">
        <f t="shared" si="314"/>
        <v>0</v>
      </c>
      <c r="AJ3153">
        <f t="shared" si="315"/>
        <v>0</v>
      </c>
      <c r="AK3153">
        <v>0</v>
      </c>
      <c r="AL3153" t="str">
        <f>IF(AA3153="","",IFERROR(IF(ISNUMBER('Procyclean 600'!E155),'Procyclean 600'!E155,IF(ISNUMBER(SEARCH("12",'Procyclean 600'!E155)),EDATE(AB3153,12),IF(ISNUMBER(SEARCH("6",'Procyclean 600'!E155)),EDATE(AB3153,6),IF(ISNUMBER(SEARCH("3",'Procyclean 600'!E155)),EDATE(AB3153,3),DATEVALUE('Procyclean 600'!E155))))),""))</f>
        <v/>
      </c>
      <c r="AM3153" t="str">
        <f t="shared" ca="1" si="316"/>
        <v/>
      </c>
    </row>
    <row r="3154" spans="27:39" x14ac:dyDescent="0.3">
      <c r="AA3154" t="str">
        <f>IF(COUNTA('Procyclean 600'!B156,'Procyclean 600'!C156,'Procyclean 600'!D156)&gt;0,"600","")</f>
        <v/>
      </c>
      <c r="AB3154" t="str">
        <f>IFERROR(IF(ISNUMBER('Procyclean 600'!B156),'Procyclean 600'!B156,DATEVALUE('Procyclean 600'!B156)),"")</f>
        <v/>
      </c>
      <c r="AC3154" t="str">
        <f>IF(AA3154="","",'Procyclean 600'!C156)</f>
        <v/>
      </c>
      <c r="AD3154" t="str">
        <f>IF(AA3154="","",IFERROR(1*'Procyclean 600'!D156,IFERROR(_xludf.NUMBERVALUE('Procyclean 600'!D156,".",","),IFERROR(_xludf.NUMBERVALUE('Procyclean 600'!D156,",","."),0))))</f>
        <v/>
      </c>
      <c r="AE3154" t="str">
        <f>IF(AA3154="","",'Procyclean 600'!K156)</f>
        <v/>
      </c>
      <c r="AF3154">
        <f t="shared" si="311"/>
        <v>0</v>
      </c>
      <c r="AG3154" t="str">
        <f t="shared" si="312"/>
        <v/>
      </c>
      <c r="AH3154" t="str">
        <f t="shared" si="313"/>
        <v/>
      </c>
      <c r="AI3154">
        <f t="shared" si="314"/>
        <v>0</v>
      </c>
      <c r="AJ3154">
        <f t="shared" si="315"/>
        <v>0</v>
      </c>
      <c r="AK3154">
        <v>0</v>
      </c>
      <c r="AL3154" t="str">
        <f>IF(AA3154="","",IFERROR(IF(ISNUMBER('Procyclean 600'!E156),'Procyclean 600'!E156,IF(ISNUMBER(SEARCH("12",'Procyclean 600'!E156)),EDATE(AB3154,12),IF(ISNUMBER(SEARCH("6",'Procyclean 600'!E156)),EDATE(AB3154,6),IF(ISNUMBER(SEARCH("3",'Procyclean 600'!E156)),EDATE(AB3154,3),DATEVALUE('Procyclean 600'!E156))))),""))</f>
        <v/>
      </c>
      <c r="AM3154" t="str">
        <f t="shared" ca="1" si="316"/>
        <v/>
      </c>
    </row>
    <row r="3155" spans="27:39" x14ac:dyDescent="0.3">
      <c r="AA3155" t="str">
        <f>IF(COUNTA('Procyclean 600'!B157,'Procyclean 600'!C157,'Procyclean 600'!D157)&gt;0,"600","")</f>
        <v/>
      </c>
      <c r="AB3155" t="str">
        <f>IFERROR(IF(ISNUMBER('Procyclean 600'!B157),'Procyclean 600'!B157,DATEVALUE('Procyclean 600'!B157)),"")</f>
        <v/>
      </c>
      <c r="AC3155" t="str">
        <f>IF(AA3155="","",'Procyclean 600'!C157)</f>
        <v/>
      </c>
      <c r="AD3155" t="str">
        <f>IF(AA3155="","",IFERROR(1*'Procyclean 600'!D157,IFERROR(_xludf.NUMBERVALUE('Procyclean 600'!D157,".",","),IFERROR(_xludf.NUMBERVALUE('Procyclean 600'!D157,",","."),0))))</f>
        <v/>
      </c>
      <c r="AE3155" t="str">
        <f>IF(AA3155="","",'Procyclean 600'!K157)</f>
        <v/>
      </c>
      <c r="AF3155">
        <f t="shared" si="311"/>
        <v>0</v>
      </c>
      <c r="AG3155" t="str">
        <f t="shared" si="312"/>
        <v/>
      </c>
      <c r="AH3155" t="str">
        <f t="shared" si="313"/>
        <v/>
      </c>
      <c r="AI3155">
        <f t="shared" si="314"/>
        <v>0</v>
      </c>
      <c r="AJ3155">
        <f t="shared" si="315"/>
        <v>0</v>
      </c>
      <c r="AK3155">
        <v>0</v>
      </c>
      <c r="AL3155" t="str">
        <f>IF(AA3155="","",IFERROR(IF(ISNUMBER('Procyclean 600'!E157),'Procyclean 600'!E157,IF(ISNUMBER(SEARCH("12",'Procyclean 600'!E157)),EDATE(AB3155,12),IF(ISNUMBER(SEARCH("6",'Procyclean 600'!E157)),EDATE(AB3155,6),IF(ISNUMBER(SEARCH("3",'Procyclean 600'!E157)),EDATE(AB3155,3),DATEVALUE('Procyclean 600'!E157))))),""))</f>
        <v/>
      </c>
      <c r="AM3155" t="str">
        <f t="shared" ca="1" si="316"/>
        <v/>
      </c>
    </row>
    <row r="3156" spans="27:39" x14ac:dyDescent="0.3">
      <c r="AA3156" t="str">
        <f>IF(COUNTA('Procyclean 600'!B158,'Procyclean 600'!C158,'Procyclean 600'!D158)&gt;0,"600","")</f>
        <v/>
      </c>
      <c r="AB3156" t="str">
        <f>IFERROR(IF(ISNUMBER('Procyclean 600'!B158),'Procyclean 600'!B158,DATEVALUE('Procyclean 600'!B158)),"")</f>
        <v/>
      </c>
      <c r="AC3156" t="str">
        <f>IF(AA3156="","",'Procyclean 600'!C158)</f>
        <v/>
      </c>
      <c r="AD3156" t="str">
        <f>IF(AA3156="","",IFERROR(1*'Procyclean 600'!D158,IFERROR(_xludf.NUMBERVALUE('Procyclean 600'!D158,".",","),IFERROR(_xludf.NUMBERVALUE('Procyclean 600'!D158,",","."),0))))</f>
        <v/>
      </c>
      <c r="AE3156" t="str">
        <f>IF(AA3156="","",'Procyclean 600'!K158)</f>
        <v/>
      </c>
      <c r="AF3156">
        <f t="shared" si="311"/>
        <v>0</v>
      </c>
      <c r="AG3156" t="str">
        <f t="shared" si="312"/>
        <v/>
      </c>
      <c r="AH3156" t="str">
        <f t="shared" si="313"/>
        <v/>
      </c>
      <c r="AI3156">
        <f t="shared" si="314"/>
        <v>0</v>
      </c>
      <c r="AJ3156">
        <f t="shared" si="315"/>
        <v>0</v>
      </c>
      <c r="AK3156">
        <v>0</v>
      </c>
      <c r="AL3156" t="str">
        <f>IF(AA3156="","",IFERROR(IF(ISNUMBER('Procyclean 600'!E158),'Procyclean 600'!E158,IF(ISNUMBER(SEARCH("12",'Procyclean 600'!E158)),EDATE(AB3156,12),IF(ISNUMBER(SEARCH("6",'Procyclean 600'!E158)),EDATE(AB3156,6),IF(ISNUMBER(SEARCH("3",'Procyclean 600'!E158)),EDATE(AB3156,3),DATEVALUE('Procyclean 600'!E158))))),""))</f>
        <v/>
      </c>
      <c r="AM3156" t="str">
        <f t="shared" ca="1" si="316"/>
        <v/>
      </c>
    </row>
    <row r="3157" spans="27:39" x14ac:dyDescent="0.3">
      <c r="AA3157" t="str">
        <f>IF(COUNTA('Procyclean 600'!B159,'Procyclean 600'!C159,'Procyclean 600'!D159)&gt;0,"600","")</f>
        <v/>
      </c>
      <c r="AB3157" t="str">
        <f>IFERROR(IF(ISNUMBER('Procyclean 600'!B159),'Procyclean 600'!B159,DATEVALUE('Procyclean 600'!B159)),"")</f>
        <v/>
      </c>
      <c r="AC3157" t="str">
        <f>IF(AA3157="","",'Procyclean 600'!C159)</f>
        <v/>
      </c>
      <c r="AD3157" t="str">
        <f>IF(AA3157="","",IFERROR(1*'Procyclean 600'!D159,IFERROR(_xludf.NUMBERVALUE('Procyclean 600'!D159,".",","),IFERROR(_xludf.NUMBERVALUE('Procyclean 600'!D159,",","."),0))))</f>
        <v/>
      </c>
      <c r="AE3157" t="str">
        <f>IF(AA3157="","",'Procyclean 600'!K159)</f>
        <v/>
      </c>
      <c r="AF3157">
        <f t="shared" si="311"/>
        <v>0</v>
      </c>
      <c r="AG3157" t="str">
        <f t="shared" si="312"/>
        <v/>
      </c>
      <c r="AH3157" t="str">
        <f t="shared" si="313"/>
        <v/>
      </c>
      <c r="AI3157">
        <f t="shared" si="314"/>
        <v>0</v>
      </c>
      <c r="AJ3157">
        <f t="shared" si="315"/>
        <v>0</v>
      </c>
      <c r="AK3157">
        <v>0</v>
      </c>
      <c r="AL3157" t="str">
        <f>IF(AA3157="","",IFERROR(IF(ISNUMBER('Procyclean 600'!E159),'Procyclean 600'!E159,IF(ISNUMBER(SEARCH("12",'Procyclean 600'!E159)),EDATE(AB3157,12),IF(ISNUMBER(SEARCH("6",'Procyclean 600'!E159)),EDATE(AB3157,6),IF(ISNUMBER(SEARCH("3",'Procyclean 600'!E159)),EDATE(AB3157,3),DATEVALUE('Procyclean 600'!E159))))),""))</f>
        <v/>
      </c>
      <c r="AM3157" t="str">
        <f t="shared" ca="1" si="316"/>
        <v/>
      </c>
    </row>
    <row r="3158" spans="27:39" x14ac:dyDescent="0.3">
      <c r="AA3158" t="str">
        <f>IF(COUNTA('Procyclean 600'!B160,'Procyclean 600'!C160,'Procyclean 600'!D160)&gt;0,"600","")</f>
        <v/>
      </c>
      <c r="AB3158" t="str">
        <f>IFERROR(IF(ISNUMBER('Procyclean 600'!B160),'Procyclean 600'!B160,DATEVALUE('Procyclean 600'!B160)),"")</f>
        <v/>
      </c>
      <c r="AC3158" t="str">
        <f>IF(AA3158="","",'Procyclean 600'!C160)</f>
        <v/>
      </c>
      <c r="AD3158" t="str">
        <f>IF(AA3158="","",IFERROR(1*'Procyclean 600'!D160,IFERROR(_xludf.NUMBERVALUE('Procyclean 600'!D160,".",","),IFERROR(_xludf.NUMBERVALUE('Procyclean 600'!D160,",","."),0))))</f>
        <v/>
      </c>
      <c r="AE3158" t="str">
        <f>IF(AA3158="","",'Procyclean 600'!K160)</f>
        <v/>
      </c>
      <c r="AF3158">
        <f t="shared" si="311"/>
        <v>0</v>
      </c>
      <c r="AG3158" t="str">
        <f t="shared" si="312"/>
        <v/>
      </c>
      <c r="AH3158" t="str">
        <f t="shared" si="313"/>
        <v/>
      </c>
      <c r="AI3158">
        <f t="shared" si="314"/>
        <v>0</v>
      </c>
      <c r="AJ3158">
        <f t="shared" si="315"/>
        <v>0</v>
      </c>
      <c r="AK3158">
        <v>0</v>
      </c>
      <c r="AL3158" t="str">
        <f>IF(AA3158="","",IFERROR(IF(ISNUMBER('Procyclean 600'!E160),'Procyclean 600'!E160,IF(ISNUMBER(SEARCH("12",'Procyclean 600'!E160)),EDATE(AB3158,12),IF(ISNUMBER(SEARCH("6",'Procyclean 600'!E160)),EDATE(AB3158,6),IF(ISNUMBER(SEARCH("3",'Procyclean 600'!E160)),EDATE(AB3158,3),DATEVALUE('Procyclean 600'!E160))))),""))</f>
        <v/>
      </c>
      <c r="AM3158" t="str">
        <f t="shared" ca="1" si="316"/>
        <v/>
      </c>
    </row>
    <row r="3159" spans="27:39" x14ac:dyDescent="0.3">
      <c r="AA3159" t="str">
        <f>IF(COUNTA('Procyclean 600'!B161,'Procyclean 600'!C161,'Procyclean 600'!D161)&gt;0,"600","")</f>
        <v/>
      </c>
      <c r="AB3159" t="str">
        <f>IFERROR(IF(ISNUMBER('Procyclean 600'!B161),'Procyclean 600'!B161,DATEVALUE('Procyclean 600'!B161)),"")</f>
        <v/>
      </c>
      <c r="AC3159" t="str">
        <f>IF(AA3159="","",'Procyclean 600'!C161)</f>
        <v/>
      </c>
      <c r="AD3159" t="str">
        <f>IF(AA3159="","",IFERROR(1*'Procyclean 600'!D161,IFERROR(_xludf.NUMBERVALUE('Procyclean 600'!D161,".",","),IFERROR(_xludf.NUMBERVALUE('Procyclean 600'!D161,",","."),0))))</f>
        <v/>
      </c>
      <c r="AE3159" t="str">
        <f>IF(AA3159="","",'Procyclean 600'!K161)</f>
        <v/>
      </c>
      <c r="AF3159">
        <f t="shared" si="311"/>
        <v>0</v>
      </c>
      <c r="AG3159" t="str">
        <f t="shared" si="312"/>
        <v/>
      </c>
      <c r="AH3159" t="str">
        <f t="shared" si="313"/>
        <v/>
      </c>
      <c r="AI3159">
        <f t="shared" si="314"/>
        <v>0</v>
      </c>
      <c r="AJ3159">
        <f t="shared" si="315"/>
        <v>0</v>
      </c>
      <c r="AK3159">
        <v>0</v>
      </c>
      <c r="AL3159" t="str">
        <f>IF(AA3159="","",IFERROR(IF(ISNUMBER('Procyclean 600'!E161),'Procyclean 600'!E161,IF(ISNUMBER(SEARCH("12",'Procyclean 600'!E161)),EDATE(AB3159,12),IF(ISNUMBER(SEARCH("6",'Procyclean 600'!E161)),EDATE(AB3159,6),IF(ISNUMBER(SEARCH("3",'Procyclean 600'!E161)),EDATE(AB3159,3),DATEVALUE('Procyclean 600'!E161))))),""))</f>
        <v/>
      </c>
      <c r="AM3159" t="str">
        <f t="shared" ca="1" si="316"/>
        <v/>
      </c>
    </row>
    <row r="3160" spans="27:39" x14ac:dyDescent="0.3">
      <c r="AA3160" t="str">
        <f>IF(COUNTA('Procyclean 600'!B162,'Procyclean 600'!C162,'Procyclean 600'!D162)&gt;0,"600","")</f>
        <v/>
      </c>
      <c r="AB3160" t="str">
        <f>IFERROR(IF(ISNUMBER('Procyclean 600'!B162),'Procyclean 600'!B162,DATEVALUE('Procyclean 600'!B162)),"")</f>
        <v/>
      </c>
      <c r="AC3160" t="str">
        <f>IF(AA3160="","",'Procyclean 600'!C162)</f>
        <v/>
      </c>
      <c r="AD3160" t="str">
        <f>IF(AA3160="","",IFERROR(1*'Procyclean 600'!D162,IFERROR(_xludf.NUMBERVALUE('Procyclean 600'!D162,".",","),IFERROR(_xludf.NUMBERVALUE('Procyclean 600'!D162,",","."),0))))</f>
        <v/>
      </c>
      <c r="AE3160" t="str">
        <f>IF(AA3160="","",'Procyclean 600'!K162)</f>
        <v/>
      </c>
      <c r="AF3160">
        <f t="shared" si="311"/>
        <v>0</v>
      </c>
      <c r="AG3160" t="str">
        <f t="shared" si="312"/>
        <v/>
      </c>
      <c r="AH3160" t="str">
        <f t="shared" si="313"/>
        <v/>
      </c>
      <c r="AI3160">
        <f t="shared" si="314"/>
        <v>0</v>
      </c>
      <c r="AJ3160">
        <f t="shared" si="315"/>
        <v>0</v>
      </c>
      <c r="AK3160">
        <v>0</v>
      </c>
      <c r="AL3160" t="str">
        <f>IF(AA3160="","",IFERROR(IF(ISNUMBER('Procyclean 600'!E162),'Procyclean 600'!E162,IF(ISNUMBER(SEARCH("12",'Procyclean 600'!E162)),EDATE(AB3160,12),IF(ISNUMBER(SEARCH("6",'Procyclean 600'!E162)),EDATE(AB3160,6),IF(ISNUMBER(SEARCH("3",'Procyclean 600'!E162)),EDATE(AB3160,3),DATEVALUE('Procyclean 600'!E162))))),""))</f>
        <v/>
      </c>
      <c r="AM3160" t="str">
        <f t="shared" ca="1" si="316"/>
        <v/>
      </c>
    </row>
    <row r="3161" spans="27:39" x14ac:dyDescent="0.3">
      <c r="AA3161" t="str">
        <f>IF(COUNTA('Procyclean 600'!B163,'Procyclean 600'!C163,'Procyclean 600'!D163)&gt;0,"600","")</f>
        <v/>
      </c>
      <c r="AB3161" t="str">
        <f>IFERROR(IF(ISNUMBER('Procyclean 600'!B163),'Procyclean 600'!B163,DATEVALUE('Procyclean 600'!B163)),"")</f>
        <v/>
      </c>
      <c r="AC3161" t="str">
        <f>IF(AA3161="","",'Procyclean 600'!C163)</f>
        <v/>
      </c>
      <c r="AD3161" t="str">
        <f>IF(AA3161="","",IFERROR(1*'Procyclean 600'!D163,IFERROR(_xludf.NUMBERVALUE('Procyclean 600'!D163,".",","),IFERROR(_xludf.NUMBERVALUE('Procyclean 600'!D163,",","."),0))))</f>
        <v/>
      </c>
      <c r="AE3161" t="str">
        <f>IF(AA3161="","",'Procyclean 600'!K163)</f>
        <v/>
      </c>
      <c r="AF3161">
        <f t="shared" si="311"/>
        <v>0</v>
      </c>
      <c r="AG3161" t="str">
        <f t="shared" si="312"/>
        <v/>
      </c>
      <c r="AH3161" t="str">
        <f t="shared" si="313"/>
        <v/>
      </c>
      <c r="AI3161">
        <f t="shared" si="314"/>
        <v>0</v>
      </c>
      <c r="AJ3161">
        <f t="shared" si="315"/>
        <v>0</v>
      </c>
      <c r="AK3161">
        <v>0</v>
      </c>
      <c r="AL3161" t="str">
        <f>IF(AA3161="","",IFERROR(IF(ISNUMBER('Procyclean 600'!E163),'Procyclean 600'!E163,IF(ISNUMBER(SEARCH("12",'Procyclean 600'!E163)),EDATE(AB3161,12),IF(ISNUMBER(SEARCH("6",'Procyclean 600'!E163)),EDATE(AB3161,6),IF(ISNUMBER(SEARCH("3",'Procyclean 600'!E163)),EDATE(AB3161,3),DATEVALUE('Procyclean 600'!E163))))),""))</f>
        <v/>
      </c>
      <c r="AM3161" t="str">
        <f t="shared" ca="1" si="316"/>
        <v/>
      </c>
    </row>
    <row r="3162" spans="27:39" x14ac:dyDescent="0.3">
      <c r="AA3162" t="str">
        <f>IF(COUNTA('Procyclean 600'!B164,'Procyclean 600'!C164,'Procyclean 600'!D164)&gt;0,"600","")</f>
        <v/>
      </c>
      <c r="AB3162" t="str">
        <f>IFERROR(IF(ISNUMBER('Procyclean 600'!B164),'Procyclean 600'!B164,DATEVALUE('Procyclean 600'!B164)),"")</f>
        <v/>
      </c>
      <c r="AC3162" t="str">
        <f>IF(AA3162="","",'Procyclean 600'!C164)</f>
        <v/>
      </c>
      <c r="AD3162" t="str">
        <f>IF(AA3162="","",IFERROR(1*'Procyclean 600'!D164,IFERROR(_xludf.NUMBERVALUE('Procyclean 600'!D164,".",","),IFERROR(_xludf.NUMBERVALUE('Procyclean 600'!D164,",","."),0))))</f>
        <v/>
      </c>
      <c r="AE3162" t="str">
        <f>IF(AA3162="","",'Procyclean 600'!K164)</f>
        <v/>
      </c>
      <c r="AF3162">
        <f t="shared" si="311"/>
        <v>0</v>
      </c>
      <c r="AG3162" t="str">
        <f t="shared" si="312"/>
        <v/>
      </c>
      <c r="AH3162" t="str">
        <f t="shared" si="313"/>
        <v/>
      </c>
      <c r="AI3162">
        <f t="shared" si="314"/>
        <v>0</v>
      </c>
      <c r="AJ3162">
        <f t="shared" si="315"/>
        <v>0</v>
      </c>
      <c r="AK3162">
        <v>0</v>
      </c>
      <c r="AL3162" t="str">
        <f>IF(AA3162="","",IFERROR(IF(ISNUMBER('Procyclean 600'!E164),'Procyclean 600'!E164,IF(ISNUMBER(SEARCH("12",'Procyclean 600'!E164)),EDATE(AB3162,12),IF(ISNUMBER(SEARCH("6",'Procyclean 600'!E164)),EDATE(AB3162,6),IF(ISNUMBER(SEARCH("3",'Procyclean 600'!E164)),EDATE(AB3162,3),DATEVALUE('Procyclean 600'!E164))))),""))</f>
        <v/>
      </c>
      <c r="AM3162" t="str">
        <f t="shared" ca="1" si="316"/>
        <v/>
      </c>
    </row>
    <row r="3163" spans="27:39" x14ac:dyDescent="0.3">
      <c r="AA3163" t="str">
        <f>IF(COUNTA('Procyclean 600'!B165,'Procyclean 600'!C165,'Procyclean 600'!D165)&gt;0,"600","")</f>
        <v/>
      </c>
      <c r="AB3163" t="str">
        <f>IFERROR(IF(ISNUMBER('Procyclean 600'!B165),'Procyclean 600'!B165,DATEVALUE('Procyclean 600'!B165)),"")</f>
        <v/>
      </c>
      <c r="AC3163" t="str">
        <f>IF(AA3163="","",'Procyclean 600'!C165)</f>
        <v/>
      </c>
      <c r="AD3163" t="str">
        <f>IF(AA3163="","",IFERROR(1*'Procyclean 600'!D165,IFERROR(_xludf.NUMBERVALUE('Procyclean 600'!D165,".",","),IFERROR(_xludf.NUMBERVALUE('Procyclean 600'!D165,",","."),0))))</f>
        <v/>
      </c>
      <c r="AE3163" t="str">
        <f>IF(AA3163="","",'Procyclean 600'!K165)</f>
        <v/>
      </c>
      <c r="AF3163">
        <f t="shared" si="311"/>
        <v>0</v>
      </c>
      <c r="AG3163" t="str">
        <f t="shared" si="312"/>
        <v/>
      </c>
      <c r="AH3163" t="str">
        <f t="shared" si="313"/>
        <v/>
      </c>
      <c r="AI3163">
        <f t="shared" si="314"/>
        <v>0</v>
      </c>
      <c r="AJ3163">
        <f t="shared" si="315"/>
        <v>0</v>
      </c>
      <c r="AK3163">
        <v>0</v>
      </c>
      <c r="AL3163" t="str">
        <f>IF(AA3163="","",IFERROR(IF(ISNUMBER('Procyclean 600'!E165),'Procyclean 600'!E165,IF(ISNUMBER(SEARCH("12",'Procyclean 600'!E165)),EDATE(AB3163,12),IF(ISNUMBER(SEARCH("6",'Procyclean 600'!E165)),EDATE(AB3163,6),IF(ISNUMBER(SEARCH("3",'Procyclean 600'!E165)),EDATE(AB3163,3),DATEVALUE('Procyclean 600'!E165))))),""))</f>
        <v/>
      </c>
      <c r="AM3163" t="str">
        <f t="shared" ca="1" si="316"/>
        <v/>
      </c>
    </row>
    <row r="3164" spans="27:39" x14ac:dyDescent="0.3">
      <c r="AA3164" t="str">
        <f>IF(COUNTA('Procyclean 600'!B166,'Procyclean 600'!C166,'Procyclean 600'!D166)&gt;0,"600","")</f>
        <v/>
      </c>
      <c r="AB3164" t="str">
        <f>IFERROR(IF(ISNUMBER('Procyclean 600'!B166),'Procyclean 600'!B166,DATEVALUE('Procyclean 600'!B166)),"")</f>
        <v/>
      </c>
      <c r="AC3164" t="str">
        <f>IF(AA3164="","",'Procyclean 600'!C166)</f>
        <v/>
      </c>
      <c r="AD3164" t="str">
        <f>IF(AA3164="","",IFERROR(1*'Procyclean 600'!D166,IFERROR(_xludf.NUMBERVALUE('Procyclean 600'!D166,".",","),IFERROR(_xludf.NUMBERVALUE('Procyclean 600'!D166,",","."),0))))</f>
        <v/>
      </c>
      <c r="AE3164" t="str">
        <f>IF(AA3164="","",'Procyclean 600'!K166)</f>
        <v/>
      </c>
      <c r="AF3164">
        <f t="shared" si="311"/>
        <v>0</v>
      </c>
      <c r="AG3164" t="str">
        <f t="shared" si="312"/>
        <v/>
      </c>
      <c r="AH3164" t="str">
        <f t="shared" si="313"/>
        <v/>
      </c>
      <c r="AI3164">
        <f t="shared" si="314"/>
        <v>0</v>
      </c>
      <c r="AJ3164">
        <f t="shared" si="315"/>
        <v>0</v>
      </c>
      <c r="AK3164">
        <v>0</v>
      </c>
      <c r="AL3164" t="str">
        <f>IF(AA3164="","",IFERROR(IF(ISNUMBER('Procyclean 600'!E166),'Procyclean 600'!E166,IF(ISNUMBER(SEARCH("12",'Procyclean 600'!E166)),EDATE(AB3164,12),IF(ISNUMBER(SEARCH("6",'Procyclean 600'!E166)),EDATE(AB3164,6),IF(ISNUMBER(SEARCH("3",'Procyclean 600'!E166)),EDATE(AB3164,3),DATEVALUE('Procyclean 600'!E166))))),""))</f>
        <v/>
      </c>
      <c r="AM3164" t="str">
        <f t="shared" ca="1" si="316"/>
        <v/>
      </c>
    </row>
    <row r="3165" spans="27:39" x14ac:dyDescent="0.3">
      <c r="AA3165" t="str">
        <f>IF(COUNTA('Procyclean 600'!B167,'Procyclean 600'!C167,'Procyclean 600'!D167)&gt;0,"600","")</f>
        <v/>
      </c>
      <c r="AB3165" t="str">
        <f>IFERROR(IF(ISNUMBER('Procyclean 600'!B167),'Procyclean 600'!B167,DATEVALUE('Procyclean 600'!B167)),"")</f>
        <v/>
      </c>
      <c r="AC3165" t="str">
        <f>IF(AA3165="","",'Procyclean 600'!C167)</f>
        <v/>
      </c>
      <c r="AD3165" t="str">
        <f>IF(AA3165="","",IFERROR(1*'Procyclean 600'!D167,IFERROR(_xludf.NUMBERVALUE('Procyclean 600'!D167,".",","),IFERROR(_xludf.NUMBERVALUE('Procyclean 600'!D167,",","."),0))))</f>
        <v/>
      </c>
      <c r="AE3165" t="str">
        <f>IF(AA3165="","",'Procyclean 600'!K167)</f>
        <v/>
      </c>
      <c r="AF3165">
        <f t="shared" si="311"/>
        <v>0</v>
      </c>
      <c r="AG3165" t="str">
        <f t="shared" si="312"/>
        <v/>
      </c>
      <c r="AH3165" t="str">
        <f t="shared" si="313"/>
        <v/>
      </c>
      <c r="AI3165">
        <f t="shared" si="314"/>
        <v>0</v>
      </c>
      <c r="AJ3165">
        <f t="shared" si="315"/>
        <v>0</v>
      </c>
      <c r="AK3165">
        <v>0</v>
      </c>
      <c r="AL3165" t="str">
        <f>IF(AA3165="","",IFERROR(IF(ISNUMBER('Procyclean 600'!E167),'Procyclean 600'!E167,IF(ISNUMBER(SEARCH("12",'Procyclean 600'!E167)),EDATE(AB3165,12),IF(ISNUMBER(SEARCH("6",'Procyclean 600'!E167)),EDATE(AB3165,6),IF(ISNUMBER(SEARCH("3",'Procyclean 600'!E167)),EDATE(AB3165,3),DATEVALUE('Procyclean 600'!E167))))),""))</f>
        <v/>
      </c>
      <c r="AM3165" t="str">
        <f t="shared" ca="1" si="316"/>
        <v/>
      </c>
    </row>
    <row r="3166" spans="27:39" x14ac:dyDescent="0.3">
      <c r="AA3166" t="str">
        <f>IF(COUNTA('Procyclean 600'!B168,'Procyclean 600'!C168,'Procyclean 600'!D168)&gt;0,"600","")</f>
        <v/>
      </c>
      <c r="AB3166" t="str">
        <f>IFERROR(IF(ISNUMBER('Procyclean 600'!B168),'Procyclean 600'!B168,DATEVALUE('Procyclean 600'!B168)),"")</f>
        <v/>
      </c>
      <c r="AC3166" t="str">
        <f>IF(AA3166="","",'Procyclean 600'!C168)</f>
        <v/>
      </c>
      <c r="AD3166" t="str">
        <f>IF(AA3166="","",IFERROR(1*'Procyclean 600'!D168,IFERROR(_xludf.NUMBERVALUE('Procyclean 600'!D168,".",","),IFERROR(_xludf.NUMBERVALUE('Procyclean 600'!D168,",","."),0))))</f>
        <v/>
      </c>
      <c r="AE3166" t="str">
        <f>IF(AA3166="","",'Procyclean 600'!K168)</f>
        <v/>
      </c>
      <c r="AF3166">
        <f t="shared" si="311"/>
        <v>0</v>
      </c>
      <c r="AG3166" t="str">
        <f t="shared" si="312"/>
        <v/>
      </c>
      <c r="AH3166" t="str">
        <f t="shared" si="313"/>
        <v/>
      </c>
      <c r="AI3166">
        <f t="shared" si="314"/>
        <v>0</v>
      </c>
      <c r="AJ3166">
        <f t="shared" si="315"/>
        <v>0</v>
      </c>
      <c r="AK3166">
        <v>0</v>
      </c>
      <c r="AL3166" t="str">
        <f>IF(AA3166="","",IFERROR(IF(ISNUMBER('Procyclean 600'!E168),'Procyclean 600'!E168,IF(ISNUMBER(SEARCH("12",'Procyclean 600'!E168)),EDATE(AB3166,12),IF(ISNUMBER(SEARCH("6",'Procyclean 600'!E168)),EDATE(AB3166,6),IF(ISNUMBER(SEARCH("3",'Procyclean 600'!E168)),EDATE(AB3166,3),DATEVALUE('Procyclean 600'!E168))))),""))</f>
        <v/>
      </c>
      <c r="AM3166" t="str">
        <f t="shared" ca="1" si="316"/>
        <v/>
      </c>
    </row>
    <row r="3167" spans="27:39" x14ac:dyDescent="0.3">
      <c r="AA3167" t="str">
        <f>IF(COUNTA('Procyclean 600'!B169,'Procyclean 600'!C169,'Procyclean 600'!D169)&gt;0,"600","")</f>
        <v/>
      </c>
      <c r="AB3167" t="str">
        <f>IFERROR(IF(ISNUMBER('Procyclean 600'!B169),'Procyclean 600'!B169,DATEVALUE('Procyclean 600'!B169)),"")</f>
        <v/>
      </c>
      <c r="AC3167" t="str">
        <f>IF(AA3167="","",'Procyclean 600'!C169)</f>
        <v/>
      </c>
      <c r="AD3167" t="str">
        <f>IF(AA3167="","",IFERROR(1*'Procyclean 600'!D169,IFERROR(_xludf.NUMBERVALUE('Procyclean 600'!D169,".",","),IFERROR(_xludf.NUMBERVALUE('Procyclean 600'!D169,",","."),0))))</f>
        <v/>
      </c>
      <c r="AE3167" t="str">
        <f>IF(AA3167="","",'Procyclean 600'!K169)</f>
        <v/>
      </c>
      <c r="AF3167">
        <f t="shared" si="311"/>
        <v>0</v>
      </c>
      <c r="AG3167" t="str">
        <f t="shared" si="312"/>
        <v/>
      </c>
      <c r="AH3167" t="str">
        <f t="shared" si="313"/>
        <v/>
      </c>
      <c r="AI3167">
        <f t="shared" si="314"/>
        <v>0</v>
      </c>
      <c r="AJ3167">
        <f t="shared" si="315"/>
        <v>0</v>
      </c>
      <c r="AK3167">
        <v>0</v>
      </c>
      <c r="AL3167" t="str">
        <f>IF(AA3167="","",IFERROR(IF(ISNUMBER('Procyclean 600'!E169),'Procyclean 600'!E169,IF(ISNUMBER(SEARCH("12",'Procyclean 600'!E169)),EDATE(AB3167,12),IF(ISNUMBER(SEARCH("6",'Procyclean 600'!E169)),EDATE(AB3167,6),IF(ISNUMBER(SEARCH("3",'Procyclean 600'!E169)),EDATE(AB3167,3),DATEVALUE('Procyclean 600'!E169))))),""))</f>
        <v/>
      </c>
      <c r="AM3167" t="str">
        <f t="shared" ca="1" si="316"/>
        <v/>
      </c>
    </row>
    <row r="3168" spans="27:39" x14ac:dyDescent="0.3">
      <c r="AA3168" t="str">
        <f>IF(COUNTA('Procyclean 600'!B170,'Procyclean 600'!C170,'Procyclean 600'!D170)&gt;0,"600","")</f>
        <v/>
      </c>
      <c r="AB3168" t="str">
        <f>IFERROR(IF(ISNUMBER('Procyclean 600'!B170),'Procyclean 600'!B170,DATEVALUE('Procyclean 600'!B170)),"")</f>
        <v/>
      </c>
      <c r="AC3168" t="str">
        <f>IF(AA3168="","",'Procyclean 600'!C170)</f>
        <v/>
      </c>
      <c r="AD3168" t="str">
        <f>IF(AA3168="","",IFERROR(1*'Procyclean 600'!D170,IFERROR(_xludf.NUMBERVALUE('Procyclean 600'!D170,".",","),IFERROR(_xludf.NUMBERVALUE('Procyclean 600'!D170,",","."),0))))</f>
        <v/>
      </c>
      <c r="AE3168" t="str">
        <f>IF(AA3168="","",'Procyclean 600'!K170)</f>
        <v/>
      </c>
      <c r="AF3168">
        <f t="shared" si="311"/>
        <v>0</v>
      </c>
      <c r="AG3168" t="str">
        <f t="shared" si="312"/>
        <v/>
      </c>
      <c r="AH3168" t="str">
        <f t="shared" si="313"/>
        <v/>
      </c>
      <c r="AI3168">
        <f t="shared" si="314"/>
        <v>0</v>
      </c>
      <c r="AJ3168">
        <f t="shared" si="315"/>
        <v>0</v>
      </c>
      <c r="AK3168">
        <v>0</v>
      </c>
      <c r="AL3168" t="str">
        <f>IF(AA3168="","",IFERROR(IF(ISNUMBER('Procyclean 600'!E170),'Procyclean 600'!E170,IF(ISNUMBER(SEARCH("12",'Procyclean 600'!E170)),EDATE(AB3168,12),IF(ISNUMBER(SEARCH("6",'Procyclean 600'!E170)),EDATE(AB3168,6),IF(ISNUMBER(SEARCH("3",'Procyclean 600'!E170)),EDATE(AB3168,3),DATEVALUE('Procyclean 600'!E170))))),""))</f>
        <v/>
      </c>
      <c r="AM3168" t="str">
        <f t="shared" ca="1" si="316"/>
        <v/>
      </c>
    </row>
    <row r="3169" spans="27:39" x14ac:dyDescent="0.3">
      <c r="AA3169" t="str">
        <f>IF(COUNTA('Procyclean 600'!B171,'Procyclean 600'!C171,'Procyclean 600'!D171)&gt;0,"600","")</f>
        <v/>
      </c>
      <c r="AB3169" t="str">
        <f>IFERROR(IF(ISNUMBER('Procyclean 600'!B171),'Procyclean 600'!B171,DATEVALUE('Procyclean 600'!B171)),"")</f>
        <v/>
      </c>
      <c r="AC3169" t="str">
        <f>IF(AA3169="","",'Procyclean 600'!C171)</f>
        <v/>
      </c>
      <c r="AD3169" t="str">
        <f>IF(AA3169="","",IFERROR(1*'Procyclean 600'!D171,IFERROR(_xludf.NUMBERVALUE('Procyclean 600'!D171,".",","),IFERROR(_xludf.NUMBERVALUE('Procyclean 600'!D171,",","."),0))))</f>
        <v/>
      </c>
      <c r="AE3169" t="str">
        <f>IF(AA3169="","",'Procyclean 600'!K171)</f>
        <v/>
      </c>
      <c r="AF3169">
        <f t="shared" si="311"/>
        <v>0</v>
      </c>
      <c r="AG3169" t="str">
        <f t="shared" si="312"/>
        <v/>
      </c>
      <c r="AH3169" t="str">
        <f t="shared" si="313"/>
        <v/>
      </c>
      <c r="AI3169">
        <f t="shared" si="314"/>
        <v>0</v>
      </c>
      <c r="AJ3169">
        <f t="shared" si="315"/>
        <v>0</v>
      </c>
      <c r="AK3169">
        <v>0</v>
      </c>
      <c r="AL3169" t="str">
        <f>IF(AA3169="","",IFERROR(IF(ISNUMBER('Procyclean 600'!E171),'Procyclean 600'!E171,IF(ISNUMBER(SEARCH("12",'Procyclean 600'!E171)),EDATE(AB3169,12),IF(ISNUMBER(SEARCH("6",'Procyclean 600'!E171)),EDATE(AB3169,6),IF(ISNUMBER(SEARCH("3",'Procyclean 600'!E171)),EDATE(AB3169,3),DATEVALUE('Procyclean 600'!E171))))),""))</f>
        <v/>
      </c>
      <c r="AM3169" t="str">
        <f t="shared" ca="1" si="316"/>
        <v/>
      </c>
    </row>
    <row r="3170" spans="27:39" x14ac:dyDescent="0.3">
      <c r="AA3170" t="str">
        <f>IF(COUNTA('Procyclean 600'!B172,'Procyclean 600'!C172,'Procyclean 600'!D172)&gt;0,"600","")</f>
        <v/>
      </c>
      <c r="AB3170" t="str">
        <f>IFERROR(IF(ISNUMBER('Procyclean 600'!B172),'Procyclean 600'!B172,DATEVALUE('Procyclean 600'!B172)),"")</f>
        <v/>
      </c>
      <c r="AC3170" t="str">
        <f>IF(AA3170="","",'Procyclean 600'!C172)</f>
        <v/>
      </c>
      <c r="AD3170" t="str">
        <f>IF(AA3170="","",IFERROR(1*'Procyclean 600'!D172,IFERROR(_xludf.NUMBERVALUE('Procyclean 600'!D172,".",","),IFERROR(_xludf.NUMBERVALUE('Procyclean 600'!D172,",","."),0))))</f>
        <v/>
      </c>
      <c r="AE3170" t="str">
        <f>IF(AA3170="","",'Procyclean 600'!K172)</f>
        <v/>
      </c>
      <c r="AF3170">
        <f t="shared" si="311"/>
        <v>0</v>
      </c>
      <c r="AG3170" t="str">
        <f t="shared" si="312"/>
        <v/>
      </c>
      <c r="AH3170" t="str">
        <f t="shared" si="313"/>
        <v/>
      </c>
      <c r="AI3170">
        <f t="shared" si="314"/>
        <v>0</v>
      </c>
      <c r="AJ3170">
        <f t="shared" si="315"/>
        <v>0</v>
      </c>
      <c r="AK3170">
        <v>0</v>
      </c>
      <c r="AL3170" t="str">
        <f>IF(AA3170="","",IFERROR(IF(ISNUMBER('Procyclean 600'!E172),'Procyclean 600'!E172,IF(ISNUMBER(SEARCH("12",'Procyclean 600'!E172)),EDATE(AB3170,12),IF(ISNUMBER(SEARCH("6",'Procyclean 600'!E172)),EDATE(AB3170,6),IF(ISNUMBER(SEARCH("3",'Procyclean 600'!E172)),EDATE(AB3170,3),DATEVALUE('Procyclean 600'!E172))))),""))</f>
        <v/>
      </c>
      <c r="AM3170" t="str">
        <f t="shared" ca="1" si="316"/>
        <v/>
      </c>
    </row>
    <row r="3171" spans="27:39" x14ac:dyDescent="0.3">
      <c r="AA3171" t="str">
        <f>IF(COUNTA('Procyclean 600'!B173,'Procyclean 600'!C173,'Procyclean 600'!D173)&gt;0,"600","")</f>
        <v/>
      </c>
      <c r="AB3171" t="str">
        <f>IFERROR(IF(ISNUMBER('Procyclean 600'!B173),'Procyclean 600'!B173,DATEVALUE('Procyclean 600'!B173)),"")</f>
        <v/>
      </c>
      <c r="AC3171" t="str">
        <f>IF(AA3171="","",'Procyclean 600'!C173)</f>
        <v/>
      </c>
      <c r="AD3171" t="str">
        <f>IF(AA3171="","",IFERROR(1*'Procyclean 600'!D173,IFERROR(_xludf.NUMBERVALUE('Procyclean 600'!D173,".",","),IFERROR(_xludf.NUMBERVALUE('Procyclean 600'!D173,",","."),0))))</f>
        <v/>
      </c>
      <c r="AE3171" t="str">
        <f>IF(AA3171="","",'Procyclean 600'!K173)</f>
        <v/>
      </c>
      <c r="AF3171">
        <f t="shared" si="311"/>
        <v>0</v>
      </c>
      <c r="AG3171" t="str">
        <f t="shared" si="312"/>
        <v/>
      </c>
      <c r="AH3171" t="str">
        <f t="shared" si="313"/>
        <v/>
      </c>
      <c r="AI3171">
        <f t="shared" si="314"/>
        <v>0</v>
      </c>
      <c r="AJ3171">
        <f t="shared" si="315"/>
        <v>0</v>
      </c>
      <c r="AK3171">
        <v>0</v>
      </c>
      <c r="AL3171" t="str">
        <f>IF(AA3171="","",IFERROR(IF(ISNUMBER('Procyclean 600'!E173),'Procyclean 600'!E173,IF(ISNUMBER(SEARCH("12",'Procyclean 600'!E173)),EDATE(AB3171,12),IF(ISNUMBER(SEARCH("6",'Procyclean 600'!E173)),EDATE(AB3171,6),IF(ISNUMBER(SEARCH("3",'Procyclean 600'!E173)),EDATE(AB3171,3),DATEVALUE('Procyclean 600'!E173))))),""))</f>
        <v/>
      </c>
      <c r="AM3171" t="str">
        <f t="shared" ca="1" si="316"/>
        <v/>
      </c>
    </row>
    <row r="3172" spans="27:39" x14ac:dyDescent="0.3">
      <c r="AA3172" t="str">
        <f>IF(COUNTA('Procyclean 600'!B174,'Procyclean 600'!C174,'Procyclean 600'!D174)&gt;0,"600","")</f>
        <v/>
      </c>
      <c r="AB3172" t="str">
        <f>IFERROR(IF(ISNUMBER('Procyclean 600'!B174),'Procyclean 600'!B174,DATEVALUE('Procyclean 600'!B174)),"")</f>
        <v/>
      </c>
      <c r="AC3172" t="str">
        <f>IF(AA3172="","",'Procyclean 600'!C174)</f>
        <v/>
      </c>
      <c r="AD3172" t="str">
        <f>IF(AA3172="","",IFERROR(1*'Procyclean 600'!D174,IFERROR(_xludf.NUMBERVALUE('Procyclean 600'!D174,".",","),IFERROR(_xludf.NUMBERVALUE('Procyclean 600'!D174,",","."),0))))</f>
        <v/>
      </c>
      <c r="AE3172" t="str">
        <f>IF(AA3172="","",'Procyclean 600'!K174)</f>
        <v/>
      </c>
      <c r="AF3172">
        <f t="shared" si="311"/>
        <v>0</v>
      </c>
      <c r="AG3172" t="str">
        <f t="shared" si="312"/>
        <v/>
      </c>
      <c r="AH3172" t="str">
        <f t="shared" si="313"/>
        <v/>
      </c>
      <c r="AI3172">
        <f t="shared" si="314"/>
        <v>0</v>
      </c>
      <c r="AJ3172">
        <f t="shared" si="315"/>
        <v>0</v>
      </c>
      <c r="AK3172">
        <v>0</v>
      </c>
      <c r="AL3172" t="str">
        <f>IF(AA3172="","",IFERROR(IF(ISNUMBER('Procyclean 600'!E174),'Procyclean 600'!E174,IF(ISNUMBER(SEARCH("12",'Procyclean 600'!E174)),EDATE(AB3172,12),IF(ISNUMBER(SEARCH("6",'Procyclean 600'!E174)),EDATE(AB3172,6),IF(ISNUMBER(SEARCH("3",'Procyclean 600'!E174)),EDATE(AB3172,3),DATEVALUE('Procyclean 600'!E174))))),""))</f>
        <v/>
      </c>
      <c r="AM3172" t="str">
        <f t="shared" ca="1" si="316"/>
        <v/>
      </c>
    </row>
    <row r="3173" spans="27:39" x14ac:dyDescent="0.3">
      <c r="AA3173" t="str">
        <f>IF(COUNTA('Procyclean 600'!B175,'Procyclean 600'!C175,'Procyclean 600'!D175)&gt;0,"600","")</f>
        <v/>
      </c>
      <c r="AB3173" t="str">
        <f>IFERROR(IF(ISNUMBER('Procyclean 600'!B175),'Procyclean 600'!B175,DATEVALUE('Procyclean 600'!B175)),"")</f>
        <v/>
      </c>
      <c r="AC3173" t="str">
        <f>IF(AA3173="","",'Procyclean 600'!C175)</f>
        <v/>
      </c>
      <c r="AD3173" t="str">
        <f>IF(AA3173="","",IFERROR(1*'Procyclean 600'!D175,IFERROR(_xludf.NUMBERVALUE('Procyclean 600'!D175,".",","),IFERROR(_xludf.NUMBERVALUE('Procyclean 600'!D175,",","."),0))))</f>
        <v/>
      </c>
      <c r="AE3173" t="str">
        <f>IF(AA3173="","",'Procyclean 600'!K175)</f>
        <v/>
      </c>
      <c r="AF3173">
        <f t="shared" si="311"/>
        <v>0</v>
      </c>
      <c r="AG3173" t="str">
        <f t="shared" si="312"/>
        <v/>
      </c>
      <c r="AH3173" t="str">
        <f t="shared" si="313"/>
        <v/>
      </c>
      <c r="AI3173">
        <f t="shared" si="314"/>
        <v>0</v>
      </c>
      <c r="AJ3173">
        <f t="shared" si="315"/>
        <v>0</v>
      </c>
      <c r="AK3173">
        <v>0</v>
      </c>
      <c r="AL3173" t="str">
        <f>IF(AA3173="","",IFERROR(IF(ISNUMBER('Procyclean 600'!E175),'Procyclean 600'!E175,IF(ISNUMBER(SEARCH("12",'Procyclean 600'!E175)),EDATE(AB3173,12),IF(ISNUMBER(SEARCH("6",'Procyclean 600'!E175)),EDATE(AB3173,6),IF(ISNUMBER(SEARCH("3",'Procyclean 600'!E175)),EDATE(AB3173,3),DATEVALUE('Procyclean 600'!E175))))),""))</f>
        <v/>
      </c>
      <c r="AM3173" t="str">
        <f t="shared" ca="1" si="316"/>
        <v/>
      </c>
    </row>
    <row r="3174" spans="27:39" x14ac:dyDescent="0.3">
      <c r="AA3174" t="str">
        <f>IF(COUNTA('Procyclean 600'!B176,'Procyclean 600'!C176,'Procyclean 600'!D176)&gt;0,"600","")</f>
        <v/>
      </c>
      <c r="AB3174" t="str">
        <f>IFERROR(IF(ISNUMBER('Procyclean 600'!B176),'Procyclean 600'!B176,DATEVALUE('Procyclean 600'!B176)),"")</f>
        <v/>
      </c>
      <c r="AC3174" t="str">
        <f>IF(AA3174="","",'Procyclean 600'!C176)</f>
        <v/>
      </c>
      <c r="AD3174" t="str">
        <f>IF(AA3174="","",IFERROR(1*'Procyclean 600'!D176,IFERROR(_xludf.NUMBERVALUE('Procyclean 600'!D176,".",","),IFERROR(_xludf.NUMBERVALUE('Procyclean 600'!D176,",","."),0))))</f>
        <v/>
      </c>
      <c r="AE3174" t="str">
        <f>IF(AA3174="","",'Procyclean 600'!K176)</f>
        <v/>
      </c>
      <c r="AF3174">
        <f t="shared" si="311"/>
        <v>0</v>
      </c>
      <c r="AG3174" t="str">
        <f t="shared" si="312"/>
        <v/>
      </c>
      <c r="AH3174" t="str">
        <f t="shared" si="313"/>
        <v/>
      </c>
      <c r="AI3174">
        <f t="shared" si="314"/>
        <v>0</v>
      </c>
      <c r="AJ3174">
        <f t="shared" si="315"/>
        <v>0</v>
      </c>
      <c r="AK3174">
        <v>0</v>
      </c>
      <c r="AL3174" t="str">
        <f>IF(AA3174="","",IFERROR(IF(ISNUMBER('Procyclean 600'!E176),'Procyclean 600'!E176,IF(ISNUMBER(SEARCH("12",'Procyclean 600'!E176)),EDATE(AB3174,12),IF(ISNUMBER(SEARCH("6",'Procyclean 600'!E176)),EDATE(AB3174,6),IF(ISNUMBER(SEARCH("3",'Procyclean 600'!E176)),EDATE(AB3174,3),DATEVALUE('Procyclean 600'!E176))))),""))</f>
        <v/>
      </c>
      <c r="AM3174" t="str">
        <f t="shared" ca="1" si="316"/>
        <v/>
      </c>
    </row>
    <row r="3175" spans="27:39" x14ac:dyDescent="0.3">
      <c r="AA3175" t="str">
        <f>IF(COUNTA('Procyclean 600'!B177,'Procyclean 600'!C177,'Procyclean 600'!D177)&gt;0,"600","")</f>
        <v/>
      </c>
      <c r="AB3175" t="str">
        <f>IFERROR(IF(ISNUMBER('Procyclean 600'!B177),'Procyclean 600'!B177,DATEVALUE('Procyclean 600'!B177)),"")</f>
        <v/>
      </c>
      <c r="AC3175" t="str">
        <f>IF(AA3175="","",'Procyclean 600'!C177)</f>
        <v/>
      </c>
      <c r="AD3175" t="str">
        <f>IF(AA3175="","",IFERROR(1*'Procyclean 600'!D177,IFERROR(_xludf.NUMBERVALUE('Procyclean 600'!D177,".",","),IFERROR(_xludf.NUMBERVALUE('Procyclean 600'!D177,",","."),0))))</f>
        <v/>
      </c>
      <c r="AE3175" t="str">
        <f>IF(AA3175="","",'Procyclean 600'!K177)</f>
        <v/>
      </c>
      <c r="AF3175">
        <f t="shared" si="311"/>
        <v>0</v>
      </c>
      <c r="AG3175" t="str">
        <f t="shared" si="312"/>
        <v/>
      </c>
      <c r="AH3175" t="str">
        <f t="shared" si="313"/>
        <v/>
      </c>
      <c r="AI3175">
        <f t="shared" si="314"/>
        <v>0</v>
      </c>
      <c r="AJ3175">
        <f t="shared" si="315"/>
        <v>0</v>
      </c>
      <c r="AK3175">
        <v>0</v>
      </c>
      <c r="AL3175" t="str">
        <f>IF(AA3175="","",IFERROR(IF(ISNUMBER('Procyclean 600'!E177),'Procyclean 600'!E177,IF(ISNUMBER(SEARCH("12",'Procyclean 600'!E177)),EDATE(AB3175,12),IF(ISNUMBER(SEARCH("6",'Procyclean 600'!E177)),EDATE(AB3175,6),IF(ISNUMBER(SEARCH("3",'Procyclean 600'!E177)),EDATE(AB3175,3),DATEVALUE('Procyclean 600'!E177))))),""))</f>
        <v/>
      </c>
      <c r="AM3175" t="str">
        <f t="shared" ca="1" si="316"/>
        <v/>
      </c>
    </row>
    <row r="3176" spans="27:39" x14ac:dyDescent="0.3">
      <c r="AA3176" t="str">
        <f>IF(COUNTA('Procyclean 600'!B178,'Procyclean 600'!C178,'Procyclean 600'!D178)&gt;0,"600","")</f>
        <v/>
      </c>
      <c r="AB3176" t="str">
        <f>IFERROR(IF(ISNUMBER('Procyclean 600'!B178),'Procyclean 600'!B178,DATEVALUE('Procyclean 600'!B178)),"")</f>
        <v/>
      </c>
      <c r="AC3176" t="str">
        <f>IF(AA3176="","",'Procyclean 600'!C178)</f>
        <v/>
      </c>
      <c r="AD3176" t="str">
        <f>IF(AA3176="","",IFERROR(1*'Procyclean 600'!D178,IFERROR(_xludf.NUMBERVALUE('Procyclean 600'!D178,".",","),IFERROR(_xludf.NUMBERVALUE('Procyclean 600'!D178,",","."),0))))</f>
        <v/>
      </c>
      <c r="AE3176" t="str">
        <f>IF(AA3176="","",'Procyclean 600'!K178)</f>
        <v/>
      </c>
      <c r="AF3176">
        <f t="shared" si="311"/>
        <v>0</v>
      </c>
      <c r="AG3176" t="str">
        <f t="shared" si="312"/>
        <v/>
      </c>
      <c r="AH3176" t="str">
        <f t="shared" si="313"/>
        <v/>
      </c>
      <c r="AI3176">
        <f t="shared" si="314"/>
        <v>0</v>
      </c>
      <c r="AJ3176">
        <f t="shared" si="315"/>
        <v>0</v>
      </c>
      <c r="AK3176">
        <v>0</v>
      </c>
      <c r="AL3176" t="str">
        <f>IF(AA3176="","",IFERROR(IF(ISNUMBER('Procyclean 600'!E178),'Procyclean 600'!E178,IF(ISNUMBER(SEARCH("12",'Procyclean 600'!E178)),EDATE(AB3176,12),IF(ISNUMBER(SEARCH("6",'Procyclean 600'!E178)),EDATE(AB3176,6),IF(ISNUMBER(SEARCH("3",'Procyclean 600'!E178)),EDATE(AB3176,3),DATEVALUE('Procyclean 600'!E178))))),""))</f>
        <v/>
      </c>
      <c r="AM3176" t="str">
        <f t="shared" ca="1" si="316"/>
        <v/>
      </c>
    </row>
    <row r="3177" spans="27:39" x14ac:dyDescent="0.3">
      <c r="AA3177" t="str">
        <f>IF(COUNTA('Procyclean 600'!B179,'Procyclean 600'!C179,'Procyclean 600'!D179)&gt;0,"600","")</f>
        <v/>
      </c>
      <c r="AB3177" t="str">
        <f>IFERROR(IF(ISNUMBER('Procyclean 600'!B179),'Procyclean 600'!B179,DATEVALUE('Procyclean 600'!B179)),"")</f>
        <v/>
      </c>
      <c r="AC3177" t="str">
        <f>IF(AA3177="","",'Procyclean 600'!C179)</f>
        <v/>
      </c>
      <c r="AD3177" t="str">
        <f>IF(AA3177="","",IFERROR(1*'Procyclean 600'!D179,IFERROR(_xludf.NUMBERVALUE('Procyclean 600'!D179,".",","),IFERROR(_xludf.NUMBERVALUE('Procyclean 600'!D179,",","."),0))))</f>
        <v/>
      </c>
      <c r="AE3177" t="str">
        <f>IF(AA3177="","",'Procyclean 600'!K179)</f>
        <v/>
      </c>
      <c r="AF3177">
        <f t="shared" si="311"/>
        <v>0</v>
      </c>
      <c r="AG3177" t="str">
        <f t="shared" si="312"/>
        <v/>
      </c>
      <c r="AH3177" t="str">
        <f t="shared" si="313"/>
        <v/>
      </c>
      <c r="AI3177">
        <f t="shared" si="314"/>
        <v>0</v>
      </c>
      <c r="AJ3177">
        <f t="shared" si="315"/>
        <v>0</v>
      </c>
      <c r="AK3177">
        <v>0</v>
      </c>
      <c r="AL3177" t="str">
        <f>IF(AA3177="","",IFERROR(IF(ISNUMBER('Procyclean 600'!E179),'Procyclean 600'!E179,IF(ISNUMBER(SEARCH("12",'Procyclean 600'!E179)),EDATE(AB3177,12),IF(ISNUMBER(SEARCH("6",'Procyclean 600'!E179)),EDATE(AB3177,6),IF(ISNUMBER(SEARCH("3",'Procyclean 600'!E179)),EDATE(AB3177,3),DATEVALUE('Procyclean 600'!E179))))),""))</f>
        <v/>
      </c>
      <c r="AM3177" t="str">
        <f t="shared" ca="1" si="316"/>
        <v/>
      </c>
    </row>
    <row r="3178" spans="27:39" x14ac:dyDescent="0.3">
      <c r="AA3178" t="str">
        <f>IF(COUNTA('Procyclean 600'!B180,'Procyclean 600'!C180,'Procyclean 600'!D180)&gt;0,"600","")</f>
        <v/>
      </c>
      <c r="AB3178" t="str">
        <f>IFERROR(IF(ISNUMBER('Procyclean 600'!B180),'Procyclean 600'!B180,DATEVALUE('Procyclean 600'!B180)),"")</f>
        <v/>
      </c>
      <c r="AC3178" t="str">
        <f>IF(AA3178="","",'Procyclean 600'!C180)</f>
        <v/>
      </c>
      <c r="AD3178" t="str">
        <f>IF(AA3178="","",IFERROR(1*'Procyclean 600'!D180,IFERROR(_xludf.NUMBERVALUE('Procyclean 600'!D180,".",","),IFERROR(_xludf.NUMBERVALUE('Procyclean 600'!D180,",","."),0))))</f>
        <v/>
      </c>
      <c r="AE3178" t="str">
        <f>IF(AA3178="","",'Procyclean 600'!K180)</f>
        <v/>
      </c>
      <c r="AF3178">
        <f t="shared" si="311"/>
        <v>0</v>
      </c>
      <c r="AG3178" t="str">
        <f t="shared" si="312"/>
        <v/>
      </c>
      <c r="AH3178" t="str">
        <f t="shared" si="313"/>
        <v/>
      </c>
      <c r="AI3178">
        <f t="shared" si="314"/>
        <v>0</v>
      </c>
      <c r="AJ3178">
        <f t="shared" si="315"/>
        <v>0</v>
      </c>
      <c r="AK3178">
        <v>0</v>
      </c>
      <c r="AL3178" t="str">
        <f>IF(AA3178="","",IFERROR(IF(ISNUMBER('Procyclean 600'!E180),'Procyclean 600'!E180,IF(ISNUMBER(SEARCH("12",'Procyclean 600'!E180)),EDATE(AB3178,12),IF(ISNUMBER(SEARCH("6",'Procyclean 600'!E180)),EDATE(AB3178,6),IF(ISNUMBER(SEARCH("3",'Procyclean 600'!E180)),EDATE(AB3178,3),DATEVALUE('Procyclean 600'!E180))))),""))</f>
        <v/>
      </c>
      <c r="AM3178" t="str">
        <f t="shared" ca="1" si="316"/>
        <v/>
      </c>
    </row>
    <row r="3179" spans="27:39" x14ac:dyDescent="0.3">
      <c r="AA3179" t="str">
        <f>IF(COUNTA('Procyclean 600'!B181,'Procyclean 600'!C181,'Procyclean 600'!D181)&gt;0,"600","")</f>
        <v/>
      </c>
      <c r="AB3179" t="str">
        <f>IFERROR(IF(ISNUMBER('Procyclean 600'!B181),'Procyclean 600'!B181,DATEVALUE('Procyclean 600'!B181)),"")</f>
        <v/>
      </c>
      <c r="AC3179" t="str">
        <f>IF(AA3179="","",'Procyclean 600'!C181)</f>
        <v/>
      </c>
      <c r="AD3179" t="str">
        <f>IF(AA3179="","",IFERROR(1*'Procyclean 600'!D181,IFERROR(_xludf.NUMBERVALUE('Procyclean 600'!D181,".",","),IFERROR(_xludf.NUMBERVALUE('Procyclean 600'!D181,",","."),0))))</f>
        <v/>
      </c>
      <c r="AE3179" t="str">
        <f>IF(AA3179="","",'Procyclean 600'!K181)</f>
        <v/>
      </c>
      <c r="AF3179">
        <f t="shared" si="311"/>
        <v>0</v>
      </c>
      <c r="AG3179" t="str">
        <f t="shared" si="312"/>
        <v/>
      </c>
      <c r="AH3179" t="str">
        <f t="shared" si="313"/>
        <v/>
      </c>
      <c r="AI3179">
        <f t="shared" si="314"/>
        <v>0</v>
      </c>
      <c r="AJ3179">
        <f t="shared" si="315"/>
        <v>0</v>
      </c>
      <c r="AK3179">
        <v>0</v>
      </c>
      <c r="AL3179" t="str">
        <f>IF(AA3179="","",IFERROR(IF(ISNUMBER('Procyclean 600'!E181),'Procyclean 600'!E181,IF(ISNUMBER(SEARCH("12",'Procyclean 600'!E181)),EDATE(AB3179,12),IF(ISNUMBER(SEARCH("6",'Procyclean 600'!E181)),EDATE(AB3179,6),IF(ISNUMBER(SEARCH("3",'Procyclean 600'!E181)),EDATE(AB3179,3),DATEVALUE('Procyclean 600'!E181))))),""))</f>
        <v/>
      </c>
      <c r="AM3179" t="str">
        <f t="shared" ca="1" si="316"/>
        <v/>
      </c>
    </row>
    <row r="3180" spans="27:39" x14ac:dyDescent="0.3">
      <c r="AA3180" t="str">
        <f>IF(COUNTA('Procyclean 600'!B182,'Procyclean 600'!C182,'Procyclean 600'!D182)&gt;0,"600","")</f>
        <v/>
      </c>
      <c r="AB3180" t="str">
        <f>IFERROR(IF(ISNUMBER('Procyclean 600'!B182),'Procyclean 600'!B182,DATEVALUE('Procyclean 600'!B182)),"")</f>
        <v/>
      </c>
      <c r="AC3180" t="str">
        <f>IF(AA3180="","",'Procyclean 600'!C182)</f>
        <v/>
      </c>
      <c r="AD3180" t="str">
        <f>IF(AA3180="","",IFERROR(1*'Procyclean 600'!D182,IFERROR(_xludf.NUMBERVALUE('Procyclean 600'!D182,".",","),IFERROR(_xludf.NUMBERVALUE('Procyclean 600'!D182,",","."),0))))</f>
        <v/>
      </c>
      <c r="AE3180" t="str">
        <f>IF(AA3180="","",'Procyclean 600'!K182)</f>
        <v/>
      </c>
      <c r="AF3180">
        <f t="shared" si="311"/>
        <v>0</v>
      </c>
      <c r="AG3180" t="str">
        <f t="shared" si="312"/>
        <v/>
      </c>
      <c r="AH3180" t="str">
        <f t="shared" si="313"/>
        <v/>
      </c>
      <c r="AI3180">
        <f t="shared" si="314"/>
        <v>0</v>
      </c>
      <c r="AJ3180">
        <f t="shared" si="315"/>
        <v>0</v>
      </c>
      <c r="AK3180">
        <v>0</v>
      </c>
      <c r="AL3180" t="str">
        <f>IF(AA3180="","",IFERROR(IF(ISNUMBER('Procyclean 600'!E182),'Procyclean 600'!E182,IF(ISNUMBER(SEARCH("12",'Procyclean 600'!E182)),EDATE(AB3180,12),IF(ISNUMBER(SEARCH("6",'Procyclean 600'!E182)),EDATE(AB3180,6),IF(ISNUMBER(SEARCH("3",'Procyclean 600'!E182)),EDATE(AB3180,3),DATEVALUE('Procyclean 600'!E182))))),""))</f>
        <v/>
      </c>
      <c r="AM3180" t="str">
        <f t="shared" ca="1" si="316"/>
        <v/>
      </c>
    </row>
    <row r="3181" spans="27:39" x14ac:dyDescent="0.3">
      <c r="AA3181" t="str">
        <f>IF(COUNTA('Procyclean 600'!B183,'Procyclean 600'!C183,'Procyclean 600'!D183)&gt;0,"600","")</f>
        <v/>
      </c>
      <c r="AB3181" t="str">
        <f>IFERROR(IF(ISNUMBER('Procyclean 600'!B183),'Procyclean 600'!B183,DATEVALUE('Procyclean 600'!B183)),"")</f>
        <v/>
      </c>
      <c r="AC3181" t="str">
        <f>IF(AA3181="","",'Procyclean 600'!C183)</f>
        <v/>
      </c>
      <c r="AD3181" t="str">
        <f>IF(AA3181="","",IFERROR(1*'Procyclean 600'!D183,IFERROR(_xludf.NUMBERVALUE('Procyclean 600'!D183,".",","),IFERROR(_xludf.NUMBERVALUE('Procyclean 600'!D183,",","."),0))))</f>
        <v/>
      </c>
      <c r="AE3181" t="str">
        <f>IF(AA3181="","",'Procyclean 600'!K183)</f>
        <v/>
      </c>
      <c r="AF3181">
        <f t="shared" si="311"/>
        <v>0</v>
      </c>
      <c r="AG3181" t="str">
        <f t="shared" si="312"/>
        <v/>
      </c>
      <c r="AH3181" t="str">
        <f t="shared" si="313"/>
        <v/>
      </c>
      <c r="AI3181">
        <f t="shared" si="314"/>
        <v>0</v>
      </c>
      <c r="AJ3181">
        <f t="shared" si="315"/>
        <v>0</v>
      </c>
      <c r="AK3181">
        <v>0</v>
      </c>
      <c r="AL3181" t="str">
        <f>IF(AA3181="","",IFERROR(IF(ISNUMBER('Procyclean 600'!E183),'Procyclean 600'!E183,IF(ISNUMBER(SEARCH("12",'Procyclean 600'!E183)),EDATE(AB3181,12),IF(ISNUMBER(SEARCH("6",'Procyclean 600'!E183)),EDATE(AB3181,6),IF(ISNUMBER(SEARCH("3",'Procyclean 600'!E183)),EDATE(AB3181,3),DATEVALUE('Procyclean 600'!E183))))),""))</f>
        <v/>
      </c>
      <c r="AM3181" t="str">
        <f t="shared" ca="1" si="316"/>
        <v/>
      </c>
    </row>
    <row r="3182" spans="27:39" x14ac:dyDescent="0.3">
      <c r="AA3182" t="str">
        <f>IF(COUNTA('Procyclean 600'!B184,'Procyclean 600'!C184,'Procyclean 600'!D184)&gt;0,"600","")</f>
        <v/>
      </c>
      <c r="AB3182" t="str">
        <f>IFERROR(IF(ISNUMBER('Procyclean 600'!B184),'Procyclean 600'!B184,DATEVALUE('Procyclean 600'!B184)),"")</f>
        <v/>
      </c>
      <c r="AC3182" t="str">
        <f>IF(AA3182="","",'Procyclean 600'!C184)</f>
        <v/>
      </c>
      <c r="AD3182" t="str">
        <f>IF(AA3182="","",IFERROR(1*'Procyclean 600'!D184,IFERROR(_xludf.NUMBERVALUE('Procyclean 600'!D184,".",","),IFERROR(_xludf.NUMBERVALUE('Procyclean 600'!D184,",","."),0))))</f>
        <v/>
      </c>
      <c r="AE3182" t="str">
        <f>IF(AA3182="","",'Procyclean 600'!K184)</f>
        <v/>
      </c>
      <c r="AF3182">
        <f t="shared" si="311"/>
        <v>0</v>
      </c>
      <c r="AG3182" t="str">
        <f t="shared" si="312"/>
        <v/>
      </c>
      <c r="AH3182" t="str">
        <f t="shared" si="313"/>
        <v/>
      </c>
      <c r="AI3182">
        <f t="shared" si="314"/>
        <v>0</v>
      </c>
      <c r="AJ3182">
        <f t="shared" si="315"/>
        <v>0</v>
      </c>
      <c r="AK3182">
        <v>0</v>
      </c>
      <c r="AL3182" t="str">
        <f>IF(AA3182="","",IFERROR(IF(ISNUMBER('Procyclean 600'!E184),'Procyclean 600'!E184,IF(ISNUMBER(SEARCH("12",'Procyclean 600'!E184)),EDATE(AB3182,12),IF(ISNUMBER(SEARCH("6",'Procyclean 600'!E184)),EDATE(AB3182,6),IF(ISNUMBER(SEARCH("3",'Procyclean 600'!E184)),EDATE(AB3182,3),DATEVALUE('Procyclean 600'!E184))))),""))</f>
        <v/>
      </c>
      <c r="AM3182" t="str">
        <f t="shared" ca="1" si="316"/>
        <v/>
      </c>
    </row>
    <row r="3183" spans="27:39" x14ac:dyDescent="0.3">
      <c r="AA3183" t="str">
        <f>IF(COUNTA('Procyclean 600'!B185,'Procyclean 600'!C185,'Procyclean 600'!D185)&gt;0,"600","")</f>
        <v/>
      </c>
      <c r="AB3183" t="str">
        <f>IFERROR(IF(ISNUMBER('Procyclean 600'!B185),'Procyclean 600'!B185,DATEVALUE('Procyclean 600'!B185)),"")</f>
        <v/>
      </c>
      <c r="AC3183" t="str">
        <f>IF(AA3183="","",'Procyclean 600'!C185)</f>
        <v/>
      </c>
      <c r="AD3183" t="str">
        <f>IF(AA3183="","",IFERROR(1*'Procyclean 600'!D185,IFERROR(_xludf.NUMBERVALUE('Procyclean 600'!D185,".",","),IFERROR(_xludf.NUMBERVALUE('Procyclean 600'!D185,",","."),0))))</f>
        <v/>
      </c>
      <c r="AE3183" t="str">
        <f>IF(AA3183="","",'Procyclean 600'!K185)</f>
        <v/>
      </c>
      <c r="AF3183">
        <f t="shared" si="311"/>
        <v>0</v>
      </c>
      <c r="AG3183" t="str">
        <f t="shared" si="312"/>
        <v/>
      </c>
      <c r="AH3183" t="str">
        <f t="shared" si="313"/>
        <v/>
      </c>
      <c r="AI3183">
        <f t="shared" si="314"/>
        <v>0</v>
      </c>
      <c r="AJ3183">
        <f t="shared" si="315"/>
        <v>0</v>
      </c>
      <c r="AK3183">
        <v>0</v>
      </c>
      <c r="AL3183" t="str">
        <f>IF(AA3183="","",IFERROR(IF(ISNUMBER('Procyclean 600'!E185),'Procyclean 600'!E185,IF(ISNUMBER(SEARCH("12",'Procyclean 600'!E185)),EDATE(AB3183,12),IF(ISNUMBER(SEARCH("6",'Procyclean 600'!E185)),EDATE(AB3183,6),IF(ISNUMBER(SEARCH("3",'Procyclean 600'!E185)),EDATE(AB3183,3),DATEVALUE('Procyclean 600'!E185))))),""))</f>
        <v/>
      </c>
      <c r="AM3183" t="str">
        <f t="shared" ca="1" si="316"/>
        <v/>
      </c>
    </row>
    <row r="3184" spans="27:39" x14ac:dyDescent="0.3">
      <c r="AA3184" t="str">
        <f>IF(COUNTA('Procyclean 600'!B186,'Procyclean 600'!C186,'Procyclean 600'!D186)&gt;0,"600","")</f>
        <v/>
      </c>
      <c r="AB3184" t="str">
        <f>IFERROR(IF(ISNUMBER('Procyclean 600'!B186),'Procyclean 600'!B186,DATEVALUE('Procyclean 600'!B186)),"")</f>
        <v/>
      </c>
      <c r="AC3184" t="str">
        <f>IF(AA3184="","",'Procyclean 600'!C186)</f>
        <v/>
      </c>
      <c r="AD3184" t="str">
        <f>IF(AA3184="","",IFERROR(1*'Procyclean 600'!D186,IFERROR(_xludf.NUMBERVALUE('Procyclean 600'!D186,".",","),IFERROR(_xludf.NUMBERVALUE('Procyclean 600'!D186,",","."),0))))</f>
        <v/>
      </c>
      <c r="AE3184" t="str">
        <f>IF(AA3184="","",'Procyclean 600'!K186)</f>
        <v/>
      </c>
      <c r="AF3184">
        <f t="shared" si="311"/>
        <v>0</v>
      </c>
      <c r="AG3184" t="str">
        <f t="shared" si="312"/>
        <v/>
      </c>
      <c r="AH3184" t="str">
        <f t="shared" si="313"/>
        <v/>
      </c>
      <c r="AI3184">
        <f t="shared" si="314"/>
        <v>0</v>
      </c>
      <c r="AJ3184">
        <f t="shared" si="315"/>
        <v>0</v>
      </c>
      <c r="AK3184">
        <v>0</v>
      </c>
      <c r="AL3184" t="str">
        <f>IF(AA3184="","",IFERROR(IF(ISNUMBER('Procyclean 600'!E186),'Procyclean 600'!E186,IF(ISNUMBER(SEARCH("12",'Procyclean 600'!E186)),EDATE(AB3184,12),IF(ISNUMBER(SEARCH("6",'Procyclean 600'!E186)),EDATE(AB3184,6),IF(ISNUMBER(SEARCH("3",'Procyclean 600'!E186)),EDATE(AB3184,3),DATEVALUE('Procyclean 600'!E186))))),""))</f>
        <v/>
      </c>
      <c r="AM3184" t="str">
        <f t="shared" ca="1" si="316"/>
        <v/>
      </c>
    </row>
    <row r="3185" spans="27:39" x14ac:dyDescent="0.3">
      <c r="AA3185" t="str">
        <f>IF(COUNTA('Procyclean 600'!B187,'Procyclean 600'!C187,'Procyclean 600'!D187)&gt;0,"600","")</f>
        <v/>
      </c>
      <c r="AB3185" t="str">
        <f>IFERROR(IF(ISNUMBER('Procyclean 600'!B187),'Procyclean 600'!B187,DATEVALUE('Procyclean 600'!B187)),"")</f>
        <v/>
      </c>
      <c r="AC3185" t="str">
        <f>IF(AA3185="","",'Procyclean 600'!C187)</f>
        <v/>
      </c>
      <c r="AD3185" t="str">
        <f>IF(AA3185="","",IFERROR(1*'Procyclean 600'!D187,IFERROR(_xludf.NUMBERVALUE('Procyclean 600'!D187,".",","),IFERROR(_xludf.NUMBERVALUE('Procyclean 600'!D187,",","."),0))))</f>
        <v/>
      </c>
      <c r="AE3185" t="str">
        <f>IF(AA3185="","",'Procyclean 600'!K187)</f>
        <v/>
      </c>
      <c r="AF3185">
        <f t="shared" si="311"/>
        <v>0</v>
      </c>
      <c r="AG3185" t="str">
        <f t="shared" si="312"/>
        <v/>
      </c>
      <c r="AH3185" t="str">
        <f t="shared" si="313"/>
        <v/>
      </c>
      <c r="AI3185">
        <f t="shared" si="314"/>
        <v>0</v>
      </c>
      <c r="AJ3185">
        <f t="shared" si="315"/>
        <v>0</v>
      </c>
      <c r="AK3185">
        <v>0</v>
      </c>
      <c r="AL3185" t="str">
        <f>IF(AA3185="","",IFERROR(IF(ISNUMBER('Procyclean 600'!E187),'Procyclean 600'!E187,IF(ISNUMBER(SEARCH("12",'Procyclean 600'!E187)),EDATE(AB3185,12),IF(ISNUMBER(SEARCH("6",'Procyclean 600'!E187)),EDATE(AB3185,6),IF(ISNUMBER(SEARCH("3",'Procyclean 600'!E187)),EDATE(AB3185,3),DATEVALUE('Procyclean 600'!E187))))),""))</f>
        <v/>
      </c>
      <c r="AM3185" t="str">
        <f t="shared" ca="1" si="316"/>
        <v/>
      </c>
    </row>
    <row r="3186" spans="27:39" x14ac:dyDescent="0.3">
      <c r="AA3186" t="str">
        <f>IF(COUNTA('Procyclean 600'!B188,'Procyclean 600'!C188,'Procyclean 600'!D188)&gt;0,"600","")</f>
        <v/>
      </c>
      <c r="AB3186" t="str">
        <f>IFERROR(IF(ISNUMBER('Procyclean 600'!B188),'Procyclean 600'!B188,DATEVALUE('Procyclean 600'!B188)),"")</f>
        <v/>
      </c>
      <c r="AC3186" t="str">
        <f>IF(AA3186="","",'Procyclean 600'!C188)</f>
        <v/>
      </c>
      <c r="AD3186" t="str">
        <f>IF(AA3186="","",IFERROR(1*'Procyclean 600'!D188,IFERROR(_xludf.NUMBERVALUE('Procyclean 600'!D188,".",","),IFERROR(_xludf.NUMBERVALUE('Procyclean 600'!D188,",","."),0))))</f>
        <v/>
      </c>
      <c r="AE3186" t="str">
        <f>IF(AA3186="","",'Procyclean 600'!K188)</f>
        <v/>
      </c>
      <c r="AF3186">
        <f t="shared" si="311"/>
        <v>0</v>
      </c>
      <c r="AG3186" t="str">
        <f t="shared" si="312"/>
        <v/>
      </c>
      <c r="AH3186" t="str">
        <f t="shared" si="313"/>
        <v/>
      </c>
      <c r="AI3186">
        <f t="shared" si="314"/>
        <v>0</v>
      </c>
      <c r="AJ3186">
        <f t="shared" si="315"/>
        <v>0</v>
      </c>
      <c r="AK3186">
        <v>0</v>
      </c>
      <c r="AL3186" t="str">
        <f>IF(AA3186="","",IFERROR(IF(ISNUMBER('Procyclean 600'!E188),'Procyclean 600'!E188,IF(ISNUMBER(SEARCH("12",'Procyclean 600'!E188)),EDATE(AB3186,12),IF(ISNUMBER(SEARCH("6",'Procyclean 600'!E188)),EDATE(AB3186,6),IF(ISNUMBER(SEARCH("3",'Procyclean 600'!E188)),EDATE(AB3186,3),DATEVALUE('Procyclean 600'!E188))))),""))</f>
        <v/>
      </c>
      <c r="AM3186" t="str">
        <f t="shared" ca="1" si="316"/>
        <v/>
      </c>
    </row>
    <row r="3187" spans="27:39" x14ac:dyDescent="0.3">
      <c r="AA3187" t="str">
        <f>IF(COUNTA('Procyclean 600'!B189,'Procyclean 600'!C189,'Procyclean 600'!D189)&gt;0,"600","")</f>
        <v/>
      </c>
      <c r="AB3187" t="str">
        <f>IFERROR(IF(ISNUMBER('Procyclean 600'!B189),'Procyclean 600'!B189,DATEVALUE('Procyclean 600'!B189)),"")</f>
        <v/>
      </c>
      <c r="AC3187" t="str">
        <f>IF(AA3187="","",'Procyclean 600'!C189)</f>
        <v/>
      </c>
      <c r="AD3187" t="str">
        <f>IF(AA3187="","",IFERROR(1*'Procyclean 600'!D189,IFERROR(_xludf.NUMBERVALUE('Procyclean 600'!D189,".",","),IFERROR(_xludf.NUMBERVALUE('Procyclean 600'!D189,",","."),0))))</f>
        <v/>
      </c>
      <c r="AE3187" t="str">
        <f>IF(AA3187="","",'Procyclean 600'!K189)</f>
        <v/>
      </c>
      <c r="AF3187">
        <f t="shared" si="311"/>
        <v>0</v>
      </c>
      <c r="AG3187" t="str">
        <f t="shared" si="312"/>
        <v/>
      </c>
      <c r="AH3187" t="str">
        <f t="shared" si="313"/>
        <v/>
      </c>
      <c r="AI3187">
        <f t="shared" si="314"/>
        <v>0</v>
      </c>
      <c r="AJ3187">
        <f t="shared" si="315"/>
        <v>0</v>
      </c>
      <c r="AK3187">
        <v>0</v>
      </c>
      <c r="AL3187" t="str">
        <f>IF(AA3187="","",IFERROR(IF(ISNUMBER('Procyclean 600'!E189),'Procyclean 600'!E189,IF(ISNUMBER(SEARCH("12",'Procyclean 600'!E189)),EDATE(AB3187,12),IF(ISNUMBER(SEARCH("6",'Procyclean 600'!E189)),EDATE(AB3187,6),IF(ISNUMBER(SEARCH("3",'Procyclean 600'!E189)),EDATE(AB3187,3),DATEVALUE('Procyclean 600'!E189))))),""))</f>
        <v/>
      </c>
      <c r="AM3187" t="str">
        <f t="shared" ca="1" si="316"/>
        <v/>
      </c>
    </row>
    <row r="3188" spans="27:39" x14ac:dyDescent="0.3">
      <c r="AA3188" t="str">
        <f>IF(COUNTA('Procyclean 600'!B190,'Procyclean 600'!C190,'Procyclean 600'!D190)&gt;0,"600","")</f>
        <v/>
      </c>
      <c r="AB3188" t="str">
        <f>IFERROR(IF(ISNUMBER('Procyclean 600'!B190),'Procyclean 600'!B190,DATEVALUE('Procyclean 600'!B190)),"")</f>
        <v/>
      </c>
      <c r="AC3188" t="str">
        <f>IF(AA3188="","",'Procyclean 600'!C190)</f>
        <v/>
      </c>
      <c r="AD3188" t="str">
        <f>IF(AA3188="","",IFERROR(1*'Procyclean 600'!D190,IFERROR(_xludf.NUMBERVALUE('Procyclean 600'!D190,".",","),IFERROR(_xludf.NUMBERVALUE('Procyclean 600'!D190,",","."),0))))</f>
        <v/>
      </c>
      <c r="AE3188" t="str">
        <f>IF(AA3188="","",'Procyclean 600'!K190)</f>
        <v/>
      </c>
      <c r="AF3188">
        <f t="shared" si="311"/>
        <v>0</v>
      </c>
      <c r="AG3188" t="str">
        <f t="shared" si="312"/>
        <v/>
      </c>
      <c r="AH3188" t="str">
        <f t="shared" si="313"/>
        <v/>
      </c>
      <c r="AI3188">
        <f t="shared" si="314"/>
        <v>0</v>
      </c>
      <c r="AJ3188">
        <f t="shared" si="315"/>
        <v>0</v>
      </c>
      <c r="AK3188">
        <v>0</v>
      </c>
      <c r="AL3188" t="str">
        <f>IF(AA3188="","",IFERROR(IF(ISNUMBER('Procyclean 600'!E190),'Procyclean 600'!E190,IF(ISNUMBER(SEARCH("12",'Procyclean 600'!E190)),EDATE(AB3188,12),IF(ISNUMBER(SEARCH("6",'Procyclean 600'!E190)),EDATE(AB3188,6),IF(ISNUMBER(SEARCH("3",'Procyclean 600'!E190)),EDATE(AB3188,3),DATEVALUE('Procyclean 600'!E190))))),""))</f>
        <v/>
      </c>
      <c r="AM3188" t="str">
        <f t="shared" ca="1" si="316"/>
        <v/>
      </c>
    </row>
    <row r="3189" spans="27:39" x14ac:dyDescent="0.3">
      <c r="AA3189" t="str">
        <f>IF(COUNTA('Procyclean 600'!B191,'Procyclean 600'!C191,'Procyclean 600'!D191)&gt;0,"600","")</f>
        <v/>
      </c>
      <c r="AB3189" t="str">
        <f>IFERROR(IF(ISNUMBER('Procyclean 600'!B191),'Procyclean 600'!B191,DATEVALUE('Procyclean 600'!B191)),"")</f>
        <v/>
      </c>
      <c r="AC3189" t="str">
        <f>IF(AA3189="","",'Procyclean 600'!C191)</f>
        <v/>
      </c>
      <c r="AD3189" t="str">
        <f>IF(AA3189="","",IFERROR(1*'Procyclean 600'!D191,IFERROR(_xludf.NUMBERVALUE('Procyclean 600'!D191,".",","),IFERROR(_xludf.NUMBERVALUE('Procyclean 600'!D191,",","."),0))))</f>
        <v/>
      </c>
      <c r="AE3189" t="str">
        <f>IF(AA3189="","",'Procyclean 600'!K191)</f>
        <v/>
      </c>
      <c r="AF3189">
        <f t="shared" si="311"/>
        <v>0</v>
      </c>
      <c r="AG3189" t="str">
        <f t="shared" si="312"/>
        <v/>
      </c>
      <c r="AH3189" t="str">
        <f t="shared" si="313"/>
        <v/>
      </c>
      <c r="AI3189">
        <f t="shared" si="314"/>
        <v>0</v>
      </c>
      <c r="AJ3189">
        <f t="shared" si="315"/>
        <v>0</v>
      </c>
      <c r="AK3189">
        <v>0</v>
      </c>
      <c r="AL3189" t="str">
        <f>IF(AA3189="","",IFERROR(IF(ISNUMBER('Procyclean 600'!E191),'Procyclean 600'!E191,IF(ISNUMBER(SEARCH("12",'Procyclean 600'!E191)),EDATE(AB3189,12),IF(ISNUMBER(SEARCH("6",'Procyclean 600'!E191)),EDATE(AB3189,6),IF(ISNUMBER(SEARCH("3",'Procyclean 600'!E191)),EDATE(AB3189,3),DATEVALUE('Procyclean 600'!E191))))),""))</f>
        <v/>
      </c>
      <c r="AM3189" t="str">
        <f t="shared" ca="1" si="316"/>
        <v/>
      </c>
    </row>
    <row r="3190" spans="27:39" x14ac:dyDescent="0.3">
      <c r="AA3190" t="str">
        <f>IF(COUNTA('Procyclean 600'!B192,'Procyclean 600'!C192,'Procyclean 600'!D192)&gt;0,"600","")</f>
        <v/>
      </c>
      <c r="AB3190" t="str">
        <f>IFERROR(IF(ISNUMBER('Procyclean 600'!B192),'Procyclean 600'!B192,DATEVALUE('Procyclean 600'!B192)),"")</f>
        <v/>
      </c>
      <c r="AC3190" t="str">
        <f>IF(AA3190="","",'Procyclean 600'!C192)</f>
        <v/>
      </c>
      <c r="AD3190" t="str">
        <f>IF(AA3190="","",IFERROR(1*'Procyclean 600'!D192,IFERROR(_xludf.NUMBERVALUE('Procyclean 600'!D192,".",","),IFERROR(_xludf.NUMBERVALUE('Procyclean 600'!D192,",","."),0))))</f>
        <v/>
      </c>
      <c r="AE3190" t="str">
        <f>IF(AA3190="","",'Procyclean 600'!K192)</f>
        <v/>
      </c>
      <c r="AF3190">
        <f t="shared" si="311"/>
        <v>0</v>
      </c>
      <c r="AG3190" t="str">
        <f t="shared" si="312"/>
        <v/>
      </c>
      <c r="AH3190" t="str">
        <f t="shared" si="313"/>
        <v/>
      </c>
      <c r="AI3190">
        <f t="shared" si="314"/>
        <v>0</v>
      </c>
      <c r="AJ3190">
        <f t="shared" si="315"/>
        <v>0</v>
      </c>
      <c r="AK3190">
        <v>0</v>
      </c>
      <c r="AL3190" t="str">
        <f>IF(AA3190="","",IFERROR(IF(ISNUMBER('Procyclean 600'!E192),'Procyclean 600'!E192,IF(ISNUMBER(SEARCH("12",'Procyclean 600'!E192)),EDATE(AB3190,12),IF(ISNUMBER(SEARCH("6",'Procyclean 600'!E192)),EDATE(AB3190,6),IF(ISNUMBER(SEARCH("3",'Procyclean 600'!E192)),EDATE(AB3190,3),DATEVALUE('Procyclean 600'!E192))))),""))</f>
        <v/>
      </c>
      <c r="AM3190" t="str">
        <f t="shared" ca="1" si="316"/>
        <v/>
      </c>
    </row>
    <row r="3191" spans="27:39" x14ac:dyDescent="0.3">
      <c r="AA3191" t="str">
        <f>IF(COUNTA('Procyclean 600'!B193,'Procyclean 600'!C193,'Procyclean 600'!D193)&gt;0,"600","")</f>
        <v/>
      </c>
      <c r="AB3191" t="str">
        <f>IFERROR(IF(ISNUMBER('Procyclean 600'!B193),'Procyclean 600'!B193,DATEVALUE('Procyclean 600'!B193)),"")</f>
        <v/>
      </c>
      <c r="AC3191" t="str">
        <f>IF(AA3191="","",'Procyclean 600'!C193)</f>
        <v/>
      </c>
      <c r="AD3191" t="str">
        <f>IF(AA3191="","",IFERROR(1*'Procyclean 600'!D193,IFERROR(_xludf.NUMBERVALUE('Procyclean 600'!D193,".",","),IFERROR(_xludf.NUMBERVALUE('Procyclean 600'!D193,",","."),0))))</f>
        <v/>
      </c>
      <c r="AE3191" t="str">
        <f>IF(AA3191="","",'Procyclean 600'!K193)</f>
        <v/>
      </c>
      <c r="AF3191">
        <f t="shared" si="311"/>
        <v>0</v>
      </c>
      <c r="AG3191" t="str">
        <f t="shared" si="312"/>
        <v/>
      </c>
      <c r="AH3191" t="str">
        <f t="shared" si="313"/>
        <v/>
      </c>
      <c r="AI3191">
        <f t="shared" si="314"/>
        <v>0</v>
      </c>
      <c r="AJ3191">
        <f t="shared" si="315"/>
        <v>0</v>
      </c>
      <c r="AK3191">
        <v>0</v>
      </c>
      <c r="AL3191" t="str">
        <f>IF(AA3191="","",IFERROR(IF(ISNUMBER('Procyclean 600'!E193),'Procyclean 600'!E193,IF(ISNUMBER(SEARCH("12",'Procyclean 600'!E193)),EDATE(AB3191,12),IF(ISNUMBER(SEARCH("6",'Procyclean 600'!E193)),EDATE(AB3191,6),IF(ISNUMBER(SEARCH("3",'Procyclean 600'!E193)),EDATE(AB3191,3),DATEVALUE('Procyclean 600'!E193))))),""))</f>
        <v/>
      </c>
      <c r="AM3191" t="str">
        <f t="shared" ca="1" si="316"/>
        <v/>
      </c>
    </row>
    <row r="3192" spans="27:39" x14ac:dyDescent="0.3">
      <c r="AA3192" t="str">
        <f>IF(COUNTA('Procyclean 600'!B194,'Procyclean 600'!C194,'Procyclean 600'!D194)&gt;0,"600","")</f>
        <v/>
      </c>
      <c r="AB3192" t="str">
        <f>IFERROR(IF(ISNUMBER('Procyclean 600'!B194),'Procyclean 600'!B194,DATEVALUE('Procyclean 600'!B194)),"")</f>
        <v/>
      </c>
      <c r="AC3192" t="str">
        <f>IF(AA3192="","",'Procyclean 600'!C194)</f>
        <v/>
      </c>
      <c r="AD3192" t="str">
        <f>IF(AA3192="","",IFERROR(1*'Procyclean 600'!D194,IFERROR(_xludf.NUMBERVALUE('Procyclean 600'!D194,".",","),IFERROR(_xludf.NUMBERVALUE('Procyclean 600'!D194,",","."),0))))</f>
        <v/>
      </c>
      <c r="AE3192" t="str">
        <f>IF(AA3192="","",'Procyclean 600'!K194)</f>
        <v/>
      </c>
      <c r="AF3192">
        <f t="shared" si="311"/>
        <v>0</v>
      </c>
      <c r="AG3192" t="str">
        <f t="shared" si="312"/>
        <v/>
      </c>
      <c r="AH3192" t="str">
        <f t="shared" si="313"/>
        <v/>
      </c>
      <c r="AI3192">
        <f t="shared" si="314"/>
        <v>0</v>
      </c>
      <c r="AJ3192">
        <f t="shared" si="315"/>
        <v>0</v>
      </c>
      <c r="AK3192">
        <v>0</v>
      </c>
      <c r="AL3192" t="str">
        <f>IF(AA3192="","",IFERROR(IF(ISNUMBER('Procyclean 600'!E194),'Procyclean 600'!E194,IF(ISNUMBER(SEARCH("12",'Procyclean 600'!E194)),EDATE(AB3192,12),IF(ISNUMBER(SEARCH("6",'Procyclean 600'!E194)),EDATE(AB3192,6),IF(ISNUMBER(SEARCH("3",'Procyclean 600'!E194)),EDATE(AB3192,3),DATEVALUE('Procyclean 600'!E194))))),""))</f>
        <v/>
      </c>
      <c r="AM3192" t="str">
        <f t="shared" ca="1" si="316"/>
        <v/>
      </c>
    </row>
    <row r="3193" spans="27:39" x14ac:dyDescent="0.3">
      <c r="AA3193" t="str">
        <f>IF(COUNTA('Procyclean 600'!B195,'Procyclean 600'!C195,'Procyclean 600'!D195)&gt;0,"600","")</f>
        <v/>
      </c>
      <c r="AB3193" t="str">
        <f>IFERROR(IF(ISNUMBER('Procyclean 600'!B195),'Procyclean 600'!B195,DATEVALUE('Procyclean 600'!B195)),"")</f>
        <v/>
      </c>
      <c r="AC3193" t="str">
        <f>IF(AA3193="","",'Procyclean 600'!C195)</f>
        <v/>
      </c>
      <c r="AD3193" t="str">
        <f>IF(AA3193="","",IFERROR(1*'Procyclean 600'!D195,IFERROR(_xludf.NUMBERVALUE('Procyclean 600'!D195,".",","),IFERROR(_xludf.NUMBERVALUE('Procyclean 600'!D195,",","."),0))))</f>
        <v/>
      </c>
      <c r="AE3193" t="str">
        <f>IF(AA3193="","",'Procyclean 600'!K195)</f>
        <v/>
      </c>
      <c r="AF3193">
        <f t="shared" si="311"/>
        <v>0</v>
      </c>
      <c r="AG3193" t="str">
        <f t="shared" si="312"/>
        <v/>
      </c>
      <c r="AH3193" t="str">
        <f t="shared" si="313"/>
        <v/>
      </c>
      <c r="AI3193">
        <f t="shared" si="314"/>
        <v>0</v>
      </c>
      <c r="AJ3193">
        <f t="shared" si="315"/>
        <v>0</v>
      </c>
      <c r="AK3193">
        <v>0</v>
      </c>
      <c r="AL3193" t="str">
        <f>IF(AA3193="","",IFERROR(IF(ISNUMBER('Procyclean 600'!E195),'Procyclean 600'!E195,IF(ISNUMBER(SEARCH("12",'Procyclean 600'!E195)),EDATE(AB3193,12),IF(ISNUMBER(SEARCH("6",'Procyclean 600'!E195)),EDATE(AB3193,6),IF(ISNUMBER(SEARCH("3",'Procyclean 600'!E195)),EDATE(AB3193,3),DATEVALUE('Procyclean 600'!E195))))),""))</f>
        <v/>
      </c>
      <c r="AM3193" t="str">
        <f t="shared" ca="1" si="316"/>
        <v/>
      </c>
    </row>
    <row r="3194" spans="27:39" x14ac:dyDescent="0.3">
      <c r="AA3194" t="str">
        <f>IF(COUNTA('Procyclean 600'!B196,'Procyclean 600'!C196,'Procyclean 600'!D196)&gt;0,"600","")</f>
        <v/>
      </c>
      <c r="AB3194" t="str">
        <f>IFERROR(IF(ISNUMBER('Procyclean 600'!B196),'Procyclean 600'!B196,DATEVALUE('Procyclean 600'!B196)),"")</f>
        <v/>
      </c>
      <c r="AC3194" t="str">
        <f>IF(AA3194="","",'Procyclean 600'!C196)</f>
        <v/>
      </c>
      <c r="AD3194" t="str">
        <f>IF(AA3194="","",IFERROR(1*'Procyclean 600'!D196,IFERROR(_xludf.NUMBERVALUE('Procyclean 600'!D196,".",","),IFERROR(_xludf.NUMBERVALUE('Procyclean 600'!D196,",","."),0))))</f>
        <v/>
      </c>
      <c r="AE3194" t="str">
        <f>IF(AA3194="","",'Procyclean 600'!K196)</f>
        <v/>
      </c>
      <c r="AF3194">
        <f t="shared" si="311"/>
        <v>0</v>
      </c>
      <c r="AG3194" t="str">
        <f t="shared" si="312"/>
        <v/>
      </c>
      <c r="AH3194" t="str">
        <f t="shared" si="313"/>
        <v/>
      </c>
      <c r="AI3194">
        <f t="shared" si="314"/>
        <v>0</v>
      </c>
      <c r="AJ3194">
        <f t="shared" si="315"/>
        <v>0</v>
      </c>
      <c r="AK3194">
        <v>0</v>
      </c>
      <c r="AL3194" t="str">
        <f>IF(AA3194="","",IFERROR(IF(ISNUMBER('Procyclean 600'!E196),'Procyclean 600'!E196,IF(ISNUMBER(SEARCH("12",'Procyclean 600'!E196)),EDATE(AB3194,12),IF(ISNUMBER(SEARCH("6",'Procyclean 600'!E196)),EDATE(AB3194,6),IF(ISNUMBER(SEARCH("3",'Procyclean 600'!E196)),EDATE(AB3194,3),DATEVALUE('Procyclean 600'!E196))))),""))</f>
        <v/>
      </c>
      <c r="AM3194" t="str">
        <f t="shared" ca="1" si="316"/>
        <v/>
      </c>
    </row>
    <row r="3195" spans="27:39" x14ac:dyDescent="0.3">
      <c r="AA3195" t="str">
        <f>IF(COUNTA('Procyclean 600'!B197,'Procyclean 600'!C197,'Procyclean 600'!D197)&gt;0,"600","")</f>
        <v/>
      </c>
      <c r="AB3195" t="str">
        <f>IFERROR(IF(ISNUMBER('Procyclean 600'!B197),'Procyclean 600'!B197,DATEVALUE('Procyclean 600'!B197)),"")</f>
        <v/>
      </c>
      <c r="AC3195" t="str">
        <f>IF(AA3195="","",'Procyclean 600'!C197)</f>
        <v/>
      </c>
      <c r="AD3195" t="str">
        <f>IF(AA3195="","",IFERROR(1*'Procyclean 600'!D197,IFERROR(_xludf.NUMBERVALUE('Procyclean 600'!D197,".",","),IFERROR(_xludf.NUMBERVALUE('Procyclean 600'!D197,",","."),0))))</f>
        <v/>
      </c>
      <c r="AE3195" t="str">
        <f>IF(AA3195="","",'Procyclean 600'!K197)</f>
        <v/>
      </c>
      <c r="AF3195">
        <f t="shared" si="311"/>
        <v>0</v>
      </c>
      <c r="AG3195" t="str">
        <f t="shared" si="312"/>
        <v/>
      </c>
      <c r="AH3195" t="str">
        <f t="shared" si="313"/>
        <v/>
      </c>
      <c r="AI3195">
        <f t="shared" si="314"/>
        <v>0</v>
      </c>
      <c r="AJ3195">
        <f t="shared" si="315"/>
        <v>0</v>
      </c>
      <c r="AK3195">
        <v>0</v>
      </c>
      <c r="AL3195" t="str">
        <f>IF(AA3195="","",IFERROR(IF(ISNUMBER('Procyclean 600'!E197),'Procyclean 600'!E197,IF(ISNUMBER(SEARCH("12",'Procyclean 600'!E197)),EDATE(AB3195,12),IF(ISNUMBER(SEARCH("6",'Procyclean 600'!E197)),EDATE(AB3195,6),IF(ISNUMBER(SEARCH("3",'Procyclean 600'!E197)),EDATE(AB3195,3),DATEVALUE('Procyclean 600'!E197))))),""))</f>
        <v/>
      </c>
      <c r="AM3195" t="str">
        <f t="shared" ca="1" si="316"/>
        <v/>
      </c>
    </row>
    <row r="3196" spans="27:39" x14ac:dyDescent="0.3">
      <c r="AA3196" t="str">
        <f>IF(COUNTA('Procyclean 600'!B198,'Procyclean 600'!C198,'Procyclean 600'!D198)&gt;0,"600","")</f>
        <v/>
      </c>
      <c r="AB3196" t="str">
        <f>IFERROR(IF(ISNUMBER('Procyclean 600'!B198),'Procyclean 600'!B198,DATEVALUE('Procyclean 600'!B198)),"")</f>
        <v/>
      </c>
      <c r="AC3196" t="str">
        <f>IF(AA3196="","",'Procyclean 600'!C198)</f>
        <v/>
      </c>
      <c r="AD3196" t="str">
        <f>IF(AA3196="","",IFERROR(1*'Procyclean 600'!D198,IFERROR(_xludf.NUMBERVALUE('Procyclean 600'!D198,".",","),IFERROR(_xludf.NUMBERVALUE('Procyclean 600'!D198,",","."),0))))</f>
        <v/>
      </c>
      <c r="AE3196" t="str">
        <f>IF(AA3196="","",'Procyclean 600'!K198)</f>
        <v/>
      </c>
      <c r="AF3196">
        <f t="shared" si="311"/>
        <v>0</v>
      </c>
      <c r="AG3196" t="str">
        <f t="shared" si="312"/>
        <v/>
      </c>
      <c r="AH3196" t="str">
        <f t="shared" si="313"/>
        <v/>
      </c>
      <c r="AI3196">
        <f t="shared" si="314"/>
        <v>0</v>
      </c>
      <c r="AJ3196">
        <f t="shared" si="315"/>
        <v>0</v>
      </c>
      <c r="AK3196">
        <v>0</v>
      </c>
      <c r="AL3196" t="str">
        <f>IF(AA3196="","",IFERROR(IF(ISNUMBER('Procyclean 600'!E198),'Procyclean 600'!E198,IF(ISNUMBER(SEARCH("12",'Procyclean 600'!E198)),EDATE(AB3196,12),IF(ISNUMBER(SEARCH("6",'Procyclean 600'!E198)),EDATE(AB3196,6),IF(ISNUMBER(SEARCH("3",'Procyclean 600'!E198)),EDATE(AB3196,3),DATEVALUE('Procyclean 600'!E198))))),""))</f>
        <v/>
      </c>
      <c r="AM3196" t="str">
        <f t="shared" ca="1" si="316"/>
        <v/>
      </c>
    </row>
    <row r="3197" spans="27:39" x14ac:dyDescent="0.3">
      <c r="AA3197" t="str">
        <f>IF(COUNTA('Procyclean 600'!B199,'Procyclean 600'!C199,'Procyclean 600'!D199)&gt;0,"600","")</f>
        <v/>
      </c>
      <c r="AB3197" t="str">
        <f>IFERROR(IF(ISNUMBER('Procyclean 600'!B199),'Procyclean 600'!B199,DATEVALUE('Procyclean 600'!B199)),"")</f>
        <v/>
      </c>
      <c r="AC3197" t="str">
        <f>IF(AA3197="","",'Procyclean 600'!C199)</f>
        <v/>
      </c>
      <c r="AD3197" t="str">
        <f>IF(AA3197="","",IFERROR(1*'Procyclean 600'!D199,IFERROR(_xludf.NUMBERVALUE('Procyclean 600'!D199,".",","),IFERROR(_xludf.NUMBERVALUE('Procyclean 600'!D199,",","."),0))))</f>
        <v/>
      </c>
      <c r="AE3197" t="str">
        <f>IF(AA3197="","",'Procyclean 600'!K199)</f>
        <v/>
      </c>
      <c r="AF3197">
        <f t="shared" si="311"/>
        <v>0</v>
      </c>
      <c r="AG3197" t="str">
        <f t="shared" si="312"/>
        <v/>
      </c>
      <c r="AH3197" t="str">
        <f t="shared" si="313"/>
        <v/>
      </c>
      <c r="AI3197">
        <f t="shared" si="314"/>
        <v>0</v>
      </c>
      <c r="AJ3197">
        <f t="shared" si="315"/>
        <v>0</v>
      </c>
      <c r="AK3197">
        <v>0</v>
      </c>
      <c r="AL3197" t="str">
        <f>IF(AA3197="","",IFERROR(IF(ISNUMBER('Procyclean 600'!E199),'Procyclean 600'!E199,IF(ISNUMBER(SEARCH("12",'Procyclean 600'!E199)),EDATE(AB3197,12),IF(ISNUMBER(SEARCH("6",'Procyclean 600'!E199)),EDATE(AB3197,6),IF(ISNUMBER(SEARCH("3",'Procyclean 600'!E199)),EDATE(AB3197,3),DATEVALUE('Procyclean 600'!E199))))),""))</f>
        <v/>
      </c>
      <c r="AM3197" t="str">
        <f t="shared" ca="1" si="316"/>
        <v/>
      </c>
    </row>
    <row r="3198" spans="27:39" x14ac:dyDescent="0.3">
      <c r="AA3198" t="str">
        <f>IF(COUNTA('Procyclean 600'!B200,'Procyclean 600'!C200,'Procyclean 600'!D200)&gt;0,"600","")</f>
        <v/>
      </c>
      <c r="AB3198" t="str">
        <f>IFERROR(IF(ISNUMBER('Procyclean 600'!B200),'Procyclean 600'!B200,DATEVALUE('Procyclean 600'!B200)),"")</f>
        <v/>
      </c>
      <c r="AC3198" t="str">
        <f>IF(AA3198="","",'Procyclean 600'!C200)</f>
        <v/>
      </c>
      <c r="AD3198" t="str">
        <f>IF(AA3198="","",IFERROR(1*'Procyclean 600'!D200,IFERROR(_xludf.NUMBERVALUE('Procyclean 600'!D200,".",","),IFERROR(_xludf.NUMBERVALUE('Procyclean 600'!D200,",","."),0))))</f>
        <v/>
      </c>
      <c r="AE3198" t="str">
        <f>IF(AA3198="","",'Procyclean 600'!K200)</f>
        <v/>
      </c>
      <c r="AF3198">
        <f t="shared" si="311"/>
        <v>0</v>
      </c>
      <c r="AG3198" t="str">
        <f t="shared" si="312"/>
        <v/>
      </c>
      <c r="AH3198" t="str">
        <f t="shared" si="313"/>
        <v/>
      </c>
      <c r="AI3198">
        <f t="shared" si="314"/>
        <v>0</v>
      </c>
      <c r="AJ3198">
        <f t="shared" si="315"/>
        <v>0</v>
      </c>
      <c r="AK3198">
        <v>0</v>
      </c>
      <c r="AL3198" t="str">
        <f>IF(AA3198="","",IFERROR(IF(ISNUMBER('Procyclean 600'!E200),'Procyclean 600'!E200,IF(ISNUMBER(SEARCH("12",'Procyclean 600'!E200)),EDATE(AB3198,12),IF(ISNUMBER(SEARCH("6",'Procyclean 600'!E200)),EDATE(AB3198,6),IF(ISNUMBER(SEARCH("3",'Procyclean 600'!E200)),EDATE(AB3198,3),DATEVALUE('Procyclean 600'!E200))))),""))</f>
        <v/>
      </c>
      <c r="AM3198" t="str">
        <f t="shared" ca="1" si="316"/>
        <v/>
      </c>
    </row>
    <row r="3199" spans="27:39" x14ac:dyDescent="0.3">
      <c r="AA3199" t="str">
        <f>IF(COUNTA('Procyclean 600'!B201,'Procyclean 600'!C201,'Procyclean 600'!D201)&gt;0,"600","")</f>
        <v/>
      </c>
      <c r="AB3199" t="str">
        <f>IFERROR(IF(ISNUMBER('Procyclean 600'!B201),'Procyclean 600'!B201,DATEVALUE('Procyclean 600'!B201)),"")</f>
        <v/>
      </c>
      <c r="AC3199" t="str">
        <f>IF(AA3199="","",'Procyclean 600'!C201)</f>
        <v/>
      </c>
      <c r="AD3199" t="str">
        <f>IF(AA3199="","",IFERROR(1*'Procyclean 600'!D201,IFERROR(_xludf.NUMBERVALUE('Procyclean 600'!D201,".",","),IFERROR(_xludf.NUMBERVALUE('Procyclean 600'!D201,",","."),0))))</f>
        <v/>
      </c>
      <c r="AE3199" t="str">
        <f>IF(AA3199="","",'Procyclean 600'!K201)</f>
        <v/>
      </c>
      <c r="AF3199">
        <f t="shared" si="311"/>
        <v>0</v>
      </c>
      <c r="AG3199" t="str">
        <f t="shared" si="312"/>
        <v/>
      </c>
      <c r="AH3199" t="str">
        <f t="shared" si="313"/>
        <v/>
      </c>
      <c r="AI3199">
        <f t="shared" si="314"/>
        <v>0</v>
      </c>
      <c r="AJ3199">
        <f t="shared" si="315"/>
        <v>0</v>
      </c>
      <c r="AK3199">
        <v>0</v>
      </c>
      <c r="AL3199" t="str">
        <f>IF(AA3199="","",IFERROR(IF(ISNUMBER('Procyclean 600'!E201),'Procyclean 600'!E201,IF(ISNUMBER(SEARCH("12",'Procyclean 600'!E201)),EDATE(AB3199,12),IF(ISNUMBER(SEARCH("6",'Procyclean 600'!E201)),EDATE(AB3199,6),IF(ISNUMBER(SEARCH("3",'Procyclean 600'!E201)),EDATE(AB3199,3),DATEVALUE('Procyclean 600'!E201))))),""))</f>
        <v/>
      </c>
      <c r="AM3199" t="str">
        <f t="shared" ca="1" si="316"/>
        <v/>
      </c>
    </row>
    <row r="3200" spans="27:39" x14ac:dyDescent="0.3">
      <c r="AA3200" t="str">
        <f>IF(COUNTA('Procyclean 600'!B202,'Procyclean 600'!C202,'Procyclean 600'!D202)&gt;0,"600","")</f>
        <v/>
      </c>
      <c r="AB3200" t="str">
        <f>IFERROR(IF(ISNUMBER('Procyclean 600'!B202),'Procyclean 600'!B202,DATEVALUE('Procyclean 600'!B202)),"")</f>
        <v/>
      </c>
      <c r="AC3200" t="str">
        <f>IF(AA3200="","",'Procyclean 600'!C202)</f>
        <v/>
      </c>
      <c r="AD3200" t="str">
        <f>IF(AA3200="","",IFERROR(1*'Procyclean 600'!D202,IFERROR(_xludf.NUMBERVALUE('Procyclean 600'!D202,".",","),IFERROR(_xludf.NUMBERVALUE('Procyclean 600'!D202,",","."),0))))</f>
        <v/>
      </c>
      <c r="AE3200" t="str">
        <f>IF(AA3200="","",'Procyclean 600'!K202)</f>
        <v/>
      </c>
      <c r="AF3200">
        <f t="shared" si="311"/>
        <v>0</v>
      </c>
      <c r="AG3200" t="str">
        <f t="shared" si="312"/>
        <v/>
      </c>
      <c r="AH3200" t="str">
        <f t="shared" si="313"/>
        <v/>
      </c>
      <c r="AI3200">
        <f t="shared" si="314"/>
        <v>0</v>
      </c>
      <c r="AJ3200">
        <f t="shared" si="315"/>
        <v>0</v>
      </c>
      <c r="AK3200">
        <v>0</v>
      </c>
      <c r="AL3200" t="str">
        <f>IF(AA3200="","",IFERROR(IF(ISNUMBER('Procyclean 600'!E202),'Procyclean 600'!E202,IF(ISNUMBER(SEARCH("12",'Procyclean 600'!E202)),EDATE(AB3200,12),IF(ISNUMBER(SEARCH("6",'Procyclean 600'!E202)),EDATE(AB3200,6),IF(ISNUMBER(SEARCH("3",'Procyclean 600'!E202)),EDATE(AB3200,3),DATEVALUE('Procyclean 600'!E202))))),""))</f>
        <v/>
      </c>
      <c r="AM3200" t="str">
        <f t="shared" ca="1" si="316"/>
        <v/>
      </c>
    </row>
    <row r="3201" spans="27:39" x14ac:dyDescent="0.3">
      <c r="AA3201" t="str">
        <f>IF(COUNTA('Procyclean 600'!B203,'Procyclean 600'!C203,'Procyclean 600'!D203)&gt;0,"600","")</f>
        <v/>
      </c>
      <c r="AB3201" t="str">
        <f>IFERROR(IF(ISNUMBER('Procyclean 600'!B203),'Procyclean 600'!B203,DATEVALUE('Procyclean 600'!B203)),"")</f>
        <v/>
      </c>
      <c r="AC3201" t="str">
        <f>IF(AA3201="","",'Procyclean 600'!C203)</f>
        <v/>
      </c>
      <c r="AD3201" t="str">
        <f>IF(AA3201="","",IFERROR(1*'Procyclean 600'!D203,IFERROR(_xludf.NUMBERVALUE('Procyclean 600'!D203,".",","),IFERROR(_xludf.NUMBERVALUE('Procyclean 600'!D203,",","."),0))))</f>
        <v/>
      </c>
      <c r="AE3201" t="str">
        <f>IF(AA3201="","",'Procyclean 600'!K203)</f>
        <v/>
      </c>
      <c r="AF3201">
        <f t="shared" si="311"/>
        <v>0</v>
      </c>
      <c r="AG3201" t="str">
        <f t="shared" si="312"/>
        <v/>
      </c>
      <c r="AH3201" t="str">
        <f t="shared" si="313"/>
        <v/>
      </c>
      <c r="AI3201">
        <f t="shared" si="314"/>
        <v>0</v>
      </c>
      <c r="AJ3201">
        <f t="shared" si="315"/>
        <v>0</v>
      </c>
      <c r="AK3201">
        <v>0</v>
      </c>
      <c r="AL3201" t="str">
        <f>IF(AA3201="","",IFERROR(IF(ISNUMBER('Procyclean 600'!E203),'Procyclean 600'!E203,IF(ISNUMBER(SEARCH("12",'Procyclean 600'!E203)),EDATE(AB3201,12),IF(ISNUMBER(SEARCH("6",'Procyclean 600'!E203)),EDATE(AB3201,6),IF(ISNUMBER(SEARCH("3",'Procyclean 600'!E203)),EDATE(AB3201,3),DATEVALUE('Procyclean 600'!E203))))),""))</f>
        <v/>
      </c>
      <c r="AM3201" t="str">
        <f t="shared" ca="1" si="316"/>
        <v/>
      </c>
    </row>
    <row r="3202" spans="27:39" x14ac:dyDescent="0.3">
      <c r="AA3202" t="str">
        <f>IF(COUNTA('Procyclean 600'!B204,'Procyclean 600'!C204,'Procyclean 600'!D204)&gt;0,"600","")</f>
        <v/>
      </c>
      <c r="AB3202" t="str">
        <f>IFERROR(IF(ISNUMBER('Procyclean 600'!B204),'Procyclean 600'!B204,DATEVALUE('Procyclean 600'!B204)),"")</f>
        <v/>
      </c>
      <c r="AC3202" t="str">
        <f>IF(AA3202="","",'Procyclean 600'!C204)</f>
        <v/>
      </c>
      <c r="AD3202" t="str">
        <f>IF(AA3202="","",IFERROR(1*'Procyclean 600'!D204,IFERROR(_xludf.NUMBERVALUE('Procyclean 600'!D204,".",","),IFERROR(_xludf.NUMBERVALUE('Procyclean 600'!D204,",","."),0))))</f>
        <v/>
      </c>
      <c r="AE3202" t="str">
        <f>IF(AA3202="","",'Procyclean 600'!K204)</f>
        <v/>
      </c>
      <c r="AF3202">
        <f t="shared" ref="AF3202:AF3265" si="317">IF(AA3202="",0,--AND(ISNUMBER(SEARCH("aprov",AE3202)),NOT(ISNUMBER(SEARCH("reprov",AE3202)))))</f>
        <v>0</v>
      </c>
      <c r="AG3202" t="str">
        <f t="shared" ref="AG3202:AG3265" si="318">IF(AB3202="","",YEAR(AB3202))</f>
        <v/>
      </c>
      <c r="AH3202" t="str">
        <f t="shared" ref="AH3202:AH3265" si="319">IF(AB3202="","",MONTH(AB3202))</f>
        <v/>
      </c>
      <c r="AI3202">
        <f t="shared" ref="AI3202:AI3265" si="320">IF(AB3202="",0,AB3202+ROW()/1000000)</f>
        <v>0</v>
      </c>
      <c r="AJ3202">
        <f t="shared" ref="AJ3202:AJ3265" si="321">--(AA3202&lt;&gt;"")</f>
        <v>0</v>
      </c>
      <c r="AK3202">
        <v>0</v>
      </c>
      <c r="AL3202" t="str">
        <f>IF(AA3202="","",IFERROR(IF(ISNUMBER('Procyclean 600'!E204),'Procyclean 600'!E204,IF(ISNUMBER(SEARCH("12",'Procyclean 600'!E204)),EDATE(AB3202,12),IF(ISNUMBER(SEARCH("6",'Procyclean 600'!E204)),EDATE(AB3202,6),IF(ISNUMBER(SEARCH("3",'Procyclean 600'!E204)),EDATE(AB3202,3),DATEVALUE('Procyclean 600'!E204))))),""))</f>
        <v/>
      </c>
      <c r="AM3202" t="str">
        <f t="shared" ref="AM3202:AM3265" ca="1" si="322">IF(AND(AJ3202=1,AL3202&lt;&gt;"",AL3202&gt;=TODAY(),AG3202=$W$3),AL3202+ROW()/1000000,"")</f>
        <v/>
      </c>
    </row>
    <row r="3203" spans="27:39" x14ac:dyDescent="0.3">
      <c r="AA3203" t="str">
        <f>IF(COUNTA('Procyclean 600'!B205,'Procyclean 600'!C205,'Procyclean 600'!D205)&gt;0,"600","")</f>
        <v/>
      </c>
      <c r="AB3203" t="str">
        <f>IFERROR(IF(ISNUMBER('Procyclean 600'!B205),'Procyclean 600'!B205,DATEVALUE('Procyclean 600'!B205)),"")</f>
        <v/>
      </c>
      <c r="AC3203" t="str">
        <f>IF(AA3203="","",'Procyclean 600'!C205)</f>
        <v/>
      </c>
      <c r="AD3203" t="str">
        <f>IF(AA3203="","",IFERROR(1*'Procyclean 600'!D205,IFERROR(_xludf.NUMBERVALUE('Procyclean 600'!D205,".",","),IFERROR(_xludf.NUMBERVALUE('Procyclean 600'!D205,",","."),0))))</f>
        <v/>
      </c>
      <c r="AE3203" t="str">
        <f>IF(AA3203="","",'Procyclean 600'!K205)</f>
        <v/>
      </c>
      <c r="AF3203">
        <f t="shared" si="317"/>
        <v>0</v>
      </c>
      <c r="AG3203" t="str">
        <f t="shared" si="318"/>
        <v/>
      </c>
      <c r="AH3203" t="str">
        <f t="shared" si="319"/>
        <v/>
      </c>
      <c r="AI3203">
        <f t="shared" si="320"/>
        <v>0</v>
      </c>
      <c r="AJ3203">
        <f t="shared" si="321"/>
        <v>0</v>
      </c>
      <c r="AK3203">
        <v>0</v>
      </c>
      <c r="AL3203" t="str">
        <f>IF(AA3203="","",IFERROR(IF(ISNUMBER('Procyclean 600'!E205),'Procyclean 600'!E205,IF(ISNUMBER(SEARCH("12",'Procyclean 600'!E205)),EDATE(AB3203,12),IF(ISNUMBER(SEARCH("6",'Procyclean 600'!E205)),EDATE(AB3203,6),IF(ISNUMBER(SEARCH("3",'Procyclean 600'!E205)),EDATE(AB3203,3),DATEVALUE('Procyclean 600'!E205))))),""))</f>
        <v/>
      </c>
      <c r="AM3203" t="str">
        <f t="shared" ca="1" si="322"/>
        <v/>
      </c>
    </row>
    <row r="3204" spans="27:39" x14ac:dyDescent="0.3">
      <c r="AA3204" t="str">
        <f>IF(COUNTA('Procyclean 600'!B206,'Procyclean 600'!C206,'Procyclean 600'!D206)&gt;0,"600","")</f>
        <v/>
      </c>
      <c r="AB3204" t="str">
        <f>IFERROR(IF(ISNUMBER('Procyclean 600'!B206),'Procyclean 600'!B206,DATEVALUE('Procyclean 600'!B206)),"")</f>
        <v/>
      </c>
      <c r="AC3204" t="str">
        <f>IF(AA3204="","",'Procyclean 600'!C206)</f>
        <v/>
      </c>
      <c r="AD3204" t="str">
        <f>IF(AA3204="","",IFERROR(1*'Procyclean 600'!D206,IFERROR(_xludf.NUMBERVALUE('Procyclean 600'!D206,".",","),IFERROR(_xludf.NUMBERVALUE('Procyclean 600'!D206,",","."),0))))</f>
        <v/>
      </c>
      <c r="AE3204" t="str">
        <f>IF(AA3204="","",'Procyclean 600'!K206)</f>
        <v/>
      </c>
      <c r="AF3204">
        <f t="shared" si="317"/>
        <v>0</v>
      </c>
      <c r="AG3204" t="str">
        <f t="shared" si="318"/>
        <v/>
      </c>
      <c r="AH3204" t="str">
        <f t="shared" si="319"/>
        <v/>
      </c>
      <c r="AI3204">
        <f t="shared" si="320"/>
        <v>0</v>
      </c>
      <c r="AJ3204">
        <f t="shared" si="321"/>
        <v>0</v>
      </c>
      <c r="AK3204">
        <v>0</v>
      </c>
      <c r="AL3204" t="str">
        <f>IF(AA3204="","",IFERROR(IF(ISNUMBER('Procyclean 600'!E206),'Procyclean 600'!E206,IF(ISNUMBER(SEARCH("12",'Procyclean 600'!E206)),EDATE(AB3204,12),IF(ISNUMBER(SEARCH("6",'Procyclean 600'!E206)),EDATE(AB3204,6),IF(ISNUMBER(SEARCH("3",'Procyclean 600'!E206)),EDATE(AB3204,3),DATEVALUE('Procyclean 600'!E206))))),""))</f>
        <v/>
      </c>
      <c r="AM3204" t="str">
        <f t="shared" ca="1" si="322"/>
        <v/>
      </c>
    </row>
    <row r="3205" spans="27:39" x14ac:dyDescent="0.3">
      <c r="AA3205" t="str">
        <f>IF(COUNTA('Procyclean 600'!B207,'Procyclean 600'!C207,'Procyclean 600'!D207)&gt;0,"600","")</f>
        <v/>
      </c>
      <c r="AB3205" t="str">
        <f>IFERROR(IF(ISNUMBER('Procyclean 600'!B207),'Procyclean 600'!B207,DATEVALUE('Procyclean 600'!B207)),"")</f>
        <v/>
      </c>
      <c r="AC3205" t="str">
        <f>IF(AA3205="","",'Procyclean 600'!C207)</f>
        <v/>
      </c>
      <c r="AD3205" t="str">
        <f>IF(AA3205="","",IFERROR(1*'Procyclean 600'!D207,IFERROR(_xludf.NUMBERVALUE('Procyclean 600'!D207,".",","),IFERROR(_xludf.NUMBERVALUE('Procyclean 600'!D207,",","."),0))))</f>
        <v/>
      </c>
      <c r="AE3205" t="str">
        <f>IF(AA3205="","",'Procyclean 600'!K207)</f>
        <v/>
      </c>
      <c r="AF3205">
        <f t="shared" si="317"/>
        <v>0</v>
      </c>
      <c r="AG3205" t="str">
        <f t="shared" si="318"/>
        <v/>
      </c>
      <c r="AH3205" t="str">
        <f t="shared" si="319"/>
        <v/>
      </c>
      <c r="AI3205">
        <f t="shared" si="320"/>
        <v>0</v>
      </c>
      <c r="AJ3205">
        <f t="shared" si="321"/>
        <v>0</v>
      </c>
      <c r="AK3205">
        <v>0</v>
      </c>
      <c r="AL3205" t="str">
        <f>IF(AA3205="","",IFERROR(IF(ISNUMBER('Procyclean 600'!E207),'Procyclean 600'!E207,IF(ISNUMBER(SEARCH("12",'Procyclean 600'!E207)),EDATE(AB3205,12),IF(ISNUMBER(SEARCH("6",'Procyclean 600'!E207)),EDATE(AB3205,6),IF(ISNUMBER(SEARCH("3",'Procyclean 600'!E207)),EDATE(AB3205,3),DATEVALUE('Procyclean 600'!E207))))),""))</f>
        <v/>
      </c>
      <c r="AM3205" t="str">
        <f t="shared" ca="1" si="322"/>
        <v/>
      </c>
    </row>
    <row r="3206" spans="27:39" x14ac:dyDescent="0.3">
      <c r="AA3206" t="str">
        <f>IF(COUNTA('Procyclean 600'!B208,'Procyclean 600'!C208,'Procyclean 600'!D208)&gt;0,"600","")</f>
        <v/>
      </c>
      <c r="AB3206" t="str">
        <f>IFERROR(IF(ISNUMBER('Procyclean 600'!B208),'Procyclean 600'!B208,DATEVALUE('Procyclean 600'!B208)),"")</f>
        <v/>
      </c>
      <c r="AC3206" t="str">
        <f>IF(AA3206="","",'Procyclean 600'!C208)</f>
        <v/>
      </c>
      <c r="AD3206" t="str">
        <f>IF(AA3206="","",IFERROR(1*'Procyclean 600'!D208,IFERROR(_xludf.NUMBERVALUE('Procyclean 600'!D208,".",","),IFERROR(_xludf.NUMBERVALUE('Procyclean 600'!D208,",","."),0))))</f>
        <v/>
      </c>
      <c r="AE3206" t="str">
        <f>IF(AA3206="","",'Procyclean 600'!K208)</f>
        <v/>
      </c>
      <c r="AF3206">
        <f t="shared" si="317"/>
        <v>0</v>
      </c>
      <c r="AG3206" t="str">
        <f t="shared" si="318"/>
        <v/>
      </c>
      <c r="AH3206" t="str">
        <f t="shared" si="319"/>
        <v/>
      </c>
      <c r="AI3206">
        <f t="shared" si="320"/>
        <v>0</v>
      </c>
      <c r="AJ3206">
        <f t="shared" si="321"/>
        <v>0</v>
      </c>
      <c r="AK3206">
        <v>0</v>
      </c>
      <c r="AL3206" t="str">
        <f>IF(AA3206="","",IFERROR(IF(ISNUMBER('Procyclean 600'!E208),'Procyclean 600'!E208,IF(ISNUMBER(SEARCH("12",'Procyclean 600'!E208)),EDATE(AB3206,12),IF(ISNUMBER(SEARCH("6",'Procyclean 600'!E208)),EDATE(AB3206,6),IF(ISNUMBER(SEARCH("3",'Procyclean 600'!E208)),EDATE(AB3206,3),DATEVALUE('Procyclean 600'!E208))))),""))</f>
        <v/>
      </c>
      <c r="AM3206" t="str">
        <f t="shared" ca="1" si="322"/>
        <v/>
      </c>
    </row>
    <row r="3207" spans="27:39" x14ac:dyDescent="0.3">
      <c r="AA3207" t="str">
        <f>IF(COUNTA('Procyclean 600'!B209,'Procyclean 600'!C209,'Procyclean 600'!D209)&gt;0,"600","")</f>
        <v/>
      </c>
      <c r="AB3207" t="str">
        <f>IFERROR(IF(ISNUMBER('Procyclean 600'!B209),'Procyclean 600'!B209,DATEVALUE('Procyclean 600'!B209)),"")</f>
        <v/>
      </c>
      <c r="AC3207" t="str">
        <f>IF(AA3207="","",'Procyclean 600'!C209)</f>
        <v/>
      </c>
      <c r="AD3207" t="str">
        <f>IF(AA3207="","",IFERROR(1*'Procyclean 600'!D209,IFERROR(_xludf.NUMBERVALUE('Procyclean 600'!D209,".",","),IFERROR(_xludf.NUMBERVALUE('Procyclean 600'!D209,",","."),0))))</f>
        <v/>
      </c>
      <c r="AE3207" t="str">
        <f>IF(AA3207="","",'Procyclean 600'!K209)</f>
        <v/>
      </c>
      <c r="AF3207">
        <f t="shared" si="317"/>
        <v>0</v>
      </c>
      <c r="AG3207" t="str">
        <f t="shared" si="318"/>
        <v/>
      </c>
      <c r="AH3207" t="str">
        <f t="shared" si="319"/>
        <v/>
      </c>
      <c r="AI3207">
        <f t="shared" si="320"/>
        <v>0</v>
      </c>
      <c r="AJ3207">
        <f t="shared" si="321"/>
        <v>0</v>
      </c>
      <c r="AK3207">
        <v>0</v>
      </c>
      <c r="AL3207" t="str">
        <f>IF(AA3207="","",IFERROR(IF(ISNUMBER('Procyclean 600'!E209),'Procyclean 600'!E209,IF(ISNUMBER(SEARCH("12",'Procyclean 600'!E209)),EDATE(AB3207,12),IF(ISNUMBER(SEARCH("6",'Procyclean 600'!E209)),EDATE(AB3207,6),IF(ISNUMBER(SEARCH("3",'Procyclean 600'!E209)),EDATE(AB3207,3),DATEVALUE('Procyclean 600'!E209))))),""))</f>
        <v/>
      </c>
      <c r="AM3207" t="str">
        <f t="shared" ca="1" si="322"/>
        <v/>
      </c>
    </row>
    <row r="3208" spans="27:39" x14ac:dyDescent="0.3">
      <c r="AA3208" t="str">
        <f>IF(COUNTA('Procyclean 600'!B210,'Procyclean 600'!C210,'Procyclean 600'!D210)&gt;0,"600","")</f>
        <v/>
      </c>
      <c r="AB3208" t="str">
        <f>IFERROR(IF(ISNUMBER('Procyclean 600'!B210),'Procyclean 600'!B210,DATEVALUE('Procyclean 600'!B210)),"")</f>
        <v/>
      </c>
      <c r="AC3208" t="str">
        <f>IF(AA3208="","",'Procyclean 600'!C210)</f>
        <v/>
      </c>
      <c r="AD3208" t="str">
        <f>IF(AA3208="","",IFERROR(1*'Procyclean 600'!D210,IFERROR(_xludf.NUMBERVALUE('Procyclean 600'!D210,".",","),IFERROR(_xludf.NUMBERVALUE('Procyclean 600'!D210,",","."),0))))</f>
        <v/>
      </c>
      <c r="AE3208" t="str">
        <f>IF(AA3208="","",'Procyclean 600'!K210)</f>
        <v/>
      </c>
      <c r="AF3208">
        <f t="shared" si="317"/>
        <v>0</v>
      </c>
      <c r="AG3208" t="str">
        <f t="shared" si="318"/>
        <v/>
      </c>
      <c r="AH3208" t="str">
        <f t="shared" si="319"/>
        <v/>
      </c>
      <c r="AI3208">
        <f t="shared" si="320"/>
        <v>0</v>
      </c>
      <c r="AJ3208">
        <f t="shared" si="321"/>
        <v>0</v>
      </c>
      <c r="AK3208">
        <v>0</v>
      </c>
      <c r="AL3208" t="str">
        <f>IF(AA3208="","",IFERROR(IF(ISNUMBER('Procyclean 600'!E210),'Procyclean 600'!E210,IF(ISNUMBER(SEARCH("12",'Procyclean 600'!E210)),EDATE(AB3208,12),IF(ISNUMBER(SEARCH("6",'Procyclean 600'!E210)),EDATE(AB3208,6),IF(ISNUMBER(SEARCH("3",'Procyclean 600'!E210)),EDATE(AB3208,3),DATEVALUE('Procyclean 600'!E210))))),""))</f>
        <v/>
      </c>
      <c r="AM3208" t="str">
        <f t="shared" ca="1" si="322"/>
        <v/>
      </c>
    </row>
    <row r="3209" spans="27:39" x14ac:dyDescent="0.3">
      <c r="AA3209" t="str">
        <f>IF(COUNTA('Procyclean 600'!B211,'Procyclean 600'!C211,'Procyclean 600'!D211)&gt;0,"600","")</f>
        <v/>
      </c>
      <c r="AB3209" t="str">
        <f>IFERROR(IF(ISNUMBER('Procyclean 600'!B211),'Procyclean 600'!B211,DATEVALUE('Procyclean 600'!B211)),"")</f>
        <v/>
      </c>
      <c r="AC3209" t="str">
        <f>IF(AA3209="","",'Procyclean 600'!C211)</f>
        <v/>
      </c>
      <c r="AD3209" t="str">
        <f>IF(AA3209="","",IFERROR(1*'Procyclean 600'!D211,IFERROR(_xludf.NUMBERVALUE('Procyclean 600'!D211,".",","),IFERROR(_xludf.NUMBERVALUE('Procyclean 600'!D211,",","."),0))))</f>
        <v/>
      </c>
      <c r="AE3209" t="str">
        <f>IF(AA3209="","",'Procyclean 600'!K211)</f>
        <v/>
      </c>
      <c r="AF3209">
        <f t="shared" si="317"/>
        <v>0</v>
      </c>
      <c r="AG3209" t="str">
        <f t="shared" si="318"/>
        <v/>
      </c>
      <c r="AH3209" t="str">
        <f t="shared" si="319"/>
        <v/>
      </c>
      <c r="AI3209">
        <f t="shared" si="320"/>
        <v>0</v>
      </c>
      <c r="AJ3209">
        <f t="shared" si="321"/>
        <v>0</v>
      </c>
      <c r="AK3209">
        <v>0</v>
      </c>
      <c r="AL3209" t="str">
        <f>IF(AA3209="","",IFERROR(IF(ISNUMBER('Procyclean 600'!E211),'Procyclean 600'!E211,IF(ISNUMBER(SEARCH("12",'Procyclean 600'!E211)),EDATE(AB3209,12),IF(ISNUMBER(SEARCH("6",'Procyclean 600'!E211)),EDATE(AB3209,6),IF(ISNUMBER(SEARCH("3",'Procyclean 600'!E211)),EDATE(AB3209,3),DATEVALUE('Procyclean 600'!E211))))),""))</f>
        <v/>
      </c>
      <c r="AM3209" t="str">
        <f t="shared" ca="1" si="322"/>
        <v/>
      </c>
    </row>
    <row r="3210" spans="27:39" x14ac:dyDescent="0.3">
      <c r="AA3210" t="str">
        <f>IF(COUNTA('Procyclean 600'!B212,'Procyclean 600'!C212,'Procyclean 600'!D212)&gt;0,"600","")</f>
        <v/>
      </c>
      <c r="AB3210" t="str">
        <f>IFERROR(IF(ISNUMBER('Procyclean 600'!B212),'Procyclean 600'!B212,DATEVALUE('Procyclean 600'!B212)),"")</f>
        <v/>
      </c>
      <c r="AC3210" t="str">
        <f>IF(AA3210="","",'Procyclean 600'!C212)</f>
        <v/>
      </c>
      <c r="AD3210" t="str">
        <f>IF(AA3210="","",IFERROR(1*'Procyclean 600'!D212,IFERROR(_xludf.NUMBERVALUE('Procyclean 600'!D212,".",","),IFERROR(_xludf.NUMBERVALUE('Procyclean 600'!D212,",","."),0))))</f>
        <v/>
      </c>
      <c r="AE3210" t="str">
        <f>IF(AA3210="","",'Procyclean 600'!K212)</f>
        <v/>
      </c>
      <c r="AF3210">
        <f t="shared" si="317"/>
        <v>0</v>
      </c>
      <c r="AG3210" t="str">
        <f t="shared" si="318"/>
        <v/>
      </c>
      <c r="AH3210" t="str">
        <f t="shared" si="319"/>
        <v/>
      </c>
      <c r="AI3210">
        <f t="shared" si="320"/>
        <v>0</v>
      </c>
      <c r="AJ3210">
        <f t="shared" si="321"/>
        <v>0</v>
      </c>
      <c r="AK3210">
        <v>0</v>
      </c>
      <c r="AL3210" t="str">
        <f>IF(AA3210="","",IFERROR(IF(ISNUMBER('Procyclean 600'!E212),'Procyclean 600'!E212,IF(ISNUMBER(SEARCH("12",'Procyclean 600'!E212)),EDATE(AB3210,12),IF(ISNUMBER(SEARCH("6",'Procyclean 600'!E212)),EDATE(AB3210,6),IF(ISNUMBER(SEARCH("3",'Procyclean 600'!E212)),EDATE(AB3210,3),DATEVALUE('Procyclean 600'!E212))))),""))</f>
        <v/>
      </c>
      <c r="AM3210" t="str">
        <f t="shared" ca="1" si="322"/>
        <v/>
      </c>
    </row>
    <row r="3211" spans="27:39" x14ac:dyDescent="0.3">
      <c r="AA3211" t="str">
        <f>IF(COUNTA('Procyclean 600'!B213,'Procyclean 600'!C213,'Procyclean 600'!D213)&gt;0,"600","")</f>
        <v/>
      </c>
      <c r="AB3211" t="str">
        <f>IFERROR(IF(ISNUMBER('Procyclean 600'!B213),'Procyclean 600'!B213,DATEVALUE('Procyclean 600'!B213)),"")</f>
        <v/>
      </c>
      <c r="AC3211" t="str">
        <f>IF(AA3211="","",'Procyclean 600'!C213)</f>
        <v/>
      </c>
      <c r="AD3211" t="str">
        <f>IF(AA3211="","",IFERROR(1*'Procyclean 600'!D213,IFERROR(_xludf.NUMBERVALUE('Procyclean 600'!D213,".",","),IFERROR(_xludf.NUMBERVALUE('Procyclean 600'!D213,",","."),0))))</f>
        <v/>
      </c>
      <c r="AE3211" t="str">
        <f>IF(AA3211="","",'Procyclean 600'!K213)</f>
        <v/>
      </c>
      <c r="AF3211">
        <f t="shared" si="317"/>
        <v>0</v>
      </c>
      <c r="AG3211" t="str">
        <f t="shared" si="318"/>
        <v/>
      </c>
      <c r="AH3211" t="str">
        <f t="shared" si="319"/>
        <v/>
      </c>
      <c r="AI3211">
        <f t="shared" si="320"/>
        <v>0</v>
      </c>
      <c r="AJ3211">
        <f t="shared" si="321"/>
        <v>0</v>
      </c>
      <c r="AK3211">
        <v>0</v>
      </c>
      <c r="AL3211" t="str">
        <f>IF(AA3211="","",IFERROR(IF(ISNUMBER('Procyclean 600'!E213),'Procyclean 600'!E213,IF(ISNUMBER(SEARCH("12",'Procyclean 600'!E213)),EDATE(AB3211,12),IF(ISNUMBER(SEARCH("6",'Procyclean 600'!E213)),EDATE(AB3211,6),IF(ISNUMBER(SEARCH("3",'Procyclean 600'!E213)),EDATE(AB3211,3),DATEVALUE('Procyclean 600'!E213))))),""))</f>
        <v/>
      </c>
      <c r="AM3211" t="str">
        <f t="shared" ca="1" si="322"/>
        <v/>
      </c>
    </row>
    <row r="3212" spans="27:39" x14ac:dyDescent="0.3">
      <c r="AA3212" t="str">
        <f>IF(COUNTA('Procyclean 600'!B214,'Procyclean 600'!C214,'Procyclean 600'!D214)&gt;0,"600","")</f>
        <v/>
      </c>
      <c r="AB3212" t="str">
        <f>IFERROR(IF(ISNUMBER('Procyclean 600'!B214),'Procyclean 600'!B214,DATEVALUE('Procyclean 600'!B214)),"")</f>
        <v/>
      </c>
      <c r="AC3212" t="str">
        <f>IF(AA3212="","",'Procyclean 600'!C214)</f>
        <v/>
      </c>
      <c r="AD3212" t="str">
        <f>IF(AA3212="","",IFERROR(1*'Procyclean 600'!D214,IFERROR(_xludf.NUMBERVALUE('Procyclean 600'!D214,".",","),IFERROR(_xludf.NUMBERVALUE('Procyclean 600'!D214,",","."),0))))</f>
        <v/>
      </c>
      <c r="AE3212" t="str">
        <f>IF(AA3212="","",'Procyclean 600'!K214)</f>
        <v/>
      </c>
      <c r="AF3212">
        <f t="shared" si="317"/>
        <v>0</v>
      </c>
      <c r="AG3212" t="str">
        <f t="shared" si="318"/>
        <v/>
      </c>
      <c r="AH3212" t="str">
        <f t="shared" si="319"/>
        <v/>
      </c>
      <c r="AI3212">
        <f t="shared" si="320"/>
        <v>0</v>
      </c>
      <c r="AJ3212">
        <f t="shared" si="321"/>
        <v>0</v>
      </c>
      <c r="AK3212">
        <v>0</v>
      </c>
      <c r="AL3212" t="str">
        <f>IF(AA3212="","",IFERROR(IF(ISNUMBER('Procyclean 600'!E214),'Procyclean 600'!E214,IF(ISNUMBER(SEARCH("12",'Procyclean 600'!E214)),EDATE(AB3212,12),IF(ISNUMBER(SEARCH("6",'Procyclean 600'!E214)),EDATE(AB3212,6),IF(ISNUMBER(SEARCH("3",'Procyclean 600'!E214)),EDATE(AB3212,3),DATEVALUE('Procyclean 600'!E214))))),""))</f>
        <v/>
      </c>
      <c r="AM3212" t="str">
        <f t="shared" ca="1" si="322"/>
        <v/>
      </c>
    </row>
    <row r="3213" spans="27:39" x14ac:dyDescent="0.3">
      <c r="AA3213" t="str">
        <f>IF(COUNTA('Procyclean 600'!B215,'Procyclean 600'!C215,'Procyclean 600'!D215)&gt;0,"600","")</f>
        <v/>
      </c>
      <c r="AB3213" t="str">
        <f>IFERROR(IF(ISNUMBER('Procyclean 600'!B215),'Procyclean 600'!B215,DATEVALUE('Procyclean 600'!B215)),"")</f>
        <v/>
      </c>
      <c r="AC3213" t="str">
        <f>IF(AA3213="","",'Procyclean 600'!C215)</f>
        <v/>
      </c>
      <c r="AD3213" t="str">
        <f>IF(AA3213="","",IFERROR(1*'Procyclean 600'!D215,IFERROR(_xludf.NUMBERVALUE('Procyclean 600'!D215,".",","),IFERROR(_xludf.NUMBERVALUE('Procyclean 600'!D215,",","."),0))))</f>
        <v/>
      </c>
      <c r="AE3213" t="str">
        <f>IF(AA3213="","",'Procyclean 600'!K215)</f>
        <v/>
      </c>
      <c r="AF3213">
        <f t="shared" si="317"/>
        <v>0</v>
      </c>
      <c r="AG3213" t="str">
        <f t="shared" si="318"/>
        <v/>
      </c>
      <c r="AH3213" t="str">
        <f t="shared" si="319"/>
        <v/>
      </c>
      <c r="AI3213">
        <f t="shared" si="320"/>
        <v>0</v>
      </c>
      <c r="AJ3213">
        <f t="shared" si="321"/>
        <v>0</v>
      </c>
      <c r="AK3213">
        <v>0</v>
      </c>
      <c r="AL3213" t="str">
        <f>IF(AA3213="","",IFERROR(IF(ISNUMBER('Procyclean 600'!E215),'Procyclean 600'!E215,IF(ISNUMBER(SEARCH("12",'Procyclean 600'!E215)),EDATE(AB3213,12),IF(ISNUMBER(SEARCH("6",'Procyclean 600'!E215)),EDATE(AB3213,6),IF(ISNUMBER(SEARCH("3",'Procyclean 600'!E215)),EDATE(AB3213,3),DATEVALUE('Procyclean 600'!E215))))),""))</f>
        <v/>
      </c>
      <c r="AM3213" t="str">
        <f t="shared" ca="1" si="322"/>
        <v/>
      </c>
    </row>
    <row r="3214" spans="27:39" x14ac:dyDescent="0.3">
      <c r="AA3214" t="str">
        <f>IF(COUNTA('Procyclean 600'!B216,'Procyclean 600'!C216,'Procyclean 600'!D216)&gt;0,"600","")</f>
        <v/>
      </c>
      <c r="AB3214" t="str">
        <f>IFERROR(IF(ISNUMBER('Procyclean 600'!B216),'Procyclean 600'!B216,DATEVALUE('Procyclean 600'!B216)),"")</f>
        <v/>
      </c>
      <c r="AC3214" t="str">
        <f>IF(AA3214="","",'Procyclean 600'!C216)</f>
        <v/>
      </c>
      <c r="AD3214" t="str">
        <f>IF(AA3214="","",IFERROR(1*'Procyclean 600'!D216,IFERROR(_xludf.NUMBERVALUE('Procyclean 600'!D216,".",","),IFERROR(_xludf.NUMBERVALUE('Procyclean 600'!D216,",","."),0))))</f>
        <v/>
      </c>
      <c r="AE3214" t="str">
        <f>IF(AA3214="","",'Procyclean 600'!K216)</f>
        <v/>
      </c>
      <c r="AF3214">
        <f t="shared" si="317"/>
        <v>0</v>
      </c>
      <c r="AG3214" t="str">
        <f t="shared" si="318"/>
        <v/>
      </c>
      <c r="AH3214" t="str">
        <f t="shared" si="319"/>
        <v/>
      </c>
      <c r="AI3214">
        <f t="shared" si="320"/>
        <v>0</v>
      </c>
      <c r="AJ3214">
        <f t="shared" si="321"/>
        <v>0</v>
      </c>
      <c r="AK3214">
        <v>0</v>
      </c>
      <c r="AL3214" t="str">
        <f>IF(AA3214="","",IFERROR(IF(ISNUMBER('Procyclean 600'!E216),'Procyclean 600'!E216,IF(ISNUMBER(SEARCH("12",'Procyclean 600'!E216)),EDATE(AB3214,12),IF(ISNUMBER(SEARCH("6",'Procyclean 600'!E216)),EDATE(AB3214,6),IF(ISNUMBER(SEARCH("3",'Procyclean 600'!E216)),EDATE(AB3214,3),DATEVALUE('Procyclean 600'!E216))))),""))</f>
        <v/>
      </c>
      <c r="AM3214" t="str">
        <f t="shared" ca="1" si="322"/>
        <v/>
      </c>
    </row>
    <row r="3215" spans="27:39" x14ac:dyDescent="0.3">
      <c r="AA3215" t="str">
        <f>IF(COUNTA('Procyclean 600'!B217,'Procyclean 600'!C217,'Procyclean 600'!D217)&gt;0,"600","")</f>
        <v/>
      </c>
      <c r="AB3215" t="str">
        <f>IFERROR(IF(ISNUMBER('Procyclean 600'!B217),'Procyclean 600'!B217,DATEVALUE('Procyclean 600'!B217)),"")</f>
        <v/>
      </c>
      <c r="AC3215" t="str">
        <f>IF(AA3215="","",'Procyclean 600'!C217)</f>
        <v/>
      </c>
      <c r="AD3215" t="str">
        <f>IF(AA3215="","",IFERROR(1*'Procyclean 600'!D217,IFERROR(_xludf.NUMBERVALUE('Procyclean 600'!D217,".",","),IFERROR(_xludf.NUMBERVALUE('Procyclean 600'!D217,",","."),0))))</f>
        <v/>
      </c>
      <c r="AE3215" t="str">
        <f>IF(AA3215="","",'Procyclean 600'!K217)</f>
        <v/>
      </c>
      <c r="AF3215">
        <f t="shared" si="317"/>
        <v>0</v>
      </c>
      <c r="AG3215" t="str">
        <f t="shared" si="318"/>
        <v/>
      </c>
      <c r="AH3215" t="str">
        <f t="shared" si="319"/>
        <v/>
      </c>
      <c r="AI3215">
        <f t="shared" si="320"/>
        <v>0</v>
      </c>
      <c r="AJ3215">
        <f t="shared" si="321"/>
        <v>0</v>
      </c>
      <c r="AK3215">
        <v>0</v>
      </c>
      <c r="AL3215" t="str">
        <f>IF(AA3215="","",IFERROR(IF(ISNUMBER('Procyclean 600'!E217),'Procyclean 600'!E217,IF(ISNUMBER(SEARCH("12",'Procyclean 600'!E217)),EDATE(AB3215,12),IF(ISNUMBER(SEARCH("6",'Procyclean 600'!E217)),EDATE(AB3215,6),IF(ISNUMBER(SEARCH("3",'Procyclean 600'!E217)),EDATE(AB3215,3),DATEVALUE('Procyclean 600'!E217))))),""))</f>
        <v/>
      </c>
      <c r="AM3215" t="str">
        <f t="shared" ca="1" si="322"/>
        <v/>
      </c>
    </row>
    <row r="3216" spans="27:39" x14ac:dyDescent="0.3">
      <c r="AA3216" t="str">
        <f>IF(COUNTA('Procyclean 600'!B218,'Procyclean 600'!C218,'Procyclean 600'!D218)&gt;0,"600","")</f>
        <v/>
      </c>
      <c r="AB3216" t="str">
        <f>IFERROR(IF(ISNUMBER('Procyclean 600'!B218),'Procyclean 600'!B218,DATEVALUE('Procyclean 600'!B218)),"")</f>
        <v/>
      </c>
      <c r="AC3216" t="str">
        <f>IF(AA3216="","",'Procyclean 600'!C218)</f>
        <v/>
      </c>
      <c r="AD3216" t="str">
        <f>IF(AA3216="","",IFERROR(1*'Procyclean 600'!D218,IFERROR(_xludf.NUMBERVALUE('Procyclean 600'!D218,".",","),IFERROR(_xludf.NUMBERVALUE('Procyclean 600'!D218,",","."),0))))</f>
        <v/>
      </c>
      <c r="AE3216" t="str">
        <f>IF(AA3216="","",'Procyclean 600'!K218)</f>
        <v/>
      </c>
      <c r="AF3216">
        <f t="shared" si="317"/>
        <v>0</v>
      </c>
      <c r="AG3216" t="str">
        <f t="shared" si="318"/>
        <v/>
      </c>
      <c r="AH3216" t="str">
        <f t="shared" si="319"/>
        <v/>
      </c>
      <c r="AI3216">
        <f t="shared" si="320"/>
        <v>0</v>
      </c>
      <c r="AJ3216">
        <f t="shared" si="321"/>
        <v>0</v>
      </c>
      <c r="AK3216">
        <v>0</v>
      </c>
      <c r="AL3216" t="str">
        <f>IF(AA3216="","",IFERROR(IF(ISNUMBER('Procyclean 600'!E218),'Procyclean 600'!E218,IF(ISNUMBER(SEARCH("12",'Procyclean 600'!E218)),EDATE(AB3216,12),IF(ISNUMBER(SEARCH("6",'Procyclean 600'!E218)),EDATE(AB3216,6),IF(ISNUMBER(SEARCH("3",'Procyclean 600'!E218)),EDATE(AB3216,3),DATEVALUE('Procyclean 600'!E218))))),""))</f>
        <v/>
      </c>
      <c r="AM3216" t="str">
        <f t="shared" ca="1" si="322"/>
        <v/>
      </c>
    </row>
    <row r="3217" spans="27:39" x14ac:dyDescent="0.3">
      <c r="AA3217" t="str">
        <f>IF(COUNTA('Procyclean 600'!B219,'Procyclean 600'!C219,'Procyclean 600'!D219)&gt;0,"600","")</f>
        <v/>
      </c>
      <c r="AB3217" t="str">
        <f>IFERROR(IF(ISNUMBER('Procyclean 600'!B219),'Procyclean 600'!B219,DATEVALUE('Procyclean 600'!B219)),"")</f>
        <v/>
      </c>
      <c r="AC3217" t="str">
        <f>IF(AA3217="","",'Procyclean 600'!C219)</f>
        <v/>
      </c>
      <c r="AD3217" t="str">
        <f>IF(AA3217="","",IFERROR(1*'Procyclean 600'!D219,IFERROR(_xludf.NUMBERVALUE('Procyclean 600'!D219,".",","),IFERROR(_xludf.NUMBERVALUE('Procyclean 600'!D219,",","."),0))))</f>
        <v/>
      </c>
      <c r="AE3217" t="str">
        <f>IF(AA3217="","",'Procyclean 600'!K219)</f>
        <v/>
      </c>
      <c r="AF3217">
        <f t="shared" si="317"/>
        <v>0</v>
      </c>
      <c r="AG3217" t="str">
        <f t="shared" si="318"/>
        <v/>
      </c>
      <c r="AH3217" t="str">
        <f t="shared" si="319"/>
        <v/>
      </c>
      <c r="AI3217">
        <f t="shared" si="320"/>
        <v>0</v>
      </c>
      <c r="AJ3217">
        <f t="shared" si="321"/>
        <v>0</v>
      </c>
      <c r="AK3217">
        <v>0</v>
      </c>
      <c r="AL3217" t="str">
        <f>IF(AA3217="","",IFERROR(IF(ISNUMBER('Procyclean 600'!E219),'Procyclean 600'!E219,IF(ISNUMBER(SEARCH("12",'Procyclean 600'!E219)),EDATE(AB3217,12),IF(ISNUMBER(SEARCH("6",'Procyclean 600'!E219)),EDATE(AB3217,6),IF(ISNUMBER(SEARCH("3",'Procyclean 600'!E219)),EDATE(AB3217,3),DATEVALUE('Procyclean 600'!E219))))),""))</f>
        <v/>
      </c>
      <c r="AM3217" t="str">
        <f t="shared" ca="1" si="322"/>
        <v/>
      </c>
    </row>
    <row r="3218" spans="27:39" x14ac:dyDescent="0.3">
      <c r="AA3218" t="str">
        <f>IF(COUNTA('Procyclean 600'!B220,'Procyclean 600'!C220,'Procyclean 600'!D220)&gt;0,"600","")</f>
        <v/>
      </c>
      <c r="AB3218" t="str">
        <f>IFERROR(IF(ISNUMBER('Procyclean 600'!B220),'Procyclean 600'!B220,DATEVALUE('Procyclean 600'!B220)),"")</f>
        <v/>
      </c>
      <c r="AC3218" t="str">
        <f>IF(AA3218="","",'Procyclean 600'!C220)</f>
        <v/>
      </c>
      <c r="AD3218" t="str">
        <f>IF(AA3218="","",IFERROR(1*'Procyclean 600'!D220,IFERROR(_xludf.NUMBERVALUE('Procyclean 600'!D220,".",","),IFERROR(_xludf.NUMBERVALUE('Procyclean 600'!D220,",","."),0))))</f>
        <v/>
      </c>
      <c r="AE3218" t="str">
        <f>IF(AA3218="","",'Procyclean 600'!K220)</f>
        <v/>
      </c>
      <c r="AF3218">
        <f t="shared" si="317"/>
        <v>0</v>
      </c>
      <c r="AG3218" t="str">
        <f t="shared" si="318"/>
        <v/>
      </c>
      <c r="AH3218" t="str">
        <f t="shared" si="319"/>
        <v/>
      </c>
      <c r="AI3218">
        <f t="shared" si="320"/>
        <v>0</v>
      </c>
      <c r="AJ3218">
        <f t="shared" si="321"/>
        <v>0</v>
      </c>
      <c r="AK3218">
        <v>0</v>
      </c>
      <c r="AL3218" t="str">
        <f>IF(AA3218="","",IFERROR(IF(ISNUMBER('Procyclean 600'!E220),'Procyclean 600'!E220,IF(ISNUMBER(SEARCH("12",'Procyclean 600'!E220)),EDATE(AB3218,12),IF(ISNUMBER(SEARCH("6",'Procyclean 600'!E220)),EDATE(AB3218,6),IF(ISNUMBER(SEARCH("3",'Procyclean 600'!E220)),EDATE(AB3218,3),DATEVALUE('Procyclean 600'!E220))))),""))</f>
        <v/>
      </c>
      <c r="AM3218" t="str">
        <f t="shared" ca="1" si="322"/>
        <v/>
      </c>
    </row>
    <row r="3219" spans="27:39" x14ac:dyDescent="0.3">
      <c r="AA3219" t="str">
        <f>IF(COUNTA('Procyclean 600'!B221,'Procyclean 600'!C221,'Procyclean 600'!D221)&gt;0,"600","")</f>
        <v/>
      </c>
      <c r="AB3219" t="str">
        <f>IFERROR(IF(ISNUMBER('Procyclean 600'!B221),'Procyclean 600'!B221,DATEVALUE('Procyclean 600'!B221)),"")</f>
        <v/>
      </c>
      <c r="AC3219" t="str">
        <f>IF(AA3219="","",'Procyclean 600'!C221)</f>
        <v/>
      </c>
      <c r="AD3219" t="str">
        <f>IF(AA3219="","",IFERROR(1*'Procyclean 600'!D221,IFERROR(_xludf.NUMBERVALUE('Procyclean 600'!D221,".",","),IFERROR(_xludf.NUMBERVALUE('Procyclean 600'!D221,",","."),0))))</f>
        <v/>
      </c>
      <c r="AE3219" t="str">
        <f>IF(AA3219="","",'Procyclean 600'!K221)</f>
        <v/>
      </c>
      <c r="AF3219">
        <f t="shared" si="317"/>
        <v>0</v>
      </c>
      <c r="AG3219" t="str">
        <f t="shared" si="318"/>
        <v/>
      </c>
      <c r="AH3219" t="str">
        <f t="shared" si="319"/>
        <v/>
      </c>
      <c r="AI3219">
        <f t="shared" si="320"/>
        <v>0</v>
      </c>
      <c r="AJ3219">
        <f t="shared" si="321"/>
        <v>0</v>
      </c>
      <c r="AK3219">
        <v>0</v>
      </c>
      <c r="AL3219" t="str">
        <f>IF(AA3219="","",IFERROR(IF(ISNUMBER('Procyclean 600'!E221),'Procyclean 600'!E221,IF(ISNUMBER(SEARCH("12",'Procyclean 600'!E221)),EDATE(AB3219,12),IF(ISNUMBER(SEARCH("6",'Procyclean 600'!E221)),EDATE(AB3219,6),IF(ISNUMBER(SEARCH("3",'Procyclean 600'!E221)),EDATE(AB3219,3),DATEVALUE('Procyclean 600'!E221))))),""))</f>
        <v/>
      </c>
      <c r="AM3219" t="str">
        <f t="shared" ca="1" si="322"/>
        <v/>
      </c>
    </row>
    <row r="3220" spans="27:39" x14ac:dyDescent="0.3">
      <c r="AA3220" t="str">
        <f>IF(COUNTA('Procyclean 600'!B222,'Procyclean 600'!C222,'Procyclean 600'!D222)&gt;0,"600","")</f>
        <v/>
      </c>
      <c r="AB3220" t="str">
        <f>IFERROR(IF(ISNUMBER('Procyclean 600'!B222),'Procyclean 600'!B222,DATEVALUE('Procyclean 600'!B222)),"")</f>
        <v/>
      </c>
      <c r="AC3220" t="str">
        <f>IF(AA3220="","",'Procyclean 600'!C222)</f>
        <v/>
      </c>
      <c r="AD3220" t="str">
        <f>IF(AA3220="","",IFERROR(1*'Procyclean 600'!D222,IFERROR(_xludf.NUMBERVALUE('Procyclean 600'!D222,".",","),IFERROR(_xludf.NUMBERVALUE('Procyclean 600'!D222,",","."),0))))</f>
        <v/>
      </c>
      <c r="AE3220" t="str">
        <f>IF(AA3220="","",'Procyclean 600'!K222)</f>
        <v/>
      </c>
      <c r="AF3220">
        <f t="shared" si="317"/>
        <v>0</v>
      </c>
      <c r="AG3220" t="str">
        <f t="shared" si="318"/>
        <v/>
      </c>
      <c r="AH3220" t="str">
        <f t="shared" si="319"/>
        <v/>
      </c>
      <c r="AI3220">
        <f t="shared" si="320"/>
        <v>0</v>
      </c>
      <c r="AJ3220">
        <f t="shared" si="321"/>
        <v>0</v>
      </c>
      <c r="AK3220">
        <v>0</v>
      </c>
      <c r="AL3220" t="str">
        <f>IF(AA3220="","",IFERROR(IF(ISNUMBER('Procyclean 600'!E222),'Procyclean 600'!E222,IF(ISNUMBER(SEARCH("12",'Procyclean 600'!E222)),EDATE(AB3220,12),IF(ISNUMBER(SEARCH("6",'Procyclean 600'!E222)),EDATE(AB3220,6),IF(ISNUMBER(SEARCH("3",'Procyclean 600'!E222)),EDATE(AB3220,3),DATEVALUE('Procyclean 600'!E222))))),""))</f>
        <v/>
      </c>
      <c r="AM3220" t="str">
        <f t="shared" ca="1" si="322"/>
        <v/>
      </c>
    </row>
    <row r="3221" spans="27:39" x14ac:dyDescent="0.3">
      <c r="AA3221" t="str">
        <f>IF(COUNTA('Procyclean 600'!B223,'Procyclean 600'!C223,'Procyclean 600'!D223)&gt;0,"600","")</f>
        <v/>
      </c>
      <c r="AB3221" t="str">
        <f>IFERROR(IF(ISNUMBER('Procyclean 600'!B223),'Procyclean 600'!B223,DATEVALUE('Procyclean 600'!B223)),"")</f>
        <v/>
      </c>
      <c r="AC3221" t="str">
        <f>IF(AA3221="","",'Procyclean 600'!C223)</f>
        <v/>
      </c>
      <c r="AD3221" t="str">
        <f>IF(AA3221="","",IFERROR(1*'Procyclean 600'!D223,IFERROR(_xludf.NUMBERVALUE('Procyclean 600'!D223,".",","),IFERROR(_xludf.NUMBERVALUE('Procyclean 600'!D223,",","."),0))))</f>
        <v/>
      </c>
      <c r="AE3221" t="str">
        <f>IF(AA3221="","",'Procyclean 600'!K223)</f>
        <v/>
      </c>
      <c r="AF3221">
        <f t="shared" si="317"/>
        <v>0</v>
      </c>
      <c r="AG3221" t="str">
        <f t="shared" si="318"/>
        <v/>
      </c>
      <c r="AH3221" t="str">
        <f t="shared" si="319"/>
        <v/>
      </c>
      <c r="AI3221">
        <f t="shared" si="320"/>
        <v>0</v>
      </c>
      <c r="AJ3221">
        <f t="shared" si="321"/>
        <v>0</v>
      </c>
      <c r="AK3221">
        <v>0</v>
      </c>
      <c r="AL3221" t="str">
        <f>IF(AA3221="","",IFERROR(IF(ISNUMBER('Procyclean 600'!E223),'Procyclean 600'!E223,IF(ISNUMBER(SEARCH("12",'Procyclean 600'!E223)),EDATE(AB3221,12),IF(ISNUMBER(SEARCH("6",'Procyclean 600'!E223)),EDATE(AB3221,6),IF(ISNUMBER(SEARCH("3",'Procyclean 600'!E223)),EDATE(AB3221,3),DATEVALUE('Procyclean 600'!E223))))),""))</f>
        <v/>
      </c>
      <c r="AM3221" t="str">
        <f t="shared" ca="1" si="322"/>
        <v/>
      </c>
    </row>
    <row r="3222" spans="27:39" x14ac:dyDescent="0.3">
      <c r="AA3222" t="str">
        <f>IF(COUNTA('Procyclean 600'!B224,'Procyclean 600'!C224,'Procyclean 600'!D224)&gt;0,"600","")</f>
        <v/>
      </c>
      <c r="AB3222" t="str">
        <f>IFERROR(IF(ISNUMBER('Procyclean 600'!B224),'Procyclean 600'!B224,DATEVALUE('Procyclean 600'!B224)),"")</f>
        <v/>
      </c>
      <c r="AC3222" t="str">
        <f>IF(AA3222="","",'Procyclean 600'!C224)</f>
        <v/>
      </c>
      <c r="AD3222" t="str">
        <f>IF(AA3222="","",IFERROR(1*'Procyclean 600'!D224,IFERROR(_xludf.NUMBERVALUE('Procyclean 600'!D224,".",","),IFERROR(_xludf.NUMBERVALUE('Procyclean 600'!D224,",","."),0))))</f>
        <v/>
      </c>
      <c r="AE3222" t="str">
        <f>IF(AA3222="","",'Procyclean 600'!K224)</f>
        <v/>
      </c>
      <c r="AF3222">
        <f t="shared" si="317"/>
        <v>0</v>
      </c>
      <c r="AG3222" t="str">
        <f t="shared" si="318"/>
        <v/>
      </c>
      <c r="AH3222" t="str">
        <f t="shared" si="319"/>
        <v/>
      </c>
      <c r="AI3222">
        <f t="shared" si="320"/>
        <v>0</v>
      </c>
      <c r="AJ3222">
        <f t="shared" si="321"/>
        <v>0</v>
      </c>
      <c r="AK3222">
        <v>0</v>
      </c>
      <c r="AL3222" t="str">
        <f>IF(AA3222="","",IFERROR(IF(ISNUMBER('Procyclean 600'!E224),'Procyclean 600'!E224,IF(ISNUMBER(SEARCH("12",'Procyclean 600'!E224)),EDATE(AB3222,12),IF(ISNUMBER(SEARCH("6",'Procyclean 600'!E224)),EDATE(AB3222,6),IF(ISNUMBER(SEARCH("3",'Procyclean 600'!E224)),EDATE(AB3222,3),DATEVALUE('Procyclean 600'!E224))))),""))</f>
        <v/>
      </c>
      <c r="AM3222" t="str">
        <f t="shared" ca="1" si="322"/>
        <v/>
      </c>
    </row>
    <row r="3223" spans="27:39" x14ac:dyDescent="0.3">
      <c r="AA3223" t="str">
        <f>IF(COUNTA('Procyclean 600'!B225,'Procyclean 600'!C225,'Procyclean 600'!D225)&gt;0,"600","")</f>
        <v/>
      </c>
      <c r="AB3223" t="str">
        <f>IFERROR(IF(ISNUMBER('Procyclean 600'!B225),'Procyclean 600'!B225,DATEVALUE('Procyclean 600'!B225)),"")</f>
        <v/>
      </c>
      <c r="AC3223" t="str">
        <f>IF(AA3223="","",'Procyclean 600'!C225)</f>
        <v/>
      </c>
      <c r="AD3223" t="str">
        <f>IF(AA3223="","",IFERROR(1*'Procyclean 600'!D225,IFERROR(_xludf.NUMBERVALUE('Procyclean 600'!D225,".",","),IFERROR(_xludf.NUMBERVALUE('Procyclean 600'!D225,",","."),0))))</f>
        <v/>
      </c>
      <c r="AE3223" t="str">
        <f>IF(AA3223="","",'Procyclean 600'!K225)</f>
        <v/>
      </c>
      <c r="AF3223">
        <f t="shared" si="317"/>
        <v>0</v>
      </c>
      <c r="AG3223" t="str">
        <f t="shared" si="318"/>
        <v/>
      </c>
      <c r="AH3223" t="str">
        <f t="shared" si="319"/>
        <v/>
      </c>
      <c r="AI3223">
        <f t="shared" si="320"/>
        <v>0</v>
      </c>
      <c r="AJ3223">
        <f t="shared" si="321"/>
        <v>0</v>
      </c>
      <c r="AK3223">
        <v>0</v>
      </c>
      <c r="AL3223" t="str">
        <f>IF(AA3223="","",IFERROR(IF(ISNUMBER('Procyclean 600'!E225),'Procyclean 600'!E225,IF(ISNUMBER(SEARCH("12",'Procyclean 600'!E225)),EDATE(AB3223,12),IF(ISNUMBER(SEARCH("6",'Procyclean 600'!E225)),EDATE(AB3223,6),IF(ISNUMBER(SEARCH("3",'Procyclean 600'!E225)),EDATE(AB3223,3),DATEVALUE('Procyclean 600'!E225))))),""))</f>
        <v/>
      </c>
      <c r="AM3223" t="str">
        <f t="shared" ca="1" si="322"/>
        <v/>
      </c>
    </row>
    <row r="3224" spans="27:39" x14ac:dyDescent="0.3">
      <c r="AA3224" t="str">
        <f>IF(COUNTA('Procyclean 600'!B226,'Procyclean 600'!C226,'Procyclean 600'!D226)&gt;0,"600","")</f>
        <v/>
      </c>
      <c r="AB3224" t="str">
        <f>IFERROR(IF(ISNUMBER('Procyclean 600'!B226),'Procyclean 600'!B226,DATEVALUE('Procyclean 600'!B226)),"")</f>
        <v/>
      </c>
      <c r="AC3224" t="str">
        <f>IF(AA3224="","",'Procyclean 600'!C226)</f>
        <v/>
      </c>
      <c r="AD3224" t="str">
        <f>IF(AA3224="","",IFERROR(1*'Procyclean 600'!D226,IFERROR(_xludf.NUMBERVALUE('Procyclean 600'!D226,".",","),IFERROR(_xludf.NUMBERVALUE('Procyclean 600'!D226,",","."),0))))</f>
        <v/>
      </c>
      <c r="AE3224" t="str">
        <f>IF(AA3224="","",'Procyclean 600'!K226)</f>
        <v/>
      </c>
      <c r="AF3224">
        <f t="shared" si="317"/>
        <v>0</v>
      </c>
      <c r="AG3224" t="str">
        <f t="shared" si="318"/>
        <v/>
      </c>
      <c r="AH3224" t="str">
        <f t="shared" si="319"/>
        <v/>
      </c>
      <c r="AI3224">
        <f t="shared" si="320"/>
        <v>0</v>
      </c>
      <c r="AJ3224">
        <f t="shared" si="321"/>
        <v>0</v>
      </c>
      <c r="AK3224">
        <v>0</v>
      </c>
      <c r="AL3224" t="str">
        <f>IF(AA3224="","",IFERROR(IF(ISNUMBER('Procyclean 600'!E226),'Procyclean 600'!E226,IF(ISNUMBER(SEARCH("12",'Procyclean 600'!E226)),EDATE(AB3224,12),IF(ISNUMBER(SEARCH("6",'Procyclean 600'!E226)),EDATE(AB3224,6),IF(ISNUMBER(SEARCH("3",'Procyclean 600'!E226)),EDATE(AB3224,3),DATEVALUE('Procyclean 600'!E226))))),""))</f>
        <v/>
      </c>
      <c r="AM3224" t="str">
        <f t="shared" ca="1" si="322"/>
        <v/>
      </c>
    </row>
    <row r="3225" spans="27:39" x14ac:dyDescent="0.3">
      <c r="AA3225" t="str">
        <f>IF(COUNTA('Procyclean 600'!B227,'Procyclean 600'!C227,'Procyclean 600'!D227)&gt;0,"600","")</f>
        <v/>
      </c>
      <c r="AB3225" t="str">
        <f>IFERROR(IF(ISNUMBER('Procyclean 600'!B227),'Procyclean 600'!B227,DATEVALUE('Procyclean 600'!B227)),"")</f>
        <v/>
      </c>
      <c r="AC3225" t="str">
        <f>IF(AA3225="","",'Procyclean 600'!C227)</f>
        <v/>
      </c>
      <c r="AD3225" t="str">
        <f>IF(AA3225="","",IFERROR(1*'Procyclean 600'!D227,IFERROR(_xludf.NUMBERVALUE('Procyclean 600'!D227,".",","),IFERROR(_xludf.NUMBERVALUE('Procyclean 600'!D227,",","."),0))))</f>
        <v/>
      </c>
      <c r="AE3225" t="str">
        <f>IF(AA3225="","",'Procyclean 600'!K227)</f>
        <v/>
      </c>
      <c r="AF3225">
        <f t="shared" si="317"/>
        <v>0</v>
      </c>
      <c r="AG3225" t="str">
        <f t="shared" si="318"/>
        <v/>
      </c>
      <c r="AH3225" t="str">
        <f t="shared" si="319"/>
        <v/>
      </c>
      <c r="AI3225">
        <f t="shared" si="320"/>
        <v>0</v>
      </c>
      <c r="AJ3225">
        <f t="shared" si="321"/>
        <v>0</v>
      </c>
      <c r="AK3225">
        <v>0</v>
      </c>
      <c r="AL3225" t="str">
        <f>IF(AA3225="","",IFERROR(IF(ISNUMBER('Procyclean 600'!E227),'Procyclean 600'!E227,IF(ISNUMBER(SEARCH("12",'Procyclean 600'!E227)),EDATE(AB3225,12),IF(ISNUMBER(SEARCH("6",'Procyclean 600'!E227)),EDATE(AB3225,6),IF(ISNUMBER(SEARCH("3",'Procyclean 600'!E227)),EDATE(AB3225,3),DATEVALUE('Procyclean 600'!E227))))),""))</f>
        <v/>
      </c>
      <c r="AM3225" t="str">
        <f t="shared" ca="1" si="322"/>
        <v/>
      </c>
    </row>
    <row r="3226" spans="27:39" x14ac:dyDescent="0.3">
      <c r="AA3226" t="str">
        <f>IF(COUNTA('Procyclean 600'!B228,'Procyclean 600'!C228,'Procyclean 600'!D228)&gt;0,"600","")</f>
        <v/>
      </c>
      <c r="AB3226" t="str">
        <f>IFERROR(IF(ISNUMBER('Procyclean 600'!B228),'Procyclean 600'!B228,DATEVALUE('Procyclean 600'!B228)),"")</f>
        <v/>
      </c>
      <c r="AC3226" t="str">
        <f>IF(AA3226="","",'Procyclean 600'!C228)</f>
        <v/>
      </c>
      <c r="AD3226" t="str">
        <f>IF(AA3226="","",IFERROR(1*'Procyclean 600'!D228,IFERROR(_xludf.NUMBERVALUE('Procyclean 600'!D228,".",","),IFERROR(_xludf.NUMBERVALUE('Procyclean 600'!D228,",","."),0))))</f>
        <v/>
      </c>
      <c r="AE3226" t="str">
        <f>IF(AA3226="","",'Procyclean 600'!K228)</f>
        <v/>
      </c>
      <c r="AF3226">
        <f t="shared" si="317"/>
        <v>0</v>
      </c>
      <c r="AG3226" t="str">
        <f t="shared" si="318"/>
        <v/>
      </c>
      <c r="AH3226" t="str">
        <f t="shared" si="319"/>
        <v/>
      </c>
      <c r="AI3226">
        <f t="shared" si="320"/>
        <v>0</v>
      </c>
      <c r="AJ3226">
        <f t="shared" si="321"/>
        <v>0</v>
      </c>
      <c r="AK3226">
        <v>0</v>
      </c>
      <c r="AL3226" t="str">
        <f>IF(AA3226="","",IFERROR(IF(ISNUMBER('Procyclean 600'!E228),'Procyclean 600'!E228,IF(ISNUMBER(SEARCH("12",'Procyclean 600'!E228)),EDATE(AB3226,12),IF(ISNUMBER(SEARCH("6",'Procyclean 600'!E228)),EDATE(AB3226,6),IF(ISNUMBER(SEARCH("3",'Procyclean 600'!E228)),EDATE(AB3226,3),DATEVALUE('Procyclean 600'!E228))))),""))</f>
        <v/>
      </c>
      <c r="AM3226" t="str">
        <f t="shared" ca="1" si="322"/>
        <v/>
      </c>
    </row>
    <row r="3227" spans="27:39" x14ac:dyDescent="0.3">
      <c r="AA3227" t="str">
        <f>IF(COUNTA('Procyclean 600'!B229,'Procyclean 600'!C229,'Procyclean 600'!D229)&gt;0,"600","")</f>
        <v/>
      </c>
      <c r="AB3227" t="str">
        <f>IFERROR(IF(ISNUMBER('Procyclean 600'!B229),'Procyclean 600'!B229,DATEVALUE('Procyclean 600'!B229)),"")</f>
        <v/>
      </c>
      <c r="AC3227" t="str">
        <f>IF(AA3227="","",'Procyclean 600'!C229)</f>
        <v/>
      </c>
      <c r="AD3227" t="str">
        <f>IF(AA3227="","",IFERROR(1*'Procyclean 600'!D229,IFERROR(_xludf.NUMBERVALUE('Procyclean 600'!D229,".",","),IFERROR(_xludf.NUMBERVALUE('Procyclean 600'!D229,",","."),0))))</f>
        <v/>
      </c>
      <c r="AE3227" t="str">
        <f>IF(AA3227="","",'Procyclean 600'!K229)</f>
        <v/>
      </c>
      <c r="AF3227">
        <f t="shared" si="317"/>
        <v>0</v>
      </c>
      <c r="AG3227" t="str">
        <f t="shared" si="318"/>
        <v/>
      </c>
      <c r="AH3227" t="str">
        <f t="shared" si="319"/>
        <v/>
      </c>
      <c r="AI3227">
        <f t="shared" si="320"/>
        <v>0</v>
      </c>
      <c r="AJ3227">
        <f t="shared" si="321"/>
        <v>0</v>
      </c>
      <c r="AK3227">
        <v>0</v>
      </c>
      <c r="AL3227" t="str">
        <f>IF(AA3227="","",IFERROR(IF(ISNUMBER('Procyclean 600'!E229),'Procyclean 600'!E229,IF(ISNUMBER(SEARCH("12",'Procyclean 600'!E229)),EDATE(AB3227,12),IF(ISNUMBER(SEARCH("6",'Procyclean 600'!E229)),EDATE(AB3227,6),IF(ISNUMBER(SEARCH("3",'Procyclean 600'!E229)),EDATE(AB3227,3),DATEVALUE('Procyclean 600'!E229))))),""))</f>
        <v/>
      </c>
      <c r="AM3227" t="str">
        <f t="shared" ca="1" si="322"/>
        <v/>
      </c>
    </row>
    <row r="3228" spans="27:39" x14ac:dyDescent="0.3">
      <c r="AA3228" t="str">
        <f>IF(COUNTA('Procyclean 600'!B230,'Procyclean 600'!C230,'Procyclean 600'!D230)&gt;0,"600","")</f>
        <v/>
      </c>
      <c r="AB3228" t="str">
        <f>IFERROR(IF(ISNUMBER('Procyclean 600'!B230),'Procyclean 600'!B230,DATEVALUE('Procyclean 600'!B230)),"")</f>
        <v/>
      </c>
      <c r="AC3228" t="str">
        <f>IF(AA3228="","",'Procyclean 600'!C230)</f>
        <v/>
      </c>
      <c r="AD3228" t="str">
        <f>IF(AA3228="","",IFERROR(1*'Procyclean 600'!D230,IFERROR(_xludf.NUMBERVALUE('Procyclean 600'!D230,".",","),IFERROR(_xludf.NUMBERVALUE('Procyclean 600'!D230,",","."),0))))</f>
        <v/>
      </c>
      <c r="AE3228" t="str">
        <f>IF(AA3228="","",'Procyclean 600'!K230)</f>
        <v/>
      </c>
      <c r="AF3228">
        <f t="shared" si="317"/>
        <v>0</v>
      </c>
      <c r="AG3228" t="str">
        <f t="shared" si="318"/>
        <v/>
      </c>
      <c r="AH3228" t="str">
        <f t="shared" si="319"/>
        <v/>
      </c>
      <c r="AI3228">
        <f t="shared" si="320"/>
        <v>0</v>
      </c>
      <c r="AJ3228">
        <f t="shared" si="321"/>
        <v>0</v>
      </c>
      <c r="AK3228">
        <v>0</v>
      </c>
      <c r="AL3228" t="str">
        <f>IF(AA3228="","",IFERROR(IF(ISNUMBER('Procyclean 600'!E230),'Procyclean 600'!E230,IF(ISNUMBER(SEARCH("12",'Procyclean 600'!E230)),EDATE(AB3228,12),IF(ISNUMBER(SEARCH("6",'Procyclean 600'!E230)),EDATE(AB3228,6),IF(ISNUMBER(SEARCH("3",'Procyclean 600'!E230)),EDATE(AB3228,3),DATEVALUE('Procyclean 600'!E230))))),""))</f>
        <v/>
      </c>
      <c r="AM3228" t="str">
        <f t="shared" ca="1" si="322"/>
        <v/>
      </c>
    </row>
    <row r="3229" spans="27:39" x14ac:dyDescent="0.3">
      <c r="AA3229" t="str">
        <f>IF(COUNTA('Procyclean 600'!B231,'Procyclean 600'!C231,'Procyclean 600'!D231)&gt;0,"600","")</f>
        <v/>
      </c>
      <c r="AB3229" t="str">
        <f>IFERROR(IF(ISNUMBER('Procyclean 600'!B231),'Procyclean 600'!B231,DATEVALUE('Procyclean 600'!B231)),"")</f>
        <v/>
      </c>
      <c r="AC3229" t="str">
        <f>IF(AA3229="","",'Procyclean 600'!C231)</f>
        <v/>
      </c>
      <c r="AD3229" t="str">
        <f>IF(AA3229="","",IFERROR(1*'Procyclean 600'!D231,IFERROR(_xludf.NUMBERVALUE('Procyclean 600'!D231,".",","),IFERROR(_xludf.NUMBERVALUE('Procyclean 600'!D231,",","."),0))))</f>
        <v/>
      </c>
      <c r="AE3229" t="str">
        <f>IF(AA3229="","",'Procyclean 600'!K231)</f>
        <v/>
      </c>
      <c r="AF3229">
        <f t="shared" si="317"/>
        <v>0</v>
      </c>
      <c r="AG3229" t="str">
        <f t="shared" si="318"/>
        <v/>
      </c>
      <c r="AH3229" t="str">
        <f t="shared" si="319"/>
        <v/>
      </c>
      <c r="AI3229">
        <f t="shared" si="320"/>
        <v>0</v>
      </c>
      <c r="AJ3229">
        <f t="shared" si="321"/>
        <v>0</v>
      </c>
      <c r="AK3229">
        <v>0</v>
      </c>
      <c r="AL3229" t="str">
        <f>IF(AA3229="","",IFERROR(IF(ISNUMBER('Procyclean 600'!E231),'Procyclean 600'!E231,IF(ISNUMBER(SEARCH("12",'Procyclean 600'!E231)),EDATE(AB3229,12),IF(ISNUMBER(SEARCH("6",'Procyclean 600'!E231)),EDATE(AB3229,6),IF(ISNUMBER(SEARCH("3",'Procyclean 600'!E231)),EDATE(AB3229,3),DATEVALUE('Procyclean 600'!E231))))),""))</f>
        <v/>
      </c>
      <c r="AM3229" t="str">
        <f t="shared" ca="1" si="322"/>
        <v/>
      </c>
    </row>
    <row r="3230" spans="27:39" x14ac:dyDescent="0.3">
      <c r="AA3230" t="str">
        <f>IF(COUNTA('Procyclean 600'!B232,'Procyclean 600'!C232,'Procyclean 600'!D232)&gt;0,"600","")</f>
        <v/>
      </c>
      <c r="AB3230" t="str">
        <f>IFERROR(IF(ISNUMBER('Procyclean 600'!B232),'Procyclean 600'!B232,DATEVALUE('Procyclean 600'!B232)),"")</f>
        <v/>
      </c>
      <c r="AC3230" t="str">
        <f>IF(AA3230="","",'Procyclean 600'!C232)</f>
        <v/>
      </c>
      <c r="AD3230" t="str">
        <f>IF(AA3230="","",IFERROR(1*'Procyclean 600'!D232,IFERROR(_xludf.NUMBERVALUE('Procyclean 600'!D232,".",","),IFERROR(_xludf.NUMBERVALUE('Procyclean 600'!D232,",","."),0))))</f>
        <v/>
      </c>
      <c r="AE3230" t="str">
        <f>IF(AA3230="","",'Procyclean 600'!K232)</f>
        <v/>
      </c>
      <c r="AF3230">
        <f t="shared" si="317"/>
        <v>0</v>
      </c>
      <c r="AG3230" t="str">
        <f t="shared" si="318"/>
        <v/>
      </c>
      <c r="AH3230" t="str">
        <f t="shared" si="319"/>
        <v/>
      </c>
      <c r="AI3230">
        <f t="shared" si="320"/>
        <v>0</v>
      </c>
      <c r="AJ3230">
        <f t="shared" si="321"/>
        <v>0</v>
      </c>
      <c r="AK3230">
        <v>0</v>
      </c>
      <c r="AL3230" t="str">
        <f>IF(AA3230="","",IFERROR(IF(ISNUMBER('Procyclean 600'!E232),'Procyclean 600'!E232,IF(ISNUMBER(SEARCH("12",'Procyclean 600'!E232)),EDATE(AB3230,12),IF(ISNUMBER(SEARCH("6",'Procyclean 600'!E232)),EDATE(AB3230,6),IF(ISNUMBER(SEARCH("3",'Procyclean 600'!E232)),EDATE(AB3230,3),DATEVALUE('Procyclean 600'!E232))))),""))</f>
        <v/>
      </c>
      <c r="AM3230" t="str">
        <f t="shared" ca="1" si="322"/>
        <v/>
      </c>
    </row>
    <row r="3231" spans="27:39" x14ac:dyDescent="0.3">
      <c r="AA3231" t="str">
        <f>IF(COUNTA('Procyclean 600'!B233,'Procyclean 600'!C233,'Procyclean 600'!D233)&gt;0,"600","")</f>
        <v/>
      </c>
      <c r="AB3231" t="str">
        <f>IFERROR(IF(ISNUMBER('Procyclean 600'!B233),'Procyclean 600'!B233,DATEVALUE('Procyclean 600'!B233)),"")</f>
        <v/>
      </c>
      <c r="AC3231" t="str">
        <f>IF(AA3231="","",'Procyclean 600'!C233)</f>
        <v/>
      </c>
      <c r="AD3231" t="str">
        <f>IF(AA3231="","",IFERROR(1*'Procyclean 600'!D233,IFERROR(_xludf.NUMBERVALUE('Procyclean 600'!D233,".",","),IFERROR(_xludf.NUMBERVALUE('Procyclean 600'!D233,",","."),0))))</f>
        <v/>
      </c>
      <c r="AE3231" t="str">
        <f>IF(AA3231="","",'Procyclean 600'!K233)</f>
        <v/>
      </c>
      <c r="AF3231">
        <f t="shared" si="317"/>
        <v>0</v>
      </c>
      <c r="AG3231" t="str">
        <f t="shared" si="318"/>
        <v/>
      </c>
      <c r="AH3231" t="str">
        <f t="shared" si="319"/>
        <v/>
      </c>
      <c r="AI3231">
        <f t="shared" si="320"/>
        <v>0</v>
      </c>
      <c r="AJ3231">
        <f t="shared" si="321"/>
        <v>0</v>
      </c>
      <c r="AK3231">
        <v>0</v>
      </c>
      <c r="AL3231" t="str">
        <f>IF(AA3231="","",IFERROR(IF(ISNUMBER('Procyclean 600'!E233),'Procyclean 600'!E233,IF(ISNUMBER(SEARCH("12",'Procyclean 600'!E233)),EDATE(AB3231,12),IF(ISNUMBER(SEARCH("6",'Procyclean 600'!E233)),EDATE(AB3231,6),IF(ISNUMBER(SEARCH("3",'Procyclean 600'!E233)),EDATE(AB3231,3),DATEVALUE('Procyclean 600'!E233))))),""))</f>
        <v/>
      </c>
      <c r="AM3231" t="str">
        <f t="shared" ca="1" si="322"/>
        <v/>
      </c>
    </row>
    <row r="3232" spans="27:39" x14ac:dyDescent="0.3">
      <c r="AA3232" t="str">
        <f>IF(COUNTA('Procyclean 600'!B234,'Procyclean 600'!C234,'Procyclean 600'!D234)&gt;0,"600","")</f>
        <v/>
      </c>
      <c r="AB3232" t="str">
        <f>IFERROR(IF(ISNUMBER('Procyclean 600'!B234),'Procyclean 600'!B234,DATEVALUE('Procyclean 600'!B234)),"")</f>
        <v/>
      </c>
      <c r="AC3232" t="str">
        <f>IF(AA3232="","",'Procyclean 600'!C234)</f>
        <v/>
      </c>
      <c r="AD3232" t="str">
        <f>IF(AA3232="","",IFERROR(1*'Procyclean 600'!D234,IFERROR(_xludf.NUMBERVALUE('Procyclean 600'!D234,".",","),IFERROR(_xludf.NUMBERVALUE('Procyclean 600'!D234,",","."),0))))</f>
        <v/>
      </c>
      <c r="AE3232" t="str">
        <f>IF(AA3232="","",'Procyclean 600'!K234)</f>
        <v/>
      </c>
      <c r="AF3232">
        <f t="shared" si="317"/>
        <v>0</v>
      </c>
      <c r="AG3232" t="str">
        <f t="shared" si="318"/>
        <v/>
      </c>
      <c r="AH3232" t="str">
        <f t="shared" si="319"/>
        <v/>
      </c>
      <c r="AI3232">
        <f t="shared" si="320"/>
        <v>0</v>
      </c>
      <c r="AJ3232">
        <f t="shared" si="321"/>
        <v>0</v>
      </c>
      <c r="AK3232">
        <v>0</v>
      </c>
      <c r="AL3232" t="str">
        <f>IF(AA3232="","",IFERROR(IF(ISNUMBER('Procyclean 600'!E234),'Procyclean 600'!E234,IF(ISNUMBER(SEARCH("12",'Procyclean 600'!E234)),EDATE(AB3232,12),IF(ISNUMBER(SEARCH("6",'Procyclean 600'!E234)),EDATE(AB3232,6),IF(ISNUMBER(SEARCH("3",'Procyclean 600'!E234)),EDATE(AB3232,3),DATEVALUE('Procyclean 600'!E234))))),""))</f>
        <v/>
      </c>
      <c r="AM3232" t="str">
        <f t="shared" ca="1" si="322"/>
        <v/>
      </c>
    </row>
    <row r="3233" spans="27:39" x14ac:dyDescent="0.3">
      <c r="AA3233" t="str">
        <f>IF(COUNTA('Procyclean 600'!B235,'Procyclean 600'!C235,'Procyclean 600'!D235)&gt;0,"600","")</f>
        <v/>
      </c>
      <c r="AB3233" t="str">
        <f>IFERROR(IF(ISNUMBER('Procyclean 600'!B235),'Procyclean 600'!B235,DATEVALUE('Procyclean 600'!B235)),"")</f>
        <v/>
      </c>
      <c r="AC3233" t="str">
        <f>IF(AA3233="","",'Procyclean 600'!C235)</f>
        <v/>
      </c>
      <c r="AD3233" t="str">
        <f>IF(AA3233="","",IFERROR(1*'Procyclean 600'!D235,IFERROR(_xludf.NUMBERVALUE('Procyclean 600'!D235,".",","),IFERROR(_xludf.NUMBERVALUE('Procyclean 600'!D235,",","."),0))))</f>
        <v/>
      </c>
      <c r="AE3233" t="str">
        <f>IF(AA3233="","",'Procyclean 600'!K235)</f>
        <v/>
      </c>
      <c r="AF3233">
        <f t="shared" si="317"/>
        <v>0</v>
      </c>
      <c r="AG3233" t="str">
        <f t="shared" si="318"/>
        <v/>
      </c>
      <c r="AH3233" t="str">
        <f t="shared" si="319"/>
        <v/>
      </c>
      <c r="AI3233">
        <f t="shared" si="320"/>
        <v>0</v>
      </c>
      <c r="AJ3233">
        <f t="shared" si="321"/>
        <v>0</v>
      </c>
      <c r="AK3233">
        <v>0</v>
      </c>
      <c r="AL3233" t="str">
        <f>IF(AA3233="","",IFERROR(IF(ISNUMBER('Procyclean 600'!E235),'Procyclean 600'!E235,IF(ISNUMBER(SEARCH("12",'Procyclean 600'!E235)),EDATE(AB3233,12),IF(ISNUMBER(SEARCH("6",'Procyclean 600'!E235)),EDATE(AB3233,6),IF(ISNUMBER(SEARCH("3",'Procyclean 600'!E235)),EDATE(AB3233,3),DATEVALUE('Procyclean 600'!E235))))),""))</f>
        <v/>
      </c>
      <c r="AM3233" t="str">
        <f t="shared" ca="1" si="322"/>
        <v/>
      </c>
    </row>
    <row r="3234" spans="27:39" x14ac:dyDescent="0.3">
      <c r="AA3234" t="str">
        <f>IF(COUNTA('Procyclean 600'!B236,'Procyclean 600'!C236,'Procyclean 600'!D236)&gt;0,"600","")</f>
        <v/>
      </c>
      <c r="AB3234" t="str">
        <f>IFERROR(IF(ISNUMBER('Procyclean 600'!B236),'Procyclean 600'!B236,DATEVALUE('Procyclean 600'!B236)),"")</f>
        <v/>
      </c>
      <c r="AC3234" t="str">
        <f>IF(AA3234="","",'Procyclean 600'!C236)</f>
        <v/>
      </c>
      <c r="AD3234" t="str">
        <f>IF(AA3234="","",IFERROR(1*'Procyclean 600'!D236,IFERROR(_xludf.NUMBERVALUE('Procyclean 600'!D236,".",","),IFERROR(_xludf.NUMBERVALUE('Procyclean 600'!D236,",","."),0))))</f>
        <v/>
      </c>
      <c r="AE3234" t="str">
        <f>IF(AA3234="","",'Procyclean 600'!K236)</f>
        <v/>
      </c>
      <c r="AF3234">
        <f t="shared" si="317"/>
        <v>0</v>
      </c>
      <c r="AG3234" t="str">
        <f t="shared" si="318"/>
        <v/>
      </c>
      <c r="AH3234" t="str">
        <f t="shared" si="319"/>
        <v/>
      </c>
      <c r="AI3234">
        <f t="shared" si="320"/>
        <v>0</v>
      </c>
      <c r="AJ3234">
        <f t="shared" si="321"/>
        <v>0</v>
      </c>
      <c r="AK3234">
        <v>0</v>
      </c>
      <c r="AL3234" t="str">
        <f>IF(AA3234="","",IFERROR(IF(ISNUMBER('Procyclean 600'!E236),'Procyclean 600'!E236,IF(ISNUMBER(SEARCH("12",'Procyclean 600'!E236)),EDATE(AB3234,12),IF(ISNUMBER(SEARCH("6",'Procyclean 600'!E236)),EDATE(AB3234,6),IF(ISNUMBER(SEARCH("3",'Procyclean 600'!E236)),EDATE(AB3234,3),DATEVALUE('Procyclean 600'!E236))))),""))</f>
        <v/>
      </c>
      <c r="AM3234" t="str">
        <f t="shared" ca="1" si="322"/>
        <v/>
      </c>
    </row>
    <row r="3235" spans="27:39" x14ac:dyDescent="0.3">
      <c r="AA3235" t="str">
        <f>IF(COUNTA('Procyclean 600'!B237,'Procyclean 600'!C237,'Procyclean 600'!D237)&gt;0,"600","")</f>
        <v/>
      </c>
      <c r="AB3235" t="str">
        <f>IFERROR(IF(ISNUMBER('Procyclean 600'!B237),'Procyclean 600'!B237,DATEVALUE('Procyclean 600'!B237)),"")</f>
        <v/>
      </c>
      <c r="AC3235" t="str">
        <f>IF(AA3235="","",'Procyclean 600'!C237)</f>
        <v/>
      </c>
      <c r="AD3235" t="str">
        <f>IF(AA3235="","",IFERROR(1*'Procyclean 600'!D237,IFERROR(_xludf.NUMBERVALUE('Procyclean 600'!D237,".",","),IFERROR(_xludf.NUMBERVALUE('Procyclean 600'!D237,",","."),0))))</f>
        <v/>
      </c>
      <c r="AE3235" t="str">
        <f>IF(AA3235="","",'Procyclean 600'!K237)</f>
        <v/>
      </c>
      <c r="AF3235">
        <f t="shared" si="317"/>
        <v>0</v>
      </c>
      <c r="AG3235" t="str">
        <f t="shared" si="318"/>
        <v/>
      </c>
      <c r="AH3235" t="str">
        <f t="shared" si="319"/>
        <v/>
      </c>
      <c r="AI3235">
        <f t="shared" si="320"/>
        <v>0</v>
      </c>
      <c r="AJ3235">
        <f t="shared" si="321"/>
        <v>0</v>
      </c>
      <c r="AK3235">
        <v>0</v>
      </c>
      <c r="AL3235" t="str">
        <f>IF(AA3235="","",IFERROR(IF(ISNUMBER('Procyclean 600'!E237),'Procyclean 600'!E237,IF(ISNUMBER(SEARCH("12",'Procyclean 600'!E237)),EDATE(AB3235,12),IF(ISNUMBER(SEARCH("6",'Procyclean 600'!E237)),EDATE(AB3235,6),IF(ISNUMBER(SEARCH("3",'Procyclean 600'!E237)),EDATE(AB3235,3),DATEVALUE('Procyclean 600'!E237))))),""))</f>
        <v/>
      </c>
      <c r="AM3235" t="str">
        <f t="shared" ca="1" si="322"/>
        <v/>
      </c>
    </row>
    <row r="3236" spans="27:39" x14ac:dyDescent="0.3">
      <c r="AA3236" t="str">
        <f>IF(COUNTA('Procyclean 600'!B238,'Procyclean 600'!C238,'Procyclean 600'!D238)&gt;0,"600","")</f>
        <v/>
      </c>
      <c r="AB3236" t="str">
        <f>IFERROR(IF(ISNUMBER('Procyclean 600'!B238),'Procyclean 600'!B238,DATEVALUE('Procyclean 600'!B238)),"")</f>
        <v/>
      </c>
      <c r="AC3236" t="str">
        <f>IF(AA3236="","",'Procyclean 600'!C238)</f>
        <v/>
      </c>
      <c r="AD3236" t="str">
        <f>IF(AA3236="","",IFERROR(1*'Procyclean 600'!D238,IFERROR(_xludf.NUMBERVALUE('Procyclean 600'!D238,".",","),IFERROR(_xludf.NUMBERVALUE('Procyclean 600'!D238,",","."),0))))</f>
        <v/>
      </c>
      <c r="AE3236" t="str">
        <f>IF(AA3236="","",'Procyclean 600'!K238)</f>
        <v/>
      </c>
      <c r="AF3236">
        <f t="shared" si="317"/>
        <v>0</v>
      </c>
      <c r="AG3236" t="str">
        <f t="shared" si="318"/>
        <v/>
      </c>
      <c r="AH3236" t="str">
        <f t="shared" si="319"/>
        <v/>
      </c>
      <c r="AI3236">
        <f t="shared" si="320"/>
        <v>0</v>
      </c>
      <c r="AJ3236">
        <f t="shared" si="321"/>
        <v>0</v>
      </c>
      <c r="AK3236">
        <v>0</v>
      </c>
      <c r="AL3236" t="str">
        <f>IF(AA3236="","",IFERROR(IF(ISNUMBER('Procyclean 600'!E238),'Procyclean 600'!E238,IF(ISNUMBER(SEARCH("12",'Procyclean 600'!E238)),EDATE(AB3236,12),IF(ISNUMBER(SEARCH("6",'Procyclean 600'!E238)),EDATE(AB3236,6),IF(ISNUMBER(SEARCH("3",'Procyclean 600'!E238)),EDATE(AB3236,3),DATEVALUE('Procyclean 600'!E238))))),""))</f>
        <v/>
      </c>
      <c r="AM3236" t="str">
        <f t="shared" ca="1" si="322"/>
        <v/>
      </c>
    </row>
    <row r="3237" spans="27:39" x14ac:dyDescent="0.3">
      <c r="AA3237" t="str">
        <f>IF(COUNTA('Procyclean 600'!B239,'Procyclean 600'!C239,'Procyclean 600'!D239)&gt;0,"600","")</f>
        <v/>
      </c>
      <c r="AB3237" t="str">
        <f>IFERROR(IF(ISNUMBER('Procyclean 600'!B239),'Procyclean 600'!B239,DATEVALUE('Procyclean 600'!B239)),"")</f>
        <v/>
      </c>
      <c r="AC3237" t="str">
        <f>IF(AA3237="","",'Procyclean 600'!C239)</f>
        <v/>
      </c>
      <c r="AD3237" t="str">
        <f>IF(AA3237="","",IFERROR(1*'Procyclean 600'!D239,IFERROR(_xludf.NUMBERVALUE('Procyclean 600'!D239,".",","),IFERROR(_xludf.NUMBERVALUE('Procyclean 600'!D239,",","."),0))))</f>
        <v/>
      </c>
      <c r="AE3237" t="str">
        <f>IF(AA3237="","",'Procyclean 600'!K239)</f>
        <v/>
      </c>
      <c r="AF3237">
        <f t="shared" si="317"/>
        <v>0</v>
      </c>
      <c r="AG3237" t="str">
        <f t="shared" si="318"/>
        <v/>
      </c>
      <c r="AH3237" t="str">
        <f t="shared" si="319"/>
        <v/>
      </c>
      <c r="AI3237">
        <f t="shared" si="320"/>
        <v>0</v>
      </c>
      <c r="AJ3237">
        <f t="shared" si="321"/>
        <v>0</v>
      </c>
      <c r="AK3237">
        <v>0</v>
      </c>
      <c r="AL3237" t="str">
        <f>IF(AA3237="","",IFERROR(IF(ISNUMBER('Procyclean 600'!E239),'Procyclean 600'!E239,IF(ISNUMBER(SEARCH("12",'Procyclean 600'!E239)),EDATE(AB3237,12),IF(ISNUMBER(SEARCH("6",'Procyclean 600'!E239)),EDATE(AB3237,6),IF(ISNUMBER(SEARCH("3",'Procyclean 600'!E239)),EDATE(AB3237,3),DATEVALUE('Procyclean 600'!E239))))),""))</f>
        <v/>
      </c>
      <c r="AM3237" t="str">
        <f t="shared" ca="1" si="322"/>
        <v/>
      </c>
    </row>
    <row r="3238" spans="27:39" x14ac:dyDescent="0.3">
      <c r="AA3238" t="str">
        <f>IF(COUNTA('Procyclean 600'!B240,'Procyclean 600'!C240,'Procyclean 600'!D240)&gt;0,"600","")</f>
        <v/>
      </c>
      <c r="AB3238" t="str">
        <f>IFERROR(IF(ISNUMBER('Procyclean 600'!B240),'Procyclean 600'!B240,DATEVALUE('Procyclean 600'!B240)),"")</f>
        <v/>
      </c>
      <c r="AC3238" t="str">
        <f>IF(AA3238="","",'Procyclean 600'!C240)</f>
        <v/>
      </c>
      <c r="AD3238" t="str">
        <f>IF(AA3238="","",IFERROR(1*'Procyclean 600'!D240,IFERROR(_xludf.NUMBERVALUE('Procyclean 600'!D240,".",","),IFERROR(_xludf.NUMBERVALUE('Procyclean 600'!D240,",","."),0))))</f>
        <v/>
      </c>
      <c r="AE3238" t="str">
        <f>IF(AA3238="","",'Procyclean 600'!K240)</f>
        <v/>
      </c>
      <c r="AF3238">
        <f t="shared" si="317"/>
        <v>0</v>
      </c>
      <c r="AG3238" t="str">
        <f t="shared" si="318"/>
        <v/>
      </c>
      <c r="AH3238" t="str">
        <f t="shared" si="319"/>
        <v/>
      </c>
      <c r="AI3238">
        <f t="shared" si="320"/>
        <v>0</v>
      </c>
      <c r="AJ3238">
        <f t="shared" si="321"/>
        <v>0</v>
      </c>
      <c r="AK3238">
        <v>0</v>
      </c>
      <c r="AL3238" t="str">
        <f>IF(AA3238="","",IFERROR(IF(ISNUMBER('Procyclean 600'!E240),'Procyclean 600'!E240,IF(ISNUMBER(SEARCH("12",'Procyclean 600'!E240)),EDATE(AB3238,12),IF(ISNUMBER(SEARCH("6",'Procyclean 600'!E240)),EDATE(AB3238,6),IF(ISNUMBER(SEARCH("3",'Procyclean 600'!E240)),EDATE(AB3238,3),DATEVALUE('Procyclean 600'!E240))))),""))</f>
        <v/>
      </c>
      <c r="AM3238" t="str">
        <f t="shared" ca="1" si="322"/>
        <v/>
      </c>
    </row>
    <row r="3239" spans="27:39" x14ac:dyDescent="0.3">
      <c r="AA3239" t="str">
        <f>IF(COUNTA('Procyclean 600'!B241,'Procyclean 600'!C241,'Procyclean 600'!D241)&gt;0,"600","")</f>
        <v/>
      </c>
      <c r="AB3239" t="str">
        <f>IFERROR(IF(ISNUMBER('Procyclean 600'!B241),'Procyclean 600'!B241,DATEVALUE('Procyclean 600'!B241)),"")</f>
        <v/>
      </c>
      <c r="AC3239" t="str">
        <f>IF(AA3239="","",'Procyclean 600'!C241)</f>
        <v/>
      </c>
      <c r="AD3239" t="str">
        <f>IF(AA3239="","",IFERROR(1*'Procyclean 600'!D241,IFERROR(_xludf.NUMBERVALUE('Procyclean 600'!D241,".",","),IFERROR(_xludf.NUMBERVALUE('Procyclean 600'!D241,",","."),0))))</f>
        <v/>
      </c>
      <c r="AE3239" t="str">
        <f>IF(AA3239="","",'Procyclean 600'!K241)</f>
        <v/>
      </c>
      <c r="AF3239">
        <f t="shared" si="317"/>
        <v>0</v>
      </c>
      <c r="AG3239" t="str">
        <f t="shared" si="318"/>
        <v/>
      </c>
      <c r="AH3239" t="str">
        <f t="shared" si="319"/>
        <v/>
      </c>
      <c r="AI3239">
        <f t="shared" si="320"/>
        <v>0</v>
      </c>
      <c r="AJ3239">
        <f t="shared" si="321"/>
        <v>0</v>
      </c>
      <c r="AK3239">
        <v>0</v>
      </c>
      <c r="AL3239" t="str">
        <f>IF(AA3239="","",IFERROR(IF(ISNUMBER('Procyclean 600'!E241),'Procyclean 600'!E241,IF(ISNUMBER(SEARCH("12",'Procyclean 600'!E241)),EDATE(AB3239,12),IF(ISNUMBER(SEARCH("6",'Procyclean 600'!E241)),EDATE(AB3239,6),IF(ISNUMBER(SEARCH("3",'Procyclean 600'!E241)),EDATE(AB3239,3),DATEVALUE('Procyclean 600'!E241))))),""))</f>
        <v/>
      </c>
      <c r="AM3239" t="str">
        <f t="shared" ca="1" si="322"/>
        <v/>
      </c>
    </row>
    <row r="3240" spans="27:39" x14ac:dyDescent="0.3">
      <c r="AA3240" t="str">
        <f>IF(COUNTA('Procyclean 600'!B242,'Procyclean 600'!C242,'Procyclean 600'!D242)&gt;0,"600","")</f>
        <v/>
      </c>
      <c r="AB3240" t="str">
        <f>IFERROR(IF(ISNUMBER('Procyclean 600'!B242),'Procyclean 600'!B242,DATEVALUE('Procyclean 600'!B242)),"")</f>
        <v/>
      </c>
      <c r="AC3240" t="str">
        <f>IF(AA3240="","",'Procyclean 600'!C242)</f>
        <v/>
      </c>
      <c r="AD3240" t="str">
        <f>IF(AA3240="","",IFERROR(1*'Procyclean 600'!D242,IFERROR(_xludf.NUMBERVALUE('Procyclean 600'!D242,".",","),IFERROR(_xludf.NUMBERVALUE('Procyclean 600'!D242,",","."),0))))</f>
        <v/>
      </c>
      <c r="AE3240" t="str">
        <f>IF(AA3240="","",'Procyclean 600'!K242)</f>
        <v/>
      </c>
      <c r="AF3240">
        <f t="shared" si="317"/>
        <v>0</v>
      </c>
      <c r="AG3240" t="str">
        <f t="shared" si="318"/>
        <v/>
      </c>
      <c r="AH3240" t="str">
        <f t="shared" si="319"/>
        <v/>
      </c>
      <c r="AI3240">
        <f t="shared" si="320"/>
        <v>0</v>
      </c>
      <c r="AJ3240">
        <f t="shared" si="321"/>
        <v>0</v>
      </c>
      <c r="AK3240">
        <v>0</v>
      </c>
      <c r="AL3240" t="str">
        <f>IF(AA3240="","",IFERROR(IF(ISNUMBER('Procyclean 600'!E242),'Procyclean 600'!E242,IF(ISNUMBER(SEARCH("12",'Procyclean 600'!E242)),EDATE(AB3240,12),IF(ISNUMBER(SEARCH("6",'Procyclean 600'!E242)),EDATE(AB3240,6),IF(ISNUMBER(SEARCH("3",'Procyclean 600'!E242)),EDATE(AB3240,3),DATEVALUE('Procyclean 600'!E242))))),""))</f>
        <v/>
      </c>
      <c r="AM3240" t="str">
        <f t="shared" ca="1" si="322"/>
        <v/>
      </c>
    </row>
    <row r="3241" spans="27:39" x14ac:dyDescent="0.3">
      <c r="AA3241" t="str">
        <f>IF(COUNTA('Procyclean 600'!B243,'Procyclean 600'!C243,'Procyclean 600'!D243)&gt;0,"600","")</f>
        <v/>
      </c>
      <c r="AB3241" t="str">
        <f>IFERROR(IF(ISNUMBER('Procyclean 600'!B243),'Procyclean 600'!B243,DATEVALUE('Procyclean 600'!B243)),"")</f>
        <v/>
      </c>
      <c r="AC3241" t="str">
        <f>IF(AA3241="","",'Procyclean 600'!C243)</f>
        <v/>
      </c>
      <c r="AD3241" t="str">
        <f>IF(AA3241="","",IFERROR(1*'Procyclean 600'!D243,IFERROR(_xludf.NUMBERVALUE('Procyclean 600'!D243,".",","),IFERROR(_xludf.NUMBERVALUE('Procyclean 600'!D243,",","."),0))))</f>
        <v/>
      </c>
      <c r="AE3241" t="str">
        <f>IF(AA3241="","",'Procyclean 600'!K243)</f>
        <v/>
      </c>
      <c r="AF3241">
        <f t="shared" si="317"/>
        <v>0</v>
      </c>
      <c r="AG3241" t="str">
        <f t="shared" si="318"/>
        <v/>
      </c>
      <c r="AH3241" t="str">
        <f t="shared" si="319"/>
        <v/>
      </c>
      <c r="AI3241">
        <f t="shared" si="320"/>
        <v>0</v>
      </c>
      <c r="AJ3241">
        <f t="shared" si="321"/>
        <v>0</v>
      </c>
      <c r="AK3241">
        <v>0</v>
      </c>
      <c r="AL3241" t="str">
        <f>IF(AA3241="","",IFERROR(IF(ISNUMBER('Procyclean 600'!E243),'Procyclean 600'!E243,IF(ISNUMBER(SEARCH("12",'Procyclean 600'!E243)),EDATE(AB3241,12),IF(ISNUMBER(SEARCH("6",'Procyclean 600'!E243)),EDATE(AB3241,6),IF(ISNUMBER(SEARCH("3",'Procyclean 600'!E243)),EDATE(AB3241,3),DATEVALUE('Procyclean 600'!E243))))),""))</f>
        <v/>
      </c>
      <c r="AM3241" t="str">
        <f t="shared" ca="1" si="322"/>
        <v/>
      </c>
    </row>
    <row r="3242" spans="27:39" x14ac:dyDescent="0.3">
      <c r="AA3242" t="str">
        <f>IF(COUNTA('Procyclean 600'!B244,'Procyclean 600'!C244,'Procyclean 600'!D244)&gt;0,"600","")</f>
        <v/>
      </c>
      <c r="AB3242" t="str">
        <f>IFERROR(IF(ISNUMBER('Procyclean 600'!B244),'Procyclean 600'!B244,DATEVALUE('Procyclean 600'!B244)),"")</f>
        <v/>
      </c>
      <c r="AC3242" t="str">
        <f>IF(AA3242="","",'Procyclean 600'!C244)</f>
        <v/>
      </c>
      <c r="AD3242" t="str">
        <f>IF(AA3242="","",IFERROR(1*'Procyclean 600'!D244,IFERROR(_xludf.NUMBERVALUE('Procyclean 600'!D244,".",","),IFERROR(_xludf.NUMBERVALUE('Procyclean 600'!D244,",","."),0))))</f>
        <v/>
      </c>
      <c r="AE3242" t="str">
        <f>IF(AA3242="","",'Procyclean 600'!K244)</f>
        <v/>
      </c>
      <c r="AF3242">
        <f t="shared" si="317"/>
        <v>0</v>
      </c>
      <c r="AG3242" t="str">
        <f t="shared" si="318"/>
        <v/>
      </c>
      <c r="AH3242" t="str">
        <f t="shared" si="319"/>
        <v/>
      </c>
      <c r="AI3242">
        <f t="shared" si="320"/>
        <v>0</v>
      </c>
      <c r="AJ3242">
        <f t="shared" si="321"/>
        <v>0</v>
      </c>
      <c r="AK3242">
        <v>0</v>
      </c>
      <c r="AL3242" t="str">
        <f>IF(AA3242="","",IFERROR(IF(ISNUMBER('Procyclean 600'!E244),'Procyclean 600'!E244,IF(ISNUMBER(SEARCH("12",'Procyclean 600'!E244)),EDATE(AB3242,12),IF(ISNUMBER(SEARCH("6",'Procyclean 600'!E244)),EDATE(AB3242,6),IF(ISNUMBER(SEARCH("3",'Procyclean 600'!E244)),EDATE(AB3242,3),DATEVALUE('Procyclean 600'!E244))))),""))</f>
        <v/>
      </c>
      <c r="AM3242" t="str">
        <f t="shared" ca="1" si="322"/>
        <v/>
      </c>
    </row>
    <row r="3243" spans="27:39" x14ac:dyDescent="0.3">
      <c r="AA3243" t="str">
        <f>IF(COUNTA('Procyclean 600'!B245,'Procyclean 600'!C245,'Procyclean 600'!D245)&gt;0,"600","")</f>
        <v/>
      </c>
      <c r="AB3243" t="str">
        <f>IFERROR(IF(ISNUMBER('Procyclean 600'!B245),'Procyclean 600'!B245,DATEVALUE('Procyclean 600'!B245)),"")</f>
        <v/>
      </c>
      <c r="AC3243" t="str">
        <f>IF(AA3243="","",'Procyclean 600'!C245)</f>
        <v/>
      </c>
      <c r="AD3243" t="str">
        <f>IF(AA3243="","",IFERROR(1*'Procyclean 600'!D245,IFERROR(_xludf.NUMBERVALUE('Procyclean 600'!D245,".",","),IFERROR(_xludf.NUMBERVALUE('Procyclean 600'!D245,",","."),0))))</f>
        <v/>
      </c>
      <c r="AE3243" t="str">
        <f>IF(AA3243="","",'Procyclean 600'!K245)</f>
        <v/>
      </c>
      <c r="AF3243">
        <f t="shared" si="317"/>
        <v>0</v>
      </c>
      <c r="AG3243" t="str">
        <f t="shared" si="318"/>
        <v/>
      </c>
      <c r="AH3243" t="str">
        <f t="shared" si="319"/>
        <v/>
      </c>
      <c r="AI3243">
        <f t="shared" si="320"/>
        <v>0</v>
      </c>
      <c r="AJ3243">
        <f t="shared" si="321"/>
        <v>0</v>
      </c>
      <c r="AK3243">
        <v>0</v>
      </c>
      <c r="AL3243" t="str">
        <f>IF(AA3243="","",IFERROR(IF(ISNUMBER('Procyclean 600'!E245),'Procyclean 600'!E245,IF(ISNUMBER(SEARCH("12",'Procyclean 600'!E245)),EDATE(AB3243,12),IF(ISNUMBER(SEARCH("6",'Procyclean 600'!E245)),EDATE(AB3243,6),IF(ISNUMBER(SEARCH("3",'Procyclean 600'!E245)),EDATE(AB3243,3),DATEVALUE('Procyclean 600'!E245))))),""))</f>
        <v/>
      </c>
      <c r="AM3243" t="str">
        <f t="shared" ca="1" si="322"/>
        <v/>
      </c>
    </row>
    <row r="3244" spans="27:39" x14ac:dyDescent="0.3">
      <c r="AA3244" t="str">
        <f>IF(COUNTA('Procyclean 600'!B246,'Procyclean 600'!C246,'Procyclean 600'!D246)&gt;0,"600","")</f>
        <v/>
      </c>
      <c r="AB3244" t="str">
        <f>IFERROR(IF(ISNUMBER('Procyclean 600'!B246),'Procyclean 600'!B246,DATEVALUE('Procyclean 600'!B246)),"")</f>
        <v/>
      </c>
      <c r="AC3244" t="str">
        <f>IF(AA3244="","",'Procyclean 600'!C246)</f>
        <v/>
      </c>
      <c r="AD3244" t="str">
        <f>IF(AA3244="","",IFERROR(1*'Procyclean 600'!D246,IFERROR(_xludf.NUMBERVALUE('Procyclean 600'!D246,".",","),IFERROR(_xludf.NUMBERVALUE('Procyclean 600'!D246,",","."),0))))</f>
        <v/>
      </c>
      <c r="AE3244" t="str">
        <f>IF(AA3244="","",'Procyclean 600'!K246)</f>
        <v/>
      </c>
      <c r="AF3244">
        <f t="shared" si="317"/>
        <v>0</v>
      </c>
      <c r="AG3244" t="str">
        <f t="shared" si="318"/>
        <v/>
      </c>
      <c r="AH3244" t="str">
        <f t="shared" si="319"/>
        <v/>
      </c>
      <c r="AI3244">
        <f t="shared" si="320"/>
        <v>0</v>
      </c>
      <c r="AJ3244">
        <f t="shared" si="321"/>
        <v>0</v>
      </c>
      <c r="AK3244">
        <v>0</v>
      </c>
      <c r="AL3244" t="str">
        <f>IF(AA3244="","",IFERROR(IF(ISNUMBER('Procyclean 600'!E246),'Procyclean 600'!E246,IF(ISNUMBER(SEARCH("12",'Procyclean 600'!E246)),EDATE(AB3244,12),IF(ISNUMBER(SEARCH("6",'Procyclean 600'!E246)),EDATE(AB3244,6),IF(ISNUMBER(SEARCH("3",'Procyclean 600'!E246)),EDATE(AB3244,3),DATEVALUE('Procyclean 600'!E246))))),""))</f>
        <v/>
      </c>
      <c r="AM3244" t="str">
        <f t="shared" ca="1" si="322"/>
        <v/>
      </c>
    </row>
    <row r="3245" spans="27:39" x14ac:dyDescent="0.3">
      <c r="AA3245" t="str">
        <f>IF(COUNTA('Procyclean 600'!B247,'Procyclean 600'!C247,'Procyclean 600'!D247)&gt;0,"600","")</f>
        <v/>
      </c>
      <c r="AB3245" t="str">
        <f>IFERROR(IF(ISNUMBER('Procyclean 600'!B247),'Procyclean 600'!B247,DATEVALUE('Procyclean 600'!B247)),"")</f>
        <v/>
      </c>
      <c r="AC3245" t="str">
        <f>IF(AA3245="","",'Procyclean 600'!C247)</f>
        <v/>
      </c>
      <c r="AD3245" t="str">
        <f>IF(AA3245="","",IFERROR(1*'Procyclean 600'!D247,IFERROR(_xludf.NUMBERVALUE('Procyclean 600'!D247,".",","),IFERROR(_xludf.NUMBERVALUE('Procyclean 600'!D247,",","."),0))))</f>
        <v/>
      </c>
      <c r="AE3245" t="str">
        <f>IF(AA3245="","",'Procyclean 600'!K247)</f>
        <v/>
      </c>
      <c r="AF3245">
        <f t="shared" si="317"/>
        <v>0</v>
      </c>
      <c r="AG3245" t="str">
        <f t="shared" si="318"/>
        <v/>
      </c>
      <c r="AH3245" t="str">
        <f t="shared" si="319"/>
        <v/>
      </c>
      <c r="AI3245">
        <f t="shared" si="320"/>
        <v>0</v>
      </c>
      <c r="AJ3245">
        <f t="shared" si="321"/>
        <v>0</v>
      </c>
      <c r="AK3245">
        <v>0</v>
      </c>
      <c r="AL3245" t="str">
        <f>IF(AA3245="","",IFERROR(IF(ISNUMBER('Procyclean 600'!E247),'Procyclean 600'!E247,IF(ISNUMBER(SEARCH("12",'Procyclean 600'!E247)),EDATE(AB3245,12),IF(ISNUMBER(SEARCH("6",'Procyclean 600'!E247)),EDATE(AB3245,6),IF(ISNUMBER(SEARCH("3",'Procyclean 600'!E247)),EDATE(AB3245,3),DATEVALUE('Procyclean 600'!E247))))),""))</f>
        <v/>
      </c>
      <c r="AM3245" t="str">
        <f t="shared" ca="1" si="322"/>
        <v/>
      </c>
    </row>
    <row r="3246" spans="27:39" x14ac:dyDescent="0.3">
      <c r="AA3246" t="str">
        <f>IF(COUNTA('Procyclean 600'!B248,'Procyclean 600'!C248,'Procyclean 600'!D248)&gt;0,"600","")</f>
        <v/>
      </c>
      <c r="AB3246" t="str">
        <f>IFERROR(IF(ISNUMBER('Procyclean 600'!B248),'Procyclean 600'!B248,DATEVALUE('Procyclean 600'!B248)),"")</f>
        <v/>
      </c>
      <c r="AC3246" t="str">
        <f>IF(AA3246="","",'Procyclean 600'!C248)</f>
        <v/>
      </c>
      <c r="AD3246" t="str">
        <f>IF(AA3246="","",IFERROR(1*'Procyclean 600'!D248,IFERROR(_xludf.NUMBERVALUE('Procyclean 600'!D248,".",","),IFERROR(_xludf.NUMBERVALUE('Procyclean 600'!D248,",","."),0))))</f>
        <v/>
      </c>
      <c r="AE3246" t="str">
        <f>IF(AA3246="","",'Procyclean 600'!K248)</f>
        <v/>
      </c>
      <c r="AF3246">
        <f t="shared" si="317"/>
        <v>0</v>
      </c>
      <c r="AG3246" t="str">
        <f t="shared" si="318"/>
        <v/>
      </c>
      <c r="AH3246" t="str">
        <f t="shared" si="319"/>
        <v/>
      </c>
      <c r="AI3246">
        <f t="shared" si="320"/>
        <v>0</v>
      </c>
      <c r="AJ3246">
        <f t="shared" si="321"/>
        <v>0</v>
      </c>
      <c r="AK3246">
        <v>0</v>
      </c>
      <c r="AL3246" t="str">
        <f>IF(AA3246="","",IFERROR(IF(ISNUMBER('Procyclean 600'!E248),'Procyclean 600'!E248,IF(ISNUMBER(SEARCH("12",'Procyclean 600'!E248)),EDATE(AB3246,12),IF(ISNUMBER(SEARCH("6",'Procyclean 600'!E248)),EDATE(AB3246,6),IF(ISNUMBER(SEARCH("3",'Procyclean 600'!E248)),EDATE(AB3246,3),DATEVALUE('Procyclean 600'!E248))))),""))</f>
        <v/>
      </c>
      <c r="AM3246" t="str">
        <f t="shared" ca="1" si="322"/>
        <v/>
      </c>
    </row>
    <row r="3247" spans="27:39" x14ac:dyDescent="0.3">
      <c r="AA3247" t="str">
        <f>IF(COUNTA('Procyclean 600'!B249,'Procyclean 600'!C249,'Procyclean 600'!D249)&gt;0,"600","")</f>
        <v/>
      </c>
      <c r="AB3247" t="str">
        <f>IFERROR(IF(ISNUMBER('Procyclean 600'!B249),'Procyclean 600'!B249,DATEVALUE('Procyclean 600'!B249)),"")</f>
        <v/>
      </c>
      <c r="AC3247" t="str">
        <f>IF(AA3247="","",'Procyclean 600'!C249)</f>
        <v/>
      </c>
      <c r="AD3247" t="str">
        <f>IF(AA3247="","",IFERROR(1*'Procyclean 600'!D249,IFERROR(_xludf.NUMBERVALUE('Procyclean 600'!D249,".",","),IFERROR(_xludf.NUMBERVALUE('Procyclean 600'!D249,",","."),0))))</f>
        <v/>
      </c>
      <c r="AE3247" t="str">
        <f>IF(AA3247="","",'Procyclean 600'!K249)</f>
        <v/>
      </c>
      <c r="AF3247">
        <f t="shared" si="317"/>
        <v>0</v>
      </c>
      <c r="AG3247" t="str">
        <f t="shared" si="318"/>
        <v/>
      </c>
      <c r="AH3247" t="str">
        <f t="shared" si="319"/>
        <v/>
      </c>
      <c r="AI3247">
        <f t="shared" si="320"/>
        <v>0</v>
      </c>
      <c r="AJ3247">
        <f t="shared" si="321"/>
        <v>0</v>
      </c>
      <c r="AK3247">
        <v>0</v>
      </c>
      <c r="AL3247" t="str">
        <f>IF(AA3247="","",IFERROR(IF(ISNUMBER('Procyclean 600'!E249),'Procyclean 600'!E249,IF(ISNUMBER(SEARCH("12",'Procyclean 600'!E249)),EDATE(AB3247,12),IF(ISNUMBER(SEARCH("6",'Procyclean 600'!E249)),EDATE(AB3247,6),IF(ISNUMBER(SEARCH("3",'Procyclean 600'!E249)),EDATE(AB3247,3),DATEVALUE('Procyclean 600'!E249))))),""))</f>
        <v/>
      </c>
      <c r="AM3247" t="str">
        <f t="shared" ca="1" si="322"/>
        <v/>
      </c>
    </row>
    <row r="3248" spans="27:39" x14ac:dyDescent="0.3">
      <c r="AA3248" t="str">
        <f>IF(COUNTA('Procyclean 600'!B250,'Procyclean 600'!C250,'Procyclean 600'!D250)&gt;0,"600","")</f>
        <v/>
      </c>
      <c r="AB3248" t="str">
        <f>IFERROR(IF(ISNUMBER('Procyclean 600'!B250),'Procyclean 600'!B250,DATEVALUE('Procyclean 600'!B250)),"")</f>
        <v/>
      </c>
      <c r="AC3248" t="str">
        <f>IF(AA3248="","",'Procyclean 600'!C250)</f>
        <v/>
      </c>
      <c r="AD3248" t="str">
        <f>IF(AA3248="","",IFERROR(1*'Procyclean 600'!D250,IFERROR(_xludf.NUMBERVALUE('Procyclean 600'!D250,".",","),IFERROR(_xludf.NUMBERVALUE('Procyclean 600'!D250,",","."),0))))</f>
        <v/>
      </c>
      <c r="AE3248" t="str">
        <f>IF(AA3248="","",'Procyclean 600'!K250)</f>
        <v/>
      </c>
      <c r="AF3248">
        <f t="shared" si="317"/>
        <v>0</v>
      </c>
      <c r="AG3248" t="str">
        <f t="shared" si="318"/>
        <v/>
      </c>
      <c r="AH3248" t="str">
        <f t="shared" si="319"/>
        <v/>
      </c>
      <c r="AI3248">
        <f t="shared" si="320"/>
        <v>0</v>
      </c>
      <c r="AJ3248">
        <f t="shared" si="321"/>
        <v>0</v>
      </c>
      <c r="AK3248">
        <v>0</v>
      </c>
      <c r="AL3248" t="str">
        <f>IF(AA3248="","",IFERROR(IF(ISNUMBER('Procyclean 600'!E250),'Procyclean 600'!E250,IF(ISNUMBER(SEARCH("12",'Procyclean 600'!E250)),EDATE(AB3248,12),IF(ISNUMBER(SEARCH("6",'Procyclean 600'!E250)),EDATE(AB3248,6),IF(ISNUMBER(SEARCH("3",'Procyclean 600'!E250)),EDATE(AB3248,3),DATEVALUE('Procyclean 600'!E250))))),""))</f>
        <v/>
      </c>
      <c r="AM3248" t="str">
        <f t="shared" ca="1" si="322"/>
        <v/>
      </c>
    </row>
    <row r="3249" spans="27:39" x14ac:dyDescent="0.3">
      <c r="AA3249" t="str">
        <f>IF(COUNTA('Procyclean 600'!B251,'Procyclean 600'!C251,'Procyclean 600'!D251)&gt;0,"600","")</f>
        <v/>
      </c>
      <c r="AB3249" t="str">
        <f>IFERROR(IF(ISNUMBER('Procyclean 600'!B251),'Procyclean 600'!B251,DATEVALUE('Procyclean 600'!B251)),"")</f>
        <v/>
      </c>
      <c r="AC3249" t="str">
        <f>IF(AA3249="","",'Procyclean 600'!C251)</f>
        <v/>
      </c>
      <c r="AD3249" t="str">
        <f>IF(AA3249="","",IFERROR(1*'Procyclean 600'!D251,IFERROR(_xludf.NUMBERVALUE('Procyclean 600'!D251,".",","),IFERROR(_xludf.NUMBERVALUE('Procyclean 600'!D251,",","."),0))))</f>
        <v/>
      </c>
      <c r="AE3249" t="str">
        <f>IF(AA3249="","",'Procyclean 600'!K251)</f>
        <v/>
      </c>
      <c r="AF3249">
        <f t="shared" si="317"/>
        <v>0</v>
      </c>
      <c r="AG3249" t="str">
        <f t="shared" si="318"/>
        <v/>
      </c>
      <c r="AH3249" t="str">
        <f t="shared" si="319"/>
        <v/>
      </c>
      <c r="AI3249">
        <f t="shared" si="320"/>
        <v>0</v>
      </c>
      <c r="AJ3249">
        <f t="shared" si="321"/>
        <v>0</v>
      </c>
      <c r="AK3249">
        <v>0</v>
      </c>
      <c r="AL3249" t="str">
        <f>IF(AA3249="","",IFERROR(IF(ISNUMBER('Procyclean 600'!E251),'Procyclean 600'!E251,IF(ISNUMBER(SEARCH("12",'Procyclean 600'!E251)),EDATE(AB3249,12),IF(ISNUMBER(SEARCH("6",'Procyclean 600'!E251)),EDATE(AB3249,6),IF(ISNUMBER(SEARCH("3",'Procyclean 600'!E251)),EDATE(AB3249,3),DATEVALUE('Procyclean 600'!E251))))),""))</f>
        <v/>
      </c>
      <c r="AM3249" t="str">
        <f t="shared" ca="1" si="322"/>
        <v/>
      </c>
    </row>
    <row r="3250" spans="27:39" x14ac:dyDescent="0.3">
      <c r="AA3250" t="str">
        <f>IF(COUNTA('Procyclean 600'!B252,'Procyclean 600'!C252,'Procyclean 600'!D252)&gt;0,"600","")</f>
        <v/>
      </c>
      <c r="AB3250" t="str">
        <f>IFERROR(IF(ISNUMBER('Procyclean 600'!B252),'Procyclean 600'!B252,DATEVALUE('Procyclean 600'!B252)),"")</f>
        <v/>
      </c>
      <c r="AC3250" t="str">
        <f>IF(AA3250="","",'Procyclean 600'!C252)</f>
        <v/>
      </c>
      <c r="AD3250" t="str">
        <f>IF(AA3250="","",IFERROR(1*'Procyclean 600'!D252,IFERROR(_xludf.NUMBERVALUE('Procyclean 600'!D252,".",","),IFERROR(_xludf.NUMBERVALUE('Procyclean 600'!D252,",","."),0))))</f>
        <v/>
      </c>
      <c r="AE3250" t="str">
        <f>IF(AA3250="","",'Procyclean 600'!K252)</f>
        <v/>
      </c>
      <c r="AF3250">
        <f t="shared" si="317"/>
        <v>0</v>
      </c>
      <c r="AG3250" t="str">
        <f t="shared" si="318"/>
        <v/>
      </c>
      <c r="AH3250" t="str">
        <f t="shared" si="319"/>
        <v/>
      </c>
      <c r="AI3250">
        <f t="shared" si="320"/>
        <v>0</v>
      </c>
      <c r="AJ3250">
        <f t="shared" si="321"/>
        <v>0</v>
      </c>
      <c r="AK3250">
        <v>0</v>
      </c>
      <c r="AL3250" t="str">
        <f>IF(AA3250="","",IFERROR(IF(ISNUMBER('Procyclean 600'!E252),'Procyclean 600'!E252,IF(ISNUMBER(SEARCH("12",'Procyclean 600'!E252)),EDATE(AB3250,12),IF(ISNUMBER(SEARCH("6",'Procyclean 600'!E252)),EDATE(AB3250,6),IF(ISNUMBER(SEARCH("3",'Procyclean 600'!E252)),EDATE(AB3250,3),DATEVALUE('Procyclean 600'!E252))))),""))</f>
        <v/>
      </c>
      <c r="AM3250" t="str">
        <f t="shared" ca="1" si="322"/>
        <v/>
      </c>
    </row>
    <row r="3251" spans="27:39" x14ac:dyDescent="0.3">
      <c r="AA3251" t="str">
        <f>IF(COUNTA('Procyclean 600'!B253,'Procyclean 600'!C253,'Procyclean 600'!D253)&gt;0,"600","")</f>
        <v/>
      </c>
      <c r="AB3251" t="str">
        <f>IFERROR(IF(ISNUMBER('Procyclean 600'!B253),'Procyclean 600'!B253,DATEVALUE('Procyclean 600'!B253)),"")</f>
        <v/>
      </c>
      <c r="AC3251" t="str">
        <f>IF(AA3251="","",'Procyclean 600'!C253)</f>
        <v/>
      </c>
      <c r="AD3251" t="str">
        <f>IF(AA3251="","",IFERROR(1*'Procyclean 600'!D253,IFERROR(_xludf.NUMBERVALUE('Procyclean 600'!D253,".",","),IFERROR(_xludf.NUMBERVALUE('Procyclean 600'!D253,",","."),0))))</f>
        <v/>
      </c>
      <c r="AE3251" t="str">
        <f>IF(AA3251="","",'Procyclean 600'!K253)</f>
        <v/>
      </c>
      <c r="AF3251">
        <f t="shared" si="317"/>
        <v>0</v>
      </c>
      <c r="AG3251" t="str">
        <f t="shared" si="318"/>
        <v/>
      </c>
      <c r="AH3251" t="str">
        <f t="shared" si="319"/>
        <v/>
      </c>
      <c r="AI3251">
        <f t="shared" si="320"/>
        <v>0</v>
      </c>
      <c r="AJ3251">
        <f t="shared" si="321"/>
        <v>0</v>
      </c>
      <c r="AK3251">
        <v>0</v>
      </c>
      <c r="AL3251" t="str">
        <f>IF(AA3251="","",IFERROR(IF(ISNUMBER('Procyclean 600'!E253),'Procyclean 600'!E253,IF(ISNUMBER(SEARCH("12",'Procyclean 600'!E253)),EDATE(AB3251,12),IF(ISNUMBER(SEARCH("6",'Procyclean 600'!E253)),EDATE(AB3251,6),IF(ISNUMBER(SEARCH("3",'Procyclean 600'!E253)),EDATE(AB3251,3),DATEVALUE('Procyclean 600'!E253))))),""))</f>
        <v/>
      </c>
      <c r="AM3251" t="str">
        <f t="shared" ca="1" si="322"/>
        <v/>
      </c>
    </row>
    <row r="3252" spans="27:39" x14ac:dyDescent="0.3">
      <c r="AA3252" t="str">
        <f>IF(COUNTA('Procyclean 600'!B254,'Procyclean 600'!C254,'Procyclean 600'!D254)&gt;0,"600","")</f>
        <v/>
      </c>
      <c r="AB3252" t="str">
        <f>IFERROR(IF(ISNUMBER('Procyclean 600'!B254),'Procyclean 600'!B254,DATEVALUE('Procyclean 600'!B254)),"")</f>
        <v/>
      </c>
      <c r="AC3252" t="str">
        <f>IF(AA3252="","",'Procyclean 600'!C254)</f>
        <v/>
      </c>
      <c r="AD3252" t="str">
        <f>IF(AA3252="","",IFERROR(1*'Procyclean 600'!D254,IFERROR(_xludf.NUMBERVALUE('Procyclean 600'!D254,".",","),IFERROR(_xludf.NUMBERVALUE('Procyclean 600'!D254,",","."),0))))</f>
        <v/>
      </c>
      <c r="AE3252" t="str">
        <f>IF(AA3252="","",'Procyclean 600'!K254)</f>
        <v/>
      </c>
      <c r="AF3252">
        <f t="shared" si="317"/>
        <v>0</v>
      </c>
      <c r="AG3252" t="str">
        <f t="shared" si="318"/>
        <v/>
      </c>
      <c r="AH3252" t="str">
        <f t="shared" si="319"/>
        <v/>
      </c>
      <c r="AI3252">
        <f t="shared" si="320"/>
        <v>0</v>
      </c>
      <c r="AJ3252">
        <f t="shared" si="321"/>
        <v>0</v>
      </c>
      <c r="AK3252">
        <v>0</v>
      </c>
      <c r="AL3252" t="str">
        <f>IF(AA3252="","",IFERROR(IF(ISNUMBER('Procyclean 600'!E254),'Procyclean 600'!E254,IF(ISNUMBER(SEARCH("12",'Procyclean 600'!E254)),EDATE(AB3252,12),IF(ISNUMBER(SEARCH("6",'Procyclean 600'!E254)),EDATE(AB3252,6),IF(ISNUMBER(SEARCH("3",'Procyclean 600'!E254)),EDATE(AB3252,3),DATEVALUE('Procyclean 600'!E254))))),""))</f>
        <v/>
      </c>
      <c r="AM3252" t="str">
        <f t="shared" ca="1" si="322"/>
        <v/>
      </c>
    </row>
    <row r="3253" spans="27:39" x14ac:dyDescent="0.3">
      <c r="AA3253" t="str">
        <f>IF(COUNTA('Procyclean 600'!B255,'Procyclean 600'!C255,'Procyclean 600'!D255)&gt;0,"600","")</f>
        <v/>
      </c>
      <c r="AB3253" t="str">
        <f>IFERROR(IF(ISNUMBER('Procyclean 600'!B255),'Procyclean 600'!B255,DATEVALUE('Procyclean 600'!B255)),"")</f>
        <v/>
      </c>
      <c r="AC3253" t="str">
        <f>IF(AA3253="","",'Procyclean 600'!C255)</f>
        <v/>
      </c>
      <c r="AD3253" t="str">
        <f>IF(AA3253="","",IFERROR(1*'Procyclean 600'!D255,IFERROR(_xludf.NUMBERVALUE('Procyclean 600'!D255,".",","),IFERROR(_xludf.NUMBERVALUE('Procyclean 600'!D255,",","."),0))))</f>
        <v/>
      </c>
      <c r="AE3253" t="str">
        <f>IF(AA3253="","",'Procyclean 600'!K255)</f>
        <v/>
      </c>
      <c r="AF3253">
        <f t="shared" si="317"/>
        <v>0</v>
      </c>
      <c r="AG3253" t="str">
        <f t="shared" si="318"/>
        <v/>
      </c>
      <c r="AH3253" t="str">
        <f t="shared" si="319"/>
        <v/>
      </c>
      <c r="AI3253">
        <f t="shared" si="320"/>
        <v>0</v>
      </c>
      <c r="AJ3253">
        <f t="shared" si="321"/>
        <v>0</v>
      </c>
      <c r="AK3253">
        <v>0</v>
      </c>
      <c r="AL3253" t="str">
        <f>IF(AA3253="","",IFERROR(IF(ISNUMBER('Procyclean 600'!E255),'Procyclean 600'!E255,IF(ISNUMBER(SEARCH("12",'Procyclean 600'!E255)),EDATE(AB3253,12),IF(ISNUMBER(SEARCH("6",'Procyclean 600'!E255)),EDATE(AB3253,6),IF(ISNUMBER(SEARCH("3",'Procyclean 600'!E255)),EDATE(AB3253,3),DATEVALUE('Procyclean 600'!E255))))),""))</f>
        <v/>
      </c>
      <c r="AM3253" t="str">
        <f t="shared" ca="1" si="322"/>
        <v/>
      </c>
    </row>
    <row r="3254" spans="27:39" x14ac:dyDescent="0.3">
      <c r="AA3254" t="str">
        <f>IF(COUNTA('Procyclean 600'!B256,'Procyclean 600'!C256,'Procyclean 600'!D256)&gt;0,"600","")</f>
        <v/>
      </c>
      <c r="AB3254" t="str">
        <f>IFERROR(IF(ISNUMBER('Procyclean 600'!B256),'Procyclean 600'!B256,DATEVALUE('Procyclean 600'!B256)),"")</f>
        <v/>
      </c>
      <c r="AC3254" t="str">
        <f>IF(AA3254="","",'Procyclean 600'!C256)</f>
        <v/>
      </c>
      <c r="AD3254" t="str">
        <f>IF(AA3254="","",IFERROR(1*'Procyclean 600'!D256,IFERROR(_xludf.NUMBERVALUE('Procyclean 600'!D256,".",","),IFERROR(_xludf.NUMBERVALUE('Procyclean 600'!D256,",","."),0))))</f>
        <v/>
      </c>
      <c r="AE3254" t="str">
        <f>IF(AA3254="","",'Procyclean 600'!K256)</f>
        <v/>
      </c>
      <c r="AF3254">
        <f t="shared" si="317"/>
        <v>0</v>
      </c>
      <c r="AG3254" t="str">
        <f t="shared" si="318"/>
        <v/>
      </c>
      <c r="AH3254" t="str">
        <f t="shared" si="319"/>
        <v/>
      </c>
      <c r="AI3254">
        <f t="shared" si="320"/>
        <v>0</v>
      </c>
      <c r="AJ3254">
        <f t="shared" si="321"/>
        <v>0</v>
      </c>
      <c r="AK3254">
        <v>0</v>
      </c>
      <c r="AL3254" t="str">
        <f>IF(AA3254="","",IFERROR(IF(ISNUMBER('Procyclean 600'!E256),'Procyclean 600'!E256,IF(ISNUMBER(SEARCH("12",'Procyclean 600'!E256)),EDATE(AB3254,12),IF(ISNUMBER(SEARCH("6",'Procyclean 600'!E256)),EDATE(AB3254,6),IF(ISNUMBER(SEARCH("3",'Procyclean 600'!E256)),EDATE(AB3254,3),DATEVALUE('Procyclean 600'!E256))))),""))</f>
        <v/>
      </c>
      <c r="AM3254" t="str">
        <f t="shared" ca="1" si="322"/>
        <v/>
      </c>
    </row>
    <row r="3255" spans="27:39" x14ac:dyDescent="0.3">
      <c r="AA3255" t="str">
        <f>IF(COUNTA('Procyclean 600'!B257,'Procyclean 600'!C257,'Procyclean 600'!D257)&gt;0,"600","")</f>
        <v/>
      </c>
      <c r="AB3255" t="str">
        <f>IFERROR(IF(ISNUMBER('Procyclean 600'!B257),'Procyclean 600'!B257,DATEVALUE('Procyclean 600'!B257)),"")</f>
        <v/>
      </c>
      <c r="AC3255" t="str">
        <f>IF(AA3255="","",'Procyclean 600'!C257)</f>
        <v/>
      </c>
      <c r="AD3255" t="str">
        <f>IF(AA3255="","",IFERROR(1*'Procyclean 600'!D257,IFERROR(_xludf.NUMBERVALUE('Procyclean 600'!D257,".",","),IFERROR(_xludf.NUMBERVALUE('Procyclean 600'!D257,",","."),0))))</f>
        <v/>
      </c>
      <c r="AE3255" t="str">
        <f>IF(AA3255="","",'Procyclean 600'!K257)</f>
        <v/>
      </c>
      <c r="AF3255">
        <f t="shared" si="317"/>
        <v>0</v>
      </c>
      <c r="AG3255" t="str">
        <f t="shared" si="318"/>
        <v/>
      </c>
      <c r="AH3255" t="str">
        <f t="shared" si="319"/>
        <v/>
      </c>
      <c r="AI3255">
        <f t="shared" si="320"/>
        <v>0</v>
      </c>
      <c r="AJ3255">
        <f t="shared" si="321"/>
        <v>0</v>
      </c>
      <c r="AK3255">
        <v>0</v>
      </c>
      <c r="AL3255" t="str">
        <f>IF(AA3255="","",IFERROR(IF(ISNUMBER('Procyclean 600'!E257),'Procyclean 600'!E257,IF(ISNUMBER(SEARCH("12",'Procyclean 600'!E257)),EDATE(AB3255,12),IF(ISNUMBER(SEARCH("6",'Procyclean 600'!E257)),EDATE(AB3255,6),IF(ISNUMBER(SEARCH("3",'Procyclean 600'!E257)),EDATE(AB3255,3),DATEVALUE('Procyclean 600'!E257))))),""))</f>
        <v/>
      </c>
      <c r="AM3255" t="str">
        <f t="shared" ca="1" si="322"/>
        <v/>
      </c>
    </row>
    <row r="3256" spans="27:39" x14ac:dyDescent="0.3">
      <c r="AA3256" t="str">
        <f>IF(COUNTA('Procyclean 600'!B258,'Procyclean 600'!C258,'Procyclean 600'!D258)&gt;0,"600","")</f>
        <v/>
      </c>
      <c r="AB3256" t="str">
        <f>IFERROR(IF(ISNUMBER('Procyclean 600'!B258),'Procyclean 600'!B258,DATEVALUE('Procyclean 600'!B258)),"")</f>
        <v/>
      </c>
      <c r="AC3256" t="str">
        <f>IF(AA3256="","",'Procyclean 600'!C258)</f>
        <v/>
      </c>
      <c r="AD3256" t="str">
        <f>IF(AA3256="","",IFERROR(1*'Procyclean 600'!D258,IFERROR(_xludf.NUMBERVALUE('Procyclean 600'!D258,".",","),IFERROR(_xludf.NUMBERVALUE('Procyclean 600'!D258,",","."),0))))</f>
        <v/>
      </c>
      <c r="AE3256" t="str">
        <f>IF(AA3256="","",'Procyclean 600'!K258)</f>
        <v/>
      </c>
      <c r="AF3256">
        <f t="shared" si="317"/>
        <v>0</v>
      </c>
      <c r="AG3256" t="str">
        <f t="shared" si="318"/>
        <v/>
      </c>
      <c r="AH3256" t="str">
        <f t="shared" si="319"/>
        <v/>
      </c>
      <c r="AI3256">
        <f t="shared" si="320"/>
        <v>0</v>
      </c>
      <c r="AJ3256">
        <f t="shared" si="321"/>
        <v>0</v>
      </c>
      <c r="AK3256">
        <v>0</v>
      </c>
      <c r="AL3256" t="str">
        <f>IF(AA3256="","",IFERROR(IF(ISNUMBER('Procyclean 600'!E258),'Procyclean 600'!E258,IF(ISNUMBER(SEARCH("12",'Procyclean 600'!E258)),EDATE(AB3256,12),IF(ISNUMBER(SEARCH("6",'Procyclean 600'!E258)),EDATE(AB3256,6),IF(ISNUMBER(SEARCH("3",'Procyclean 600'!E258)),EDATE(AB3256,3),DATEVALUE('Procyclean 600'!E258))))),""))</f>
        <v/>
      </c>
      <c r="AM3256" t="str">
        <f t="shared" ca="1" si="322"/>
        <v/>
      </c>
    </row>
    <row r="3257" spans="27:39" x14ac:dyDescent="0.3">
      <c r="AA3257" t="str">
        <f>IF(COUNTA('Procyclean 600'!B259,'Procyclean 600'!C259,'Procyclean 600'!D259)&gt;0,"600","")</f>
        <v/>
      </c>
      <c r="AB3257" t="str">
        <f>IFERROR(IF(ISNUMBER('Procyclean 600'!B259),'Procyclean 600'!B259,DATEVALUE('Procyclean 600'!B259)),"")</f>
        <v/>
      </c>
      <c r="AC3257" t="str">
        <f>IF(AA3257="","",'Procyclean 600'!C259)</f>
        <v/>
      </c>
      <c r="AD3257" t="str">
        <f>IF(AA3257="","",IFERROR(1*'Procyclean 600'!D259,IFERROR(_xludf.NUMBERVALUE('Procyclean 600'!D259,".",","),IFERROR(_xludf.NUMBERVALUE('Procyclean 600'!D259,",","."),0))))</f>
        <v/>
      </c>
      <c r="AE3257" t="str">
        <f>IF(AA3257="","",'Procyclean 600'!K259)</f>
        <v/>
      </c>
      <c r="AF3257">
        <f t="shared" si="317"/>
        <v>0</v>
      </c>
      <c r="AG3257" t="str">
        <f t="shared" si="318"/>
        <v/>
      </c>
      <c r="AH3257" t="str">
        <f t="shared" si="319"/>
        <v/>
      </c>
      <c r="AI3257">
        <f t="shared" si="320"/>
        <v>0</v>
      </c>
      <c r="AJ3257">
        <f t="shared" si="321"/>
        <v>0</v>
      </c>
      <c r="AK3257">
        <v>0</v>
      </c>
      <c r="AL3257" t="str">
        <f>IF(AA3257="","",IFERROR(IF(ISNUMBER('Procyclean 600'!E259),'Procyclean 600'!E259,IF(ISNUMBER(SEARCH("12",'Procyclean 600'!E259)),EDATE(AB3257,12),IF(ISNUMBER(SEARCH("6",'Procyclean 600'!E259)),EDATE(AB3257,6),IF(ISNUMBER(SEARCH("3",'Procyclean 600'!E259)),EDATE(AB3257,3),DATEVALUE('Procyclean 600'!E259))))),""))</f>
        <v/>
      </c>
      <c r="AM3257" t="str">
        <f t="shared" ca="1" si="322"/>
        <v/>
      </c>
    </row>
    <row r="3258" spans="27:39" x14ac:dyDescent="0.3">
      <c r="AA3258" t="str">
        <f>IF(COUNTA('Procyclean 600'!B260,'Procyclean 600'!C260,'Procyclean 600'!D260)&gt;0,"600","")</f>
        <v/>
      </c>
      <c r="AB3258" t="str">
        <f>IFERROR(IF(ISNUMBER('Procyclean 600'!B260),'Procyclean 600'!B260,DATEVALUE('Procyclean 600'!B260)),"")</f>
        <v/>
      </c>
      <c r="AC3258" t="str">
        <f>IF(AA3258="","",'Procyclean 600'!C260)</f>
        <v/>
      </c>
      <c r="AD3258" t="str">
        <f>IF(AA3258="","",IFERROR(1*'Procyclean 600'!D260,IFERROR(_xludf.NUMBERVALUE('Procyclean 600'!D260,".",","),IFERROR(_xludf.NUMBERVALUE('Procyclean 600'!D260,",","."),0))))</f>
        <v/>
      </c>
      <c r="AE3258" t="str">
        <f>IF(AA3258="","",'Procyclean 600'!K260)</f>
        <v/>
      </c>
      <c r="AF3258">
        <f t="shared" si="317"/>
        <v>0</v>
      </c>
      <c r="AG3258" t="str">
        <f t="shared" si="318"/>
        <v/>
      </c>
      <c r="AH3258" t="str">
        <f t="shared" si="319"/>
        <v/>
      </c>
      <c r="AI3258">
        <f t="shared" si="320"/>
        <v>0</v>
      </c>
      <c r="AJ3258">
        <f t="shared" si="321"/>
        <v>0</v>
      </c>
      <c r="AK3258">
        <v>0</v>
      </c>
      <c r="AL3258" t="str">
        <f>IF(AA3258="","",IFERROR(IF(ISNUMBER('Procyclean 600'!E260),'Procyclean 600'!E260,IF(ISNUMBER(SEARCH("12",'Procyclean 600'!E260)),EDATE(AB3258,12),IF(ISNUMBER(SEARCH("6",'Procyclean 600'!E260)),EDATE(AB3258,6),IF(ISNUMBER(SEARCH("3",'Procyclean 600'!E260)),EDATE(AB3258,3),DATEVALUE('Procyclean 600'!E260))))),""))</f>
        <v/>
      </c>
      <c r="AM3258" t="str">
        <f t="shared" ca="1" si="322"/>
        <v/>
      </c>
    </row>
    <row r="3259" spans="27:39" x14ac:dyDescent="0.3">
      <c r="AA3259" t="str">
        <f>IF(COUNTA('Procyclean 600'!B261,'Procyclean 600'!C261,'Procyclean 600'!D261)&gt;0,"600","")</f>
        <v/>
      </c>
      <c r="AB3259" t="str">
        <f>IFERROR(IF(ISNUMBER('Procyclean 600'!B261),'Procyclean 600'!B261,DATEVALUE('Procyclean 600'!B261)),"")</f>
        <v/>
      </c>
      <c r="AC3259" t="str">
        <f>IF(AA3259="","",'Procyclean 600'!C261)</f>
        <v/>
      </c>
      <c r="AD3259" t="str">
        <f>IF(AA3259="","",IFERROR(1*'Procyclean 600'!D261,IFERROR(_xludf.NUMBERVALUE('Procyclean 600'!D261,".",","),IFERROR(_xludf.NUMBERVALUE('Procyclean 600'!D261,",","."),0))))</f>
        <v/>
      </c>
      <c r="AE3259" t="str">
        <f>IF(AA3259="","",'Procyclean 600'!K261)</f>
        <v/>
      </c>
      <c r="AF3259">
        <f t="shared" si="317"/>
        <v>0</v>
      </c>
      <c r="AG3259" t="str">
        <f t="shared" si="318"/>
        <v/>
      </c>
      <c r="AH3259" t="str">
        <f t="shared" si="319"/>
        <v/>
      </c>
      <c r="AI3259">
        <f t="shared" si="320"/>
        <v>0</v>
      </c>
      <c r="AJ3259">
        <f t="shared" si="321"/>
        <v>0</v>
      </c>
      <c r="AK3259">
        <v>0</v>
      </c>
      <c r="AL3259" t="str">
        <f>IF(AA3259="","",IFERROR(IF(ISNUMBER('Procyclean 600'!E261),'Procyclean 600'!E261,IF(ISNUMBER(SEARCH("12",'Procyclean 600'!E261)),EDATE(AB3259,12),IF(ISNUMBER(SEARCH("6",'Procyclean 600'!E261)),EDATE(AB3259,6),IF(ISNUMBER(SEARCH("3",'Procyclean 600'!E261)),EDATE(AB3259,3),DATEVALUE('Procyclean 600'!E261))))),""))</f>
        <v/>
      </c>
      <c r="AM3259" t="str">
        <f t="shared" ca="1" si="322"/>
        <v/>
      </c>
    </row>
    <row r="3260" spans="27:39" x14ac:dyDescent="0.3">
      <c r="AA3260" t="str">
        <f>IF(COUNTA('Procyclean 600'!B262,'Procyclean 600'!C262,'Procyclean 600'!D262)&gt;0,"600","")</f>
        <v/>
      </c>
      <c r="AB3260" t="str">
        <f>IFERROR(IF(ISNUMBER('Procyclean 600'!B262),'Procyclean 600'!B262,DATEVALUE('Procyclean 600'!B262)),"")</f>
        <v/>
      </c>
      <c r="AC3260" t="str">
        <f>IF(AA3260="","",'Procyclean 600'!C262)</f>
        <v/>
      </c>
      <c r="AD3260" t="str">
        <f>IF(AA3260="","",IFERROR(1*'Procyclean 600'!D262,IFERROR(_xludf.NUMBERVALUE('Procyclean 600'!D262,".",","),IFERROR(_xludf.NUMBERVALUE('Procyclean 600'!D262,",","."),0))))</f>
        <v/>
      </c>
      <c r="AE3260" t="str">
        <f>IF(AA3260="","",'Procyclean 600'!K262)</f>
        <v/>
      </c>
      <c r="AF3260">
        <f t="shared" si="317"/>
        <v>0</v>
      </c>
      <c r="AG3260" t="str">
        <f t="shared" si="318"/>
        <v/>
      </c>
      <c r="AH3260" t="str">
        <f t="shared" si="319"/>
        <v/>
      </c>
      <c r="AI3260">
        <f t="shared" si="320"/>
        <v>0</v>
      </c>
      <c r="AJ3260">
        <f t="shared" si="321"/>
        <v>0</v>
      </c>
      <c r="AK3260">
        <v>0</v>
      </c>
      <c r="AL3260" t="str">
        <f>IF(AA3260="","",IFERROR(IF(ISNUMBER('Procyclean 600'!E262),'Procyclean 600'!E262,IF(ISNUMBER(SEARCH("12",'Procyclean 600'!E262)),EDATE(AB3260,12),IF(ISNUMBER(SEARCH("6",'Procyclean 600'!E262)),EDATE(AB3260,6),IF(ISNUMBER(SEARCH("3",'Procyclean 600'!E262)),EDATE(AB3260,3),DATEVALUE('Procyclean 600'!E262))))),""))</f>
        <v/>
      </c>
      <c r="AM3260" t="str">
        <f t="shared" ca="1" si="322"/>
        <v/>
      </c>
    </row>
    <row r="3261" spans="27:39" x14ac:dyDescent="0.3">
      <c r="AA3261" t="str">
        <f>IF(COUNTA('Procyclean 600'!B263,'Procyclean 600'!C263,'Procyclean 600'!D263)&gt;0,"600","")</f>
        <v/>
      </c>
      <c r="AB3261" t="str">
        <f>IFERROR(IF(ISNUMBER('Procyclean 600'!B263),'Procyclean 600'!B263,DATEVALUE('Procyclean 600'!B263)),"")</f>
        <v/>
      </c>
      <c r="AC3261" t="str">
        <f>IF(AA3261="","",'Procyclean 600'!C263)</f>
        <v/>
      </c>
      <c r="AD3261" t="str">
        <f>IF(AA3261="","",IFERROR(1*'Procyclean 600'!D263,IFERROR(_xludf.NUMBERVALUE('Procyclean 600'!D263,".",","),IFERROR(_xludf.NUMBERVALUE('Procyclean 600'!D263,",","."),0))))</f>
        <v/>
      </c>
      <c r="AE3261" t="str">
        <f>IF(AA3261="","",'Procyclean 600'!K263)</f>
        <v/>
      </c>
      <c r="AF3261">
        <f t="shared" si="317"/>
        <v>0</v>
      </c>
      <c r="AG3261" t="str">
        <f t="shared" si="318"/>
        <v/>
      </c>
      <c r="AH3261" t="str">
        <f t="shared" si="319"/>
        <v/>
      </c>
      <c r="AI3261">
        <f t="shared" si="320"/>
        <v>0</v>
      </c>
      <c r="AJ3261">
        <f t="shared" si="321"/>
        <v>0</v>
      </c>
      <c r="AK3261">
        <v>0</v>
      </c>
      <c r="AL3261" t="str">
        <f>IF(AA3261="","",IFERROR(IF(ISNUMBER('Procyclean 600'!E263),'Procyclean 600'!E263,IF(ISNUMBER(SEARCH("12",'Procyclean 600'!E263)),EDATE(AB3261,12),IF(ISNUMBER(SEARCH("6",'Procyclean 600'!E263)),EDATE(AB3261,6),IF(ISNUMBER(SEARCH("3",'Procyclean 600'!E263)),EDATE(AB3261,3),DATEVALUE('Procyclean 600'!E263))))),""))</f>
        <v/>
      </c>
      <c r="AM3261" t="str">
        <f t="shared" ca="1" si="322"/>
        <v/>
      </c>
    </row>
    <row r="3262" spans="27:39" x14ac:dyDescent="0.3">
      <c r="AA3262" t="str">
        <f>IF(COUNTA('Procyclean 600'!B264,'Procyclean 600'!C264,'Procyclean 600'!D264)&gt;0,"600","")</f>
        <v/>
      </c>
      <c r="AB3262" t="str">
        <f>IFERROR(IF(ISNUMBER('Procyclean 600'!B264),'Procyclean 600'!B264,DATEVALUE('Procyclean 600'!B264)),"")</f>
        <v/>
      </c>
      <c r="AC3262" t="str">
        <f>IF(AA3262="","",'Procyclean 600'!C264)</f>
        <v/>
      </c>
      <c r="AD3262" t="str">
        <f>IF(AA3262="","",IFERROR(1*'Procyclean 600'!D264,IFERROR(_xludf.NUMBERVALUE('Procyclean 600'!D264,".",","),IFERROR(_xludf.NUMBERVALUE('Procyclean 600'!D264,",","."),0))))</f>
        <v/>
      </c>
      <c r="AE3262" t="str">
        <f>IF(AA3262="","",'Procyclean 600'!K264)</f>
        <v/>
      </c>
      <c r="AF3262">
        <f t="shared" si="317"/>
        <v>0</v>
      </c>
      <c r="AG3262" t="str">
        <f t="shared" si="318"/>
        <v/>
      </c>
      <c r="AH3262" t="str">
        <f t="shared" si="319"/>
        <v/>
      </c>
      <c r="AI3262">
        <f t="shared" si="320"/>
        <v>0</v>
      </c>
      <c r="AJ3262">
        <f t="shared" si="321"/>
        <v>0</v>
      </c>
      <c r="AK3262">
        <v>0</v>
      </c>
      <c r="AL3262" t="str">
        <f>IF(AA3262="","",IFERROR(IF(ISNUMBER('Procyclean 600'!E264),'Procyclean 600'!E264,IF(ISNUMBER(SEARCH("12",'Procyclean 600'!E264)),EDATE(AB3262,12),IF(ISNUMBER(SEARCH("6",'Procyclean 600'!E264)),EDATE(AB3262,6),IF(ISNUMBER(SEARCH("3",'Procyclean 600'!E264)),EDATE(AB3262,3),DATEVALUE('Procyclean 600'!E264))))),""))</f>
        <v/>
      </c>
      <c r="AM3262" t="str">
        <f t="shared" ca="1" si="322"/>
        <v/>
      </c>
    </row>
    <row r="3263" spans="27:39" x14ac:dyDescent="0.3">
      <c r="AA3263" t="str">
        <f>IF(COUNTA('Procyclean 600'!B265,'Procyclean 600'!C265,'Procyclean 600'!D265)&gt;0,"600","")</f>
        <v/>
      </c>
      <c r="AB3263" t="str">
        <f>IFERROR(IF(ISNUMBER('Procyclean 600'!B265),'Procyclean 600'!B265,DATEVALUE('Procyclean 600'!B265)),"")</f>
        <v/>
      </c>
      <c r="AC3263" t="str">
        <f>IF(AA3263="","",'Procyclean 600'!C265)</f>
        <v/>
      </c>
      <c r="AD3263" t="str">
        <f>IF(AA3263="","",IFERROR(1*'Procyclean 600'!D265,IFERROR(_xludf.NUMBERVALUE('Procyclean 600'!D265,".",","),IFERROR(_xludf.NUMBERVALUE('Procyclean 600'!D265,",","."),0))))</f>
        <v/>
      </c>
      <c r="AE3263" t="str">
        <f>IF(AA3263="","",'Procyclean 600'!K265)</f>
        <v/>
      </c>
      <c r="AF3263">
        <f t="shared" si="317"/>
        <v>0</v>
      </c>
      <c r="AG3263" t="str">
        <f t="shared" si="318"/>
        <v/>
      </c>
      <c r="AH3263" t="str">
        <f t="shared" si="319"/>
        <v/>
      </c>
      <c r="AI3263">
        <f t="shared" si="320"/>
        <v>0</v>
      </c>
      <c r="AJ3263">
        <f t="shared" si="321"/>
        <v>0</v>
      </c>
      <c r="AK3263">
        <v>0</v>
      </c>
      <c r="AL3263" t="str">
        <f>IF(AA3263="","",IFERROR(IF(ISNUMBER('Procyclean 600'!E265),'Procyclean 600'!E265,IF(ISNUMBER(SEARCH("12",'Procyclean 600'!E265)),EDATE(AB3263,12),IF(ISNUMBER(SEARCH("6",'Procyclean 600'!E265)),EDATE(AB3263,6),IF(ISNUMBER(SEARCH("3",'Procyclean 600'!E265)),EDATE(AB3263,3),DATEVALUE('Procyclean 600'!E265))))),""))</f>
        <v/>
      </c>
      <c r="AM3263" t="str">
        <f t="shared" ca="1" si="322"/>
        <v/>
      </c>
    </row>
    <row r="3264" spans="27:39" x14ac:dyDescent="0.3">
      <c r="AA3264" t="str">
        <f>IF(COUNTA('Procyclean 600'!B266,'Procyclean 600'!C266,'Procyclean 600'!D266)&gt;0,"600","")</f>
        <v/>
      </c>
      <c r="AB3264" t="str">
        <f>IFERROR(IF(ISNUMBER('Procyclean 600'!B266),'Procyclean 600'!B266,DATEVALUE('Procyclean 600'!B266)),"")</f>
        <v/>
      </c>
      <c r="AC3264" t="str">
        <f>IF(AA3264="","",'Procyclean 600'!C266)</f>
        <v/>
      </c>
      <c r="AD3264" t="str">
        <f>IF(AA3264="","",IFERROR(1*'Procyclean 600'!D266,IFERROR(_xludf.NUMBERVALUE('Procyclean 600'!D266,".",","),IFERROR(_xludf.NUMBERVALUE('Procyclean 600'!D266,",","."),0))))</f>
        <v/>
      </c>
      <c r="AE3264" t="str">
        <f>IF(AA3264="","",'Procyclean 600'!K266)</f>
        <v/>
      </c>
      <c r="AF3264">
        <f t="shared" si="317"/>
        <v>0</v>
      </c>
      <c r="AG3264" t="str">
        <f t="shared" si="318"/>
        <v/>
      </c>
      <c r="AH3264" t="str">
        <f t="shared" si="319"/>
        <v/>
      </c>
      <c r="AI3264">
        <f t="shared" si="320"/>
        <v>0</v>
      </c>
      <c r="AJ3264">
        <f t="shared" si="321"/>
        <v>0</v>
      </c>
      <c r="AK3264">
        <v>0</v>
      </c>
      <c r="AL3264" t="str">
        <f>IF(AA3264="","",IFERROR(IF(ISNUMBER('Procyclean 600'!E266),'Procyclean 600'!E266,IF(ISNUMBER(SEARCH("12",'Procyclean 600'!E266)),EDATE(AB3264,12),IF(ISNUMBER(SEARCH("6",'Procyclean 600'!E266)),EDATE(AB3264,6),IF(ISNUMBER(SEARCH("3",'Procyclean 600'!E266)),EDATE(AB3264,3),DATEVALUE('Procyclean 600'!E266))))),""))</f>
        <v/>
      </c>
      <c r="AM3264" t="str">
        <f t="shared" ca="1" si="322"/>
        <v/>
      </c>
    </row>
    <row r="3265" spans="27:39" x14ac:dyDescent="0.3">
      <c r="AA3265" t="str">
        <f>IF(COUNTA('Procyclean 600'!B267,'Procyclean 600'!C267,'Procyclean 600'!D267)&gt;0,"600","")</f>
        <v/>
      </c>
      <c r="AB3265" t="str">
        <f>IFERROR(IF(ISNUMBER('Procyclean 600'!B267),'Procyclean 600'!B267,DATEVALUE('Procyclean 600'!B267)),"")</f>
        <v/>
      </c>
      <c r="AC3265" t="str">
        <f>IF(AA3265="","",'Procyclean 600'!C267)</f>
        <v/>
      </c>
      <c r="AD3265" t="str">
        <f>IF(AA3265="","",IFERROR(1*'Procyclean 600'!D267,IFERROR(_xludf.NUMBERVALUE('Procyclean 600'!D267,".",","),IFERROR(_xludf.NUMBERVALUE('Procyclean 600'!D267,",","."),0))))</f>
        <v/>
      </c>
      <c r="AE3265" t="str">
        <f>IF(AA3265="","",'Procyclean 600'!K267)</f>
        <v/>
      </c>
      <c r="AF3265">
        <f t="shared" si="317"/>
        <v>0</v>
      </c>
      <c r="AG3265" t="str">
        <f t="shared" si="318"/>
        <v/>
      </c>
      <c r="AH3265" t="str">
        <f t="shared" si="319"/>
        <v/>
      </c>
      <c r="AI3265">
        <f t="shared" si="320"/>
        <v>0</v>
      </c>
      <c r="AJ3265">
        <f t="shared" si="321"/>
        <v>0</v>
      </c>
      <c r="AK3265">
        <v>0</v>
      </c>
      <c r="AL3265" t="str">
        <f>IF(AA3265="","",IFERROR(IF(ISNUMBER('Procyclean 600'!E267),'Procyclean 600'!E267,IF(ISNUMBER(SEARCH("12",'Procyclean 600'!E267)),EDATE(AB3265,12),IF(ISNUMBER(SEARCH("6",'Procyclean 600'!E267)),EDATE(AB3265,6),IF(ISNUMBER(SEARCH("3",'Procyclean 600'!E267)),EDATE(AB3265,3),DATEVALUE('Procyclean 600'!E267))))),""))</f>
        <v/>
      </c>
      <c r="AM3265" t="str">
        <f t="shared" ca="1" si="322"/>
        <v/>
      </c>
    </row>
    <row r="3266" spans="27:39" x14ac:dyDescent="0.3">
      <c r="AA3266" t="str">
        <f>IF(COUNTA('Procyclean 600'!B268,'Procyclean 600'!C268,'Procyclean 600'!D268)&gt;0,"600","")</f>
        <v/>
      </c>
      <c r="AB3266" t="str">
        <f>IFERROR(IF(ISNUMBER('Procyclean 600'!B268),'Procyclean 600'!B268,DATEVALUE('Procyclean 600'!B268)),"")</f>
        <v/>
      </c>
      <c r="AC3266" t="str">
        <f>IF(AA3266="","",'Procyclean 600'!C268)</f>
        <v/>
      </c>
      <c r="AD3266" t="str">
        <f>IF(AA3266="","",IFERROR(1*'Procyclean 600'!D268,IFERROR(_xludf.NUMBERVALUE('Procyclean 600'!D268,".",","),IFERROR(_xludf.NUMBERVALUE('Procyclean 600'!D268,",","."),0))))</f>
        <v/>
      </c>
      <c r="AE3266" t="str">
        <f>IF(AA3266="","",'Procyclean 600'!K268)</f>
        <v/>
      </c>
      <c r="AF3266">
        <f t="shared" ref="AF3266:AF3329" si="323">IF(AA3266="",0,--AND(ISNUMBER(SEARCH("aprov",AE3266)),NOT(ISNUMBER(SEARCH("reprov",AE3266)))))</f>
        <v>0</v>
      </c>
      <c r="AG3266" t="str">
        <f t="shared" ref="AG3266:AG3329" si="324">IF(AB3266="","",YEAR(AB3266))</f>
        <v/>
      </c>
      <c r="AH3266" t="str">
        <f t="shared" ref="AH3266:AH3329" si="325">IF(AB3266="","",MONTH(AB3266))</f>
        <v/>
      </c>
      <c r="AI3266">
        <f t="shared" ref="AI3266:AI3329" si="326">IF(AB3266="",0,AB3266+ROW()/1000000)</f>
        <v>0</v>
      </c>
      <c r="AJ3266">
        <f t="shared" ref="AJ3266:AJ3329" si="327">--(AA3266&lt;&gt;"")</f>
        <v>0</v>
      </c>
      <c r="AK3266">
        <v>0</v>
      </c>
      <c r="AL3266" t="str">
        <f>IF(AA3266="","",IFERROR(IF(ISNUMBER('Procyclean 600'!E268),'Procyclean 600'!E268,IF(ISNUMBER(SEARCH("12",'Procyclean 600'!E268)),EDATE(AB3266,12),IF(ISNUMBER(SEARCH("6",'Procyclean 600'!E268)),EDATE(AB3266,6),IF(ISNUMBER(SEARCH("3",'Procyclean 600'!E268)),EDATE(AB3266,3),DATEVALUE('Procyclean 600'!E268))))),""))</f>
        <v/>
      </c>
      <c r="AM3266" t="str">
        <f t="shared" ref="AM3266:AM3329" ca="1" si="328">IF(AND(AJ3266=1,AL3266&lt;&gt;"",AL3266&gt;=TODAY(),AG3266=$W$3),AL3266+ROW()/1000000,"")</f>
        <v/>
      </c>
    </row>
    <row r="3267" spans="27:39" x14ac:dyDescent="0.3">
      <c r="AA3267" t="str">
        <f>IF(COUNTA('Procyclean 600'!B269,'Procyclean 600'!C269,'Procyclean 600'!D269)&gt;0,"600","")</f>
        <v/>
      </c>
      <c r="AB3267" t="str">
        <f>IFERROR(IF(ISNUMBER('Procyclean 600'!B269),'Procyclean 600'!B269,DATEVALUE('Procyclean 600'!B269)),"")</f>
        <v/>
      </c>
      <c r="AC3267" t="str">
        <f>IF(AA3267="","",'Procyclean 600'!C269)</f>
        <v/>
      </c>
      <c r="AD3267" t="str">
        <f>IF(AA3267="","",IFERROR(1*'Procyclean 600'!D269,IFERROR(_xludf.NUMBERVALUE('Procyclean 600'!D269,".",","),IFERROR(_xludf.NUMBERVALUE('Procyclean 600'!D269,",","."),0))))</f>
        <v/>
      </c>
      <c r="AE3267" t="str">
        <f>IF(AA3267="","",'Procyclean 600'!K269)</f>
        <v/>
      </c>
      <c r="AF3267">
        <f t="shared" si="323"/>
        <v>0</v>
      </c>
      <c r="AG3267" t="str">
        <f t="shared" si="324"/>
        <v/>
      </c>
      <c r="AH3267" t="str">
        <f t="shared" si="325"/>
        <v/>
      </c>
      <c r="AI3267">
        <f t="shared" si="326"/>
        <v>0</v>
      </c>
      <c r="AJ3267">
        <f t="shared" si="327"/>
        <v>0</v>
      </c>
      <c r="AK3267">
        <v>0</v>
      </c>
      <c r="AL3267" t="str">
        <f>IF(AA3267="","",IFERROR(IF(ISNUMBER('Procyclean 600'!E269),'Procyclean 600'!E269,IF(ISNUMBER(SEARCH("12",'Procyclean 600'!E269)),EDATE(AB3267,12),IF(ISNUMBER(SEARCH("6",'Procyclean 600'!E269)),EDATE(AB3267,6),IF(ISNUMBER(SEARCH("3",'Procyclean 600'!E269)),EDATE(AB3267,3),DATEVALUE('Procyclean 600'!E269))))),""))</f>
        <v/>
      </c>
      <c r="AM3267" t="str">
        <f t="shared" ca="1" si="328"/>
        <v/>
      </c>
    </row>
    <row r="3268" spans="27:39" x14ac:dyDescent="0.3">
      <c r="AA3268" t="str">
        <f>IF(COUNTA('Procyclean 600'!B270,'Procyclean 600'!C270,'Procyclean 600'!D270)&gt;0,"600","")</f>
        <v/>
      </c>
      <c r="AB3268" t="str">
        <f>IFERROR(IF(ISNUMBER('Procyclean 600'!B270),'Procyclean 600'!B270,DATEVALUE('Procyclean 600'!B270)),"")</f>
        <v/>
      </c>
      <c r="AC3268" t="str">
        <f>IF(AA3268="","",'Procyclean 600'!C270)</f>
        <v/>
      </c>
      <c r="AD3268" t="str">
        <f>IF(AA3268="","",IFERROR(1*'Procyclean 600'!D270,IFERROR(_xludf.NUMBERVALUE('Procyclean 600'!D270,".",","),IFERROR(_xludf.NUMBERVALUE('Procyclean 600'!D270,",","."),0))))</f>
        <v/>
      </c>
      <c r="AE3268" t="str">
        <f>IF(AA3268="","",'Procyclean 600'!K270)</f>
        <v/>
      </c>
      <c r="AF3268">
        <f t="shared" si="323"/>
        <v>0</v>
      </c>
      <c r="AG3268" t="str">
        <f t="shared" si="324"/>
        <v/>
      </c>
      <c r="AH3268" t="str">
        <f t="shared" si="325"/>
        <v/>
      </c>
      <c r="AI3268">
        <f t="shared" si="326"/>
        <v>0</v>
      </c>
      <c r="AJ3268">
        <f t="shared" si="327"/>
        <v>0</v>
      </c>
      <c r="AK3268">
        <v>0</v>
      </c>
      <c r="AL3268" t="str">
        <f>IF(AA3268="","",IFERROR(IF(ISNUMBER('Procyclean 600'!E270),'Procyclean 600'!E270,IF(ISNUMBER(SEARCH("12",'Procyclean 600'!E270)),EDATE(AB3268,12),IF(ISNUMBER(SEARCH("6",'Procyclean 600'!E270)),EDATE(AB3268,6),IF(ISNUMBER(SEARCH("3",'Procyclean 600'!E270)),EDATE(AB3268,3),DATEVALUE('Procyclean 600'!E270))))),""))</f>
        <v/>
      </c>
      <c r="AM3268" t="str">
        <f t="shared" ca="1" si="328"/>
        <v/>
      </c>
    </row>
    <row r="3269" spans="27:39" x14ac:dyDescent="0.3">
      <c r="AA3269" t="str">
        <f>IF(COUNTA('Procyclean 600'!B271,'Procyclean 600'!C271,'Procyclean 600'!D271)&gt;0,"600","")</f>
        <v/>
      </c>
      <c r="AB3269" t="str">
        <f>IFERROR(IF(ISNUMBER('Procyclean 600'!B271),'Procyclean 600'!B271,DATEVALUE('Procyclean 600'!B271)),"")</f>
        <v/>
      </c>
      <c r="AC3269" t="str">
        <f>IF(AA3269="","",'Procyclean 600'!C271)</f>
        <v/>
      </c>
      <c r="AD3269" t="str">
        <f>IF(AA3269="","",IFERROR(1*'Procyclean 600'!D271,IFERROR(_xludf.NUMBERVALUE('Procyclean 600'!D271,".",","),IFERROR(_xludf.NUMBERVALUE('Procyclean 600'!D271,",","."),0))))</f>
        <v/>
      </c>
      <c r="AE3269" t="str">
        <f>IF(AA3269="","",'Procyclean 600'!K271)</f>
        <v/>
      </c>
      <c r="AF3269">
        <f t="shared" si="323"/>
        <v>0</v>
      </c>
      <c r="AG3269" t="str">
        <f t="shared" si="324"/>
        <v/>
      </c>
      <c r="AH3269" t="str">
        <f t="shared" si="325"/>
        <v/>
      </c>
      <c r="AI3269">
        <f t="shared" si="326"/>
        <v>0</v>
      </c>
      <c r="AJ3269">
        <f t="shared" si="327"/>
        <v>0</v>
      </c>
      <c r="AK3269">
        <v>0</v>
      </c>
      <c r="AL3269" t="str">
        <f>IF(AA3269="","",IFERROR(IF(ISNUMBER('Procyclean 600'!E271),'Procyclean 600'!E271,IF(ISNUMBER(SEARCH("12",'Procyclean 600'!E271)),EDATE(AB3269,12),IF(ISNUMBER(SEARCH("6",'Procyclean 600'!E271)),EDATE(AB3269,6),IF(ISNUMBER(SEARCH("3",'Procyclean 600'!E271)),EDATE(AB3269,3),DATEVALUE('Procyclean 600'!E271))))),""))</f>
        <v/>
      </c>
      <c r="AM3269" t="str">
        <f t="shared" ca="1" si="328"/>
        <v/>
      </c>
    </row>
    <row r="3270" spans="27:39" x14ac:dyDescent="0.3">
      <c r="AA3270" t="str">
        <f>IF(COUNTA('Procyclean 600'!B272,'Procyclean 600'!C272,'Procyclean 600'!D272)&gt;0,"600","")</f>
        <v/>
      </c>
      <c r="AB3270" t="str">
        <f>IFERROR(IF(ISNUMBER('Procyclean 600'!B272),'Procyclean 600'!B272,DATEVALUE('Procyclean 600'!B272)),"")</f>
        <v/>
      </c>
      <c r="AC3270" t="str">
        <f>IF(AA3270="","",'Procyclean 600'!C272)</f>
        <v/>
      </c>
      <c r="AD3270" t="str">
        <f>IF(AA3270="","",IFERROR(1*'Procyclean 600'!D272,IFERROR(_xludf.NUMBERVALUE('Procyclean 600'!D272,".",","),IFERROR(_xludf.NUMBERVALUE('Procyclean 600'!D272,",","."),0))))</f>
        <v/>
      </c>
      <c r="AE3270" t="str">
        <f>IF(AA3270="","",'Procyclean 600'!K272)</f>
        <v/>
      </c>
      <c r="AF3270">
        <f t="shared" si="323"/>
        <v>0</v>
      </c>
      <c r="AG3270" t="str">
        <f t="shared" si="324"/>
        <v/>
      </c>
      <c r="AH3270" t="str">
        <f t="shared" si="325"/>
        <v/>
      </c>
      <c r="AI3270">
        <f t="shared" si="326"/>
        <v>0</v>
      </c>
      <c r="AJ3270">
        <f t="shared" si="327"/>
        <v>0</v>
      </c>
      <c r="AK3270">
        <v>0</v>
      </c>
      <c r="AL3270" t="str">
        <f>IF(AA3270="","",IFERROR(IF(ISNUMBER('Procyclean 600'!E272),'Procyclean 600'!E272,IF(ISNUMBER(SEARCH("12",'Procyclean 600'!E272)),EDATE(AB3270,12),IF(ISNUMBER(SEARCH("6",'Procyclean 600'!E272)),EDATE(AB3270,6),IF(ISNUMBER(SEARCH("3",'Procyclean 600'!E272)),EDATE(AB3270,3),DATEVALUE('Procyclean 600'!E272))))),""))</f>
        <v/>
      </c>
      <c r="AM3270" t="str">
        <f t="shared" ca="1" si="328"/>
        <v/>
      </c>
    </row>
    <row r="3271" spans="27:39" x14ac:dyDescent="0.3">
      <c r="AA3271" t="str">
        <f>IF(COUNTA('Procyclean 600'!B273,'Procyclean 600'!C273,'Procyclean 600'!D273)&gt;0,"600","")</f>
        <v/>
      </c>
      <c r="AB3271" t="str">
        <f>IFERROR(IF(ISNUMBER('Procyclean 600'!B273),'Procyclean 600'!B273,DATEVALUE('Procyclean 600'!B273)),"")</f>
        <v/>
      </c>
      <c r="AC3271" t="str">
        <f>IF(AA3271="","",'Procyclean 600'!C273)</f>
        <v/>
      </c>
      <c r="AD3271" t="str">
        <f>IF(AA3271="","",IFERROR(1*'Procyclean 600'!D273,IFERROR(_xludf.NUMBERVALUE('Procyclean 600'!D273,".",","),IFERROR(_xludf.NUMBERVALUE('Procyclean 600'!D273,",","."),0))))</f>
        <v/>
      </c>
      <c r="AE3271" t="str">
        <f>IF(AA3271="","",'Procyclean 600'!K273)</f>
        <v/>
      </c>
      <c r="AF3271">
        <f t="shared" si="323"/>
        <v>0</v>
      </c>
      <c r="AG3271" t="str">
        <f t="shared" si="324"/>
        <v/>
      </c>
      <c r="AH3271" t="str">
        <f t="shared" si="325"/>
        <v/>
      </c>
      <c r="AI3271">
        <f t="shared" si="326"/>
        <v>0</v>
      </c>
      <c r="AJ3271">
        <f t="shared" si="327"/>
        <v>0</v>
      </c>
      <c r="AK3271">
        <v>0</v>
      </c>
      <c r="AL3271" t="str">
        <f>IF(AA3271="","",IFERROR(IF(ISNUMBER('Procyclean 600'!E273),'Procyclean 600'!E273,IF(ISNUMBER(SEARCH("12",'Procyclean 600'!E273)),EDATE(AB3271,12),IF(ISNUMBER(SEARCH("6",'Procyclean 600'!E273)),EDATE(AB3271,6),IF(ISNUMBER(SEARCH("3",'Procyclean 600'!E273)),EDATE(AB3271,3),DATEVALUE('Procyclean 600'!E273))))),""))</f>
        <v/>
      </c>
      <c r="AM3271" t="str">
        <f t="shared" ca="1" si="328"/>
        <v/>
      </c>
    </row>
    <row r="3272" spans="27:39" x14ac:dyDescent="0.3">
      <c r="AA3272" t="str">
        <f>IF(COUNTA('Procyclean 600'!B274,'Procyclean 600'!C274,'Procyclean 600'!D274)&gt;0,"600","")</f>
        <v/>
      </c>
      <c r="AB3272" t="str">
        <f>IFERROR(IF(ISNUMBER('Procyclean 600'!B274),'Procyclean 600'!B274,DATEVALUE('Procyclean 600'!B274)),"")</f>
        <v/>
      </c>
      <c r="AC3272" t="str">
        <f>IF(AA3272="","",'Procyclean 600'!C274)</f>
        <v/>
      </c>
      <c r="AD3272" t="str">
        <f>IF(AA3272="","",IFERROR(1*'Procyclean 600'!D274,IFERROR(_xludf.NUMBERVALUE('Procyclean 600'!D274,".",","),IFERROR(_xludf.NUMBERVALUE('Procyclean 600'!D274,",","."),0))))</f>
        <v/>
      </c>
      <c r="AE3272" t="str">
        <f>IF(AA3272="","",'Procyclean 600'!K274)</f>
        <v/>
      </c>
      <c r="AF3272">
        <f t="shared" si="323"/>
        <v>0</v>
      </c>
      <c r="AG3272" t="str">
        <f t="shared" si="324"/>
        <v/>
      </c>
      <c r="AH3272" t="str">
        <f t="shared" si="325"/>
        <v/>
      </c>
      <c r="AI3272">
        <f t="shared" si="326"/>
        <v>0</v>
      </c>
      <c r="AJ3272">
        <f t="shared" si="327"/>
        <v>0</v>
      </c>
      <c r="AK3272">
        <v>0</v>
      </c>
      <c r="AL3272" t="str">
        <f>IF(AA3272="","",IFERROR(IF(ISNUMBER('Procyclean 600'!E274),'Procyclean 600'!E274,IF(ISNUMBER(SEARCH("12",'Procyclean 600'!E274)),EDATE(AB3272,12),IF(ISNUMBER(SEARCH("6",'Procyclean 600'!E274)),EDATE(AB3272,6),IF(ISNUMBER(SEARCH("3",'Procyclean 600'!E274)),EDATE(AB3272,3),DATEVALUE('Procyclean 600'!E274))))),""))</f>
        <v/>
      </c>
      <c r="AM3272" t="str">
        <f t="shared" ca="1" si="328"/>
        <v/>
      </c>
    </row>
    <row r="3273" spans="27:39" x14ac:dyDescent="0.3">
      <c r="AA3273" t="str">
        <f>IF(COUNTA('Procyclean 600'!B275,'Procyclean 600'!C275,'Procyclean 600'!D275)&gt;0,"600","")</f>
        <v/>
      </c>
      <c r="AB3273" t="str">
        <f>IFERROR(IF(ISNUMBER('Procyclean 600'!B275),'Procyclean 600'!B275,DATEVALUE('Procyclean 600'!B275)),"")</f>
        <v/>
      </c>
      <c r="AC3273" t="str">
        <f>IF(AA3273="","",'Procyclean 600'!C275)</f>
        <v/>
      </c>
      <c r="AD3273" t="str">
        <f>IF(AA3273="","",IFERROR(1*'Procyclean 600'!D275,IFERROR(_xludf.NUMBERVALUE('Procyclean 600'!D275,".",","),IFERROR(_xludf.NUMBERVALUE('Procyclean 600'!D275,",","."),0))))</f>
        <v/>
      </c>
      <c r="AE3273" t="str">
        <f>IF(AA3273="","",'Procyclean 600'!K275)</f>
        <v/>
      </c>
      <c r="AF3273">
        <f t="shared" si="323"/>
        <v>0</v>
      </c>
      <c r="AG3273" t="str">
        <f t="shared" si="324"/>
        <v/>
      </c>
      <c r="AH3273" t="str">
        <f t="shared" si="325"/>
        <v/>
      </c>
      <c r="AI3273">
        <f t="shared" si="326"/>
        <v>0</v>
      </c>
      <c r="AJ3273">
        <f t="shared" si="327"/>
        <v>0</v>
      </c>
      <c r="AK3273">
        <v>0</v>
      </c>
      <c r="AL3273" t="str">
        <f>IF(AA3273="","",IFERROR(IF(ISNUMBER('Procyclean 600'!E275),'Procyclean 600'!E275,IF(ISNUMBER(SEARCH("12",'Procyclean 600'!E275)),EDATE(AB3273,12),IF(ISNUMBER(SEARCH("6",'Procyclean 600'!E275)),EDATE(AB3273,6),IF(ISNUMBER(SEARCH("3",'Procyclean 600'!E275)),EDATE(AB3273,3),DATEVALUE('Procyclean 600'!E275))))),""))</f>
        <v/>
      </c>
      <c r="AM3273" t="str">
        <f t="shared" ca="1" si="328"/>
        <v/>
      </c>
    </row>
    <row r="3274" spans="27:39" x14ac:dyDescent="0.3">
      <c r="AA3274" t="str">
        <f>IF(COUNTA('Procyclean 600'!B276,'Procyclean 600'!C276,'Procyclean 600'!D276)&gt;0,"600","")</f>
        <v/>
      </c>
      <c r="AB3274" t="str">
        <f>IFERROR(IF(ISNUMBER('Procyclean 600'!B276),'Procyclean 600'!B276,DATEVALUE('Procyclean 600'!B276)),"")</f>
        <v/>
      </c>
      <c r="AC3274" t="str">
        <f>IF(AA3274="","",'Procyclean 600'!C276)</f>
        <v/>
      </c>
      <c r="AD3274" t="str">
        <f>IF(AA3274="","",IFERROR(1*'Procyclean 600'!D276,IFERROR(_xludf.NUMBERVALUE('Procyclean 600'!D276,".",","),IFERROR(_xludf.NUMBERVALUE('Procyclean 600'!D276,",","."),0))))</f>
        <v/>
      </c>
      <c r="AE3274" t="str">
        <f>IF(AA3274="","",'Procyclean 600'!K276)</f>
        <v/>
      </c>
      <c r="AF3274">
        <f t="shared" si="323"/>
        <v>0</v>
      </c>
      <c r="AG3274" t="str">
        <f t="shared" si="324"/>
        <v/>
      </c>
      <c r="AH3274" t="str">
        <f t="shared" si="325"/>
        <v/>
      </c>
      <c r="AI3274">
        <f t="shared" si="326"/>
        <v>0</v>
      </c>
      <c r="AJ3274">
        <f t="shared" si="327"/>
        <v>0</v>
      </c>
      <c r="AK3274">
        <v>0</v>
      </c>
      <c r="AL3274" t="str">
        <f>IF(AA3274="","",IFERROR(IF(ISNUMBER('Procyclean 600'!E276),'Procyclean 600'!E276,IF(ISNUMBER(SEARCH("12",'Procyclean 600'!E276)),EDATE(AB3274,12),IF(ISNUMBER(SEARCH("6",'Procyclean 600'!E276)),EDATE(AB3274,6),IF(ISNUMBER(SEARCH("3",'Procyclean 600'!E276)),EDATE(AB3274,3),DATEVALUE('Procyclean 600'!E276))))),""))</f>
        <v/>
      </c>
      <c r="AM3274" t="str">
        <f t="shared" ca="1" si="328"/>
        <v/>
      </c>
    </row>
    <row r="3275" spans="27:39" x14ac:dyDescent="0.3">
      <c r="AA3275" t="str">
        <f>IF(COUNTA('Procyclean 600'!B277,'Procyclean 600'!C277,'Procyclean 600'!D277)&gt;0,"600","")</f>
        <v/>
      </c>
      <c r="AB3275" t="str">
        <f>IFERROR(IF(ISNUMBER('Procyclean 600'!B277),'Procyclean 600'!B277,DATEVALUE('Procyclean 600'!B277)),"")</f>
        <v/>
      </c>
      <c r="AC3275" t="str">
        <f>IF(AA3275="","",'Procyclean 600'!C277)</f>
        <v/>
      </c>
      <c r="AD3275" t="str">
        <f>IF(AA3275="","",IFERROR(1*'Procyclean 600'!D277,IFERROR(_xludf.NUMBERVALUE('Procyclean 600'!D277,".",","),IFERROR(_xludf.NUMBERVALUE('Procyclean 600'!D277,",","."),0))))</f>
        <v/>
      </c>
      <c r="AE3275" t="str">
        <f>IF(AA3275="","",'Procyclean 600'!K277)</f>
        <v/>
      </c>
      <c r="AF3275">
        <f t="shared" si="323"/>
        <v>0</v>
      </c>
      <c r="AG3275" t="str">
        <f t="shared" si="324"/>
        <v/>
      </c>
      <c r="AH3275" t="str">
        <f t="shared" si="325"/>
        <v/>
      </c>
      <c r="AI3275">
        <f t="shared" si="326"/>
        <v>0</v>
      </c>
      <c r="AJ3275">
        <f t="shared" si="327"/>
        <v>0</v>
      </c>
      <c r="AK3275">
        <v>0</v>
      </c>
      <c r="AL3275" t="str">
        <f>IF(AA3275="","",IFERROR(IF(ISNUMBER('Procyclean 600'!E277),'Procyclean 600'!E277,IF(ISNUMBER(SEARCH("12",'Procyclean 600'!E277)),EDATE(AB3275,12),IF(ISNUMBER(SEARCH("6",'Procyclean 600'!E277)),EDATE(AB3275,6),IF(ISNUMBER(SEARCH("3",'Procyclean 600'!E277)),EDATE(AB3275,3),DATEVALUE('Procyclean 600'!E277))))),""))</f>
        <v/>
      </c>
      <c r="AM3275" t="str">
        <f t="shared" ca="1" si="328"/>
        <v/>
      </c>
    </row>
    <row r="3276" spans="27:39" x14ac:dyDescent="0.3">
      <c r="AA3276" t="str">
        <f>IF(COUNTA('Procyclean 600'!B278,'Procyclean 600'!C278,'Procyclean 600'!D278)&gt;0,"600","")</f>
        <v/>
      </c>
      <c r="AB3276" t="str">
        <f>IFERROR(IF(ISNUMBER('Procyclean 600'!B278),'Procyclean 600'!B278,DATEVALUE('Procyclean 600'!B278)),"")</f>
        <v/>
      </c>
      <c r="AC3276" t="str">
        <f>IF(AA3276="","",'Procyclean 600'!C278)</f>
        <v/>
      </c>
      <c r="AD3276" t="str">
        <f>IF(AA3276="","",IFERROR(1*'Procyclean 600'!D278,IFERROR(_xludf.NUMBERVALUE('Procyclean 600'!D278,".",","),IFERROR(_xludf.NUMBERVALUE('Procyclean 600'!D278,",","."),0))))</f>
        <v/>
      </c>
      <c r="AE3276" t="str">
        <f>IF(AA3276="","",'Procyclean 600'!K278)</f>
        <v/>
      </c>
      <c r="AF3276">
        <f t="shared" si="323"/>
        <v>0</v>
      </c>
      <c r="AG3276" t="str">
        <f t="shared" si="324"/>
        <v/>
      </c>
      <c r="AH3276" t="str">
        <f t="shared" si="325"/>
        <v/>
      </c>
      <c r="AI3276">
        <f t="shared" si="326"/>
        <v>0</v>
      </c>
      <c r="AJ3276">
        <f t="shared" si="327"/>
        <v>0</v>
      </c>
      <c r="AK3276">
        <v>0</v>
      </c>
      <c r="AL3276" t="str">
        <f>IF(AA3276="","",IFERROR(IF(ISNUMBER('Procyclean 600'!E278),'Procyclean 600'!E278,IF(ISNUMBER(SEARCH("12",'Procyclean 600'!E278)),EDATE(AB3276,12),IF(ISNUMBER(SEARCH("6",'Procyclean 600'!E278)),EDATE(AB3276,6),IF(ISNUMBER(SEARCH("3",'Procyclean 600'!E278)),EDATE(AB3276,3),DATEVALUE('Procyclean 600'!E278))))),""))</f>
        <v/>
      </c>
      <c r="AM3276" t="str">
        <f t="shared" ca="1" si="328"/>
        <v/>
      </c>
    </row>
    <row r="3277" spans="27:39" x14ac:dyDescent="0.3">
      <c r="AA3277" t="str">
        <f>IF(COUNTA('Procyclean 600'!B279,'Procyclean 600'!C279,'Procyclean 600'!D279)&gt;0,"600","")</f>
        <v/>
      </c>
      <c r="AB3277" t="str">
        <f>IFERROR(IF(ISNUMBER('Procyclean 600'!B279),'Procyclean 600'!B279,DATEVALUE('Procyclean 600'!B279)),"")</f>
        <v/>
      </c>
      <c r="AC3277" t="str">
        <f>IF(AA3277="","",'Procyclean 600'!C279)</f>
        <v/>
      </c>
      <c r="AD3277" t="str">
        <f>IF(AA3277="","",IFERROR(1*'Procyclean 600'!D279,IFERROR(_xludf.NUMBERVALUE('Procyclean 600'!D279,".",","),IFERROR(_xludf.NUMBERVALUE('Procyclean 600'!D279,",","."),0))))</f>
        <v/>
      </c>
      <c r="AE3277" t="str">
        <f>IF(AA3277="","",'Procyclean 600'!K279)</f>
        <v/>
      </c>
      <c r="AF3277">
        <f t="shared" si="323"/>
        <v>0</v>
      </c>
      <c r="AG3277" t="str">
        <f t="shared" si="324"/>
        <v/>
      </c>
      <c r="AH3277" t="str">
        <f t="shared" si="325"/>
        <v/>
      </c>
      <c r="AI3277">
        <f t="shared" si="326"/>
        <v>0</v>
      </c>
      <c r="AJ3277">
        <f t="shared" si="327"/>
        <v>0</v>
      </c>
      <c r="AK3277">
        <v>0</v>
      </c>
      <c r="AL3277" t="str">
        <f>IF(AA3277="","",IFERROR(IF(ISNUMBER('Procyclean 600'!E279),'Procyclean 600'!E279,IF(ISNUMBER(SEARCH("12",'Procyclean 600'!E279)),EDATE(AB3277,12),IF(ISNUMBER(SEARCH("6",'Procyclean 600'!E279)),EDATE(AB3277,6),IF(ISNUMBER(SEARCH("3",'Procyclean 600'!E279)),EDATE(AB3277,3),DATEVALUE('Procyclean 600'!E279))))),""))</f>
        <v/>
      </c>
      <c r="AM3277" t="str">
        <f t="shared" ca="1" si="328"/>
        <v/>
      </c>
    </row>
    <row r="3278" spans="27:39" x14ac:dyDescent="0.3">
      <c r="AA3278" t="str">
        <f>IF(COUNTA('Procyclean 600'!B280,'Procyclean 600'!C280,'Procyclean 600'!D280)&gt;0,"600","")</f>
        <v/>
      </c>
      <c r="AB3278" t="str">
        <f>IFERROR(IF(ISNUMBER('Procyclean 600'!B280),'Procyclean 600'!B280,DATEVALUE('Procyclean 600'!B280)),"")</f>
        <v/>
      </c>
      <c r="AC3278" t="str">
        <f>IF(AA3278="","",'Procyclean 600'!C280)</f>
        <v/>
      </c>
      <c r="AD3278" t="str">
        <f>IF(AA3278="","",IFERROR(1*'Procyclean 600'!D280,IFERROR(_xludf.NUMBERVALUE('Procyclean 600'!D280,".",","),IFERROR(_xludf.NUMBERVALUE('Procyclean 600'!D280,",","."),0))))</f>
        <v/>
      </c>
      <c r="AE3278" t="str">
        <f>IF(AA3278="","",'Procyclean 600'!K280)</f>
        <v/>
      </c>
      <c r="AF3278">
        <f t="shared" si="323"/>
        <v>0</v>
      </c>
      <c r="AG3278" t="str">
        <f t="shared" si="324"/>
        <v/>
      </c>
      <c r="AH3278" t="str">
        <f t="shared" si="325"/>
        <v/>
      </c>
      <c r="AI3278">
        <f t="shared" si="326"/>
        <v>0</v>
      </c>
      <c r="AJ3278">
        <f t="shared" si="327"/>
        <v>0</v>
      </c>
      <c r="AK3278">
        <v>0</v>
      </c>
      <c r="AL3278" t="str">
        <f>IF(AA3278="","",IFERROR(IF(ISNUMBER('Procyclean 600'!E280),'Procyclean 600'!E280,IF(ISNUMBER(SEARCH("12",'Procyclean 600'!E280)),EDATE(AB3278,12),IF(ISNUMBER(SEARCH("6",'Procyclean 600'!E280)),EDATE(AB3278,6),IF(ISNUMBER(SEARCH("3",'Procyclean 600'!E280)),EDATE(AB3278,3),DATEVALUE('Procyclean 600'!E280))))),""))</f>
        <v/>
      </c>
      <c r="AM3278" t="str">
        <f t="shared" ca="1" si="328"/>
        <v/>
      </c>
    </row>
    <row r="3279" spans="27:39" x14ac:dyDescent="0.3">
      <c r="AA3279" t="str">
        <f>IF(COUNTA('Procyclean 600'!B281,'Procyclean 600'!C281,'Procyclean 600'!D281)&gt;0,"600","")</f>
        <v/>
      </c>
      <c r="AB3279" t="str">
        <f>IFERROR(IF(ISNUMBER('Procyclean 600'!B281),'Procyclean 600'!B281,DATEVALUE('Procyclean 600'!B281)),"")</f>
        <v/>
      </c>
      <c r="AC3279" t="str">
        <f>IF(AA3279="","",'Procyclean 600'!C281)</f>
        <v/>
      </c>
      <c r="AD3279" t="str">
        <f>IF(AA3279="","",IFERROR(1*'Procyclean 600'!D281,IFERROR(_xludf.NUMBERVALUE('Procyclean 600'!D281,".",","),IFERROR(_xludf.NUMBERVALUE('Procyclean 600'!D281,",","."),0))))</f>
        <v/>
      </c>
      <c r="AE3279" t="str">
        <f>IF(AA3279="","",'Procyclean 600'!K281)</f>
        <v/>
      </c>
      <c r="AF3279">
        <f t="shared" si="323"/>
        <v>0</v>
      </c>
      <c r="AG3279" t="str">
        <f t="shared" si="324"/>
        <v/>
      </c>
      <c r="AH3279" t="str">
        <f t="shared" si="325"/>
        <v/>
      </c>
      <c r="AI3279">
        <f t="shared" si="326"/>
        <v>0</v>
      </c>
      <c r="AJ3279">
        <f t="shared" si="327"/>
        <v>0</v>
      </c>
      <c r="AK3279">
        <v>0</v>
      </c>
      <c r="AL3279" t="str">
        <f>IF(AA3279="","",IFERROR(IF(ISNUMBER('Procyclean 600'!E281),'Procyclean 600'!E281,IF(ISNUMBER(SEARCH("12",'Procyclean 600'!E281)),EDATE(AB3279,12),IF(ISNUMBER(SEARCH("6",'Procyclean 600'!E281)),EDATE(AB3279,6),IF(ISNUMBER(SEARCH("3",'Procyclean 600'!E281)),EDATE(AB3279,3),DATEVALUE('Procyclean 600'!E281))))),""))</f>
        <v/>
      </c>
      <c r="AM3279" t="str">
        <f t="shared" ca="1" si="328"/>
        <v/>
      </c>
    </row>
    <row r="3280" spans="27:39" x14ac:dyDescent="0.3">
      <c r="AA3280" t="str">
        <f>IF(COUNTA('Procyclean 600'!B282,'Procyclean 600'!C282,'Procyclean 600'!D282)&gt;0,"600","")</f>
        <v/>
      </c>
      <c r="AB3280" t="str">
        <f>IFERROR(IF(ISNUMBER('Procyclean 600'!B282),'Procyclean 600'!B282,DATEVALUE('Procyclean 600'!B282)),"")</f>
        <v/>
      </c>
      <c r="AC3280" t="str">
        <f>IF(AA3280="","",'Procyclean 600'!C282)</f>
        <v/>
      </c>
      <c r="AD3280" t="str">
        <f>IF(AA3280="","",IFERROR(1*'Procyclean 600'!D282,IFERROR(_xludf.NUMBERVALUE('Procyclean 600'!D282,".",","),IFERROR(_xludf.NUMBERVALUE('Procyclean 600'!D282,",","."),0))))</f>
        <v/>
      </c>
      <c r="AE3280" t="str">
        <f>IF(AA3280="","",'Procyclean 600'!K282)</f>
        <v/>
      </c>
      <c r="AF3280">
        <f t="shared" si="323"/>
        <v>0</v>
      </c>
      <c r="AG3280" t="str">
        <f t="shared" si="324"/>
        <v/>
      </c>
      <c r="AH3280" t="str">
        <f t="shared" si="325"/>
        <v/>
      </c>
      <c r="AI3280">
        <f t="shared" si="326"/>
        <v>0</v>
      </c>
      <c r="AJ3280">
        <f t="shared" si="327"/>
        <v>0</v>
      </c>
      <c r="AK3280">
        <v>0</v>
      </c>
      <c r="AL3280" t="str">
        <f>IF(AA3280="","",IFERROR(IF(ISNUMBER('Procyclean 600'!E282),'Procyclean 600'!E282,IF(ISNUMBER(SEARCH("12",'Procyclean 600'!E282)),EDATE(AB3280,12),IF(ISNUMBER(SEARCH("6",'Procyclean 600'!E282)),EDATE(AB3280,6),IF(ISNUMBER(SEARCH("3",'Procyclean 600'!E282)),EDATE(AB3280,3),DATEVALUE('Procyclean 600'!E282))))),""))</f>
        <v/>
      </c>
      <c r="AM3280" t="str">
        <f t="shared" ca="1" si="328"/>
        <v/>
      </c>
    </row>
    <row r="3281" spans="27:39" x14ac:dyDescent="0.3">
      <c r="AA3281" t="str">
        <f>IF(COUNTA('Procyclean 600'!B283,'Procyclean 600'!C283,'Procyclean 600'!D283)&gt;0,"600","")</f>
        <v/>
      </c>
      <c r="AB3281" t="str">
        <f>IFERROR(IF(ISNUMBER('Procyclean 600'!B283),'Procyclean 600'!B283,DATEVALUE('Procyclean 600'!B283)),"")</f>
        <v/>
      </c>
      <c r="AC3281" t="str">
        <f>IF(AA3281="","",'Procyclean 600'!C283)</f>
        <v/>
      </c>
      <c r="AD3281" t="str">
        <f>IF(AA3281="","",IFERROR(1*'Procyclean 600'!D283,IFERROR(_xludf.NUMBERVALUE('Procyclean 600'!D283,".",","),IFERROR(_xludf.NUMBERVALUE('Procyclean 600'!D283,",","."),0))))</f>
        <v/>
      </c>
      <c r="AE3281" t="str">
        <f>IF(AA3281="","",'Procyclean 600'!K283)</f>
        <v/>
      </c>
      <c r="AF3281">
        <f t="shared" si="323"/>
        <v>0</v>
      </c>
      <c r="AG3281" t="str">
        <f t="shared" si="324"/>
        <v/>
      </c>
      <c r="AH3281" t="str">
        <f t="shared" si="325"/>
        <v/>
      </c>
      <c r="AI3281">
        <f t="shared" si="326"/>
        <v>0</v>
      </c>
      <c r="AJ3281">
        <f t="shared" si="327"/>
        <v>0</v>
      </c>
      <c r="AK3281">
        <v>0</v>
      </c>
      <c r="AL3281" t="str">
        <f>IF(AA3281="","",IFERROR(IF(ISNUMBER('Procyclean 600'!E283),'Procyclean 600'!E283,IF(ISNUMBER(SEARCH("12",'Procyclean 600'!E283)),EDATE(AB3281,12),IF(ISNUMBER(SEARCH("6",'Procyclean 600'!E283)),EDATE(AB3281,6),IF(ISNUMBER(SEARCH("3",'Procyclean 600'!E283)),EDATE(AB3281,3),DATEVALUE('Procyclean 600'!E283))))),""))</f>
        <v/>
      </c>
      <c r="AM3281" t="str">
        <f t="shared" ca="1" si="328"/>
        <v/>
      </c>
    </row>
    <row r="3282" spans="27:39" x14ac:dyDescent="0.3">
      <c r="AA3282" t="str">
        <f>IF(COUNTA('Procyclean 600'!B284,'Procyclean 600'!C284,'Procyclean 600'!D284)&gt;0,"600","")</f>
        <v/>
      </c>
      <c r="AB3282" t="str">
        <f>IFERROR(IF(ISNUMBER('Procyclean 600'!B284),'Procyclean 600'!B284,DATEVALUE('Procyclean 600'!B284)),"")</f>
        <v/>
      </c>
      <c r="AC3282" t="str">
        <f>IF(AA3282="","",'Procyclean 600'!C284)</f>
        <v/>
      </c>
      <c r="AD3282" t="str">
        <f>IF(AA3282="","",IFERROR(1*'Procyclean 600'!D284,IFERROR(_xludf.NUMBERVALUE('Procyclean 600'!D284,".",","),IFERROR(_xludf.NUMBERVALUE('Procyclean 600'!D284,",","."),0))))</f>
        <v/>
      </c>
      <c r="AE3282" t="str">
        <f>IF(AA3282="","",'Procyclean 600'!K284)</f>
        <v/>
      </c>
      <c r="AF3282">
        <f t="shared" si="323"/>
        <v>0</v>
      </c>
      <c r="AG3282" t="str">
        <f t="shared" si="324"/>
        <v/>
      </c>
      <c r="AH3282" t="str">
        <f t="shared" si="325"/>
        <v/>
      </c>
      <c r="AI3282">
        <f t="shared" si="326"/>
        <v>0</v>
      </c>
      <c r="AJ3282">
        <f t="shared" si="327"/>
        <v>0</v>
      </c>
      <c r="AK3282">
        <v>0</v>
      </c>
      <c r="AL3282" t="str">
        <f>IF(AA3282="","",IFERROR(IF(ISNUMBER('Procyclean 600'!E284),'Procyclean 600'!E284,IF(ISNUMBER(SEARCH("12",'Procyclean 600'!E284)),EDATE(AB3282,12),IF(ISNUMBER(SEARCH("6",'Procyclean 600'!E284)),EDATE(AB3282,6),IF(ISNUMBER(SEARCH("3",'Procyclean 600'!E284)),EDATE(AB3282,3),DATEVALUE('Procyclean 600'!E284))))),""))</f>
        <v/>
      </c>
      <c r="AM3282" t="str">
        <f t="shared" ca="1" si="328"/>
        <v/>
      </c>
    </row>
    <row r="3283" spans="27:39" x14ac:dyDescent="0.3">
      <c r="AA3283" t="str">
        <f>IF(COUNTA('Procyclean 600'!B285,'Procyclean 600'!C285,'Procyclean 600'!D285)&gt;0,"600","")</f>
        <v/>
      </c>
      <c r="AB3283" t="str">
        <f>IFERROR(IF(ISNUMBER('Procyclean 600'!B285),'Procyclean 600'!B285,DATEVALUE('Procyclean 600'!B285)),"")</f>
        <v/>
      </c>
      <c r="AC3283" t="str">
        <f>IF(AA3283="","",'Procyclean 600'!C285)</f>
        <v/>
      </c>
      <c r="AD3283" t="str">
        <f>IF(AA3283="","",IFERROR(1*'Procyclean 600'!D285,IFERROR(_xludf.NUMBERVALUE('Procyclean 600'!D285,".",","),IFERROR(_xludf.NUMBERVALUE('Procyclean 600'!D285,",","."),0))))</f>
        <v/>
      </c>
      <c r="AE3283" t="str">
        <f>IF(AA3283="","",'Procyclean 600'!K285)</f>
        <v/>
      </c>
      <c r="AF3283">
        <f t="shared" si="323"/>
        <v>0</v>
      </c>
      <c r="AG3283" t="str">
        <f t="shared" si="324"/>
        <v/>
      </c>
      <c r="AH3283" t="str">
        <f t="shared" si="325"/>
        <v/>
      </c>
      <c r="AI3283">
        <f t="shared" si="326"/>
        <v>0</v>
      </c>
      <c r="AJ3283">
        <f t="shared" si="327"/>
        <v>0</v>
      </c>
      <c r="AK3283">
        <v>0</v>
      </c>
      <c r="AL3283" t="str">
        <f>IF(AA3283="","",IFERROR(IF(ISNUMBER('Procyclean 600'!E285),'Procyclean 600'!E285,IF(ISNUMBER(SEARCH("12",'Procyclean 600'!E285)),EDATE(AB3283,12),IF(ISNUMBER(SEARCH("6",'Procyclean 600'!E285)),EDATE(AB3283,6),IF(ISNUMBER(SEARCH("3",'Procyclean 600'!E285)),EDATE(AB3283,3),DATEVALUE('Procyclean 600'!E285))))),""))</f>
        <v/>
      </c>
      <c r="AM3283" t="str">
        <f t="shared" ca="1" si="328"/>
        <v/>
      </c>
    </row>
    <row r="3284" spans="27:39" x14ac:dyDescent="0.3">
      <c r="AA3284" t="str">
        <f>IF(COUNTA('Procyclean 600'!B286,'Procyclean 600'!C286,'Procyclean 600'!D286)&gt;0,"600","")</f>
        <v/>
      </c>
      <c r="AB3284" t="str">
        <f>IFERROR(IF(ISNUMBER('Procyclean 600'!B286),'Procyclean 600'!B286,DATEVALUE('Procyclean 600'!B286)),"")</f>
        <v/>
      </c>
      <c r="AC3284" t="str">
        <f>IF(AA3284="","",'Procyclean 600'!C286)</f>
        <v/>
      </c>
      <c r="AD3284" t="str">
        <f>IF(AA3284="","",IFERROR(1*'Procyclean 600'!D286,IFERROR(_xludf.NUMBERVALUE('Procyclean 600'!D286,".",","),IFERROR(_xludf.NUMBERVALUE('Procyclean 600'!D286,",","."),0))))</f>
        <v/>
      </c>
      <c r="AE3284" t="str">
        <f>IF(AA3284="","",'Procyclean 600'!K286)</f>
        <v/>
      </c>
      <c r="AF3284">
        <f t="shared" si="323"/>
        <v>0</v>
      </c>
      <c r="AG3284" t="str">
        <f t="shared" si="324"/>
        <v/>
      </c>
      <c r="AH3284" t="str">
        <f t="shared" si="325"/>
        <v/>
      </c>
      <c r="AI3284">
        <f t="shared" si="326"/>
        <v>0</v>
      </c>
      <c r="AJ3284">
        <f t="shared" si="327"/>
        <v>0</v>
      </c>
      <c r="AK3284">
        <v>0</v>
      </c>
      <c r="AL3284" t="str">
        <f>IF(AA3284="","",IFERROR(IF(ISNUMBER('Procyclean 600'!E286),'Procyclean 600'!E286,IF(ISNUMBER(SEARCH("12",'Procyclean 600'!E286)),EDATE(AB3284,12),IF(ISNUMBER(SEARCH("6",'Procyclean 600'!E286)),EDATE(AB3284,6),IF(ISNUMBER(SEARCH("3",'Procyclean 600'!E286)),EDATE(AB3284,3),DATEVALUE('Procyclean 600'!E286))))),""))</f>
        <v/>
      </c>
      <c r="AM3284" t="str">
        <f t="shared" ca="1" si="328"/>
        <v/>
      </c>
    </row>
    <row r="3285" spans="27:39" x14ac:dyDescent="0.3">
      <c r="AA3285" t="str">
        <f>IF(COUNTA('Procyclean 600'!B287,'Procyclean 600'!C287,'Procyclean 600'!D287)&gt;0,"600","")</f>
        <v/>
      </c>
      <c r="AB3285" t="str">
        <f>IFERROR(IF(ISNUMBER('Procyclean 600'!B287),'Procyclean 600'!B287,DATEVALUE('Procyclean 600'!B287)),"")</f>
        <v/>
      </c>
      <c r="AC3285" t="str">
        <f>IF(AA3285="","",'Procyclean 600'!C287)</f>
        <v/>
      </c>
      <c r="AD3285" t="str">
        <f>IF(AA3285="","",IFERROR(1*'Procyclean 600'!D287,IFERROR(_xludf.NUMBERVALUE('Procyclean 600'!D287,".",","),IFERROR(_xludf.NUMBERVALUE('Procyclean 600'!D287,",","."),0))))</f>
        <v/>
      </c>
      <c r="AE3285" t="str">
        <f>IF(AA3285="","",'Procyclean 600'!K287)</f>
        <v/>
      </c>
      <c r="AF3285">
        <f t="shared" si="323"/>
        <v>0</v>
      </c>
      <c r="AG3285" t="str">
        <f t="shared" si="324"/>
        <v/>
      </c>
      <c r="AH3285" t="str">
        <f t="shared" si="325"/>
        <v/>
      </c>
      <c r="AI3285">
        <f t="shared" si="326"/>
        <v>0</v>
      </c>
      <c r="AJ3285">
        <f t="shared" si="327"/>
        <v>0</v>
      </c>
      <c r="AK3285">
        <v>0</v>
      </c>
      <c r="AL3285" t="str">
        <f>IF(AA3285="","",IFERROR(IF(ISNUMBER('Procyclean 600'!E287),'Procyclean 600'!E287,IF(ISNUMBER(SEARCH("12",'Procyclean 600'!E287)),EDATE(AB3285,12),IF(ISNUMBER(SEARCH("6",'Procyclean 600'!E287)),EDATE(AB3285,6),IF(ISNUMBER(SEARCH("3",'Procyclean 600'!E287)),EDATE(AB3285,3),DATEVALUE('Procyclean 600'!E287))))),""))</f>
        <v/>
      </c>
      <c r="AM3285" t="str">
        <f t="shared" ca="1" si="328"/>
        <v/>
      </c>
    </row>
    <row r="3286" spans="27:39" x14ac:dyDescent="0.3">
      <c r="AA3286" t="str">
        <f>IF(COUNTA('Procyclean 600'!B288,'Procyclean 600'!C288,'Procyclean 600'!D288)&gt;0,"600","")</f>
        <v/>
      </c>
      <c r="AB3286" t="str">
        <f>IFERROR(IF(ISNUMBER('Procyclean 600'!B288),'Procyclean 600'!B288,DATEVALUE('Procyclean 600'!B288)),"")</f>
        <v/>
      </c>
      <c r="AC3286" t="str">
        <f>IF(AA3286="","",'Procyclean 600'!C288)</f>
        <v/>
      </c>
      <c r="AD3286" t="str">
        <f>IF(AA3286="","",IFERROR(1*'Procyclean 600'!D288,IFERROR(_xludf.NUMBERVALUE('Procyclean 600'!D288,".",","),IFERROR(_xludf.NUMBERVALUE('Procyclean 600'!D288,",","."),0))))</f>
        <v/>
      </c>
      <c r="AE3286" t="str">
        <f>IF(AA3286="","",'Procyclean 600'!K288)</f>
        <v/>
      </c>
      <c r="AF3286">
        <f t="shared" si="323"/>
        <v>0</v>
      </c>
      <c r="AG3286" t="str">
        <f t="shared" si="324"/>
        <v/>
      </c>
      <c r="AH3286" t="str">
        <f t="shared" si="325"/>
        <v/>
      </c>
      <c r="AI3286">
        <f t="shared" si="326"/>
        <v>0</v>
      </c>
      <c r="AJ3286">
        <f t="shared" si="327"/>
        <v>0</v>
      </c>
      <c r="AK3286">
        <v>0</v>
      </c>
      <c r="AL3286" t="str">
        <f>IF(AA3286="","",IFERROR(IF(ISNUMBER('Procyclean 600'!E288),'Procyclean 600'!E288,IF(ISNUMBER(SEARCH("12",'Procyclean 600'!E288)),EDATE(AB3286,12),IF(ISNUMBER(SEARCH("6",'Procyclean 600'!E288)),EDATE(AB3286,6),IF(ISNUMBER(SEARCH("3",'Procyclean 600'!E288)),EDATE(AB3286,3),DATEVALUE('Procyclean 600'!E288))))),""))</f>
        <v/>
      </c>
      <c r="AM3286" t="str">
        <f t="shared" ca="1" si="328"/>
        <v/>
      </c>
    </row>
    <row r="3287" spans="27:39" x14ac:dyDescent="0.3">
      <c r="AA3287" t="str">
        <f>IF(COUNTA('Procyclean 600'!B289,'Procyclean 600'!C289,'Procyclean 600'!D289)&gt;0,"600","")</f>
        <v/>
      </c>
      <c r="AB3287" t="str">
        <f>IFERROR(IF(ISNUMBER('Procyclean 600'!B289),'Procyclean 600'!B289,DATEVALUE('Procyclean 600'!B289)),"")</f>
        <v/>
      </c>
      <c r="AC3287" t="str">
        <f>IF(AA3287="","",'Procyclean 600'!C289)</f>
        <v/>
      </c>
      <c r="AD3287" t="str">
        <f>IF(AA3287="","",IFERROR(1*'Procyclean 600'!D289,IFERROR(_xludf.NUMBERVALUE('Procyclean 600'!D289,".",","),IFERROR(_xludf.NUMBERVALUE('Procyclean 600'!D289,",","."),0))))</f>
        <v/>
      </c>
      <c r="AE3287" t="str">
        <f>IF(AA3287="","",'Procyclean 600'!K289)</f>
        <v/>
      </c>
      <c r="AF3287">
        <f t="shared" si="323"/>
        <v>0</v>
      </c>
      <c r="AG3287" t="str">
        <f t="shared" si="324"/>
        <v/>
      </c>
      <c r="AH3287" t="str">
        <f t="shared" si="325"/>
        <v/>
      </c>
      <c r="AI3287">
        <f t="shared" si="326"/>
        <v>0</v>
      </c>
      <c r="AJ3287">
        <f t="shared" si="327"/>
        <v>0</v>
      </c>
      <c r="AK3287">
        <v>0</v>
      </c>
      <c r="AL3287" t="str">
        <f>IF(AA3287="","",IFERROR(IF(ISNUMBER('Procyclean 600'!E289),'Procyclean 600'!E289,IF(ISNUMBER(SEARCH("12",'Procyclean 600'!E289)),EDATE(AB3287,12),IF(ISNUMBER(SEARCH("6",'Procyclean 600'!E289)),EDATE(AB3287,6),IF(ISNUMBER(SEARCH("3",'Procyclean 600'!E289)),EDATE(AB3287,3),DATEVALUE('Procyclean 600'!E289))))),""))</f>
        <v/>
      </c>
      <c r="AM3287" t="str">
        <f t="shared" ca="1" si="328"/>
        <v/>
      </c>
    </row>
    <row r="3288" spans="27:39" x14ac:dyDescent="0.3">
      <c r="AA3288" t="str">
        <f>IF(COUNTA('Procyclean 600'!B290,'Procyclean 600'!C290,'Procyclean 600'!D290)&gt;0,"600","")</f>
        <v/>
      </c>
      <c r="AB3288" t="str">
        <f>IFERROR(IF(ISNUMBER('Procyclean 600'!B290),'Procyclean 600'!B290,DATEVALUE('Procyclean 600'!B290)),"")</f>
        <v/>
      </c>
      <c r="AC3288" t="str">
        <f>IF(AA3288="","",'Procyclean 600'!C290)</f>
        <v/>
      </c>
      <c r="AD3288" t="str">
        <f>IF(AA3288="","",IFERROR(1*'Procyclean 600'!D290,IFERROR(_xludf.NUMBERVALUE('Procyclean 600'!D290,".",","),IFERROR(_xludf.NUMBERVALUE('Procyclean 600'!D290,",","."),0))))</f>
        <v/>
      </c>
      <c r="AE3288" t="str">
        <f>IF(AA3288="","",'Procyclean 600'!K290)</f>
        <v/>
      </c>
      <c r="AF3288">
        <f t="shared" si="323"/>
        <v>0</v>
      </c>
      <c r="AG3288" t="str">
        <f t="shared" si="324"/>
        <v/>
      </c>
      <c r="AH3288" t="str">
        <f t="shared" si="325"/>
        <v/>
      </c>
      <c r="AI3288">
        <f t="shared" si="326"/>
        <v>0</v>
      </c>
      <c r="AJ3288">
        <f t="shared" si="327"/>
        <v>0</v>
      </c>
      <c r="AK3288">
        <v>0</v>
      </c>
      <c r="AL3288" t="str">
        <f>IF(AA3288="","",IFERROR(IF(ISNUMBER('Procyclean 600'!E290),'Procyclean 600'!E290,IF(ISNUMBER(SEARCH("12",'Procyclean 600'!E290)),EDATE(AB3288,12),IF(ISNUMBER(SEARCH("6",'Procyclean 600'!E290)),EDATE(AB3288,6),IF(ISNUMBER(SEARCH("3",'Procyclean 600'!E290)),EDATE(AB3288,3),DATEVALUE('Procyclean 600'!E290))))),""))</f>
        <v/>
      </c>
      <c r="AM3288" t="str">
        <f t="shared" ca="1" si="328"/>
        <v/>
      </c>
    </row>
    <row r="3289" spans="27:39" x14ac:dyDescent="0.3">
      <c r="AA3289" t="str">
        <f>IF(COUNTA('Procyclean 600'!B291,'Procyclean 600'!C291,'Procyclean 600'!D291)&gt;0,"600","")</f>
        <v/>
      </c>
      <c r="AB3289" t="str">
        <f>IFERROR(IF(ISNUMBER('Procyclean 600'!B291),'Procyclean 600'!B291,DATEVALUE('Procyclean 600'!B291)),"")</f>
        <v/>
      </c>
      <c r="AC3289" t="str">
        <f>IF(AA3289="","",'Procyclean 600'!C291)</f>
        <v/>
      </c>
      <c r="AD3289" t="str">
        <f>IF(AA3289="","",IFERROR(1*'Procyclean 600'!D291,IFERROR(_xludf.NUMBERVALUE('Procyclean 600'!D291,".",","),IFERROR(_xludf.NUMBERVALUE('Procyclean 600'!D291,",","."),0))))</f>
        <v/>
      </c>
      <c r="AE3289" t="str">
        <f>IF(AA3289="","",'Procyclean 600'!K291)</f>
        <v/>
      </c>
      <c r="AF3289">
        <f t="shared" si="323"/>
        <v>0</v>
      </c>
      <c r="AG3289" t="str">
        <f t="shared" si="324"/>
        <v/>
      </c>
      <c r="AH3289" t="str">
        <f t="shared" si="325"/>
        <v/>
      </c>
      <c r="AI3289">
        <f t="shared" si="326"/>
        <v>0</v>
      </c>
      <c r="AJ3289">
        <f t="shared" si="327"/>
        <v>0</v>
      </c>
      <c r="AK3289">
        <v>0</v>
      </c>
      <c r="AL3289" t="str">
        <f>IF(AA3289="","",IFERROR(IF(ISNUMBER('Procyclean 600'!E291),'Procyclean 600'!E291,IF(ISNUMBER(SEARCH("12",'Procyclean 600'!E291)),EDATE(AB3289,12),IF(ISNUMBER(SEARCH("6",'Procyclean 600'!E291)),EDATE(AB3289,6),IF(ISNUMBER(SEARCH("3",'Procyclean 600'!E291)),EDATE(AB3289,3),DATEVALUE('Procyclean 600'!E291))))),""))</f>
        <v/>
      </c>
      <c r="AM3289" t="str">
        <f t="shared" ca="1" si="328"/>
        <v/>
      </c>
    </row>
    <row r="3290" spans="27:39" x14ac:dyDescent="0.3">
      <c r="AA3290" t="str">
        <f>IF(COUNTA('Procyclean 600'!B292,'Procyclean 600'!C292,'Procyclean 600'!D292)&gt;0,"600","")</f>
        <v/>
      </c>
      <c r="AB3290" t="str">
        <f>IFERROR(IF(ISNUMBER('Procyclean 600'!B292),'Procyclean 600'!B292,DATEVALUE('Procyclean 600'!B292)),"")</f>
        <v/>
      </c>
      <c r="AC3290" t="str">
        <f>IF(AA3290="","",'Procyclean 600'!C292)</f>
        <v/>
      </c>
      <c r="AD3290" t="str">
        <f>IF(AA3290="","",IFERROR(1*'Procyclean 600'!D292,IFERROR(_xludf.NUMBERVALUE('Procyclean 600'!D292,".",","),IFERROR(_xludf.NUMBERVALUE('Procyclean 600'!D292,",","."),0))))</f>
        <v/>
      </c>
      <c r="AE3290" t="str">
        <f>IF(AA3290="","",'Procyclean 600'!K292)</f>
        <v/>
      </c>
      <c r="AF3290">
        <f t="shared" si="323"/>
        <v>0</v>
      </c>
      <c r="AG3290" t="str">
        <f t="shared" si="324"/>
        <v/>
      </c>
      <c r="AH3290" t="str">
        <f t="shared" si="325"/>
        <v/>
      </c>
      <c r="AI3290">
        <f t="shared" si="326"/>
        <v>0</v>
      </c>
      <c r="AJ3290">
        <f t="shared" si="327"/>
        <v>0</v>
      </c>
      <c r="AK3290">
        <v>0</v>
      </c>
      <c r="AL3290" t="str">
        <f>IF(AA3290="","",IFERROR(IF(ISNUMBER('Procyclean 600'!E292),'Procyclean 600'!E292,IF(ISNUMBER(SEARCH("12",'Procyclean 600'!E292)),EDATE(AB3290,12),IF(ISNUMBER(SEARCH("6",'Procyclean 600'!E292)),EDATE(AB3290,6),IF(ISNUMBER(SEARCH("3",'Procyclean 600'!E292)),EDATE(AB3290,3),DATEVALUE('Procyclean 600'!E292))))),""))</f>
        <v/>
      </c>
      <c r="AM3290" t="str">
        <f t="shared" ca="1" si="328"/>
        <v/>
      </c>
    </row>
    <row r="3291" spans="27:39" x14ac:dyDescent="0.3">
      <c r="AA3291" t="str">
        <f>IF(COUNTA('Procyclean 600'!B293,'Procyclean 600'!C293,'Procyclean 600'!D293)&gt;0,"600","")</f>
        <v/>
      </c>
      <c r="AB3291" t="str">
        <f>IFERROR(IF(ISNUMBER('Procyclean 600'!B293),'Procyclean 600'!B293,DATEVALUE('Procyclean 600'!B293)),"")</f>
        <v/>
      </c>
      <c r="AC3291" t="str">
        <f>IF(AA3291="","",'Procyclean 600'!C293)</f>
        <v/>
      </c>
      <c r="AD3291" t="str">
        <f>IF(AA3291="","",IFERROR(1*'Procyclean 600'!D293,IFERROR(_xludf.NUMBERVALUE('Procyclean 600'!D293,".",","),IFERROR(_xludf.NUMBERVALUE('Procyclean 600'!D293,",","."),0))))</f>
        <v/>
      </c>
      <c r="AE3291" t="str">
        <f>IF(AA3291="","",'Procyclean 600'!K293)</f>
        <v/>
      </c>
      <c r="AF3291">
        <f t="shared" si="323"/>
        <v>0</v>
      </c>
      <c r="AG3291" t="str">
        <f t="shared" si="324"/>
        <v/>
      </c>
      <c r="AH3291" t="str">
        <f t="shared" si="325"/>
        <v/>
      </c>
      <c r="AI3291">
        <f t="shared" si="326"/>
        <v>0</v>
      </c>
      <c r="AJ3291">
        <f t="shared" si="327"/>
        <v>0</v>
      </c>
      <c r="AK3291">
        <v>0</v>
      </c>
      <c r="AL3291" t="str">
        <f>IF(AA3291="","",IFERROR(IF(ISNUMBER('Procyclean 600'!E293),'Procyclean 600'!E293,IF(ISNUMBER(SEARCH("12",'Procyclean 600'!E293)),EDATE(AB3291,12),IF(ISNUMBER(SEARCH("6",'Procyclean 600'!E293)),EDATE(AB3291,6),IF(ISNUMBER(SEARCH("3",'Procyclean 600'!E293)),EDATE(AB3291,3),DATEVALUE('Procyclean 600'!E293))))),""))</f>
        <v/>
      </c>
      <c r="AM3291" t="str">
        <f t="shared" ca="1" si="328"/>
        <v/>
      </c>
    </row>
    <row r="3292" spans="27:39" x14ac:dyDescent="0.3">
      <c r="AA3292" t="str">
        <f>IF(COUNTA('Procyclean 600'!B294,'Procyclean 600'!C294,'Procyclean 600'!D294)&gt;0,"600","")</f>
        <v/>
      </c>
      <c r="AB3292" t="str">
        <f>IFERROR(IF(ISNUMBER('Procyclean 600'!B294),'Procyclean 600'!B294,DATEVALUE('Procyclean 600'!B294)),"")</f>
        <v/>
      </c>
      <c r="AC3292" t="str">
        <f>IF(AA3292="","",'Procyclean 600'!C294)</f>
        <v/>
      </c>
      <c r="AD3292" t="str">
        <f>IF(AA3292="","",IFERROR(1*'Procyclean 600'!D294,IFERROR(_xludf.NUMBERVALUE('Procyclean 600'!D294,".",","),IFERROR(_xludf.NUMBERVALUE('Procyclean 600'!D294,",","."),0))))</f>
        <v/>
      </c>
      <c r="AE3292" t="str">
        <f>IF(AA3292="","",'Procyclean 600'!K294)</f>
        <v/>
      </c>
      <c r="AF3292">
        <f t="shared" si="323"/>
        <v>0</v>
      </c>
      <c r="AG3292" t="str">
        <f t="shared" si="324"/>
        <v/>
      </c>
      <c r="AH3292" t="str">
        <f t="shared" si="325"/>
        <v/>
      </c>
      <c r="AI3292">
        <f t="shared" si="326"/>
        <v>0</v>
      </c>
      <c r="AJ3292">
        <f t="shared" si="327"/>
        <v>0</v>
      </c>
      <c r="AK3292">
        <v>0</v>
      </c>
      <c r="AL3292" t="str">
        <f>IF(AA3292="","",IFERROR(IF(ISNUMBER('Procyclean 600'!E294),'Procyclean 600'!E294,IF(ISNUMBER(SEARCH("12",'Procyclean 600'!E294)),EDATE(AB3292,12),IF(ISNUMBER(SEARCH("6",'Procyclean 600'!E294)),EDATE(AB3292,6),IF(ISNUMBER(SEARCH("3",'Procyclean 600'!E294)),EDATE(AB3292,3),DATEVALUE('Procyclean 600'!E294))))),""))</f>
        <v/>
      </c>
      <c r="AM3292" t="str">
        <f t="shared" ca="1" si="328"/>
        <v/>
      </c>
    </row>
    <row r="3293" spans="27:39" x14ac:dyDescent="0.3">
      <c r="AA3293" t="str">
        <f>IF(COUNTA('Procyclean 600'!B295,'Procyclean 600'!C295,'Procyclean 600'!D295)&gt;0,"600","")</f>
        <v/>
      </c>
      <c r="AB3293" t="str">
        <f>IFERROR(IF(ISNUMBER('Procyclean 600'!B295),'Procyclean 600'!B295,DATEVALUE('Procyclean 600'!B295)),"")</f>
        <v/>
      </c>
      <c r="AC3293" t="str">
        <f>IF(AA3293="","",'Procyclean 600'!C295)</f>
        <v/>
      </c>
      <c r="AD3293" t="str">
        <f>IF(AA3293="","",IFERROR(1*'Procyclean 600'!D295,IFERROR(_xludf.NUMBERVALUE('Procyclean 600'!D295,".",","),IFERROR(_xludf.NUMBERVALUE('Procyclean 600'!D295,",","."),0))))</f>
        <v/>
      </c>
      <c r="AE3293" t="str">
        <f>IF(AA3293="","",'Procyclean 600'!K295)</f>
        <v/>
      </c>
      <c r="AF3293">
        <f t="shared" si="323"/>
        <v>0</v>
      </c>
      <c r="AG3293" t="str">
        <f t="shared" si="324"/>
        <v/>
      </c>
      <c r="AH3293" t="str">
        <f t="shared" si="325"/>
        <v/>
      </c>
      <c r="AI3293">
        <f t="shared" si="326"/>
        <v>0</v>
      </c>
      <c r="AJ3293">
        <f t="shared" si="327"/>
        <v>0</v>
      </c>
      <c r="AK3293">
        <v>0</v>
      </c>
      <c r="AL3293" t="str">
        <f>IF(AA3293="","",IFERROR(IF(ISNUMBER('Procyclean 600'!E295),'Procyclean 600'!E295,IF(ISNUMBER(SEARCH("12",'Procyclean 600'!E295)),EDATE(AB3293,12),IF(ISNUMBER(SEARCH("6",'Procyclean 600'!E295)),EDATE(AB3293,6),IF(ISNUMBER(SEARCH("3",'Procyclean 600'!E295)),EDATE(AB3293,3),DATEVALUE('Procyclean 600'!E295))))),""))</f>
        <v/>
      </c>
      <c r="AM3293" t="str">
        <f t="shared" ca="1" si="328"/>
        <v/>
      </c>
    </row>
    <row r="3294" spans="27:39" x14ac:dyDescent="0.3">
      <c r="AA3294" t="str">
        <f>IF(COUNTA('Procyclean 600'!B296,'Procyclean 600'!C296,'Procyclean 600'!D296)&gt;0,"600","")</f>
        <v/>
      </c>
      <c r="AB3294" t="str">
        <f>IFERROR(IF(ISNUMBER('Procyclean 600'!B296),'Procyclean 600'!B296,DATEVALUE('Procyclean 600'!B296)),"")</f>
        <v/>
      </c>
      <c r="AC3294" t="str">
        <f>IF(AA3294="","",'Procyclean 600'!C296)</f>
        <v/>
      </c>
      <c r="AD3294" t="str">
        <f>IF(AA3294="","",IFERROR(1*'Procyclean 600'!D296,IFERROR(_xludf.NUMBERVALUE('Procyclean 600'!D296,".",","),IFERROR(_xludf.NUMBERVALUE('Procyclean 600'!D296,",","."),0))))</f>
        <v/>
      </c>
      <c r="AE3294" t="str">
        <f>IF(AA3294="","",'Procyclean 600'!K296)</f>
        <v/>
      </c>
      <c r="AF3294">
        <f t="shared" si="323"/>
        <v>0</v>
      </c>
      <c r="AG3294" t="str">
        <f t="shared" si="324"/>
        <v/>
      </c>
      <c r="AH3294" t="str">
        <f t="shared" si="325"/>
        <v/>
      </c>
      <c r="AI3294">
        <f t="shared" si="326"/>
        <v>0</v>
      </c>
      <c r="AJ3294">
        <f t="shared" si="327"/>
        <v>0</v>
      </c>
      <c r="AK3294">
        <v>0</v>
      </c>
      <c r="AL3294" t="str">
        <f>IF(AA3294="","",IFERROR(IF(ISNUMBER('Procyclean 600'!E296),'Procyclean 600'!E296,IF(ISNUMBER(SEARCH("12",'Procyclean 600'!E296)),EDATE(AB3294,12),IF(ISNUMBER(SEARCH("6",'Procyclean 600'!E296)),EDATE(AB3294,6),IF(ISNUMBER(SEARCH("3",'Procyclean 600'!E296)),EDATE(AB3294,3),DATEVALUE('Procyclean 600'!E296))))),""))</f>
        <v/>
      </c>
      <c r="AM3294" t="str">
        <f t="shared" ca="1" si="328"/>
        <v/>
      </c>
    </row>
    <row r="3295" spans="27:39" x14ac:dyDescent="0.3">
      <c r="AA3295" t="str">
        <f>IF(COUNTA('Procyclean 600'!B297,'Procyclean 600'!C297,'Procyclean 600'!D297)&gt;0,"600","")</f>
        <v/>
      </c>
      <c r="AB3295" t="str">
        <f>IFERROR(IF(ISNUMBER('Procyclean 600'!B297),'Procyclean 600'!B297,DATEVALUE('Procyclean 600'!B297)),"")</f>
        <v/>
      </c>
      <c r="AC3295" t="str">
        <f>IF(AA3295="","",'Procyclean 600'!C297)</f>
        <v/>
      </c>
      <c r="AD3295" t="str">
        <f>IF(AA3295="","",IFERROR(1*'Procyclean 600'!D297,IFERROR(_xludf.NUMBERVALUE('Procyclean 600'!D297,".",","),IFERROR(_xludf.NUMBERVALUE('Procyclean 600'!D297,",","."),0))))</f>
        <v/>
      </c>
      <c r="AE3295" t="str">
        <f>IF(AA3295="","",'Procyclean 600'!K297)</f>
        <v/>
      </c>
      <c r="AF3295">
        <f t="shared" si="323"/>
        <v>0</v>
      </c>
      <c r="AG3295" t="str">
        <f t="shared" si="324"/>
        <v/>
      </c>
      <c r="AH3295" t="str">
        <f t="shared" si="325"/>
        <v/>
      </c>
      <c r="AI3295">
        <f t="shared" si="326"/>
        <v>0</v>
      </c>
      <c r="AJ3295">
        <f t="shared" si="327"/>
        <v>0</v>
      </c>
      <c r="AK3295">
        <v>0</v>
      </c>
      <c r="AL3295" t="str">
        <f>IF(AA3295="","",IFERROR(IF(ISNUMBER('Procyclean 600'!E297),'Procyclean 600'!E297,IF(ISNUMBER(SEARCH("12",'Procyclean 600'!E297)),EDATE(AB3295,12),IF(ISNUMBER(SEARCH("6",'Procyclean 600'!E297)),EDATE(AB3295,6),IF(ISNUMBER(SEARCH("3",'Procyclean 600'!E297)),EDATE(AB3295,3),DATEVALUE('Procyclean 600'!E297))))),""))</f>
        <v/>
      </c>
      <c r="AM3295" t="str">
        <f t="shared" ca="1" si="328"/>
        <v/>
      </c>
    </row>
    <row r="3296" spans="27:39" x14ac:dyDescent="0.3">
      <c r="AA3296" t="str">
        <f>IF(COUNTA('Procyclean 600'!B298,'Procyclean 600'!C298,'Procyclean 600'!D298)&gt;0,"600","")</f>
        <v/>
      </c>
      <c r="AB3296" t="str">
        <f>IFERROR(IF(ISNUMBER('Procyclean 600'!B298),'Procyclean 600'!B298,DATEVALUE('Procyclean 600'!B298)),"")</f>
        <v/>
      </c>
      <c r="AC3296" t="str">
        <f>IF(AA3296="","",'Procyclean 600'!C298)</f>
        <v/>
      </c>
      <c r="AD3296" t="str">
        <f>IF(AA3296="","",IFERROR(1*'Procyclean 600'!D298,IFERROR(_xludf.NUMBERVALUE('Procyclean 600'!D298,".",","),IFERROR(_xludf.NUMBERVALUE('Procyclean 600'!D298,",","."),0))))</f>
        <v/>
      </c>
      <c r="AE3296" t="str">
        <f>IF(AA3296="","",'Procyclean 600'!K298)</f>
        <v/>
      </c>
      <c r="AF3296">
        <f t="shared" si="323"/>
        <v>0</v>
      </c>
      <c r="AG3296" t="str">
        <f t="shared" si="324"/>
        <v/>
      </c>
      <c r="AH3296" t="str">
        <f t="shared" si="325"/>
        <v/>
      </c>
      <c r="AI3296">
        <f t="shared" si="326"/>
        <v>0</v>
      </c>
      <c r="AJ3296">
        <f t="shared" si="327"/>
        <v>0</v>
      </c>
      <c r="AK3296">
        <v>0</v>
      </c>
      <c r="AL3296" t="str">
        <f>IF(AA3296="","",IFERROR(IF(ISNUMBER('Procyclean 600'!E298),'Procyclean 600'!E298,IF(ISNUMBER(SEARCH("12",'Procyclean 600'!E298)),EDATE(AB3296,12),IF(ISNUMBER(SEARCH("6",'Procyclean 600'!E298)),EDATE(AB3296,6),IF(ISNUMBER(SEARCH("3",'Procyclean 600'!E298)),EDATE(AB3296,3),DATEVALUE('Procyclean 600'!E298))))),""))</f>
        <v/>
      </c>
      <c r="AM3296" t="str">
        <f t="shared" ca="1" si="328"/>
        <v/>
      </c>
    </row>
    <row r="3297" spans="27:39" x14ac:dyDescent="0.3">
      <c r="AA3297" t="str">
        <f>IF(COUNTA('Procyclean 600'!B299,'Procyclean 600'!C299,'Procyclean 600'!D299)&gt;0,"600","")</f>
        <v/>
      </c>
      <c r="AB3297" t="str">
        <f>IFERROR(IF(ISNUMBER('Procyclean 600'!B299),'Procyclean 600'!B299,DATEVALUE('Procyclean 600'!B299)),"")</f>
        <v/>
      </c>
      <c r="AC3297" t="str">
        <f>IF(AA3297="","",'Procyclean 600'!C299)</f>
        <v/>
      </c>
      <c r="AD3297" t="str">
        <f>IF(AA3297="","",IFERROR(1*'Procyclean 600'!D299,IFERROR(_xludf.NUMBERVALUE('Procyclean 600'!D299,".",","),IFERROR(_xludf.NUMBERVALUE('Procyclean 600'!D299,",","."),0))))</f>
        <v/>
      </c>
      <c r="AE3297" t="str">
        <f>IF(AA3297="","",'Procyclean 600'!K299)</f>
        <v/>
      </c>
      <c r="AF3297">
        <f t="shared" si="323"/>
        <v>0</v>
      </c>
      <c r="AG3297" t="str">
        <f t="shared" si="324"/>
        <v/>
      </c>
      <c r="AH3297" t="str">
        <f t="shared" si="325"/>
        <v/>
      </c>
      <c r="AI3297">
        <f t="shared" si="326"/>
        <v>0</v>
      </c>
      <c r="AJ3297">
        <f t="shared" si="327"/>
        <v>0</v>
      </c>
      <c r="AK3297">
        <v>0</v>
      </c>
      <c r="AL3297" t="str">
        <f>IF(AA3297="","",IFERROR(IF(ISNUMBER('Procyclean 600'!E299),'Procyclean 600'!E299,IF(ISNUMBER(SEARCH("12",'Procyclean 600'!E299)),EDATE(AB3297,12),IF(ISNUMBER(SEARCH("6",'Procyclean 600'!E299)),EDATE(AB3297,6),IF(ISNUMBER(SEARCH("3",'Procyclean 600'!E299)),EDATE(AB3297,3),DATEVALUE('Procyclean 600'!E299))))),""))</f>
        <v/>
      </c>
      <c r="AM3297" t="str">
        <f t="shared" ca="1" si="328"/>
        <v/>
      </c>
    </row>
    <row r="3298" spans="27:39" x14ac:dyDescent="0.3">
      <c r="AA3298" t="str">
        <f>IF(COUNTA('Procyclean 600'!B300,'Procyclean 600'!C300,'Procyclean 600'!D300)&gt;0,"600","")</f>
        <v/>
      </c>
      <c r="AB3298" t="str">
        <f>IFERROR(IF(ISNUMBER('Procyclean 600'!B300),'Procyclean 600'!B300,DATEVALUE('Procyclean 600'!B300)),"")</f>
        <v/>
      </c>
      <c r="AC3298" t="str">
        <f>IF(AA3298="","",'Procyclean 600'!C300)</f>
        <v/>
      </c>
      <c r="AD3298" t="str">
        <f>IF(AA3298="","",IFERROR(1*'Procyclean 600'!D300,IFERROR(_xludf.NUMBERVALUE('Procyclean 600'!D300,".",","),IFERROR(_xludf.NUMBERVALUE('Procyclean 600'!D300,",","."),0))))</f>
        <v/>
      </c>
      <c r="AE3298" t="str">
        <f>IF(AA3298="","",'Procyclean 600'!K300)</f>
        <v/>
      </c>
      <c r="AF3298">
        <f t="shared" si="323"/>
        <v>0</v>
      </c>
      <c r="AG3298" t="str">
        <f t="shared" si="324"/>
        <v/>
      </c>
      <c r="AH3298" t="str">
        <f t="shared" si="325"/>
        <v/>
      </c>
      <c r="AI3298">
        <f t="shared" si="326"/>
        <v>0</v>
      </c>
      <c r="AJ3298">
        <f t="shared" si="327"/>
        <v>0</v>
      </c>
      <c r="AK3298">
        <v>0</v>
      </c>
      <c r="AL3298" t="str">
        <f>IF(AA3298="","",IFERROR(IF(ISNUMBER('Procyclean 600'!E300),'Procyclean 600'!E300,IF(ISNUMBER(SEARCH("12",'Procyclean 600'!E300)),EDATE(AB3298,12),IF(ISNUMBER(SEARCH("6",'Procyclean 600'!E300)),EDATE(AB3298,6),IF(ISNUMBER(SEARCH("3",'Procyclean 600'!E300)),EDATE(AB3298,3),DATEVALUE('Procyclean 600'!E300))))),""))</f>
        <v/>
      </c>
      <c r="AM3298" t="str">
        <f t="shared" ca="1" si="328"/>
        <v/>
      </c>
    </row>
    <row r="3299" spans="27:39" x14ac:dyDescent="0.3">
      <c r="AA3299" t="str">
        <f>IF(COUNTA('Procyclean 600'!B301,'Procyclean 600'!C301,'Procyclean 600'!D301)&gt;0,"600","")</f>
        <v/>
      </c>
      <c r="AB3299" t="str">
        <f>IFERROR(IF(ISNUMBER('Procyclean 600'!B301),'Procyclean 600'!B301,DATEVALUE('Procyclean 600'!B301)),"")</f>
        <v/>
      </c>
      <c r="AC3299" t="str">
        <f>IF(AA3299="","",'Procyclean 600'!C301)</f>
        <v/>
      </c>
      <c r="AD3299" t="str">
        <f>IF(AA3299="","",IFERROR(1*'Procyclean 600'!D301,IFERROR(_xludf.NUMBERVALUE('Procyclean 600'!D301,".",","),IFERROR(_xludf.NUMBERVALUE('Procyclean 600'!D301,",","."),0))))</f>
        <v/>
      </c>
      <c r="AE3299" t="str">
        <f>IF(AA3299="","",'Procyclean 600'!K301)</f>
        <v/>
      </c>
      <c r="AF3299">
        <f t="shared" si="323"/>
        <v>0</v>
      </c>
      <c r="AG3299" t="str">
        <f t="shared" si="324"/>
        <v/>
      </c>
      <c r="AH3299" t="str">
        <f t="shared" si="325"/>
        <v/>
      </c>
      <c r="AI3299">
        <f t="shared" si="326"/>
        <v>0</v>
      </c>
      <c r="AJ3299">
        <f t="shared" si="327"/>
        <v>0</v>
      </c>
      <c r="AK3299">
        <v>0</v>
      </c>
      <c r="AL3299" t="str">
        <f>IF(AA3299="","",IFERROR(IF(ISNUMBER('Procyclean 600'!E301),'Procyclean 600'!E301,IF(ISNUMBER(SEARCH("12",'Procyclean 600'!E301)),EDATE(AB3299,12),IF(ISNUMBER(SEARCH("6",'Procyclean 600'!E301)),EDATE(AB3299,6),IF(ISNUMBER(SEARCH("3",'Procyclean 600'!E301)),EDATE(AB3299,3),DATEVALUE('Procyclean 600'!E301))))),""))</f>
        <v/>
      </c>
      <c r="AM3299" t="str">
        <f t="shared" ca="1" si="328"/>
        <v/>
      </c>
    </row>
    <row r="3300" spans="27:39" x14ac:dyDescent="0.3">
      <c r="AA3300" t="str">
        <f>IF(COUNTA('Procyclean 600'!B302,'Procyclean 600'!C302,'Procyclean 600'!D302)&gt;0,"600","")</f>
        <v/>
      </c>
      <c r="AB3300" t="str">
        <f>IFERROR(IF(ISNUMBER('Procyclean 600'!B302),'Procyclean 600'!B302,DATEVALUE('Procyclean 600'!B302)),"")</f>
        <v/>
      </c>
      <c r="AC3300" t="str">
        <f>IF(AA3300="","",'Procyclean 600'!C302)</f>
        <v/>
      </c>
      <c r="AD3300" t="str">
        <f>IF(AA3300="","",IFERROR(1*'Procyclean 600'!D302,IFERROR(_xludf.NUMBERVALUE('Procyclean 600'!D302,".",","),IFERROR(_xludf.NUMBERVALUE('Procyclean 600'!D302,",","."),0))))</f>
        <v/>
      </c>
      <c r="AE3300" t="str">
        <f>IF(AA3300="","",'Procyclean 600'!K302)</f>
        <v/>
      </c>
      <c r="AF3300">
        <f t="shared" si="323"/>
        <v>0</v>
      </c>
      <c r="AG3300" t="str">
        <f t="shared" si="324"/>
        <v/>
      </c>
      <c r="AH3300" t="str">
        <f t="shared" si="325"/>
        <v/>
      </c>
      <c r="AI3300">
        <f t="shared" si="326"/>
        <v>0</v>
      </c>
      <c r="AJ3300">
        <f t="shared" si="327"/>
        <v>0</v>
      </c>
      <c r="AK3300">
        <v>0</v>
      </c>
      <c r="AL3300" t="str">
        <f>IF(AA3300="","",IFERROR(IF(ISNUMBER('Procyclean 600'!E302),'Procyclean 600'!E302,IF(ISNUMBER(SEARCH("12",'Procyclean 600'!E302)),EDATE(AB3300,12),IF(ISNUMBER(SEARCH("6",'Procyclean 600'!E302)),EDATE(AB3300,6),IF(ISNUMBER(SEARCH("3",'Procyclean 600'!E302)),EDATE(AB3300,3),DATEVALUE('Procyclean 600'!E302))))),""))</f>
        <v/>
      </c>
      <c r="AM3300" t="str">
        <f t="shared" ca="1" si="328"/>
        <v/>
      </c>
    </row>
    <row r="3301" spans="27:39" x14ac:dyDescent="0.3">
      <c r="AA3301" t="str">
        <f>IF(COUNTA('Procyclean 600'!B303,'Procyclean 600'!C303,'Procyclean 600'!D303)&gt;0,"600","")</f>
        <v/>
      </c>
      <c r="AB3301" t="str">
        <f>IFERROR(IF(ISNUMBER('Procyclean 600'!B303),'Procyclean 600'!B303,DATEVALUE('Procyclean 600'!B303)),"")</f>
        <v/>
      </c>
      <c r="AC3301" t="str">
        <f>IF(AA3301="","",'Procyclean 600'!C303)</f>
        <v/>
      </c>
      <c r="AD3301" t="str">
        <f>IF(AA3301="","",IFERROR(1*'Procyclean 600'!D303,IFERROR(_xludf.NUMBERVALUE('Procyclean 600'!D303,".",","),IFERROR(_xludf.NUMBERVALUE('Procyclean 600'!D303,",","."),0))))</f>
        <v/>
      </c>
      <c r="AE3301" t="str">
        <f>IF(AA3301="","",'Procyclean 600'!K303)</f>
        <v/>
      </c>
      <c r="AF3301">
        <f t="shared" si="323"/>
        <v>0</v>
      </c>
      <c r="AG3301" t="str">
        <f t="shared" si="324"/>
        <v/>
      </c>
      <c r="AH3301" t="str">
        <f t="shared" si="325"/>
        <v/>
      </c>
      <c r="AI3301">
        <f t="shared" si="326"/>
        <v>0</v>
      </c>
      <c r="AJ3301">
        <f t="shared" si="327"/>
        <v>0</v>
      </c>
      <c r="AK3301">
        <v>0</v>
      </c>
      <c r="AL3301" t="str">
        <f>IF(AA3301="","",IFERROR(IF(ISNUMBER('Procyclean 600'!E303),'Procyclean 600'!E303,IF(ISNUMBER(SEARCH("12",'Procyclean 600'!E303)),EDATE(AB3301,12),IF(ISNUMBER(SEARCH("6",'Procyclean 600'!E303)),EDATE(AB3301,6),IF(ISNUMBER(SEARCH("3",'Procyclean 600'!E303)),EDATE(AB3301,3),DATEVALUE('Procyclean 600'!E303))))),""))</f>
        <v/>
      </c>
      <c r="AM3301" t="str">
        <f t="shared" ca="1" si="328"/>
        <v/>
      </c>
    </row>
    <row r="3302" spans="27:39" x14ac:dyDescent="0.3">
      <c r="AA3302" t="str">
        <f>IF(COUNTA('Procyclean 600'!B304,'Procyclean 600'!C304,'Procyclean 600'!D304)&gt;0,"600","")</f>
        <v/>
      </c>
      <c r="AB3302" t="str">
        <f>IFERROR(IF(ISNUMBER('Procyclean 600'!B304),'Procyclean 600'!B304,DATEVALUE('Procyclean 600'!B304)),"")</f>
        <v/>
      </c>
      <c r="AC3302" t="str">
        <f>IF(AA3302="","",'Procyclean 600'!C304)</f>
        <v/>
      </c>
      <c r="AD3302" t="str">
        <f>IF(AA3302="","",IFERROR(1*'Procyclean 600'!D304,IFERROR(_xludf.NUMBERVALUE('Procyclean 600'!D304,".",","),IFERROR(_xludf.NUMBERVALUE('Procyclean 600'!D304,",","."),0))))</f>
        <v/>
      </c>
      <c r="AE3302" t="str">
        <f>IF(AA3302="","",'Procyclean 600'!K304)</f>
        <v/>
      </c>
      <c r="AF3302">
        <f t="shared" si="323"/>
        <v>0</v>
      </c>
      <c r="AG3302" t="str">
        <f t="shared" si="324"/>
        <v/>
      </c>
      <c r="AH3302" t="str">
        <f t="shared" si="325"/>
        <v/>
      </c>
      <c r="AI3302">
        <f t="shared" si="326"/>
        <v>0</v>
      </c>
      <c r="AJ3302">
        <f t="shared" si="327"/>
        <v>0</v>
      </c>
      <c r="AK3302">
        <v>0</v>
      </c>
      <c r="AL3302" t="str">
        <f>IF(AA3302="","",IFERROR(IF(ISNUMBER('Procyclean 600'!E304),'Procyclean 600'!E304,IF(ISNUMBER(SEARCH("12",'Procyclean 600'!E304)),EDATE(AB3302,12),IF(ISNUMBER(SEARCH("6",'Procyclean 600'!E304)),EDATE(AB3302,6),IF(ISNUMBER(SEARCH("3",'Procyclean 600'!E304)),EDATE(AB3302,3),DATEVALUE('Procyclean 600'!E304))))),""))</f>
        <v/>
      </c>
      <c r="AM3302" t="str">
        <f t="shared" ca="1" si="328"/>
        <v/>
      </c>
    </row>
    <row r="3303" spans="27:39" x14ac:dyDescent="0.3">
      <c r="AA3303" t="str">
        <f>IF(COUNTA('Procyclean 600'!B305,'Procyclean 600'!C305,'Procyclean 600'!D305)&gt;0,"600","")</f>
        <v/>
      </c>
      <c r="AB3303" t="str">
        <f>IFERROR(IF(ISNUMBER('Procyclean 600'!B305),'Procyclean 600'!B305,DATEVALUE('Procyclean 600'!B305)),"")</f>
        <v/>
      </c>
      <c r="AC3303" t="str">
        <f>IF(AA3303="","",'Procyclean 600'!C305)</f>
        <v/>
      </c>
      <c r="AD3303" t="str">
        <f>IF(AA3303="","",IFERROR(1*'Procyclean 600'!D305,IFERROR(_xludf.NUMBERVALUE('Procyclean 600'!D305,".",","),IFERROR(_xludf.NUMBERVALUE('Procyclean 600'!D305,",","."),0))))</f>
        <v/>
      </c>
      <c r="AE3303" t="str">
        <f>IF(AA3303="","",'Procyclean 600'!K305)</f>
        <v/>
      </c>
      <c r="AF3303">
        <f t="shared" si="323"/>
        <v>0</v>
      </c>
      <c r="AG3303" t="str">
        <f t="shared" si="324"/>
        <v/>
      </c>
      <c r="AH3303" t="str">
        <f t="shared" si="325"/>
        <v/>
      </c>
      <c r="AI3303">
        <f t="shared" si="326"/>
        <v>0</v>
      </c>
      <c r="AJ3303">
        <f t="shared" si="327"/>
        <v>0</v>
      </c>
      <c r="AK3303">
        <v>0</v>
      </c>
      <c r="AL3303" t="str">
        <f>IF(AA3303="","",IFERROR(IF(ISNUMBER('Procyclean 600'!E305),'Procyclean 600'!E305,IF(ISNUMBER(SEARCH("12",'Procyclean 600'!E305)),EDATE(AB3303,12),IF(ISNUMBER(SEARCH("6",'Procyclean 600'!E305)),EDATE(AB3303,6),IF(ISNUMBER(SEARCH("3",'Procyclean 600'!E305)),EDATE(AB3303,3),DATEVALUE('Procyclean 600'!E305))))),""))</f>
        <v/>
      </c>
      <c r="AM3303" t="str">
        <f t="shared" ca="1" si="328"/>
        <v/>
      </c>
    </row>
    <row r="3304" spans="27:39" x14ac:dyDescent="0.3">
      <c r="AA3304" t="str">
        <f>IF(COUNTA('Procyclean 600'!B306,'Procyclean 600'!C306,'Procyclean 600'!D306)&gt;0,"600","")</f>
        <v/>
      </c>
      <c r="AB3304" t="str">
        <f>IFERROR(IF(ISNUMBER('Procyclean 600'!B306),'Procyclean 600'!B306,DATEVALUE('Procyclean 600'!B306)),"")</f>
        <v/>
      </c>
      <c r="AC3304" t="str">
        <f>IF(AA3304="","",'Procyclean 600'!C306)</f>
        <v/>
      </c>
      <c r="AD3304" t="str">
        <f>IF(AA3304="","",IFERROR(1*'Procyclean 600'!D306,IFERROR(_xludf.NUMBERVALUE('Procyclean 600'!D306,".",","),IFERROR(_xludf.NUMBERVALUE('Procyclean 600'!D306,",","."),0))))</f>
        <v/>
      </c>
      <c r="AE3304" t="str">
        <f>IF(AA3304="","",'Procyclean 600'!K306)</f>
        <v/>
      </c>
      <c r="AF3304">
        <f t="shared" si="323"/>
        <v>0</v>
      </c>
      <c r="AG3304" t="str">
        <f t="shared" si="324"/>
        <v/>
      </c>
      <c r="AH3304" t="str">
        <f t="shared" si="325"/>
        <v/>
      </c>
      <c r="AI3304">
        <f t="shared" si="326"/>
        <v>0</v>
      </c>
      <c r="AJ3304">
        <f t="shared" si="327"/>
        <v>0</v>
      </c>
      <c r="AK3304">
        <v>0</v>
      </c>
      <c r="AL3304" t="str">
        <f>IF(AA3304="","",IFERROR(IF(ISNUMBER('Procyclean 600'!E306),'Procyclean 600'!E306,IF(ISNUMBER(SEARCH("12",'Procyclean 600'!E306)),EDATE(AB3304,12),IF(ISNUMBER(SEARCH("6",'Procyclean 600'!E306)),EDATE(AB3304,6),IF(ISNUMBER(SEARCH("3",'Procyclean 600'!E306)),EDATE(AB3304,3),DATEVALUE('Procyclean 600'!E306))))),""))</f>
        <v/>
      </c>
      <c r="AM3304" t="str">
        <f t="shared" ca="1" si="328"/>
        <v/>
      </c>
    </row>
    <row r="3305" spans="27:39" x14ac:dyDescent="0.3">
      <c r="AA3305" t="str">
        <f>IF(COUNTA('Procyclean 600'!B307,'Procyclean 600'!C307,'Procyclean 600'!D307)&gt;0,"600","")</f>
        <v/>
      </c>
      <c r="AB3305" t="str">
        <f>IFERROR(IF(ISNUMBER('Procyclean 600'!B307),'Procyclean 600'!B307,DATEVALUE('Procyclean 600'!B307)),"")</f>
        <v/>
      </c>
      <c r="AC3305" t="str">
        <f>IF(AA3305="","",'Procyclean 600'!C307)</f>
        <v/>
      </c>
      <c r="AD3305" t="str">
        <f>IF(AA3305="","",IFERROR(1*'Procyclean 600'!D307,IFERROR(_xludf.NUMBERVALUE('Procyclean 600'!D307,".",","),IFERROR(_xludf.NUMBERVALUE('Procyclean 600'!D307,",","."),0))))</f>
        <v/>
      </c>
      <c r="AE3305" t="str">
        <f>IF(AA3305="","",'Procyclean 600'!K307)</f>
        <v/>
      </c>
      <c r="AF3305">
        <f t="shared" si="323"/>
        <v>0</v>
      </c>
      <c r="AG3305" t="str">
        <f t="shared" si="324"/>
        <v/>
      </c>
      <c r="AH3305" t="str">
        <f t="shared" si="325"/>
        <v/>
      </c>
      <c r="AI3305">
        <f t="shared" si="326"/>
        <v>0</v>
      </c>
      <c r="AJ3305">
        <f t="shared" si="327"/>
        <v>0</v>
      </c>
      <c r="AK3305">
        <v>0</v>
      </c>
      <c r="AL3305" t="str">
        <f>IF(AA3305="","",IFERROR(IF(ISNUMBER('Procyclean 600'!E307),'Procyclean 600'!E307,IF(ISNUMBER(SEARCH("12",'Procyclean 600'!E307)),EDATE(AB3305,12),IF(ISNUMBER(SEARCH("6",'Procyclean 600'!E307)),EDATE(AB3305,6),IF(ISNUMBER(SEARCH("3",'Procyclean 600'!E307)),EDATE(AB3305,3),DATEVALUE('Procyclean 600'!E307))))),""))</f>
        <v/>
      </c>
      <c r="AM3305" t="str">
        <f t="shared" ca="1" si="328"/>
        <v/>
      </c>
    </row>
    <row r="3306" spans="27:39" x14ac:dyDescent="0.3">
      <c r="AA3306" t="str">
        <f>IF(COUNTA('Procyclean 600'!B308,'Procyclean 600'!C308,'Procyclean 600'!D308)&gt;0,"600","")</f>
        <v/>
      </c>
      <c r="AB3306" t="str">
        <f>IFERROR(IF(ISNUMBER('Procyclean 600'!B308),'Procyclean 600'!B308,DATEVALUE('Procyclean 600'!B308)),"")</f>
        <v/>
      </c>
      <c r="AC3306" t="str">
        <f>IF(AA3306="","",'Procyclean 600'!C308)</f>
        <v/>
      </c>
      <c r="AD3306" t="str">
        <f>IF(AA3306="","",IFERROR(1*'Procyclean 600'!D308,IFERROR(_xludf.NUMBERVALUE('Procyclean 600'!D308,".",","),IFERROR(_xludf.NUMBERVALUE('Procyclean 600'!D308,",","."),0))))</f>
        <v/>
      </c>
      <c r="AE3306" t="str">
        <f>IF(AA3306="","",'Procyclean 600'!K308)</f>
        <v/>
      </c>
      <c r="AF3306">
        <f t="shared" si="323"/>
        <v>0</v>
      </c>
      <c r="AG3306" t="str">
        <f t="shared" si="324"/>
        <v/>
      </c>
      <c r="AH3306" t="str">
        <f t="shared" si="325"/>
        <v/>
      </c>
      <c r="AI3306">
        <f t="shared" si="326"/>
        <v>0</v>
      </c>
      <c r="AJ3306">
        <f t="shared" si="327"/>
        <v>0</v>
      </c>
      <c r="AK3306">
        <v>0</v>
      </c>
      <c r="AL3306" t="str">
        <f>IF(AA3306="","",IFERROR(IF(ISNUMBER('Procyclean 600'!E308),'Procyclean 600'!E308,IF(ISNUMBER(SEARCH("12",'Procyclean 600'!E308)),EDATE(AB3306,12),IF(ISNUMBER(SEARCH("6",'Procyclean 600'!E308)),EDATE(AB3306,6),IF(ISNUMBER(SEARCH("3",'Procyclean 600'!E308)),EDATE(AB3306,3),DATEVALUE('Procyclean 600'!E308))))),""))</f>
        <v/>
      </c>
      <c r="AM3306" t="str">
        <f t="shared" ca="1" si="328"/>
        <v/>
      </c>
    </row>
    <row r="3307" spans="27:39" x14ac:dyDescent="0.3">
      <c r="AA3307" t="str">
        <f>IF(COUNTA('Procyclean 600'!B309,'Procyclean 600'!C309,'Procyclean 600'!D309)&gt;0,"600","")</f>
        <v/>
      </c>
      <c r="AB3307" t="str">
        <f>IFERROR(IF(ISNUMBER('Procyclean 600'!B309),'Procyclean 600'!B309,DATEVALUE('Procyclean 600'!B309)),"")</f>
        <v/>
      </c>
      <c r="AC3307" t="str">
        <f>IF(AA3307="","",'Procyclean 600'!C309)</f>
        <v/>
      </c>
      <c r="AD3307" t="str">
        <f>IF(AA3307="","",IFERROR(1*'Procyclean 600'!D309,IFERROR(_xludf.NUMBERVALUE('Procyclean 600'!D309,".",","),IFERROR(_xludf.NUMBERVALUE('Procyclean 600'!D309,",","."),0))))</f>
        <v/>
      </c>
      <c r="AE3307" t="str">
        <f>IF(AA3307="","",'Procyclean 600'!K309)</f>
        <v/>
      </c>
      <c r="AF3307">
        <f t="shared" si="323"/>
        <v>0</v>
      </c>
      <c r="AG3307" t="str">
        <f t="shared" si="324"/>
        <v/>
      </c>
      <c r="AH3307" t="str">
        <f t="shared" si="325"/>
        <v/>
      </c>
      <c r="AI3307">
        <f t="shared" si="326"/>
        <v>0</v>
      </c>
      <c r="AJ3307">
        <f t="shared" si="327"/>
        <v>0</v>
      </c>
      <c r="AK3307">
        <v>0</v>
      </c>
      <c r="AL3307" t="str">
        <f>IF(AA3307="","",IFERROR(IF(ISNUMBER('Procyclean 600'!E309),'Procyclean 600'!E309,IF(ISNUMBER(SEARCH("12",'Procyclean 600'!E309)),EDATE(AB3307,12),IF(ISNUMBER(SEARCH("6",'Procyclean 600'!E309)),EDATE(AB3307,6),IF(ISNUMBER(SEARCH("3",'Procyclean 600'!E309)),EDATE(AB3307,3),DATEVALUE('Procyclean 600'!E309))))),""))</f>
        <v/>
      </c>
      <c r="AM3307" t="str">
        <f t="shared" ca="1" si="328"/>
        <v/>
      </c>
    </row>
    <row r="3308" spans="27:39" x14ac:dyDescent="0.3">
      <c r="AA3308" t="str">
        <f>IF(COUNTA('Procyclean 600'!B310,'Procyclean 600'!C310,'Procyclean 600'!D310)&gt;0,"600","")</f>
        <v/>
      </c>
      <c r="AB3308" t="str">
        <f>IFERROR(IF(ISNUMBER('Procyclean 600'!B310),'Procyclean 600'!B310,DATEVALUE('Procyclean 600'!B310)),"")</f>
        <v/>
      </c>
      <c r="AC3308" t="str">
        <f>IF(AA3308="","",'Procyclean 600'!C310)</f>
        <v/>
      </c>
      <c r="AD3308" t="str">
        <f>IF(AA3308="","",IFERROR(1*'Procyclean 600'!D310,IFERROR(_xludf.NUMBERVALUE('Procyclean 600'!D310,".",","),IFERROR(_xludf.NUMBERVALUE('Procyclean 600'!D310,",","."),0))))</f>
        <v/>
      </c>
      <c r="AE3308" t="str">
        <f>IF(AA3308="","",'Procyclean 600'!K310)</f>
        <v/>
      </c>
      <c r="AF3308">
        <f t="shared" si="323"/>
        <v>0</v>
      </c>
      <c r="AG3308" t="str">
        <f t="shared" si="324"/>
        <v/>
      </c>
      <c r="AH3308" t="str">
        <f t="shared" si="325"/>
        <v/>
      </c>
      <c r="AI3308">
        <f t="shared" si="326"/>
        <v>0</v>
      </c>
      <c r="AJ3308">
        <f t="shared" si="327"/>
        <v>0</v>
      </c>
      <c r="AK3308">
        <v>0</v>
      </c>
      <c r="AL3308" t="str">
        <f>IF(AA3308="","",IFERROR(IF(ISNUMBER('Procyclean 600'!E310),'Procyclean 600'!E310,IF(ISNUMBER(SEARCH("12",'Procyclean 600'!E310)),EDATE(AB3308,12),IF(ISNUMBER(SEARCH("6",'Procyclean 600'!E310)),EDATE(AB3308,6),IF(ISNUMBER(SEARCH("3",'Procyclean 600'!E310)),EDATE(AB3308,3),DATEVALUE('Procyclean 600'!E310))))),""))</f>
        <v/>
      </c>
      <c r="AM3308" t="str">
        <f t="shared" ca="1" si="328"/>
        <v/>
      </c>
    </row>
    <row r="3309" spans="27:39" x14ac:dyDescent="0.3">
      <c r="AA3309" t="str">
        <f>IF(COUNTA('Procyclean 600'!B311,'Procyclean 600'!C311,'Procyclean 600'!D311)&gt;0,"600","")</f>
        <v/>
      </c>
      <c r="AB3309" t="str">
        <f>IFERROR(IF(ISNUMBER('Procyclean 600'!B311),'Procyclean 600'!B311,DATEVALUE('Procyclean 600'!B311)),"")</f>
        <v/>
      </c>
      <c r="AC3309" t="str">
        <f>IF(AA3309="","",'Procyclean 600'!C311)</f>
        <v/>
      </c>
      <c r="AD3309" t="str">
        <f>IF(AA3309="","",IFERROR(1*'Procyclean 600'!D311,IFERROR(_xludf.NUMBERVALUE('Procyclean 600'!D311,".",","),IFERROR(_xludf.NUMBERVALUE('Procyclean 600'!D311,",","."),0))))</f>
        <v/>
      </c>
      <c r="AE3309" t="str">
        <f>IF(AA3309="","",'Procyclean 600'!K311)</f>
        <v/>
      </c>
      <c r="AF3309">
        <f t="shared" si="323"/>
        <v>0</v>
      </c>
      <c r="AG3309" t="str">
        <f t="shared" si="324"/>
        <v/>
      </c>
      <c r="AH3309" t="str">
        <f t="shared" si="325"/>
        <v/>
      </c>
      <c r="AI3309">
        <f t="shared" si="326"/>
        <v>0</v>
      </c>
      <c r="AJ3309">
        <f t="shared" si="327"/>
        <v>0</v>
      </c>
      <c r="AK3309">
        <v>0</v>
      </c>
      <c r="AL3309" t="str">
        <f>IF(AA3309="","",IFERROR(IF(ISNUMBER('Procyclean 600'!E311),'Procyclean 600'!E311,IF(ISNUMBER(SEARCH("12",'Procyclean 600'!E311)),EDATE(AB3309,12),IF(ISNUMBER(SEARCH("6",'Procyclean 600'!E311)),EDATE(AB3309,6),IF(ISNUMBER(SEARCH("3",'Procyclean 600'!E311)),EDATE(AB3309,3),DATEVALUE('Procyclean 600'!E311))))),""))</f>
        <v/>
      </c>
      <c r="AM3309" t="str">
        <f t="shared" ca="1" si="328"/>
        <v/>
      </c>
    </row>
    <row r="3310" spans="27:39" x14ac:dyDescent="0.3">
      <c r="AA3310" t="str">
        <f>IF(COUNTA('Procyclean 600'!B312,'Procyclean 600'!C312,'Procyclean 600'!D312)&gt;0,"600","")</f>
        <v/>
      </c>
      <c r="AB3310" t="str">
        <f>IFERROR(IF(ISNUMBER('Procyclean 600'!B312),'Procyclean 600'!B312,DATEVALUE('Procyclean 600'!B312)),"")</f>
        <v/>
      </c>
      <c r="AC3310" t="str">
        <f>IF(AA3310="","",'Procyclean 600'!C312)</f>
        <v/>
      </c>
      <c r="AD3310" t="str">
        <f>IF(AA3310="","",IFERROR(1*'Procyclean 600'!D312,IFERROR(_xludf.NUMBERVALUE('Procyclean 600'!D312,".",","),IFERROR(_xludf.NUMBERVALUE('Procyclean 600'!D312,",","."),0))))</f>
        <v/>
      </c>
      <c r="AE3310" t="str">
        <f>IF(AA3310="","",'Procyclean 600'!K312)</f>
        <v/>
      </c>
      <c r="AF3310">
        <f t="shared" si="323"/>
        <v>0</v>
      </c>
      <c r="AG3310" t="str">
        <f t="shared" si="324"/>
        <v/>
      </c>
      <c r="AH3310" t="str">
        <f t="shared" si="325"/>
        <v/>
      </c>
      <c r="AI3310">
        <f t="shared" si="326"/>
        <v>0</v>
      </c>
      <c r="AJ3310">
        <f t="shared" si="327"/>
        <v>0</v>
      </c>
      <c r="AK3310">
        <v>0</v>
      </c>
      <c r="AL3310" t="str">
        <f>IF(AA3310="","",IFERROR(IF(ISNUMBER('Procyclean 600'!E312),'Procyclean 600'!E312,IF(ISNUMBER(SEARCH("12",'Procyclean 600'!E312)),EDATE(AB3310,12),IF(ISNUMBER(SEARCH("6",'Procyclean 600'!E312)),EDATE(AB3310,6),IF(ISNUMBER(SEARCH("3",'Procyclean 600'!E312)),EDATE(AB3310,3),DATEVALUE('Procyclean 600'!E312))))),""))</f>
        <v/>
      </c>
      <c r="AM3310" t="str">
        <f t="shared" ca="1" si="328"/>
        <v/>
      </c>
    </row>
    <row r="3311" spans="27:39" x14ac:dyDescent="0.3">
      <c r="AA3311" t="str">
        <f>IF(COUNTA('Procyclean 600'!B313,'Procyclean 600'!C313,'Procyclean 600'!D313)&gt;0,"600","")</f>
        <v/>
      </c>
      <c r="AB3311" t="str">
        <f>IFERROR(IF(ISNUMBER('Procyclean 600'!B313),'Procyclean 600'!B313,DATEVALUE('Procyclean 600'!B313)),"")</f>
        <v/>
      </c>
      <c r="AC3311" t="str">
        <f>IF(AA3311="","",'Procyclean 600'!C313)</f>
        <v/>
      </c>
      <c r="AD3311" t="str">
        <f>IF(AA3311="","",IFERROR(1*'Procyclean 600'!D313,IFERROR(_xludf.NUMBERVALUE('Procyclean 600'!D313,".",","),IFERROR(_xludf.NUMBERVALUE('Procyclean 600'!D313,",","."),0))))</f>
        <v/>
      </c>
      <c r="AE3311" t="str">
        <f>IF(AA3311="","",'Procyclean 600'!K313)</f>
        <v/>
      </c>
      <c r="AF3311">
        <f t="shared" si="323"/>
        <v>0</v>
      </c>
      <c r="AG3311" t="str">
        <f t="shared" si="324"/>
        <v/>
      </c>
      <c r="AH3311" t="str">
        <f t="shared" si="325"/>
        <v/>
      </c>
      <c r="AI3311">
        <f t="shared" si="326"/>
        <v>0</v>
      </c>
      <c r="AJ3311">
        <f t="shared" si="327"/>
        <v>0</v>
      </c>
      <c r="AK3311">
        <v>0</v>
      </c>
      <c r="AL3311" t="str">
        <f>IF(AA3311="","",IFERROR(IF(ISNUMBER('Procyclean 600'!E313),'Procyclean 600'!E313,IF(ISNUMBER(SEARCH("12",'Procyclean 600'!E313)),EDATE(AB3311,12),IF(ISNUMBER(SEARCH("6",'Procyclean 600'!E313)),EDATE(AB3311,6),IF(ISNUMBER(SEARCH("3",'Procyclean 600'!E313)),EDATE(AB3311,3),DATEVALUE('Procyclean 600'!E313))))),""))</f>
        <v/>
      </c>
      <c r="AM3311" t="str">
        <f t="shared" ca="1" si="328"/>
        <v/>
      </c>
    </row>
    <row r="3312" spans="27:39" x14ac:dyDescent="0.3">
      <c r="AA3312" t="str">
        <f>IF(COUNTA('Procyclean 600'!B314,'Procyclean 600'!C314,'Procyclean 600'!D314)&gt;0,"600","")</f>
        <v/>
      </c>
      <c r="AB3312" t="str">
        <f>IFERROR(IF(ISNUMBER('Procyclean 600'!B314),'Procyclean 600'!B314,DATEVALUE('Procyclean 600'!B314)),"")</f>
        <v/>
      </c>
      <c r="AC3312" t="str">
        <f>IF(AA3312="","",'Procyclean 600'!C314)</f>
        <v/>
      </c>
      <c r="AD3312" t="str">
        <f>IF(AA3312="","",IFERROR(1*'Procyclean 600'!D314,IFERROR(_xludf.NUMBERVALUE('Procyclean 600'!D314,".",","),IFERROR(_xludf.NUMBERVALUE('Procyclean 600'!D314,",","."),0))))</f>
        <v/>
      </c>
      <c r="AE3312" t="str">
        <f>IF(AA3312="","",'Procyclean 600'!K314)</f>
        <v/>
      </c>
      <c r="AF3312">
        <f t="shared" si="323"/>
        <v>0</v>
      </c>
      <c r="AG3312" t="str">
        <f t="shared" si="324"/>
        <v/>
      </c>
      <c r="AH3312" t="str">
        <f t="shared" si="325"/>
        <v/>
      </c>
      <c r="AI3312">
        <f t="shared" si="326"/>
        <v>0</v>
      </c>
      <c r="AJ3312">
        <f t="shared" si="327"/>
        <v>0</v>
      </c>
      <c r="AK3312">
        <v>0</v>
      </c>
      <c r="AL3312" t="str">
        <f>IF(AA3312="","",IFERROR(IF(ISNUMBER('Procyclean 600'!E314),'Procyclean 600'!E314,IF(ISNUMBER(SEARCH("12",'Procyclean 600'!E314)),EDATE(AB3312,12),IF(ISNUMBER(SEARCH("6",'Procyclean 600'!E314)),EDATE(AB3312,6),IF(ISNUMBER(SEARCH("3",'Procyclean 600'!E314)),EDATE(AB3312,3),DATEVALUE('Procyclean 600'!E314))))),""))</f>
        <v/>
      </c>
      <c r="AM3312" t="str">
        <f t="shared" ca="1" si="328"/>
        <v/>
      </c>
    </row>
    <row r="3313" spans="27:39" x14ac:dyDescent="0.3">
      <c r="AA3313" t="str">
        <f>IF(COUNTA('Procyclean 600'!B315,'Procyclean 600'!C315,'Procyclean 600'!D315)&gt;0,"600","")</f>
        <v/>
      </c>
      <c r="AB3313" t="str">
        <f>IFERROR(IF(ISNUMBER('Procyclean 600'!B315),'Procyclean 600'!B315,DATEVALUE('Procyclean 600'!B315)),"")</f>
        <v/>
      </c>
      <c r="AC3313" t="str">
        <f>IF(AA3313="","",'Procyclean 600'!C315)</f>
        <v/>
      </c>
      <c r="AD3313" t="str">
        <f>IF(AA3313="","",IFERROR(1*'Procyclean 600'!D315,IFERROR(_xludf.NUMBERVALUE('Procyclean 600'!D315,".",","),IFERROR(_xludf.NUMBERVALUE('Procyclean 600'!D315,",","."),0))))</f>
        <v/>
      </c>
      <c r="AE3313" t="str">
        <f>IF(AA3313="","",'Procyclean 600'!K315)</f>
        <v/>
      </c>
      <c r="AF3313">
        <f t="shared" si="323"/>
        <v>0</v>
      </c>
      <c r="AG3313" t="str">
        <f t="shared" si="324"/>
        <v/>
      </c>
      <c r="AH3313" t="str">
        <f t="shared" si="325"/>
        <v/>
      </c>
      <c r="AI3313">
        <f t="shared" si="326"/>
        <v>0</v>
      </c>
      <c r="AJ3313">
        <f t="shared" si="327"/>
        <v>0</v>
      </c>
      <c r="AK3313">
        <v>0</v>
      </c>
      <c r="AL3313" t="str">
        <f>IF(AA3313="","",IFERROR(IF(ISNUMBER('Procyclean 600'!E315),'Procyclean 600'!E315,IF(ISNUMBER(SEARCH("12",'Procyclean 600'!E315)),EDATE(AB3313,12),IF(ISNUMBER(SEARCH("6",'Procyclean 600'!E315)),EDATE(AB3313,6),IF(ISNUMBER(SEARCH("3",'Procyclean 600'!E315)),EDATE(AB3313,3),DATEVALUE('Procyclean 600'!E315))))),""))</f>
        <v/>
      </c>
      <c r="AM3313" t="str">
        <f t="shared" ca="1" si="328"/>
        <v/>
      </c>
    </row>
    <row r="3314" spans="27:39" x14ac:dyDescent="0.3">
      <c r="AA3314" t="str">
        <f>IF(COUNTA('Procyclean 600'!B316,'Procyclean 600'!C316,'Procyclean 600'!D316)&gt;0,"600","")</f>
        <v/>
      </c>
      <c r="AB3314" t="str">
        <f>IFERROR(IF(ISNUMBER('Procyclean 600'!B316),'Procyclean 600'!B316,DATEVALUE('Procyclean 600'!B316)),"")</f>
        <v/>
      </c>
      <c r="AC3314" t="str">
        <f>IF(AA3314="","",'Procyclean 600'!C316)</f>
        <v/>
      </c>
      <c r="AD3314" t="str">
        <f>IF(AA3314="","",IFERROR(1*'Procyclean 600'!D316,IFERROR(_xludf.NUMBERVALUE('Procyclean 600'!D316,".",","),IFERROR(_xludf.NUMBERVALUE('Procyclean 600'!D316,",","."),0))))</f>
        <v/>
      </c>
      <c r="AE3314" t="str">
        <f>IF(AA3314="","",'Procyclean 600'!K316)</f>
        <v/>
      </c>
      <c r="AF3314">
        <f t="shared" si="323"/>
        <v>0</v>
      </c>
      <c r="AG3314" t="str">
        <f t="shared" si="324"/>
        <v/>
      </c>
      <c r="AH3314" t="str">
        <f t="shared" si="325"/>
        <v/>
      </c>
      <c r="AI3314">
        <f t="shared" si="326"/>
        <v>0</v>
      </c>
      <c r="AJ3314">
        <f t="shared" si="327"/>
        <v>0</v>
      </c>
      <c r="AK3314">
        <v>0</v>
      </c>
      <c r="AL3314" t="str">
        <f>IF(AA3314="","",IFERROR(IF(ISNUMBER('Procyclean 600'!E316),'Procyclean 600'!E316,IF(ISNUMBER(SEARCH("12",'Procyclean 600'!E316)),EDATE(AB3314,12),IF(ISNUMBER(SEARCH("6",'Procyclean 600'!E316)),EDATE(AB3314,6),IF(ISNUMBER(SEARCH("3",'Procyclean 600'!E316)),EDATE(AB3314,3),DATEVALUE('Procyclean 600'!E316))))),""))</f>
        <v/>
      </c>
      <c r="AM3314" t="str">
        <f t="shared" ca="1" si="328"/>
        <v/>
      </c>
    </row>
    <row r="3315" spans="27:39" x14ac:dyDescent="0.3">
      <c r="AA3315" t="str">
        <f>IF(COUNTA('Procyclean 600'!B317,'Procyclean 600'!C317,'Procyclean 600'!D317)&gt;0,"600","")</f>
        <v/>
      </c>
      <c r="AB3315" t="str">
        <f>IFERROR(IF(ISNUMBER('Procyclean 600'!B317),'Procyclean 600'!B317,DATEVALUE('Procyclean 600'!B317)),"")</f>
        <v/>
      </c>
      <c r="AC3315" t="str">
        <f>IF(AA3315="","",'Procyclean 600'!C317)</f>
        <v/>
      </c>
      <c r="AD3315" t="str">
        <f>IF(AA3315="","",IFERROR(1*'Procyclean 600'!D317,IFERROR(_xludf.NUMBERVALUE('Procyclean 600'!D317,".",","),IFERROR(_xludf.NUMBERVALUE('Procyclean 600'!D317,",","."),0))))</f>
        <v/>
      </c>
      <c r="AE3315" t="str">
        <f>IF(AA3315="","",'Procyclean 600'!K317)</f>
        <v/>
      </c>
      <c r="AF3315">
        <f t="shared" si="323"/>
        <v>0</v>
      </c>
      <c r="AG3315" t="str">
        <f t="shared" si="324"/>
        <v/>
      </c>
      <c r="AH3315" t="str">
        <f t="shared" si="325"/>
        <v/>
      </c>
      <c r="AI3315">
        <f t="shared" si="326"/>
        <v>0</v>
      </c>
      <c r="AJ3315">
        <f t="shared" si="327"/>
        <v>0</v>
      </c>
      <c r="AK3315">
        <v>0</v>
      </c>
      <c r="AL3315" t="str">
        <f>IF(AA3315="","",IFERROR(IF(ISNUMBER('Procyclean 600'!E317),'Procyclean 600'!E317,IF(ISNUMBER(SEARCH("12",'Procyclean 600'!E317)),EDATE(AB3315,12),IF(ISNUMBER(SEARCH("6",'Procyclean 600'!E317)),EDATE(AB3315,6),IF(ISNUMBER(SEARCH("3",'Procyclean 600'!E317)),EDATE(AB3315,3),DATEVALUE('Procyclean 600'!E317))))),""))</f>
        <v/>
      </c>
      <c r="AM3315" t="str">
        <f t="shared" ca="1" si="328"/>
        <v/>
      </c>
    </row>
    <row r="3316" spans="27:39" x14ac:dyDescent="0.3">
      <c r="AA3316" t="str">
        <f>IF(COUNTA('Procyclean 600'!B318,'Procyclean 600'!C318,'Procyclean 600'!D318)&gt;0,"600","")</f>
        <v/>
      </c>
      <c r="AB3316" t="str">
        <f>IFERROR(IF(ISNUMBER('Procyclean 600'!B318),'Procyclean 600'!B318,DATEVALUE('Procyclean 600'!B318)),"")</f>
        <v/>
      </c>
      <c r="AC3316" t="str">
        <f>IF(AA3316="","",'Procyclean 600'!C318)</f>
        <v/>
      </c>
      <c r="AD3316" t="str">
        <f>IF(AA3316="","",IFERROR(1*'Procyclean 600'!D318,IFERROR(_xludf.NUMBERVALUE('Procyclean 600'!D318,".",","),IFERROR(_xludf.NUMBERVALUE('Procyclean 600'!D318,",","."),0))))</f>
        <v/>
      </c>
      <c r="AE3316" t="str">
        <f>IF(AA3316="","",'Procyclean 600'!K318)</f>
        <v/>
      </c>
      <c r="AF3316">
        <f t="shared" si="323"/>
        <v>0</v>
      </c>
      <c r="AG3316" t="str">
        <f t="shared" si="324"/>
        <v/>
      </c>
      <c r="AH3316" t="str">
        <f t="shared" si="325"/>
        <v/>
      </c>
      <c r="AI3316">
        <f t="shared" si="326"/>
        <v>0</v>
      </c>
      <c r="AJ3316">
        <f t="shared" si="327"/>
        <v>0</v>
      </c>
      <c r="AK3316">
        <v>0</v>
      </c>
      <c r="AL3316" t="str">
        <f>IF(AA3316="","",IFERROR(IF(ISNUMBER('Procyclean 600'!E318),'Procyclean 600'!E318,IF(ISNUMBER(SEARCH("12",'Procyclean 600'!E318)),EDATE(AB3316,12),IF(ISNUMBER(SEARCH("6",'Procyclean 600'!E318)),EDATE(AB3316,6),IF(ISNUMBER(SEARCH("3",'Procyclean 600'!E318)),EDATE(AB3316,3),DATEVALUE('Procyclean 600'!E318))))),""))</f>
        <v/>
      </c>
      <c r="AM3316" t="str">
        <f t="shared" ca="1" si="328"/>
        <v/>
      </c>
    </row>
    <row r="3317" spans="27:39" x14ac:dyDescent="0.3">
      <c r="AA3317" t="str">
        <f>IF(COUNTA('Procyclean 600'!B319,'Procyclean 600'!C319,'Procyclean 600'!D319)&gt;0,"600","")</f>
        <v/>
      </c>
      <c r="AB3317" t="str">
        <f>IFERROR(IF(ISNUMBER('Procyclean 600'!B319),'Procyclean 600'!B319,DATEVALUE('Procyclean 600'!B319)),"")</f>
        <v/>
      </c>
      <c r="AC3317" t="str">
        <f>IF(AA3317="","",'Procyclean 600'!C319)</f>
        <v/>
      </c>
      <c r="AD3317" t="str">
        <f>IF(AA3317="","",IFERROR(1*'Procyclean 600'!D319,IFERROR(_xludf.NUMBERVALUE('Procyclean 600'!D319,".",","),IFERROR(_xludf.NUMBERVALUE('Procyclean 600'!D319,",","."),0))))</f>
        <v/>
      </c>
      <c r="AE3317" t="str">
        <f>IF(AA3317="","",'Procyclean 600'!K319)</f>
        <v/>
      </c>
      <c r="AF3317">
        <f t="shared" si="323"/>
        <v>0</v>
      </c>
      <c r="AG3317" t="str">
        <f t="shared" si="324"/>
        <v/>
      </c>
      <c r="AH3317" t="str">
        <f t="shared" si="325"/>
        <v/>
      </c>
      <c r="AI3317">
        <f t="shared" si="326"/>
        <v>0</v>
      </c>
      <c r="AJ3317">
        <f t="shared" si="327"/>
        <v>0</v>
      </c>
      <c r="AK3317">
        <v>0</v>
      </c>
      <c r="AL3317" t="str">
        <f>IF(AA3317="","",IFERROR(IF(ISNUMBER('Procyclean 600'!E319),'Procyclean 600'!E319,IF(ISNUMBER(SEARCH("12",'Procyclean 600'!E319)),EDATE(AB3317,12),IF(ISNUMBER(SEARCH("6",'Procyclean 600'!E319)),EDATE(AB3317,6),IF(ISNUMBER(SEARCH("3",'Procyclean 600'!E319)),EDATE(AB3317,3),DATEVALUE('Procyclean 600'!E319))))),""))</f>
        <v/>
      </c>
      <c r="AM3317" t="str">
        <f t="shared" ca="1" si="328"/>
        <v/>
      </c>
    </row>
    <row r="3318" spans="27:39" x14ac:dyDescent="0.3">
      <c r="AA3318" t="str">
        <f>IF(COUNTA('Procyclean 600'!B320,'Procyclean 600'!C320,'Procyclean 600'!D320)&gt;0,"600","")</f>
        <v/>
      </c>
      <c r="AB3318" t="str">
        <f>IFERROR(IF(ISNUMBER('Procyclean 600'!B320),'Procyclean 600'!B320,DATEVALUE('Procyclean 600'!B320)),"")</f>
        <v/>
      </c>
      <c r="AC3318" t="str">
        <f>IF(AA3318="","",'Procyclean 600'!C320)</f>
        <v/>
      </c>
      <c r="AD3318" t="str">
        <f>IF(AA3318="","",IFERROR(1*'Procyclean 600'!D320,IFERROR(_xludf.NUMBERVALUE('Procyclean 600'!D320,".",","),IFERROR(_xludf.NUMBERVALUE('Procyclean 600'!D320,",","."),0))))</f>
        <v/>
      </c>
      <c r="AE3318" t="str">
        <f>IF(AA3318="","",'Procyclean 600'!K320)</f>
        <v/>
      </c>
      <c r="AF3318">
        <f t="shared" si="323"/>
        <v>0</v>
      </c>
      <c r="AG3318" t="str">
        <f t="shared" si="324"/>
        <v/>
      </c>
      <c r="AH3318" t="str">
        <f t="shared" si="325"/>
        <v/>
      </c>
      <c r="AI3318">
        <f t="shared" si="326"/>
        <v>0</v>
      </c>
      <c r="AJ3318">
        <f t="shared" si="327"/>
        <v>0</v>
      </c>
      <c r="AK3318">
        <v>0</v>
      </c>
      <c r="AL3318" t="str">
        <f>IF(AA3318="","",IFERROR(IF(ISNUMBER('Procyclean 600'!E320),'Procyclean 600'!E320,IF(ISNUMBER(SEARCH("12",'Procyclean 600'!E320)),EDATE(AB3318,12),IF(ISNUMBER(SEARCH("6",'Procyclean 600'!E320)),EDATE(AB3318,6),IF(ISNUMBER(SEARCH("3",'Procyclean 600'!E320)),EDATE(AB3318,3),DATEVALUE('Procyclean 600'!E320))))),""))</f>
        <v/>
      </c>
      <c r="AM3318" t="str">
        <f t="shared" ca="1" si="328"/>
        <v/>
      </c>
    </row>
    <row r="3319" spans="27:39" x14ac:dyDescent="0.3">
      <c r="AA3319" t="str">
        <f>IF(COUNTA('Procyclean 600'!B321,'Procyclean 600'!C321,'Procyclean 600'!D321)&gt;0,"600","")</f>
        <v/>
      </c>
      <c r="AB3319" t="str">
        <f>IFERROR(IF(ISNUMBER('Procyclean 600'!B321),'Procyclean 600'!B321,DATEVALUE('Procyclean 600'!B321)),"")</f>
        <v/>
      </c>
      <c r="AC3319" t="str">
        <f>IF(AA3319="","",'Procyclean 600'!C321)</f>
        <v/>
      </c>
      <c r="AD3319" t="str">
        <f>IF(AA3319="","",IFERROR(1*'Procyclean 600'!D321,IFERROR(_xludf.NUMBERVALUE('Procyclean 600'!D321,".",","),IFERROR(_xludf.NUMBERVALUE('Procyclean 600'!D321,",","."),0))))</f>
        <v/>
      </c>
      <c r="AE3319" t="str">
        <f>IF(AA3319="","",'Procyclean 600'!K321)</f>
        <v/>
      </c>
      <c r="AF3319">
        <f t="shared" si="323"/>
        <v>0</v>
      </c>
      <c r="AG3319" t="str">
        <f t="shared" si="324"/>
        <v/>
      </c>
      <c r="AH3319" t="str">
        <f t="shared" si="325"/>
        <v/>
      </c>
      <c r="AI3319">
        <f t="shared" si="326"/>
        <v>0</v>
      </c>
      <c r="AJ3319">
        <f t="shared" si="327"/>
        <v>0</v>
      </c>
      <c r="AK3319">
        <v>0</v>
      </c>
      <c r="AL3319" t="str">
        <f>IF(AA3319="","",IFERROR(IF(ISNUMBER('Procyclean 600'!E321),'Procyclean 600'!E321,IF(ISNUMBER(SEARCH("12",'Procyclean 600'!E321)),EDATE(AB3319,12),IF(ISNUMBER(SEARCH("6",'Procyclean 600'!E321)),EDATE(AB3319,6),IF(ISNUMBER(SEARCH("3",'Procyclean 600'!E321)),EDATE(AB3319,3),DATEVALUE('Procyclean 600'!E321))))),""))</f>
        <v/>
      </c>
      <c r="AM3319" t="str">
        <f t="shared" ca="1" si="328"/>
        <v/>
      </c>
    </row>
    <row r="3320" spans="27:39" x14ac:dyDescent="0.3">
      <c r="AA3320" t="str">
        <f>IF(COUNTA('Procyclean 600'!B322,'Procyclean 600'!C322,'Procyclean 600'!D322)&gt;0,"600","")</f>
        <v/>
      </c>
      <c r="AB3320" t="str">
        <f>IFERROR(IF(ISNUMBER('Procyclean 600'!B322),'Procyclean 600'!B322,DATEVALUE('Procyclean 600'!B322)),"")</f>
        <v/>
      </c>
      <c r="AC3320" t="str">
        <f>IF(AA3320="","",'Procyclean 600'!C322)</f>
        <v/>
      </c>
      <c r="AD3320" t="str">
        <f>IF(AA3320="","",IFERROR(1*'Procyclean 600'!D322,IFERROR(_xludf.NUMBERVALUE('Procyclean 600'!D322,".",","),IFERROR(_xludf.NUMBERVALUE('Procyclean 600'!D322,",","."),0))))</f>
        <v/>
      </c>
      <c r="AE3320" t="str">
        <f>IF(AA3320="","",'Procyclean 600'!K322)</f>
        <v/>
      </c>
      <c r="AF3320">
        <f t="shared" si="323"/>
        <v>0</v>
      </c>
      <c r="AG3320" t="str">
        <f t="shared" si="324"/>
        <v/>
      </c>
      <c r="AH3320" t="str">
        <f t="shared" si="325"/>
        <v/>
      </c>
      <c r="AI3320">
        <f t="shared" si="326"/>
        <v>0</v>
      </c>
      <c r="AJ3320">
        <f t="shared" si="327"/>
        <v>0</v>
      </c>
      <c r="AK3320">
        <v>0</v>
      </c>
      <c r="AL3320" t="str">
        <f>IF(AA3320="","",IFERROR(IF(ISNUMBER('Procyclean 600'!E322),'Procyclean 600'!E322,IF(ISNUMBER(SEARCH("12",'Procyclean 600'!E322)),EDATE(AB3320,12),IF(ISNUMBER(SEARCH("6",'Procyclean 600'!E322)),EDATE(AB3320,6),IF(ISNUMBER(SEARCH("3",'Procyclean 600'!E322)),EDATE(AB3320,3),DATEVALUE('Procyclean 600'!E322))))),""))</f>
        <v/>
      </c>
      <c r="AM3320" t="str">
        <f t="shared" ca="1" si="328"/>
        <v/>
      </c>
    </row>
    <row r="3321" spans="27:39" x14ac:dyDescent="0.3">
      <c r="AA3321" t="str">
        <f>IF(COUNTA('Procyclean 600'!B323,'Procyclean 600'!C323,'Procyclean 600'!D323)&gt;0,"600","")</f>
        <v/>
      </c>
      <c r="AB3321" t="str">
        <f>IFERROR(IF(ISNUMBER('Procyclean 600'!B323),'Procyclean 600'!B323,DATEVALUE('Procyclean 600'!B323)),"")</f>
        <v/>
      </c>
      <c r="AC3321" t="str">
        <f>IF(AA3321="","",'Procyclean 600'!C323)</f>
        <v/>
      </c>
      <c r="AD3321" t="str">
        <f>IF(AA3321="","",IFERROR(1*'Procyclean 600'!D323,IFERROR(_xludf.NUMBERVALUE('Procyclean 600'!D323,".",","),IFERROR(_xludf.NUMBERVALUE('Procyclean 600'!D323,",","."),0))))</f>
        <v/>
      </c>
      <c r="AE3321" t="str">
        <f>IF(AA3321="","",'Procyclean 600'!K323)</f>
        <v/>
      </c>
      <c r="AF3321">
        <f t="shared" si="323"/>
        <v>0</v>
      </c>
      <c r="AG3321" t="str">
        <f t="shared" si="324"/>
        <v/>
      </c>
      <c r="AH3321" t="str">
        <f t="shared" si="325"/>
        <v/>
      </c>
      <c r="AI3321">
        <f t="shared" si="326"/>
        <v>0</v>
      </c>
      <c r="AJ3321">
        <f t="shared" si="327"/>
        <v>0</v>
      </c>
      <c r="AK3321">
        <v>0</v>
      </c>
      <c r="AL3321" t="str">
        <f>IF(AA3321="","",IFERROR(IF(ISNUMBER('Procyclean 600'!E323),'Procyclean 600'!E323,IF(ISNUMBER(SEARCH("12",'Procyclean 600'!E323)),EDATE(AB3321,12),IF(ISNUMBER(SEARCH("6",'Procyclean 600'!E323)),EDATE(AB3321,6),IF(ISNUMBER(SEARCH("3",'Procyclean 600'!E323)),EDATE(AB3321,3),DATEVALUE('Procyclean 600'!E323))))),""))</f>
        <v/>
      </c>
      <c r="AM3321" t="str">
        <f t="shared" ca="1" si="328"/>
        <v/>
      </c>
    </row>
    <row r="3322" spans="27:39" x14ac:dyDescent="0.3">
      <c r="AA3322" t="str">
        <f>IF(COUNTA('Procyclean 600'!B324,'Procyclean 600'!C324,'Procyclean 600'!D324)&gt;0,"600","")</f>
        <v/>
      </c>
      <c r="AB3322" t="str">
        <f>IFERROR(IF(ISNUMBER('Procyclean 600'!B324),'Procyclean 600'!B324,DATEVALUE('Procyclean 600'!B324)),"")</f>
        <v/>
      </c>
      <c r="AC3322" t="str">
        <f>IF(AA3322="","",'Procyclean 600'!C324)</f>
        <v/>
      </c>
      <c r="AD3322" t="str">
        <f>IF(AA3322="","",IFERROR(1*'Procyclean 600'!D324,IFERROR(_xludf.NUMBERVALUE('Procyclean 600'!D324,".",","),IFERROR(_xludf.NUMBERVALUE('Procyclean 600'!D324,",","."),0))))</f>
        <v/>
      </c>
      <c r="AE3322" t="str">
        <f>IF(AA3322="","",'Procyclean 600'!K324)</f>
        <v/>
      </c>
      <c r="AF3322">
        <f t="shared" si="323"/>
        <v>0</v>
      </c>
      <c r="AG3322" t="str">
        <f t="shared" si="324"/>
        <v/>
      </c>
      <c r="AH3322" t="str">
        <f t="shared" si="325"/>
        <v/>
      </c>
      <c r="AI3322">
        <f t="shared" si="326"/>
        <v>0</v>
      </c>
      <c r="AJ3322">
        <f t="shared" si="327"/>
        <v>0</v>
      </c>
      <c r="AK3322">
        <v>0</v>
      </c>
      <c r="AL3322" t="str">
        <f>IF(AA3322="","",IFERROR(IF(ISNUMBER('Procyclean 600'!E324),'Procyclean 600'!E324,IF(ISNUMBER(SEARCH("12",'Procyclean 600'!E324)),EDATE(AB3322,12),IF(ISNUMBER(SEARCH("6",'Procyclean 600'!E324)),EDATE(AB3322,6),IF(ISNUMBER(SEARCH("3",'Procyclean 600'!E324)),EDATE(AB3322,3),DATEVALUE('Procyclean 600'!E324))))),""))</f>
        <v/>
      </c>
      <c r="AM3322" t="str">
        <f t="shared" ca="1" si="328"/>
        <v/>
      </c>
    </row>
    <row r="3323" spans="27:39" x14ac:dyDescent="0.3">
      <c r="AA3323" t="str">
        <f>IF(COUNTA('Procyclean 600'!B325,'Procyclean 600'!C325,'Procyclean 600'!D325)&gt;0,"600","")</f>
        <v/>
      </c>
      <c r="AB3323" t="str">
        <f>IFERROR(IF(ISNUMBER('Procyclean 600'!B325),'Procyclean 600'!B325,DATEVALUE('Procyclean 600'!B325)),"")</f>
        <v/>
      </c>
      <c r="AC3323" t="str">
        <f>IF(AA3323="","",'Procyclean 600'!C325)</f>
        <v/>
      </c>
      <c r="AD3323" t="str">
        <f>IF(AA3323="","",IFERROR(1*'Procyclean 600'!D325,IFERROR(_xludf.NUMBERVALUE('Procyclean 600'!D325,".",","),IFERROR(_xludf.NUMBERVALUE('Procyclean 600'!D325,",","."),0))))</f>
        <v/>
      </c>
      <c r="AE3323" t="str">
        <f>IF(AA3323="","",'Procyclean 600'!K325)</f>
        <v/>
      </c>
      <c r="AF3323">
        <f t="shared" si="323"/>
        <v>0</v>
      </c>
      <c r="AG3323" t="str">
        <f t="shared" si="324"/>
        <v/>
      </c>
      <c r="AH3323" t="str">
        <f t="shared" si="325"/>
        <v/>
      </c>
      <c r="AI3323">
        <f t="shared" si="326"/>
        <v>0</v>
      </c>
      <c r="AJ3323">
        <f t="shared" si="327"/>
        <v>0</v>
      </c>
      <c r="AK3323">
        <v>0</v>
      </c>
      <c r="AL3323" t="str">
        <f>IF(AA3323="","",IFERROR(IF(ISNUMBER('Procyclean 600'!E325),'Procyclean 600'!E325,IF(ISNUMBER(SEARCH("12",'Procyclean 600'!E325)),EDATE(AB3323,12),IF(ISNUMBER(SEARCH("6",'Procyclean 600'!E325)),EDATE(AB3323,6),IF(ISNUMBER(SEARCH("3",'Procyclean 600'!E325)),EDATE(AB3323,3),DATEVALUE('Procyclean 600'!E325))))),""))</f>
        <v/>
      </c>
      <c r="AM3323" t="str">
        <f t="shared" ca="1" si="328"/>
        <v/>
      </c>
    </row>
    <row r="3324" spans="27:39" x14ac:dyDescent="0.3">
      <c r="AA3324" t="str">
        <f>IF(COUNTA('Procyclean 600'!B326,'Procyclean 600'!C326,'Procyclean 600'!D326)&gt;0,"600","")</f>
        <v/>
      </c>
      <c r="AB3324" t="str">
        <f>IFERROR(IF(ISNUMBER('Procyclean 600'!B326),'Procyclean 600'!B326,DATEVALUE('Procyclean 600'!B326)),"")</f>
        <v/>
      </c>
      <c r="AC3324" t="str">
        <f>IF(AA3324="","",'Procyclean 600'!C326)</f>
        <v/>
      </c>
      <c r="AD3324" t="str">
        <f>IF(AA3324="","",IFERROR(1*'Procyclean 600'!D326,IFERROR(_xludf.NUMBERVALUE('Procyclean 600'!D326,".",","),IFERROR(_xludf.NUMBERVALUE('Procyclean 600'!D326,",","."),0))))</f>
        <v/>
      </c>
      <c r="AE3324" t="str">
        <f>IF(AA3324="","",'Procyclean 600'!K326)</f>
        <v/>
      </c>
      <c r="AF3324">
        <f t="shared" si="323"/>
        <v>0</v>
      </c>
      <c r="AG3324" t="str">
        <f t="shared" si="324"/>
        <v/>
      </c>
      <c r="AH3324" t="str">
        <f t="shared" si="325"/>
        <v/>
      </c>
      <c r="AI3324">
        <f t="shared" si="326"/>
        <v>0</v>
      </c>
      <c r="AJ3324">
        <f t="shared" si="327"/>
        <v>0</v>
      </c>
      <c r="AK3324">
        <v>0</v>
      </c>
      <c r="AL3324" t="str">
        <f>IF(AA3324="","",IFERROR(IF(ISNUMBER('Procyclean 600'!E326),'Procyclean 600'!E326,IF(ISNUMBER(SEARCH("12",'Procyclean 600'!E326)),EDATE(AB3324,12),IF(ISNUMBER(SEARCH("6",'Procyclean 600'!E326)),EDATE(AB3324,6),IF(ISNUMBER(SEARCH("3",'Procyclean 600'!E326)),EDATE(AB3324,3),DATEVALUE('Procyclean 600'!E326))))),""))</f>
        <v/>
      </c>
      <c r="AM3324" t="str">
        <f t="shared" ca="1" si="328"/>
        <v/>
      </c>
    </row>
    <row r="3325" spans="27:39" x14ac:dyDescent="0.3">
      <c r="AA3325" t="str">
        <f>IF(COUNTA('Procyclean 600'!B327,'Procyclean 600'!C327,'Procyclean 600'!D327)&gt;0,"600","")</f>
        <v/>
      </c>
      <c r="AB3325" t="str">
        <f>IFERROR(IF(ISNUMBER('Procyclean 600'!B327),'Procyclean 600'!B327,DATEVALUE('Procyclean 600'!B327)),"")</f>
        <v/>
      </c>
      <c r="AC3325" t="str">
        <f>IF(AA3325="","",'Procyclean 600'!C327)</f>
        <v/>
      </c>
      <c r="AD3325" t="str">
        <f>IF(AA3325="","",IFERROR(1*'Procyclean 600'!D327,IFERROR(_xludf.NUMBERVALUE('Procyclean 600'!D327,".",","),IFERROR(_xludf.NUMBERVALUE('Procyclean 600'!D327,",","."),0))))</f>
        <v/>
      </c>
      <c r="AE3325" t="str">
        <f>IF(AA3325="","",'Procyclean 600'!K327)</f>
        <v/>
      </c>
      <c r="AF3325">
        <f t="shared" si="323"/>
        <v>0</v>
      </c>
      <c r="AG3325" t="str">
        <f t="shared" si="324"/>
        <v/>
      </c>
      <c r="AH3325" t="str">
        <f t="shared" si="325"/>
        <v/>
      </c>
      <c r="AI3325">
        <f t="shared" si="326"/>
        <v>0</v>
      </c>
      <c r="AJ3325">
        <f t="shared" si="327"/>
        <v>0</v>
      </c>
      <c r="AK3325">
        <v>0</v>
      </c>
      <c r="AL3325" t="str">
        <f>IF(AA3325="","",IFERROR(IF(ISNUMBER('Procyclean 600'!E327),'Procyclean 600'!E327,IF(ISNUMBER(SEARCH("12",'Procyclean 600'!E327)),EDATE(AB3325,12),IF(ISNUMBER(SEARCH("6",'Procyclean 600'!E327)),EDATE(AB3325,6),IF(ISNUMBER(SEARCH("3",'Procyclean 600'!E327)),EDATE(AB3325,3),DATEVALUE('Procyclean 600'!E327))))),""))</f>
        <v/>
      </c>
      <c r="AM3325" t="str">
        <f t="shared" ca="1" si="328"/>
        <v/>
      </c>
    </row>
    <row r="3326" spans="27:39" x14ac:dyDescent="0.3">
      <c r="AA3326" t="str">
        <f>IF(COUNTA('Procyclean 600'!B328,'Procyclean 600'!C328,'Procyclean 600'!D328)&gt;0,"600","")</f>
        <v/>
      </c>
      <c r="AB3326" t="str">
        <f>IFERROR(IF(ISNUMBER('Procyclean 600'!B328),'Procyclean 600'!B328,DATEVALUE('Procyclean 600'!B328)),"")</f>
        <v/>
      </c>
      <c r="AC3326" t="str">
        <f>IF(AA3326="","",'Procyclean 600'!C328)</f>
        <v/>
      </c>
      <c r="AD3326" t="str">
        <f>IF(AA3326="","",IFERROR(1*'Procyclean 600'!D328,IFERROR(_xludf.NUMBERVALUE('Procyclean 600'!D328,".",","),IFERROR(_xludf.NUMBERVALUE('Procyclean 600'!D328,",","."),0))))</f>
        <v/>
      </c>
      <c r="AE3326" t="str">
        <f>IF(AA3326="","",'Procyclean 600'!K328)</f>
        <v/>
      </c>
      <c r="AF3326">
        <f t="shared" si="323"/>
        <v>0</v>
      </c>
      <c r="AG3326" t="str">
        <f t="shared" si="324"/>
        <v/>
      </c>
      <c r="AH3326" t="str">
        <f t="shared" si="325"/>
        <v/>
      </c>
      <c r="AI3326">
        <f t="shared" si="326"/>
        <v>0</v>
      </c>
      <c r="AJ3326">
        <f t="shared" si="327"/>
        <v>0</v>
      </c>
      <c r="AK3326">
        <v>0</v>
      </c>
      <c r="AL3326" t="str">
        <f>IF(AA3326="","",IFERROR(IF(ISNUMBER('Procyclean 600'!E328),'Procyclean 600'!E328,IF(ISNUMBER(SEARCH("12",'Procyclean 600'!E328)),EDATE(AB3326,12),IF(ISNUMBER(SEARCH("6",'Procyclean 600'!E328)),EDATE(AB3326,6),IF(ISNUMBER(SEARCH("3",'Procyclean 600'!E328)),EDATE(AB3326,3),DATEVALUE('Procyclean 600'!E328))))),""))</f>
        <v/>
      </c>
      <c r="AM3326" t="str">
        <f t="shared" ca="1" si="328"/>
        <v/>
      </c>
    </row>
    <row r="3327" spans="27:39" x14ac:dyDescent="0.3">
      <c r="AA3327" t="str">
        <f>IF(COUNTA('Procyclean 600'!B329,'Procyclean 600'!C329,'Procyclean 600'!D329)&gt;0,"600","")</f>
        <v/>
      </c>
      <c r="AB3327" t="str">
        <f>IFERROR(IF(ISNUMBER('Procyclean 600'!B329),'Procyclean 600'!B329,DATEVALUE('Procyclean 600'!B329)),"")</f>
        <v/>
      </c>
      <c r="AC3327" t="str">
        <f>IF(AA3327="","",'Procyclean 600'!C329)</f>
        <v/>
      </c>
      <c r="AD3327" t="str">
        <f>IF(AA3327="","",IFERROR(1*'Procyclean 600'!D329,IFERROR(_xludf.NUMBERVALUE('Procyclean 600'!D329,".",","),IFERROR(_xludf.NUMBERVALUE('Procyclean 600'!D329,",","."),0))))</f>
        <v/>
      </c>
      <c r="AE3327" t="str">
        <f>IF(AA3327="","",'Procyclean 600'!K329)</f>
        <v/>
      </c>
      <c r="AF3327">
        <f t="shared" si="323"/>
        <v>0</v>
      </c>
      <c r="AG3327" t="str">
        <f t="shared" si="324"/>
        <v/>
      </c>
      <c r="AH3327" t="str">
        <f t="shared" si="325"/>
        <v/>
      </c>
      <c r="AI3327">
        <f t="shared" si="326"/>
        <v>0</v>
      </c>
      <c r="AJ3327">
        <f t="shared" si="327"/>
        <v>0</v>
      </c>
      <c r="AK3327">
        <v>0</v>
      </c>
      <c r="AL3327" t="str">
        <f>IF(AA3327="","",IFERROR(IF(ISNUMBER('Procyclean 600'!E329),'Procyclean 600'!E329,IF(ISNUMBER(SEARCH("12",'Procyclean 600'!E329)),EDATE(AB3327,12),IF(ISNUMBER(SEARCH("6",'Procyclean 600'!E329)),EDATE(AB3327,6),IF(ISNUMBER(SEARCH("3",'Procyclean 600'!E329)),EDATE(AB3327,3),DATEVALUE('Procyclean 600'!E329))))),""))</f>
        <v/>
      </c>
      <c r="AM3327" t="str">
        <f t="shared" ca="1" si="328"/>
        <v/>
      </c>
    </row>
    <row r="3328" spans="27:39" x14ac:dyDescent="0.3">
      <c r="AA3328" t="str">
        <f>IF(COUNTA('Procyclean 600'!B330,'Procyclean 600'!C330,'Procyclean 600'!D330)&gt;0,"600","")</f>
        <v/>
      </c>
      <c r="AB3328" t="str">
        <f>IFERROR(IF(ISNUMBER('Procyclean 600'!B330),'Procyclean 600'!B330,DATEVALUE('Procyclean 600'!B330)),"")</f>
        <v/>
      </c>
      <c r="AC3328" t="str">
        <f>IF(AA3328="","",'Procyclean 600'!C330)</f>
        <v/>
      </c>
      <c r="AD3328" t="str">
        <f>IF(AA3328="","",IFERROR(1*'Procyclean 600'!D330,IFERROR(_xludf.NUMBERVALUE('Procyclean 600'!D330,".",","),IFERROR(_xludf.NUMBERVALUE('Procyclean 600'!D330,",","."),0))))</f>
        <v/>
      </c>
      <c r="AE3328" t="str">
        <f>IF(AA3328="","",'Procyclean 600'!K330)</f>
        <v/>
      </c>
      <c r="AF3328">
        <f t="shared" si="323"/>
        <v>0</v>
      </c>
      <c r="AG3328" t="str">
        <f t="shared" si="324"/>
        <v/>
      </c>
      <c r="AH3328" t="str">
        <f t="shared" si="325"/>
        <v/>
      </c>
      <c r="AI3328">
        <f t="shared" si="326"/>
        <v>0</v>
      </c>
      <c r="AJ3328">
        <f t="shared" si="327"/>
        <v>0</v>
      </c>
      <c r="AK3328">
        <v>0</v>
      </c>
      <c r="AL3328" t="str">
        <f>IF(AA3328="","",IFERROR(IF(ISNUMBER('Procyclean 600'!E330),'Procyclean 600'!E330,IF(ISNUMBER(SEARCH("12",'Procyclean 600'!E330)),EDATE(AB3328,12),IF(ISNUMBER(SEARCH("6",'Procyclean 600'!E330)),EDATE(AB3328,6),IF(ISNUMBER(SEARCH("3",'Procyclean 600'!E330)),EDATE(AB3328,3),DATEVALUE('Procyclean 600'!E330))))),""))</f>
        <v/>
      </c>
      <c r="AM3328" t="str">
        <f t="shared" ca="1" si="328"/>
        <v/>
      </c>
    </row>
    <row r="3329" spans="27:39" x14ac:dyDescent="0.3">
      <c r="AA3329" t="str">
        <f>IF(COUNTA('Procyclean 600'!B331,'Procyclean 600'!C331,'Procyclean 600'!D331)&gt;0,"600","")</f>
        <v/>
      </c>
      <c r="AB3329" t="str">
        <f>IFERROR(IF(ISNUMBER('Procyclean 600'!B331),'Procyclean 600'!B331,DATEVALUE('Procyclean 600'!B331)),"")</f>
        <v/>
      </c>
      <c r="AC3329" t="str">
        <f>IF(AA3329="","",'Procyclean 600'!C331)</f>
        <v/>
      </c>
      <c r="AD3329" t="str">
        <f>IF(AA3329="","",IFERROR(1*'Procyclean 600'!D331,IFERROR(_xludf.NUMBERVALUE('Procyclean 600'!D331,".",","),IFERROR(_xludf.NUMBERVALUE('Procyclean 600'!D331,",","."),0))))</f>
        <v/>
      </c>
      <c r="AE3329" t="str">
        <f>IF(AA3329="","",'Procyclean 600'!K331)</f>
        <v/>
      </c>
      <c r="AF3329">
        <f t="shared" si="323"/>
        <v>0</v>
      </c>
      <c r="AG3329" t="str">
        <f t="shared" si="324"/>
        <v/>
      </c>
      <c r="AH3329" t="str">
        <f t="shared" si="325"/>
        <v/>
      </c>
      <c r="AI3329">
        <f t="shared" si="326"/>
        <v>0</v>
      </c>
      <c r="AJ3329">
        <f t="shared" si="327"/>
        <v>0</v>
      </c>
      <c r="AK3329">
        <v>0</v>
      </c>
      <c r="AL3329" t="str">
        <f>IF(AA3329="","",IFERROR(IF(ISNUMBER('Procyclean 600'!E331),'Procyclean 600'!E331,IF(ISNUMBER(SEARCH("12",'Procyclean 600'!E331)),EDATE(AB3329,12),IF(ISNUMBER(SEARCH("6",'Procyclean 600'!E331)),EDATE(AB3329,6),IF(ISNUMBER(SEARCH("3",'Procyclean 600'!E331)),EDATE(AB3329,3),DATEVALUE('Procyclean 600'!E331))))),""))</f>
        <v/>
      </c>
      <c r="AM3329" t="str">
        <f t="shared" ca="1" si="328"/>
        <v/>
      </c>
    </row>
    <row r="3330" spans="27:39" x14ac:dyDescent="0.3">
      <c r="AA3330" t="str">
        <f>IF(COUNTA('Procyclean 600'!B332,'Procyclean 600'!C332,'Procyclean 600'!D332)&gt;0,"600","")</f>
        <v/>
      </c>
      <c r="AB3330" t="str">
        <f>IFERROR(IF(ISNUMBER('Procyclean 600'!B332),'Procyclean 600'!B332,DATEVALUE('Procyclean 600'!B332)),"")</f>
        <v/>
      </c>
      <c r="AC3330" t="str">
        <f>IF(AA3330="","",'Procyclean 600'!C332)</f>
        <v/>
      </c>
      <c r="AD3330" t="str">
        <f>IF(AA3330="","",IFERROR(1*'Procyclean 600'!D332,IFERROR(_xludf.NUMBERVALUE('Procyclean 600'!D332,".",","),IFERROR(_xludf.NUMBERVALUE('Procyclean 600'!D332,",","."),0))))</f>
        <v/>
      </c>
      <c r="AE3330" t="str">
        <f>IF(AA3330="","",'Procyclean 600'!K332)</f>
        <v/>
      </c>
      <c r="AF3330">
        <f t="shared" ref="AF3330:AF3393" si="329">IF(AA3330="",0,--AND(ISNUMBER(SEARCH("aprov",AE3330)),NOT(ISNUMBER(SEARCH("reprov",AE3330)))))</f>
        <v>0</v>
      </c>
      <c r="AG3330" t="str">
        <f t="shared" ref="AG3330:AG3393" si="330">IF(AB3330="","",YEAR(AB3330))</f>
        <v/>
      </c>
      <c r="AH3330" t="str">
        <f t="shared" ref="AH3330:AH3393" si="331">IF(AB3330="","",MONTH(AB3330))</f>
        <v/>
      </c>
      <c r="AI3330">
        <f t="shared" ref="AI3330:AI3393" si="332">IF(AB3330="",0,AB3330+ROW()/1000000)</f>
        <v>0</v>
      </c>
      <c r="AJ3330">
        <f t="shared" ref="AJ3330:AJ3393" si="333">--(AA3330&lt;&gt;"")</f>
        <v>0</v>
      </c>
      <c r="AK3330">
        <v>0</v>
      </c>
      <c r="AL3330" t="str">
        <f>IF(AA3330="","",IFERROR(IF(ISNUMBER('Procyclean 600'!E332),'Procyclean 600'!E332,IF(ISNUMBER(SEARCH("12",'Procyclean 600'!E332)),EDATE(AB3330,12),IF(ISNUMBER(SEARCH("6",'Procyclean 600'!E332)),EDATE(AB3330,6),IF(ISNUMBER(SEARCH("3",'Procyclean 600'!E332)),EDATE(AB3330,3),DATEVALUE('Procyclean 600'!E332))))),""))</f>
        <v/>
      </c>
      <c r="AM3330" t="str">
        <f t="shared" ref="AM3330:AM3393" ca="1" si="334">IF(AND(AJ3330=1,AL3330&lt;&gt;"",AL3330&gt;=TODAY(),AG3330=$W$3),AL3330+ROW()/1000000,"")</f>
        <v/>
      </c>
    </row>
    <row r="3331" spans="27:39" x14ac:dyDescent="0.3">
      <c r="AA3331" t="str">
        <f>IF(COUNTA('Procyclean 600'!B333,'Procyclean 600'!C333,'Procyclean 600'!D333)&gt;0,"600","")</f>
        <v/>
      </c>
      <c r="AB3331" t="str">
        <f>IFERROR(IF(ISNUMBER('Procyclean 600'!B333),'Procyclean 600'!B333,DATEVALUE('Procyclean 600'!B333)),"")</f>
        <v/>
      </c>
      <c r="AC3331" t="str">
        <f>IF(AA3331="","",'Procyclean 600'!C333)</f>
        <v/>
      </c>
      <c r="AD3331" t="str">
        <f>IF(AA3331="","",IFERROR(1*'Procyclean 600'!D333,IFERROR(_xludf.NUMBERVALUE('Procyclean 600'!D333,".",","),IFERROR(_xludf.NUMBERVALUE('Procyclean 600'!D333,",","."),0))))</f>
        <v/>
      </c>
      <c r="AE3331" t="str">
        <f>IF(AA3331="","",'Procyclean 600'!K333)</f>
        <v/>
      </c>
      <c r="AF3331">
        <f t="shared" si="329"/>
        <v>0</v>
      </c>
      <c r="AG3331" t="str">
        <f t="shared" si="330"/>
        <v/>
      </c>
      <c r="AH3331" t="str">
        <f t="shared" si="331"/>
        <v/>
      </c>
      <c r="AI3331">
        <f t="shared" si="332"/>
        <v>0</v>
      </c>
      <c r="AJ3331">
        <f t="shared" si="333"/>
        <v>0</v>
      </c>
      <c r="AK3331">
        <v>0</v>
      </c>
      <c r="AL3331" t="str">
        <f>IF(AA3331="","",IFERROR(IF(ISNUMBER('Procyclean 600'!E333),'Procyclean 600'!E333,IF(ISNUMBER(SEARCH("12",'Procyclean 600'!E333)),EDATE(AB3331,12),IF(ISNUMBER(SEARCH("6",'Procyclean 600'!E333)),EDATE(AB3331,6),IF(ISNUMBER(SEARCH("3",'Procyclean 600'!E333)),EDATE(AB3331,3),DATEVALUE('Procyclean 600'!E333))))),""))</f>
        <v/>
      </c>
      <c r="AM3331" t="str">
        <f t="shared" ca="1" si="334"/>
        <v/>
      </c>
    </row>
    <row r="3332" spans="27:39" x14ac:dyDescent="0.3">
      <c r="AA3332" t="str">
        <f>IF(COUNTA('Procyclean 600'!B334,'Procyclean 600'!C334,'Procyclean 600'!D334)&gt;0,"600","")</f>
        <v/>
      </c>
      <c r="AB3332" t="str">
        <f>IFERROR(IF(ISNUMBER('Procyclean 600'!B334),'Procyclean 600'!B334,DATEVALUE('Procyclean 600'!B334)),"")</f>
        <v/>
      </c>
      <c r="AC3332" t="str">
        <f>IF(AA3332="","",'Procyclean 600'!C334)</f>
        <v/>
      </c>
      <c r="AD3332" t="str">
        <f>IF(AA3332="","",IFERROR(1*'Procyclean 600'!D334,IFERROR(_xludf.NUMBERVALUE('Procyclean 600'!D334,".",","),IFERROR(_xludf.NUMBERVALUE('Procyclean 600'!D334,",","."),0))))</f>
        <v/>
      </c>
      <c r="AE3332" t="str">
        <f>IF(AA3332="","",'Procyclean 600'!K334)</f>
        <v/>
      </c>
      <c r="AF3332">
        <f t="shared" si="329"/>
        <v>0</v>
      </c>
      <c r="AG3332" t="str">
        <f t="shared" si="330"/>
        <v/>
      </c>
      <c r="AH3332" t="str">
        <f t="shared" si="331"/>
        <v/>
      </c>
      <c r="AI3332">
        <f t="shared" si="332"/>
        <v>0</v>
      </c>
      <c r="AJ3332">
        <f t="shared" si="333"/>
        <v>0</v>
      </c>
      <c r="AK3332">
        <v>0</v>
      </c>
      <c r="AL3332" t="str">
        <f>IF(AA3332="","",IFERROR(IF(ISNUMBER('Procyclean 600'!E334),'Procyclean 600'!E334,IF(ISNUMBER(SEARCH("12",'Procyclean 600'!E334)),EDATE(AB3332,12),IF(ISNUMBER(SEARCH("6",'Procyclean 600'!E334)),EDATE(AB3332,6),IF(ISNUMBER(SEARCH("3",'Procyclean 600'!E334)),EDATE(AB3332,3),DATEVALUE('Procyclean 600'!E334))))),""))</f>
        <v/>
      </c>
      <c r="AM3332" t="str">
        <f t="shared" ca="1" si="334"/>
        <v/>
      </c>
    </row>
    <row r="3333" spans="27:39" x14ac:dyDescent="0.3">
      <c r="AA3333" t="str">
        <f>IF(COUNTA('Procyclean 600'!B335,'Procyclean 600'!C335,'Procyclean 600'!D335)&gt;0,"600","")</f>
        <v/>
      </c>
      <c r="AB3333" t="str">
        <f>IFERROR(IF(ISNUMBER('Procyclean 600'!B335),'Procyclean 600'!B335,DATEVALUE('Procyclean 600'!B335)),"")</f>
        <v/>
      </c>
      <c r="AC3333" t="str">
        <f>IF(AA3333="","",'Procyclean 600'!C335)</f>
        <v/>
      </c>
      <c r="AD3333" t="str">
        <f>IF(AA3333="","",IFERROR(1*'Procyclean 600'!D335,IFERROR(_xludf.NUMBERVALUE('Procyclean 600'!D335,".",","),IFERROR(_xludf.NUMBERVALUE('Procyclean 600'!D335,",","."),0))))</f>
        <v/>
      </c>
      <c r="AE3333" t="str">
        <f>IF(AA3333="","",'Procyclean 600'!K335)</f>
        <v/>
      </c>
      <c r="AF3333">
        <f t="shared" si="329"/>
        <v>0</v>
      </c>
      <c r="AG3333" t="str">
        <f t="shared" si="330"/>
        <v/>
      </c>
      <c r="AH3333" t="str">
        <f t="shared" si="331"/>
        <v/>
      </c>
      <c r="AI3333">
        <f t="shared" si="332"/>
        <v>0</v>
      </c>
      <c r="AJ3333">
        <f t="shared" si="333"/>
        <v>0</v>
      </c>
      <c r="AK3333">
        <v>0</v>
      </c>
      <c r="AL3333" t="str">
        <f>IF(AA3333="","",IFERROR(IF(ISNUMBER('Procyclean 600'!E335),'Procyclean 600'!E335,IF(ISNUMBER(SEARCH("12",'Procyclean 600'!E335)),EDATE(AB3333,12),IF(ISNUMBER(SEARCH("6",'Procyclean 600'!E335)),EDATE(AB3333,6),IF(ISNUMBER(SEARCH("3",'Procyclean 600'!E335)),EDATE(AB3333,3),DATEVALUE('Procyclean 600'!E335))))),""))</f>
        <v/>
      </c>
      <c r="AM3333" t="str">
        <f t="shared" ca="1" si="334"/>
        <v/>
      </c>
    </row>
    <row r="3334" spans="27:39" x14ac:dyDescent="0.3">
      <c r="AA3334" t="str">
        <f>IF(COUNTA('Procyclean 600'!B336,'Procyclean 600'!C336,'Procyclean 600'!D336)&gt;0,"600","")</f>
        <v/>
      </c>
      <c r="AB3334" t="str">
        <f>IFERROR(IF(ISNUMBER('Procyclean 600'!B336),'Procyclean 600'!B336,DATEVALUE('Procyclean 600'!B336)),"")</f>
        <v/>
      </c>
      <c r="AC3334" t="str">
        <f>IF(AA3334="","",'Procyclean 600'!C336)</f>
        <v/>
      </c>
      <c r="AD3334" t="str">
        <f>IF(AA3334="","",IFERROR(1*'Procyclean 600'!D336,IFERROR(_xludf.NUMBERVALUE('Procyclean 600'!D336,".",","),IFERROR(_xludf.NUMBERVALUE('Procyclean 600'!D336,",","."),0))))</f>
        <v/>
      </c>
      <c r="AE3334" t="str">
        <f>IF(AA3334="","",'Procyclean 600'!K336)</f>
        <v/>
      </c>
      <c r="AF3334">
        <f t="shared" si="329"/>
        <v>0</v>
      </c>
      <c r="AG3334" t="str">
        <f t="shared" si="330"/>
        <v/>
      </c>
      <c r="AH3334" t="str">
        <f t="shared" si="331"/>
        <v/>
      </c>
      <c r="AI3334">
        <f t="shared" si="332"/>
        <v>0</v>
      </c>
      <c r="AJ3334">
        <f t="shared" si="333"/>
        <v>0</v>
      </c>
      <c r="AK3334">
        <v>0</v>
      </c>
      <c r="AL3334" t="str">
        <f>IF(AA3334="","",IFERROR(IF(ISNUMBER('Procyclean 600'!E336),'Procyclean 600'!E336,IF(ISNUMBER(SEARCH("12",'Procyclean 600'!E336)),EDATE(AB3334,12),IF(ISNUMBER(SEARCH("6",'Procyclean 600'!E336)),EDATE(AB3334,6),IF(ISNUMBER(SEARCH("3",'Procyclean 600'!E336)),EDATE(AB3334,3),DATEVALUE('Procyclean 600'!E336))))),""))</f>
        <v/>
      </c>
      <c r="AM3334" t="str">
        <f t="shared" ca="1" si="334"/>
        <v/>
      </c>
    </row>
    <row r="3335" spans="27:39" x14ac:dyDescent="0.3">
      <c r="AA3335" t="str">
        <f>IF(COUNTA('Procyclean 600'!B337,'Procyclean 600'!C337,'Procyclean 600'!D337)&gt;0,"600","")</f>
        <v/>
      </c>
      <c r="AB3335" t="str">
        <f>IFERROR(IF(ISNUMBER('Procyclean 600'!B337),'Procyclean 600'!B337,DATEVALUE('Procyclean 600'!B337)),"")</f>
        <v/>
      </c>
      <c r="AC3335" t="str">
        <f>IF(AA3335="","",'Procyclean 600'!C337)</f>
        <v/>
      </c>
      <c r="AD3335" t="str">
        <f>IF(AA3335="","",IFERROR(1*'Procyclean 600'!D337,IFERROR(_xludf.NUMBERVALUE('Procyclean 600'!D337,".",","),IFERROR(_xludf.NUMBERVALUE('Procyclean 600'!D337,",","."),0))))</f>
        <v/>
      </c>
      <c r="AE3335" t="str">
        <f>IF(AA3335="","",'Procyclean 600'!K337)</f>
        <v/>
      </c>
      <c r="AF3335">
        <f t="shared" si="329"/>
        <v>0</v>
      </c>
      <c r="AG3335" t="str">
        <f t="shared" si="330"/>
        <v/>
      </c>
      <c r="AH3335" t="str">
        <f t="shared" si="331"/>
        <v/>
      </c>
      <c r="AI3335">
        <f t="shared" si="332"/>
        <v>0</v>
      </c>
      <c r="AJ3335">
        <f t="shared" si="333"/>
        <v>0</v>
      </c>
      <c r="AK3335">
        <v>0</v>
      </c>
      <c r="AL3335" t="str">
        <f>IF(AA3335="","",IFERROR(IF(ISNUMBER('Procyclean 600'!E337),'Procyclean 600'!E337,IF(ISNUMBER(SEARCH("12",'Procyclean 600'!E337)),EDATE(AB3335,12),IF(ISNUMBER(SEARCH("6",'Procyclean 600'!E337)),EDATE(AB3335,6),IF(ISNUMBER(SEARCH("3",'Procyclean 600'!E337)),EDATE(AB3335,3),DATEVALUE('Procyclean 600'!E337))))),""))</f>
        <v/>
      </c>
      <c r="AM3335" t="str">
        <f t="shared" ca="1" si="334"/>
        <v/>
      </c>
    </row>
    <row r="3336" spans="27:39" x14ac:dyDescent="0.3">
      <c r="AA3336" t="str">
        <f>IF(COUNTA('Procyclean 600'!B338,'Procyclean 600'!C338,'Procyclean 600'!D338)&gt;0,"600","")</f>
        <v/>
      </c>
      <c r="AB3336" t="str">
        <f>IFERROR(IF(ISNUMBER('Procyclean 600'!B338),'Procyclean 600'!B338,DATEVALUE('Procyclean 600'!B338)),"")</f>
        <v/>
      </c>
      <c r="AC3336" t="str">
        <f>IF(AA3336="","",'Procyclean 600'!C338)</f>
        <v/>
      </c>
      <c r="AD3336" t="str">
        <f>IF(AA3336="","",IFERROR(1*'Procyclean 600'!D338,IFERROR(_xludf.NUMBERVALUE('Procyclean 600'!D338,".",","),IFERROR(_xludf.NUMBERVALUE('Procyclean 600'!D338,",","."),0))))</f>
        <v/>
      </c>
      <c r="AE3336" t="str">
        <f>IF(AA3336="","",'Procyclean 600'!K338)</f>
        <v/>
      </c>
      <c r="AF3336">
        <f t="shared" si="329"/>
        <v>0</v>
      </c>
      <c r="AG3336" t="str">
        <f t="shared" si="330"/>
        <v/>
      </c>
      <c r="AH3336" t="str">
        <f t="shared" si="331"/>
        <v/>
      </c>
      <c r="AI3336">
        <f t="shared" si="332"/>
        <v>0</v>
      </c>
      <c r="AJ3336">
        <f t="shared" si="333"/>
        <v>0</v>
      </c>
      <c r="AK3336">
        <v>0</v>
      </c>
      <c r="AL3336" t="str">
        <f>IF(AA3336="","",IFERROR(IF(ISNUMBER('Procyclean 600'!E338),'Procyclean 600'!E338,IF(ISNUMBER(SEARCH("12",'Procyclean 600'!E338)),EDATE(AB3336,12),IF(ISNUMBER(SEARCH("6",'Procyclean 600'!E338)),EDATE(AB3336,6),IF(ISNUMBER(SEARCH("3",'Procyclean 600'!E338)),EDATE(AB3336,3),DATEVALUE('Procyclean 600'!E338))))),""))</f>
        <v/>
      </c>
      <c r="AM3336" t="str">
        <f t="shared" ca="1" si="334"/>
        <v/>
      </c>
    </row>
    <row r="3337" spans="27:39" x14ac:dyDescent="0.3">
      <c r="AA3337" t="str">
        <f>IF(COUNTA('Procyclean 600'!B339,'Procyclean 600'!C339,'Procyclean 600'!D339)&gt;0,"600","")</f>
        <v/>
      </c>
      <c r="AB3337" t="str">
        <f>IFERROR(IF(ISNUMBER('Procyclean 600'!B339),'Procyclean 600'!B339,DATEVALUE('Procyclean 600'!B339)),"")</f>
        <v/>
      </c>
      <c r="AC3337" t="str">
        <f>IF(AA3337="","",'Procyclean 600'!C339)</f>
        <v/>
      </c>
      <c r="AD3337" t="str">
        <f>IF(AA3337="","",IFERROR(1*'Procyclean 600'!D339,IFERROR(_xludf.NUMBERVALUE('Procyclean 600'!D339,".",","),IFERROR(_xludf.NUMBERVALUE('Procyclean 600'!D339,",","."),0))))</f>
        <v/>
      </c>
      <c r="AE3337" t="str">
        <f>IF(AA3337="","",'Procyclean 600'!K339)</f>
        <v/>
      </c>
      <c r="AF3337">
        <f t="shared" si="329"/>
        <v>0</v>
      </c>
      <c r="AG3337" t="str">
        <f t="shared" si="330"/>
        <v/>
      </c>
      <c r="AH3337" t="str">
        <f t="shared" si="331"/>
        <v/>
      </c>
      <c r="AI3337">
        <f t="shared" si="332"/>
        <v>0</v>
      </c>
      <c r="AJ3337">
        <f t="shared" si="333"/>
        <v>0</v>
      </c>
      <c r="AK3337">
        <v>0</v>
      </c>
      <c r="AL3337" t="str">
        <f>IF(AA3337="","",IFERROR(IF(ISNUMBER('Procyclean 600'!E339),'Procyclean 600'!E339,IF(ISNUMBER(SEARCH("12",'Procyclean 600'!E339)),EDATE(AB3337,12),IF(ISNUMBER(SEARCH("6",'Procyclean 600'!E339)),EDATE(AB3337,6),IF(ISNUMBER(SEARCH("3",'Procyclean 600'!E339)),EDATE(AB3337,3),DATEVALUE('Procyclean 600'!E339))))),""))</f>
        <v/>
      </c>
      <c r="AM3337" t="str">
        <f t="shared" ca="1" si="334"/>
        <v/>
      </c>
    </row>
    <row r="3338" spans="27:39" x14ac:dyDescent="0.3">
      <c r="AA3338" t="str">
        <f>IF(COUNTA('Procyclean 600'!B340,'Procyclean 600'!C340,'Procyclean 600'!D340)&gt;0,"600","")</f>
        <v/>
      </c>
      <c r="AB3338" t="str">
        <f>IFERROR(IF(ISNUMBER('Procyclean 600'!B340),'Procyclean 600'!B340,DATEVALUE('Procyclean 600'!B340)),"")</f>
        <v/>
      </c>
      <c r="AC3338" t="str">
        <f>IF(AA3338="","",'Procyclean 600'!C340)</f>
        <v/>
      </c>
      <c r="AD3338" t="str">
        <f>IF(AA3338="","",IFERROR(1*'Procyclean 600'!D340,IFERROR(_xludf.NUMBERVALUE('Procyclean 600'!D340,".",","),IFERROR(_xludf.NUMBERVALUE('Procyclean 600'!D340,",","."),0))))</f>
        <v/>
      </c>
      <c r="AE3338" t="str">
        <f>IF(AA3338="","",'Procyclean 600'!K340)</f>
        <v/>
      </c>
      <c r="AF3338">
        <f t="shared" si="329"/>
        <v>0</v>
      </c>
      <c r="AG3338" t="str">
        <f t="shared" si="330"/>
        <v/>
      </c>
      <c r="AH3338" t="str">
        <f t="shared" si="331"/>
        <v/>
      </c>
      <c r="AI3338">
        <f t="shared" si="332"/>
        <v>0</v>
      </c>
      <c r="AJ3338">
        <f t="shared" si="333"/>
        <v>0</v>
      </c>
      <c r="AK3338">
        <v>0</v>
      </c>
      <c r="AL3338" t="str">
        <f>IF(AA3338="","",IFERROR(IF(ISNUMBER('Procyclean 600'!E340),'Procyclean 600'!E340,IF(ISNUMBER(SEARCH("12",'Procyclean 600'!E340)),EDATE(AB3338,12),IF(ISNUMBER(SEARCH("6",'Procyclean 600'!E340)),EDATE(AB3338,6),IF(ISNUMBER(SEARCH("3",'Procyclean 600'!E340)),EDATE(AB3338,3),DATEVALUE('Procyclean 600'!E340))))),""))</f>
        <v/>
      </c>
      <c r="AM3338" t="str">
        <f t="shared" ca="1" si="334"/>
        <v/>
      </c>
    </row>
    <row r="3339" spans="27:39" x14ac:dyDescent="0.3">
      <c r="AA3339" t="str">
        <f>IF(COUNTA('Procyclean 600'!B341,'Procyclean 600'!C341,'Procyclean 600'!D341)&gt;0,"600","")</f>
        <v/>
      </c>
      <c r="AB3339" t="str">
        <f>IFERROR(IF(ISNUMBER('Procyclean 600'!B341),'Procyclean 600'!B341,DATEVALUE('Procyclean 600'!B341)),"")</f>
        <v/>
      </c>
      <c r="AC3339" t="str">
        <f>IF(AA3339="","",'Procyclean 600'!C341)</f>
        <v/>
      </c>
      <c r="AD3339" t="str">
        <f>IF(AA3339="","",IFERROR(1*'Procyclean 600'!D341,IFERROR(_xludf.NUMBERVALUE('Procyclean 600'!D341,".",","),IFERROR(_xludf.NUMBERVALUE('Procyclean 600'!D341,",","."),0))))</f>
        <v/>
      </c>
      <c r="AE3339" t="str">
        <f>IF(AA3339="","",'Procyclean 600'!K341)</f>
        <v/>
      </c>
      <c r="AF3339">
        <f t="shared" si="329"/>
        <v>0</v>
      </c>
      <c r="AG3339" t="str">
        <f t="shared" si="330"/>
        <v/>
      </c>
      <c r="AH3339" t="str">
        <f t="shared" si="331"/>
        <v/>
      </c>
      <c r="AI3339">
        <f t="shared" si="332"/>
        <v>0</v>
      </c>
      <c r="AJ3339">
        <f t="shared" si="333"/>
        <v>0</v>
      </c>
      <c r="AK3339">
        <v>0</v>
      </c>
      <c r="AL3339" t="str">
        <f>IF(AA3339="","",IFERROR(IF(ISNUMBER('Procyclean 600'!E341),'Procyclean 600'!E341,IF(ISNUMBER(SEARCH("12",'Procyclean 600'!E341)),EDATE(AB3339,12),IF(ISNUMBER(SEARCH("6",'Procyclean 600'!E341)),EDATE(AB3339,6),IF(ISNUMBER(SEARCH("3",'Procyclean 600'!E341)),EDATE(AB3339,3),DATEVALUE('Procyclean 600'!E341))))),""))</f>
        <v/>
      </c>
      <c r="AM3339" t="str">
        <f t="shared" ca="1" si="334"/>
        <v/>
      </c>
    </row>
    <row r="3340" spans="27:39" x14ac:dyDescent="0.3">
      <c r="AA3340" t="str">
        <f>IF(COUNTA('Procyclean 600'!B342,'Procyclean 600'!C342,'Procyclean 600'!D342)&gt;0,"600","")</f>
        <v/>
      </c>
      <c r="AB3340" t="str">
        <f>IFERROR(IF(ISNUMBER('Procyclean 600'!B342),'Procyclean 600'!B342,DATEVALUE('Procyclean 600'!B342)),"")</f>
        <v/>
      </c>
      <c r="AC3340" t="str">
        <f>IF(AA3340="","",'Procyclean 600'!C342)</f>
        <v/>
      </c>
      <c r="AD3340" t="str">
        <f>IF(AA3340="","",IFERROR(1*'Procyclean 600'!D342,IFERROR(_xludf.NUMBERVALUE('Procyclean 600'!D342,".",","),IFERROR(_xludf.NUMBERVALUE('Procyclean 600'!D342,",","."),0))))</f>
        <v/>
      </c>
      <c r="AE3340" t="str">
        <f>IF(AA3340="","",'Procyclean 600'!K342)</f>
        <v/>
      </c>
      <c r="AF3340">
        <f t="shared" si="329"/>
        <v>0</v>
      </c>
      <c r="AG3340" t="str">
        <f t="shared" si="330"/>
        <v/>
      </c>
      <c r="AH3340" t="str">
        <f t="shared" si="331"/>
        <v/>
      </c>
      <c r="AI3340">
        <f t="shared" si="332"/>
        <v>0</v>
      </c>
      <c r="AJ3340">
        <f t="shared" si="333"/>
        <v>0</v>
      </c>
      <c r="AK3340">
        <v>0</v>
      </c>
      <c r="AL3340" t="str">
        <f>IF(AA3340="","",IFERROR(IF(ISNUMBER('Procyclean 600'!E342),'Procyclean 600'!E342,IF(ISNUMBER(SEARCH("12",'Procyclean 600'!E342)),EDATE(AB3340,12),IF(ISNUMBER(SEARCH("6",'Procyclean 600'!E342)),EDATE(AB3340,6),IF(ISNUMBER(SEARCH("3",'Procyclean 600'!E342)),EDATE(AB3340,3),DATEVALUE('Procyclean 600'!E342))))),""))</f>
        <v/>
      </c>
      <c r="AM3340" t="str">
        <f t="shared" ca="1" si="334"/>
        <v/>
      </c>
    </row>
    <row r="3341" spans="27:39" x14ac:dyDescent="0.3">
      <c r="AA3341" t="str">
        <f>IF(COUNTA('Procyclean 600'!B343,'Procyclean 600'!C343,'Procyclean 600'!D343)&gt;0,"600","")</f>
        <v/>
      </c>
      <c r="AB3341" t="str">
        <f>IFERROR(IF(ISNUMBER('Procyclean 600'!B343),'Procyclean 600'!B343,DATEVALUE('Procyclean 600'!B343)),"")</f>
        <v/>
      </c>
      <c r="AC3341" t="str">
        <f>IF(AA3341="","",'Procyclean 600'!C343)</f>
        <v/>
      </c>
      <c r="AD3341" t="str">
        <f>IF(AA3341="","",IFERROR(1*'Procyclean 600'!D343,IFERROR(_xludf.NUMBERVALUE('Procyclean 600'!D343,".",","),IFERROR(_xludf.NUMBERVALUE('Procyclean 600'!D343,",","."),0))))</f>
        <v/>
      </c>
      <c r="AE3341" t="str">
        <f>IF(AA3341="","",'Procyclean 600'!K343)</f>
        <v/>
      </c>
      <c r="AF3341">
        <f t="shared" si="329"/>
        <v>0</v>
      </c>
      <c r="AG3341" t="str">
        <f t="shared" si="330"/>
        <v/>
      </c>
      <c r="AH3341" t="str">
        <f t="shared" si="331"/>
        <v/>
      </c>
      <c r="AI3341">
        <f t="shared" si="332"/>
        <v>0</v>
      </c>
      <c r="AJ3341">
        <f t="shared" si="333"/>
        <v>0</v>
      </c>
      <c r="AK3341">
        <v>0</v>
      </c>
      <c r="AL3341" t="str">
        <f>IF(AA3341="","",IFERROR(IF(ISNUMBER('Procyclean 600'!E343),'Procyclean 600'!E343,IF(ISNUMBER(SEARCH("12",'Procyclean 600'!E343)),EDATE(AB3341,12),IF(ISNUMBER(SEARCH("6",'Procyclean 600'!E343)),EDATE(AB3341,6),IF(ISNUMBER(SEARCH("3",'Procyclean 600'!E343)),EDATE(AB3341,3),DATEVALUE('Procyclean 600'!E343))))),""))</f>
        <v/>
      </c>
      <c r="AM3341" t="str">
        <f t="shared" ca="1" si="334"/>
        <v/>
      </c>
    </row>
    <row r="3342" spans="27:39" x14ac:dyDescent="0.3">
      <c r="AA3342" t="str">
        <f>IF(COUNTA('Procyclean 600'!B344,'Procyclean 600'!C344,'Procyclean 600'!D344)&gt;0,"600","")</f>
        <v/>
      </c>
      <c r="AB3342" t="str">
        <f>IFERROR(IF(ISNUMBER('Procyclean 600'!B344),'Procyclean 600'!B344,DATEVALUE('Procyclean 600'!B344)),"")</f>
        <v/>
      </c>
      <c r="AC3342" t="str">
        <f>IF(AA3342="","",'Procyclean 600'!C344)</f>
        <v/>
      </c>
      <c r="AD3342" t="str">
        <f>IF(AA3342="","",IFERROR(1*'Procyclean 600'!D344,IFERROR(_xludf.NUMBERVALUE('Procyclean 600'!D344,".",","),IFERROR(_xludf.NUMBERVALUE('Procyclean 600'!D344,",","."),0))))</f>
        <v/>
      </c>
      <c r="AE3342" t="str">
        <f>IF(AA3342="","",'Procyclean 600'!K344)</f>
        <v/>
      </c>
      <c r="AF3342">
        <f t="shared" si="329"/>
        <v>0</v>
      </c>
      <c r="AG3342" t="str">
        <f t="shared" si="330"/>
        <v/>
      </c>
      <c r="AH3342" t="str">
        <f t="shared" si="331"/>
        <v/>
      </c>
      <c r="AI3342">
        <f t="shared" si="332"/>
        <v>0</v>
      </c>
      <c r="AJ3342">
        <f t="shared" si="333"/>
        <v>0</v>
      </c>
      <c r="AK3342">
        <v>0</v>
      </c>
      <c r="AL3342" t="str">
        <f>IF(AA3342="","",IFERROR(IF(ISNUMBER('Procyclean 600'!E344),'Procyclean 600'!E344,IF(ISNUMBER(SEARCH("12",'Procyclean 600'!E344)),EDATE(AB3342,12),IF(ISNUMBER(SEARCH("6",'Procyclean 600'!E344)),EDATE(AB3342,6),IF(ISNUMBER(SEARCH("3",'Procyclean 600'!E344)),EDATE(AB3342,3),DATEVALUE('Procyclean 600'!E344))))),""))</f>
        <v/>
      </c>
      <c r="AM3342" t="str">
        <f t="shared" ca="1" si="334"/>
        <v/>
      </c>
    </row>
    <row r="3343" spans="27:39" x14ac:dyDescent="0.3">
      <c r="AA3343" t="str">
        <f>IF(COUNTA('Procyclean 600'!B345,'Procyclean 600'!C345,'Procyclean 600'!D345)&gt;0,"600","")</f>
        <v/>
      </c>
      <c r="AB3343" t="str">
        <f>IFERROR(IF(ISNUMBER('Procyclean 600'!B345),'Procyclean 600'!B345,DATEVALUE('Procyclean 600'!B345)),"")</f>
        <v/>
      </c>
      <c r="AC3343" t="str">
        <f>IF(AA3343="","",'Procyclean 600'!C345)</f>
        <v/>
      </c>
      <c r="AD3343" t="str">
        <f>IF(AA3343="","",IFERROR(1*'Procyclean 600'!D345,IFERROR(_xludf.NUMBERVALUE('Procyclean 600'!D345,".",","),IFERROR(_xludf.NUMBERVALUE('Procyclean 600'!D345,",","."),0))))</f>
        <v/>
      </c>
      <c r="AE3343" t="str">
        <f>IF(AA3343="","",'Procyclean 600'!K345)</f>
        <v/>
      </c>
      <c r="AF3343">
        <f t="shared" si="329"/>
        <v>0</v>
      </c>
      <c r="AG3343" t="str">
        <f t="shared" si="330"/>
        <v/>
      </c>
      <c r="AH3343" t="str">
        <f t="shared" si="331"/>
        <v/>
      </c>
      <c r="AI3343">
        <f t="shared" si="332"/>
        <v>0</v>
      </c>
      <c r="AJ3343">
        <f t="shared" si="333"/>
        <v>0</v>
      </c>
      <c r="AK3343">
        <v>0</v>
      </c>
      <c r="AL3343" t="str">
        <f>IF(AA3343="","",IFERROR(IF(ISNUMBER('Procyclean 600'!E345),'Procyclean 600'!E345,IF(ISNUMBER(SEARCH("12",'Procyclean 600'!E345)),EDATE(AB3343,12),IF(ISNUMBER(SEARCH("6",'Procyclean 600'!E345)),EDATE(AB3343,6),IF(ISNUMBER(SEARCH("3",'Procyclean 600'!E345)),EDATE(AB3343,3),DATEVALUE('Procyclean 600'!E345))))),""))</f>
        <v/>
      </c>
      <c r="AM3343" t="str">
        <f t="shared" ca="1" si="334"/>
        <v/>
      </c>
    </row>
    <row r="3344" spans="27:39" x14ac:dyDescent="0.3">
      <c r="AA3344" t="str">
        <f>IF(COUNTA('Procyclean 600'!B346,'Procyclean 600'!C346,'Procyclean 600'!D346)&gt;0,"600","")</f>
        <v/>
      </c>
      <c r="AB3344" t="str">
        <f>IFERROR(IF(ISNUMBER('Procyclean 600'!B346),'Procyclean 600'!B346,DATEVALUE('Procyclean 600'!B346)),"")</f>
        <v/>
      </c>
      <c r="AC3344" t="str">
        <f>IF(AA3344="","",'Procyclean 600'!C346)</f>
        <v/>
      </c>
      <c r="AD3344" t="str">
        <f>IF(AA3344="","",IFERROR(1*'Procyclean 600'!D346,IFERROR(_xludf.NUMBERVALUE('Procyclean 600'!D346,".",","),IFERROR(_xludf.NUMBERVALUE('Procyclean 600'!D346,",","."),0))))</f>
        <v/>
      </c>
      <c r="AE3344" t="str">
        <f>IF(AA3344="","",'Procyclean 600'!K346)</f>
        <v/>
      </c>
      <c r="AF3344">
        <f t="shared" si="329"/>
        <v>0</v>
      </c>
      <c r="AG3344" t="str">
        <f t="shared" si="330"/>
        <v/>
      </c>
      <c r="AH3344" t="str">
        <f t="shared" si="331"/>
        <v/>
      </c>
      <c r="AI3344">
        <f t="shared" si="332"/>
        <v>0</v>
      </c>
      <c r="AJ3344">
        <f t="shared" si="333"/>
        <v>0</v>
      </c>
      <c r="AK3344">
        <v>0</v>
      </c>
      <c r="AL3344" t="str">
        <f>IF(AA3344="","",IFERROR(IF(ISNUMBER('Procyclean 600'!E346),'Procyclean 600'!E346,IF(ISNUMBER(SEARCH("12",'Procyclean 600'!E346)),EDATE(AB3344,12),IF(ISNUMBER(SEARCH("6",'Procyclean 600'!E346)),EDATE(AB3344,6),IF(ISNUMBER(SEARCH("3",'Procyclean 600'!E346)),EDATE(AB3344,3),DATEVALUE('Procyclean 600'!E346))))),""))</f>
        <v/>
      </c>
      <c r="AM3344" t="str">
        <f t="shared" ca="1" si="334"/>
        <v/>
      </c>
    </row>
    <row r="3345" spans="27:39" x14ac:dyDescent="0.3">
      <c r="AA3345" t="str">
        <f>IF(COUNTA('Procyclean 600'!B347,'Procyclean 600'!C347,'Procyclean 600'!D347)&gt;0,"600","")</f>
        <v/>
      </c>
      <c r="AB3345" t="str">
        <f>IFERROR(IF(ISNUMBER('Procyclean 600'!B347),'Procyclean 600'!B347,DATEVALUE('Procyclean 600'!B347)),"")</f>
        <v/>
      </c>
      <c r="AC3345" t="str">
        <f>IF(AA3345="","",'Procyclean 600'!C347)</f>
        <v/>
      </c>
      <c r="AD3345" t="str">
        <f>IF(AA3345="","",IFERROR(1*'Procyclean 600'!D347,IFERROR(_xludf.NUMBERVALUE('Procyclean 600'!D347,".",","),IFERROR(_xludf.NUMBERVALUE('Procyclean 600'!D347,",","."),0))))</f>
        <v/>
      </c>
      <c r="AE3345" t="str">
        <f>IF(AA3345="","",'Procyclean 600'!K347)</f>
        <v/>
      </c>
      <c r="AF3345">
        <f t="shared" si="329"/>
        <v>0</v>
      </c>
      <c r="AG3345" t="str">
        <f t="shared" si="330"/>
        <v/>
      </c>
      <c r="AH3345" t="str">
        <f t="shared" si="331"/>
        <v/>
      </c>
      <c r="AI3345">
        <f t="shared" si="332"/>
        <v>0</v>
      </c>
      <c r="AJ3345">
        <f t="shared" si="333"/>
        <v>0</v>
      </c>
      <c r="AK3345">
        <v>0</v>
      </c>
      <c r="AL3345" t="str">
        <f>IF(AA3345="","",IFERROR(IF(ISNUMBER('Procyclean 600'!E347),'Procyclean 600'!E347,IF(ISNUMBER(SEARCH("12",'Procyclean 600'!E347)),EDATE(AB3345,12),IF(ISNUMBER(SEARCH("6",'Procyclean 600'!E347)),EDATE(AB3345,6),IF(ISNUMBER(SEARCH("3",'Procyclean 600'!E347)),EDATE(AB3345,3),DATEVALUE('Procyclean 600'!E347))))),""))</f>
        <v/>
      </c>
      <c r="AM3345" t="str">
        <f t="shared" ca="1" si="334"/>
        <v/>
      </c>
    </row>
    <row r="3346" spans="27:39" x14ac:dyDescent="0.3">
      <c r="AA3346" t="str">
        <f>IF(COUNTA('Procyclean 600'!B348,'Procyclean 600'!C348,'Procyclean 600'!D348)&gt;0,"600","")</f>
        <v/>
      </c>
      <c r="AB3346" t="str">
        <f>IFERROR(IF(ISNUMBER('Procyclean 600'!B348),'Procyclean 600'!B348,DATEVALUE('Procyclean 600'!B348)),"")</f>
        <v/>
      </c>
      <c r="AC3346" t="str">
        <f>IF(AA3346="","",'Procyclean 600'!C348)</f>
        <v/>
      </c>
      <c r="AD3346" t="str">
        <f>IF(AA3346="","",IFERROR(1*'Procyclean 600'!D348,IFERROR(_xludf.NUMBERVALUE('Procyclean 600'!D348,".",","),IFERROR(_xludf.NUMBERVALUE('Procyclean 600'!D348,",","."),0))))</f>
        <v/>
      </c>
      <c r="AE3346" t="str">
        <f>IF(AA3346="","",'Procyclean 600'!K348)</f>
        <v/>
      </c>
      <c r="AF3346">
        <f t="shared" si="329"/>
        <v>0</v>
      </c>
      <c r="AG3346" t="str">
        <f t="shared" si="330"/>
        <v/>
      </c>
      <c r="AH3346" t="str">
        <f t="shared" si="331"/>
        <v/>
      </c>
      <c r="AI3346">
        <f t="shared" si="332"/>
        <v>0</v>
      </c>
      <c r="AJ3346">
        <f t="shared" si="333"/>
        <v>0</v>
      </c>
      <c r="AK3346">
        <v>0</v>
      </c>
      <c r="AL3346" t="str">
        <f>IF(AA3346="","",IFERROR(IF(ISNUMBER('Procyclean 600'!E348),'Procyclean 600'!E348,IF(ISNUMBER(SEARCH("12",'Procyclean 600'!E348)),EDATE(AB3346,12),IF(ISNUMBER(SEARCH("6",'Procyclean 600'!E348)),EDATE(AB3346,6),IF(ISNUMBER(SEARCH("3",'Procyclean 600'!E348)),EDATE(AB3346,3),DATEVALUE('Procyclean 600'!E348))))),""))</f>
        <v/>
      </c>
      <c r="AM3346" t="str">
        <f t="shared" ca="1" si="334"/>
        <v/>
      </c>
    </row>
    <row r="3347" spans="27:39" x14ac:dyDescent="0.3">
      <c r="AA3347" t="str">
        <f>IF(COUNTA('Procyclean 600'!B349,'Procyclean 600'!C349,'Procyclean 600'!D349)&gt;0,"600","")</f>
        <v/>
      </c>
      <c r="AB3347" t="str">
        <f>IFERROR(IF(ISNUMBER('Procyclean 600'!B349),'Procyclean 600'!B349,DATEVALUE('Procyclean 600'!B349)),"")</f>
        <v/>
      </c>
      <c r="AC3347" t="str">
        <f>IF(AA3347="","",'Procyclean 600'!C349)</f>
        <v/>
      </c>
      <c r="AD3347" t="str">
        <f>IF(AA3347="","",IFERROR(1*'Procyclean 600'!D349,IFERROR(_xludf.NUMBERVALUE('Procyclean 600'!D349,".",","),IFERROR(_xludf.NUMBERVALUE('Procyclean 600'!D349,",","."),0))))</f>
        <v/>
      </c>
      <c r="AE3347" t="str">
        <f>IF(AA3347="","",'Procyclean 600'!K349)</f>
        <v/>
      </c>
      <c r="AF3347">
        <f t="shared" si="329"/>
        <v>0</v>
      </c>
      <c r="AG3347" t="str">
        <f t="shared" si="330"/>
        <v/>
      </c>
      <c r="AH3347" t="str">
        <f t="shared" si="331"/>
        <v/>
      </c>
      <c r="AI3347">
        <f t="shared" si="332"/>
        <v>0</v>
      </c>
      <c r="AJ3347">
        <f t="shared" si="333"/>
        <v>0</v>
      </c>
      <c r="AK3347">
        <v>0</v>
      </c>
      <c r="AL3347" t="str">
        <f>IF(AA3347="","",IFERROR(IF(ISNUMBER('Procyclean 600'!E349),'Procyclean 600'!E349,IF(ISNUMBER(SEARCH("12",'Procyclean 600'!E349)),EDATE(AB3347,12),IF(ISNUMBER(SEARCH("6",'Procyclean 600'!E349)),EDATE(AB3347,6),IF(ISNUMBER(SEARCH("3",'Procyclean 600'!E349)),EDATE(AB3347,3),DATEVALUE('Procyclean 600'!E349))))),""))</f>
        <v/>
      </c>
      <c r="AM3347" t="str">
        <f t="shared" ca="1" si="334"/>
        <v/>
      </c>
    </row>
    <row r="3348" spans="27:39" x14ac:dyDescent="0.3">
      <c r="AA3348" t="str">
        <f>IF(COUNTA('Procyclean 600'!B350,'Procyclean 600'!C350,'Procyclean 600'!D350)&gt;0,"600","")</f>
        <v/>
      </c>
      <c r="AB3348" t="str">
        <f>IFERROR(IF(ISNUMBER('Procyclean 600'!B350),'Procyclean 600'!B350,DATEVALUE('Procyclean 600'!B350)),"")</f>
        <v/>
      </c>
      <c r="AC3348" t="str">
        <f>IF(AA3348="","",'Procyclean 600'!C350)</f>
        <v/>
      </c>
      <c r="AD3348" t="str">
        <f>IF(AA3348="","",IFERROR(1*'Procyclean 600'!D350,IFERROR(_xludf.NUMBERVALUE('Procyclean 600'!D350,".",","),IFERROR(_xludf.NUMBERVALUE('Procyclean 600'!D350,",","."),0))))</f>
        <v/>
      </c>
      <c r="AE3348" t="str">
        <f>IF(AA3348="","",'Procyclean 600'!K350)</f>
        <v/>
      </c>
      <c r="AF3348">
        <f t="shared" si="329"/>
        <v>0</v>
      </c>
      <c r="AG3348" t="str">
        <f t="shared" si="330"/>
        <v/>
      </c>
      <c r="AH3348" t="str">
        <f t="shared" si="331"/>
        <v/>
      </c>
      <c r="AI3348">
        <f t="shared" si="332"/>
        <v>0</v>
      </c>
      <c r="AJ3348">
        <f t="shared" si="333"/>
        <v>0</v>
      </c>
      <c r="AK3348">
        <v>0</v>
      </c>
      <c r="AL3348" t="str">
        <f>IF(AA3348="","",IFERROR(IF(ISNUMBER('Procyclean 600'!E350),'Procyclean 600'!E350,IF(ISNUMBER(SEARCH("12",'Procyclean 600'!E350)),EDATE(AB3348,12),IF(ISNUMBER(SEARCH("6",'Procyclean 600'!E350)),EDATE(AB3348,6),IF(ISNUMBER(SEARCH("3",'Procyclean 600'!E350)),EDATE(AB3348,3),DATEVALUE('Procyclean 600'!E350))))),""))</f>
        <v/>
      </c>
      <c r="AM3348" t="str">
        <f t="shared" ca="1" si="334"/>
        <v/>
      </c>
    </row>
    <row r="3349" spans="27:39" x14ac:dyDescent="0.3">
      <c r="AA3349" t="str">
        <f>IF(COUNTA('Procyclean 600'!B351,'Procyclean 600'!C351,'Procyclean 600'!D351)&gt;0,"600","")</f>
        <v/>
      </c>
      <c r="AB3349" t="str">
        <f>IFERROR(IF(ISNUMBER('Procyclean 600'!B351),'Procyclean 600'!B351,DATEVALUE('Procyclean 600'!B351)),"")</f>
        <v/>
      </c>
      <c r="AC3349" t="str">
        <f>IF(AA3349="","",'Procyclean 600'!C351)</f>
        <v/>
      </c>
      <c r="AD3349" t="str">
        <f>IF(AA3349="","",IFERROR(1*'Procyclean 600'!D351,IFERROR(_xludf.NUMBERVALUE('Procyclean 600'!D351,".",","),IFERROR(_xludf.NUMBERVALUE('Procyclean 600'!D351,",","."),0))))</f>
        <v/>
      </c>
      <c r="AE3349" t="str">
        <f>IF(AA3349="","",'Procyclean 600'!K351)</f>
        <v/>
      </c>
      <c r="AF3349">
        <f t="shared" si="329"/>
        <v>0</v>
      </c>
      <c r="AG3349" t="str">
        <f t="shared" si="330"/>
        <v/>
      </c>
      <c r="AH3349" t="str">
        <f t="shared" si="331"/>
        <v/>
      </c>
      <c r="AI3349">
        <f t="shared" si="332"/>
        <v>0</v>
      </c>
      <c r="AJ3349">
        <f t="shared" si="333"/>
        <v>0</v>
      </c>
      <c r="AK3349">
        <v>0</v>
      </c>
      <c r="AL3349" t="str">
        <f>IF(AA3349="","",IFERROR(IF(ISNUMBER('Procyclean 600'!E351),'Procyclean 600'!E351,IF(ISNUMBER(SEARCH("12",'Procyclean 600'!E351)),EDATE(AB3349,12),IF(ISNUMBER(SEARCH("6",'Procyclean 600'!E351)),EDATE(AB3349,6),IF(ISNUMBER(SEARCH("3",'Procyclean 600'!E351)),EDATE(AB3349,3),DATEVALUE('Procyclean 600'!E351))))),""))</f>
        <v/>
      </c>
      <c r="AM3349" t="str">
        <f t="shared" ca="1" si="334"/>
        <v/>
      </c>
    </row>
    <row r="3350" spans="27:39" x14ac:dyDescent="0.3">
      <c r="AA3350" t="str">
        <f>IF(COUNTA('Procyclean 600'!B352,'Procyclean 600'!C352,'Procyclean 600'!D352)&gt;0,"600","")</f>
        <v/>
      </c>
      <c r="AB3350" t="str">
        <f>IFERROR(IF(ISNUMBER('Procyclean 600'!B352),'Procyclean 600'!B352,DATEVALUE('Procyclean 600'!B352)),"")</f>
        <v/>
      </c>
      <c r="AC3350" t="str">
        <f>IF(AA3350="","",'Procyclean 600'!C352)</f>
        <v/>
      </c>
      <c r="AD3350" t="str">
        <f>IF(AA3350="","",IFERROR(1*'Procyclean 600'!D352,IFERROR(_xludf.NUMBERVALUE('Procyclean 600'!D352,".",","),IFERROR(_xludf.NUMBERVALUE('Procyclean 600'!D352,",","."),0))))</f>
        <v/>
      </c>
      <c r="AE3350" t="str">
        <f>IF(AA3350="","",'Procyclean 600'!K352)</f>
        <v/>
      </c>
      <c r="AF3350">
        <f t="shared" si="329"/>
        <v>0</v>
      </c>
      <c r="AG3350" t="str">
        <f t="shared" si="330"/>
        <v/>
      </c>
      <c r="AH3350" t="str">
        <f t="shared" si="331"/>
        <v/>
      </c>
      <c r="AI3350">
        <f t="shared" si="332"/>
        <v>0</v>
      </c>
      <c r="AJ3350">
        <f t="shared" si="333"/>
        <v>0</v>
      </c>
      <c r="AK3350">
        <v>0</v>
      </c>
      <c r="AL3350" t="str">
        <f>IF(AA3350="","",IFERROR(IF(ISNUMBER('Procyclean 600'!E352),'Procyclean 600'!E352,IF(ISNUMBER(SEARCH("12",'Procyclean 600'!E352)),EDATE(AB3350,12),IF(ISNUMBER(SEARCH("6",'Procyclean 600'!E352)),EDATE(AB3350,6),IF(ISNUMBER(SEARCH("3",'Procyclean 600'!E352)),EDATE(AB3350,3),DATEVALUE('Procyclean 600'!E352))))),""))</f>
        <v/>
      </c>
      <c r="AM3350" t="str">
        <f t="shared" ca="1" si="334"/>
        <v/>
      </c>
    </row>
    <row r="3351" spans="27:39" x14ac:dyDescent="0.3">
      <c r="AA3351" t="str">
        <f>IF(COUNTA('Procyclean 600'!B353,'Procyclean 600'!C353,'Procyclean 600'!D353)&gt;0,"600","")</f>
        <v/>
      </c>
      <c r="AB3351" t="str">
        <f>IFERROR(IF(ISNUMBER('Procyclean 600'!B353),'Procyclean 600'!B353,DATEVALUE('Procyclean 600'!B353)),"")</f>
        <v/>
      </c>
      <c r="AC3351" t="str">
        <f>IF(AA3351="","",'Procyclean 600'!C353)</f>
        <v/>
      </c>
      <c r="AD3351" t="str">
        <f>IF(AA3351="","",IFERROR(1*'Procyclean 600'!D353,IFERROR(_xludf.NUMBERVALUE('Procyclean 600'!D353,".",","),IFERROR(_xludf.NUMBERVALUE('Procyclean 600'!D353,",","."),0))))</f>
        <v/>
      </c>
      <c r="AE3351" t="str">
        <f>IF(AA3351="","",'Procyclean 600'!K353)</f>
        <v/>
      </c>
      <c r="AF3351">
        <f t="shared" si="329"/>
        <v>0</v>
      </c>
      <c r="AG3351" t="str">
        <f t="shared" si="330"/>
        <v/>
      </c>
      <c r="AH3351" t="str">
        <f t="shared" si="331"/>
        <v/>
      </c>
      <c r="AI3351">
        <f t="shared" si="332"/>
        <v>0</v>
      </c>
      <c r="AJ3351">
        <f t="shared" si="333"/>
        <v>0</v>
      </c>
      <c r="AK3351">
        <v>0</v>
      </c>
      <c r="AL3351" t="str">
        <f>IF(AA3351="","",IFERROR(IF(ISNUMBER('Procyclean 600'!E353),'Procyclean 600'!E353,IF(ISNUMBER(SEARCH("12",'Procyclean 600'!E353)),EDATE(AB3351,12),IF(ISNUMBER(SEARCH("6",'Procyclean 600'!E353)),EDATE(AB3351,6),IF(ISNUMBER(SEARCH("3",'Procyclean 600'!E353)),EDATE(AB3351,3),DATEVALUE('Procyclean 600'!E353))))),""))</f>
        <v/>
      </c>
      <c r="AM3351" t="str">
        <f t="shared" ca="1" si="334"/>
        <v/>
      </c>
    </row>
    <row r="3352" spans="27:39" x14ac:dyDescent="0.3">
      <c r="AA3352" t="str">
        <f>IF(COUNTA('Procyclean 600'!B354,'Procyclean 600'!C354,'Procyclean 600'!D354)&gt;0,"600","")</f>
        <v/>
      </c>
      <c r="AB3352" t="str">
        <f>IFERROR(IF(ISNUMBER('Procyclean 600'!B354),'Procyclean 600'!B354,DATEVALUE('Procyclean 600'!B354)),"")</f>
        <v/>
      </c>
      <c r="AC3352" t="str">
        <f>IF(AA3352="","",'Procyclean 600'!C354)</f>
        <v/>
      </c>
      <c r="AD3352" t="str">
        <f>IF(AA3352="","",IFERROR(1*'Procyclean 600'!D354,IFERROR(_xludf.NUMBERVALUE('Procyclean 600'!D354,".",","),IFERROR(_xludf.NUMBERVALUE('Procyclean 600'!D354,",","."),0))))</f>
        <v/>
      </c>
      <c r="AE3352" t="str">
        <f>IF(AA3352="","",'Procyclean 600'!K354)</f>
        <v/>
      </c>
      <c r="AF3352">
        <f t="shared" si="329"/>
        <v>0</v>
      </c>
      <c r="AG3352" t="str">
        <f t="shared" si="330"/>
        <v/>
      </c>
      <c r="AH3352" t="str">
        <f t="shared" si="331"/>
        <v/>
      </c>
      <c r="AI3352">
        <f t="shared" si="332"/>
        <v>0</v>
      </c>
      <c r="AJ3352">
        <f t="shared" si="333"/>
        <v>0</v>
      </c>
      <c r="AK3352">
        <v>0</v>
      </c>
      <c r="AL3352" t="str">
        <f>IF(AA3352="","",IFERROR(IF(ISNUMBER('Procyclean 600'!E354),'Procyclean 600'!E354,IF(ISNUMBER(SEARCH("12",'Procyclean 600'!E354)),EDATE(AB3352,12),IF(ISNUMBER(SEARCH("6",'Procyclean 600'!E354)),EDATE(AB3352,6),IF(ISNUMBER(SEARCH("3",'Procyclean 600'!E354)),EDATE(AB3352,3),DATEVALUE('Procyclean 600'!E354))))),""))</f>
        <v/>
      </c>
      <c r="AM3352" t="str">
        <f t="shared" ca="1" si="334"/>
        <v/>
      </c>
    </row>
    <row r="3353" spans="27:39" x14ac:dyDescent="0.3">
      <c r="AA3353" t="str">
        <f>IF(COUNTA('Procyclean 600'!B355,'Procyclean 600'!C355,'Procyclean 600'!D355)&gt;0,"600","")</f>
        <v/>
      </c>
      <c r="AB3353" t="str">
        <f>IFERROR(IF(ISNUMBER('Procyclean 600'!B355),'Procyclean 600'!B355,DATEVALUE('Procyclean 600'!B355)),"")</f>
        <v/>
      </c>
      <c r="AC3353" t="str">
        <f>IF(AA3353="","",'Procyclean 600'!C355)</f>
        <v/>
      </c>
      <c r="AD3353" t="str">
        <f>IF(AA3353="","",IFERROR(1*'Procyclean 600'!D355,IFERROR(_xludf.NUMBERVALUE('Procyclean 600'!D355,".",","),IFERROR(_xludf.NUMBERVALUE('Procyclean 600'!D355,",","."),0))))</f>
        <v/>
      </c>
      <c r="AE3353" t="str">
        <f>IF(AA3353="","",'Procyclean 600'!K355)</f>
        <v/>
      </c>
      <c r="AF3353">
        <f t="shared" si="329"/>
        <v>0</v>
      </c>
      <c r="AG3353" t="str">
        <f t="shared" si="330"/>
        <v/>
      </c>
      <c r="AH3353" t="str">
        <f t="shared" si="331"/>
        <v/>
      </c>
      <c r="AI3353">
        <f t="shared" si="332"/>
        <v>0</v>
      </c>
      <c r="AJ3353">
        <f t="shared" si="333"/>
        <v>0</v>
      </c>
      <c r="AK3353">
        <v>0</v>
      </c>
      <c r="AL3353" t="str">
        <f>IF(AA3353="","",IFERROR(IF(ISNUMBER('Procyclean 600'!E355),'Procyclean 600'!E355,IF(ISNUMBER(SEARCH("12",'Procyclean 600'!E355)),EDATE(AB3353,12),IF(ISNUMBER(SEARCH("6",'Procyclean 600'!E355)),EDATE(AB3353,6),IF(ISNUMBER(SEARCH("3",'Procyclean 600'!E355)),EDATE(AB3353,3),DATEVALUE('Procyclean 600'!E355))))),""))</f>
        <v/>
      </c>
      <c r="AM3353" t="str">
        <f t="shared" ca="1" si="334"/>
        <v/>
      </c>
    </row>
    <row r="3354" spans="27:39" x14ac:dyDescent="0.3">
      <c r="AA3354" t="str">
        <f>IF(COUNTA('Procyclean 600'!B356,'Procyclean 600'!C356,'Procyclean 600'!D356)&gt;0,"600","")</f>
        <v/>
      </c>
      <c r="AB3354" t="str">
        <f>IFERROR(IF(ISNUMBER('Procyclean 600'!B356),'Procyclean 600'!B356,DATEVALUE('Procyclean 600'!B356)),"")</f>
        <v/>
      </c>
      <c r="AC3354" t="str">
        <f>IF(AA3354="","",'Procyclean 600'!C356)</f>
        <v/>
      </c>
      <c r="AD3354" t="str">
        <f>IF(AA3354="","",IFERROR(1*'Procyclean 600'!D356,IFERROR(_xludf.NUMBERVALUE('Procyclean 600'!D356,".",","),IFERROR(_xludf.NUMBERVALUE('Procyclean 600'!D356,",","."),0))))</f>
        <v/>
      </c>
      <c r="AE3354" t="str">
        <f>IF(AA3354="","",'Procyclean 600'!K356)</f>
        <v/>
      </c>
      <c r="AF3354">
        <f t="shared" si="329"/>
        <v>0</v>
      </c>
      <c r="AG3354" t="str">
        <f t="shared" si="330"/>
        <v/>
      </c>
      <c r="AH3354" t="str">
        <f t="shared" si="331"/>
        <v/>
      </c>
      <c r="AI3354">
        <f t="shared" si="332"/>
        <v>0</v>
      </c>
      <c r="AJ3354">
        <f t="shared" si="333"/>
        <v>0</v>
      </c>
      <c r="AK3354">
        <v>0</v>
      </c>
      <c r="AL3354" t="str">
        <f>IF(AA3354="","",IFERROR(IF(ISNUMBER('Procyclean 600'!E356),'Procyclean 600'!E356,IF(ISNUMBER(SEARCH("12",'Procyclean 600'!E356)),EDATE(AB3354,12),IF(ISNUMBER(SEARCH("6",'Procyclean 600'!E356)),EDATE(AB3354,6),IF(ISNUMBER(SEARCH("3",'Procyclean 600'!E356)),EDATE(AB3354,3),DATEVALUE('Procyclean 600'!E356))))),""))</f>
        <v/>
      </c>
      <c r="AM3354" t="str">
        <f t="shared" ca="1" si="334"/>
        <v/>
      </c>
    </row>
    <row r="3355" spans="27:39" x14ac:dyDescent="0.3">
      <c r="AA3355" t="str">
        <f>IF(COUNTA('Procyclean 600'!B357,'Procyclean 600'!C357,'Procyclean 600'!D357)&gt;0,"600","")</f>
        <v/>
      </c>
      <c r="AB3355" t="str">
        <f>IFERROR(IF(ISNUMBER('Procyclean 600'!B357),'Procyclean 600'!B357,DATEVALUE('Procyclean 600'!B357)),"")</f>
        <v/>
      </c>
      <c r="AC3355" t="str">
        <f>IF(AA3355="","",'Procyclean 600'!C357)</f>
        <v/>
      </c>
      <c r="AD3355" t="str">
        <f>IF(AA3355="","",IFERROR(1*'Procyclean 600'!D357,IFERROR(_xludf.NUMBERVALUE('Procyclean 600'!D357,".",","),IFERROR(_xludf.NUMBERVALUE('Procyclean 600'!D357,",","."),0))))</f>
        <v/>
      </c>
      <c r="AE3355" t="str">
        <f>IF(AA3355="","",'Procyclean 600'!K357)</f>
        <v/>
      </c>
      <c r="AF3355">
        <f t="shared" si="329"/>
        <v>0</v>
      </c>
      <c r="AG3355" t="str">
        <f t="shared" si="330"/>
        <v/>
      </c>
      <c r="AH3355" t="str">
        <f t="shared" si="331"/>
        <v/>
      </c>
      <c r="AI3355">
        <f t="shared" si="332"/>
        <v>0</v>
      </c>
      <c r="AJ3355">
        <f t="shared" si="333"/>
        <v>0</v>
      </c>
      <c r="AK3355">
        <v>0</v>
      </c>
      <c r="AL3355" t="str">
        <f>IF(AA3355="","",IFERROR(IF(ISNUMBER('Procyclean 600'!E357),'Procyclean 600'!E357,IF(ISNUMBER(SEARCH("12",'Procyclean 600'!E357)),EDATE(AB3355,12),IF(ISNUMBER(SEARCH("6",'Procyclean 600'!E357)),EDATE(AB3355,6),IF(ISNUMBER(SEARCH("3",'Procyclean 600'!E357)),EDATE(AB3355,3),DATEVALUE('Procyclean 600'!E357))))),""))</f>
        <v/>
      </c>
      <c r="AM3355" t="str">
        <f t="shared" ca="1" si="334"/>
        <v/>
      </c>
    </row>
    <row r="3356" spans="27:39" x14ac:dyDescent="0.3">
      <c r="AA3356" t="str">
        <f>IF(COUNTA('Procyclean 600'!B358,'Procyclean 600'!C358,'Procyclean 600'!D358)&gt;0,"600","")</f>
        <v/>
      </c>
      <c r="AB3356" t="str">
        <f>IFERROR(IF(ISNUMBER('Procyclean 600'!B358),'Procyclean 600'!B358,DATEVALUE('Procyclean 600'!B358)),"")</f>
        <v/>
      </c>
      <c r="AC3356" t="str">
        <f>IF(AA3356="","",'Procyclean 600'!C358)</f>
        <v/>
      </c>
      <c r="AD3356" t="str">
        <f>IF(AA3356="","",IFERROR(1*'Procyclean 600'!D358,IFERROR(_xludf.NUMBERVALUE('Procyclean 600'!D358,".",","),IFERROR(_xludf.NUMBERVALUE('Procyclean 600'!D358,",","."),0))))</f>
        <v/>
      </c>
      <c r="AE3356" t="str">
        <f>IF(AA3356="","",'Procyclean 600'!K358)</f>
        <v/>
      </c>
      <c r="AF3356">
        <f t="shared" si="329"/>
        <v>0</v>
      </c>
      <c r="AG3356" t="str">
        <f t="shared" si="330"/>
        <v/>
      </c>
      <c r="AH3356" t="str">
        <f t="shared" si="331"/>
        <v/>
      </c>
      <c r="AI3356">
        <f t="shared" si="332"/>
        <v>0</v>
      </c>
      <c r="AJ3356">
        <f t="shared" si="333"/>
        <v>0</v>
      </c>
      <c r="AK3356">
        <v>0</v>
      </c>
      <c r="AL3356" t="str">
        <f>IF(AA3356="","",IFERROR(IF(ISNUMBER('Procyclean 600'!E358),'Procyclean 600'!E358,IF(ISNUMBER(SEARCH("12",'Procyclean 600'!E358)),EDATE(AB3356,12),IF(ISNUMBER(SEARCH("6",'Procyclean 600'!E358)),EDATE(AB3356,6),IF(ISNUMBER(SEARCH("3",'Procyclean 600'!E358)),EDATE(AB3356,3),DATEVALUE('Procyclean 600'!E358))))),""))</f>
        <v/>
      </c>
      <c r="AM3356" t="str">
        <f t="shared" ca="1" si="334"/>
        <v/>
      </c>
    </row>
    <row r="3357" spans="27:39" x14ac:dyDescent="0.3">
      <c r="AA3357" t="str">
        <f>IF(COUNTA('Procyclean 600'!B359,'Procyclean 600'!C359,'Procyclean 600'!D359)&gt;0,"600","")</f>
        <v/>
      </c>
      <c r="AB3357" t="str">
        <f>IFERROR(IF(ISNUMBER('Procyclean 600'!B359),'Procyclean 600'!B359,DATEVALUE('Procyclean 600'!B359)),"")</f>
        <v/>
      </c>
      <c r="AC3357" t="str">
        <f>IF(AA3357="","",'Procyclean 600'!C359)</f>
        <v/>
      </c>
      <c r="AD3357" t="str">
        <f>IF(AA3357="","",IFERROR(1*'Procyclean 600'!D359,IFERROR(_xludf.NUMBERVALUE('Procyclean 600'!D359,".",","),IFERROR(_xludf.NUMBERVALUE('Procyclean 600'!D359,",","."),0))))</f>
        <v/>
      </c>
      <c r="AE3357" t="str">
        <f>IF(AA3357="","",'Procyclean 600'!K359)</f>
        <v/>
      </c>
      <c r="AF3357">
        <f t="shared" si="329"/>
        <v>0</v>
      </c>
      <c r="AG3357" t="str">
        <f t="shared" si="330"/>
        <v/>
      </c>
      <c r="AH3357" t="str">
        <f t="shared" si="331"/>
        <v/>
      </c>
      <c r="AI3357">
        <f t="shared" si="332"/>
        <v>0</v>
      </c>
      <c r="AJ3357">
        <f t="shared" si="333"/>
        <v>0</v>
      </c>
      <c r="AK3357">
        <v>0</v>
      </c>
      <c r="AL3357" t="str">
        <f>IF(AA3357="","",IFERROR(IF(ISNUMBER('Procyclean 600'!E359),'Procyclean 600'!E359,IF(ISNUMBER(SEARCH("12",'Procyclean 600'!E359)),EDATE(AB3357,12),IF(ISNUMBER(SEARCH("6",'Procyclean 600'!E359)),EDATE(AB3357,6),IF(ISNUMBER(SEARCH("3",'Procyclean 600'!E359)),EDATE(AB3357,3),DATEVALUE('Procyclean 600'!E359))))),""))</f>
        <v/>
      </c>
      <c r="AM3357" t="str">
        <f t="shared" ca="1" si="334"/>
        <v/>
      </c>
    </row>
    <row r="3358" spans="27:39" x14ac:dyDescent="0.3">
      <c r="AA3358" t="str">
        <f>IF(COUNTA('Procyclean 600'!B360,'Procyclean 600'!C360,'Procyclean 600'!D360)&gt;0,"600","")</f>
        <v/>
      </c>
      <c r="AB3358" t="str">
        <f>IFERROR(IF(ISNUMBER('Procyclean 600'!B360),'Procyclean 600'!B360,DATEVALUE('Procyclean 600'!B360)),"")</f>
        <v/>
      </c>
      <c r="AC3358" t="str">
        <f>IF(AA3358="","",'Procyclean 600'!C360)</f>
        <v/>
      </c>
      <c r="AD3358" t="str">
        <f>IF(AA3358="","",IFERROR(1*'Procyclean 600'!D360,IFERROR(_xludf.NUMBERVALUE('Procyclean 600'!D360,".",","),IFERROR(_xludf.NUMBERVALUE('Procyclean 600'!D360,",","."),0))))</f>
        <v/>
      </c>
      <c r="AE3358" t="str">
        <f>IF(AA3358="","",'Procyclean 600'!K360)</f>
        <v/>
      </c>
      <c r="AF3358">
        <f t="shared" si="329"/>
        <v>0</v>
      </c>
      <c r="AG3358" t="str">
        <f t="shared" si="330"/>
        <v/>
      </c>
      <c r="AH3358" t="str">
        <f t="shared" si="331"/>
        <v/>
      </c>
      <c r="AI3358">
        <f t="shared" si="332"/>
        <v>0</v>
      </c>
      <c r="AJ3358">
        <f t="shared" si="333"/>
        <v>0</v>
      </c>
      <c r="AK3358">
        <v>0</v>
      </c>
      <c r="AL3358" t="str">
        <f>IF(AA3358="","",IFERROR(IF(ISNUMBER('Procyclean 600'!E360),'Procyclean 600'!E360,IF(ISNUMBER(SEARCH("12",'Procyclean 600'!E360)),EDATE(AB3358,12),IF(ISNUMBER(SEARCH("6",'Procyclean 600'!E360)),EDATE(AB3358,6),IF(ISNUMBER(SEARCH("3",'Procyclean 600'!E360)),EDATE(AB3358,3),DATEVALUE('Procyclean 600'!E360))))),""))</f>
        <v/>
      </c>
      <c r="AM3358" t="str">
        <f t="shared" ca="1" si="334"/>
        <v/>
      </c>
    </row>
    <row r="3359" spans="27:39" x14ac:dyDescent="0.3">
      <c r="AA3359" t="str">
        <f>IF(COUNTA('Procyclean 600'!B361,'Procyclean 600'!C361,'Procyclean 600'!D361)&gt;0,"600","")</f>
        <v/>
      </c>
      <c r="AB3359" t="str">
        <f>IFERROR(IF(ISNUMBER('Procyclean 600'!B361),'Procyclean 600'!B361,DATEVALUE('Procyclean 600'!B361)),"")</f>
        <v/>
      </c>
      <c r="AC3359" t="str">
        <f>IF(AA3359="","",'Procyclean 600'!C361)</f>
        <v/>
      </c>
      <c r="AD3359" t="str">
        <f>IF(AA3359="","",IFERROR(1*'Procyclean 600'!D361,IFERROR(_xludf.NUMBERVALUE('Procyclean 600'!D361,".",","),IFERROR(_xludf.NUMBERVALUE('Procyclean 600'!D361,",","."),0))))</f>
        <v/>
      </c>
      <c r="AE3359" t="str">
        <f>IF(AA3359="","",'Procyclean 600'!K361)</f>
        <v/>
      </c>
      <c r="AF3359">
        <f t="shared" si="329"/>
        <v>0</v>
      </c>
      <c r="AG3359" t="str">
        <f t="shared" si="330"/>
        <v/>
      </c>
      <c r="AH3359" t="str">
        <f t="shared" si="331"/>
        <v/>
      </c>
      <c r="AI3359">
        <f t="shared" si="332"/>
        <v>0</v>
      </c>
      <c r="AJ3359">
        <f t="shared" si="333"/>
        <v>0</v>
      </c>
      <c r="AK3359">
        <v>0</v>
      </c>
      <c r="AL3359" t="str">
        <f>IF(AA3359="","",IFERROR(IF(ISNUMBER('Procyclean 600'!E361),'Procyclean 600'!E361,IF(ISNUMBER(SEARCH("12",'Procyclean 600'!E361)),EDATE(AB3359,12),IF(ISNUMBER(SEARCH("6",'Procyclean 600'!E361)),EDATE(AB3359,6),IF(ISNUMBER(SEARCH("3",'Procyclean 600'!E361)),EDATE(AB3359,3),DATEVALUE('Procyclean 600'!E361))))),""))</f>
        <v/>
      </c>
      <c r="AM3359" t="str">
        <f t="shared" ca="1" si="334"/>
        <v/>
      </c>
    </row>
    <row r="3360" spans="27:39" x14ac:dyDescent="0.3">
      <c r="AA3360" t="str">
        <f>IF(COUNTA('Procyclean 600'!B362,'Procyclean 600'!C362,'Procyclean 600'!D362)&gt;0,"600","")</f>
        <v/>
      </c>
      <c r="AB3360" t="str">
        <f>IFERROR(IF(ISNUMBER('Procyclean 600'!B362),'Procyclean 600'!B362,DATEVALUE('Procyclean 600'!B362)),"")</f>
        <v/>
      </c>
      <c r="AC3360" t="str">
        <f>IF(AA3360="","",'Procyclean 600'!C362)</f>
        <v/>
      </c>
      <c r="AD3360" t="str">
        <f>IF(AA3360="","",IFERROR(1*'Procyclean 600'!D362,IFERROR(_xludf.NUMBERVALUE('Procyclean 600'!D362,".",","),IFERROR(_xludf.NUMBERVALUE('Procyclean 600'!D362,",","."),0))))</f>
        <v/>
      </c>
      <c r="AE3360" t="str">
        <f>IF(AA3360="","",'Procyclean 600'!K362)</f>
        <v/>
      </c>
      <c r="AF3360">
        <f t="shared" si="329"/>
        <v>0</v>
      </c>
      <c r="AG3360" t="str">
        <f t="shared" si="330"/>
        <v/>
      </c>
      <c r="AH3360" t="str">
        <f t="shared" si="331"/>
        <v/>
      </c>
      <c r="AI3360">
        <f t="shared" si="332"/>
        <v>0</v>
      </c>
      <c r="AJ3360">
        <f t="shared" si="333"/>
        <v>0</v>
      </c>
      <c r="AK3360">
        <v>0</v>
      </c>
      <c r="AL3360" t="str">
        <f>IF(AA3360="","",IFERROR(IF(ISNUMBER('Procyclean 600'!E362),'Procyclean 600'!E362,IF(ISNUMBER(SEARCH("12",'Procyclean 600'!E362)),EDATE(AB3360,12),IF(ISNUMBER(SEARCH("6",'Procyclean 600'!E362)),EDATE(AB3360,6),IF(ISNUMBER(SEARCH("3",'Procyclean 600'!E362)),EDATE(AB3360,3),DATEVALUE('Procyclean 600'!E362))))),""))</f>
        <v/>
      </c>
      <c r="AM3360" t="str">
        <f t="shared" ca="1" si="334"/>
        <v/>
      </c>
    </row>
    <row r="3361" spans="27:39" x14ac:dyDescent="0.3">
      <c r="AA3361" t="str">
        <f>IF(COUNTA('Procyclean 600'!B363,'Procyclean 600'!C363,'Procyclean 600'!D363)&gt;0,"600","")</f>
        <v/>
      </c>
      <c r="AB3361" t="str">
        <f>IFERROR(IF(ISNUMBER('Procyclean 600'!B363),'Procyclean 600'!B363,DATEVALUE('Procyclean 600'!B363)),"")</f>
        <v/>
      </c>
      <c r="AC3361" t="str">
        <f>IF(AA3361="","",'Procyclean 600'!C363)</f>
        <v/>
      </c>
      <c r="AD3361" t="str">
        <f>IF(AA3361="","",IFERROR(1*'Procyclean 600'!D363,IFERROR(_xludf.NUMBERVALUE('Procyclean 600'!D363,".",","),IFERROR(_xludf.NUMBERVALUE('Procyclean 600'!D363,",","."),0))))</f>
        <v/>
      </c>
      <c r="AE3361" t="str">
        <f>IF(AA3361="","",'Procyclean 600'!K363)</f>
        <v/>
      </c>
      <c r="AF3361">
        <f t="shared" si="329"/>
        <v>0</v>
      </c>
      <c r="AG3361" t="str">
        <f t="shared" si="330"/>
        <v/>
      </c>
      <c r="AH3361" t="str">
        <f t="shared" si="331"/>
        <v/>
      </c>
      <c r="AI3361">
        <f t="shared" si="332"/>
        <v>0</v>
      </c>
      <c r="AJ3361">
        <f t="shared" si="333"/>
        <v>0</v>
      </c>
      <c r="AK3361">
        <v>0</v>
      </c>
      <c r="AL3361" t="str">
        <f>IF(AA3361="","",IFERROR(IF(ISNUMBER('Procyclean 600'!E363),'Procyclean 600'!E363,IF(ISNUMBER(SEARCH("12",'Procyclean 600'!E363)),EDATE(AB3361,12),IF(ISNUMBER(SEARCH("6",'Procyclean 600'!E363)),EDATE(AB3361,6),IF(ISNUMBER(SEARCH("3",'Procyclean 600'!E363)),EDATE(AB3361,3),DATEVALUE('Procyclean 600'!E363))))),""))</f>
        <v/>
      </c>
      <c r="AM3361" t="str">
        <f t="shared" ca="1" si="334"/>
        <v/>
      </c>
    </row>
    <row r="3362" spans="27:39" x14ac:dyDescent="0.3">
      <c r="AA3362" t="str">
        <f>IF(COUNTA('Procyclean 600'!B364,'Procyclean 600'!C364,'Procyclean 600'!D364)&gt;0,"600","")</f>
        <v/>
      </c>
      <c r="AB3362" t="str">
        <f>IFERROR(IF(ISNUMBER('Procyclean 600'!B364),'Procyclean 600'!B364,DATEVALUE('Procyclean 600'!B364)),"")</f>
        <v/>
      </c>
      <c r="AC3362" t="str">
        <f>IF(AA3362="","",'Procyclean 600'!C364)</f>
        <v/>
      </c>
      <c r="AD3362" t="str">
        <f>IF(AA3362="","",IFERROR(1*'Procyclean 600'!D364,IFERROR(_xludf.NUMBERVALUE('Procyclean 600'!D364,".",","),IFERROR(_xludf.NUMBERVALUE('Procyclean 600'!D364,",","."),0))))</f>
        <v/>
      </c>
      <c r="AE3362" t="str">
        <f>IF(AA3362="","",'Procyclean 600'!K364)</f>
        <v/>
      </c>
      <c r="AF3362">
        <f t="shared" si="329"/>
        <v>0</v>
      </c>
      <c r="AG3362" t="str">
        <f t="shared" si="330"/>
        <v/>
      </c>
      <c r="AH3362" t="str">
        <f t="shared" si="331"/>
        <v/>
      </c>
      <c r="AI3362">
        <f t="shared" si="332"/>
        <v>0</v>
      </c>
      <c r="AJ3362">
        <f t="shared" si="333"/>
        <v>0</v>
      </c>
      <c r="AK3362">
        <v>0</v>
      </c>
      <c r="AL3362" t="str">
        <f>IF(AA3362="","",IFERROR(IF(ISNUMBER('Procyclean 600'!E364),'Procyclean 600'!E364,IF(ISNUMBER(SEARCH("12",'Procyclean 600'!E364)),EDATE(AB3362,12),IF(ISNUMBER(SEARCH("6",'Procyclean 600'!E364)),EDATE(AB3362,6),IF(ISNUMBER(SEARCH("3",'Procyclean 600'!E364)),EDATE(AB3362,3),DATEVALUE('Procyclean 600'!E364))))),""))</f>
        <v/>
      </c>
      <c r="AM3362" t="str">
        <f t="shared" ca="1" si="334"/>
        <v/>
      </c>
    </row>
    <row r="3363" spans="27:39" x14ac:dyDescent="0.3">
      <c r="AA3363" t="str">
        <f>IF(COUNTA('Procyclean 600'!B365,'Procyclean 600'!C365,'Procyclean 600'!D365)&gt;0,"600","")</f>
        <v/>
      </c>
      <c r="AB3363" t="str">
        <f>IFERROR(IF(ISNUMBER('Procyclean 600'!B365),'Procyclean 600'!B365,DATEVALUE('Procyclean 600'!B365)),"")</f>
        <v/>
      </c>
      <c r="AC3363" t="str">
        <f>IF(AA3363="","",'Procyclean 600'!C365)</f>
        <v/>
      </c>
      <c r="AD3363" t="str">
        <f>IF(AA3363="","",IFERROR(1*'Procyclean 600'!D365,IFERROR(_xludf.NUMBERVALUE('Procyclean 600'!D365,".",","),IFERROR(_xludf.NUMBERVALUE('Procyclean 600'!D365,",","."),0))))</f>
        <v/>
      </c>
      <c r="AE3363" t="str">
        <f>IF(AA3363="","",'Procyclean 600'!K365)</f>
        <v/>
      </c>
      <c r="AF3363">
        <f t="shared" si="329"/>
        <v>0</v>
      </c>
      <c r="AG3363" t="str">
        <f t="shared" si="330"/>
        <v/>
      </c>
      <c r="AH3363" t="str">
        <f t="shared" si="331"/>
        <v/>
      </c>
      <c r="AI3363">
        <f t="shared" si="332"/>
        <v>0</v>
      </c>
      <c r="AJ3363">
        <f t="shared" si="333"/>
        <v>0</v>
      </c>
      <c r="AK3363">
        <v>0</v>
      </c>
      <c r="AL3363" t="str">
        <f>IF(AA3363="","",IFERROR(IF(ISNUMBER('Procyclean 600'!E365),'Procyclean 600'!E365,IF(ISNUMBER(SEARCH("12",'Procyclean 600'!E365)),EDATE(AB3363,12),IF(ISNUMBER(SEARCH("6",'Procyclean 600'!E365)),EDATE(AB3363,6),IF(ISNUMBER(SEARCH("3",'Procyclean 600'!E365)),EDATE(AB3363,3),DATEVALUE('Procyclean 600'!E365))))),""))</f>
        <v/>
      </c>
      <c r="AM3363" t="str">
        <f t="shared" ca="1" si="334"/>
        <v/>
      </c>
    </row>
    <row r="3364" spans="27:39" x14ac:dyDescent="0.3">
      <c r="AA3364" t="str">
        <f>IF(COUNTA('Procyclean 600'!B366,'Procyclean 600'!C366,'Procyclean 600'!D366)&gt;0,"600","")</f>
        <v/>
      </c>
      <c r="AB3364" t="str">
        <f>IFERROR(IF(ISNUMBER('Procyclean 600'!B366),'Procyclean 600'!B366,DATEVALUE('Procyclean 600'!B366)),"")</f>
        <v/>
      </c>
      <c r="AC3364" t="str">
        <f>IF(AA3364="","",'Procyclean 600'!C366)</f>
        <v/>
      </c>
      <c r="AD3364" t="str">
        <f>IF(AA3364="","",IFERROR(1*'Procyclean 600'!D366,IFERROR(_xludf.NUMBERVALUE('Procyclean 600'!D366,".",","),IFERROR(_xludf.NUMBERVALUE('Procyclean 600'!D366,",","."),0))))</f>
        <v/>
      </c>
      <c r="AE3364" t="str">
        <f>IF(AA3364="","",'Procyclean 600'!K366)</f>
        <v/>
      </c>
      <c r="AF3364">
        <f t="shared" si="329"/>
        <v>0</v>
      </c>
      <c r="AG3364" t="str">
        <f t="shared" si="330"/>
        <v/>
      </c>
      <c r="AH3364" t="str">
        <f t="shared" si="331"/>
        <v/>
      </c>
      <c r="AI3364">
        <f t="shared" si="332"/>
        <v>0</v>
      </c>
      <c r="AJ3364">
        <f t="shared" si="333"/>
        <v>0</v>
      </c>
      <c r="AK3364">
        <v>0</v>
      </c>
      <c r="AL3364" t="str">
        <f>IF(AA3364="","",IFERROR(IF(ISNUMBER('Procyclean 600'!E366),'Procyclean 600'!E366,IF(ISNUMBER(SEARCH("12",'Procyclean 600'!E366)),EDATE(AB3364,12),IF(ISNUMBER(SEARCH("6",'Procyclean 600'!E366)),EDATE(AB3364,6),IF(ISNUMBER(SEARCH("3",'Procyclean 600'!E366)),EDATE(AB3364,3),DATEVALUE('Procyclean 600'!E366))))),""))</f>
        <v/>
      </c>
      <c r="AM3364" t="str">
        <f t="shared" ca="1" si="334"/>
        <v/>
      </c>
    </row>
    <row r="3365" spans="27:39" x14ac:dyDescent="0.3">
      <c r="AA3365" t="str">
        <f>IF(COUNTA('Procyclean 600'!B367,'Procyclean 600'!C367,'Procyclean 600'!D367)&gt;0,"600","")</f>
        <v/>
      </c>
      <c r="AB3365" t="str">
        <f>IFERROR(IF(ISNUMBER('Procyclean 600'!B367),'Procyclean 600'!B367,DATEVALUE('Procyclean 600'!B367)),"")</f>
        <v/>
      </c>
      <c r="AC3365" t="str">
        <f>IF(AA3365="","",'Procyclean 600'!C367)</f>
        <v/>
      </c>
      <c r="AD3365" t="str">
        <f>IF(AA3365="","",IFERROR(1*'Procyclean 600'!D367,IFERROR(_xludf.NUMBERVALUE('Procyclean 600'!D367,".",","),IFERROR(_xludf.NUMBERVALUE('Procyclean 600'!D367,",","."),0))))</f>
        <v/>
      </c>
      <c r="AE3365" t="str">
        <f>IF(AA3365="","",'Procyclean 600'!K367)</f>
        <v/>
      </c>
      <c r="AF3365">
        <f t="shared" si="329"/>
        <v>0</v>
      </c>
      <c r="AG3365" t="str">
        <f t="shared" si="330"/>
        <v/>
      </c>
      <c r="AH3365" t="str">
        <f t="shared" si="331"/>
        <v/>
      </c>
      <c r="AI3365">
        <f t="shared" si="332"/>
        <v>0</v>
      </c>
      <c r="AJ3365">
        <f t="shared" si="333"/>
        <v>0</v>
      </c>
      <c r="AK3365">
        <v>0</v>
      </c>
      <c r="AL3365" t="str">
        <f>IF(AA3365="","",IFERROR(IF(ISNUMBER('Procyclean 600'!E367),'Procyclean 600'!E367,IF(ISNUMBER(SEARCH("12",'Procyclean 600'!E367)),EDATE(AB3365,12),IF(ISNUMBER(SEARCH("6",'Procyclean 600'!E367)),EDATE(AB3365,6),IF(ISNUMBER(SEARCH("3",'Procyclean 600'!E367)),EDATE(AB3365,3),DATEVALUE('Procyclean 600'!E367))))),""))</f>
        <v/>
      </c>
      <c r="AM3365" t="str">
        <f t="shared" ca="1" si="334"/>
        <v/>
      </c>
    </row>
    <row r="3366" spans="27:39" x14ac:dyDescent="0.3">
      <c r="AA3366" t="str">
        <f>IF(COUNTA('Procyclean 600'!B368,'Procyclean 600'!C368,'Procyclean 600'!D368)&gt;0,"600","")</f>
        <v/>
      </c>
      <c r="AB3366" t="str">
        <f>IFERROR(IF(ISNUMBER('Procyclean 600'!B368),'Procyclean 600'!B368,DATEVALUE('Procyclean 600'!B368)),"")</f>
        <v/>
      </c>
      <c r="AC3366" t="str">
        <f>IF(AA3366="","",'Procyclean 600'!C368)</f>
        <v/>
      </c>
      <c r="AD3366" t="str">
        <f>IF(AA3366="","",IFERROR(1*'Procyclean 600'!D368,IFERROR(_xludf.NUMBERVALUE('Procyclean 600'!D368,".",","),IFERROR(_xludf.NUMBERVALUE('Procyclean 600'!D368,",","."),0))))</f>
        <v/>
      </c>
      <c r="AE3366" t="str">
        <f>IF(AA3366="","",'Procyclean 600'!K368)</f>
        <v/>
      </c>
      <c r="AF3366">
        <f t="shared" si="329"/>
        <v>0</v>
      </c>
      <c r="AG3366" t="str">
        <f t="shared" si="330"/>
        <v/>
      </c>
      <c r="AH3366" t="str">
        <f t="shared" si="331"/>
        <v/>
      </c>
      <c r="AI3366">
        <f t="shared" si="332"/>
        <v>0</v>
      </c>
      <c r="AJ3366">
        <f t="shared" si="333"/>
        <v>0</v>
      </c>
      <c r="AK3366">
        <v>0</v>
      </c>
      <c r="AL3366" t="str">
        <f>IF(AA3366="","",IFERROR(IF(ISNUMBER('Procyclean 600'!E368),'Procyclean 600'!E368,IF(ISNUMBER(SEARCH("12",'Procyclean 600'!E368)),EDATE(AB3366,12),IF(ISNUMBER(SEARCH("6",'Procyclean 600'!E368)),EDATE(AB3366,6),IF(ISNUMBER(SEARCH("3",'Procyclean 600'!E368)),EDATE(AB3366,3),DATEVALUE('Procyclean 600'!E368))))),""))</f>
        <v/>
      </c>
      <c r="AM3366" t="str">
        <f t="shared" ca="1" si="334"/>
        <v/>
      </c>
    </row>
    <row r="3367" spans="27:39" x14ac:dyDescent="0.3">
      <c r="AA3367" t="str">
        <f>IF(COUNTA('Procyclean 600'!B369,'Procyclean 600'!C369,'Procyclean 600'!D369)&gt;0,"600","")</f>
        <v/>
      </c>
      <c r="AB3367" t="str">
        <f>IFERROR(IF(ISNUMBER('Procyclean 600'!B369),'Procyclean 600'!B369,DATEVALUE('Procyclean 600'!B369)),"")</f>
        <v/>
      </c>
      <c r="AC3367" t="str">
        <f>IF(AA3367="","",'Procyclean 600'!C369)</f>
        <v/>
      </c>
      <c r="AD3367" t="str">
        <f>IF(AA3367="","",IFERROR(1*'Procyclean 600'!D369,IFERROR(_xludf.NUMBERVALUE('Procyclean 600'!D369,".",","),IFERROR(_xludf.NUMBERVALUE('Procyclean 600'!D369,",","."),0))))</f>
        <v/>
      </c>
      <c r="AE3367" t="str">
        <f>IF(AA3367="","",'Procyclean 600'!K369)</f>
        <v/>
      </c>
      <c r="AF3367">
        <f t="shared" si="329"/>
        <v>0</v>
      </c>
      <c r="AG3367" t="str">
        <f t="shared" si="330"/>
        <v/>
      </c>
      <c r="AH3367" t="str">
        <f t="shared" si="331"/>
        <v/>
      </c>
      <c r="AI3367">
        <f t="shared" si="332"/>
        <v>0</v>
      </c>
      <c r="AJ3367">
        <f t="shared" si="333"/>
        <v>0</v>
      </c>
      <c r="AK3367">
        <v>0</v>
      </c>
      <c r="AL3367" t="str">
        <f>IF(AA3367="","",IFERROR(IF(ISNUMBER('Procyclean 600'!E369),'Procyclean 600'!E369,IF(ISNUMBER(SEARCH("12",'Procyclean 600'!E369)),EDATE(AB3367,12),IF(ISNUMBER(SEARCH("6",'Procyclean 600'!E369)),EDATE(AB3367,6),IF(ISNUMBER(SEARCH("3",'Procyclean 600'!E369)),EDATE(AB3367,3),DATEVALUE('Procyclean 600'!E369))))),""))</f>
        <v/>
      </c>
      <c r="AM3367" t="str">
        <f t="shared" ca="1" si="334"/>
        <v/>
      </c>
    </row>
    <row r="3368" spans="27:39" x14ac:dyDescent="0.3">
      <c r="AA3368" t="str">
        <f>IF(COUNTA('Procyclean 600'!B370,'Procyclean 600'!C370,'Procyclean 600'!D370)&gt;0,"600","")</f>
        <v/>
      </c>
      <c r="AB3368" t="str">
        <f>IFERROR(IF(ISNUMBER('Procyclean 600'!B370),'Procyclean 600'!B370,DATEVALUE('Procyclean 600'!B370)),"")</f>
        <v/>
      </c>
      <c r="AC3368" t="str">
        <f>IF(AA3368="","",'Procyclean 600'!C370)</f>
        <v/>
      </c>
      <c r="AD3368" t="str">
        <f>IF(AA3368="","",IFERROR(1*'Procyclean 600'!D370,IFERROR(_xludf.NUMBERVALUE('Procyclean 600'!D370,".",","),IFERROR(_xludf.NUMBERVALUE('Procyclean 600'!D370,",","."),0))))</f>
        <v/>
      </c>
      <c r="AE3368" t="str">
        <f>IF(AA3368="","",'Procyclean 600'!K370)</f>
        <v/>
      </c>
      <c r="AF3368">
        <f t="shared" si="329"/>
        <v>0</v>
      </c>
      <c r="AG3368" t="str">
        <f t="shared" si="330"/>
        <v/>
      </c>
      <c r="AH3368" t="str">
        <f t="shared" si="331"/>
        <v/>
      </c>
      <c r="AI3368">
        <f t="shared" si="332"/>
        <v>0</v>
      </c>
      <c r="AJ3368">
        <f t="shared" si="333"/>
        <v>0</v>
      </c>
      <c r="AK3368">
        <v>0</v>
      </c>
      <c r="AL3368" t="str">
        <f>IF(AA3368="","",IFERROR(IF(ISNUMBER('Procyclean 600'!E370),'Procyclean 600'!E370,IF(ISNUMBER(SEARCH("12",'Procyclean 600'!E370)),EDATE(AB3368,12),IF(ISNUMBER(SEARCH("6",'Procyclean 600'!E370)),EDATE(AB3368,6),IF(ISNUMBER(SEARCH("3",'Procyclean 600'!E370)),EDATE(AB3368,3),DATEVALUE('Procyclean 600'!E370))))),""))</f>
        <v/>
      </c>
      <c r="AM3368" t="str">
        <f t="shared" ca="1" si="334"/>
        <v/>
      </c>
    </row>
    <row r="3369" spans="27:39" x14ac:dyDescent="0.3">
      <c r="AA3369" t="str">
        <f>IF(COUNTA('Procyclean 600'!B371,'Procyclean 600'!C371,'Procyclean 600'!D371)&gt;0,"600","")</f>
        <v/>
      </c>
      <c r="AB3369" t="str">
        <f>IFERROR(IF(ISNUMBER('Procyclean 600'!B371),'Procyclean 600'!B371,DATEVALUE('Procyclean 600'!B371)),"")</f>
        <v/>
      </c>
      <c r="AC3369" t="str">
        <f>IF(AA3369="","",'Procyclean 600'!C371)</f>
        <v/>
      </c>
      <c r="AD3369" t="str">
        <f>IF(AA3369="","",IFERROR(1*'Procyclean 600'!D371,IFERROR(_xludf.NUMBERVALUE('Procyclean 600'!D371,".",","),IFERROR(_xludf.NUMBERVALUE('Procyclean 600'!D371,",","."),0))))</f>
        <v/>
      </c>
      <c r="AE3369" t="str">
        <f>IF(AA3369="","",'Procyclean 600'!K371)</f>
        <v/>
      </c>
      <c r="AF3369">
        <f t="shared" si="329"/>
        <v>0</v>
      </c>
      <c r="AG3369" t="str">
        <f t="shared" si="330"/>
        <v/>
      </c>
      <c r="AH3369" t="str">
        <f t="shared" si="331"/>
        <v/>
      </c>
      <c r="AI3369">
        <f t="shared" si="332"/>
        <v>0</v>
      </c>
      <c r="AJ3369">
        <f t="shared" si="333"/>
        <v>0</v>
      </c>
      <c r="AK3369">
        <v>0</v>
      </c>
      <c r="AL3369" t="str">
        <f>IF(AA3369="","",IFERROR(IF(ISNUMBER('Procyclean 600'!E371),'Procyclean 600'!E371,IF(ISNUMBER(SEARCH("12",'Procyclean 600'!E371)),EDATE(AB3369,12),IF(ISNUMBER(SEARCH("6",'Procyclean 600'!E371)),EDATE(AB3369,6),IF(ISNUMBER(SEARCH("3",'Procyclean 600'!E371)),EDATE(AB3369,3),DATEVALUE('Procyclean 600'!E371))))),""))</f>
        <v/>
      </c>
      <c r="AM3369" t="str">
        <f t="shared" ca="1" si="334"/>
        <v/>
      </c>
    </row>
    <row r="3370" spans="27:39" x14ac:dyDescent="0.3">
      <c r="AA3370" t="str">
        <f>IF(COUNTA('Procyclean 600'!B372,'Procyclean 600'!C372,'Procyclean 600'!D372)&gt;0,"600","")</f>
        <v/>
      </c>
      <c r="AB3370" t="str">
        <f>IFERROR(IF(ISNUMBER('Procyclean 600'!B372),'Procyclean 600'!B372,DATEVALUE('Procyclean 600'!B372)),"")</f>
        <v/>
      </c>
      <c r="AC3370" t="str">
        <f>IF(AA3370="","",'Procyclean 600'!C372)</f>
        <v/>
      </c>
      <c r="AD3370" t="str">
        <f>IF(AA3370="","",IFERROR(1*'Procyclean 600'!D372,IFERROR(_xludf.NUMBERVALUE('Procyclean 600'!D372,".",","),IFERROR(_xludf.NUMBERVALUE('Procyclean 600'!D372,",","."),0))))</f>
        <v/>
      </c>
      <c r="AE3370" t="str">
        <f>IF(AA3370="","",'Procyclean 600'!K372)</f>
        <v/>
      </c>
      <c r="AF3370">
        <f t="shared" si="329"/>
        <v>0</v>
      </c>
      <c r="AG3370" t="str">
        <f t="shared" si="330"/>
        <v/>
      </c>
      <c r="AH3370" t="str">
        <f t="shared" si="331"/>
        <v/>
      </c>
      <c r="AI3370">
        <f t="shared" si="332"/>
        <v>0</v>
      </c>
      <c r="AJ3370">
        <f t="shared" si="333"/>
        <v>0</v>
      </c>
      <c r="AK3370">
        <v>0</v>
      </c>
      <c r="AL3370" t="str">
        <f>IF(AA3370="","",IFERROR(IF(ISNUMBER('Procyclean 600'!E372),'Procyclean 600'!E372,IF(ISNUMBER(SEARCH("12",'Procyclean 600'!E372)),EDATE(AB3370,12),IF(ISNUMBER(SEARCH("6",'Procyclean 600'!E372)),EDATE(AB3370,6),IF(ISNUMBER(SEARCH("3",'Procyclean 600'!E372)),EDATE(AB3370,3),DATEVALUE('Procyclean 600'!E372))))),""))</f>
        <v/>
      </c>
      <c r="AM3370" t="str">
        <f t="shared" ca="1" si="334"/>
        <v/>
      </c>
    </row>
    <row r="3371" spans="27:39" x14ac:dyDescent="0.3">
      <c r="AA3371" t="str">
        <f>IF(COUNTA('Procyclean 600'!B373,'Procyclean 600'!C373,'Procyclean 600'!D373)&gt;0,"600","")</f>
        <v/>
      </c>
      <c r="AB3371" t="str">
        <f>IFERROR(IF(ISNUMBER('Procyclean 600'!B373),'Procyclean 600'!B373,DATEVALUE('Procyclean 600'!B373)),"")</f>
        <v/>
      </c>
      <c r="AC3371" t="str">
        <f>IF(AA3371="","",'Procyclean 600'!C373)</f>
        <v/>
      </c>
      <c r="AD3371" t="str">
        <f>IF(AA3371="","",IFERROR(1*'Procyclean 600'!D373,IFERROR(_xludf.NUMBERVALUE('Procyclean 600'!D373,".",","),IFERROR(_xludf.NUMBERVALUE('Procyclean 600'!D373,",","."),0))))</f>
        <v/>
      </c>
      <c r="AE3371" t="str">
        <f>IF(AA3371="","",'Procyclean 600'!K373)</f>
        <v/>
      </c>
      <c r="AF3371">
        <f t="shared" si="329"/>
        <v>0</v>
      </c>
      <c r="AG3371" t="str">
        <f t="shared" si="330"/>
        <v/>
      </c>
      <c r="AH3371" t="str">
        <f t="shared" si="331"/>
        <v/>
      </c>
      <c r="AI3371">
        <f t="shared" si="332"/>
        <v>0</v>
      </c>
      <c r="AJ3371">
        <f t="shared" si="333"/>
        <v>0</v>
      </c>
      <c r="AK3371">
        <v>0</v>
      </c>
      <c r="AL3371" t="str">
        <f>IF(AA3371="","",IFERROR(IF(ISNUMBER('Procyclean 600'!E373),'Procyclean 600'!E373,IF(ISNUMBER(SEARCH("12",'Procyclean 600'!E373)),EDATE(AB3371,12),IF(ISNUMBER(SEARCH("6",'Procyclean 600'!E373)),EDATE(AB3371,6),IF(ISNUMBER(SEARCH("3",'Procyclean 600'!E373)),EDATE(AB3371,3),DATEVALUE('Procyclean 600'!E373))))),""))</f>
        <v/>
      </c>
      <c r="AM3371" t="str">
        <f t="shared" ca="1" si="334"/>
        <v/>
      </c>
    </row>
    <row r="3372" spans="27:39" x14ac:dyDescent="0.3">
      <c r="AA3372" t="str">
        <f>IF(COUNTA('Procyclean 600'!B374,'Procyclean 600'!C374,'Procyclean 600'!D374)&gt;0,"600","")</f>
        <v/>
      </c>
      <c r="AB3372" t="str">
        <f>IFERROR(IF(ISNUMBER('Procyclean 600'!B374),'Procyclean 600'!B374,DATEVALUE('Procyclean 600'!B374)),"")</f>
        <v/>
      </c>
      <c r="AC3372" t="str">
        <f>IF(AA3372="","",'Procyclean 600'!C374)</f>
        <v/>
      </c>
      <c r="AD3372" t="str">
        <f>IF(AA3372="","",IFERROR(1*'Procyclean 600'!D374,IFERROR(_xludf.NUMBERVALUE('Procyclean 600'!D374,".",","),IFERROR(_xludf.NUMBERVALUE('Procyclean 600'!D374,",","."),0))))</f>
        <v/>
      </c>
      <c r="AE3372" t="str">
        <f>IF(AA3372="","",'Procyclean 600'!K374)</f>
        <v/>
      </c>
      <c r="AF3372">
        <f t="shared" si="329"/>
        <v>0</v>
      </c>
      <c r="AG3372" t="str">
        <f t="shared" si="330"/>
        <v/>
      </c>
      <c r="AH3372" t="str">
        <f t="shared" si="331"/>
        <v/>
      </c>
      <c r="AI3372">
        <f t="shared" si="332"/>
        <v>0</v>
      </c>
      <c r="AJ3372">
        <f t="shared" si="333"/>
        <v>0</v>
      </c>
      <c r="AK3372">
        <v>0</v>
      </c>
      <c r="AL3372" t="str">
        <f>IF(AA3372="","",IFERROR(IF(ISNUMBER('Procyclean 600'!E374),'Procyclean 600'!E374,IF(ISNUMBER(SEARCH("12",'Procyclean 600'!E374)),EDATE(AB3372,12),IF(ISNUMBER(SEARCH("6",'Procyclean 600'!E374)),EDATE(AB3372,6),IF(ISNUMBER(SEARCH("3",'Procyclean 600'!E374)),EDATE(AB3372,3),DATEVALUE('Procyclean 600'!E374))))),""))</f>
        <v/>
      </c>
      <c r="AM3372" t="str">
        <f t="shared" ca="1" si="334"/>
        <v/>
      </c>
    </row>
    <row r="3373" spans="27:39" x14ac:dyDescent="0.3">
      <c r="AA3373" t="str">
        <f>IF(COUNTA('Procyclean 600'!B375,'Procyclean 600'!C375,'Procyclean 600'!D375)&gt;0,"600","")</f>
        <v/>
      </c>
      <c r="AB3373" t="str">
        <f>IFERROR(IF(ISNUMBER('Procyclean 600'!B375),'Procyclean 600'!B375,DATEVALUE('Procyclean 600'!B375)),"")</f>
        <v/>
      </c>
      <c r="AC3373" t="str">
        <f>IF(AA3373="","",'Procyclean 600'!C375)</f>
        <v/>
      </c>
      <c r="AD3373" t="str">
        <f>IF(AA3373="","",IFERROR(1*'Procyclean 600'!D375,IFERROR(_xludf.NUMBERVALUE('Procyclean 600'!D375,".",","),IFERROR(_xludf.NUMBERVALUE('Procyclean 600'!D375,",","."),0))))</f>
        <v/>
      </c>
      <c r="AE3373" t="str">
        <f>IF(AA3373="","",'Procyclean 600'!K375)</f>
        <v/>
      </c>
      <c r="AF3373">
        <f t="shared" si="329"/>
        <v>0</v>
      </c>
      <c r="AG3373" t="str">
        <f t="shared" si="330"/>
        <v/>
      </c>
      <c r="AH3373" t="str">
        <f t="shared" si="331"/>
        <v/>
      </c>
      <c r="AI3373">
        <f t="shared" si="332"/>
        <v>0</v>
      </c>
      <c r="AJ3373">
        <f t="shared" si="333"/>
        <v>0</v>
      </c>
      <c r="AK3373">
        <v>0</v>
      </c>
      <c r="AL3373" t="str">
        <f>IF(AA3373="","",IFERROR(IF(ISNUMBER('Procyclean 600'!E375),'Procyclean 600'!E375,IF(ISNUMBER(SEARCH("12",'Procyclean 600'!E375)),EDATE(AB3373,12),IF(ISNUMBER(SEARCH("6",'Procyclean 600'!E375)),EDATE(AB3373,6),IF(ISNUMBER(SEARCH("3",'Procyclean 600'!E375)),EDATE(AB3373,3),DATEVALUE('Procyclean 600'!E375))))),""))</f>
        <v/>
      </c>
      <c r="AM3373" t="str">
        <f t="shared" ca="1" si="334"/>
        <v/>
      </c>
    </row>
    <row r="3374" spans="27:39" x14ac:dyDescent="0.3">
      <c r="AA3374" t="str">
        <f>IF(COUNTA('Procyclean 600'!B376,'Procyclean 600'!C376,'Procyclean 600'!D376)&gt;0,"600","")</f>
        <v/>
      </c>
      <c r="AB3374" t="str">
        <f>IFERROR(IF(ISNUMBER('Procyclean 600'!B376),'Procyclean 600'!B376,DATEVALUE('Procyclean 600'!B376)),"")</f>
        <v/>
      </c>
      <c r="AC3374" t="str">
        <f>IF(AA3374="","",'Procyclean 600'!C376)</f>
        <v/>
      </c>
      <c r="AD3374" t="str">
        <f>IF(AA3374="","",IFERROR(1*'Procyclean 600'!D376,IFERROR(_xludf.NUMBERVALUE('Procyclean 600'!D376,".",","),IFERROR(_xludf.NUMBERVALUE('Procyclean 600'!D376,",","."),0))))</f>
        <v/>
      </c>
      <c r="AE3374" t="str">
        <f>IF(AA3374="","",'Procyclean 600'!K376)</f>
        <v/>
      </c>
      <c r="AF3374">
        <f t="shared" si="329"/>
        <v>0</v>
      </c>
      <c r="AG3374" t="str">
        <f t="shared" si="330"/>
        <v/>
      </c>
      <c r="AH3374" t="str">
        <f t="shared" si="331"/>
        <v/>
      </c>
      <c r="AI3374">
        <f t="shared" si="332"/>
        <v>0</v>
      </c>
      <c r="AJ3374">
        <f t="shared" si="333"/>
        <v>0</v>
      </c>
      <c r="AK3374">
        <v>0</v>
      </c>
      <c r="AL3374" t="str">
        <f>IF(AA3374="","",IFERROR(IF(ISNUMBER('Procyclean 600'!E376),'Procyclean 600'!E376,IF(ISNUMBER(SEARCH("12",'Procyclean 600'!E376)),EDATE(AB3374,12),IF(ISNUMBER(SEARCH("6",'Procyclean 600'!E376)),EDATE(AB3374,6),IF(ISNUMBER(SEARCH("3",'Procyclean 600'!E376)),EDATE(AB3374,3),DATEVALUE('Procyclean 600'!E376))))),""))</f>
        <v/>
      </c>
      <c r="AM3374" t="str">
        <f t="shared" ca="1" si="334"/>
        <v/>
      </c>
    </row>
    <row r="3375" spans="27:39" x14ac:dyDescent="0.3">
      <c r="AA3375" t="str">
        <f>IF(COUNTA('Procyclean 600'!B377,'Procyclean 600'!C377,'Procyclean 600'!D377)&gt;0,"600","")</f>
        <v/>
      </c>
      <c r="AB3375" t="str">
        <f>IFERROR(IF(ISNUMBER('Procyclean 600'!B377),'Procyclean 600'!B377,DATEVALUE('Procyclean 600'!B377)),"")</f>
        <v/>
      </c>
      <c r="AC3375" t="str">
        <f>IF(AA3375="","",'Procyclean 600'!C377)</f>
        <v/>
      </c>
      <c r="AD3375" t="str">
        <f>IF(AA3375="","",IFERROR(1*'Procyclean 600'!D377,IFERROR(_xludf.NUMBERVALUE('Procyclean 600'!D377,".",","),IFERROR(_xludf.NUMBERVALUE('Procyclean 600'!D377,",","."),0))))</f>
        <v/>
      </c>
      <c r="AE3375" t="str">
        <f>IF(AA3375="","",'Procyclean 600'!K377)</f>
        <v/>
      </c>
      <c r="AF3375">
        <f t="shared" si="329"/>
        <v>0</v>
      </c>
      <c r="AG3375" t="str">
        <f t="shared" si="330"/>
        <v/>
      </c>
      <c r="AH3375" t="str">
        <f t="shared" si="331"/>
        <v/>
      </c>
      <c r="AI3375">
        <f t="shared" si="332"/>
        <v>0</v>
      </c>
      <c r="AJ3375">
        <f t="shared" si="333"/>
        <v>0</v>
      </c>
      <c r="AK3375">
        <v>0</v>
      </c>
      <c r="AL3375" t="str">
        <f>IF(AA3375="","",IFERROR(IF(ISNUMBER('Procyclean 600'!E377),'Procyclean 600'!E377,IF(ISNUMBER(SEARCH("12",'Procyclean 600'!E377)),EDATE(AB3375,12),IF(ISNUMBER(SEARCH("6",'Procyclean 600'!E377)),EDATE(AB3375,6),IF(ISNUMBER(SEARCH("3",'Procyclean 600'!E377)),EDATE(AB3375,3),DATEVALUE('Procyclean 600'!E377))))),""))</f>
        <v/>
      </c>
      <c r="AM3375" t="str">
        <f t="shared" ca="1" si="334"/>
        <v/>
      </c>
    </row>
    <row r="3376" spans="27:39" x14ac:dyDescent="0.3">
      <c r="AA3376" t="str">
        <f>IF(COUNTA('Procyclean 600'!B378,'Procyclean 600'!C378,'Procyclean 600'!D378)&gt;0,"600","")</f>
        <v/>
      </c>
      <c r="AB3376" t="str">
        <f>IFERROR(IF(ISNUMBER('Procyclean 600'!B378),'Procyclean 600'!B378,DATEVALUE('Procyclean 600'!B378)),"")</f>
        <v/>
      </c>
      <c r="AC3376" t="str">
        <f>IF(AA3376="","",'Procyclean 600'!C378)</f>
        <v/>
      </c>
      <c r="AD3376" t="str">
        <f>IF(AA3376="","",IFERROR(1*'Procyclean 600'!D378,IFERROR(_xludf.NUMBERVALUE('Procyclean 600'!D378,".",","),IFERROR(_xludf.NUMBERVALUE('Procyclean 600'!D378,",","."),0))))</f>
        <v/>
      </c>
      <c r="AE3376" t="str">
        <f>IF(AA3376="","",'Procyclean 600'!K378)</f>
        <v/>
      </c>
      <c r="AF3376">
        <f t="shared" si="329"/>
        <v>0</v>
      </c>
      <c r="AG3376" t="str">
        <f t="shared" si="330"/>
        <v/>
      </c>
      <c r="AH3376" t="str">
        <f t="shared" si="331"/>
        <v/>
      </c>
      <c r="AI3376">
        <f t="shared" si="332"/>
        <v>0</v>
      </c>
      <c r="AJ3376">
        <f t="shared" si="333"/>
        <v>0</v>
      </c>
      <c r="AK3376">
        <v>0</v>
      </c>
      <c r="AL3376" t="str">
        <f>IF(AA3376="","",IFERROR(IF(ISNUMBER('Procyclean 600'!E378),'Procyclean 600'!E378,IF(ISNUMBER(SEARCH("12",'Procyclean 600'!E378)),EDATE(AB3376,12),IF(ISNUMBER(SEARCH("6",'Procyclean 600'!E378)),EDATE(AB3376,6),IF(ISNUMBER(SEARCH("3",'Procyclean 600'!E378)),EDATE(AB3376,3),DATEVALUE('Procyclean 600'!E378))))),""))</f>
        <v/>
      </c>
      <c r="AM3376" t="str">
        <f t="shared" ca="1" si="334"/>
        <v/>
      </c>
    </row>
    <row r="3377" spans="27:39" x14ac:dyDescent="0.3">
      <c r="AA3377" t="str">
        <f>IF(COUNTA('Procyclean 600'!B379,'Procyclean 600'!C379,'Procyclean 600'!D379)&gt;0,"600","")</f>
        <v/>
      </c>
      <c r="AB3377" t="str">
        <f>IFERROR(IF(ISNUMBER('Procyclean 600'!B379),'Procyclean 600'!B379,DATEVALUE('Procyclean 600'!B379)),"")</f>
        <v/>
      </c>
      <c r="AC3377" t="str">
        <f>IF(AA3377="","",'Procyclean 600'!C379)</f>
        <v/>
      </c>
      <c r="AD3377" t="str">
        <f>IF(AA3377="","",IFERROR(1*'Procyclean 600'!D379,IFERROR(_xludf.NUMBERVALUE('Procyclean 600'!D379,".",","),IFERROR(_xludf.NUMBERVALUE('Procyclean 600'!D379,",","."),0))))</f>
        <v/>
      </c>
      <c r="AE3377" t="str">
        <f>IF(AA3377="","",'Procyclean 600'!K379)</f>
        <v/>
      </c>
      <c r="AF3377">
        <f t="shared" si="329"/>
        <v>0</v>
      </c>
      <c r="AG3377" t="str">
        <f t="shared" si="330"/>
        <v/>
      </c>
      <c r="AH3377" t="str">
        <f t="shared" si="331"/>
        <v/>
      </c>
      <c r="AI3377">
        <f t="shared" si="332"/>
        <v>0</v>
      </c>
      <c r="AJ3377">
        <f t="shared" si="333"/>
        <v>0</v>
      </c>
      <c r="AK3377">
        <v>0</v>
      </c>
      <c r="AL3377" t="str">
        <f>IF(AA3377="","",IFERROR(IF(ISNUMBER('Procyclean 600'!E379),'Procyclean 600'!E379,IF(ISNUMBER(SEARCH("12",'Procyclean 600'!E379)),EDATE(AB3377,12),IF(ISNUMBER(SEARCH("6",'Procyclean 600'!E379)),EDATE(AB3377,6),IF(ISNUMBER(SEARCH("3",'Procyclean 600'!E379)),EDATE(AB3377,3),DATEVALUE('Procyclean 600'!E379))))),""))</f>
        <v/>
      </c>
      <c r="AM3377" t="str">
        <f t="shared" ca="1" si="334"/>
        <v/>
      </c>
    </row>
    <row r="3378" spans="27:39" x14ac:dyDescent="0.3">
      <c r="AA3378" t="str">
        <f>IF(COUNTA('Procyclean 600'!B380,'Procyclean 600'!C380,'Procyclean 600'!D380)&gt;0,"600","")</f>
        <v/>
      </c>
      <c r="AB3378" t="str">
        <f>IFERROR(IF(ISNUMBER('Procyclean 600'!B380),'Procyclean 600'!B380,DATEVALUE('Procyclean 600'!B380)),"")</f>
        <v/>
      </c>
      <c r="AC3378" t="str">
        <f>IF(AA3378="","",'Procyclean 600'!C380)</f>
        <v/>
      </c>
      <c r="AD3378" t="str">
        <f>IF(AA3378="","",IFERROR(1*'Procyclean 600'!D380,IFERROR(_xludf.NUMBERVALUE('Procyclean 600'!D380,".",","),IFERROR(_xludf.NUMBERVALUE('Procyclean 600'!D380,",","."),0))))</f>
        <v/>
      </c>
      <c r="AE3378" t="str">
        <f>IF(AA3378="","",'Procyclean 600'!K380)</f>
        <v/>
      </c>
      <c r="AF3378">
        <f t="shared" si="329"/>
        <v>0</v>
      </c>
      <c r="AG3378" t="str">
        <f t="shared" si="330"/>
        <v/>
      </c>
      <c r="AH3378" t="str">
        <f t="shared" si="331"/>
        <v/>
      </c>
      <c r="AI3378">
        <f t="shared" si="332"/>
        <v>0</v>
      </c>
      <c r="AJ3378">
        <f t="shared" si="333"/>
        <v>0</v>
      </c>
      <c r="AK3378">
        <v>0</v>
      </c>
      <c r="AL3378" t="str">
        <f>IF(AA3378="","",IFERROR(IF(ISNUMBER('Procyclean 600'!E380),'Procyclean 600'!E380,IF(ISNUMBER(SEARCH("12",'Procyclean 600'!E380)),EDATE(AB3378,12),IF(ISNUMBER(SEARCH("6",'Procyclean 600'!E380)),EDATE(AB3378,6),IF(ISNUMBER(SEARCH("3",'Procyclean 600'!E380)),EDATE(AB3378,3),DATEVALUE('Procyclean 600'!E380))))),""))</f>
        <v/>
      </c>
      <c r="AM3378" t="str">
        <f t="shared" ca="1" si="334"/>
        <v/>
      </c>
    </row>
    <row r="3379" spans="27:39" x14ac:dyDescent="0.3">
      <c r="AA3379" t="str">
        <f>IF(COUNTA('Procyclean 600'!B381,'Procyclean 600'!C381,'Procyclean 600'!D381)&gt;0,"600","")</f>
        <v/>
      </c>
      <c r="AB3379" t="str">
        <f>IFERROR(IF(ISNUMBER('Procyclean 600'!B381),'Procyclean 600'!B381,DATEVALUE('Procyclean 600'!B381)),"")</f>
        <v/>
      </c>
      <c r="AC3379" t="str">
        <f>IF(AA3379="","",'Procyclean 600'!C381)</f>
        <v/>
      </c>
      <c r="AD3379" t="str">
        <f>IF(AA3379="","",IFERROR(1*'Procyclean 600'!D381,IFERROR(_xludf.NUMBERVALUE('Procyclean 600'!D381,".",","),IFERROR(_xludf.NUMBERVALUE('Procyclean 600'!D381,",","."),0))))</f>
        <v/>
      </c>
      <c r="AE3379" t="str">
        <f>IF(AA3379="","",'Procyclean 600'!K381)</f>
        <v/>
      </c>
      <c r="AF3379">
        <f t="shared" si="329"/>
        <v>0</v>
      </c>
      <c r="AG3379" t="str">
        <f t="shared" si="330"/>
        <v/>
      </c>
      <c r="AH3379" t="str">
        <f t="shared" si="331"/>
        <v/>
      </c>
      <c r="AI3379">
        <f t="shared" si="332"/>
        <v>0</v>
      </c>
      <c r="AJ3379">
        <f t="shared" si="333"/>
        <v>0</v>
      </c>
      <c r="AK3379">
        <v>0</v>
      </c>
      <c r="AL3379" t="str">
        <f>IF(AA3379="","",IFERROR(IF(ISNUMBER('Procyclean 600'!E381),'Procyclean 600'!E381,IF(ISNUMBER(SEARCH("12",'Procyclean 600'!E381)),EDATE(AB3379,12),IF(ISNUMBER(SEARCH("6",'Procyclean 600'!E381)),EDATE(AB3379,6),IF(ISNUMBER(SEARCH("3",'Procyclean 600'!E381)),EDATE(AB3379,3),DATEVALUE('Procyclean 600'!E381))))),""))</f>
        <v/>
      </c>
      <c r="AM3379" t="str">
        <f t="shared" ca="1" si="334"/>
        <v/>
      </c>
    </row>
    <row r="3380" spans="27:39" x14ac:dyDescent="0.3">
      <c r="AA3380" t="str">
        <f>IF(COUNTA('Procyclean 600'!B382,'Procyclean 600'!C382,'Procyclean 600'!D382)&gt;0,"600","")</f>
        <v/>
      </c>
      <c r="AB3380" t="str">
        <f>IFERROR(IF(ISNUMBER('Procyclean 600'!B382),'Procyclean 600'!B382,DATEVALUE('Procyclean 600'!B382)),"")</f>
        <v/>
      </c>
      <c r="AC3380" t="str">
        <f>IF(AA3380="","",'Procyclean 600'!C382)</f>
        <v/>
      </c>
      <c r="AD3380" t="str">
        <f>IF(AA3380="","",IFERROR(1*'Procyclean 600'!D382,IFERROR(_xludf.NUMBERVALUE('Procyclean 600'!D382,".",","),IFERROR(_xludf.NUMBERVALUE('Procyclean 600'!D382,",","."),0))))</f>
        <v/>
      </c>
      <c r="AE3380" t="str">
        <f>IF(AA3380="","",'Procyclean 600'!K382)</f>
        <v/>
      </c>
      <c r="AF3380">
        <f t="shared" si="329"/>
        <v>0</v>
      </c>
      <c r="AG3380" t="str">
        <f t="shared" si="330"/>
        <v/>
      </c>
      <c r="AH3380" t="str">
        <f t="shared" si="331"/>
        <v/>
      </c>
      <c r="AI3380">
        <f t="shared" si="332"/>
        <v>0</v>
      </c>
      <c r="AJ3380">
        <f t="shared" si="333"/>
        <v>0</v>
      </c>
      <c r="AK3380">
        <v>0</v>
      </c>
      <c r="AL3380" t="str">
        <f>IF(AA3380="","",IFERROR(IF(ISNUMBER('Procyclean 600'!E382),'Procyclean 600'!E382,IF(ISNUMBER(SEARCH("12",'Procyclean 600'!E382)),EDATE(AB3380,12),IF(ISNUMBER(SEARCH("6",'Procyclean 600'!E382)),EDATE(AB3380,6),IF(ISNUMBER(SEARCH("3",'Procyclean 600'!E382)),EDATE(AB3380,3),DATEVALUE('Procyclean 600'!E382))))),""))</f>
        <v/>
      </c>
      <c r="AM3380" t="str">
        <f t="shared" ca="1" si="334"/>
        <v/>
      </c>
    </row>
    <row r="3381" spans="27:39" x14ac:dyDescent="0.3">
      <c r="AA3381" t="str">
        <f>IF(COUNTA('Procyclean 600'!B383,'Procyclean 600'!C383,'Procyclean 600'!D383)&gt;0,"600","")</f>
        <v/>
      </c>
      <c r="AB3381" t="str">
        <f>IFERROR(IF(ISNUMBER('Procyclean 600'!B383),'Procyclean 600'!B383,DATEVALUE('Procyclean 600'!B383)),"")</f>
        <v/>
      </c>
      <c r="AC3381" t="str">
        <f>IF(AA3381="","",'Procyclean 600'!C383)</f>
        <v/>
      </c>
      <c r="AD3381" t="str">
        <f>IF(AA3381="","",IFERROR(1*'Procyclean 600'!D383,IFERROR(_xludf.NUMBERVALUE('Procyclean 600'!D383,".",","),IFERROR(_xludf.NUMBERVALUE('Procyclean 600'!D383,",","."),0))))</f>
        <v/>
      </c>
      <c r="AE3381" t="str">
        <f>IF(AA3381="","",'Procyclean 600'!K383)</f>
        <v/>
      </c>
      <c r="AF3381">
        <f t="shared" si="329"/>
        <v>0</v>
      </c>
      <c r="AG3381" t="str">
        <f t="shared" si="330"/>
        <v/>
      </c>
      <c r="AH3381" t="str">
        <f t="shared" si="331"/>
        <v/>
      </c>
      <c r="AI3381">
        <f t="shared" si="332"/>
        <v>0</v>
      </c>
      <c r="AJ3381">
        <f t="shared" si="333"/>
        <v>0</v>
      </c>
      <c r="AK3381">
        <v>0</v>
      </c>
      <c r="AL3381" t="str">
        <f>IF(AA3381="","",IFERROR(IF(ISNUMBER('Procyclean 600'!E383),'Procyclean 600'!E383,IF(ISNUMBER(SEARCH("12",'Procyclean 600'!E383)),EDATE(AB3381,12),IF(ISNUMBER(SEARCH("6",'Procyclean 600'!E383)),EDATE(AB3381,6),IF(ISNUMBER(SEARCH("3",'Procyclean 600'!E383)),EDATE(AB3381,3),DATEVALUE('Procyclean 600'!E383))))),""))</f>
        <v/>
      </c>
      <c r="AM3381" t="str">
        <f t="shared" ca="1" si="334"/>
        <v/>
      </c>
    </row>
    <row r="3382" spans="27:39" x14ac:dyDescent="0.3">
      <c r="AA3382" t="str">
        <f>IF(COUNTA('Procyclean 600'!B384,'Procyclean 600'!C384,'Procyclean 600'!D384)&gt;0,"600","")</f>
        <v/>
      </c>
      <c r="AB3382" t="str">
        <f>IFERROR(IF(ISNUMBER('Procyclean 600'!B384),'Procyclean 600'!B384,DATEVALUE('Procyclean 600'!B384)),"")</f>
        <v/>
      </c>
      <c r="AC3382" t="str">
        <f>IF(AA3382="","",'Procyclean 600'!C384)</f>
        <v/>
      </c>
      <c r="AD3382" t="str">
        <f>IF(AA3382="","",IFERROR(1*'Procyclean 600'!D384,IFERROR(_xludf.NUMBERVALUE('Procyclean 600'!D384,".",","),IFERROR(_xludf.NUMBERVALUE('Procyclean 600'!D384,",","."),0))))</f>
        <v/>
      </c>
      <c r="AE3382" t="str">
        <f>IF(AA3382="","",'Procyclean 600'!K384)</f>
        <v/>
      </c>
      <c r="AF3382">
        <f t="shared" si="329"/>
        <v>0</v>
      </c>
      <c r="AG3382" t="str">
        <f t="shared" si="330"/>
        <v/>
      </c>
      <c r="AH3382" t="str">
        <f t="shared" si="331"/>
        <v/>
      </c>
      <c r="AI3382">
        <f t="shared" si="332"/>
        <v>0</v>
      </c>
      <c r="AJ3382">
        <f t="shared" si="333"/>
        <v>0</v>
      </c>
      <c r="AK3382">
        <v>0</v>
      </c>
      <c r="AL3382" t="str">
        <f>IF(AA3382="","",IFERROR(IF(ISNUMBER('Procyclean 600'!E384),'Procyclean 600'!E384,IF(ISNUMBER(SEARCH("12",'Procyclean 600'!E384)),EDATE(AB3382,12),IF(ISNUMBER(SEARCH("6",'Procyclean 600'!E384)),EDATE(AB3382,6),IF(ISNUMBER(SEARCH("3",'Procyclean 600'!E384)),EDATE(AB3382,3),DATEVALUE('Procyclean 600'!E384))))),""))</f>
        <v/>
      </c>
      <c r="AM3382" t="str">
        <f t="shared" ca="1" si="334"/>
        <v/>
      </c>
    </row>
    <row r="3383" spans="27:39" x14ac:dyDescent="0.3">
      <c r="AA3383" t="str">
        <f>IF(COUNTA('Procyclean 600'!B385,'Procyclean 600'!C385,'Procyclean 600'!D385)&gt;0,"600","")</f>
        <v/>
      </c>
      <c r="AB3383" t="str">
        <f>IFERROR(IF(ISNUMBER('Procyclean 600'!B385),'Procyclean 600'!B385,DATEVALUE('Procyclean 600'!B385)),"")</f>
        <v/>
      </c>
      <c r="AC3383" t="str">
        <f>IF(AA3383="","",'Procyclean 600'!C385)</f>
        <v/>
      </c>
      <c r="AD3383" t="str">
        <f>IF(AA3383="","",IFERROR(1*'Procyclean 600'!D385,IFERROR(_xludf.NUMBERVALUE('Procyclean 600'!D385,".",","),IFERROR(_xludf.NUMBERVALUE('Procyclean 600'!D385,",","."),0))))</f>
        <v/>
      </c>
      <c r="AE3383" t="str">
        <f>IF(AA3383="","",'Procyclean 600'!K385)</f>
        <v/>
      </c>
      <c r="AF3383">
        <f t="shared" si="329"/>
        <v>0</v>
      </c>
      <c r="AG3383" t="str">
        <f t="shared" si="330"/>
        <v/>
      </c>
      <c r="AH3383" t="str">
        <f t="shared" si="331"/>
        <v/>
      </c>
      <c r="AI3383">
        <f t="shared" si="332"/>
        <v>0</v>
      </c>
      <c r="AJ3383">
        <f t="shared" si="333"/>
        <v>0</v>
      </c>
      <c r="AK3383">
        <v>0</v>
      </c>
      <c r="AL3383" t="str">
        <f>IF(AA3383="","",IFERROR(IF(ISNUMBER('Procyclean 600'!E385),'Procyclean 600'!E385,IF(ISNUMBER(SEARCH("12",'Procyclean 600'!E385)),EDATE(AB3383,12),IF(ISNUMBER(SEARCH("6",'Procyclean 600'!E385)),EDATE(AB3383,6),IF(ISNUMBER(SEARCH("3",'Procyclean 600'!E385)),EDATE(AB3383,3),DATEVALUE('Procyclean 600'!E385))))),""))</f>
        <v/>
      </c>
      <c r="AM3383" t="str">
        <f t="shared" ca="1" si="334"/>
        <v/>
      </c>
    </row>
    <row r="3384" spans="27:39" x14ac:dyDescent="0.3">
      <c r="AA3384" t="str">
        <f>IF(COUNTA('Procyclean 600'!B386,'Procyclean 600'!C386,'Procyclean 600'!D386)&gt;0,"600","")</f>
        <v/>
      </c>
      <c r="AB3384" t="str">
        <f>IFERROR(IF(ISNUMBER('Procyclean 600'!B386),'Procyclean 600'!B386,DATEVALUE('Procyclean 600'!B386)),"")</f>
        <v/>
      </c>
      <c r="AC3384" t="str">
        <f>IF(AA3384="","",'Procyclean 600'!C386)</f>
        <v/>
      </c>
      <c r="AD3384" t="str">
        <f>IF(AA3384="","",IFERROR(1*'Procyclean 600'!D386,IFERROR(_xludf.NUMBERVALUE('Procyclean 600'!D386,".",","),IFERROR(_xludf.NUMBERVALUE('Procyclean 600'!D386,",","."),0))))</f>
        <v/>
      </c>
      <c r="AE3384" t="str">
        <f>IF(AA3384="","",'Procyclean 600'!K386)</f>
        <v/>
      </c>
      <c r="AF3384">
        <f t="shared" si="329"/>
        <v>0</v>
      </c>
      <c r="AG3384" t="str">
        <f t="shared" si="330"/>
        <v/>
      </c>
      <c r="AH3384" t="str">
        <f t="shared" si="331"/>
        <v/>
      </c>
      <c r="AI3384">
        <f t="shared" si="332"/>
        <v>0</v>
      </c>
      <c r="AJ3384">
        <f t="shared" si="333"/>
        <v>0</v>
      </c>
      <c r="AK3384">
        <v>0</v>
      </c>
      <c r="AL3384" t="str">
        <f>IF(AA3384="","",IFERROR(IF(ISNUMBER('Procyclean 600'!E386),'Procyclean 600'!E386,IF(ISNUMBER(SEARCH("12",'Procyclean 600'!E386)),EDATE(AB3384,12),IF(ISNUMBER(SEARCH("6",'Procyclean 600'!E386)),EDATE(AB3384,6),IF(ISNUMBER(SEARCH("3",'Procyclean 600'!E386)),EDATE(AB3384,3),DATEVALUE('Procyclean 600'!E386))))),""))</f>
        <v/>
      </c>
      <c r="AM3384" t="str">
        <f t="shared" ca="1" si="334"/>
        <v/>
      </c>
    </row>
    <row r="3385" spans="27:39" x14ac:dyDescent="0.3">
      <c r="AA3385" t="str">
        <f>IF(COUNTA('Procyclean 600'!B387,'Procyclean 600'!C387,'Procyclean 600'!D387)&gt;0,"600","")</f>
        <v/>
      </c>
      <c r="AB3385" t="str">
        <f>IFERROR(IF(ISNUMBER('Procyclean 600'!B387),'Procyclean 600'!B387,DATEVALUE('Procyclean 600'!B387)),"")</f>
        <v/>
      </c>
      <c r="AC3385" t="str">
        <f>IF(AA3385="","",'Procyclean 600'!C387)</f>
        <v/>
      </c>
      <c r="AD3385" t="str">
        <f>IF(AA3385="","",IFERROR(1*'Procyclean 600'!D387,IFERROR(_xludf.NUMBERVALUE('Procyclean 600'!D387,".",","),IFERROR(_xludf.NUMBERVALUE('Procyclean 600'!D387,",","."),0))))</f>
        <v/>
      </c>
      <c r="AE3385" t="str">
        <f>IF(AA3385="","",'Procyclean 600'!K387)</f>
        <v/>
      </c>
      <c r="AF3385">
        <f t="shared" si="329"/>
        <v>0</v>
      </c>
      <c r="AG3385" t="str">
        <f t="shared" si="330"/>
        <v/>
      </c>
      <c r="AH3385" t="str">
        <f t="shared" si="331"/>
        <v/>
      </c>
      <c r="AI3385">
        <f t="shared" si="332"/>
        <v>0</v>
      </c>
      <c r="AJ3385">
        <f t="shared" si="333"/>
        <v>0</v>
      </c>
      <c r="AK3385">
        <v>0</v>
      </c>
      <c r="AL3385" t="str">
        <f>IF(AA3385="","",IFERROR(IF(ISNUMBER('Procyclean 600'!E387),'Procyclean 600'!E387,IF(ISNUMBER(SEARCH("12",'Procyclean 600'!E387)),EDATE(AB3385,12),IF(ISNUMBER(SEARCH("6",'Procyclean 600'!E387)),EDATE(AB3385,6),IF(ISNUMBER(SEARCH("3",'Procyclean 600'!E387)),EDATE(AB3385,3),DATEVALUE('Procyclean 600'!E387))))),""))</f>
        <v/>
      </c>
      <c r="AM3385" t="str">
        <f t="shared" ca="1" si="334"/>
        <v/>
      </c>
    </row>
    <row r="3386" spans="27:39" x14ac:dyDescent="0.3">
      <c r="AA3386" t="str">
        <f>IF(COUNTA('Procyclean 600'!B388,'Procyclean 600'!C388,'Procyclean 600'!D388)&gt;0,"600","")</f>
        <v/>
      </c>
      <c r="AB3386" t="str">
        <f>IFERROR(IF(ISNUMBER('Procyclean 600'!B388),'Procyclean 600'!B388,DATEVALUE('Procyclean 600'!B388)),"")</f>
        <v/>
      </c>
      <c r="AC3386" t="str">
        <f>IF(AA3386="","",'Procyclean 600'!C388)</f>
        <v/>
      </c>
      <c r="AD3386" t="str">
        <f>IF(AA3386="","",IFERROR(1*'Procyclean 600'!D388,IFERROR(_xludf.NUMBERVALUE('Procyclean 600'!D388,".",","),IFERROR(_xludf.NUMBERVALUE('Procyclean 600'!D388,",","."),0))))</f>
        <v/>
      </c>
      <c r="AE3386" t="str">
        <f>IF(AA3386="","",'Procyclean 600'!K388)</f>
        <v/>
      </c>
      <c r="AF3386">
        <f t="shared" si="329"/>
        <v>0</v>
      </c>
      <c r="AG3386" t="str">
        <f t="shared" si="330"/>
        <v/>
      </c>
      <c r="AH3386" t="str">
        <f t="shared" si="331"/>
        <v/>
      </c>
      <c r="AI3386">
        <f t="shared" si="332"/>
        <v>0</v>
      </c>
      <c r="AJ3386">
        <f t="shared" si="333"/>
        <v>0</v>
      </c>
      <c r="AK3386">
        <v>0</v>
      </c>
      <c r="AL3386" t="str">
        <f>IF(AA3386="","",IFERROR(IF(ISNUMBER('Procyclean 600'!E388),'Procyclean 600'!E388,IF(ISNUMBER(SEARCH("12",'Procyclean 600'!E388)),EDATE(AB3386,12),IF(ISNUMBER(SEARCH("6",'Procyclean 600'!E388)),EDATE(AB3386,6),IF(ISNUMBER(SEARCH("3",'Procyclean 600'!E388)),EDATE(AB3386,3),DATEVALUE('Procyclean 600'!E388))))),""))</f>
        <v/>
      </c>
      <c r="AM3386" t="str">
        <f t="shared" ca="1" si="334"/>
        <v/>
      </c>
    </row>
    <row r="3387" spans="27:39" x14ac:dyDescent="0.3">
      <c r="AA3387" t="str">
        <f>IF(COUNTA('Procyclean 600'!B389,'Procyclean 600'!C389,'Procyclean 600'!D389)&gt;0,"600","")</f>
        <v/>
      </c>
      <c r="AB3387" t="str">
        <f>IFERROR(IF(ISNUMBER('Procyclean 600'!B389),'Procyclean 600'!B389,DATEVALUE('Procyclean 600'!B389)),"")</f>
        <v/>
      </c>
      <c r="AC3387" t="str">
        <f>IF(AA3387="","",'Procyclean 600'!C389)</f>
        <v/>
      </c>
      <c r="AD3387" t="str">
        <f>IF(AA3387="","",IFERROR(1*'Procyclean 600'!D389,IFERROR(_xludf.NUMBERVALUE('Procyclean 600'!D389,".",","),IFERROR(_xludf.NUMBERVALUE('Procyclean 600'!D389,",","."),0))))</f>
        <v/>
      </c>
      <c r="AE3387" t="str">
        <f>IF(AA3387="","",'Procyclean 600'!K389)</f>
        <v/>
      </c>
      <c r="AF3387">
        <f t="shared" si="329"/>
        <v>0</v>
      </c>
      <c r="AG3387" t="str">
        <f t="shared" si="330"/>
        <v/>
      </c>
      <c r="AH3387" t="str">
        <f t="shared" si="331"/>
        <v/>
      </c>
      <c r="AI3387">
        <f t="shared" si="332"/>
        <v>0</v>
      </c>
      <c r="AJ3387">
        <f t="shared" si="333"/>
        <v>0</v>
      </c>
      <c r="AK3387">
        <v>0</v>
      </c>
      <c r="AL3387" t="str">
        <f>IF(AA3387="","",IFERROR(IF(ISNUMBER('Procyclean 600'!E389),'Procyclean 600'!E389,IF(ISNUMBER(SEARCH("12",'Procyclean 600'!E389)),EDATE(AB3387,12),IF(ISNUMBER(SEARCH("6",'Procyclean 600'!E389)),EDATE(AB3387,6),IF(ISNUMBER(SEARCH("3",'Procyclean 600'!E389)),EDATE(AB3387,3),DATEVALUE('Procyclean 600'!E389))))),""))</f>
        <v/>
      </c>
      <c r="AM3387" t="str">
        <f t="shared" ca="1" si="334"/>
        <v/>
      </c>
    </row>
    <row r="3388" spans="27:39" x14ac:dyDescent="0.3">
      <c r="AA3388" t="str">
        <f>IF(COUNTA('Procyclean 600'!B390,'Procyclean 600'!C390,'Procyclean 600'!D390)&gt;0,"600","")</f>
        <v/>
      </c>
      <c r="AB3388" t="str">
        <f>IFERROR(IF(ISNUMBER('Procyclean 600'!B390),'Procyclean 600'!B390,DATEVALUE('Procyclean 600'!B390)),"")</f>
        <v/>
      </c>
      <c r="AC3388" t="str">
        <f>IF(AA3388="","",'Procyclean 600'!C390)</f>
        <v/>
      </c>
      <c r="AD3388" t="str">
        <f>IF(AA3388="","",IFERROR(1*'Procyclean 600'!D390,IFERROR(_xludf.NUMBERVALUE('Procyclean 600'!D390,".",","),IFERROR(_xludf.NUMBERVALUE('Procyclean 600'!D390,",","."),0))))</f>
        <v/>
      </c>
      <c r="AE3388" t="str">
        <f>IF(AA3388="","",'Procyclean 600'!K390)</f>
        <v/>
      </c>
      <c r="AF3388">
        <f t="shared" si="329"/>
        <v>0</v>
      </c>
      <c r="AG3388" t="str">
        <f t="shared" si="330"/>
        <v/>
      </c>
      <c r="AH3388" t="str">
        <f t="shared" si="331"/>
        <v/>
      </c>
      <c r="AI3388">
        <f t="shared" si="332"/>
        <v>0</v>
      </c>
      <c r="AJ3388">
        <f t="shared" si="333"/>
        <v>0</v>
      </c>
      <c r="AK3388">
        <v>0</v>
      </c>
      <c r="AL3388" t="str">
        <f>IF(AA3388="","",IFERROR(IF(ISNUMBER('Procyclean 600'!E390),'Procyclean 600'!E390,IF(ISNUMBER(SEARCH("12",'Procyclean 600'!E390)),EDATE(AB3388,12),IF(ISNUMBER(SEARCH("6",'Procyclean 600'!E390)),EDATE(AB3388,6),IF(ISNUMBER(SEARCH("3",'Procyclean 600'!E390)),EDATE(AB3388,3),DATEVALUE('Procyclean 600'!E390))))),""))</f>
        <v/>
      </c>
      <c r="AM3388" t="str">
        <f t="shared" ca="1" si="334"/>
        <v/>
      </c>
    </row>
    <row r="3389" spans="27:39" x14ac:dyDescent="0.3">
      <c r="AA3389" t="str">
        <f>IF(COUNTA('Procyclean 600'!B391,'Procyclean 600'!C391,'Procyclean 600'!D391)&gt;0,"600","")</f>
        <v/>
      </c>
      <c r="AB3389" t="str">
        <f>IFERROR(IF(ISNUMBER('Procyclean 600'!B391),'Procyclean 600'!B391,DATEVALUE('Procyclean 600'!B391)),"")</f>
        <v/>
      </c>
      <c r="AC3389" t="str">
        <f>IF(AA3389="","",'Procyclean 600'!C391)</f>
        <v/>
      </c>
      <c r="AD3389" t="str">
        <f>IF(AA3389="","",IFERROR(1*'Procyclean 600'!D391,IFERROR(_xludf.NUMBERVALUE('Procyclean 600'!D391,".",","),IFERROR(_xludf.NUMBERVALUE('Procyclean 600'!D391,",","."),0))))</f>
        <v/>
      </c>
      <c r="AE3389" t="str">
        <f>IF(AA3389="","",'Procyclean 600'!K391)</f>
        <v/>
      </c>
      <c r="AF3389">
        <f t="shared" si="329"/>
        <v>0</v>
      </c>
      <c r="AG3389" t="str">
        <f t="shared" si="330"/>
        <v/>
      </c>
      <c r="AH3389" t="str">
        <f t="shared" si="331"/>
        <v/>
      </c>
      <c r="AI3389">
        <f t="shared" si="332"/>
        <v>0</v>
      </c>
      <c r="AJ3389">
        <f t="shared" si="333"/>
        <v>0</v>
      </c>
      <c r="AK3389">
        <v>0</v>
      </c>
      <c r="AL3389" t="str">
        <f>IF(AA3389="","",IFERROR(IF(ISNUMBER('Procyclean 600'!E391),'Procyclean 600'!E391,IF(ISNUMBER(SEARCH("12",'Procyclean 600'!E391)),EDATE(AB3389,12),IF(ISNUMBER(SEARCH("6",'Procyclean 600'!E391)),EDATE(AB3389,6),IF(ISNUMBER(SEARCH("3",'Procyclean 600'!E391)),EDATE(AB3389,3),DATEVALUE('Procyclean 600'!E391))))),""))</f>
        <v/>
      </c>
      <c r="AM3389" t="str">
        <f t="shared" ca="1" si="334"/>
        <v/>
      </c>
    </row>
    <row r="3390" spans="27:39" x14ac:dyDescent="0.3">
      <c r="AA3390" t="str">
        <f>IF(COUNTA('Procyclean 600'!B392,'Procyclean 600'!C392,'Procyclean 600'!D392)&gt;0,"600","")</f>
        <v/>
      </c>
      <c r="AB3390" t="str">
        <f>IFERROR(IF(ISNUMBER('Procyclean 600'!B392),'Procyclean 600'!B392,DATEVALUE('Procyclean 600'!B392)),"")</f>
        <v/>
      </c>
      <c r="AC3390" t="str">
        <f>IF(AA3390="","",'Procyclean 600'!C392)</f>
        <v/>
      </c>
      <c r="AD3390" t="str">
        <f>IF(AA3390="","",IFERROR(1*'Procyclean 600'!D392,IFERROR(_xludf.NUMBERVALUE('Procyclean 600'!D392,".",","),IFERROR(_xludf.NUMBERVALUE('Procyclean 600'!D392,",","."),0))))</f>
        <v/>
      </c>
      <c r="AE3390" t="str">
        <f>IF(AA3390="","",'Procyclean 600'!K392)</f>
        <v/>
      </c>
      <c r="AF3390">
        <f t="shared" si="329"/>
        <v>0</v>
      </c>
      <c r="AG3390" t="str">
        <f t="shared" si="330"/>
        <v/>
      </c>
      <c r="AH3390" t="str">
        <f t="shared" si="331"/>
        <v/>
      </c>
      <c r="AI3390">
        <f t="shared" si="332"/>
        <v>0</v>
      </c>
      <c r="AJ3390">
        <f t="shared" si="333"/>
        <v>0</v>
      </c>
      <c r="AK3390">
        <v>0</v>
      </c>
      <c r="AL3390" t="str">
        <f>IF(AA3390="","",IFERROR(IF(ISNUMBER('Procyclean 600'!E392),'Procyclean 600'!E392,IF(ISNUMBER(SEARCH("12",'Procyclean 600'!E392)),EDATE(AB3390,12),IF(ISNUMBER(SEARCH("6",'Procyclean 600'!E392)),EDATE(AB3390,6),IF(ISNUMBER(SEARCH("3",'Procyclean 600'!E392)),EDATE(AB3390,3),DATEVALUE('Procyclean 600'!E392))))),""))</f>
        <v/>
      </c>
      <c r="AM3390" t="str">
        <f t="shared" ca="1" si="334"/>
        <v/>
      </c>
    </row>
    <row r="3391" spans="27:39" x14ac:dyDescent="0.3">
      <c r="AA3391" t="str">
        <f>IF(COUNTA('Procyclean 600'!B393,'Procyclean 600'!C393,'Procyclean 600'!D393)&gt;0,"600","")</f>
        <v/>
      </c>
      <c r="AB3391" t="str">
        <f>IFERROR(IF(ISNUMBER('Procyclean 600'!B393),'Procyclean 600'!B393,DATEVALUE('Procyclean 600'!B393)),"")</f>
        <v/>
      </c>
      <c r="AC3391" t="str">
        <f>IF(AA3391="","",'Procyclean 600'!C393)</f>
        <v/>
      </c>
      <c r="AD3391" t="str">
        <f>IF(AA3391="","",IFERROR(1*'Procyclean 600'!D393,IFERROR(_xludf.NUMBERVALUE('Procyclean 600'!D393,".",","),IFERROR(_xludf.NUMBERVALUE('Procyclean 600'!D393,",","."),0))))</f>
        <v/>
      </c>
      <c r="AE3391" t="str">
        <f>IF(AA3391="","",'Procyclean 600'!K393)</f>
        <v/>
      </c>
      <c r="AF3391">
        <f t="shared" si="329"/>
        <v>0</v>
      </c>
      <c r="AG3391" t="str">
        <f t="shared" si="330"/>
        <v/>
      </c>
      <c r="AH3391" t="str">
        <f t="shared" si="331"/>
        <v/>
      </c>
      <c r="AI3391">
        <f t="shared" si="332"/>
        <v>0</v>
      </c>
      <c r="AJ3391">
        <f t="shared" si="333"/>
        <v>0</v>
      </c>
      <c r="AK3391">
        <v>0</v>
      </c>
      <c r="AL3391" t="str">
        <f>IF(AA3391="","",IFERROR(IF(ISNUMBER('Procyclean 600'!E393),'Procyclean 600'!E393,IF(ISNUMBER(SEARCH("12",'Procyclean 600'!E393)),EDATE(AB3391,12),IF(ISNUMBER(SEARCH("6",'Procyclean 600'!E393)),EDATE(AB3391,6),IF(ISNUMBER(SEARCH("3",'Procyclean 600'!E393)),EDATE(AB3391,3),DATEVALUE('Procyclean 600'!E393))))),""))</f>
        <v/>
      </c>
      <c r="AM3391" t="str">
        <f t="shared" ca="1" si="334"/>
        <v/>
      </c>
    </row>
    <row r="3392" spans="27:39" x14ac:dyDescent="0.3">
      <c r="AA3392" t="str">
        <f>IF(COUNTA('Procyclean 600'!B394,'Procyclean 600'!C394,'Procyclean 600'!D394)&gt;0,"600","")</f>
        <v/>
      </c>
      <c r="AB3392" t="str">
        <f>IFERROR(IF(ISNUMBER('Procyclean 600'!B394),'Procyclean 600'!B394,DATEVALUE('Procyclean 600'!B394)),"")</f>
        <v/>
      </c>
      <c r="AC3392" t="str">
        <f>IF(AA3392="","",'Procyclean 600'!C394)</f>
        <v/>
      </c>
      <c r="AD3392" t="str">
        <f>IF(AA3392="","",IFERROR(1*'Procyclean 600'!D394,IFERROR(_xludf.NUMBERVALUE('Procyclean 600'!D394,".",","),IFERROR(_xludf.NUMBERVALUE('Procyclean 600'!D394,",","."),0))))</f>
        <v/>
      </c>
      <c r="AE3392" t="str">
        <f>IF(AA3392="","",'Procyclean 600'!K394)</f>
        <v/>
      </c>
      <c r="AF3392">
        <f t="shared" si="329"/>
        <v>0</v>
      </c>
      <c r="AG3392" t="str">
        <f t="shared" si="330"/>
        <v/>
      </c>
      <c r="AH3392" t="str">
        <f t="shared" si="331"/>
        <v/>
      </c>
      <c r="AI3392">
        <f t="shared" si="332"/>
        <v>0</v>
      </c>
      <c r="AJ3392">
        <f t="shared" si="333"/>
        <v>0</v>
      </c>
      <c r="AK3392">
        <v>0</v>
      </c>
      <c r="AL3392" t="str">
        <f>IF(AA3392="","",IFERROR(IF(ISNUMBER('Procyclean 600'!E394),'Procyclean 600'!E394,IF(ISNUMBER(SEARCH("12",'Procyclean 600'!E394)),EDATE(AB3392,12),IF(ISNUMBER(SEARCH("6",'Procyclean 600'!E394)),EDATE(AB3392,6),IF(ISNUMBER(SEARCH("3",'Procyclean 600'!E394)),EDATE(AB3392,3),DATEVALUE('Procyclean 600'!E394))))),""))</f>
        <v/>
      </c>
      <c r="AM3392" t="str">
        <f t="shared" ca="1" si="334"/>
        <v/>
      </c>
    </row>
    <row r="3393" spans="27:39" x14ac:dyDescent="0.3">
      <c r="AA3393" t="str">
        <f>IF(COUNTA('Procyclean 600'!B395,'Procyclean 600'!C395,'Procyclean 600'!D395)&gt;0,"600","")</f>
        <v/>
      </c>
      <c r="AB3393" t="str">
        <f>IFERROR(IF(ISNUMBER('Procyclean 600'!B395),'Procyclean 600'!B395,DATEVALUE('Procyclean 600'!B395)),"")</f>
        <v/>
      </c>
      <c r="AC3393" t="str">
        <f>IF(AA3393="","",'Procyclean 600'!C395)</f>
        <v/>
      </c>
      <c r="AD3393" t="str">
        <f>IF(AA3393="","",IFERROR(1*'Procyclean 600'!D395,IFERROR(_xludf.NUMBERVALUE('Procyclean 600'!D395,".",","),IFERROR(_xludf.NUMBERVALUE('Procyclean 600'!D395,",","."),0))))</f>
        <v/>
      </c>
      <c r="AE3393" t="str">
        <f>IF(AA3393="","",'Procyclean 600'!K395)</f>
        <v/>
      </c>
      <c r="AF3393">
        <f t="shared" si="329"/>
        <v>0</v>
      </c>
      <c r="AG3393" t="str">
        <f t="shared" si="330"/>
        <v/>
      </c>
      <c r="AH3393" t="str">
        <f t="shared" si="331"/>
        <v/>
      </c>
      <c r="AI3393">
        <f t="shared" si="332"/>
        <v>0</v>
      </c>
      <c r="AJ3393">
        <f t="shared" si="333"/>
        <v>0</v>
      </c>
      <c r="AK3393">
        <v>0</v>
      </c>
      <c r="AL3393" t="str">
        <f>IF(AA3393="","",IFERROR(IF(ISNUMBER('Procyclean 600'!E395),'Procyclean 600'!E395,IF(ISNUMBER(SEARCH("12",'Procyclean 600'!E395)),EDATE(AB3393,12),IF(ISNUMBER(SEARCH("6",'Procyclean 600'!E395)),EDATE(AB3393,6),IF(ISNUMBER(SEARCH("3",'Procyclean 600'!E395)),EDATE(AB3393,3),DATEVALUE('Procyclean 600'!E395))))),""))</f>
        <v/>
      </c>
      <c r="AM3393" t="str">
        <f t="shared" ca="1" si="334"/>
        <v/>
      </c>
    </row>
    <row r="3394" spans="27:39" x14ac:dyDescent="0.3">
      <c r="AA3394" t="str">
        <f>IF(COUNTA('Procyclean 600'!B396,'Procyclean 600'!C396,'Procyclean 600'!D396)&gt;0,"600","")</f>
        <v/>
      </c>
      <c r="AB3394" t="str">
        <f>IFERROR(IF(ISNUMBER('Procyclean 600'!B396),'Procyclean 600'!B396,DATEVALUE('Procyclean 600'!B396)),"")</f>
        <v/>
      </c>
      <c r="AC3394" t="str">
        <f>IF(AA3394="","",'Procyclean 600'!C396)</f>
        <v/>
      </c>
      <c r="AD3394" t="str">
        <f>IF(AA3394="","",IFERROR(1*'Procyclean 600'!D396,IFERROR(_xludf.NUMBERVALUE('Procyclean 600'!D396,".",","),IFERROR(_xludf.NUMBERVALUE('Procyclean 600'!D396,",","."),0))))</f>
        <v/>
      </c>
      <c r="AE3394" t="str">
        <f>IF(AA3394="","",'Procyclean 600'!K396)</f>
        <v/>
      </c>
      <c r="AF3394">
        <f t="shared" ref="AF3394:AF3457" si="335">IF(AA3394="",0,--AND(ISNUMBER(SEARCH("aprov",AE3394)),NOT(ISNUMBER(SEARCH("reprov",AE3394)))))</f>
        <v>0</v>
      </c>
      <c r="AG3394" t="str">
        <f t="shared" ref="AG3394:AG3457" si="336">IF(AB3394="","",YEAR(AB3394))</f>
        <v/>
      </c>
      <c r="AH3394" t="str">
        <f t="shared" ref="AH3394:AH3457" si="337">IF(AB3394="","",MONTH(AB3394))</f>
        <v/>
      </c>
      <c r="AI3394">
        <f t="shared" ref="AI3394:AI3457" si="338">IF(AB3394="",0,AB3394+ROW()/1000000)</f>
        <v>0</v>
      </c>
      <c r="AJ3394">
        <f t="shared" ref="AJ3394:AJ3457" si="339">--(AA3394&lt;&gt;"")</f>
        <v>0</v>
      </c>
      <c r="AK3394">
        <v>0</v>
      </c>
      <c r="AL3394" t="str">
        <f>IF(AA3394="","",IFERROR(IF(ISNUMBER('Procyclean 600'!E396),'Procyclean 600'!E396,IF(ISNUMBER(SEARCH("12",'Procyclean 600'!E396)),EDATE(AB3394,12),IF(ISNUMBER(SEARCH("6",'Procyclean 600'!E396)),EDATE(AB3394,6),IF(ISNUMBER(SEARCH("3",'Procyclean 600'!E396)),EDATE(AB3394,3),DATEVALUE('Procyclean 600'!E396))))),""))</f>
        <v/>
      </c>
      <c r="AM3394" t="str">
        <f t="shared" ref="AM3394:AM3457" ca="1" si="340">IF(AND(AJ3394=1,AL3394&lt;&gt;"",AL3394&gt;=TODAY(),AG3394=$W$3),AL3394+ROW()/1000000,"")</f>
        <v/>
      </c>
    </row>
    <row r="3395" spans="27:39" x14ac:dyDescent="0.3">
      <c r="AA3395" t="str">
        <f>IF(COUNTA('Procyclean 600'!B397,'Procyclean 600'!C397,'Procyclean 600'!D397)&gt;0,"600","")</f>
        <v/>
      </c>
      <c r="AB3395" t="str">
        <f>IFERROR(IF(ISNUMBER('Procyclean 600'!B397),'Procyclean 600'!B397,DATEVALUE('Procyclean 600'!B397)),"")</f>
        <v/>
      </c>
      <c r="AC3395" t="str">
        <f>IF(AA3395="","",'Procyclean 600'!C397)</f>
        <v/>
      </c>
      <c r="AD3395" t="str">
        <f>IF(AA3395="","",IFERROR(1*'Procyclean 600'!D397,IFERROR(_xludf.NUMBERVALUE('Procyclean 600'!D397,".",","),IFERROR(_xludf.NUMBERVALUE('Procyclean 600'!D397,",","."),0))))</f>
        <v/>
      </c>
      <c r="AE3395" t="str">
        <f>IF(AA3395="","",'Procyclean 600'!K397)</f>
        <v/>
      </c>
      <c r="AF3395">
        <f t="shared" si="335"/>
        <v>0</v>
      </c>
      <c r="AG3395" t="str">
        <f t="shared" si="336"/>
        <v/>
      </c>
      <c r="AH3395" t="str">
        <f t="shared" si="337"/>
        <v/>
      </c>
      <c r="AI3395">
        <f t="shared" si="338"/>
        <v>0</v>
      </c>
      <c r="AJ3395">
        <f t="shared" si="339"/>
        <v>0</v>
      </c>
      <c r="AK3395">
        <v>0</v>
      </c>
      <c r="AL3395" t="str">
        <f>IF(AA3395="","",IFERROR(IF(ISNUMBER('Procyclean 600'!E397),'Procyclean 600'!E397,IF(ISNUMBER(SEARCH("12",'Procyclean 600'!E397)),EDATE(AB3395,12),IF(ISNUMBER(SEARCH("6",'Procyclean 600'!E397)),EDATE(AB3395,6),IF(ISNUMBER(SEARCH("3",'Procyclean 600'!E397)),EDATE(AB3395,3),DATEVALUE('Procyclean 600'!E397))))),""))</f>
        <v/>
      </c>
      <c r="AM3395" t="str">
        <f t="shared" ca="1" si="340"/>
        <v/>
      </c>
    </row>
    <row r="3396" spans="27:39" x14ac:dyDescent="0.3">
      <c r="AA3396" t="str">
        <f>IF(COUNTA('Procyclean 600'!B398,'Procyclean 600'!C398,'Procyclean 600'!D398)&gt;0,"600","")</f>
        <v/>
      </c>
      <c r="AB3396" t="str">
        <f>IFERROR(IF(ISNUMBER('Procyclean 600'!B398),'Procyclean 600'!B398,DATEVALUE('Procyclean 600'!B398)),"")</f>
        <v/>
      </c>
      <c r="AC3396" t="str">
        <f>IF(AA3396="","",'Procyclean 600'!C398)</f>
        <v/>
      </c>
      <c r="AD3396" t="str">
        <f>IF(AA3396="","",IFERROR(1*'Procyclean 600'!D398,IFERROR(_xludf.NUMBERVALUE('Procyclean 600'!D398,".",","),IFERROR(_xludf.NUMBERVALUE('Procyclean 600'!D398,",","."),0))))</f>
        <v/>
      </c>
      <c r="AE3396" t="str">
        <f>IF(AA3396="","",'Procyclean 600'!K398)</f>
        <v/>
      </c>
      <c r="AF3396">
        <f t="shared" si="335"/>
        <v>0</v>
      </c>
      <c r="AG3396" t="str">
        <f t="shared" si="336"/>
        <v/>
      </c>
      <c r="AH3396" t="str">
        <f t="shared" si="337"/>
        <v/>
      </c>
      <c r="AI3396">
        <f t="shared" si="338"/>
        <v>0</v>
      </c>
      <c r="AJ3396">
        <f t="shared" si="339"/>
        <v>0</v>
      </c>
      <c r="AK3396">
        <v>0</v>
      </c>
      <c r="AL3396" t="str">
        <f>IF(AA3396="","",IFERROR(IF(ISNUMBER('Procyclean 600'!E398),'Procyclean 600'!E398,IF(ISNUMBER(SEARCH("12",'Procyclean 600'!E398)),EDATE(AB3396,12),IF(ISNUMBER(SEARCH("6",'Procyclean 600'!E398)),EDATE(AB3396,6),IF(ISNUMBER(SEARCH("3",'Procyclean 600'!E398)),EDATE(AB3396,3),DATEVALUE('Procyclean 600'!E398))))),""))</f>
        <v/>
      </c>
      <c r="AM3396" t="str">
        <f t="shared" ca="1" si="340"/>
        <v/>
      </c>
    </row>
    <row r="3397" spans="27:39" x14ac:dyDescent="0.3">
      <c r="AA3397" t="str">
        <f>IF(COUNTA('Procyclean 600'!B399,'Procyclean 600'!C399,'Procyclean 600'!D399)&gt;0,"600","")</f>
        <v/>
      </c>
      <c r="AB3397" t="str">
        <f>IFERROR(IF(ISNUMBER('Procyclean 600'!B399),'Procyclean 600'!B399,DATEVALUE('Procyclean 600'!B399)),"")</f>
        <v/>
      </c>
      <c r="AC3397" t="str">
        <f>IF(AA3397="","",'Procyclean 600'!C399)</f>
        <v/>
      </c>
      <c r="AD3397" t="str">
        <f>IF(AA3397="","",IFERROR(1*'Procyclean 600'!D399,IFERROR(_xludf.NUMBERVALUE('Procyclean 600'!D399,".",","),IFERROR(_xludf.NUMBERVALUE('Procyclean 600'!D399,",","."),0))))</f>
        <v/>
      </c>
      <c r="AE3397" t="str">
        <f>IF(AA3397="","",'Procyclean 600'!K399)</f>
        <v/>
      </c>
      <c r="AF3397">
        <f t="shared" si="335"/>
        <v>0</v>
      </c>
      <c r="AG3397" t="str">
        <f t="shared" si="336"/>
        <v/>
      </c>
      <c r="AH3397" t="str">
        <f t="shared" si="337"/>
        <v/>
      </c>
      <c r="AI3397">
        <f t="shared" si="338"/>
        <v>0</v>
      </c>
      <c r="AJ3397">
        <f t="shared" si="339"/>
        <v>0</v>
      </c>
      <c r="AK3397">
        <v>0</v>
      </c>
      <c r="AL3397" t="str">
        <f>IF(AA3397="","",IFERROR(IF(ISNUMBER('Procyclean 600'!E399),'Procyclean 600'!E399,IF(ISNUMBER(SEARCH("12",'Procyclean 600'!E399)),EDATE(AB3397,12),IF(ISNUMBER(SEARCH("6",'Procyclean 600'!E399)),EDATE(AB3397,6),IF(ISNUMBER(SEARCH("3",'Procyclean 600'!E399)),EDATE(AB3397,3),DATEVALUE('Procyclean 600'!E399))))),""))</f>
        <v/>
      </c>
      <c r="AM3397" t="str">
        <f t="shared" ca="1" si="340"/>
        <v/>
      </c>
    </row>
    <row r="3398" spans="27:39" x14ac:dyDescent="0.3">
      <c r="AA3398" t="str">
        <f>IF(COUNTA('Procyclean 600'!B400,'Procyclean 600'!C400,'Procyclean 600'!D400)&gt;0,"600","")</f>
        <v/>
      </c>
      <c r="AB3398" t="str">
        <f>IFERROR(IF(ISNUMBER('Procyclean 600'!B400),'Procyclean 600'!B400,DATEVALUE('Procyclean 600'!B400)),"")</f>
        <v/>
      </c>
      <c r="AC3398" t="str">
        <f>IF(AA3398="","",'Procyclean 600'!C400)</f>
        <v/>
      </c>
      <c r="AD3398" t="str">
        <f>IF(AA3398="","",IFERROR(1*'Procyclean 600'!D400,IFERROR(_xludf.NUMBERVALUE('Procyclean 600'!D400,".",","),IFERROR(_xludf.NUMBERVALUE('Procyclean 600'!D400,",","."),0))))</f>
        <v/>
      </c>
      <c r="AE3398" t="str">
        <f>IF(AA3398="","",'Procyclean 600'!K400)</f>
        <v/>
      </c>
      <c r="AF3398">
        <f t="shared" si="335"/>
        <v>0</v>
      </c>
      <c r="AG3398" t="str">
        <f t="shared" si="336"/>
        <v/>
      </c>
      <c r="AH3398" t="str">
        <f t="shared" si="337"/>
        <v/>
      </c>
      <c r="AI3398">
        <f t="shared" si="338"/>
        <v>0</v>
      </c>
      <c r="AJ3398">
        <f t="shared" si="339"/>
        <v>0</v>
      </c>
      <c r="AK3398">
        <v>0</v>
      </c>
      <c r="AL3398" t="str">
        <f>IF(AA3398="","",IFERROR(IF(ISNUMBER('Procyclean 600'!E400),'Procyclean 600'!E400,IF(ISNUMBER(SEARCH("12",'Procyclean 600'!E400)),EDATE(AB3398,12),IF(ISNUMBER(SEARCH("6",'Procyclean 600'!E400)),EDATE(AB3398,6),IF(ISNUMBER(SEARCH("3",'Procyclean 600'!E400)),EDATE(AB3398,3),DATEVALUE('Procyclean 600'!E400))))),""))</f>
        <v/>
      </c>
      <c r="AM3398" t="str">
        <f t="shared" ca="1" si="340"/>
        <v/>
      </c>
    </row>
    <row r="3399" spans="27:39" x14ac:dyDescent="0.3">
      <c r="AA3399" t="str">
        <f>IF(COUNTA('Procyclean 600'!B401,'Procyclean 600'!C401,'Procyclean 600'!D401)&gt;0,"600","")</f>
        <v/>
      </c>
      <c r="AB3399" t="str">
        <f>IFERROR(IF(ISNUMBER('Procyclean 600'!B401),'Procyclean 600'!B401,DATEVALUE('Procyclean 600'!B401)),"")</f>
        <v/>
      </c>
      <c r="AC3399" t="str">
        <f>IF(AA3399="","",'Procyclean 600'!C401)</f>
        <v/>
      </c>
      <c r="AD3399" t="str">
        <f>IF(AA3399="","",IFERROR(1*'Procyclean 600'!D401,IFERROR(_xludf.NUMBERVALUE('Procyclean 600'!D401,".",","),IFERROR(_xludf.NUMBERVALUE('Procyclean 600'!D401,",","."),0))))</f>
        <v/>
      </c>
      <c r="AE3399" t="str">
        <f>IF(AA3399="","",'Procyclean 600'!K401)</f>
        <v/>
      </c>
      <c r="AF3399">
        <f t="shared" si="335"/>
        <v>0</v>
      </c>
      <c r="AG3399" t="str">
        <f t="shared" si="336"/>
        <v/>
      </c>
      <c r="AH3399" t="str">
        <f t="shared" si="337"/>
        <v/>
      </c>
      <c r="AI3399">
        <f t="shared" si="338"/>
        <v>0</v>
      </c>
      <c r="AJ3399">
        <f t="shared" si="339"/>
        <v>0</v>
      </c>
      <c r="AK3399">
        <v>0</v>
      </c>
      <c r="AL3399" t="str">
        <f>IF(AA3399="","",IFERROR(IF(ISNUMBER('Procyclean 600'!E401),'Procyclean 600'!E401,IF(ISNUMBER(SEARCH("12",'Procyclean 600'!E401)),EDATE(AB3399,12),IF(ISNUMBER(SEARCH("6",'Procyclean 600'!E401)),EDATE(AB3399,6),IF(ISNUMBER(SEARCH("3",'Procyclean 600'!E401)),EDATE(AB3399,3),DATEVALUE('Procyclean 600'!E401))))),""))</f>
        <v/>
      </c>
      <c r="AM3399" t="str">
        <f t="shared" ca="1" si="340"/>
        <v/>
      </c>
    </row>
    <row r="3400" spans="27:39" x14ac:dyDescent="0.3">
      <c r="AA3400" t="str">
        <f>IF(COUNTA('Procyclean 600'!B402,'Procyclean 600'!C402,'Procyclean 600'!D402)&gt;0,"600","")</f>
        <v/>
      </c>
      <c r="AB3400" t="str">
        <f>IFERROR(IF(ISNUMBER('Procyclean 600'!B402),'Procyclean 600'!B402,DATEVALUE('Procyclean 600'!B402)),"")</f>
        <v/>
      </c>
      <c r="AC3400" t="str">
        <f>IF(AA3400="","",'Procyclean 600'!C402)</f>
        <v/>
      </c>
      <c r="AD3400" t="str">
        <f>IF(AA3400="","",IFERROR(1*'Procyclean 600'!D402,IFERROR(_xludf.NUMBERVALUE('Procyclean 600'!D402,".",","),IFERROR(_xludf.NUMBERVALUE('Procyclean 600'!D402,",","."),0))))</f>
        <v/>
      </c>
      <c r="AE3400" t="str">
        <f>IF(AA3400="","",'Procyclean 600'!K402)</f>
        <v/>
      </c>
      <c r="AF3400">
        <f t="shared" si="335"/>
        <v>0</v>
      </c>
      <c r="AG3400" t="str">
        <f t="shared" si="336"/>
        <v/>
      </c>
      <c r="AH3400" t="str">
        <f t="shared" si="337"/>
        <v/>
      </c>
      <c r="AI3400">
        <f t="shared" si="338"/>
        <v>0</v>
      </c>
      <c r="AJ3400">
        <f t="shared" si="339"/>
        <v>0</v>
      </c>
      <c r="AK3400">
        <v>0</v>
      </c>
      <c r="AL3400" t="str">
        <f>IF(AA3400="","",IFERROR(IF(ISNUMBER('Procyclean 600'!E402),'Procyclean 600'!E402,IF(ISNUMBER(SEARCH("12",'Procyclean 600'!E402)),EDATE(AB3400,12),IF(ISNUMBER(SEARCH("6",'Procyclean 600'!E402)),EDATE(AB3400,6),IF(ISNUMBER(SEARCH("3",'Procyclean 600'!E402)),EDATE(AB3400,3),DATEVALUE('Procyclean 600'!E402))))),""))</f>
        <v/>
      </c>
      <c r="AM3400" t="str">
        <f t="shared" ca="1" si="340"/>
        <v/>
      </c>
    </row>
    <row r="3401" spans="27:39" x14ac:dyDescent="0.3">
      <c r="AA3401" t="str">
        <f>IF(COUNTA('Procyclean 600'!B403,'Procyclean 600'!C403,'Procyclean 600'!D403)&gt;0,"600","")</f>
        <v/>
      </c>
      <c r="AB3401" t="str">
        <f>IFERROR(IF(ISNUMBER('Procyclean 600'!B403),'Procyclean 600'!B403,DATEVALUE('Procyclean 600'!B403)),"")</f>
        <v/>
      </c>
      <c r="AC3401" t="str">
        <f>IF(AA3401="","",'Procyclean 600'!C403)</f>
        <v/>
      </c>
      <c r="AD3401" t="str">
        <f>IF(AA3401="","",IFERROR(1*'Procyclean 600'!D403,IFERROR(_xludf.NUMBERVALUE('Procyclean 600'!D403,".",","),IFERROR(_xludf.NUMBERVALUE('Procyclean 600'!D403,",","."),0))))</f>
        <v/>
      </c>
      <c r="AE3401" t="str">
        <f>IF(AA3401="","",'Procyclean 600'!K403)</f>
        <v/>
      </c>
      <c r="AF3401">
        <f t="shared" si="335"/>
        <v>0</v>
      </c>
      <c r="AG3401" t="str">
        <f t="shared" si="336"/>
        <v/>
      </c>
      <c r="AH3401" t="str">
        <f t="shared" si="337"/>
        <v/>
      </c>
      <c r="AI3401">
        <f t="shared" si="338"/>
        <v>0</v>
      </c>
      <c r="AJ3401">
        <f t="shared" si="339"/>
        <v>0</v>
      </c>
      <c r="AK3401">
        <v>0</v>
      </c>
      <c r="AL3401" t="str">
        <f>IF(AA3401="","",IFERROR(IF(ISNUMBER('Procyclean 600'!E403),'Procyclean 600'!E403,IF(ISNUMBER(SEARCH("12",'Procyclean 600'!E403)),EDATE(AB3401,12),IF(ISNUMBER(SEARCH("6",'Procyclean 600'!E403)),EDATE(AB3401,6),IF(ISNUMBER(SEARCH("3",'Procyclean 600'!E403)),EDATE(AB3401,3),DATEVALUE('Procyclean 600'!E403))))),""))</f>
        <v/>
      </c>
      <c r="AM3401" t="str">
        <f t="shared" ca="1" si="340"/>
        <v/>
      </c>
    </row>
    <row r="3402" spans="27:39" x14ac:dyDescent="0.3">
      <c r="AA3402" t="str">
        <f>IF(COUNTA('Procyclean 600'!B404,'Procyclean 600'!C404,'Procyclean 600'!D404)&gt;0,"600","")</f>
        <v/>
      </c>
      <c r="AB3402" t="str">
        <f>IFERROR(IF(ISNUMBER('Procyclean 600'!B404),'Procyclean 600'!B404,DATEVALUE('Procyclean 600'!B404)),"")</f>
        <v/>
      </c>
      <c r="AC3402" t="str">
        <f>IF(AA3402="","",'Procyclean 600'!C404)</f>
        <v/>
      </c>
      <c r="AD3402" t="str">
        <f>IF(AA3402="","",IFERROR(1*'Procyclean 600'!D404,IFERROR(_xludf.NUMBERVALUE('Procyclean 600'!D404,".",","),IFERROR(_xludf.NUMBERVALUE('Procyclean 600'!D404,",","."),0))))</f>
        <v/>
      </c>
      <c r="AE3402" t="str">
        <f>IF(AA3402="","",'Procyclean 600'!K404)</f>
        <v/>
      </c>
      <c r="AF3402">
        <f t="shared" si="335"/>
        <v>0</v>
      </c>
      <c r="AG3402" t="str">
        <f t="shared" si="336"/>
        <v/>
      </c>
      <c r="AH3402" t="str">
        <f t="shared" si="337"/>
        <v/>
      </c>
      <c r="AI3402">
        <f t="shared" si="338"/>
        <v>0</v>
      </c>
      <c r="AJ3402">
        <f t="shared" si="339"/>
        <v>0</v>
      </c>
      <c r="AK3402">
        <v>0</v>
      </c>
      <c r="AL3402" t="str">
        <f>IF(AA3402="","",IFERROR(IF(ISNUMBER('Procyclean 600'!E404),'Procyclean 600'!E404,IF(ISNUMBER(SEARCH("12",'Procyclean 600'!E404)),EDATE(AB3402,12),IF(ISNUMBER(SEARCH("6",'Procyclean 600'!E404)),EDATE(AB3402,6),IF(ISNUMBER(SEARCH("3",'Procyclean 600'!E404)),EDATE(AB3402,3),DATEVALUE('Procyclean 600'!E404))))),""))</f>
        <v/>
      </c>
      <c r="AM3402" t="str">
        <f t="shared" ca="1" si="340"/>
        <v/>
      </c>
    </row>
    <row r="3403" spans="27:39" x14ac:dyDescent="0.3">
      <c r="AA3403" t="str">
        <f>IF(COUNTA('Procyclean 600'!B405,'Procyclean 600'!C405,'Procyclean 600'!D405)&gt;0,"600","")</f>
        <v/>
      </c>
      <c r="AB3403" t="str">
        <f>IFERROR(IF(ISNUMBER('Procyclean 600'!B405),'Procyclean 600'!B405,DATEVALUE('Procyclean 600'!B405)),"")</f>
        <v/>
      </c>
      <c r="AC3403" t="str">
        <f>IF(AA3403="","",'Procyclean 600'!C405)</f>
        <v/>
      </c>
      <c r="AD3403" t="str">
        <f>IF(AA3403="","",IFERROR(1*'Procyclean 600'!D405,IFERROR(_xludf.NUMBERVALUE('Procyclean 600'!D405,".",","),IFERROR(_xludf.NUMBERVALUE('Procyclean 600'!D405,",","."),0))))</f>
        <v/>
      </c>
      <c r="AE3403" t="str">
        <f>IF(AA3403="","",'Procyclean 600'!K405)</f>
        <v/>
      </c>
      <c r="AF3403">
        <f t="shared" si="335"/>
        <v>0</v>
      </c>
      <c r="AG3403" t="str">
        <f t="shared" si="336"/>
        <v/>
      </c>
      <c r="AH3403" t="str">
        <f t="shared" si="337"/>
        <v/>
      </c>
      <c r="AI3403">
        <f t="shared" si="338"/>
        <v>0</v>
      </c>
      <c r="AJ3403">
        <f t="shared" si="339"/>
        <v>0</v>
      </c>
      <c r="AK3403">
        <v>0</v>
      </c>
      <c r="AL3403" t="str">
        <f>IF(AA3403="","",IFERROR(IF(ISNUMBER('Procyclean 600'!E405),'Procyclean 600'!E405,IF(ISNUMBER(SEARCH("12",'Procyclean 600'!E405)),EDATE(AB3403,12),IF(ISNUMBER(SEARCH("6",'Procyclean 600'!E405)),EDATE(AB3403,6),IF(ISNUMBER(SEARCH("3",'Procyclean 600'!E405)),EDATE(AB3403,3),DATEVALUE('Procyclean 600'!E405))))),""))</f>
        <v/>
      </c>
      <c r="AM3403" t="str">
        <f t="shared" ca="1" si="340"/>
        <v/>
      </c>
    </row>
    <row r="3404" spans="27:39" x14ac:dyDescent="0.3">
      <c r="AA3404" t="str">
        <f>IF(COUNTA('Procyclean 600'!B406,'Procyclean 600'!C406,'Procyclean 600'!D406)&gt;0,"600","")</f>
        <v/>
      </c>
      <c r="AB3404" t="str">
        <f>IFERROR(IF(ISNUMBER('Procyclean 600'!B406),'Procyclean 600'!B406,DATEVALUE('Procyclean 600'!B406)),"")</f>
        <v/>
      </c>
      <c r="AC3404" t="str">
        <f>IF(AA3404="","",'Procyclean 600'!C406)</f>
        <v/>
      </c>
      <c r="AD3404" t="str">
        <f>IF(AA3404="","",IFERROR(1*'Procyclean 600'!D406,IFERROR(_xludf.NUMBERVALUE('Procyclean 600'!D406,".",","),IFERROR(_xludf.NUMBERVALUE('Procyclean 600'!D406,",","."),0))))</f>
        <v/>
      </c>
      <c r="AE3404" t="str">
        <f>IF(AA3404="","",'Procyclean 600'!K406)</f>
        <v/>
      </c>
      <c r="AF3404">
        <f t="shared" si="335"/>
        <v>0</v>
      </c>
      <c r="AG3404" t="str">
        <f t="shared" si="336"/>
        <v/>
      </c>
      <c r="AH3404" t="str">
        <f t="shared" si="337"/>
        <v/>
      </c>
      <c r="AI3404">
        <f t="shared" si="338"/>
        <v>0</v>
      </c>
      <c r="AJ3404">
        <f t="shared" si="339"/>
        <v>0</v>
      </c>
      <c r="AK3404">
        <v>0</v>
      </c>
      <c r="AL3404" t="str">
        <f>IF(AA3404="","",IFERROR(IF(ISNUMBER('Procyclean 600'!E406),'Procyclean 600'!E406,IF(ISNUMBER(SEARCH("12",'Procyclean 600'!E406)),EDATE(AB3404,12),IF(ISNUMBER(SEARCH("6",'Procyclean 600'!E406)),EDATE(AB3404,6),IF(ISNUMBER(SEARCH("3",'Procyclean 600'!E406)),EDATE(AB3404,3),DATEVALUE('Procyclean 600'!E406))))),""))</f>
        <v/>
      </c>
      <c r="AM3404" t="str">
        <f t="shared" ca="1" si="340"/>
        <v/>
      </c>
    </row>
    <row r="3405" spans="27:39" x14ac:dyDescent="0.3">
      <c r="AA3405" t="str">
        <f>IF(COUNTA('Procyclean 600'!B407,'Procyclean 600'!C407,'Procyclean 600'!D407)&gt;0,"600","")</f>
        <v/>
      </c>
      <c r="AB3405" t="str">
        <f>IFERROR(IF(ISNUMBER('Procyclean 600'!B407),'Procyclean 600'!B407,DATEVALUE('Procyclean 600'!B407)),"")</f>
        <v/>
      </c>
      <c r="AC3405" t="str">
        <f>IF(AA3405="","",'Procyclean 600'!C407)</f>
        <v/>
      </c>
      <c r="AD3405" t="str">
        <f>IF(AA3405="","",IFERROR(1*'Procyclean 600'!D407,IFERROR(_xludf.NUMBERVALUE('Procyclean 600'!D407,".",","),IFERROR(_xludf.NUMBERVALUE('Procyclean 600'!D407,",","."),0))))</f>
        <v/>
      </c>
      <c r="AE3405" t="str">
        <f>IF(AA3405="","",'Procyclean 600'!K407)</f>
        <v/>
      </c>
      <c r="AF3405">
        <f t="shared" si="335"/>
        <v>0</v>
      </c>
      <c r="AG3405" t="str">
        <f t="shared" si="336"/>
        <v/>
      </c>
      <c r="AH3405" t="str">
        <f t="shared" si="337"/>
        <v/>
      </c>
      <c r="AI3405">
        <f t="shared" si="338"/>
        <v>0</v>
      </c>
      <c r="AJ3405">
        <f t="shared" si="339"/>
        <v>0</v>
      </c>
      <c r="AK3405">
        <v>0</v>
      </c>
      <c r="AL3405" t="str">
        <f>IF(AA3405="","",IFERROR(IF(ISNUMBER('Procyclean 600'!E407),'Procyclean 600'!E407,IF(ISNUMBER(SEARCH("12",'Procyclean 600'!E407)),EDATE(AB3405,12),IF(ISNUMBER(SEARCH("6",'Procyclean 600'!E407)),EDATE(AB3405,6),IF(ISNUMBER(SEARCH("3",'Procyclean 600'!E407)),EDATE(AB3405,3),DATEVALUE('Procyclean 600'!E407))))),""))</f>
        <v/>
      </c>
      <c r="AM3405" t="str">
        <f t="shared" ca="1" si="340"/>
        <v/>
      </c>
    </row>
    <row r="3406" spans="27:39" x14ac:dyDescent="0.3">
      <c r="AA3406" t="str">
        <f>IF(COUNTA('Procyclean 600'!B408,'Procyclean 600'!C408,'Procyclean 600'!D408)&gt;0,"600","")</f>
        <v/>
      </c>
      <c r="AB3406" t="str">
        <f>IFERROR(IF(ISNUMBER('Procyclean 600'!B408),'Procyclean 600'!B408,DATEVALUE('Procyclean 600'!B408)),"")</f>
        <v/>
      </c>
      <c r="AC3406" t="str">
        <f>IF(AA3406="","",'Procyclean 600'!C408)</f>
        <v/>
      </c>
      <c r="AD3406" t="str">
        <f>IF(AA3406="","",IFERROR(1*'Procyclean 600'!D408,IFERROR(_xludf.NUMBERVALUE('Procyclean 600'!D408,".",","),IFERROR(_xludf.NUMBERVALUE('Procyclean 600'!D408,",","."),0))))</f>
        <v/>
      </c>
      <c r="AE3406" t="str">
        <f>IF(AA3406="","",'Procyclean 600'!K408)</f>
        <v/>
      </c>
      <c r="AF3406">
        <f t="shared" si="335"/>
        <v>0</v>
      </c>
      <c r="AG3406" t="str">
        <f t="shared" si="336"/>
        <v/>
      </c>
      <c r="AH3406" t="str">
        <f t="shared" si="337"/>
        <v/>
      </c>
      <c r="AI3406">
        <f t="shared" si="338"/>
        <v>0</v>
      </c>
      <c r="AJ3406">
        <f t="shared" si="339"/>
        <v>0</v>
      </c>
      <c r="AK3406">
        <v>0</v>
      </c>
      <c r="AL3406" t="str">
        <f>IF(AA3406="","",IFERROR(IF(ISNUMBER('Procyclean 600'!E408),'Procyclean 600'!E408,IF(ISNUMBER(SEARCH("12",'Procyclean 600'!E408)),EDATE(AB3406,12),IF(ISNUMBER(SEARCH("6",'Procyclean 600'!E408)),EDATE(AB3406,6),IF(ISNUMBER(SEARCH("3",'Procyclean 600'!E408)),EDATE(AB3406,3),DATEVALUE('Procyclean 600'!E408))))),""))</f>
        <v/>
      </c>
      <c r="AM3406" t="str">
        <f t="shared" ca="1" si="340"/>
        <v/>
      </c>
    </row>
    <row r="3407" spans="27:39" x14ac:dyDescent="0.3">
      <c r="AA3407" t="str">
        <f>IF(COUNTA('Procyclean 600'!B409,'Procyclean 600'!C409,'Procyclean 600'!D409)&gt;0,"600","")</f>
        <v/>
      </c>
      <c r="AB3407" t="str">
        <f>IFERROR(IF(ISNUMBER('Procyclean 600'!B409),'Procyclean 600'!B409,DATEVALUE('Procyclean 600'!B409)),"")</f>
        <v/>
      </c>
      <c r="AC3407" t="str">
        <f>IF(AA3407="","",'Procyclean 600'!C409)</f>
        <v/>
      </c>
      <c r="AD3407" t="str">
        <f>IF(AA3407="","",IFERROR(1*'Procyclean 600'!D409,IFERROR(_xludf.NUMBERVALUE('Procyclean 600'!D409,".",","),IFERROR(_xludf.NUMBERVALUE('Procyclean 600'!D409,",","."),0))))</f>
        <v/>
      </c>
      <c r="AE3407" t="str">
        <f>IF(AA3407="","",'Procyclean 600'!K409)</f>
        <v/>
      </c>
      <c r="AF3407">
        <f t="shared" si="335"/>
        <v>0</v>
      </c>
      <c r="AG3407" t="str">
        <f t="shared" si="336"/>
        <v/>
      </c>
      <c r="AH3407" t="str">
        <f t="shared" si="337"/>
        <v/>
      </c>
      <c r="AI3407">
        <f t="shared" si="338"/>
        <v>0</v>
      </c>
      <c r="AJ3407">
        <f t="shared" si="339"/>
        <v>0</v>
      </c>
      <c r="AK3407">
        <v>0</v>
      </c>
      <c r="AL3407" t="str">
        <f>IF(AA3407="","",IFERROR(IF(ISNUMBER('Procyclean 600'!E409),'Procyclean 600'!E409,IF(ISNUMBER(SEARCH("12",'Procyclean 600'!E409)),EDATE(AB3407,12),IF(ISNUMBER(SEARCH("6",'Procyclean 600'!E409)),EDATE(AB3407,6),IF(ISNUMBER(SEARCH("3",'Procyclean 600'!E409)),EDATE(AB3407,3),DATEVALUE('Procyclean 600'!E409))))),""))</f>
        <v/>
      </c>
      <c r="AM3407" t="str">
        <f t="shared" ca="1" si="340"/>
        <v/>
      </c>
    </row>
    <row r="3408" spans="27:39" x14ac:dyDescent="0.3">
      <c r="AA3408" t="str">
        <f>IF(COUNTA('Procyclean 600'!B410,'Procyclean 600'!C410,'Procyclean 600'!D410)&gt;0,"600","")</f>
        <v/>
      </c>
      <c r="AB3408" t="str">
        <f>IFERROR(IF(ISNUMBER('Procyclean 600'!B410),'Procyclean 600'!B410,DATEVALUE('Procyclean 600'!B410)),"")</f>
        <v/>
      </c>
      <c r="AC3408" t="str">
        <f>IF(AA3408="","",'Procyclean 600'!C410)</f>
        <v/>
      </c>
      <c r="AD3408" t="str">
        <f>IF(AA3408="","",IFERROR(1*'Procyclean 600'!D410,IFERROR(_xludf.NUMBERVALUE('Procyclean 600'!D410,".",","),IFERROR(_xludf.NUMBERVALUE('Procyclean 600'!D410,",","."),0))))</f>
        <v/>
      </c>
      <c r="AE3408" t="str">
        <f>IF(AA3408="","",'Procyclean 600'!K410)</f>
        <v/>
      </c>
      <c r="AF3408">
        <f t="shared" si="335"/>
        <v>0</v>
      </c>
      <c r="AG3408" t="str">
        <f t="shared" si="336"/>
        <v/>
      </c>
      <c r="AH3408" t="str">
        <f t="shared" si="337"/>
        <v/>
      </c>
      <c r="AI3408">
        <f t="shared" si="338"/>
        <v>0</v>
      </c>
      <c r="AJ3408">
        <f t="shared" si="339"/>
        <v>0</v>
      </c>
      <c r="AK3408">
        <v>0</v>
      </c>
      <c r="AL3408" t="str">
        <f>IF(AA3408="","",IFERROR(IF(ISNUMBER('Procyclean 600'!E410),'Procyclean 600'!E410,IF(ISNUMBER(SEARCH("12",'Procyclean 600'!E410)),EDATE(AB3408,12),IF(ISNUMBER(SEARCH("6",'Procyclean 600'!E410)),EDATE(AB3408,6),IF(ISNUMBER(SEARCH("3",'Procyclean 600'!E410)),EDATE(AB3408,3),DATEVALUE('Procyclean 600'!E410))))),""))</f>
        <v/>
      </c>
      <c r="AM3408" t="str">
        <f t="shared" ca="1" si="340"/>
        <v/>
      </c>
    </row>
    <row r="3409" spans="27:39" x14ac:dyDescent="0.3">
      <c r="AA3409" t="str">
        <f>IF(COUNTA('Procyclean 600'!B411,'Procyclean 600'!C411,'Procyclean 600'!D411)&gt;0,"600","")</f>
        <v/>
      </c>
      <c r="AB3409" t="str">
        <f>IFERROR(IF(ISNUMBER('Procyclean 600'!B411),'Procyclean 600'!B411,DATEVALUE('Procyclean 600'!B411)),"")</f>
        <v/>
      </c>
      <c r="AC3409" t="str">
        <f>IF(AA3409="","",'Procyclean 600'!C411)</f>
        <v/>
      </c>
      <c r="AD3409" t="str">
        <f>IF(AA3409="","",IFERROR(1*'Procyclean 600'!D411,IFERROR(_xludf.NUMBERVALUE('Procyclean 600'!D411,".",","),IFERROR(_xludf.NUMBERVALUE('Procyclean 600'!D411,",","."),0))))</f>
        <v/>
      </c>
      <c r="AE3409" t="str">
        <f>IF(AA3409="","",'Procyclean 600'!K411)</f>
        <v/>
      </c>
      <c r="AF3409">
        <f t="shared" si="335"/>
        <v>0</v>
      </c>
      <c r="AG3409" t="str">
        <f t="shared" si="336"/>
        <v/>
      </c>
      <c r="AH3409" t="str">
        <f t="shared" si="337"/>
        <v/>
      </c>
      <c r="AI3409">
        <f t="shared" si="338"/>
        <v>0</v>
      </c>
      <c r="AJ3409">
        <f t="shared" si="339"/>
        <v>0</v>
      </c>
      <c r="AK3409">
        <v>0</v>
      </c>
      <c r="AL3409" t="str">
        <f>IF(AA3409="","",IFERROR(IF(ISNUMBER('Procyclean 600'!E411),'Procyclean 600'!E411,IF(ISNUMBER(SEARCH("12",'Procyclean 600'!E411)),EDATE(AB3409,12),IF(ISNUMBER(SEARCH("6",'Procyclean 600'!E411)),EDATE(AB3409,6),IF(ISNUMBER(SEARCH("3",'Procyclean 600'!E411)),EDATE(AB3409,3),DATEVALUE('Procyclean 600'!E411))))),""))</f>
        <v/>
      </c>
      <c r="AM3409" t="str">
        <f t="shared" ca="1" si="340"/>
        <v/>
      </c>
    </row>
    <row r="3410" spans="27:39" x14ac:dyDescent="0.3">
      <c r="AA3410" t="str">
        <f>IF(COUNTA('Procyclean 600'!B412,'Procyclean 600'!C412,'Procyclean 600'!D412)&gt;0,"600","")</f>
        <v/>
      </c>
      <c r="AB3410" t="str">
        <f>IFERROR(IF(ISNUMBER('Procyclean 600'!B412),'Procyclean 600'!B412,DATEVALUE('Procyclean 600'!B412)),"")</f>
        <v/>
      </c>
      <c r="AC3410" t="str">
        <f>IF(AA3410="","",'Procyclean 600'!C412)</f>
        <v/>
      </c>
      <c r="AD3410" t="str">
        <f>IF(AA3410="","",IFERROR(1*'Procyclean 600'!D412,IFERROR(_xludf.NUMBERVALUE('Procyclean 600'!D412,".",","),IFERROR(_xludf.NUMBERVALUE('Procyclean 600'!D412,",","."),0))))</f>
        <v/>
      </c>
      <c r="AE3410" t="str">
        <f>IF(AA3410="","",'Procyclean 600'!K412)</f>
        <v/>
      </c>
      <c r="AF3410">
        <f t="shared" si="335"/>
        <v>0</v>
      </c>
      <c r="AG3410" t="str">
        <f t="shared" si="336"/>
        <v/>
      </c>
      <c r="AH3410" t="str">
        <f t="shared" si="337"/>
        <v/>
      </c>
      <c r="AI3410">
        <f t="shared" si="338"/>
        <v>0</v>
      </c>
      <c r="AJ3410">
        <f t="shared" si="339"/>
        <v>0</v>
      </c>
      <c r="AK3410">
        <v>0</v>
      </c>
      <c r="AL3410" t="str">
        <f>IF(AA3410="","",IFERROR(IF(ISNUMBER('Procyclean 600'!E412),'Procyclean 600'!E412,IF(ISNUMBER(SEARCH("12",'Procyclean 600'!E412)),EDATE(AB3410,12),IF(ISNUMBER(SEARCH("6",'Procyclean 600'!E412)),EDATE(AB3410,6),IF(ISNUMBER(SEARCH("3",'Procyclean 600'!E412)),EDATE(AB3410,3),DATEVALUE('Procyclean 600'!E412))))),""))</f>
        <v/>
      </c>
      <c r="AM3410" t="str">
        <f t="shared" ca="1" si="340"/>
        <v/>
      </c>
    </row>
    <row r="3411" spans="27:39" x14ac:dyDescent="0.3">
      <c r="AA3411" t="str">
        <f>IF(COUNTA('Procyclean 600'!B413,'Procyclean 600'!C413,'Procyclean 600'!D413)&gt;0,"600","")</f>
        <v/>
      </c>
      <c r="AB3411" t="str">
        <f>IFERROR(IF(ISNUMBER('Procyclean 600'!B413),'Procyclean 600'!B413,DATEVALUE('Procyclean 600'!B413)),"")</f>
        <v/>
      </c>
      <c r="AC3411" t="str">
        <f>IF(AA3411="","",'Procyclean 600'!C413)</f>
        <v/>
      </c>
      <c r="AD3411" t="str">
        <f>IF(AA3411="","",IFERROR(1*'Procyclean 600'!D413,IFERROR(_xludf.NUMBERVALUE('Procyclean 600'!D413,".",","),IFERROR(_xludf.NUMBERVALUE('Procyclean 600'!D413,",","."),0))))</f>
        <v/>
      </c>
      <c r="AE3411" t="str">
        <f>IF(AA3411="","",'Procyclean 600'!K413)</f>
        <v/>
      </c>
      <c r="AF3411">
        <f t="shared" si="335"/>
        <v>0</v>
      </c>
      <c r="AG3411" t="str">
        <f t="shared" si="336"/>
        <v/>
      </c>
      <c r="AH3411" t="str">
        <f t="shared" si="337"/>
        <v/>
      </c>
      <c r="AI3411">
        <f t="shared" si="338"/>
        <v>0</v>
      </c>
      <c r="AJ3411">
        <f t="shared" si="339"/>
        <v>0</v>
      </c>
      <c r="AK3411">
        <v>0</v>
      </c>
      <c r="AL3411" t="str">
        <f>IF(AA3411="","",IFERROR(IF(ISNUMBER('Procyclean 600'!E413),'Procyclean 600'!E413,IF(ISNUMBER(SEARCH("12",'Procyclean 600'!E413)),EDATE(AB3411,12),IF(ISNUMBER(SEARCH("6",'Procyclean 600'!E413)),EDATE(AB3411,6),IF(ISNUMBER(SEARCH("3",'Procyclean 600'!E413)),EDATE(AB3411,3),DATEVALUE('Procyclean 600'!E413))))),""))</f>
        <v/>
      </c>
      <c r="AM3411" t="str">
        <f t="shared" ca="1" si="340"/>
        <v/>
      </c>
    </row>
    <row r="3412" spans="27:39" x14ac:dyDescent="0.3">
      <c r="AA3412" t="str">
        <f>IF(COUNTA('Procyclean 600'!B414,'Procyclean 600'!C414,'Procyclean 600'!D414)&gt;0,"600","")</f>
        <v/>
      </c>
      <c r="AB3412" t="str">
        <f>IFERROR(IF(ISNUMBER('Procyclean 600'!B414),'Procyclean 600'!B414,DATEVALUE('Procyclean 600'!B414)),"")</f>
        <v/>
      </c>
      <c r="AC3412" t="str">
        <f>IF(AA3412="","",'Procyclean 600'!C414)</f>
        <v/>
      </c>
      <c r="AD3412" t="str">
        <f>IF(AA3412="","",IFERROR(1*'Procyclean 600'!D414,IFERROR(_xludf.NUMBERVALUE('Procyclean 600'!D414,".",","),IFERROR(_xludf.NUMBERVALUE('Procyclean 600'!D414,",","."),0))))</f>
        <v/>
      </c>
      <c r="AE3412" t="str">
        <f>IF(AA3412="","",'Procyclean 600'!K414)</f>
        <v/>
      </c>
      <c r="AF3412">
        <f t="shared" si="335"/>
        <v>0</v>
      </c>
      <c r="AG3412" t="str">
        <f t="shared" si="336"/>
        <v/>
      </c>
      <c r="AH3412" t="str">
        <f t="shared" si="337"/>
        <v/>
      </c>
      <c r="AI3412">
        <f t="shared" si="338"/>
        <v>0</v>
      </c>
      <c r="AJ3412">
        <f t="shared" si="339"/>
        <v>0</v>
      </c>
      <c r="AK3412">
        <v>0</v>
      </c>
      <c r="AL3412" t="str">
        <f>IF(AA3412="","",IFERROR(IF(ISNUMBER('Procyclean 600'!E414),'Procyclean 600'!E414,IF(ISNUMBER(SEARCH("12",'Procyclean 600'!E414)),EDATE(AB3412,12),IF(ISNUMBER(SEARCH("6",'Procyclean 600'!E414)),EDATE(AB3412,6),IF(ISNUMBER(SEARCH("3",'Procyclean 600'!E414)),EDATE(AB3412,3),DATEVALUE('Procyclean 600'!E414))))),""))</f>
        <v/>
      </c>
      <c r="AM3412" t="str">
        <f t="shared" ca="1" si="340"/>
        <v/>
      </c>
    </row>
    <row r="3413" spans="27:39" x14ac:dyDescent="0.3">
      <c r="AA3413" t="str">
        <f>IF(COUNTA('Procyclean 600'!B415,'Procyclean 600'!C415,'Procyclean 600'!D415)&gt;0,"600","")</f>
        <v/>
      </c>
      <c r="AB3413" t="str">
        <f>IFERROR(IF(ISNUMBER('Procyclean 600'!B415),'Procyclean 600'!B415,DATEVALUE('Procyclean 600'!B415)),"")</f>
        <v/>
      </c>
      <c r="AC3413" t="str">
        <f>IF(AA3413="","",'Procyclean 600'!C415)</f>
        <v/>
      </c>
      <c r="AD3413" t="str">
        <f>IF(AA3413="","",IFERROR(1*'Procyclean 600'!D415,IFERROR(_xludf.NUMBERVALUE('Procyclean 600'!D415,".",","),IFERROR(_xludf.NUMBERVALUE('Procyclean 600'!D415,",","."),0))))</f>
        <v/>
      </c>
      <c r="AE3413" t="str">
        <f>IF(AA3413="","",'Procyclean 600'!K415)</f>
        <v/>
      </c>
      <c r="AF3413">
        <f t="shared" si="335"/>
        <v>0</v>
      </c>
      <c r="AG3413" t="str">
        <f t="shared" si="336"/>
        <v/>
      </c>
      <c r="AH3413" t="str">
        <f t="shared" si="337"/>
        <v/>
      </c>
      <c r="AI3413">
        <f t="shared" si="338"/>
        <v>0</v>
      </c>
      <c r="AJ3413">
        <f t="shared" si="339"/>
        <v>0</v>
      </c>
      <c r="AK3413">
        <v>0</v>
      </c>
      <c r="AL3413" t="str">
        <f>IF(AA3413="","",IFERROR(IF(ISNUMBER('Procyclean 600'!E415),'Procyclean 600'!E415,IF(ISNUMBER(SEARCH("12",'Procyclean 600'!E415)),EDATE(AB3413,12),IF(ISNUMBER(SEARCH("6",'Procyclean 600'!E415)),EDATE(AB3413,6),IF(ISNUMBER(SEARCH("3",'Procyclean 600'!E415)),EDATE(AB3413,3),DATEVALUE('Procyclean 600'!E415))))),""))</f>
        <v/>
      </c>
      <c r="AM3413" t="str">
        <f t="shared" ca="1" si="340"/>
        <v/>
      </c>
    </row>
    <row r="3414" spans="27:39" x14ac:dyDescent="0.3">
      <c r="AA3414" t="str">
        <f>IF(COUNTA('Procyclean 600'!B416,'Procyclean 600'!C416,'Procyclean 600'!D416)&gt;0,"600","")</f>
        <v/>
      </c>
      <c r="AB3414" t="str">
        <f>IFERROR(IF(ISNUMBER('Procyclean 600'!B416),'Procyclean 600'!B416,DATEVALUE('Procyclean 600'!B416)),"")</f>
        <v/>
      </c>
      <c r="AC3414" t="str">
        <f>IF(AA3414="","",'Procyclean 600'!C416)</f>
        <v/>
      </c>
      <c r="AD3414" t="str">
        <f>IF(AA3414="","",IFERROR(1*'Procyclean 600'!D416,IFERROR(_xludf.NUMBERVALUE('Procyclean 600'!D416,".",","),IFERROR(_xludf.NUMBERVALUE('Procyclean 600'!D416,",","."),0))))</f>
        <v/>
      </c>
      <c r="AE3414" t="str">
        <f>IF(AA3414="","",'Procyclean 600'!K416)</f>
        <v/>
      </c>
      <c r="AF3414">
        <f t="shared" si="335"/>
        <v>0</v>
      </c>
      <c r="AG3414" t="str">
        <f t="shared" si="336"/>
        <v/>
      </c>
      <c r="AH3414" t="str">
        <f t="shared" si="337"/>
        <v/>
      </c>
      <c r="AI3414">
        <f t="shared" si="338"/>
        <v>0</v>
      </c>
      <c r="AJ3414">
        <f t="shared" si="339"/>
        <v>0</v>
      </c>
      <c r="AK3414">
        <v>0</v>
      </c>
      <c r="AL3414" t="str">
        <f>IF(AA3414="","",IFERROR(IF(ISNUMBER('Procyclean 600'!E416),'Procyclean 600'!E416,IF(ISNUMBER(SEARCH("12",'Procyclean 600'!E416)),EDATE(AB3414,12),IF(ISNUMBER(SEARCH("6",'Procyclean 600'!E416)),EDATE(AB3414,6),IF(ISNUMBER(SEARCH("3",'Procyclean 600'!E416)),EDATE(AB3414,3),DATEVALUE('Procyclean 600'!E416))))),""))</f>
        <v/>
      </c>
      <c r="AM3414" t="str">
        <f t="shared" ca="1" si="340"/>
        <v/>
      </c>
    </row>
    <row r="3415" spans="27:39" x14ac:dyDescent="0.3">
      <c r="AA3415" t="str">
        <f>IF(COUNTA('Procyclean 600'!B417,'Procyclean 600'!C417,'Procyclean 600'!D417)&gt;0,"600","")</f>
        <v/>
      </c>
      <c r="AB3415" t="str">
        <f>IFERROR(IF(ISNUMBER('Procyclean 600'!B417),'Procyclean 600'!B417,DATEVALUE('Procyclean 600'!B417)),"")</f>
        <v/>
      </c>
      <c r="AC3415" t="str">
        <f>IF(AA3415="","",'Procyclean 600'!C417)</f>
        <v/>
      </c>
      <c r="AD3415" t="str">
        <f>IF(AA3415="","",IFERROR(1*'Procyclean 600'!D417,IFERROR(_xludf.NUMBERVALUE('Procyclean 600'!D417,".",","),IFERROR(_xludf.NUMBERVALUE('Procyclean 600'!D417,",","."),0))))</f>
        <v/>
      </c>
      <c r="AE3415" t="str">
        <f>IF(AA3415="","",'Procyclean 600'!K417)</f>
        <v/>
      </c>
      <c r="AF3415">
        <f t="shared" si="335"/>
        <v>0</v>
      </c>
      <c r="AG3415" t="str">
        <f t="shared" si="336"/>
        <v/>
      </c>
      <c r="AH3415" t="str">
        <f t="shared" si="337"/>
        <v/>
      </c>
      <c r="AI3415">
        <f t="shared" si="338"/>
        <v>0</v>
      </c>
      <c r="AJ3415">
        <f t="shared" si="339"/>
        <v>0</v>
      </c>
      <c r="AK3415">
        <v>0</v>
      </c>
      <c r="AL3415" t="str">
        <f>IF(AA3415="","",IFERROR(IF(ISNUMBER('Procyclean 600'!E417),'Procyclean 600'!E417,IF(ISNUMBER(SEARCH("12",'Procyclean 600'!E417)),EDATE(AB3415,12),IF(ISNUMBER(SEARCH("6",'Procyclean 600'!E417)),EDATE(AB3415,6),IF(ISNUMBER(SEARCH("3",'Procyclean 600'!E417)),EDATE(AB3415,3),DATEVALUE('Procyclean 600'!E417))))),""))</f>
        <v/>
      </c>
      <c r="AM3415" t="str">
        <f t="shared" ca="1" si="340"/>
        <v/>
      </c>
    </row>
    <row r="3416" spans="27:39" x14ac:dyDescent="0.3">
      <c r="AA3416" t="str">
        <f>IF(COUNTA('Procyclean 600'!B418,'Procyclean 600'!C418,'Procyclean 600'!D418)&gt;0,"600","")</f>
        <v/>
      </c>
      <c r="AB3416" t="str">
        <f>IFERROR(IF(ISNUMBER('Procyclean 600'!B418),'Procyclean 600'!B418,DATEVALUE('Procyclean 600'!B418)),"")</f>
        <v/>
      </c>
      <c r="AC3416" t="str">
        <f>IF(AA3416="","",'Procyclean 600'!C418)</f>
        <v/>
      </c>
      <c r="AD3416" t="str">
        <f>IF(AA3416="","",IFERROR(1*'Procyclean 600'!D418,IFERROR(_xludf.NUMBERVALUE('Procyclean 600'!D418,".",","),IFERROR(_xludf.NUMBERVALUE('Procyclean 600'!D418,",","."),0))))</f>
        <v/>
      </c>
      <c r="AE3416" t="str">
        <f>IF(AA3416="","",'Procyclean 600'!K418)</f>
        <v/>
      </c>
      <c r="AF3416">
        <f t="shared" si="335"/>
        <v>0</v>
      </c>
      <c r="AG3416" t="str">
        <f t="shared" si="336"/>
        <v/>
      </c>
      <c r="AH3416" t="str">
        <f t="shared" si="337"/>
        <v/>
      </c>
      <c r="AI3416">
        <f t="shared" si="338"/>
        <v>0</v>
      </c>
      <c r="AJ3416">
        <f t="shared" si="339"/>
        <v>0</v>
      </c>
      <c r="AK3416">
        <v>0</v>
      </c>
      <c r="AL3416" t="str">
        <f>IF(AA3416="","",IFERROR(IF(ISNUMBER('Procyclean 600'!E418),'Procyclean 600'!E418,IF(ISNUMBER(SEARCH("12",'Procyclean 600'!E418)),EDATE(AB3416,12),IF(ISNUMBER(SEARCH("6",'Procyclean 600'!E418)),EDATE(AB3416,6),IF(ISNUMBER(SEARCH("3",'Procyclean 600'!E418)),EDATE(AB3416,3),DATEVALUE('Procyclean 600'!E418))))),""))</f>
        <v/>
      </c>
      <c r="AM3416" t="str">
        <f t="shared" ca="1" si="340"/>
        <v/>
      </c>
    </row>
    <row r="3417" spans="27:39" x14ac:dyDescent="0.3">
      <c r="AA3417" t="str">
        <f>IF(COUNTA('Procyclean 600'!B419,'Procyclean 600'!C419,'Procyclean 600'!D419)&gt;0,"600","")</f>
        <v/>
      </c>
      <c r="AB3417" t="str">
        <f>IFERROR(IF(ISNUMBER('Procyclean 600'!B419),'Procyclean 600'!B419,DATEVALUE('Procyclean 600'!B419)),"")</f>
        <v/>
      </c>
      <c r="AC3417" t="str">
        <f>IF(AA3417="","",'Procyclean 600'!C419)</f>
        <v/>
      </c>
      <c r="AD3417" t="str">
        <f>IF(AA3417="","",IFERROR(1*'Procyclean 600'!D419,IFERROR(_xludf.NUMBERVALUE('Procyclean 600'!D419,".",","),IFERROR(_xludf.NUMBERVALUE('Procyclean 600'!D419,",","."),0))))</f>
        <v/>
      </c>
      <c r="AE3417" t="str">
        <f>IF(AA3417="","",'Procyclean 600'!K419)</f>
        <v/>
      </c>
      <c r="AF3417">
        <f t="shared" si="335"/>
        <v>0</v>
      </c>
      <c r="AG3417" t="str">
        <f t="shared" si="336"/>
        <v/>
      </c>
      <c r="AH3417" t="str">
        <f t="shared" si="337"/>
        <v/>
      </c>
      <c r="AI3417">
        <f t="shared" si="338"/>
        <v>0</v>
      </c>
      <c r="AJ3417">
        <f t="shared" si="339"/>
        <v>0</v>
      </c>
      <c r="AK3417">
        <v>0</v>
      </c>
      <c r="AL3417" t="str">
        <f>IF(AA3417="","",IFERROR(IF(ISNUMBER('Procyclean 600'!E419),'Procyclean 600'!E419,IF(ISNUMBER(SEARCH("12",'Procyclean 600'!E419)),EDATE(AB3417,12),IF(ISNUMBER(SEARCH("6",'Procyclean 600'!E419)),EDATE(AB3417,6),IF(ISNUMBER(SEARCH("3",'Procyclean 600'!E419)),EDATE(AB3417,3),DATEVALUE('Procyclean 600'!E419))))),""))</f>
        <v/>
      </c>
      <c r="AM3417" t="str">
        <f t="shared" ca="1" si="340"/>
        <v/>
      </c>
    </row>
    <row r="3418" spans="27:39" x14ac:dyDescent="0.3">
      <c r="AA3418" t="str">
        <f>IF(COUNTA('Procyclean 600'!B420,'Procyclean 600'!C420,'Procyclean 600'!D420)&gt;0,"600","")</f>
        <v/>
      </c>
      <c r="AB3418" t="str">
        <f>IFERROR(IF(ISNUMBER('Procyclean 600'!B420),'Procyclean 600'!B420,DATEVALUE('Procyclean 600'!B420)),"")</f>
        <v/>
      </c>
      <c r="AC3418" t="str">
        <f>IF(AA3418="","",'Procyclean 600'!C420)</f>
        <v/>
      </c>
      <c r="AD3418" t="str">
        <f>IF(AA3418="","",IFERROR(1*'Procyclean 600'!D420,IFERROR(_xludf.NUMBERVALUE('Procyclean 600'!D420,".",","),IFERROR(_xludf.NUMBERVALUE('Procyclean 600'!D420,",","."),0))))</f>
        <v/>
      </c>
      <c r="AE3418" t="str">
        <f>IF(AA3418="","",'Procyclean 600'!K420)</f>
        <v/>
      </c>
      <c r="AF3418">
        <f t="shared" si="335"/>
        <v>0</v>
      </c>
      <c r="AG3418" t="str">
        <f t="shared" si="336"/>
        <v/>
      </c>
      <c r="AH3418" t="str">
        <f t="shared" si="337"/>
        <v/>
      </c>
      <c r="AI3418">
        <f t="shared" si="338"/>
        <v>0</v>
      </c>
      <c r="AJ3418">
        <f t="shared" si="339"/>
        <v>0</v>
      </c>
      <c r="AK3418">
        <v>0</v>
      </c>
      <c r="AL3418" t="str">
        <f>IF(AA3418="","",IFERROR(IF(ISNUMBER('Procyclean 600'!E420),'Procyclean 600'!E420,IF(ISNUMBER(SEARCH("12",'Procyclean 600'!E420)),EDATE(AB3418,12),IF(ISNUMBER(SEARCH("6",'Procyclean 600'!E420)),EDATE(AB3418,6),IF(ISNUMBER(SEARCH("3",'Procyclean 600'!E420)),EDATE(AB3418,3),DATEVALUE('Procyclean 600'!E420))))),""))</f>
        <v/>
      </c>
      <c r="AM3418" t="str">
        <f t="shared" ca="1" si="340"/>
        <v/>
      </c>
    </row>
    <row r="3419" spans="27:39" x14ac:dyDescent="0.3">
      <c r="AA3419" t="str">
        <f>IF(COUNTA('Procyclean 600'!B421,'Procyclean 600'!C421,'Procyclean 600'!D421)&gt;0,"600","")</f>
        <v/>
      </c>
      <c r="AB3419" t="str">
        <f>IFERROR(IF(ISNUMBER('Procyclean 600'!B421),'Procyclean 600'!B421,DATEVALUE('Procyclean 600'!B421)),"")</f>
        <v/>
      </c>
      <c r="AC3419" t="str">
        <f>IF(AA3419="","",'Procyclean 600'!C421)</f>
        <v/>
      </c>
      <c r="AD3419" t="str">
        <f>IF(AA3419="","",IFERROR(1*'Procyclean 600'!D421,IFERROR(_xludf.NUMBERVALUE('Procyclean 600'!D421,".",","),IFERROR(_xludf.NUMBERVALUE('Procyclean 600'!D421,",","."),0))))</f>
        <v/>
      </c>
      <c r="AE3419" t="str">
        <f>IF(AA3419="","",'Procyclean 600'!K421)</f>
        <v/>
      </c>
      <c r="AF3419">
        <f t="shared" si="335"/>
        <v>0</v>
      </c>
      <c r="AG3419" t="str">
        <f t="shared" si="336"/>
        <v/>
      </c>
      <c r="AH3419" t="str">
        <f t="shared" si="337"/>
        <v/>
      </c>
      <c r="AI3419">
        <f t="shared" si="338"/>
        <v>0</v>
      </c>
      <c r="AJ3419">
        <f t="shared" si="339"/>
        <v>0</v>
      </c>
      <c r="AK3419">
        <v>0</v>
      </c>
      <c r="AL3419" t="str">
        <f>IF(AA3419="","",IFERROR(IF(ISNUMBER('Procyclean 600'!E421),'Procyclean 600'!E421,IF(ISNUMBER(SEARCH("12",'Procyclean 600'!E421)),EDATE(AB3419,12),IF(ISNUMBER(SEARCH("6",'Procyclean 600'!E421)),EDATE(AB3419,6),IF(ISNUMBER(SEARCH("3",'Procyclean 600'!E421)),EDATE(AB3419,3),DATEVALUE('Procyclean 600'!E421))))),""))</f>
        <v/>
      </c>
      <c r="AM3419" t="str">
        <f t="shared" ca="1" si="340"/>
        <v/>
      </c>
    </row>
    <row r="3420" spans="27:39" x14ac:dyDescent="0.3">
      <c r="AA3420" t="str">
        <f>IF(COUNTA('Procyclean 600'!B422,'Procyclean 600'!C422,'Procyclean 600'!D422)&gt;0,"600","")</f>
        <v/>
      </c>
      <c r="AB3420" t="str">
        <f>IFERROR(IF(ISNUMBER('Procyclean 600'!B422),'Procyclean 600'!B422,DATEVALUE('Procyclean 600'!B422)),"")</f>
        <v/>
      </c>
      <c r="AC3420" t="str">
        <f>IF(AA3420="","",'Procyclean 600'!C422)</f>
        <v/>
      </c>
      <c r="AD3420" t="str">
        <f>IF(AA3420="","",IFERROR(1*'Procyclean 600'!D422,IFERROR(_xludf.NUMBERVALUE('Procyclean 600'!D422,".",","),IFERROR(_xludf.NUMBERVALUE('Procyclean 600'!D422,",","."),0))))</f>
        <v/>
      </c>
      <c r="AE3420" t="str">
        <f>IF(AA3420="","",'Procyclean 600'!K422)</f>
        <v/>
      </c>
      <c r="AF3420">
        <f t="shared" si="335"/>
        <v>0</v>
      </c>
      <c r="AG3420" t="str">
        <f t="shared" si="336"/>
        <v/>
      </c>
      <c r="AH3420" t="str">
        <f t="shared" si="337"/>
        <v/>
      </c>
      <c r="AI3420">
        <f t="shared" si="338"/>
        <v>0</v>
      </c>
      <c r="AJ3420">
        <f t="shared" si="339"/>
        <v>0</v>
      </c>
      <c r="AK3420">
        <v>0</v>
      </c>
      <c r="AL3420" t="str">
        <f>IF(AA3420="","",IFERROR(IF(ISNUMBER('Procyclean 600'!E422),'Procyclean 600'!E422,IF(ISNUMBER(SEARCH("12",'Procyclean 600'!E422)),EDATE(AB3420,12),IF(ISNUMBER(SEARCH("6",'Procyclean 600'!E422)),EDATE(AB3420,6),IF(ISNUMBER(SEARCH("3",'Procyclean 600'!E422)),EDATE(AB3420,3),DATEVALUE('Procyclean 600'!E422))))),""))</f>
        <v/>
      </c>
      <c r="AM3420" t="str">
        <f t="shared" ca="1" si="340"/>
        <v/>
      </c>
    </row>
    <row r="3421" spans="27:39" x14ac:dyDescent="0.3">
      <c r="AA3421" t="str">
        <f>IF(COUNTA('Procyclean 600'!B423,'Procyclean 600'!C423,'Procyclean 600'!D423)&gt;0,"600","")</f>
        <v/>
      </c>
      <c r="AB3421" t="str">
        <f>IFERROR(IF(ISNUMBER('Procyclean 600'!B423),'Procyclean 600'!B423,DATEVALUE('Procyclean 600'!B423)),"")</f>
        <v/>
      </c>
      <c r="AC3421" t="str">
        <f>IF(AA3421="","",'Procyclean 600'!C423)</f>
        <v/>
      </c>
      <c r="AD3421" t="str">
        <f>IF(AA3421="","",IFERROR(1*'Procyclean 600'!D423,IFERROR(_xludf.NUMBERVALUE('Procyclean 600'!D423,".",","),IFERROR(_xludf.NUMBERVALUE('Procyclean 600'!D423,",","."),0))))</f>
        <v/>
      </c>
      <c r="AE3421" t="str">
        <f>IF(AA3421="","",'Procyclean 600'!K423)</f>
        <v/>
      </c>
      <c r="AF3421">
        <f t="shared" si="335"/>
        <v>0</v>
      </c>
      <c r="AG3421" t="str">
        <f t="shared" si="336"/>
        <v/>
      </c>
      <c r="AH3421" t="str">
        <f t="shared" si="337"/>
        <v/>
      </c>
      <c r="AI3421">
        <f t="shared" si="338"/>
        <v>0</v>
      </c>
      <c r="AJ3421">
        <f t="shared" si="339"/>
        <v>0</v>
      </c>
      <c r="AK3421">
        <v>0</v>
      </c>
      <c r="AL3421" t="str">
        <f>IF(AA3421="","",IFERROR(IF(ISNUMBER('Procyclean 600'!E423),'Procyclean 600'!E423,IF(ISNUMBER(SEARCH("12",'Procyclean 600'!E423)),EDATE(AB3421,12),IF(ISNUMBER(SEARCH("6",'Procyclean 600'!E423)),EDATE(AB3421,6),IF(ISNUMBER(SEARCH("3",'Procyclean 600'!E423)),EDATE(AB3421,3),DATEVALUE('Procyclean 600'!E423))))),""))</f>
        <v/>
      </c>
      <c r="AM3421" t="str">
        <f t="shared" ca="1" si="340"/>
        <v/>
      </c>
    </row>
    <row r="3422" spans="27:39" x14ac:dyDescent="0.3">
      <c r="AA3422" t="str">
        <f>IF(COUNTA('Procyclean 600'!B424,'Procyclean 600'!C424,'Procyclean 600'!D424)&gt;0,"600","")</f>
        <v/>
      </c>
      <c r="AB3422" t="str">
        <f>IFERROR(IF(ISNUMBER('Procyclean 600'!B424),'Procyclean 600'!B424,DATEVALUE('Procyclean 600'!B424)),"")</f>
        <v/>
      </c>
      <c r="AC3422" t="str">
        <f>IF(AA3422="","",'Procyclean 600'!C424)</f>
        <v/>
      </c>
      <c r="AD3422" t="str">
        <f>IF(AA3422="","",IFERROR(1*'Procyclean 600'!D424,IFERROR(_xludf.NUMBERVALUE('Procyclean 600'!D424,".",","),IFERROR(_xludf.NUMBERVALUE('Procyclean 600'!D424,",","."),0))))</f>
        <v/>
      </c>
      <c r="AE3422" t="str">
        <f>IF(AA3422="","",'Procyclean 600'!K424)</f>
        <v/>
      </c>
      <c r="AF3422">
        <f t="shared" si="335"/>
        <v>0</v>
      </c>
      <c r="AG3422" t="str">
        <f t="shared" si="336"/>
        <v/>
      </c>
      <c r="AH3422" t="str">
        <f t="shared" si="337"/>
        <v/>
      </c>
      <c r="AI3422">
        <f t="shared" si="338"/>
        <v>0</v>
      </c>
      <c r="AJ3422">
        <f t="shared" si="339"/>
        <v>0</v>
      </c>
      <c r="AK3422">
        <v>0</v>
      </c>
      <c r="AL3422" t="str">
        <f>IF(AA3422="","",IFERROR(IF(ISNUMBER('Procyclean 600'!E424),'Procyclean 600'!E424,IF(ISNUMBER(SEARCH("12",'Procyclean 600'!E424)),EDATE(AB3422,12),IF(ISNUMBER(SEARCH("6",'Procyclean 600'!E424)),EDATE(AB3422,6),IF(ISNUMBER(SEARCH("3",'Procyclean 600'!E424)),EDATE(AB3422,3),DATEVALUE('Procyclean 600'!E424))))),""))</f>
        <v/>
      </c>
      <c r="AM3422" t="str">
        <f t="shared" ca="1" si="340"/>
        <v/>
      </c>
    </row>
    <row r="3423" spans="27:39" x14ac:dyDescent="0.3">
      <c r="AA3423" t="str">
        <f>IF(COUNTA('Procyclean 600'!B425,'Procyclean 600'!C425,'Procyclean 600'!D425)&gt;0,"600","")</f>
        <v/>
      </c>
      <c r="AB3423" t="str">
        <f>IFERROR(IF(ISNUMBER('Procyclean 600'!B425),'Procyclean 600'!B425,DATEVALUE('Procyclean 600'!B425)),"")</f>
        <v/>
      </c>
      <c r="AC3423" t="str">
        <f>IF(AA3423="","",'Procyclean 600'!C425)</f>
        <v/>
      </c>
      <c r="AD3423" t="str">
        <f>IF(AA3423="","",IFERROR(1*'Procyclean 600'!D425,IFERROR(_xludf.NUMBERVALUE('Procyclean 600'!D425,".",","),IFERROR(_xludf.NUMBERVALUE('Procyclean 600'!D425,",","."),0))))</f>
        <v/>
      </c>
      <c r="AE3423" t="str">
        <f>IF(AA3423="","",'Procyclean 600'!K425)</f>
        <v/>
      </c>
      <c r="AF3423">
        <f t="shared" si="335"/>
        <v>0</v>
      </c>
      <c r="AG3423" t="str">
        <f t="shared" si="336"/>
        <v/>
      </c>
      <c r="AH3423" t="str">
        <f t="shared" si="337"/>
        <v/>
      </c>
      <c r="AI3423">
        <f t="shared" si="338"/>
        <v>0</v>
      </c>
      <c r="AJ3423">
        <f t="shared" si="339"/>
        <v>0</v>
      </c>
      <c r="AK3423">
        <v>0</v>
      </c>
      <c r="AL3423" t="str">
        <f>IF(AA3423="","",IFERROR(IF(ISNUMBER('Procyclean 600'!E425),'Procyclean 600'!E425,IF(ISNUMBER(SEARCH("12",'Procyclean 600'!E425)),EDATE(AB3423,12),IF(ISNUMBER(SEARCH("6",'Procyclean 600'!E425)),EDATE(AB3423,6),IF(ISNUMBER(SEARCH("3",'Procyclean 600'!E425)),EDATE(AB3423,3),DATEVALUE('Procyclean 600'!E425))))),""))</f>
        <v/>
      </c>
      <c r="AM3423" t="str">
        <f t="shared" ca="1" si="340"/>
        <v/>
      </c>
    </row>
    <row r="3424" spans="27:39" x14ac:dyDescent="0.3">
      <c r="AA3424" t="str">
        <f>IF(COUNTA('Procyclean 600'!B426,'Procyclean 600'!C426,'Procyclean 600'!D426)&gt;0,"600","")</f>
        <v/>
      </c>
      <c r="AB3424" t="str">
        <f>IFERROR(IF(ISNUMBER('Procyclean 600'!B426),'Procyclean 600'!B426,DATEVALUE('Procyclean 600'!B426)),"")</f>
        <v/>
      </c>
      <c r="AC3424" t="str">
        <f>IF(AA3424="","",'Procyclean 600'!C426)</f>
        <v/>
      </c>
      <c r="AD3424" t="str">
        <f>IF(AA3424="","",IFERROR(1*'Procyclean 600'!D426,IFERROR(_xludf.NUMBERVALUE('Procyclean 600'!D426,".",","),IFERROR(_xludf.NUMBERVALUE('Procyclean 600'!D426,",","."),0))))</f>
        <v/>
      </c>
      <c r="AE3424" t="str">
        <f>IF(AA3424="","",'Procyclean 600'!K426)</f>
        <v/>
      </c>
      <c r="AF3424">
        <f t="shared" si="335"/>
        <v>0</v>
      </c>
      <c r="AG3424" t="str">
        <f t="shared" si="336"/>
        <v/>
      </c>
      <c r="AH3424" t="str">
        <f t="shared" si="337"/>
        <v/>
      </c>
      <c r="AI3424">
        <f t="shared" si="338"/>
        <v>0</v>
      </c>
      <c r="AJ3424">
        <f t="shared" si="339"/>
        <v>0</v>
      </c>
      <c r="AK3424">
        <v>0</v>
      </c>
      <c r="AL3424" t="str">
        <f>IF(AA3424="","",IFERROR(IF(ISNUMBER('Procyclean 600'!E426),'Procyclean 600'!E426,IF(ISNUMBER(SEARCH("12",'Procyclean 600'!E426)),EDATE(AB3424,12),IF(ISNUMBER(SEARCH("6",'Procyclean 600'!E426)),EDATE(AB3424,6),IF(ISNUMBER(SEARCH("3",'Procyclean 600'!E426)),EDATE(AB3424,3),DATEVALUE('Procyclean 600'!E426))))),""))</f>
        <v/>
      </c>
      <c r="AM3424" t="str">
        <f t="shared" ca="1" si="340"/>
        <v/>
      </c>
    </row>
    <row r="3425" spans="27:39" x14ac:dyDescent="0.3">
      <c r="AA3425" t="str">
        <f>IF(COUNTA('Procyclean 600'!B427,'Procyclean 600'!C427,'Procyclean 600'!D427)&gt;0,"600","")</f>
        <v/>
      </c>
      <c r="AB3425" t="str">
        <f>IFERROR(IF(ISNUMBER('Procyclean 600'!B427),'Procyclean 600'!B427,DATEVALUE('Procyclean 600'!B427)),"")</f>
        <v/>
      </c>
      <c r="AC3425" t="str">
        <f>IF(AA3425="","",'Procyclean 600'!C427)</f>
        <v/>
      </c>
      <c r="AD3425" t="str">
        <f>IF(AA3425="","",IFERROR(1*'Procyclean 600'!D427,IFERROR(_xludf.NUMBERVALUE('Procyclean 600'!D427,".",","),IFERROR(_xludf.NUMBERVALUE('Procyclean 600'!D427,",","."),0))))</f>
        <v/>
      </c>
      <c r="AE3425" t="str">
        <f>IF(AA3425="","",'Procyclean 600'!K427)</f>
        <v/>
      </c>
      <c r="AF3425">
        <f t="shared" si="335"/>
        <v>0</v>
      </c>
      <c r="AG3425" t="str">
        <f t="shared" si="336"/>
        <v/>
      </c>
      <c r="AH3425" t="str">
        <f t="shared" si="337"/>
        <v/>
      </c>
      <c r="AI3425">
        <f t="shared" si="338"/>
        <v>0</v>
      </c>
      <c r="AJ3425">
        <f t="shared" si="339"/>
        <v>0</v>
      </c>
      <c r="AK3425">
        <v>0</v>
      </c>
      <c r="AL3425" t="str">
        <f>IF(AA3425="","",IFERROR(IF(ISNUMBER('Procyclean 600'!E427),'Procyclean 600'!E427,IF(ISNUMBER(SEARCH("12",'Procyclean 600'!E427)),EDATE(AB3425,12),IF(ISNUMBER(SEARCH("6",'Procyclean 600'!E427)),EDATE(AB3425,6),IF(ISNUMBER(SEARCH("3",'Procyclean 600'!E427)),EDATE(AB3425,3),DATEVALUE('Procyclean 600'!E427))))),""))</f>
        <v/>
      </c>
      <c r="AM3425" t="str">
        <f t="shared" ca="1" si="340"/>
        <v/>
      </c>
    </row>
    <row r="3426" spans="27:39" x14ac:dyDescent="0.3">
      <c r="AA3426" t="str">
        <f>IF(COUNTA('Procyclean 600'!B428,'Procyclean 600'!C428,'Procyclean 600'!D428)&gt;0,"600","")</f>
        <v/>
      </c>
      <c r="AB3426" t="str">
        <f>IFERROR(IF(ISNUMBER('Procyclean 600'!B428),'Procyclean 600'!B428,DATEVALUE('Procyclean 600'!B428)),"")</f>
        <v/>
      </c>
      <c r="AC3426" t="str">
        <f>IF(AA3426="","",'Procyclean 600'!C428)</f>
        <v/>
      </c>
      <c r="AD3426" t="str">
        <f>IF(AA3426="","",IFERROR(1*'Procyclean 600'!D428,IFERROR(_xludf.NUMBERVALUE('Procyclean 600'!D428,".",","),IFERROR(_xludf.NUMBERVALUE('Procyclean 600'!D428,",","."),0))))</f>
        <v/>
      </c>
      <c r="AE3426" t="str">
        <f>IF(AA3426="","",'Procyclean 600'!K428)</f>
        <v/>
      </c>
      <c r="AF3426">
        <f t="shared" si="335"/>
        <v>0</v>
      </c>
      <c r="AG3426" t="str">
        <f t="shared" si="336"/>
        <v/>
      </c>
      <c r="AH3426" t="str">
        <f t="shared" si="337"/>
        <v/>
      </c>
      <c r="AI3426">
        <f t="shared" si="338"/>
        <v>0</v>
      </c>
      <c r="AJ3426">
        <f t="shared" si="339"/>
        <v>0</v>
      </c>
      <c r="AK3426">
        <v>0</v>
      </c>
      <c r="AL3426" t="str">
        <f>IF(AA3426="","",IFERROR(IF(ISNUMBER('Procyclean 600'!E428),'Procyclean 600'!E428,IF(ISNUMBER(SEARCH("12",'Procyclean 600'!E428)),EDATE(AB3426,12),IF(ISNUMBER(SEARCH("6",'Procyclean 600'!E428)),EDATE(AB3426,6),IF(ISNUMBER(SEARCH("3",'Procyclean 600'!E428)),EDATE(AB3426,3),DATEVALUE('Procyclean 600'!E428))))),""))</f>
        <v/>
      </c>
      <c r="AM3426" t="str">
        <f t="shared" ca="1" si="340"/>
        <v/>
      </c>
    </row>
    <row r="3427" spans="27:39" x14ac:dyDescent="0.3">
      <c r="AA3427" t="str">
        <f>IF(COUNTA('Procyclean 600'!B429,'Procyclean 600'!C429,'Procyclean 600'!D429)&gt;0,"600","")</f>
        <v/>
      </c>
      <c r="AB3427" t="str">
        <f>IFERROR(IF(ISNUMBER('Procyclean 600'!B429),'Procyclean 600'!B429,DATEVALUE('Procyclean 600'!B429)),"")</f>
        <v/>
      </c>
      <c r="AC3427" t="str">
        <f>IF(AA3427="","",'Procyclean 600'!C429)</f>
        <v/>
      </c>
      <c r="AD3427" t="str">
        <f>IF(AA3427="","",IFERROR(1*'Procyclean 600'!D429,IFERROR(_xludf.NUMBERVALUE('Procyclean 600'!D429,".",","),IFERROR(_xludf.NUMBERVALUE('Procyclean 600'!D429,",","."),0))))</f>
        <v/>
      </c>
      <c r="AE3427" t="str">
        <f>IF(AA3427="","",'Procyclean 600'!K429)</f>
        <v/>
      </c>
      <c r="AF3427">
        <f t="shared" si="335"/>
        <v>0</v>
      </c>
      <c r="AG3427" t="str">
        <f t="shared" si="336"/>
        <v/>
      </c>
      <c r="AH3427" t="str">
        <f t="shared" si="337"/>
        <v/>
      </c>
      <c r="AI3427">
        <f t="shared" si="338"/>
        <v>0</v>
      </c>
      <c r="AJ3427">
        <f t="shared" si="339"/>
        <v>0</v>
      </c>
      <c r="AK3427">
        <v>0</v>
      </c>
      <c r="AL3427" t="str">
        <f>IF(AA3427="","",IFERROR(IF(ISNUMBER('Procyclean 600'!E429),'Procyclean 600'!E429,IF(ISNUMBER(SEARCH("12",'Procyclean 600'!E429)),EDATE(AB3427,12),IF(ISNUMBER(SEARCH("6",'Procyclean 600'!E429)),EDATE(AB3427,6),IF(ISNUMBER(SEARCH("3",'Procyclean 600'!E429)),EDATE(AB3427,3),DATEVALUE('Procyclean 600'!E429))))),""))</f>
        <v/>
      </c>
      <c r="AM3427" t="str">
        <f t="shared" ca="1" si="340"/>
        <v/>
      </c>
    </row>
    <row r="3428" spans="27:39" x14ac:dyDescent="0.3">
      <c r="AA3428" t="str">
        <f>IF(COUNTA('Procyclean 600'!B430,'Procyclean 600'!C430,'Procyclean 600'!D430)&gt;0,"600","")</f>
        <v/>
      </c>
      <c r="AB3428" t="str">
        <f>IFERROR(IF(ISNUMBER('Procyclean 600'!B430),'Procyclean 600'!B430,DATEVALUE('Procyclean 600'!B430)),"")</f>
        <v/>
      </c>
      <c r="AC3428" t="str">
        <f>IF(AA3428="","",'Procyclean 600'!C430)</f>
        <v/>
      </c>
      <c r="AD3428" t="str">
        <f>IF(AA3428="","",IFERROR(1*'Procyclean 600'!D430,IFERROR(_xludf.NUMBERVALUE('Procyclean 600'!D430,".",","),IFERROR(_xludf.NUMBERVALUE('Procyclean 600'!D430,",","."),0))))</f>
        <v/>
      </c>
      <c r="AE3428" t="str">
        <f>IF(AA3428="","",'Procyclean 600'!K430)</f>
        <v/>
      </c>
      <c r="AF3428">
        <f t="shared" si="335"/>
        <v>0</v>
      </c>
      <c r="AG3428" t="str">
        <f t="shared" si="336"/>
        <v/>
      </c>
      <c r="AH3428" t="str">
        <f t="shared" si="337"/>
        <v/>
      </c>
      <c r="AI3428">
        <f t="shared" si="338"/>
        <v>0</v>
      </c>
      <c r="AJ3428">
        <f t="shared" si="339"/>
        <v>0</v>
      </c>
      <c r="AK3428">
        <v>0</v>
      </c>
      <c r="AL3428" t="str">
        <f>IF(AA3428="","",IFERROR(IF(ISNUMBER('Procyclean 600'!E430),'Procyclean 600'!E430,IF(ISNUMBER(SEARCH("12",'Procyclean 600'!E430)),EDATE(AB3428,12),IF(ISNUMBER(SEARCH("6",'Procyclean 600'!E430)),EDATE(AB3428,6),IF(ISNUMBER(SEARCH("3",'Procyclean 600'!E430)),EDATE(AB3428,3),DATEVALUE('Procyclean 600'!E430))))),""))</f>
        <v/>
      </c>
      <c r="AM3428" t="str">
        <f t="shared" ca="1" si="340"/>
        <v/>
      </c>
    </row>
    <row r="3429" spans="27:39" x14ac:dyDescent="0.3">
      <c r="AA3429" t="str">
        <f>IF(COUNTA('Procyclean 600'!B431,'Procyclean 600'!C431,'Procyclean 600'!D431)&gt;0,"600","")</f>
        <v/>
      </c>
      <c r="AB3429" t="str">
        <f>IFERROR(IF(ISNUMBER('Procyclean 600'!B431),'Procyclean 600'!B431,DATEVALUE('Procyclean 600'!B431)),"")</f>
        <v/>
      </c>
      <c r="AC3429" t="str">
        <f>IF(AA3429="","",'Procyclean 600'!C431)</f>
        <v/>
      </c>
      <c r="AD3429" t="str">
        <f>IF(AA3429="","",IFERROR(1*'Procyclean 600'!D431,IFERROR(_xludf.NUMBERVALUE('Procyclean 600'!D431,".",","),IFERROR(_xludf.NUMBERVALUE('Procyclean 600'!D431,",","."),0))))</f>
        <v/>
      </c>
      <c r="AE3429" t="str">
        <f>IF(AA3429="","",'Procyclean 600'!K431)</f>
        <v/>
      </c>
      <c r="AF3429">
        <f t="shared" si="335"/>
        <v>0</v>
      </c>
      <c r="AG3429" t="str">
        <f t="shared" si="336"/>
        <v/>
      </c>
      <c r="AH3429" t="str">
        <f t="shared" si="337"/>
        <v/>
      </c>
      <c r="AI3429">
        <f t="shared" si="338"/>
        <v>0</v>
      </c>
      <c r="AJ3429">
        <f t="shared" si="339"/>
        <v>0</v>
      </c>
      <c r="AK3429">
        <v>0</v>
      </c>
      <c r="AL3429" t="str">
        <f>IF(AA3429="","",IFERROR(IF(ISNUMBER('Procyclean 600'!E431),'Procyclean 600'!E431,IF(ISNUMBER(SEARCH("12",'Procyclean 600'!E431)),EDATE(AB3429,12),IF(ISNUMBER(SEARCH("6",'Procyclean 600'!E431)),EDATE(AB3429,6),IF(ISNUMBER(SEARCH("3",'Procyclean 600'!E431)),EDATE(AB3429,3),DATEVALUE('Procyclean 600'!E431))))),""))</f>
        <v/>
      </c>
      <c r="AM3429" t="str">
        <f t="shared" ca="1" si="340"/>
        <v/>
      </c>
    </row>
    <row r="3430" spans="27:39" x14ac:dyDescent="0.3">
      <c r="AA3430" t="str">
        <f>IF(COUNTA('Procyclean 600'!B432,'Procyclean 600'!C432,'Procyclean 600'!D432)&gt;0,"600","")</f>
        <v/>
      </c>
      <c r="AB3430" t="str">
        <f>IFERROR(IF(ISNUMBER('Procyclean 600'!B432),'Procyclean 600'!B432,DATEVALUE('Procyclean 600'!B432)),"")</f>
        <v/>
      </c>
      <c r="AC3430" t="str">
        <f>IF(AA3430="","",'Procyclean 600'!C432)</f>
        <v/>
      </c>
      <c r="AD3430" t="str">
        <f>IF(AA3430="","",IFERROR(1*'Procyclean 600'!D432,IFERROR(_xludf.NUMBERVALUE('Procyclean 600'!D432,".",","),IFERROR(_xludf.NUMBERVALUE('Procyclean 600'!D432,",","."),0))))</f>
        <v/>
      </c>
      <c r="AE3430" t="str">
        <f>IF(AA3430="","",'Procyclean 600'!K432)</f>
        <v/>
      </c>
      <c r="AF3430">
        <f t="shared" si="335"/>
        <v>0</v>
      </c>
      <c r="AG3430" t="str">
        <f t="shared" si="336"/>
        <v/>
      </c>
      <c r="AH3430" t="str">
        <f t="shared" si="337"/>
        <v/>
      </c>
      <c r="AI3430">
        <f t="shared" si="338"/>
        <v>0</v>
      </c>
      <c r="AJ3430">
        <f t="shared" si="339"/>
        <v>0</v>
      </c>
      <c r="AK3430">
        <v>0</v>
      </c>
      <c r="AL3430" t="str">
        <f>IF(AA3430="","",IFERROR(IF(ISNUMBER('Procyclean 600'!E432),'Procyclean 600'!E432,IF(ISNUMBER(SEARCH("12",'Procyclean 600'!E432)),EDATE(AB3430,12),IF(ISNUMBER(SEARCH("6",'Procyclean 600'!E432)),EDATE(AB3430,6),IF(ISNUMBER(SEARCH("3",'Procyclean 600'!E432)),EDATE(AB3430,3),DATEVALUE('Procyclean 600'!E432))))),""))</f>
        <v/>
      </c>
      <c r="AM3430" t="str">
        <f t="shared" ca="1" si="340"/>
        <v/>
      </c>
    </row>
    <row r="3431" spans="27:39" x14ac:dyDescent="0.3">
      <c r="AA3431" t="str">
        <f>IF(COUNTA('Procyclean 600'!B433,'Procyclean 600'!C433,'Procyclean 600'!D433)&gt;0,"600","")</f>
        <v/>
      </c>
      <c r="AB3431" t="str">
        <f>IFERROR(IF(ISNUMBER('Procyclean 600'!B433),'Procyclean 600'!B433,DATEVALUE('Procyclean 600'!B433)),"")</f>
        <v/>
      </c>
      <c r="AC3431" t="str">
        <f>IF(AA3431="","",'Procyclean 600'!C433)</f>
        <v/>
      </c>
      <c r="AD3431" t="str">
        <f>IF(AA3431="","",IFERROR(1*'Procyclean 600'!D433,IFERROR(_xludf.NUMBERVALUE('Procyclean 600'!D433,".",","),IFERROR(_xludf.NUMBERVALUE('Procyclean 600'!D433,",","."),0))))</f>
        <v/>
      </c>
      <c r="AE3431" t="str">
        <f>IF(AA3431="","",'Procyclean 600'!K433)</f>
        <v/>
      </c>
      <c r="AF3431">
        <f t="shared" si="335"/>
        <v>0</v>
      </c>
      <c r="AG3431" t="str">
        <f t="shared" si="336"/>
        <v/>
      </c>
      <c r="AH3431" t="str">
        <f t="shared" si="337"/>
        <v/>
      </c>
      <c r="AI3431">
        <f t="shared" si="338"/>
        <v>0</v>
      </c>
      <c r="AJ3431">
        <f t="shared" si="339"/>
        <v>0</v>
      </c>
      <c r="AK3431">
        <v>0</v>
      </c>
      <c r="AL3431" t="str">
        <f>IF(AA3431="","",IFERROR(IF(ISNUMBER('Procyclean 600'!E433),'Procyclean 600'!E433,IF(ISNUMBER(SEARCH("12",'Procyclean 600'!E433)),EDATE(AB3431,12),IF(ISNUMBER(SEARCH("6",'Procyclean 600'!E433)),EDATE(AB3431,6),IF(ISNUMBER(SEARCH("3",'Procyclean 600'!E433)),EDATE(AB3431,3),DATEVALUE('Procyclean 600'!E433))))),""))</f>
        <v/>
      </c>
      <c r="AM3431" t="str">
        <f t="shared" ca="1" si="340"/>
        <v/>
      </c>
    </row>
    <row r="3432" spans="27:39" x14ac:dyDescent="0.3">
      <c r="AA3432" t="str">
        <f>IF(COUNTA('Procyclean 600'!B434,'Procyclean 600'!C434,'Procyclean 600'!D434)&gt;0,"600","")</f>
        <v/>
      </c>
      <c r="AB3432" t="str">
        <f>IFERROR(IF(ISNUMBER('Procyclean 600'!B434),'Procyclean 600'!B434,DATEVALUE('Procyclean 600'!B434)),"")</f>
        <v/>
      </c>
      <c r="AC3432" t="str">
        <f>IF(AA3432="","",'Procyclean 600'!C434)</f>
        <v/>
      </c>
      <c r="AD3432" t="str">
        <f>IF(AA3432="","",IFERROR(1*'Procyclean 600'!D434,IFERROR(_xludf.NUMBERVALUE('Procyclean 600'!D434,".",","),IFERROR(_xludf.NUMBERVALUE('Procyclean 600'!D434,",","."),0))))</f>
        <v/>
      </c>
      <c r="AE3432" t="str">
        <f>IF(AA3432="","",'Procyclean 600'!K434)</f>
        <v/>
      </c>
      <c r="AF3432">
        <f t="shared" si="335"/>
        <v>0</v>
      </c>
      <c r="AG3432" t="str">
        <f t="shared" si="336"/>
        <v/>
      </c>
      <c r="AH3432" t="str">
        <f t="shared" si="337"/>
        <v/>
      </c>
      <c r="AI3432">
        <f t="shared" si="338"/>
        <v>0</v>
      </c>
      <c r="AJ3432">
        <f t="shared" si="339"/>
        <v>0</v>
      </c>
      <c r="AK3432">
        <v>0</v>
      </c>
      <c r="AL3432" t="str">
        <f>IF(AA3432="","",IFERROR(IF(ISNUMBER('Procyclean 600'!E434),'Procyclean 600'!E434,IF(ISNUMBER(SEARCH("12",'Procyclean 600'!E434)),EDATE(AB3432,12),IF(ISNUMBER(SEARCH("6",'Procyclean 600'!E434)),EDATE(AB3432,6),IF(ISNUMBER(SEARCH("3",'Procyclean 600'!E434)),EDATE(AB3432,3),DATEVALUE('Procyclean 600'!E434))))),""))</f>
        <v/>
      </c>
      <c r="AM3432" t="str">
        <f t="shared" ca="1" si="340"/>
        <v/>
      </c>
    </row>
    <row r="3433" spans="27:39" x14ac:dyDescent="0.3">
      <c r="AA3433" t="str">
        <f>IF(COUNTA('Procyclean 600'!B435,'Procyclean 600'!C435,'Procyclean 600'!D435)&gt;0,"600","")</f>
        <v/>
      </c>
      <c r="AB3433" t="str">
        <f>IFERROR(IF(ISNUMBER('Procyclean 600'!B435),'Procyclean 600'!B435,DATEVALUE('Procyclean 600'!B435)),"")</f>
        <v/>
      </c>
      <c r="AC3433" t="str">
        <f>IF(AA3433="","",'Procyclean 600'!C435)</f>
        <v/>
      </c>
      <c r="AD3433" t="str">
        <f>IF(AA3433="","",IFERROR(1*'Procyclean 600'!D435,IFERROR(_xludf.NUMBERVALUE('Procyclean 600'!D435,".",","),IFERROR(_xludf.NUMBERVALUE('Procyclean 600'!D435,",","."),0))))</f>
        <v/>
      </c>
      <c r="AE3433" t="str">
        <f>IF(AA3433="","",'Procyclean 600'!K435)</f>
        <v/>
      </c>
      <c r="AF3433">
        <f t="shared" si="335"/>
        <v>0</v>
      </c>
      <c r="AG3433" t="str">
        <f t="shared" si="336"/>
        <v/>
      </c>
      <c r="AH3433" t="str">
        <f t="shared" si="337"/>
        <v/>
      </c>
      <c r="AI3433">
        <f t="shared" si="338"/>
        <v>0</v>
      </c>
      <c r="AJ3433">
        <f t="shared" si="339"/>
        <v>0</v>
      </c>
      <c r="AK3433">
        <v>0</v>
      </c>
      <c r="AL3433" t="str">
        <f>IF(AA3433="","",IFERROR(IF(ISNUMBER('Procyclean 600'!E435),'Procyclean 600'!E435,IF(ISNUMBER(SEARCH("12",'Procyclean 600'!E435)),EDATE(AB3433,12),IF(ISNUMBER(SEARCH("6",'Procyclean 600'!E435)),EDATE(AB3433,6),IF(ISNUMBER(SEARCH("3",'Procyclean 600'!E435)),EDATE(AB3433,3),DATEVALUE('Procyclean 600'!E435))))),""))</f>
        <v/>
      </c>
      <c r="AM3433" t="str">
        <f t="shared" ca="1" si="340"/>
        <v/>
      </c>
    </row>
    <row r="3434" spans="27:39" x14ac:dyDescent="0.3">
      <c r="AA3434" t="str">
        <f>IF(COUNTA('Procyclean 600'!B436,'Procyclean 600'!C436,'Procyclean 600'!D436)&gt;0,"600","")</f>
        <v/>
      </c>
      <c r="AB3434" t="str">
        <f>IFERROR(IF(ISNUMBER('Procyclean 600'!B436),'Procyclean 600'!B436,DATEVALUE('Procyclean 600'!B436)),"")</f>
        <v/>
      </c>
      <c r="AC3434" t="str">
        <f>IF(AA3434="","",'Procyclean 600'!C436)</f>
        <v/>
      </c>
      <c r="AD3434" t="str">
        <f>IF(AA3434="","",IFERROR(1*'Procyclean 600'!D436,IFERROR(_xludf.NUMBERVALUE('Procyclean 600'!D436,".",","),IFERROR(_xludf.NUMBERVALUE('Procyclean 600'!D436,",","."),0))))</f>
        <v/>
      </c>
      <c r="AE3434" t="str">
        <f>IF(AA3434="","",'Procyclean 600'!K436)</f>
        <v/>
      </c>
      <c r="AF3434">
        <f t="shared" si="335"/>
        <v>0</v>
      </c>
      <c r="AG3434" t="str">
        <f t="shared" si="336"/>
        <v/>
      </c>
      <c r="AH3434" t="str">
        <f t="shared" si="337"/>
        <v/>
      </c>
      <c r="AI3434">
        <f t="shared" si="338"/>
        <v>0</v>
      </c>
      <c r="AJ3434">
        <f t="shared" si="339"/>
        <v>0</v>
      </c>
      <c r="AK3434">
        <v>0</v>
      </c>
      <c r="AL3434" t="str">
        <f>IF(AA3434="","",IFERROR(IF(ISNUMBER('Procyclean 600'!E436),'Procyclean 600'!E436,IF(ISNUMBER(SEARCH("12",'Procyclean 600'!E436)),EDATE(AB3434,12),IF(ISNUMBER(SEARCH("6",'Procyclean 600'!E436)),EDATE(AB3434,6),IF(ISNUMBER(SEARCH("3",'Procyclean 600'!E436)),EDATE(AB3434,3),DATEVALUE('Procyclean 600'!E436))))),""))</f>
        <v/>
      </c>
      <c r="AM3434" t="str">
        <f t="shared" ca="1" si="340"/>
        <v/>
      </c>
    </row>
    <row r="3435" spans="27:39" x14ac:dyDescent="0.3">
      <c r="AA3435" t="str">
        <f>IF(COUNTA('Procyclean 600'!B437,'Procyclean 600'!C437,'Procyclean 600'!D437)&gt;0,"600","")</f>
        <v/>
      </c>
      <c r="AB3435" t="str">
        <f>IFERROR(IF(ISNUMBER('Procyclean 600'!B437),'Procyclean 600'!B437,DATEVALUE('Procyclean 600'!B437)),"")</f>
        <v/>
      </c>
      <c r="AC3435" t="str">
        <f>IF(AA3435="","",'Procyclean 600'!C437)</f>
        <v/>
      </c>
      <c r="AD3435" t="str">
        <f>IF(AA3435="","",IFERROR(1*'Procyclean 600'!D437,IFERROR(_xludf.NUMBERVALUE('Procyclean 600'!D437,".",","),IFERROR(_xludf.NUMBERVALUE('Procyclean 600'!D437,",","."),0))))</f>
        <v/>
      </c>
      <c r="AE3435" t="str">
        <f>IF(AA3435="","",'Procyclean 600'!K437)</f>
        <v/>
      </c>
      <c r="AF3435">
        <f t="shared" si="335"/>
        <v>0</v>
      </c>
      <c r="AG3435" t="str">
        <f t="shared" si="336"/>
        <v/>
      </c>
      <c r="AH3435" t="str">
        <f t="shared" si="337"/>
        <v/>
      </c>
      <c r="AI3435">
        <f t="shared" si="338"/>
        <v>0</v>
      </c>
      <c r="AJ3435">
        <f t="shared" si="339"/>
        <v>0</v>
      </c>
      <c r="AK3435">
        <v>0</v>
      </c>
      <c r="AL3435" t="str">
        <f>IF(AA3435="","",IFERROR(IF(ISNUMBER('Procyclean 600'!E437),'Procyclean 600'!E437,IF(ISNUMBER(SEARCH("12",'Procyclean 600'!E437)),EDATE(AB3435,12),IF(ISNUMBER(SEARCH("6",'Procyclean 600'!E437)),EDATE(AB3435,6),IF(ISNUMBER(SEARCH("3",'Procyclean 600'!E437)),EDATE(AB3435,3),DATEVALUE('Procyclean 600'!E437))))),""))</f>
        <v/>
      </c>
      <c r="AM3435" t="str">
        <f t="shared" ca="1" si="340"/>
        <v/>
      </c>
    </row>
    <row r="3436" spans="27:39" x14ac:dyDescent="0.3">
      <c r="AA3436" t="str">
        <f>IF(COUNTA('Procyclean 600'!B438,'Procyclean 600'!C438,'Procyclean 600'!D438)&gt;0,"600","")</f>
        <v/>
      </c>
      <c r="AB3436" t="str">
        <f>IFERROR(IF(ISNUMBER('Procyclean 600'!B438),'Procyclean 600'!B438,DATEVALUE('Procyclean 600'!B438)),"")</f>
        <v/>
      </c>
      <c r="AC3436" t="str">
        <f>IF(AA3436="","",'Procyclean 600'!C438)</f>
        <v/>
      </c>
      <c r="AD3436" t="str">
        <f>IF(AA3436="","",IFERROR(1*'Procyclean 600'!D438,IFERROR(_xludf.NUMBERVALUE('Procyclean 600'!D438,".",","),IFERROR(_xludf.NUMBERVALUE('Procyclean 600'!D438,",","."),0))))</f>
        <v/>
      </c>
      <c r="AE3436" t="str">
        <f>IF(AA3436="","",'Procyclean 600'!K438)</f>
        <v/>
      </c>
      <c r="AF3436">
        <f t="shared" si="335"/>
        <v>0</v>
      </c>
      <c r="AG3436" t="str">
        <f t="shared" si="336"/>
        <v/>
      </c>
      <c r="AH3436" t="str">
        <f t="shared" si="337"/>
        <v/>
      </c>
      <c r="AI3436">
        <f t="shared" si="338"/>
        <v>0</v>
      </c>
      <c r="AJ3436">
        <f t="shared" si="339"/>
        <v>0</v>
      </c>
      <c r="AK3436">
        <v>0</v>
      </c>
      <c r="AL3436" t="str">
        <f>IF(AA3436="","",IFERROR(IF(ISNUMBER('Procyclean 600'!E438),'Procyclean 600'!E438,IF(ISNUMBER(SEARCH("12",'Procyclean 600'!E438)),EDATE(AB3436,12),IF(ISNUMBER(SEARCH("6",'Procyclean 600'!E438)),EDATE(AB3436,6),IF(ISNUMBER(SEARCH("3",'Procyclean 600'!E438)),EDATE(AB3436,3),DATEVALUE('Procyclean 600'!E438))))),""))</f>
        <v/>
      </c>
      <c r="AM3436" t="str">
        <f t="shared" ca="1" si="340"/>
        <v/>
      </c>
    </row>
    <row r="3437" spans="27:39" x14ac:dyDescent="0.3">
      <c r="AA3437" t="str">
        <f>IF(COUNTA('Procyclean 600'!B439,'Procyclean 600'!C439,'Procyclean 600'!D439)&gt;0,"600","")</f>
        <v/>
      </c>
      <c r="AB3437" t="str">
        <f>IFERROR(IF(ISNUMBER('Procyclean 600'!B439),'Procyclean 600'!B439,DATEVALUE('Procyclean 600'!B439)),"")</f>
        <v/>
      </c>
      <c r="AC3437" t="str">
        <f>IF(AA3437="","",'Procyclean 600'!C439)</f>
        <v/>
      </c>
      <c r="AD3437" t="str">
        <f>IF(AA3437="","",IFERROR(1*'Procyclean 600'!D439,IFERROR(_xludf.NUMBERVALUE('Procyclean 600'!D439,".",","),IFERROR(_xludf.NUMBERVALUE('Procyclean 600'!D439,",","."),0))))</f>
        <v/>
      </c>
      <c r="AE3437" t="str">
        <f>IF(AA3437="","",'Procyclean 600'!K439)</f>
        <v/>
      </c>
      <c r="AF3437">
        <f t="shared" si="335"/>
        <v>0</v>
      </c>
      <c r="AG3437" t="str">
        <f t="shared" si="336"/>
        <v/>
      </c>
      <c r="AH3437" t="str">
        <f t="shared" si="337"/>
        <v/>
      </c>
      <c r="AI3437">
        <f t="shared" si="338"/>
        <v>0</v>
      </c>
      <c r="AJ3437">
        <f t="shared" si="339"/>
        <v>0</v>
      </c>
      <c r="AK3437">
        <v>0</v>
      </c>
      <c r="AL3437" t="str">
        <f>IF(AA3437="","",IFERROR(IF(ISNUMBER('Procyclean 600'!E439),'Procyclean 600'!E439,IF(ISNUMBER(SEARCH("12",'Procyclean 600'!E439)),EDATE(AB3437,12),IF(ISNUMBER(SEARCH("6",'Procyclean 600'!E439)),EDATE(AB3437,6),IF(ISNUMBER(SEARCH("3",'Procyclean 600'!E439)),EDATE(AB3437,3),DATEVALUE('Procyclean 600'!E439))))),""))</f>
        <v/>
      </c>
      <c r="AM3437" t="str">
        <f t="shared" ca="1" si="340"/>
        <v/>
      </c>
    </row>
    <row r="3438" spans="27:39" x14ac:dyDescent="0.3">
      <c r="AA3438" t="str">
        <f>IF(COUNTA('Procyclean 600'!B440,'Procyclean 600'!C440,'Procyclean 600'!D440)&gt;0,"600","")</f>
        <v/>
      </c>
      <c r="AB3438" t="str">
        <f>IFERROR(IF(ISNUMBER('Procyclean 600'!B440),'Procyclean 600'!B440,DATEVALUE('Procyclean 600'!B440)),"")</f>
        <v/>
      </c>
      <c r="AC3438" t="str">
        <f>IF(AA3438="","",'Procyclean 600'!C440)</f>
        <v/>
      </c>
      <c r="AD3438" t="str">
        <f>IF(AA3438="","",IFERROR(1*'Procyclean 600'!D440,IFERROR(_xludf.NUMBERVALUE('Procyclean 600'!D440,".",","),IFERROR(_xludf.NUMBERVALUE('Procyclean 600'!D440,",","."),0))))</f>
        <v/>
      </c>
      <c r="AE3438" t="str">
        <f>IF(AA3438="","",'Procyclean 600'!K440)</f>
        <v/>
      </c>
      <c r="AF3438">
        <f t="shared" si="335"/>
        <v>0</v>
      </c>
      <c r="AG3438" t="str">
        <f t="shared" si="336"/>
        <v/>
      </c>
      <c r="AH3438" t="str">
        <f t="shared" si="337"/>
        <v/>
      </c>
      <c r="AI3438">
        <f t="shared" si="338"/>
        <v>0</v>
      </c>
      <c r="AJ3438">
        <f t="shared" si="339"/>
        <v>0</v>
      </c>
      <c r="AK3438">
        <v>0</v>
      </c>
      <c r="AL3438" t="str">
        <f>IF(AA3438="","",IFERROR(IF(ISNUMBER('Procyclean 600'!E440),'Procyclean 600'!E440,IF(ISNUMBER(SEARCH("12",'Procyclean 600'!E440)),EDATE(AB3438,12),IF(ISNUMBER(SEARCH("6",'Procyclean 600'!E440)),EDATE(AB3438,6),IF(ISNUMBER(SEARCH("3",'Procyclean 600'!E440)),EDATE(AB3438,3),DATEVALUE('Procyclean 600'!E440))))),""))</f>
        <v/>
      </c>
      <c r="AM3438" t="str">
        <f t="shared" ca="1" si="340"/>
        <v/>
      </c>
    </row>
    <row r="3439" spans="27:39" x14ac:dyDescent="0.3">
      <c r="AA3439" t="str">
        <f>IF(COUNTA('Procyclean 600'!B441,'Procyclean 600'!C441,'Procyclean 600'!D441)&gt;0,"600","")</f>
        <v/>
      </c>
      <c r="AB3439" t="str">
        <f>IFERROR(IF(ISNUMBER('Procyclean 600'!B441),'Procyclean 600'!B441,DATEVALUE('Procyclean 600'!B441)),"")</f>
        <v/>
      </c>
      <c r="AC3439" t="str">
        <f>IF(AA3439="","",'Procyclean 600'!C441)</f>
        <v/>
      </c>
      <c r="AD3439" t="str">
        <f>IF(AA3439="","",IFERROR(1*'Procyclean 600'!D441,IFERROR(_xludf.NUMBERVALUE('Procyclean 600'!D441,".",","),IFERROR(_xludf.NUMBERVALUE('Procyclean 600'!D441,",","."),0))))</f>
        <v/>
      </c>
      <c r="AE3439" t="str">
        <f>IF(AA3439="","",'Procyclean 600'!K441)</f>
        <v/>
      </c>
      <c r="AF3439">
        <f t="shared" si="335"/>
        <v>0</v>
      </c>
      <c r="AG3439" t="str">
        <f t="shared" si="336"/>
        <v/>
      </c>
      <c r="AH3439" t="str">
        <f t="shared" si="337"/>
        <v/>
      </c>
      <c r="AI3439">
        <f t="shared" si="338"/>
        <v>0</v>
      </c>
      <c r="AJ3439">
        <f t="shared" si="339"/>
        <v>0</v>
      </c>
      <c r="AK3439">
        <v>0</v>
      </c>
      <c r="AL3439" t="str">
        <f>IF(AA3439="","",IFERROR(IF(ISNUMBER('Procyclean 600'!E441),'Procyclean 600'!E441,IF(ISNUMBER(SEARCH("12",'Procyclean 600'!E441)),EDATE(AB3439,12),IF(ISNUMBER(SEARCH("6",'Procyclean 600'!E441)),EDATE(AB3439,6),IF(ISNUMBER(SEARCH("3",'Procyclean 600'!E441)),EDATE(AB3439,3),DATEVALUE('Procyclean 600'!E441))))),""))</f>
        <v/>
      </c>
      <c r="AM3439" t="str">
        <f t="shared" ca="1" si="340"/>
        <v/>
      </c>
    </row>
    <row r="3440" spans="27:39" x14ac:dyDescent="0.3">
      <c r="AA3440" t="str">
        <f>IF(COUNTA('Procyclean 600'!B442,'Procyclean 600'!C442,'Procyclean 600'!D442)&gt;0,"600","")</f>
        <v/>
      </c>
      <c r="AB3440" t="str">
        <f>IFERROR(IF(ISNUMBER('Procyclean 600'!B442),'Procyclean 600'!B442,DATEVALUE('Procyclean 600'!B442)),"")</f>
        <v/>
      </c>
      <c r="AC3440" t="str">
        <f>IF(AA3440="","",'Procyclean 600'!C442)</f>
        <v/>
      </c>
      <c r="AD3440" t="str">
        <f>IF(AA3440="","",IFERROR(1*'Procyclean 600'!D442,IFERROR(_xludf.NUMBERVALUE('Procyclean 600'!D442,".",","),IFERROR(_xludf.NUMBERVALUE('Procyclean 600'!D442,",","."),0))))</f>
        <v/>
      </c>
      <c r="AE3440" t="str">
        <f>IF(AA3440="","",'Procyclean 600'!K442)</f>
        <v/>
      </c>
      <c r="AF3440">
        <f t="shared" si="335"/>
        <v>0</v>
      </c>
      <c r="AG3440" t="str">
        <f t="shared" si="336"/>
        <v/>
      </c>
      <c r="AH3440" t="str">
        <f t="shared" si="337"/>
        <v/>
      </c>
      <c r="AI3440">
        <f t="shared" si="338"/>
        <v>0</v>
      </c>
      <c r="AJ3440">
        <f t="shared" si="339"/>
        <v>0</v>
      </c>
      <c r="AK3440">
        <v>0</v>
      </c>
      <c r="AL3440" t="str">
        <f>IF(AA3440="","",IFERROR(IF(ISNUMBER('Procyclean 600'!E442),'Procyclean 600'!E442,IF(ISNUMBER(SEARCH("12",'Procyclean 600'!E442)),EDATE(AB3440,12),IF(ISNUMBER(SEARCH("6",'Procyclean 600'!E442)),EDATE(AB3440,6),IF(ISNUMBER(SEARCH("3",'Procyclean 600'!E442)),EDATE(AB3440,3),DATEVALUE('Procyclean 600'!E442))))),""))</f>
        <v/>
      </c>
      <c r="AM3440" t="str">
        <f t="shared" ca="1" si="340"/>
        <v/>
      </c>
    </row>
    <row r="3441" spans="27:39" x14ac:dyDescent="0.3">
      <c r="AA3441" t="str">
        <f>IF(COUNTA('Procyclean 600'!B443,'Procyclean 600'!C443,'Procyclean 600'!D443)&gt;0,"600","")</f>
        <v/>
      </c>
      <c r="AB3441" t="str">
        <f>IFERROR(IF(ISNUMBER('Procyclean 600'!B443),'Procyclean 600'!B443,DATEVALUE('Procyclean 600'!B443)),"")</f>
        <v/>
      </c>
      <c r="AC3441" t="str">
        <f>IF(AA3441="","",'Procyclean 600'!C443)</f>
        <v/>
      </c>
      <c r="AD3441" t="str">
        <f>IF(AA3441="","",IFERROR(1*'Procyclean 600'!D443,IFERROR(_xludf.NUMBERVALUE('Procyclean 600'!D443,".",","),IFERROR(_xludf.NUMBERVALUE('Procyclean 600'!D443,",","."),0))))</f>
        <v/>
      </c>
      <c r="AE3441" t="str">
        <f>IF(AA3441="","",'Procyclean 600'!K443)</f>
        <v/>
      </c>
      <c r="AF3441">
        <f t="shared" si="335"/>
        <v>0</v>
      </c>
      <c r="AG3441" t="str">
        <f t="shared" si="336"/>
        <v/>
      </c>
      <c r="AH3441" t="str">
        <f t="shared" si="337"/>
        <v/>
      </c>
      <c r="AI3441">
        <f t="shared" si="338"/>
        <v>0</v>
      </c>
      <c r="AJ3441">
        <f t="shared" si="339"/>
        <v>0</v>
      </c>
      <c r="AK3441">
        <v>0</v>
      </c>
      <c r="AL3441" t="str">
        <f>IF(AA3441="","",IFERROR(IF(ISNUMBER('Procyclean 600'!E443),'Procyclean 600'!E443,IF(ISNUMBER(SEARCH("12",'Procyclean 600'!E443)),EDATE(AB3441,12),IF(ISNUMBER(SEARCH("6",'Procyclean 600'!E443)),EDATE(AB3441,6),IF(ISNUMBER(SEARCH("3",'Procyclean 600'!E443)),EDATE(AB3441,3),DATEVALUE('Procyclean 600'!E443))))),""))</f>
        <v/>
      </c>
      <c r="AM3441" t="str">
        <f t="shared" ca="1" si="340"/>
        <v/>
      </c>
    </row>
    <row r="3442" spans="27:39" x14ac:dyDescent="0.3">
      <c r="AA3442" t="str">
        <f>IF(COUNTA('Procyclean 600'!B444,'Procyclean 600'!C444,'Procyclean 600'!D444)&gt;0,"600","")</f>
        <v/>
      </c>
      <c r="AB3442" t="str">
        <f>IFERROR(IF(ISNUMBER('Procyclean 600'!B444),'Procyclean 600'!B444,DATEVALUE('Procyclean 600'!B444)),"")</f>
        <v/>
      </c>
      <c r="AC3442" t="str">
        <f>IF(AA3442="","",'Procyclean 600'!C444)</f>
        <v/>
      </c>
      <c r="AD3442" t="str">
        <f>IF(AA3442="","",IFERROR(1*'Procyclean 600'!D444,IFERROR(_xludf.NUMBERVALUE('Procyclean 600'!D444,".",","),IFERROR(_xludf.NUMBERVALUE('Procyclean 600'!D444,",","."),0))))</f>
        <v/>
      </c>
      <c r="AE3442" t="str">
        <f>IF(AA3442="","",'Procyclean 600'!K444)</f>
        <v/>
      </c>
      <c r="AF3442">
        <f t="shared" si="335"/>
        <v>0</v>
      </c>
      <c r="AG3442" t="str">
        <f t="shared" si="336"/>
        <v/>
      </c>
      <c r="AH3442" t="str">
        <f t="shared" si="337"/>
        <v/>
      </c>
      <c r="AI3442">
        <f t="shared" si="338"/>
        <v>0</v>
      </c>
      <c r="AJ3442">
        <f t="shared" si="339"/>
        <v>0</v>
      </c>
      <c r="AK3442">
        <v>0</v>
      </c>
      <c r="AL3442" t="str">
        <f>IF(AA3442="","",IFERROR(IF(ISNUMBER('Procyclean 600'!E444),'Procyclean 600'!E444,IF(ISNUMBER(SEARCH("12",'Procyclean 600'!E444)),EDATE(AB3442,12),IF(ISNUMBER(SEARCH("6",'Procyclean 600'!E444)),EDATE(AB3442,6),IF(ISNUMBER(SEARCH("3",'Procyclean 600'!E444)),EDATE(AB3442,3),DATEVALUE('Procyclean 600'!E444))))),""))</f>
        <v/>
      </c>
      <c r="AM3442" t="str">
        <f t="shared" ca="1" si="340"/>
        <v/>
      </c>
    </row>
    <row r="3443" spans="27:39" x14ac:dyDescent="0.3">
      <c r="AA3443" t="str">
        <f>IF(COUNTA('Procyclean 600'!B445,'Procyclean 600'!C445,'Procyclean 600'!D445)&gt;0,"600","")</f>
        <v/>
      </c>
      <c r="AB3443" t="str">
        <f>IFERROR(IF(ISNUMBER('Procyclean 600'!B445),'Procyclean 600'!B445,DATEVALUE('Procyclean 600'!B445)),"")</f>
        <v/>
      </c>
      <c r="AC3443" t="str">
        <f>IF(AA3443="","",'Procyclean 600'!C445)</f>
        <v/>
      </c>
      <c r="AD3443" t="str">
        <f>IF(AA3443="","",IFERROR(1*'Procyclean 600'!D445,IFERROR(_xludf.NUMBERVALUE('Procyclean 600'!D445,".",","),IFERROR(_xludf.NUMBERVALUE('Procyclean 600'!D445,",","."),0))))</f>
        <v/>
      </c>
      <c r="AE3443" t="str">
        <f>IF(AA3443="","",'Procyclean 600'!K445)</f>
        <v/>
      </c>
      <c r="AF3443">
        <f t="shared" si="335"/>
        <v>0</v>
      </c>
      <c r="AG3443" t="str">
        <f t="shared" si="336"/>
        <v/>
      </c>
      <c r="AH3443" t="str">
        <f t="shared" si="337"/>
        <v/>
      </c>
      <c r="AI3443">
        <f t="shared" si="338"/>
        <v>0</v>
      </c>
      <c r="AJ3443">
        <f t="shared" si="339"/>
        <v>0</v>
      </c>
      <c r="AK3443">
        <v>0</v>
      </c>
      <c r="AL3443" t="str">
        <f>IF(AA3443="","",IFERROR(IF(ISNUMBER('Procyclean 600'!E445),'Procyclean 600'!E445,IF(ISNUMBER(SEARCH("12",'Procyclean 600'!E445)),EDATE(AB3443,12),IF(ISNUMBER(SEARCH("6",'Procyclean 600'!E445)),EDATE(AB3443,6),IF(ISNUMBER(SEARCH("3",'Procyclean 600'!E445)),EDATE(AB3443,3),DATEVALUE('Procyclean 600'!E445))))),""))</f>
        <v/>
      </c>
      <c r="AM3443" t="str">
        <f t="shared" ca="1" si="340"/>
        <v/>
      </c>
    </row>
    <row r="3444" spans="27:39" x14ac:dyDescent="0.3">
      <c r="AA3444" t="str">
        <f>IF(COUNTA('Procyclean 600'!B446,'Procyclean 600'!C446,'Procyclean 600'!D446)&gt;0,"600","")</f>
        <v/>
      </c>
      <c r="AB3444" t="str">
        <f>IFERROR(IF(ISNUMBER('Procyclean 600'!B446),'Procyclean 600'!B446,DATEVALUE('Procyclean 600'!B446)),"")</f>
        <v/>
      </c>
      <c r="AC3444" t="str">
        <f>IF(AA3444="","",'Procyclean 600'!C446)</f>
        <v/>
      </c>
      <c r="AD3444" t="str">
        <f>IF(AA3444="","",IFERROR(1*'Procyclean 600'!D446,IFERROR(_xludf.NUMBERVALUE('Procyclean 600'!D446,".",","),IFERROR(_xludf.NUMBERVALUE('Procyclean 600'!D446,",","."),0))))</f>
        <v/>
      </c>
      <c r="AE3444" t="str">
        <f>IF(AA3444="","",'Procyclean 600'!K446)</f>
        <v/>
      </c>
      <c r="AF3444">
        <f t="shared" si="335"/>
        <v>0</v>
      </c>
      <c r="AG3444" t="str">
        <f t="shared" si="336"/>
        <v/>
      </c>
      <c r="AH3444" t="str">
        <f t="shared" si="337"/>
        <v/>
      </c>
      <c r="AI3444">
        <f t="shared" si="338"/>
        <v>0</v>
      </c>
      <c r="AJ3444">
        <f t="shared" si="339"/>
        <v>0</v>
      </c>
      <c r="AK3444">
        <v>0</v>
      </c>
      <c r="AL3444" t="str">
        <f>IF(AA3444="","",IFERROR(IF(ISNUMBER('Procyclean 600'!E446),'Procyclean 600'!E446,IF(ISNUMBER(SEARCH("12",'Procyclean 600'!E446)),EDATE(AB3444,12),IF(ISNUMBER(SEARCH("6",'Procyclean 600'!E446)),EDATE(AB3444,6),IF(ISNUMBER(SEARCH("3",'Procyclean 600'!E446)),EDATE(AB3444,3),DATEVALUE('Procyclean 600'!E446))))),""))</f>
        <v/>
      </c>
      <c r="AM3444" t="str">
        <f t="shared" ca="1" si="340"/>
        <v/>
      </c>
    </row>
    <row r="3445" spans="27:39" x14ac:dyDescent="0.3">
      <c r="AA3445" t="str">
        <f>IF(COUNTA('Procyclean 600'!B447,'Procyclean 600'!C447,'Procyclean 600'!D447)&gt;0,"600","")</f>
        <v/>
      </c>
      <c r="AB3445" t="str">
        <f>IFERROR(IF(ISNUMBER('Procyclean 600'!B447),'Procyclean 600'!B447,DATEVALUE('Procyclean 600'!B447)),"")</f>
        <v/>
      </c>
      <c r="AC3445" t="str">
        <f>IF(AA3445="","",'Procyclean 600'!C447)</f>
        <v/>
      </c>
      <c r="AD3445" t="str">
        <f>IF(AA3445="","",IFERROR(1*'Procyclean 600'!D447,IFERROR(_xludf.NUMBERVALUE('Procyclean 600'!D447,".",","),IFERROR(_xludf.NUMBERVALUE('Procyclean 600'!D447,",","."),0))))</f>
        <v/>
      </c>
      <c r="AE3445" t="str">
        <f>IF(AA3445="","",'Procyclean 600'!K447)</f>
        <v/>
      </c>
      <c r="AF3445">
        <f t="shared" si="335"/>
        <v>0</v>
      </c>
      <c r="AG3445" t="str">
        <f t="shared" si="336"/>
        <v/>
      </c>
      <c r="AH3445" t="str">
        <f t="shared" si="337"/>
        <v/>
      </c>
      <c r="AI3445">
        <f t="shared" si="338"/>
        <v>0</v>
      </c>
      <c r="AJ3445">
        <f t="shared" si="339"/>
        <v>0</v>
      </c>
      <c r="AK3445">
        <v>0</v>
      </c>
      <c r="AL3445" t="str">
        <f>IF(AA3445="","",IFERROR(IF(ISNUMBER('Procyclean 600'!E447),'Procyclean 600'!E447,IF(ISNUMBER(SEARCH("12",'Procyclean 600'!E447)),EDATE(AB3445,12),IF(ISNUMBER(SEARCH("6",'Procyclean 600'!E447)),EDATE(AB3445,6),IF(ISNUMBER(SEARCH("3",'Procyclean 600'!E447)),EDATE(AB3445,3),DATEVALUE('Procyclean 600'!E447))))),""))</f>
        <v/>
      </c>
      <c r="AM3445" t="str">
        <f t="shared" ca="1" si="340"/>
        <v/>
      </c>
    </row>
    <row r="3446" spans="27:39" x14ac:dyDescent="0.3">
      <c r="AA3446" t="str">
        <f>IF(COUNTA('Procyclean 600'!B448,'Procyclean 600'!C448,'Procyclean 600'!D448)&gt;0,"600","")</f>
        <v/>
      </c>
      <c r="AB3446" t="str">
        <f>IFERROR(IF(ISNUMBER('Procyclean 600'!B448),'Procyclean 600'!B448,DATEVALUE('Procyclean 600'!B448)),"")</f>
        <v/>
      </c>
      <c r="AC3446" t="str">
        <f>IF(AA3446="","",'Procyclean 600'!C448)</f>
        <v/>
      </c>
      <c r="AD3446" t="str">
        <f>IF(AA3446="","",IFERROR(1*'Procyclean 600'!D448,IFERROR(_xludf.NUMBERVALUE('Procyclean 600'!D448,".",","),IFERROR(_xludf.NUMBERVALUE('Procyclean 600'!D448,",","."),0))))</f>
        <v/>
      </c>
      <c r="AE3446" t="str">
        <f>IF(AA3446="","",'Procyclean 600'!K448)</f>
        <v/>
      </c>
      <c r="AF3446">
        <f t="shared" si="335"/>
        <v>0</v>
      </c>
      <c r="AG3446" t="str">
        <f t="shared" si="336"/>
        <v/>
      </c>
      <c r="AH3446" t="str">
        <f t="shared" si="337"/>
        <v/>
      </c>
      <c r="AI3446">
        <f t="shared" si="338"/>
        <v>0</v>
      </c>
      <c r="AJ3446">
        <f t="shared" si="339"/>
        <v>0</v>
      </c>
      <c r="AK3446">
        <v>0</v>
      </c>
      <c r="AL3446" t="str">
        <f>IF(AA3446="","",IFERROR(IF(ISNUMBER('Procyclean 600'!E448),'Procyclean 600'!E448,IF(ISNUMBER(SEARCH("12",'Procyclean 600'!E448)),EDATE(AB3446,12),IF(ISNUMBER(SEARCH("6",'Procyclean 600'!E448)),EDATE(AB3446,6),IF(ISNUMBER(SEARCH("3",'Procyclean 600'!E448)),EDATE(AB3446,3),DATEVALUE('Procyclean 600'!E448))))),""))</f>
        <v/>
      </c>
      <c r="AM3446" t="str">
        <f t="shared" ca="1" si="340"/>
        <v/>
      </c>
    </row>
    <row r="3447" spans="27:39" x14ac:dyDescent="0.3">
      <c r="AA3447" t="str">
        <f>IF(COUNTA('Procyclean 600'!B449,'Procyclean 600'!C449,'Procyclean 600'!D449)&gt;0,"600","")</f>
        <v/>
      </c>
      <c r="AB3447" t="str">
        <f>IFERROR(IF(ISNUMBER('Procyclean 600'!B449),'Procyclean 600'!B449,DATEVALUE('Procyclean 600'!B449)),"")</f>
        <v/>
      </c>
      <c r="AC3447" t="str">
        <f>IF(AA3447="","",'Procyclean 600'!C449)</f>
        <v/>
      </c>
      <c r="AD3447" t="str">
        <f>IF(AA3447="","",IFERROR(1*'Procyclean 600'!D449,IFERROR(_xludf.NUMBERVALUE('Procyclean 600'!D449,".",","),IFERROR(_xludf.NUMBERVALUE('Procyclean 600'!D449,",","."),0))))</f>
        <v/>
      </c>
      <c r="AE3447" t="str">
        <f>IF(AA3447="","",'Procyclean 600'!K449)</f>
        <v/>
      </c>
      <c r="AF3447">
        <f t="shared" si="335"/>
        <v>0</v>
      </c>
      <c r="AG3447" t="str">
        <f t="shared" si="336"/>
        <v/>
      </c>
      <c r="AH3447" t="str">
        <f t="shared" si="337"/>
        <v/>
      </c>
      <c r="AI3447">
        <f t="shared" si="338"/>
        <v>0</v>
      </c>
      <c r="AJ3447">
        <f t="shared" si="339"/>
        <v>0</v>
      </c>
      <c r="AK3447">
        <v>0</v>
      </c>
      <c r="AL3447" t="str">
        <f>IF(AA3447="","",IFERROR(IF(ISNUMBER('Procyclean 600'!E449),'Procyclean 600'!E449,IF(ISNUMBER(SEARCH("12",'Procyclean 600'!E449)),EDATE(AB3447,12),IF(ISNUMBER(SEARCH("6",'Procyclean 600'!E449)),EDATE(AB3447,6),IF(ISNUMBER(SEARCH("3",'Procyclean 600'!E449)),EDATE(AB3447,3),DATEVALUE('Procyclean 600'!E449))))),""))</f>
        <v/>
      </c>
      <c r="AM3447" t="str">
        <f t="shared" ca="1" si="340"/>
        <v/>
      </c>
    </row>
    <row r="3448" spans="27:39" x14ac:dyDescent="0.3">
      <c r="AA3448" t="str">
        <f>IF(COUNTA('Procyclean 600'!B450,'Procyclean 600'!C450,'Procyclean 600'!D450)&gt;0,"600","")</f>
        <v/>
      </c>
      <c r="AB3448" t="str">
        <f>IFERROR(IF(ISNUMBER('Procyclean 600'!B450),'Procyclean 600'!B450,DATEVALUE('Procyclean 600'!B450)),"")</f>
        <v/>
      </c>
      <c r="AC3448" t="str">
        <f>IF(AA3448="","",'Procyclean 600'!C450)</f>
        <v/>
      </c>
      <c r="AD3448" t="str">
        <f>IF(AA3448="","",IFERROR(1*'Procyclean 600'!D450,IFERROR(_xludf.NUMBERVALUE('Procyclean 600'!D450,".",","),IFERROR(_xludf.NUMBERVALUE('Procyclean 600'!D450,",","."),0))))</f>
        <v/>
      </c>
      <c r="AE3448" t="str">
        <f>IF(AA3448="","",'Procyclean 600'!K450)</f>
        <v/>
      </c>
      <c r="AF3448">
        <f t="shared" si="335"/>
        <v>0</v>
      </c>
      <c r="AG3448" t="str">
        <f t="shared" si="336"/>
        <v/>
      </c>
      <c r="AH3448" t="str">
        <f t="shared" si="337"/>
        <v/>
      </c>
      <c r="AI3448">
        <f t="shared" si="338"/>
        <v>0</v>
      </c>
      <c r="AJ3448">
        <f t="shared" si="339"/>
        <v>0</v>
      </c>
      <c r="AK3448">
        <v>0</v>
      </c>
      <c r="AL3448" t="str">
        <f>IF(AA3448="","",IFERROR(IF(ISNUMBER('Procyclean 600'!E450),'Procyclean 600'!E450,IF(ISNUMBER(SEARCH("12",'Procyclean 600'!E450)),EDATE(AB3448,12),IF(ISNUMBER(SEARCH("6",'Procyclean 600'!E450)),EDATE(AB3448,6),IF(ISNUMBER(SEARCH("3",'Procyclean 600'!E450)),EDATE(AB3448,3),DATEVALUE('Procyclean 600'!E450))))),""))</f>
        <v/>
      </c>
      <c r="AM3448" t="str">
        <f t="shared" ca="1" si="340"/>
        <v/>
      </c>
    </row>
    <row r="3449" spans="27:39" x14ac:dyDescent="0.3">
      <c r="AA3449" t="str">
        <f>IF(COUNTA('Procyclean 600'!B451,'Procyclean 600'!C451,'Procyclean 600'!D451)&gt;0,"600","")</f>
        <v/>
      </c>
      <c r="AB3449" t="str">
        <f>IFERROR(IF(ISNUMBER('Procyclean 600'!B451),'Procyclean 600'!B451,DATEVALUE('Procyclean 600'!B451)),"")</f>
        <v/>
      </c>
      <c r="AC3449" t="str">
        <f>IF(AA3449="","",'Procyclean 600'!C451)</f>
        <v/>
      </c>
      <c r="AD3449" t="str">
        <f>IF(AA3449="","",IFERROR(1*'Procyclean 600'!D451,IFERROR(_xludf.NUMBERVALUE('Procyclean 600'!D451,".",","),IFERROR(_xludf.NUMBERVALUE('Procyclean 600'!D451,",","."),0))))</f>
        <v/>
      </c>
      <c r="AE3449" t="str">
        <f>IF(AA3449="","",'Procyclean 600'!K451)</f>
        <v/>
      </c>
      <c r="AF3449">
        <f t="shared" si="335"/>
        <v>0</v>
      </c>
      <c r="AG3449" t="str">
        <f t="shared" si="336"/>
        <v/>
      </c>
      <c r="AH3449" t="str">
        <f t="shared" si="337"/>
        <v/>
      </c>
      <c r="AI3449">
        <f t="shared" si="338"/>
        <v>0</v>
      </c>
      <c r="AJ3449">
        <f t="shared" si="339"/>
        <v>0</v>
      </c>
      <c r="AK3449">
        <v>0</v>
      </c>
      <c r="AL3449" t="str">
        <f>IF(AA3449="","",IFERROR(IF(ISNUMBER('Procyclean 600'!E451),'Procyclean 600'!E451,IF(ISNUMBER(SEARCH("12",'Procyclean 600'!E451)),EDATE(AB3449,12),IF(ISNUMBER(SEARCH("6",'Procyclean 600'!E451)),EDATE(AB3449,6),IF(ISNUMBER(SEARCH("3",'Procyclean 600'!E451)),EDATE(AB3449,3),DATEVALUE('Procyclean 600'!E451))))),""))</f>
        <v/>
      </c>
      <c r="AM3449" t="str">
        <f t="shared" ca="1" si="340"/>
        <v/>
      </c>
    </row>
    <row r="3450" spans="27:39" x14ac:dyDescent="0.3">
      <c r="AA3450" t="str">
        <f>IF(COUNTA('Procyclean 600'!B452,'Procyclean 600'!C452,'Procyclean 600'!D452)&gt;0,"600","")</f>
        <v/>
      </c>
      <c r="AB3450" t="str">
        <f>IFERROR(IF(ISNUMBER('Procyclean 600'!B452),'Procyclean 600'!B452,DATEVALUE('Procyclean 600'!B452)),"")</f>
        <v/>
      </c>
      <c r="AC3450" t="str">
        <f>IF(AA3450="","",'Procyclean 600'!C452)</f>
        <v/>
      </c>
      <c r="AD3450" t="str">
        <f>IF(AA3450="","",IFERROR(1*'Procyclean 600'!D452,IFERROR(_xludf.NUMBERVALUE('Procyclean 600'!D452,".",","),IFERROR(_xludf.NUMBERVALUE('Procyclean 600'!D452,",","."),0))))</f>
        <v/>
      </c>
      <c r="AE3450" t="str">
        <f>IF(AA3450="","",'Procyclean 600'!K452)</f>
        <v/>
      </c>
      <c r="AF3450">
        <f t="shared" si="335"/>
        <v>0</v>
      </c>
      <c r="AG3450" t="str">
        <f t="shared" si="336"/>
        <v/>
      </c>
      <c r="AH3450" t="str">
        <f t="shared" si="337"/>
        <v/>
      </c>
      <c r="AI3450">
        <f t="shared" si="338"/>
        <v>0</v>
      </c>
      <c r="AJ3450">
        <f t="shared" si="339"/>
        <v>0</v>
      </c>
      <c r="AK3450">
        <v>0</v>
      </c>
      <c r="AL3450" t="str">
        <f>IF(AA3450="","",IFERROR(IF(ISNUMBER('Procyclean 600'!E452),'Procyclean 600'!E452,IF(ISNUMBER(SEARCH("12",'Procyclean 600'!E452)),EDATE(AB3450,12),IF(ISNUMBER(SEARCH("6",'Procyclean 600'!E452)),EDATE(AB3450,6),IF(ISNUMBER(SEARCH("3",'Procyclean 600'!E452)),EDATE(AB3450,3),DATEVALUE('Procyclean 600'!E452))))),""))</f>
        <v/>
      </c>
      <c r="AM3450" t="str">
        <f t="shared" ca="1" si="340"/>
        <v/>
      </c>
    </row>
    <row r="3451" spans="27:39" x14ac:dyDescent="0.3">
      <c r="AA3451" t="str">
        <f>IF(COUNTA('Procyclean 600'!B453,'Procyclean 600'!C453,'Procyclean 600'!D453)&gt;0,"600","")</f>
        <v/>
      </c>
      <c r="AB3451" t="str">
        <f>IFERROR(IF(ISNUMBER('Procyclean 600'!B453),'Procyclean 600'!B453,DATEVALUE('Procyclean 600'!B453)),"")</f>
        <v/>
      </c>
      <c r="AC3451" t="str">
        <f>IF(AA3451="","",'Procyclean 600'!C453)</f>
        <v/>
      </c>
      <c r="AD3451" t="str">
        <f>IF(AA3451="","",IFERROR(1*'Procyclean 600'!D453,IFERROR(_xludf.NUMBERVALUE('Procyclean 600'!D453,".",","),IFERROR(_xludf.NUMBERVALUE('Procyclean 600'!D453,",","."),0))))</f>
        <v/>
      </c>
      <c r="AE3451" t="str">
        <f>IF(AA3451="","",'Procyclean 600'!K453)</f>
        <v/>
      </c>
      <c r="AF3451">
        <f t="shared" si="335"/>
        <v>0</v>
      </c>
      <c r="AG3451" t="str">
        <f t="shared" si="336"/>
        <v/>
      </c>
      <c r="AH3451" t="str">
        <f t="shared" si="337"/>
        <v/>
      </c>
      <c r="AI3451">
        <f t="shared" si="338"/>
        <v>0</v>
      </c>
      <c r="AJ3451">
        <f t="shared" si="339"/>
        <v>0</v>
      </c>
      <c r="AK3451">
        <v>0</v>
      </c>
      <c r="AL3451" t="str">
        <f>IF(AA3451="","",IFERROR(IF(ISNUMBER('Procyclean 600'!E453),'Procyclean 600'!E453,IF(ISNUMBER(SEARCH("12",'Procyclean 600'!E453)),EDATE(AB3451,12),IF(ISNUMBER(SEARCH("6",'Procyclean 600'!E453)),EDATE(AB3451,6),IF(ISNUMBER(SEARCH("3",'Procyclean 600'!E453)),EDATE(AB3451,3),DATEVALUE('Procyclean 600'!E453))))),""))</f>
        <v/>
      </c>
      <c r="AM3451" t="str">
        <f t="shared" ca="1" si="340"/>
        <v/>
      </c>
    </row>
    <row r="3452" spans="27:39" x14ac:dyDescent="0.3">
      <c r="AA3452" t="str">
        <f>IF(COUNTA('Procyclean 600'!B454,'Procyclean 600'!C454,'Procyclean 600'!D454)&gt;0,"600","")</f>
        <v/>
      </c>
      <c r="AB3452" t="str">
        <f>IFERROR(IF(ISNUMBER('Procyclean 600'!B454),'Procyclean 600'!B454,DATEVALUE('Procyclean 600'!B454)),"")</f>
        <v/>
      </c>
      <c r="AC3452" t="str">
        <f>IF(AA3452="","",'Procyclean 600'!C454)</f>
        <v/>
      </c>
      <c r="AD3452" t="str">
        <f>IF(AA3452="","",IFERROR(1*'Procyclean 600'!D454,IFERROR(_xludf.NUMBERVALUE('Procyclean 600'!D454,".",","),IFERROR(_xludf.NUMBERVALUE('Procyclean 600'!D454,",","."),0))))</f>
        <v/>
      </c>
      <c r="AE3452" t="str">
        <f>IF(AA3452="","",'Procyclean 600'!K454)</f>
        <v/>
      </c>
      <c r="AF3452">
        <f t="shared" si="335"/>
        <v>0</v>
      </c>
      <c r="AG3452" t="str">
        <f t="shared" si="336"/>
        <v/>
      </c>
      <c r="AH3452" t="str">
        <f t="shared" si="337"/>
        <v/>
      </c>
      <c r="AI3452">
        <f t="shared" si="338"/>
        <v>0</v>
      </c>
      <c r="AJ3452">
        <f t="shared" si="339"/>
        <v>0</v>
      </c>
      <c r="AK3452">
        <v>0</v>
      </c>
      <c r="AL3452" t="str">
        <f>IF(AA3452="","",IFERROR(IF(ISNUMBER('Procyclean 600'!E454),'Procyclean 600'!E454,IF(ISNUMBER(SEARCH("12",'Procyclean 600'!E454)),EDATE(AB3452,12),IF(ISNUMBER(SEARCH("6",'Procyclean 600'!E454)),EDATE(AB3452,6),IF(ISNUMBER(SEARCH("3",'Procyclean 600'!E454)),EDATE(AB3452,3),DATEVALUE('Procyclean 600'!E454))))),""))</f>
        <v/>
      </c>
      <c r="AM3452" t="str">
        <f t="shared" ca="1" si="340"/>
        <v/>
      </c>
    </row>
    <row r="3453" spans="27:39" x14ac:dyDescent="0.3">
      <c r="AA3453" t="str">
        <f>IF(COUNTA('Procyclean 600'!B455,'Procyclean 600'!C455,'Procyclean 600'!D455)&gt;0,"600","")</f>
        <v/>
      </c>
      <c r="AB3453" t="str">
        <f>IFERROR(IF(ISNUMBER('Procyclean 600'!B455),'Procyclean 600'!B455,DATEVALUE('Procyclean 600'!B455)),"")</f>
        <v/>
      </c>
      <c r="AC3453" t="str">
        <f>IF(AA3453="","",'Procyclean 600'!C455)</f>
        <v/>
      </c>
      <c r="AD3453" t="str">
        <f>IF(AA3453="","",IFERROR(1*'Procyclean 600'!D455,IFERROR(_xludf.NUMBERVALUE('Procyclean 600'!D455,".",","),IFERROR(_xludf.NUMBERVALUE('Procyclean 600'!D455,",","."),0))))</f>
        <v/>
      </c>
      <c r="AE3453" t="str">
        <f>IF(AA3453="","",'Procyclean 600'!K455)</f>
        <v/>
      </c>
      <c r="AF3453">
        <f t="shared" si="335"/>
        <v>0</v>
      </c>
      <c r="AG3453" t="str">
        <f t="shared" si="336"/>
        <v/>
      </c>
      <c r="AH3453" t="str">
        <f t="shared" si="337"/>
        <v/>
      </c>
      <c r="AI3453">
        <f t="shared" si="338"/>
        <v>0</v>
      </c>
      <c r="AJ3453">
        <f t="shared" si="339"/>
        <v>0</v>
      </c>
      <c r="AK3453">
        <v>0</v>
      </c>
      <c r="AL3453" t="str">
        <f>IF(AA3453="","",IFERROR(IF(ISNUMBER('Procyclean 600'!E455),'Procyclean 600'!E455,IF(ISNUMBER(SEARCH("12",'Procyclean 600'!E455)),EDATE(AB3453,12),IF(ISNUMBER(SEARCH("6",'Procyclean 600'!E455)),EDATE(AB3453,6),IF(ISNUMBER(SEARCH("3",'Procyclean 600'!E455)),EDATE(AB3453,3),DATEVALUE('Procyclean 600'!E455))))),""))</f>
        <v/>
      </c>
      <c r="AM3453" t="str">
        <f t="shared" ca="1" si="340"/>
        <v/>
      </c>
    </row>
    <row r="3454" spans="27:39" x14ac:dyDescent="0.3">
      <c r="AA3454" t="str">
        <f>IF(COUNTA('Procyclean 600'!B456,'Procyclean 600'!C456,'Procyclean 600'!D456)&gt;0,"600","")</f>
        <v/>
      </c>
      <c r="AB3454" t="str">
        <f>IFERROR(IF(ISNUMBER('Procyclean 600'!B456),'Procyclean 600'!B456,DATEVALUE('Procyclean 600'!B456)),"")</f>
        <v/>
      </c>
      <c r="AC3454" t="str">
        <f>IF(AA3454="","",'Procyclean 600'!C456)</f>
        <v/>
      </c>
      <c r="AD3454" t="str">
        <f>IF(AA3454="","",IFERROR(1*'Procyclean 600'!D456,IFERROR(_xludf.NUMBERVALUE('Procyclean 600'!D456,".",","),IFERROR(_xludf.NUMBERVALUE('Procyclean 600'!D456,",","."),0))))</f>
        <v/>
      </c>
      <c r="AE3454" t="str">
        <f>IF(AA3454="","",'Procyclean 600'!K456)</f>
        <v/>
      </c>
      <c r="AF3454">
        <f t="shared" si="335"/>
        <v>0</v>
      </c>
      <c r="AG3454" t="str">
        <f t="shared" si="336"/>
        <v/>
      </c>
      <c r="AH3454" t="str">
        <f t="shared" si="337"/>
        <v/>
      </c>
      <c r="AI3454">
        <f t="shared" si="338"/>
        <v>0</v>
      </c>
      <c r="AJ3454">
        <f t="shared" si="339"/>
        <v>0</v>
      </c>
      <c r="AK3454">
        <v>0</v>
      </c>
      <c r="AL3454" t="str">
        <f>IF(AA3454="","",IFERROR(IF(ISNUMBER('Procyclean 600'!E456),'Procyclean 600'!E456,IF(ISNUMBER(SEARCH("12",'Procyclean 600'!E456)),EDATE(AB3454,12),IF(ISNUMBER(SEARCH("6",'Procyclean 600'!E456)),EDATE(AB3454,6),IF(ISNUMBER(SEARCH("3",'Procyclean 600'!E456)),EDATE(AB3454,3),DATEVALUE('Procyclean 600'!E456))))),""))</f>
        <v/>
      </c>
      <c r="AM3454" t="str">
        <f t="shared" ca="1" si="340"/>
        <v/>
      </c>
    </row>
    <row r="3455" spans="27:39" x14ac:dyDescent="0.3">
      <c r="AA3455" t="str">
        <f>IF(COUNTA('Procyclean 600'!B457,'Procyclean 600'!C457,'Procyclean 600'!D457)&gt;0,"600","")</f>
        <v/>
      </c>
      <c r="AB3455" t="str">
        <f>IFERROR(IF(ISNUMBER('Procyclean 600'!B457),'Procyclean 600'!B457,DATEVALUE('Procyclean 600'!B457)),"")</f>
        <v/>
      </c>
      <c r="AC3455" t="str">
        <f>IF(AA3455="","",'Procyclean 600'!C457)</f>
        <v/>
      </c>
      <c r="AD3455" t="str">
        <f>IF(AA3455="","",IFERROR(1*'Procyclean 600'!D457,IFERROR(_xludf.NUMBERVALUE('Procyclean 600'!D457,".",","),IFERROR(_xludf.NUMBERVALUE('Procyclean 600'!D457,",","."),0))))</f>
        <v/>
      </c>
      <c r="AE3455" t="str">
        <f>IF(AA3455="","",'Procyclean 600'!K457)</f>
        <v/>
      </c>
      <c r="AF3455">
        <f t="shared" si="335"/>
        <v>0</v>
      </c>
      <c r="AG3455" t="str">
        <f t="shared" si="336"/>
        <v/>
      </c>
      <c r="AH3455" t="str">
        <f t="shared" si="337"/>
        <v/>
      </c>
      <c r="AI3455">
        <f t="shared" si="338"/>
        <v>0</v>
      </c>
      <c r="AJ3455">
        <f t="shared" si="339"/>
        <v>0</v>
      </c>
      <c r="AK3455">
        <v>0</v>
      </c>
      <c r="AL3455" t="str">
        <f>IF(AA3455="","",IFERROR(IF(ISNUMBER('Procyclean 600'!E457),'Procyclean 600'!E457,IF(ISNUMBER(SEARCH("12",'Procyclean 600'!E457)),EDATE(AB3455,12),IF(ISNUMBER(SEARCH("6",'Procyclean 600'!E457)),EDATE(AB3455,6),IF(ISNUMBER(SEARCH("3",'Procyclean 600'!E457)),EDATE(AB3455,3),DATEVALUE('Procyclean 600'!E457))))),""))</f>
        <v/>
      </c>
      <c r="AM3455" t="str">
        <f t="shared" ca="1" si="340"/>
        <v/>
      </c>
    </row>
    <row r="3456" spans="27:39" x14ac:dyDescent="0.3">
      <c r="AA3456" t="str">
        <f>IF(COUNTA('Procyclean 600'!B458,'Procyclean 600'!C458,'Procyclean 600'!D458)&gt;0,"600","")</f>
        <v/>
      </c>
      <c r="AB3456" t="str">
        <f>IFERROR(IF(ISNUMBER('Procyclean 600'!B458),'Procyclean 600'!B458,DATEVALUE('Procyclean 600'!B458)),"")</f>
        <v/>
      </c>
      <c r="AC3456" t="str">
        <f>IF(AA3456="","",'Procyclean 600'!C458)</f>
        <v/>
      </c>
      <c r="AD3456" t="str">
        <f>IF(AA3456="","",IFERROR(1*'Procyclean 600'!D458,IFERROR(_xludf.NUMBERVALUE('Procyclean 600'!D458,".",","),IFERROR(_xludf.NUMBERVALUE('Procyclean 600'!D458,",","."),0))))</f>
        <v/>
      </c>
      <c r="AE3456" t="str">
        <f>IF(AA3456="","",'Procyclean 600'!K458)</f>
        <v/>
      </c>
      <c r="AF3456">
        <f t="shared" si="335"/>
        <v>0</v>
      </c>
      <c r="AG3456" t="str">
        <f t="shared" si="336"/>
        <v/>
      </c>
      <c r="AH3456" t="str">
        <f t="shared" si="337"/>
        <v/>
      </c>
      <c r="AI3456">
        <f t="shared" si="338"/>
        <v>0</v>
      </c>
      <c r="AJ3456">
        <f t="shared" si="339"/>
        <v>0</v>
      </c>
      <c r="AK3456">
        <v>0</v>
      </c>
      <c r="AL3456" t="str">
        <f>IF(AA3456="","",IFERROR(IF(ISNUMBER('Procyclean 600'!E458),'Procyclean 600'!E458,IF(ISNUMBER(SEARCH("12",'Procyclean 600'!E458)),EDATE(AB3456,12),IF(ISNUMBER(SEARCH("6",'Procyclean 600'!E458)),EDATE(AB3456,6),IF(ISNUMBER(SEARCH("3",'Procyclean 600'!E458)),EDATE(AB3456,3),DATEVALUE('Procyclean 600'!E458))))),""))</f>
        <v/>
      </c>
      <c r="AM3456" t="str">
        <f t="shared" ca="1" si="340"/>
        <v/>
      </c>
    </row>
    <row r="3457" spans="27:39" x14ac:dyDescent="0.3">
      <c r="AA3457" t="str">
        <f>IF(COUNTA('Procyclean 600'!B459,'Procyclean 600'!C459,'Procyclean 600'!D459)&gt;0,"600","")</f>
        <v/>
      </c>
      <c r="AB3457" t="str">
        <f>IFERROR(IF(ISNUMBER('Procyclean 600'!B459),'Procyclean 600'!B459,DATEVALUE('Procyclean 600'!B459)),"")</f>
        <v/>
      </c>
      <c r="AC3457" t="str">
        <f>IF(AA3457="","",'Procyclean 600'!C459)</f>
        <v/>
      </c>
      <c r="AD3457" t="str">
        <f>IF(AA3457="","",IFERROR(1*'Procyclean 600'!D459,IFERROR(_xludf.NUMBERVALUE('Procyclean 600'!D459,".",","),IFERROR(_xludf.NUMBERVALUE('Procyclean 600'!D459,",","."),0))))</f>
        <v/>
      </c>
      <c r="AE3457" t="str">
        <f>IF(AA3457="","",'Procyclean 600'!K459)</f>
        <v/>
      </c>
      <c r="AF3457">
        <f t="shared" si="335"/>
        <v>0</v>
      </c>
      <c r="AG3457" t="str">
        <f t="shared" si="336"/>
        <v/>
      </c>
      <c r="AH3457" t="str">
        <f t="shared" si="337"/>
        <v/>
      </c>
      <c r="AI3457">
        <f t="shared" si="338"/>
        <v>0</v>
      </c>
      <c r="AJ3457">
        <f t="shared" si="339"/>
        <v>0</v>
      </c>
      <c r="AK3457">
        <v>0</v>
      </c>
      <c r="AL3457" t="str">
        <f>IF(AA3457="","",IFERROR(IF(ISNUMBER('Procyclean 600'!E459),'Procyclean 600'!E459,IF(ISNUMBER(SEARCH("12",'Procyclean 600'!E459)),EDATE(AB3457,12),IF(ISNUMBER(SEARCH("6",'Procyclean 600'!E459)),EDATE(AB3457,6),IF(ISNUMBER(SEARCH("3",'Procyclean 600'!E459)),EDATE(AB3457,3),DATEVALUE('Procyclean 600'!E459))))),""))</f>
        <v/>
      </c>
      <c r="AM3457" t="str">
        <f t="shared" ca="1" si="340"/>
        <v/>
      </c>
    </row>
    <row r="3458" spans="27:39" x14ac:dyDescent="0.3">
      <c r="AA3458" t="str">
        <f>IF(COUNTA('Procyclean 600'!B460,'Procyclean 600'!C460,'Procyclean 600'!D460)&gt;0,"600","")</f>
        <v/>
      </c>
      <c r="AB3458" t="str">
        <f>IFERROR(IF(ISNUMBER('Procyclean 600'!B460),'Procyclean 600'!B460,DATEVALUE('Procyclean 600'!B460)),"")</f>
        <v/>
      </c>
      <c r="AC3458" t="str">
        <f>IF(AA3458="","",'Procyclean 600'!C460)</f>
        <v/>
      </c>
      <c r="AD3458" t="str">
        <f>IF(AA3458="","",IFERROR(1*'Procyclean 600'!D460,IFERROR(_xludf.NUMBERVALUE('Procyclean 600'!D460,".",","),IFERROR(_xludf.NUMBERVALUE('Procyclean 600'!D460,",","."),0))))</f>
        <v/>
      </c>
      <c r="AE3458" t="str">
        <f>IF(AA3458="","",'Procyclean 600'!K460)</f>
        <v/>
      </c>
      <c r="AF3458">
        <f t="shared" ref="AF3458:AF3501" si="341">IF(AA3458="",0,--AND(ISNUMBER(SEARCH("aprov",AE3458)),NOT(ISNUMBER(SEARCH("reprov",AE3458)))))</f>
        <v>0</v>
      </c>
      <c r="AG3458" t="str">
        <f t="shared" ref="AG3458:AG3501" si="342">IF(AB3458="","",YEAR(AB3458))</f>
        <v/>
      </c>
      <c r="AH3458" t="str">
        <f t="shared" ref="AH3458:AH3501" si="343">IF(AB3458="","",MONTH(AB3458))</f>
        <v/>
      </c>
      <c r="AI3458">
        <f t="shared" ref="AI3458:AI3501" si="344">IF(AB3458="",0,AB3458+ROW()/1000000)</f>
        <v>0</v>
      </c>
      <c r="AJ3458">
        <f t="shared" ref="AJ3458:AJ3501" si="345">--(AA3458&lt;&gt;"")</f>
        <v>0</v>
      </c>
      <c r="AK3458">
        <v>0</v>
      </c>
      <c r="AL3458" t="str">
        <f>IF(AA3458="","",IFERROR(IF(ISNUMBER('Procyclean 600'!E460),'Procyclean 600'!E460,IF(ISNUMBER(SEARCH("12",'Procyclean 600'!E460)),EDATE(AB3458,12),IF(ISNUMBER(SEARCH("6",'Procyclean 600'!E460)),EDATE(AB3458,6),IF(ISNUMBER(SEARCH("3",'Procyclean 600'!E460)),EDATE(AB3458,3),DATEVALUE('Procyclean 600'!E460))))),""))</f>
        <v/>
      </c>
      <c r="AM3458" t="str">
        <f t="shared" ref="AM3458:AM3501" ca="1" si="346">IF(AND(AJ3458=1,AL3458&lt;&gt;"",AL3458&gt;=TODAY(),AG3458=$W$3),AL3458+ROW()/1000000,"")</f>
        <v/>
      </c>
    </row>
    <row r="3459" spans="27:39" x14ac:dyDescent="0.3">
      <c r="AA3459" t="str">
        <f>IF(COUNTA('Procyclean 600'!B461,'Procyclean 600'!C461,'Procyclean 600'!D461)&gt;0,"600","")</f>
        <v/>
      </c>
      <c r="AB3459" t="str">
        <f>IFERROR(IF(ISNUMBER('Procyclean 600'!B461),'Procyclean 600'!B461,DATEVALUE('Procyclean 600'!B461)),"")</f>
        <v/>
      </c>
      <c r="AC3459" t="str">
        <f>IF(AA3459="","",'Procyclean 600'!C461)</f>
        <v/>
      </c>
      <c r="AD3459" t="str">
        <f>IF(AA3459="","",IFERROR(1*'Procyclean 600'!D461,IFERROR(_xludf.NUMBERVALUE('Procyclean 600'!D461,".",","),IFERROR(_xludf.NUMBERVALUE('Procyclean 600'!D461,",","."),0))))</f>
        <v/>
      </c>
      <c r="AE3459" t="str">
        <f>IF(AA3459="","",'Procyclean 600'!K461)</f>
        <v/>
      </c>
      <c r="AF3459">
        <f t="shared" si="341"/>
        <v>0</v>
      </c>
      <c r="AG3459" t="str">
        <f t="shared" si="342"/>
        <v/>
      </c>
      <c r="AH3459" t="str">
        <f t="shared" si="343"/>
        <v/>
      </c>
      <c r="AI3459">
        <f t="shared" si="344"/>
        <v>0</v>
      </c>
      <c r="AJ3459">
        <f t="shared" si="345"/>
        <v>0</v>
      </c>
      <c r="AK3459">
        <v>0</v>
      </c>
      <c r="AL3459" t="str">
        <f>IF(AA3459="","",IFERROR(IF(ISNUMBER('Procyclean 600'!E461),'Procyclean 600'!E461,IF(ISNUMBER(SEARCH("12",'Procyclean 600'!E461)),EDATE(AB3459,12),IF(ISNUMBER(SEARCH("6",'Procyclean 600'!E461)),EDATE(AB3459,6),IF(ISNUMBER(SEARCH("3",'Procyclean 600'!E461)),EDATE(AB3459,3),DATEVALUE('Procyclean 600'!E461))))),""))</f>
        <v/>
      </c>
      <c r="AM3459" t="str">
        <f t="shared" ca="1" si="346"/>
        <v/>
      </c>
    </row>
    <row r="3460" spans="27:39" x14ac:dyDescent="0.3">
      <c r="AA3460" t="str">
        <f>IF(COUNTA('Procyclean 600'!B462,'Procyclean 600'!C462,'Procyclean 600'!D462)&gt;0,"600","")</f>
        <v/>
      </c>
      <c r="AB3460" t="str">
        <f>IFERROR(IF(ISNUMBER('Procyclean 600'!B462),'Procyclean 600'!B462,DATEVALUE('Procyclean 600'!B462)),"")</f>
        <v/>
      </c>
      <c r="AC3460" t="str">
        <f>IF(AA3460="","",'Procyclean 600'!C462)</f>
        <v/>
      </c>
      <c r="AD3460" t="str">
        <f>IF(AA3460="","",IFERROR(1*'Procyclean 600'!D462,IFERROR(_xludf.NUMBERVALUE('Procyclean 600'!D462,".",","),IFERROR(_xludf.NUMBERVALUE('Procyclean 600'!D462,",","."),0))))</f>
        <v/>
      </c>
      <c r="AE3460" t="str">
        <f>IF(AA3460="","",'Procyclean 600'!K462)</f>
        <v/>
      </c>
      <c r="AF3460">
        <f t="shared" si="341"/>
        <v>0</v>
      </c>
      <c r="AG3460" t="str">
        <f t="shared" si="342"/>
        <v/>
      </c>
      <c r="AH3460" t="str">
        <f t="shared" si="343"/>
        <v/>
      </c>
      <c r="AI3460">
        <f t="shared" si="344"/>
        <v>0</v>
      </c>
      <c r="AJ3460">
        <f t="shared" si="345"/>
        <v>0</v>
      </c>
      <c r="AK3460">
        <v>0</v>
      </c>
      <c r="AL3460" t="str">
        <f>IF(AA3460="","",IFERROR(IF(ISNUMBER('Procyclean 600'!E462),'Procyclean 600'!E462,IF(ISNUMBER(SEARCH("12",'Procyclean 600'!E462)),EDATE(AB3460,12),IF(ISNUMBER(SEARCH("6",'Procyclean 600'!E462)),EDATE(AB3460,6),IF(ISNUMBER(SEARCH("3",'Procyclean 600'!E462)),EDATE(AB3460,3),DATEVALUE('Procyclean 600'!E462))))),""))</f>
        <v/>
      </c>
      <c r="AM3460" t="str">
        <f t="shared" ca="1" si="346"/>
        <v/>
      </c>
    </row>
    <row r="3461" spans="27:39" x14ac:dyDescent="0.3">
      <c r="AA3461" t="str">
        <f>IF(COUNTA('Procyclean 600'!B463,'Procyclean 600'!C463,'Procyclean 600'!D463)&gt;0,"600","")</f>
        <v/>
      </c>
      <c r="AB3461" t="str">
        <f>IFERROR(IF(ISNUMBER('Procyclean 600'!B463),'Procyclean 600'!B463,DATEVALUE('Procyclean 600'!B463)),"")</f>
        <v/>
      </c>
      <c r="AC3461" t="str">
        <f>IF(AA3461="","",'Procyclean 600'!C463)</f>
        <v/>
      </c>
      <c r="AD3461" t="str">
        <f>IF(AA3461="","",IFERROR(1*'Procyclean 600'!D463,IFERROR(_xludf.NUMBERVALUE('Procyclean 600'!D463,".",","),IFERROR(_xludf.NUMBERVALUE('Procyclean 600'!D463,",","."),0))))</f>
        <v/>
      </c>
      <c r="AE3461" t="str">
        <f>IF(AA3461="","",'Procyclean 600'!K463)</f>
        <v/>
      </c>
      <c r="AF3461">
        <f t="shared" si="341"/>
        <v>0</v>
      </c>
      <c r="AG3461" t="str">
        <f t="shared" si="342"/>
        <v/>
      </c>
      <c r="AH3461" t="str">
        <f t="shared" si="343"/>
        <v/>
      </c>
      <c r="AI3461">
        <f t="shared" si="344"/>
        <v>0</v>
      </c>
      <c r="AJ3461">
        <f t="shared" si="345"/>
        <v>0</v>
      </c>
      <c r="AK3461">
        <v>0</v>
      </c>
      <c r="AL3461" t="str">
        <f>IF(AA3461="","",IFERROR(IF(ISNUMBER('Procyclean 600'!E463),'Procyclean 600'!E463,IF(ISNUMBER(SEARCH("12",'Procyclean 600'!E463)),EDATE(AB3461,12),IF(ISNUMBER(SEARCH("6",'Procyclean 600'!E463)),EDATE(AB3461,6),IF(ISNUMBER(SEARCH("3",'Procyclean 600'!E463)),EDATE(AB3461,3),DATEVALUE('Procyclean 600'!E463))))),""))</f>
        <v/>
      </c>
      <c r="AM3461" t="str">
        <f t="shared" ca="1" si="346"/>
        <v/>
      </c>
    </row>
    <row r="3462" spans="27:39" x14ac:dyDescent="0.3">
      <c r="AA3462" t="str">
        <f>IF(COUNTA('Procyclean 600'!B464,'Procyclean 600'!C464,'Procyclean 600'!D464)&gt;0,"600","")</f>
        <v/>
      </c>
      <c r="AB3462" t="str">
        <f>IFERROR(IF(ISNUMBER('Procyclean 600'!B464),'Procyclean 600'!B464,DATEVALUE('Procyclean 600'!B464)),"")</f>
        <v/>
      </c>
      <c r="AC3462" t="str">
        <f>IF(AA3462="","",'Procyclean 600'!C464)</f>
        <v/>
      </c>
      <c r="AD3462" t="str">
        <f>IF(AA3462="","",IFERROR(1*'Procyclean 600'!D464,IFERROR(_xludf.NUMBERVALUE('Procyclean 600'!D464,".",","),IFERROR(_xludf.NUMBERVALUE('Procyclean 600'!D464,",","."),0))))</f>
        <v/>
      </c>
      <c r="AE3462" t="str">
        <f>IF(AA3462="","",'Procyclean 600'!K464)</f>
        <v/>
      </c>
      <c r="AF3462">
        <f t="shared" si="341"/>
        <v>0</v>
      </c>
      <c r="AG3462" t="str">
        <f t="shared" si="342"/>
        <v/>
      </c>
      <c r="AH3462" t="str">
        <f t="shared" si="343"/>
        <v/>
      </c>
      <c r="AI3462">
        <f t="shared" si="344"/>
        <v>0</v>
      </c>
      <c r="AJ3462">
        <f t="shared" si="345"/>
        <v>0</v>
      </c>
      <c r="AK3462">
        <v>0</v>
      </c>
      <c r="AL3462" t="str">
        <f>IF(AA3462="","",IFERROR(IF(ISNUMBER('Procyclean 600'!E464),'Procyclean 600'!E464,IF(ISNUMBER(SEARCH("12",'Procyclean 600'!E464)),EDATE(AB3462,12),IF(ISNUMBER(SEARCH("6",'Procyclean 600'!E464)),EDATE(AB3462,6),IF(ISNUMBER(SEARCH("3",'Procyclean 600'!E464)),EDATE(AB3462,3),DATEVALUE('Procyclean 600'!E464))))),""))</f>
        <v/>
      </c>
      <c r="AM3462" t="str">
        <f t="shared" ca="1" si="346"/>
        <v/>
      </c>
    </row>
    <row r="3463" spans="27:39" x14ac:dyDescent="0.3">
      <c r="AA3463" t="str">
        <f>IF(COUNTA('Procyclean 600'!B465,'Procyclean 600'!C465,'Procyclean 600'!D465)&gt;0,"600","")</f>
        <v/>
      </c>
      <c r="AB3463" t="str">
        <f>IFERROR(IF(ISNUMBER('Procyclean 600'!B465),'Procyclean 600'!B465,DATEVALUE('Procyclean 600'!B465)),"")</f>
        <v/>
      </c>
      <c r="AC3463" t="str">
        <f>IF(AA3463="","",'Procyclean 600'!C465)</f>
        <v/>
      </c>
      <c r="AD3463" t="str">
        <f>IF(AA3463="","",IFERROR(1*'Procyclean 600'!D465,IFERROR(_xludf.NUMBERVALUE('Procyclean 600'!D465,".",","),IFERROR(_xludf.NUMBERVALUE('Procyclean 600'!D465,",","."),0))))</f>
        <v/>
      </c>
      <c r="AE3463" t="str">
        <f>IF(AA3463="","",'Procyclean 600'!K465)</f>
        <v/>
      </c>
      <c r="AF3463">
        <f t="shared" si="341"/>
        <v>0</v>
      </c>
      <c r="AG3463" t="str">
        <f t="shared" si="342"/>
        <v/>
      </c>
      <c r="AH3463" t="str">
        <f t="shared" si="343"/>
        <v/>
      </c>
      <c r="AI3463">
        <f t="shared" si="344"/>
        <v>0</v>
      </c>
      <c r="AJ3463">
        <f t="shared" si="345"/>
        <v>0</v>
      </c>
      <c r="AK3463">
        <v>0</v>
      </c>
      <c r="AL3463" t="str">
        <f>IF(AA3463="","",IFERROR(IF(ISNUMBER('Procyclean 600'!E465),'Procyclean 600'!E465,IF(ISNUMBER(SEARCH("12",'Procyclean 600'!E465)),EDATE(AB3463,12),IF(ISNUMBER(SEARCH("6",'Procyclean 600'!E465)),EDATE(AB3463,6),IF(ISNUMBER(SEARCH("3",'Procyclean 600'!E465)),EDATE(AB3463,3),DATEVALUE('Procyclean 600'!E465))))),""))</f>
        <v/>
      </c>
      <c r="AM3463" t="str">
        <f t="shared" ca="1" si="346"/>
        <v/>
      </c>
    </row>
    <row r="3464" spans="27:39" x14ac:dyDescent="0.3">
      <c r="AA3464" t="str">
        <f>IF(COUNTA('Procyclean 600'!B466,'Procyclean 600'!C466,'Procyclean 600'!D466)&gt;0,"600","")</f>
        <v/>
      </c>
      <c r="AB3464" t="str">
        <f>IFERROR(IF(ISNUMBER('Procyclean 600'!B466),'Procyclean 600'!B466,DATEVALUE('Procyclean 600'!B466)),"")</f>
        <v/>
      </c>
      <c r="AC3464" t="str">
        <f>IF(AA3464="","",'Procyclean 600'!C466)</f>
        <v/>
      </c>
      <c r="AD3464" t="str">
        <f>IF(AA3464="","",IFERROR(1*'Procyclean 600'!D466,IFERROR(_xludf.NUMBERVALUE('Procyclean 600'!D466,".",","),IFERROR(_xludf.NUMBERVALUE('Procyclean 600'!D466,",","."),0))))</f>
        <v/>
      </c>
      <c r="AE3464" t="str">
        <f>IF(AA3464="","",'Procyclean 600'!K466)</f>
        <v/>
      </c>
      <c r="AF3464">
        <f t="shared" si="341"/>
        <v>0</v>
      </c>
      <c r="AG3464" t="str">
        <f t="shared" si="342"/>
        <v/>
      </c>
      <c r="AH3464" t="str">
        <f t="shared" si="343"/>
        <v/>
      </c>
      <c r="AI3464">
        <f t="shared" si="344"/>
        <v>0</v>
      </c>
      <c r="AJ3464">
        <f t="shared" si="345"/>
        <v>0</v>
      </c>
      <c r="AK3464">
        <v>0</v>
      </c>
      <c r="AL3464" t="str">
        <f>IF(AA3464="","",IFERROR(IF(ISNUMBER('Procyclean 600'!E466),'Procyclean 600'!E466,IF(ISNUMBER(SEARCH("12",'Procyclean 600'!E466)),EDATE(AB3464,12),IF(ISNUMBER(SEARCH("6",'Procyclean 600'!E466)),EDATE(AB3464,6),IF(ISNUMBER(SEARCH("3",'Procyclean 600'!E466)),EDATE(AB3464,3),DATEVALUE('Procyclean 600'!E466))))),""))</f>
        <v/>
      </c>
      <c r="AM3464" t="str">
        <f t="shared" ca="1" si="346"/>
        <v/>
      </c>
    </row>
    <row r="3465" spans="27:39" x14ac:dyDescent="0.3">
      <c r="AA3465" t="str">
        <f>IF(COUNTA('Procyclean 600'!B467,'Procyclean 600'!C467,'Procyclean 600'!D467)&gt;0,"600","")</f>
        <v/>
      </c>
      <c r="AB3465" t="str">
        <f>IFERROR(IF(ISNUMBER('Procyclean 600'!B467),'Procyclean 600'!B467,DATEVALUE('Procyclean 600'!B467)),"")</f>
        <v/>
      </c>
      <c r="AC3465" t="str">
        <f>IF(AA3465="","",'Procyclean 600'!C467)</f>
        <v/>
      </c>
      <c r="AD3465" t="str">
        <f>IF(AA3465="","",IFERROR(1*'Procyclean 600'!D467,IFERROR(_xludf.NUMBERVALUE('Procyclean 600'!D467,".",","),IFERROR(_xludf.NUMBERVALUE('Procyclean 600'!D467,",","."),0))))</f>
        <v/>
      </c>
      <c r="AE3465" t="str">
        <f>IF(AA3465="","",'Procyclean 600'!K467)</f>
        <v/>
      </c>
      <c r="AF3465">
        <f t="shared" si="341"/>
        <v>0</v>
      </c>
      <c r="AG3465" t="str">
        <f t="shared" si="342"/>
        <v/>
      </c>
      <c r="AH3465" t="str">
        <f t="shared" si="343"/>
        <v/>
      </c>
      <c r="AI3465">
        <f t="shared" si="344"/>
        <v>0</v>
      </c>
      <c r="AJ3465">
        <f t="shared" si="345"/>
        <v>0</v>
      </c>
      <c r="AK3465">
        <v>0</v>
      </c>
      <c r="AL3465" t="str">
        <f>IF(AA3465="","",IFERROR(IF(ISNUMBER('Procyclean 600'!E467),'Procyclean 600'!E467,IF(ISNUMBER(SEARCH("12",'Procyclean 600'!E467)),EDATE(AB3465,12),IF(ISNUMBER(SEARCH("6",'Procyclean 600'!E467)),EDATE(AB3465,6),IF(ISNUMBER(SEARCH("3",'Procyclean 600'!E467)),EDATE(AB3465,3),DATEVALUE('Procyclean 600'!E467))))),""))</f>
        <v/>
      </c>
      <c r="AM3465" t="str">
        <f t="shared" ca="1" si="346"/>
        <v/>
      </c>
    </row>
    <row r="3466" spans="27:39" x14ac:dyDescent="0.3">
      <c r="AA3466" t="str">
        <f>IF(COUNTA('Procyclean 600'!B468,'Procyclean 600'!C468,'Procyclean 600'!D468)&gt;0,"600","")</f>
        <v/>
      </c>
      <c r="AB3466" t="str">
        <f>IFERROR(IF(ISNUMBER('Procyclean 600'!B468),'Procyclean 600'!B468,DATEVALUE('Procyclean 600'!B468)),"")</f>
        <v/>
      </c>
      <c r="AC3466" t="str">
        <f>IF(AA3466="","",'Procyclean 600'!C468)</f>
        <v/>
      </c>
      <c r="AD3466" t="str">
        <f>IF(AA3466="","",IFERROR(1*'Procyclean 600'!D468,IFERROR(_xludf.NUMBERVALUE('Procyclean 600'!D468,".",","),IFERROR(_xludf.NUMBERVALUE('Procyclean 600'!D468,",","."),0))))</f>
        <v/>
      </c>
      <c r="AE3466" t="str">
        <f>IF(AA3466="","",'Procyclean 600'!K468)</f>
        <v/>
      </c>
      <c r="AF3466">
        <f t="shared" si="341"/>
        <v>0</v>
      </c>
      <c r="AG3466" t="str">
        <f t="shared" si="342"/>
        <v/>
      </c>
      <c r="AH3466" t="str">
        <f t="shared" si="343"/>
        <v/>
      </c>
      <c r="AI3466">
        <f t="shared" si="344"/>
        <v>0</v>
      </c>
      <c r="AJ3466">
        <f t="shared" si="345"/>
        <v>0</v>
      </c>
      <c r="AK3466">
        <v>0</v>
      </c>
      <c r="AL3466" t="str">
        <f>IF(AA3466="","",IFERROR(IF(ISNUMBER('Procyclean 600'!E468),'Procyclean 600'!E468,IF(ISNUMBER(SEARCH("12",'Procyclean 600'!E468)),EDATE(AB3466,12),IF(ISNUMBER(SEARCH("6",'Procyclean 600'!E468)),EDATE(AB3466,6),IF(ISNUMBER(SEARCH("3",'Procyclean 600'!E468)),EDATE(AB3466,3),DATEVALUE('Procyclean 600'!E468))))),""))</f>
        <v/>
      </c>
      <c r="AM3466" t="str">
        <f t="shared" ca="1" si="346"/>
        <v/>
      </c>
    </row>
    <row r="3467" spans="27:39" x14ac:dyDescent="0.3">
      <c r="AA3467" t="str">
        <f>IF(COUNTA('Procyclean 600'!B469,'Procyclean 600'!C469,'Procyclean 600'!D469)&gt;0,"600","")</f>
        <v/>
      </c>
      <c r="AB3467" t="str">
        <f>IFERROR(IF(ISNUMBER('Procyclean 600'!B469),'Procyclean 600'!B469,DATEVALUE('Procyclean 600'!B469)),"")</f>
        <v/>
      </c>
      <c r="AC3467" t="str">
        <f>IF(AA3467="","",'Procyclean 600'!C469)</f>
        <v/>
      </c>
      <c r="AD3467" t="str">
        <f>IF(AA3467="","",IFERROR(1*'Procyclean 600'!D469,IFERROR(_xludf.NUMBERVALUE('Procyclean 600'!D469,".",","),IFERROR(_xludf.NUMBERVALUE('Procyclean 600'!D469,",","."),0))))</f>
        <v/>
      </c>
      <c r="AE3467" t="str">
        <f>IF(AA3467="","",'Procyclean 600'!K469)</f>
        <v/>
      </c>
      <c r="AF3467">
        <f t="shared" si="341"/>
        <v>0</v>
      </c>
      <c r="AG3467" t="str">
        <f t="shared" si="342"/>
        <v/>
      </c>
      <c r="AH3467" t="str">
        <f t="shared" si="343"/>
        <v/>
      </c>
      <c r="AI3467">
        <f t="shared" si="344"/>
        <v>0</v>
      </c>
      <c r="AJ3467">
        <f t="shared" si="345"/>
        <v>0</v>
      </c>
      <c r="AK3467">
        <v>0</v>
      </c>
      <c r="AL3467" t="str">
        <f>IF(AA3467="","",IFERROR(IF(ISNUMBER('Procyclean 600'!E469),'Procyclean 600'!E469,IF(ISNUMBER(SEARCH("12",'Procyclean 600'!E469)),EDATE(AB3467,12),IF(ISNUMBER(SEARCH("6",'Procyclean 600'!E469)),EDATE(AB3467,6),IF(ISNUMBER(SEARCH("3",'Procyclean 600'!E469)),EDATE(AB3467,3),DATEVALUE('Procyclean 600'!E469))))),""))</f>
        <v/>
      </c>
      <c r="AM3467" t="str">
        <f t="shared" ca="1" si="346"/>
        <v/>
      </c>
    </row>
    <row r="3468" spans="27:39" x14ac:dyDescent="0.3">
      <c r="AA3468" t="str">
        <f>IF(COUNTA('Procyclean 600'!B470,'Procyclean 600'!C470,'Procyclean 600'!D470)&gt;0,"600","")</f>
        <v/>
      </c>
      <c r="AB3468" t="str">
        <f>IFERROR(IF(ISNUMBER('Procyclean 600'!B470),'Procyclean 600'!B470,DATEVALUE('Procyclean 600'!B470)),"")</f>
        <v/>
      </c>
      <c r="AC3468" t="str">
        <f>IF(AA3468="","",'Procyclean 600'!C470)</f>
        <v/>
      </c>
      <c r="AD3468" t="str">
        <f>IF(AA3468="","",IFERROR(1*'Procyclean 600'!D470,IFERROR(_xludf.NUMBERVALUE('Procyclean 600'!D470,".",","),IFERROR(_xludf.NUMBERVALUE('Procyclean 600'!D470,",","."),0))))</f>
        <v/>
      </c>
      <c r="AE3468" t="str">
        <f>IF(AA3468="","",'Procyclean 600'!K470)</f>
        <v/>
      </c>
      <c r="AF3468">
        <f t="shared" si="341"/>
        <v>0</v>
      </c>
      <c r="AG3468" t="str">
        <f t="shared" si="342"/>
        <v/>
      </c>
      <c r="AH3468" t="str">
        <f t="shared" si="343"/>
        <v/>
      </c>
      <c r="AI3468">
        <f t="shared" si="344"/>
        <v>0</v>
      </c>
      <c r="AJ3468">
        <f t="shared" si="345"/>
        <v>0</v>
      </c>
      <c r="AK3468">
        <v>0</v>
      </c>
      <c r="AL3468" t="str">
        <f>IF(AA3468="","",IFERROR(IF(ISNUMBER('Procyclean 600'!E470),'Procyclean 600'!E470,IF(ISNUMBER(SEARCH("12",'Procyclean 600'!E470)),EDATE(AB3468,12),IF(ISNUMBER(SEARCH("6",'Procyclean 600'!E470)),EDATE(AB3468,6),IF(ISNUMBER(SEARCH("3",'Procyclean 600'!E470)),EDATE(AB3468,3),DATEVALUE('Procyclean 600'!E470))))),""))</f>
        <v/>
      </c>
      <c r="AM3468" t="str">
        <f t="shared" ca="1" si="346"/>
        <v/>
      </c>
    </row>
    <row r="3469" spans="27:39" x14ac:dyDescent="0.3">
      <c r="AA3469" t="str">
        <f>IF(COUNTA('Procyclean 600'!B471,'Procyclean 600'!C471,'Procyclean 600'!D471)&gt;0,"600","")</f>
        <v/>
      </c>
      <c r="AB3469" t="str">
        <f>IFERROR(IF(ISNUMBER('Procyclean 600'!B471),'Procyclean 600'!B471,DATEVALUE('Procyclean 600'!B471)),"")</f>
        <v/>
      </c>
      <c r="AC3469" t="str">
        <f>IF(AA3469="","",'Procyclean 600'!C471)</f>
        <v/>
      </c>
      <c r="AD3469" t="str">
        <f>IF(AA3469="","",IFERROR(1*'Procyclean 600'!D471,IFERROR(_xludf.NUMBERVALUE('Procyclean 600'!D471,".",","),IFERROR(_xludf.NUMBERVALUE('Procyclean 600'!D471,",","."),0))))</f>
        <v/>
      </c>
      <c r="AE3469" t="str">
        <f>IF(AA3469="","",'Procyclean 600'!K471)</f>
        <v/>
      </c>
      <c r="AF3469">
        <f t="shared" si="341"/>
        <v>0</v>
      </c>
      <c r="AG3469" t="str">
        <f t="shared" si="342"/>
        <v/>
      </c>
      <c r="AH3469" t="str">
        <f t="shared" si="343"/>
        <v/>
      </c>
      <c r="AI3469">
        <f t="shared" si="344"/>
        <v>0</v>
      </c>
      <c r="AJ3469">
        <f t="shared" si="345"/>
        <v>0</v>
      </c>
      <c r="AK3469">
        <v>0</v>
      </c>
      <c r="AL3469" t="str">
        <f>IF(AA3469="","",IFERROR(IF(ISNUMBER('Procyclean 600'!E471),'Procyclean 600'!E471,IF(ISNUMBER(SEARCH("12",'Procyclean 600'!E471)),EDATE(AB3469,12),IF(ISNUMBER(SEARCH("6",'Procyclean 600'!E471)),EDATE(AB3469,6),IF(ISNUMBER(SEARCH("3",'Procyclean 600'!E471)),EDATE(AB3469,3),DATEVALUE('Procyclean 600'!E471))))),""))</f>
        <v/>
      </c>
      <c r="AM3469" t="str">
        <f t="shared" ca="1" si="346"/>
        <v/>
      </c>
    </row>
    <row r="3470" spans="27:39" x14ac:dyDescent="0.3">
      <c r="AA3470" t="str">
        <f>IF(COUNTA('Procyclean 600'!B472,'Procyclean 600'!C472,'Procyclean 600'!D472)&gt;0,"600","")</f>
        <v/>
      </c>
      <c r="AB3470" t="str">
        <f>IFERROR(IF(ISNUMBER('Procyclean 600'!B472),'Procyclean 600'!B472,DATEVALUE('Procyclean 600'!B472)),"")</f>
        <v/>
      </c>
      <c r="AC3470" t="str">
        <f>IF(AA3470="","",'Procyclean 600'!C472)</f>
        <v/>
      </c>
      <c r="AD3470" t="str">
        <f>IF(AA3470="","",IFERROR(1*'Procyclean 600'!D472,IFERROR(_xludf.NUMBERVALUE('Procyclean 600'!D472,".",","),IFERROR(_xludf.NUMBERVALUE('Procyclean 600'!D472,",","."),0))))</f>
        <v/>
      </c>
      <c r="AE3470" t="str">
        <f>IF(AA3470="","",'Procyclean 600'!K472)</f>
        <v/>
      </c>
      <c r="AF3470">
        <f t="shared" si="341"/>
        <v>0</v>
      </c>
      <c r="AG3470" t="str">
        <f t="shared" si="342"/>
        <v/>
      </c>
      <c r="AH3470" t="str">
        <f t="shared" si="343"/>
        <v/>
      </c>
      <c r="AI3470">
        <f t="shared" si="344"/>
        <v>0</v>
      </c>
      <c r="AJ3470">
        <f t="shared" si="345"/>
        <v>0</v>
      </c>
      <c r="AK3470">
        <v>0</v>
      </c>
      <c r="AL3470" t="str">
        <f>IF(AA3470="","",IFERROR(IF(ISNUMBER('Procyclean 600'!E472),'Procyclean 600'!E472,IF(ISNUMBER(SEARCH("12",'Procyclean 600'!E472)),EDATE(AB3470,12),IF(ISNUMBER(SEARCH("6",'Procyclean 600'!E472)),EDATE(AB3470,6),IF(ISNUMBER(SEARCH("3",'Procyclean 600'!E472)),EDATE(AB3470,3),DATEVALUE('Procyclean 600'!E472))))),""))</f>
        <v/>
      </c>
      <c r="AM3470" t="str">
        <f t="shared" ca="1" si="346"/>
        <v/>
      </c>
    </row>
    <row r="3471" spans="27:39" x14ac:dyDescent="0.3">
      <c r="AA3471" t="str">
        <f>IF(COUNTA('Procyclean 600'!B473,'Procyclean 600'!C473,'Procyclean 600'!D473)&gt;0,"600","")</f>
        <v/>
      </c>
      <c r="AB3471" t="str">
        <f>IFERROR(IF(ISNUMBER('Procyclean 600'!B473),'Procyclean 600'!B473,DATEVALUE('Procyclean 600'!B473)),"")</f>
        <v/>
      </c>
      <c r="AC3471" t="str">
        <f>IF(AA3471="","",'Procyclean 600'!C473)</f>
        <v/>
      </c>
      <c r="AD3471" t="str">
        <f>IF(AA3471="","",IFERROR(1*'Procyclean 600'!D473,IFERROR(_xludf.NUMBERVALUE('Procyclean 600'!D473,".",","),IFERROR(_xludf.NUMBERVALUE('Procyclean 600'!D473,",","."),0))))</f>
        <v/>
      </c>
      <c r="AE3471" t="str">
        <f>IF(AA3471="","",'Procyclean 600'!K473)</f>
        <v/>
      </c>
      <c r="AF3471">
        <f t="shared" si="341"/>
        <v>0</v>
      </c>
      <c r="AG3471" t="str">
        <f t="shared" si="342"/>
        <v/>
      </c>
      <c r="AH3471" t="str">
        <f t="shared" si="343"/>
        <v/>
      </c>
      <c r="AI3471">
        <f t="shared" si="344"/>
        <v>0</v>
      </c>
      <c r="AJ3471">
        <f t="shared" si="345"/>
        <v>0</v>
      </c>
      <c r="AK3471">
        <v>0</v>
      </c>
      <c r="AL3471" t="str">
        <f>IF(AA3471="","",IFERROR(IF(ISNUMBER('Procyclean 600'!E473),'Procyclean 600'!E473,IF(ISNUMBER(SEARCH("12",'Procyclean 600'!E473)),EDATE(AB3471,12),IF(ISNUMBER(SEARCH("6",'Procyclean 600'!E473)),EDATE(AB3471,6),IF(ISNUMBER(SEARCH("3",'Procyclean 600'!E473)),EDATE(AB3471,3),DATEVALUE('Procyclean 600'!E473))))),""))</f>
        <v/>
      </c>
      <c r="AM3471" t="str">
        <f t="shared" ca="1" si="346"/>
        <v/>
      </c>
    </row>
    <row r="3472" spans="27:39" x14ac:dyDescent="0.3">
      <c r="AA3472" t="str">
        <f>IF(COUNTA('Procyclean 600'!B474,'Procyclean 600'!C474,'Procyclean 600'!D474)&gt;0,"600","")</f>
        <v/>
      </c>
      <c r="AB3472" t="str">
        <f>IFERROR(IF(ISNUMBER('Procyclean 600'!B474),'Procyclean 600'!B474,DATEVALUE('Procyclean 600'!B474)),"")</f>
        <v/>
      </c>
      <c r="AC3472" t="str">
        <f>IF(AA3472="","",'Procyclean 600'!C474)</f>
        <v/>
      </c>
      <c r="AD3472" t="str">
        <f>IF(AA3472="","",IFERROR(1*'Procyclean 600'!D474,IFERROR(_xludf.NUMBERVALUE('Procyclean 600'!D474,".",","),IFERROR(_xludf.NUMBERVALUE('Procyclean 600'!D474,",","."),0))))</f>
        <v/>
      </c>
      <c r="AE3472" t="str">
        <f>IF(AA3472="","",'Procyclean 600'!K474)</f>
        <v/>
      </c>
      <c r="AF3472">
        <f t="shared" si="341"/>
        <v>0</v>
      </c>
      <c r="AG3472" t="str">
        <f t="shared" si="342"/>
        <v/>
      </c>
      <c r="AH3472" t="str">
        <f t="shared" si="343"/>
        <v/>
      </c>
      <c r="AI3472">
        <f t="shared" si="344"/>
        <v>0</v>
      </c>
      <c r="AJ3472">
        <f t="shared" si="345"/>
        <v>0</v>
      </c>
      <c r="AK3472">
        <v>0</v>
      </c>
      <c r="AL3472" t="str">
        <f>IF(AA3472="","",IFERROR(IF(ISNUMBER('Procyclean 600'!E474),'Procyclean 600'!E474,IF(ISNUMBER(SEARCH("12",'Procyclean 600'!E474)),EDATE(AB3472,12),IF(ISNUMBER(SEARCH("6",'Procyclean 600'!E474)),EDATE(AB3472,6),IF(ISNUMBER(SEARCH("3",'Procyclean 600'!E474)),EDATE(AB3472,3),DATEVALUE('Procyclean 600'!E474))))),""))</f>
        <v/>
      </c>
      <c r="AM3472" t="str">
        <f t="shared" ca="1" si="346"/>
        <v/>
      </c>
    </row>
    <row r="3473" spans="27:39" x14ac:dyDescent="0.3">
      <c r="AA3473" t="str">
        <f>IF(COUNTA('Procyclean 600'!B475,'Procyclean 600'!C475,'Procyclean 600'!D475)&gt;0,"600","")</f>
        <v/>
      </c>
      <c r="AB3473" t="str">
        <f>IFERROR(IF(ISNUMBER('Procyclean 600'!B475),'Procyclean 600'!B475,DATEVALUE('Procyclean 600'!B475)),"")</f>
        <v/>
      </c>
      <c r="AC3473" t="str">
        <f>IF(AA3473="","",'Procyclean 600'!C475)</f>
        <v/>
      </c>
      <c r="AD3473" t="str">
        <f>IF(AA3473="","",IFERROR(1*'Procyclean 600'!D475,IFERROR(_xludf.NUMBERVALUE('Procyclean 600'!D475,".",","),IFERROR(_xludf.NUMBERVALUE('Procyclean 600'!D475,",","."),0))))</f>
        <v/>
      </c>
      <c r="AE3473" t="str">
        <f>IF(AA3473="","",'Procyclean 600'!K475)</f>
        <v/>
      </c>
      <c r="AF3473">
        <f t="shared" si="341"/>
        <v>0</v>
      </c>
      <c r="AG3473" t="str">
        <f t="shared" si="342"/>
        <v/>
      </c>
      <c r="AH3473" t="str">
        <f t="shared" si="343"/>
        <v/>
      </c>
      <c r="AI3473">
        <f t="shared" si="344"/>
        <v>0</v>
      </c>
      <c r="AJ3473">
        <f t="shared" si="345"/>
        <v>0</v>
      </c>
      <c r="AK3473">
        <v>0</v>
      </c>
      <c r="AL3473" t="str">
        <f>IF(AA3473="","",IFERROR(IF(ISNUMBER('Procyclean 600'!E475),'Procyclean 600'!E475,IF(ISNUMBER(SEARCH("12",'Procyclean 600'!E475)),EDATE(AB3473,12),IF(ISNUMBER(SEARCH("6",'Procyclean 600'!E475)),EDATE(AB3473,6),IF(ISNUMBER(SEARCH("3",'Procyclean 600'!E475)),EDATE(AB3473,3),DATEVALUE('Procyclean 600'!E475))))),""))</f>
        <v/>
      </c>
      <c r="AM3473" t="str">
        <f t="shared" ca="1" si="346"/>
        <v/>
      </c>
    </row>
    <row r="3474" spans="27:39" x14ac:dyDescent="0.3">
      <c r="AA3474" t="str">
        <f>IF(COUNTA('Procyclean 600'!B476,'Procyclean 600'!C476,'Procyclean 600'!D476)&gt;0,"600","")</f>
        <v/>
      </c>
      <c r="AB3474" t="str">
        <f>IFERROR(IF(ISNUMBER('Procyclean 600'!B476),'Procyclean 600'!B476,DATEVALUE('Procyclean 600'!B476)),"")</f>
        <v/>
      </c>
      <c r="AC3474" t="str">
        <f>IF(AA3474="","",'Procyclean 600'!C476)</f>
        <v/>
      </c>
      <c r="AD3474" t="str">
        <f>IF(AA3474="","",IFERROR(1*'Procyclean 600'!D476,IFERROR(_xludf.NUMBERVALUE('Procyclean 600'!D476,".",","),IFERROR(_xludf.NUMBERVALUE('Procyclean 600'!D476,",","."),0))))</f>
        <v/>
      </c>
      <c r="AE3474" t="str">
        <f>IF(AA3474="","",'Procyclean 600'!K476)</f>
        <v/>
      </c>
      <c r="AF3474">
        <f t="shared" si="341"/>
        <v>0</v>
      </c>
      <c r="AG3474" t="str">
        <f t="shared" si="342"/>
        <v/>
      </c>
      <c r="AH3474" t="str">
        <f t="shared" si="343"/>
        <v/>
      </c>
      <c r="AI3474">
        <f t="shared" si="344"/>
        <v>0</v>
      </c>
      <c r="AJ3474">
        <f t="shared" si="345"/>
        <v>0</v>
      </c>
      <c r="AK3474">
        <v>0</v>
      </c>
      <c r="AL3474" t="str">
        <f>IF(AA3474="","",IFERROR(IF(ISNUMBER('Procyclean 600'!E476),'Procyclean 600'!E476,IF(ISNUMBER(SEARCH("12",'Procyclean 600'!E476)),EDATE(AB3474,12),IF(ISNUMBER(SEARCH("6",'Procyclean 600'!E476)),EDATE(AB3474,6),IF(ISNUMBER(SEARCH("3",'Procyclean 600'!E476)),EDATE(AB3474,3),DATEVALUE('Procyclean 600'!E476))))),""))</f>
        <v/>
      </c>
      <c r="AM3474" t="str">
        <f t="shared" ca="1" si="346"/>
        <v/>
      </c>
    </row>
    <row r="3475" spans="27:39" x14ac:dyDescent="0.3">
      <c r="AA3475" t="str">
        <f>IF(COUNTA('Procyclean 600'!B477,'Procyclean 600'!C477,'Procyclean 600'!D477)&gt;0,"600","")</f>
        <v/>
      </c>
      <c r="AB3475" t="str">
        <f>IFERROR(IF(ISNUMBER('Procyclean 600'!B477),'Procyclean 600'!B477,DATEVALUE('Procyclean 600'!B477)),"")</f>
        <v/>
      </c>
      <c r="AC3475" t="str">
        <f>IF(AA3475="","",'Procyclean 600'!C477)</f>
        <v/>
      </c>
      <c r="AD3475" t="str">
        <f>IF(AA3475="","",IFERROR(1*'Procyclean 600'!D477,IFERROR(_xludf.NUMBERVALUE('Procyclean 600'!D477,".",","),IFERROR(_xludf.NUMBERVALUE('Procyclean 600'!D477,",","."),0))))</f>
        <v/>
      </c>
      <c r="AE3475" t="str">
        <f>IF(AA3475="","",'Procyclean 600'!K477)</f>
        <v/>
      </c>
      <c r="AF3475">
        <f t="shared" si="341"/>
        <v>0</v>
      </c>
      <c r="AG3475" t="str">
        <f t="shared" si="342"/>
        <v/>
      </c>
      <c r="AH3475" t="str">
        <f t="shared" si="343"/>
        <v/>
      </c>
      <c r="AI3475">
        <f t="shared" si="344"/>
        <v>0</v>
      </c>
      <c r="AJ3475">
        <f t="shared" si="345"/>
        <v>0</v>
      </c>
      <c r="AK3475">
        <v>0</v>
      </c>
      <c r="AL3475" t="str">
        <f>IF(AA3475="","",IFERROR(IF(ISNUMBER('Procyclean 600'!E477),'Procyclean 600'!E477,IF(ISNUMBER(SEARCH("12",'Procyclean 600'!E477)),EDATE(AB3475,12),IF(ISNUMBER(SEARCH("6",'Procyclean 600'!E477)),EDATE(AB3475,6),IF(ISNUMBER(SEARCH("3",'Procyclean 600'!E477)),EDATE(AB3475,3),DATEVALUE('Procyclean 600'!E477))))),""))</f>
        <v/>
      </c>
      <c r="AM3475" t="str">
        <f t="shared" ca="1" si="346"/>
        <v/>
      </c>
    </row>
    <row r="3476" spans="27:39" x14ac:dyDescent="0.3">
      <c r="AA3476" t="str">
        <f>IF(COUNTA('Procyclean 600'!B478,'Procyclean 600'!C478,'Procyclean 600'!D478)&gt;0,"600","")</f>
        <v/>
      </c>
      <c r="AB3476" t="str">
        <f>IFERROR(IF(ISNUMBER('Procyclean 600'!B478),'Procyclean 600'!B478,DATEVALUE('Procyclean 600'!B478)),"")</f>
        <v/>
      </c>
      <c r="AC3476" t="str">
        <f>IF(AA3476="","",'Procyclean 600'!C478)</f>
        <v/>
      </c>
      <c r="AD3476" t="str">
        <f>IF(AA3476="","",IFERROR(1*'Procyclean 600'!D478,IFERROR(_xludf.NUMBERVALUE('Procyclean 600'!D478,".",","),IFERROR(_xludf.NUMBERVALUE('Procyclean 600'!D478,",","."),0))))</f>
        <v/>
      </c>
      <c r="AE3476" t="str">
        <f>IF(AA3476="","",'Procyclean 600'!K478)</f>
        <v/>
      </c>
      <c r="AF3476">
        <f t="shared" si="341"/>
        <v>0</v>
      </c>
      <c r="AG3476" t="str">
        <f t="shared" si="342"/>
        <v/>
      </c>
      <c r="AH3476" t="str">
        <f t="shared" si="343"/>
        <v/>
      </c>
      <c r="AI3476">
        <f t="shared" si="344"/>
        <v>0</v>
      </c>
      <c r="AJ3476">
        <f t="shared" si="345"/>
        <v>0</v>
      </c>
      <c r="AK3476">
        <v>0</v>
      </c>
      <c r="AL3476" t="str">
        <f>IF(AA3476="","",IFERROR(IF(ISNUMBER('Procyclean 600'!E478),'Procyclean 600'!E478,IF(ISNUMBER(SEARCH("12",'Procyclean 600'!E478)),EDATE(AB3476,12),IF(ISNUMBER(SEARCH("6",'Procyclean 600'!E478)),EDATE(AB3476,6),IF(ISNUMBER(SEARCH("3",'Procyclean 600'!E478)),EDATE(AB3476,3),DATEVALUE('Procyclean 600'!E478))))),""))</f>
        <v/>
      </c>
      <c r="AM3476" t="str">
        <f t="shared" ca="1" si="346"/>
        <v/>
      </c>
    </row>
    <row r="3477" spans="27:39" x14ac:dyDescent="0.3">
      <c r="AA3477" t="str">
        <f>IF(COUNTA('Procyclean 600'!B479,'Procyclean 600'!C479,'Procyclean 600'!D479)&gt;0,"600","")</f>
        <v/>
      </c>
      <c r="AB3477" t="str">
        <f>IFERROR(IF(ISNUMBER('Procyclean 600'!B479),'Procyclean 600'!B479,DATEVALUE('Procyclean 600'!B479)),"")</f>
        <v/>
      </c>
      <c r="AC3477" t="str">
        <f>IF(AA3477="","",'Procyclean 600'!C479)</f>
        <v/>
      </c>
      <c r="AD3477" t="str">
        <f>IF(AA3477="","",IFERROR(1*'Procyclean 600'!D479,IFERROR(_xludf.NUMBERVALUE('Procyclean 600'!D479,".",","),IFERROR(_xludf.NUMBERVALUE('Procyclean 600'!D479,",","."),0))))</f>
        <v/>
      </c>
      <c r="AE3477" t="str">
        <f>IF(AA3477="","",'Procyclean 600'!K479)</f>
        <v/>
      </c>
      <c r="AF3477">
        <f t="shared" si="341"/>
        <v>0</v>
      </c>
      <c r="AG3477" t="str">
        <f t="shared" si="342"/>
        <v/>
      </c>
      <c r="AH3477" t="str">
        <f t="shared" si="343"/>
        <v/>
      </c>
      <c r="AI3477">
        <f t="shared" si="344"/>
        <v>0</v>
      </c>
      <c r="AJ3477">
        <f t="shared" si="345"/>
        <v>0</v>
      </c>
      <c r="AK3477">
        <v>0</v>
      </c>
      <c r="AL3477" t="str">
        <f>IF(AA3477="","",IFERROR(IF(ISNUMBER('Procyclean 600'!E479),'Procyclean 600'!E479,IF(ISNUMBER(SEARCH("12",'Procyclean 600'!E479)),EDATE(AB3477,12),IF(ISNUMBER(SEARCH("6",'Procyclean 600'!E479)),EDATE(AB3477,6),IF(ISNUMBER(SEARCH("3",'Procyclean 600'!E479)),EDATE(AB3477,3),DATEVALUE('Procyclean 600'!E479))))),""))</f>
        <v/>
      </c>
      <c r="AM3477" t="str">
        <f t="shared" ca="1" si="346"/>
        <v/>
      </c>
    </row>
    <row r="3478" spans="27:39" x14ac:dyDescent="0.3">
      <c r="AA3478" t="str">
        <f>IF(COUNTA('Procyclean 600'!B480,'Procyclean 600'!C480,'Procyclean 600'!D480)&gt;0,"600","")</f>
        <v/>
      </c>
      <c r="AB3478" t="str">
        <f>IFERROR(IF(ISNUMBER('Procyclean 600'!B480),'Procyclean 600'!B480,DATEVALUE('Procyclean 600'!B480)),"")</f>
        <v/>
      </c>
      <c r="AC3478" t="str">
        <f>IF(AA3478="","",'Procyclean 600'!C480)</f>
        <v/>
      </c>
      <c r="AD3478" t="str">
        <f>IF(AA3478="","",IFERROR(1*'Procyclean 600'!D480,IFERROR(_xludf.NUMBERVALUE('Procyclean 600'!D480,".",","),IFERROR(_xludf.NUMBERVALUE('Procyclean 600'!D480,",","."),0))))</f>
        <v/>
      </c>
      <c r="AE3478" t="str">
        <f>IF(AA3478="","",'Procyclean 600'!K480)</f>
        <v/>
      </c>
      <c r="AF3478">
        <f t="shared" si="341"/>
        <v>0</v>
      </c>
      <c r="AG3478" t="str">
        <f t="shared" si="342"/>
        <v/>
      </c>
      <c r="AH3478" t="str">
        <f t="shared" si="343"/>
        <v/>
      </c>
      <c r="AI3478">
        <f t="shared" si="344"/>
        <v>0</v>
      </c>
      <c r="AJ3478">
        <f t="shared" si="345"/>
        <v>0</v>
      </c>
      <c r="AK3478">
        <v>0</v>
      </c>
      <c r="AL3478" t="str">
        <f>IF(AA3478="","",IFERROR(IF(ISNUMBER('Procyclean 600'!E480),'Procyclean 600'!E480,IF(ISNUMBER(SEARCH("12",'Procyclean 600'!E480)),EDATE(AB3478,12),IF(ISNUMBER(SEARCH("6",'Procyclean 600'!E480)),EDATE(AB3478,6),IF(ISNUMBER(SEARCH("3",'Procyclean 600'!E480)),EDATE(AB3478,3),DATEVALUE('Procyclean 600'!E480))))),""))</f>
        <v/>
      </c>
      <c r="AM3478" t="str">
        <f t="shared" ca="1" si="346"/>
        <v/>
      </c>
    </row>
    <row r="3479" spans="27:39" x14ac:dyDescent="0.3">
      <c r="AA3479" t="str">
        <f>IF(COUNTA('Procyclean 600'!B481,'Procyclean 600'!C481,'Procyclean 600'!D481)&gt;0,"600","")</f>
        <v/>
      </c>
      <c r="AB3479" t="str">
        <f>IFERROR(IF(ISNUMBER('Procyclean 600'!B481),'Procyclean 600'!B481,DATEVALUE('Procyclean 600'!B481)),"")</f>
        <v/>
      </c>
      <c r="AC3479" t="str">
        <f>IF(AA3479="","",'Procyclean 600'!C481)</f>
        <v/>
      </c>
      <c r="AD3479" t="str">
        <f>IF(AA3479="","",IFERROR(1*'Procyclean 600'!D481,IFERROR(_xludf.NUMBERVALUE('Procyclean 600'!D481,".",","),IFERROR(_xludf.NUMBERVALUE('Procyclean 600'!D481,",","."),0))))</f>
        <v/>
      </c>
      <c r="AE3479" t="str">
        <f>IF(AA3479="","",'Procyclean 600'!K481)</f>
        <v/>
      </c>
      <c r="AF3479">
        <f t="shared" si="341"/>
        <v>0</v>
      </c>
      <c r="AG3479" t="str">
        <f t="shared" si="342"/>
        <v/>
      </c>
      <c r="AH3479" t="str">
        <f t="shared" si="343"/>
        <v/>
      </c>
      <c r="AI3479">
        <f t="shared" si="344"/>
        <v>0</v>
      </c>
      <c r="AJ3479">
        <f t="shared" si="345"/>
        <v>0</v>
      </c>
      <c r="AK3479">
        <v>0</v>
      </c>
      <c r="AL3479" t="str">
        <f>IF(AA3479="","",IFERROR(IF(ISNUMBER('Procyclean 600'!E481),'Procyclean 600'!E481,IF(ISNUMBER(SEARCH("12",'Procyclean 600'!E481)),EDATE(AB3479,12),IF(ISNUMBER(SEARCH("6",'Procyclean 600'!E481)),EDATE(AB3479,6),IF(ISNUMBER(SEARCH("3",'Procyclean 600'!E481)),EDATE(AB3479,3),DATEVALUE('Procyclean 600'!E481))))),""))</f>
        <v/>
      </c>
      <c r="AM3479" t="str">
        <f t="shared" ca="1" si="346"/>
        <v/>
      </c>
    </row>
    <row r="3480" spans="27:39" x14ac:dyDescent="0.3">
      <c r="AA3480" t="str">
        <f>IF(COUNTA('Procyclean 600'!B482,'Procyclean 600'!C482,'Procyclean 600'!D482)&gt;0,"600","")</f>
        <v/>
      </c>
      <c r="AB3480" t="str">
        <f>IFERROR(IF(ISNUMBER('Procyclean 600'!B482),'Procyclean 600'!B482,DATEVALUE('Procyclean 600'!B482)),"")</f>
        <v/>
      </c>
      <c r="AC3480" t="str">
        <f>IF(AA3480="","",'Procyclean 600'!C482)</f>
        <v/>
      </c>
      <c r="AD3480" t="str">
        <f>IF(AA3480="","",IFERROR(1*'Procyclean 600'!D482,IFERROR(_xludf.NUMBERVALUE('Procyclean 600'!D482,".",","),IFERROR(_xludf.NUMBERVALUE('Procyclean 600'!D482,",","."),0))))</f>
        <v/>
      </c>
      <c r="AE3480" t="str">
        <f>IF(AA3480="","",'Procyclean 600'!K482)</f>
        <v/>
      </c>
      <c r="AF3480">
        <f t="shared" si="341"/>
        <v>0</v>
      </c>
      <c r="AG3480" t="str">
        <f t="shared" si="342"/>
        <v/>
      </c>
      <c r="AH3480" t="str">
        <f t="shared" si="343"/>
        <v/>
      </c>
      <c r="AI3480">
        <f t="shared" si="344"/>
        <v>0</v>
      </c>
      <c r="AJ3480">
        <f t="shared" si="345"/>
        <v>0</v>
      </c>
      <c r="AK3480">
        <v>0</v>
      </c>
      <c r="AL3480" t="str">
        <f>IF(AA3480="","",IFERROR(IF(ISNUMBER('Procyclean 600'!E482),'Procyclean 600'!E482,IF(ISNUMBER(SEARCH("12",'Procyclean 600'!E482)),EDATE(AB3480,12),IF(ISNUMBER(SEARCH("6",'Procyclean 600'!E482)),EDATE(AB3480,6),IF(ISNUMBER(SEARCH("3",'Procyclean 600'!E482)),EDATE(AB3480,3),DATEVALUE('Procyclean 600'!E482))))),""))</f>
        <v/>
      </c>
      <c r="AM3480" t="str">
        <f t="shared" ca="1" si="346"/>
        <v/>
      </c>
    </row>
    <row r="3481" spans="27:39" x14ac:dyDescent="0.3">
      <c r="AA3481" t="str">
        <f>IF(COUNTA('Procyclean 600'!B483,'Procyclean 600'!C483,'Procyclean 600'!D483)&gt;0,"600","")</f>
        <v/>
      </c>
      <c r="AB3481" t="str">
        <f>IFERROR(IF(ISNUMBER('Procyclean 600'!B483),'Procyclean 600'!B483,DATEVALUE('Procyclean 600'!B483)),"")</f>
        <v/>
      </c>
      <c r="AC3481" t="str">
        <f>IF(AA3481="","",'Procyclean 600'!C483)</f>
        <v/>
      </c>
      <c r="AD3481" t="str">
        <f>IF(AA3481="","",IFERROR(1*'Procyclean 600'!D483,IFERROR(_xludf.NUMBERVALUE('Procyclean 600'!D483,".",","),IFERROR(_xludf.NUMBERVALUE('Procyclean 600'!D483,",","."),0))))</f>
        <v/>
      </c>
      <c r="AE3481" t="str">
        <f>IF(AA3481="","",'Procyclean 600'!K483)</f>
        <v/>
      </c>
      <c r="AF3481">
        <f t="shared" si="341"/>
        <v>0</v>
      </c>
      <c r="AG3481" t="str">
        <f t="shared" si="342"/>
        <v/>
      </c>
      <c r="AH3481" t="str">
        <f t="shared" si="343"/>
        <v/>
      </c>
      <c r="AI3481">
        <f t="shared" si="344"/>
        <v>0</v>
      </c>
      <c r="AJ3481">
        <f t="shared" si="345"/>
        <v>0</v>
      </c>
      <c r="AK3481">
        <v>0</v>
      </c>
      <c r="AL3481" t="str">
        <f>IF(AA3481="","",IFERROR(IF(ISNUMBER('Procyclean 600'!E483),'Procyclean 600'!E483,IF(ISNUMBER(SEARCH("12",'Procyclean 600'!E483)),EDATE(AB3481,12),IF(ISNUMBER(SEARCH("6",'Procyclean 600'!E483)),EDATE(AB3481,6),IF(ISNUMBER(SEARCH("3",'Procyclean 600'!E483)),EDATE(AB3481,3),DATEVALUE('Procyclean 600'!E483))))),""))</f>
        <v/>
      </c>
      <c r="AM3481" t="str">
        <f t="shared" ca="1" si="346"/>
        <v/>
      </c>
    </row>
    <row r="3482" spans="27:39" x14ac:dyDescent="0.3">
      <c r="AA3482" t="str">
        <f>IF(COUNTA('Procyclean 600'!B484,'Procyclean 600'!C484,'Procyclean 600'!D484)&gt;0,"600","")</f>
        <v/>
      </c>
      <c r="AB3482" t="str">
        <f>IFERROR(IF(ISNUMBER('Procyclean 600'!B484),'Procyclean 600'!B484,DATEVALUE('Procyclean 600'!B484)),"")</f>
        <v/>
      </c>
      <c r="AC3482" t="str">
        <f>IF(AA3482="","",'Procyclean 600'!C484)</f>
        <v/>
      </c>
      <c r="AD3482" t="str">
        <f>IF(AA3482="","",IFERROR(1*'Procyclean 600'!D484,IFERROR(_xludf.NUMBERVALUE('Procyclean 600'!D484,".",","),IFERROR(_xludf.NUMBERVALUE('Procyclean 600'!D484,",","."),0))))</f>
        <v/>
      </c>
      <c r="AE3482" t="str">
        <f>IF(AA3482="","",'Procyclean 600'!K484)</f>
        <v/>
      </c>
      <c r="AF3482">
        <f t="shared" si="341"/>
        <v>0</v>
      </c>
      <c r="AG3482" t="str">
        <f t="shared" si="342"/>
        <v/>
      </c>
      <c r="AH3482" t="str">
        <f t="shared" si="343"/>
        <v/>
      </c>
      <c r="AI3482">
        <f t="shared" si="344"/>
        <v>0</v>
      </c>
      <c r="AJ3482">
        <f t="shared" si="345"/>
        <v>0</v>
      </c>
      <c r="AK3482">
        <v>0</v>
      </c>
      <c r="AL3482" t="str">
        <f>IF(AA3482="","",IFERROR(IF(ISNUMBER('Procyclean 600'!E484),'Procyclean 600'!E484,IF(ISNUMBER(SEARCH("12",'Procyclean 600'!E484)),EDATE(AB3482,12),IF(ISNUMBER(SEARCH("6",'Procyclean 600'!E484)),EDATE(AB3482,6),IF(ISNUMBER(SEARCH("3",'Procyclean 600'!E484)),EDATE(AB3482,3),DATEVALUE('Procyclean 600'!E484))))),""))</f>
        <v/>
      </c>
      <c r="AM3482" t="str">
        <f t="shared" ca="1" si="346"/>
        <v/>
      </c>
    </row>
    <row r="3483" spans="27:39" x14ac:dyDescent="0.3">
      <c r="AA3483" t="str">
        <f>IF(COUNTA('Procyclean 600'!B485,'Procyclean 600'!C485,'Procyclean 600'!D485)&gt;0,"600","")</f>
        <v/>
      </c>
      <c r="AB3483" t="str">
        <f>IFERROR(IF(ISNUMBER('Procyclean 600'!B485),'Procyclean 600'!B485,DATEVALUE('Procyclean 600'!B485)),"")</f>
        <v/>
      </c>
      <c r="AC3483" t="str">
        <f>IF(AA3483="","",'Procyclean 600'!C485)</f>
        <v/>
      </c>
      <c r="AD3483" t="str">
        <f>IF(AA3483="","",IFERROR(1*'Procyclean 600'!D485,IFERROR(_xludf.NUMBERVALUE('Procyclean 600'!D485,".",","),IFERROR(_xludf.NUMBERVALUE('Procyclean 600'!D485,",","."),0))))</f>
        <v/>
      </c>
      <c r="AE3483" t="str">
        <f>IF(AA3483="","",'Procyclean 600'!K485)</f>
        <v/>
      </c>
      <c r="AF3483">
        <f t="shared" si="341"/>
        <v>0</v>
      </c>
      <c r="AG3483" t="str">
        <f t="shared" si="342"/>
        <v/>
      </c>
      <c r="AH3483" t="str">
        <f t="shared" si="343"/>
        <v/>
      </c>
      <c r="AI3483">
        <f t="shared" si="344"/>
        <v>0</v>
      </c>
      <c r="AJ3483">
        <f t="shared" si="345"/>
        <v>0</v>
      </c>
      <c r="AK3483">
        <v>0</v>
      </c>
      <c r="AL3483" t="str">
        <f>IF(AA3483="","",IFERROR(IF(ISNUMBER('Procyclean 600'!E485),'Procyclean 600'!E485,IF(ISNUMBER(SEARCH("12",'Procyclean 600'!E485)),EDATE(AB3483,12),IF(ISNUMBER(SEARCH("6",'Procyclean 600'!E485)),EDATE(AB3483,6),IF(ISNUMBER(SEARCH("3",'Procyclean 600'!E485)),EDATE(AB3483,3),DATEVALUE('Procyclean 600'!E485))))),""))</f>
        <v/>
      </c>
      <c r="AM3483" t="str">
        <f t="shared" ca="1" si="346"/>
        <v/>
      </c>
    </row>
    <row r="3484" spans="27:39" x14ac:dyDescent="0.3">
      <c r="AA3484" t="str">
        <f>IF(COUNTA('Procyclean 600'!B486,'Procyclean 600'!C486,'Procyclean 600'!D486)&gt;0,"600","")</f>
        <v/>
      </c>
      <c r="AB3484" t="str">
        <f>IFERROR(IF(ISNUMBER('Procyclean 600'!B486),'Procyclean 600'!B486,DATEVALUE('Procyclean 600'!B486)),"")</f>
        <v/>
      </c>
      <c r="AC3484" t="str">
        <f>IF(AA3484="","",'Procyclean 600'!C486)</f>
        <v/>
      </c>
      <c r="AD3484" t="str">
        <f>IF(AA3484="","",IFERROR(1*'Procyclean 600'!D486,IFERROR(_xludf.NUMBERVALUE('Procyclean 600'!D486,".",","),IFERROR(_xludf.NUMBERVALUE('Procyclean 600'!D486,",","."),0))))</f>
        <v/>
      </c>
      <c r="AE3484" t="str">
        <f>IF(AA3484="","",'Procyclean 600'!K486)</f>
        <v/>
      </c>
      <c r="AF3484">
        <f t="shared" si="341"/>
        <v>0</v>
      </c>
      <c r="AG3484" t="str">
        <f t="shared" si="342"/>
        <v/>
      </c>
      <c r="AH3484" t="str">
        <f t="shared" si="343"/>
        <v/>
      </c>
      <c r="AI3484">
        <f t="shared" si="344"/>
        <v>0</v>
      </c>
      <c r="AJ3484">
        <f t="shared" si="345"/>
        <v>0</v>
      </c>
      <c r="AK3484">
        <v>0</v>
      </c>
      <c r="AL3484" t="str">
        <f>IF(AA3484="","",IFERROR(IF(ISNUMBER('Procyclean 600'!E486),'Procyclean 600'!E486,IF(ISNUMBER(SEARCH("12",'Procyclean 600'!E486)),EDATE(AB3484,12),IF(ISNUMBER(SEARCH("6",'Procyclean 600'!E486)),EDATE(AB3484,6),IF(ISNUMBER(SEARCH("3",'Procyclean 600'!E486)),EDATE(AB3484,3),DATEVALUE('Procyclean 600'!E486))))),""))</f>
        <v/>
      </c>
      <c r="AM3484" t="str">
        <f t="shared" ca="1" si="346"/>
        <v/>
      </c>
    </row>
    <row r="3485" spans="27:39" x14ac:dyDescent="0.3">
      <c r="AA3485" t="str">
        <f>IF(COUNTA('Procyclean 600'!B487,'Procyclean 600'!C487,'Procyclean 600'!D487)&gt;0,"600","")</f>
        <v/>
      </c>
      <c r="AB3485" t="str">
        <f>IFERROR(IF(ISNUMBER('Procyclean 600'!B487),'Procyclean 600'!B487,DATEVALUE('Procyclean 600'!B487)),"")</f>
        <v/>
      </c>
      <c r="AC3485" t="str">
        <f>IF(AA3485="","",'Procyclean 600'!C487)</f>
        <v/>
      </c>
      <c r="AD3485" t="str">
        <f>IF(AA3485="","",IFERROR(1*'Procyclean 600'!D487,IFERROR(_xludf.NUMBERVALUE('Procyclean 600'!D487,".",","),IFERROR(_xludf.NUMBERVALUE('Procyclean 600'!D487,",","."),0))))</f>
        <v/>
      </c>
      <c r="AE3485" t="str">
        <f>IF(AA3485="","",'Procyclean 600'!K487)</f>
        <v/>
      </c>
      <c r="AF3485">
        <f t="shared" si="341"/>
        <v>0</v>
      </c>
      <c r="AG3485" t="str">
        <f t="shared" si="342"/>
        <v/>
      </c>
      <c r="AH3485" t="str">
        <f t="shared" si="343"/>
        <v/>
      </c>
      <c r="AI3485">
        <f t="shared" si="344"/>
        <v>0</v>
      </c>
      <c r="AJ3485">
        <f t="shared" si="345"/>
        <v>0</v>
      </c>
      <c r="AK3485">
        <v>0</v>
      </c>
      <c r="AL3485" t="str">
        <f>IF(AA3485="","",IFERROR(IF(ISNUMBER('Procyclean 600'!E487),'Procyclean 600'!E487,IF(ISNUMBER(SEARCH("12",'Procyclean 600'!E487)),EDATE(AB3485,12),IF(ISNUMBER(SEARCH("6",'Procyclean 600'!E487)),EDATE(AB3485,6),IF(ISNUMBER(SEARCH("3",'Procyclean 600'!E487)),EDATE(AB3485,3),DATEVALUE('Procyclean 600'!E487))))),""))</f>
        <v/>
      </c>
      <c r="AM3485" t="str">
        <f t="shared" ca="1" si="346"/>
        <v/>
      </c>
    </row>
    <row r="3486" spans="27:39" x14ac:dyDescent="0.3">
      <c r="AA3486" t="str">
        <f>IF(COUNTA('Procyclean 600'!B488,'Procyclean 600'!C488,'Procyclean 600'!D488)&gt;0,"600","")</f>
        <v/>
      </c>
      <c r="AB3486" t="str">
        <f>IFERROR(IF(ISNUMBER('Procyclean 600'!B488),'Procyclean 600'!B488,DATEVALUE('Procyclean 600'!B488)),"")</f>
        <v/>
      </c>
      <c r="AC3486" t="str">
        <f>IF(AA3486="","",'Procyclean 600'!C488)</f>
        <v/>
      </c>
      <c r="AD3486" t="str">
        <f>IF(AA3486="","",IFERROR(1*'Procyclean 600'!D488,IFERROR(_xludf.NUMBERVALUE('Procyclean 600'!D488,".",","),IFERROR(_xludf.NUMBERVALUE('Procyclean 600'!D488,",","."),0))))</f>
        <v/>
      </c>
      <c r="AE3486" t="str">
        <f>IF(AA3486="","",'Procyclean 600'!K488)</f>
        <v/>
      </c>
      <c r="AF3486">
        <f t="shared" si="341"/>
        <v>0</v>
      </c>
      <c r="AG3486" t="str">
        <f t="shared" si="342"/>
        <v/>
      </c>
      <c r="AH3486" t="str">
        <f t="shared" si="343"/>
        <v/>
      </c>
      <c r="AI3486">
        <f t="shared" si="344"/>
        <v>0</v>
      </c>
      <c r="AJ3486">
        <f t="shared" si="345"/>
        <v>0</v>
      </c>
      <c r="AK3486">
        <v>0</v>
      </c>
      <c r="AL3486" t="str">
        <f>IF(AA3486="","",IFERROR(IF(ISNUMBER('Procyclean 600'!E488),'Procyclean 600'!E488,IF(ISNUMBER(SEARCH("12",'Procyclean 600'!E488)),EDATE(AB3486,12),IF(ISNUMBER(SEARCH("6",'Procyclean 600'!E488)),EDATE(AB3486,6),IF(ISNUMBER(SEARCH("3",'Procyclean 600'!E488)),EDATE(AB3486,3),DATEVALUE('Procyclean 600'!E488))))),""))</f>
        <v/>
      </c>
      <c r="AM3486" t="str">
        <f t="shared" ca="1" si="346"/>
        <v/>
      </c>
    </row>
    <row r="3487" spans="27:39" x14ac:dyDescent="0.3">
      <c r="AA3487" t="str">
        <f>IF(COUNTA('Procyclean 600'!B489,'Procyclean 600'!C489,'Procyclean 600'!D489)&gt;0,"600","")</f>
        <v/>
      </c>
      <c r="AB3487" t="str">
        <f>IFERROR(IF(ISNUMBER('Procyclean 600'!B489),'Procyclean 600'!B489,DATEVALUE('Procyclean 600'!B489)),"")</f>
        <v/>
      </c>
      <c r="AC3487" t="str">
        <f>IF(AA3487="","",'Procyclean 600'!C489)</f>
        <v/>
      </c>
      <c r="AD3487" t="str">
        <f>IF(AA3487="","",IFERROR(1*'Procyclean 600'!D489,IFERROR(_xludf.NUMBERVALUE('Procyclean 600'!D489,".",","),IFERROR(_xludf.NUMBERVALUE('Procyclean 600'!D489,",","."),0))))</f>
        <v/>
      </c>
      <c r="AE3487" t="str">
        <f>IF(AA3487="","",'Procyclean 600'!K489)</f>
        <v/>
      </c>
      <c r="AF3487">
        <f t="shared" si="341"/>
        <v>0</v>
      </c>
      <c r="AG3487" t="str">
        <f t="shared" si="342"/>
        <v/>
      </c>
      <c r="AH3487" t="str">
        <f t="shared" si="343"/>
        <v/>
      </c>
      <c r="AI3487">
        <f t="shared" si="344"/>
        <v>0</v>
      </c>
      <c r="AJ3487">
        <f t="shared" si="345"/>
        <v>0</v>
      </c>
      <c r="AK3487">
        <v>0</v>
      </c>
      <c r="AL3487" t="str">
        <f>IF(AA3487="","",IFERROR(IF(ISNUMBER('Procyclean 600'!E489),'Procyclean 600'!E489,IF(ISNUMBER(SEARCH("12",'Procyclean 600'!E489)),EDATE(AB3487,12),IF(ISNUMBER(SEARCH("6",'Procyclean 600'!E489)),EDATE(AB3487,6),IF(ISNUMBER(SEARCH("3",'Procyclean 600'!E489)),EDATE(AB3487,3),DATEVALUE('Procyclean 600'!E489))))),""))</f>
        <v/>
      </c>
      <c r="AM3487" t="str">
        <f t="shared" ca="1" si="346"/>
        <v/>
      </c>
    </row>
    <row r="3488" spans="27:39" x14ac:dyDescent="0.3">
      <c r="AA3488" t="str">
        <f>IF(COUNTA('Procyclean 600'!B490,'Procyclean 600'!C490,'Procyclean 600'!D490)&gt;0,"600","")</f>
        <v/>
      </c>
      <c r="AB3488" t="str">
        <f>IFERROR(IF(ISNUMBER('Procyclean 600'!B490),'Procyclean 600'!B490,DATEVALUE('Procyclean 600'!B490)),"")</f>
        <v/>
      </c>
      <c r="AC3488" t="str">
        <f>IF(AA3488="","",'Procyclean 600'!C490)</f>
        <v/>
      </c>
      <c r="AD3488" t="str">
        <f>IF(AA3488="","",IFERROR(1*'Procyclean 600'!D490,IFERROR(_xludf.NUMBERVALUE('Procyclean 600'!D490,".",","),IFERROR(_xludf.NUMBERVALUE('Procyclean 600'!D490,",","."),0))))</f>
        <v/>
      </c>
      <c r="AE3488" t="str">
        <f>IF(AA3488="","",'Procyclean 600'!K490)</f>
        <v/>
      </c>
      <c r="AF3488">
        <f t="shared" si="341"/>
        <v>0</v>
      </c>
      <c r="AG3488" t="str">
        <f t="shared" si="342"/>
        <v/>
      </c>
      <c r="AH3488" t="str">
        <f t="shared" si="343"/>
        <v/>
      </c>
      <c r="AI3488">
        <f t="shared" si="344"/>
        <v>0</v>
      </c>
      <c r="AJ3488">
        <f t="shared" si="345"/>
        <v>0</v>
      </c>
      <c r="AK3488">
        <v>0</v>
      </c>
      <c r="AL3488" t="str">
        <f>IF(AA3488="","",IFERROR(IF(ISNUMBER('Procyclean 600'!E490),'Procyclean 600'!E490,IF(ISNUMBER(SEARCH("12",'Procyclean 600'!E490)),EDATE(AB3488,12),IF(ISNUMBER(SEARCH("6",'Procyclean 600'!E490)),EDATE(AB3488,6),IF(ISNUMBER(SEARCH("3",'Procyclean 600'!E490)),EDATE(AB3488,3),DATEVALUE('Procyclean 600'!E490))))),""))</f>
        <v/>
      </c>
      <c r="AM3488" t="str">
        <f t="shared" ca="1" si="346"/>
        <v/>
      </c>
    </row>
    <row r="3489" spans="27:39" x14ac:dyDescent="0.3">
      <c r="AA3489" t="str">
        <f>IF(COUNTA('Procyclean 600'!B491,'Procyclean 600'!C491,'Procyclean 600'!D491)&gt;0,"600","")</f>
        <v/>
      </c>
      <c r="AB3489" t="str">
        <f>IFERROR(IF(ISNUMBER('Procyclean 600'!B491),'Procyclean 600'!B491,DATEVALUE('Procyclean 600'!B491)),"")</f>
        <v/>
      </c>
      <c r="AC3489" t="str">
        <f>IF(AA3489="","",'Procyclean 600'!C491)</f>
        <v/>
      </c>
      <c r="AD3489" t="str">
        <f>IF(AA3489="","",IFERROR(1*'Procyclean 600'!D491,IFERROR(_xludf.NUMBERVALUE('Procyclean 600'!D491,".",","),IFERROR(_xludf.NUMBERVALUE('Procyclean 600'!D491,",","."),0))))</f>
        <v/>
      </c>
      <c r="AE3489" t="str">
        <f>IF(AA3489="","",'Procyclean 600'!K491)</f>
        <v/>
      </c>
      <c r="AF3489">
        <f t="shared" si="341"/>
        <v>0</v>
      </c>
      <c r="AG3489" t="str">
        <f t="shared" si="342"/>
        <v/>
      </c>
      <c r="AH3489" t="str">
        <f t="shared" si="343"/>
        <v/>
      </c>
      <c r="AI3489">
        <f t="shared" si="344"/>
        <v>0</v>
      </c>
      <c r="AJ3489">
        <f t="shared" si="345"/>
        <v>0</v>
      </c>
      <c r="AK3489">
        <v>0</v>
      </c>
      <c r="AL3489" t="str">
        <f>IF(AA3489="","",IFERROR(IF(ISNUMBER('Procyclean 600'!E491),'Procyclean 600'!E491,IF(ISNUMBER(SEARCH("12",'Procyclean 600'!E491)),EDATE(AB3489,12),IF(ISNUMBER(SEARCH("6",'Procyclean 600'!E491)),EDATE(AB3489,6),IF(ISNUMBER(SEARCH("3",'Procyclean 600'!E491)),EDATE(AB3489,3),DATEVALUE('Procyclean 600'!E491))))),""))</f>
        <v/>
      </c>
      <c r="AM3489" t="str">
        <f t="shared" ca="1" si="346"/>
        <v/>
      </c>
    </row>
    <row r="3490" spans="27:39" x14ac:dyDescent="0.3">
      <c r="AA3490" t="str">
        <f>IF(COUNTA('Procyclean 600'!B492,'Procyclean 600'!C492,'Procyclean 600'!D492)&gt;0,"600","")</f>
        <v/>
      </c>
      <c r="AB3490" t="str">
        <f>IFERROR(IF(ISNUMBER('Procyclean 600'!B492),'Procyclean 600'!B492,DATEVALUE('Procyclean 600'!B492)),"")</f>
        <v/>
      </c>
      <c r="AC3490" t="str">
        <f>IF(AA3490="","",'Procyclean 600'!C492)</f>
        <v/>
      </c>
      <c r="AD3490" t="str">
        <f>IF(AA3490="","",IFERROR(1*'Procyclean 600'!D492,IFERROR(_xludf.NUMBERVALUE('Procyclean 600'!D492,".",","),IFERROR(_xludf.NUMBERVALUE('Procyclean 600'!D492,",","."),0))))</f>
        <v/>
      </c>
      <c r="AE3490" t="str">
        <f>IF(AA3490="","",'Procyclean 600'!K492)</f>
        <v/>
      </c>
      <c r="AF3490">
        <f t="shared" si="341"/>
        <v>0</v>
      </c>
      <c r="AG3490" t="str">
        <f t="shared" si="342"/>
        <v/>
      </c>
      <c r="AH3490" t="str">
        <f t="shared" si="343"/>
        <v/>
      </c>
      <c r="AI3490">
        <f t="shared" si="344"/>
        <v>0</v>
      </c>
      <c r="AJ3490">
        <f t="shared" si="345"/>
        <v>0</v>
      </c>
      <c r="AK3490">
        <v>0</v>
      </c>
      <c r="AL3490" t="str">
        <f>IF(AA3490="","",IFERROR(IF(ISNUMBER('Procyclean 600'!E492),'Procyclean 600'!E492,IF(ISNUMBER(SEARCH("12",'Procyclean 600'!E492)),EDATE(AB3490,12),IF(ISNUMBER(SEARCH("6",'Procyclean 600'!E492)),EDATE(AB3490,6),IF(ISNUMBER(SEARCH("3",'Procyclean 600'!E492)),EDATE(AB3490,3),DATEVALUE('Procyclean 600'!E492))))),""))</f>
        <v/>
      </c>
      <c r="AM3490" t="str">
        <f t="shared" ca="1" si="346"/>
        <v/>
      </c>
    </row>
    <row r="3491" spans="27:39" x14ac:dyDescent="0.3">
      <c r="AA3491" t="str">
        <f>IF(COUNTA('Procyclean 600'!B493,'Procyclean 600'!C493,'Procyclean 600'!D493)&gt;0,"600","")</f>
        <v/>
      </c>
      <c r="AB3491" t="str">
        <f>IFERROR(IF(ISNUMBER('Procyclean 600'!B493),'Procyclean 600'!B493,DATEVALUE('Procyclean 600'!B493)),"")</f>
        <v/>
      </c>
      <c r="AC3491" t="str">
        <f>IF(AA3491="","",'Procyclean 600'!C493)</f>
        <v/>
      </c>
      <c r="AD3491" t="str">
        <f>IF(AA3491="","",IFERROR(1*'Procyclean 600'!D493,IFERROR(_xludf.NUMBERVALUE('Procyclean 600'!D493,".",","),IFERROR(_xludf.NUMBERVALUE('Procyclean 600'!D493,",","."),0))))</f>
        <v/>
      </c>
      <c r="AE3491" t="str">
        <f>IF(AA3491="","",'Procyclean 600'!K493)</f>
        <v/>
      </c>
      <c r="AF3491">
        <f t="shared" si="341"/>
        <v>0</v>
      </c>
      <c r="AG3491" t="str">
        <f t="shared" si="342"/>
        <v/>
      </c>
      <c r="AH3491" t="str">
        <f t="shared" si="343"/>
        <v/>
      </c>
      <c r="AI3491">
        <f t="shared" si="344"/>
        <v>0</v>
      </c>
      <c r="AJ3491">
        <f t="shared" si="345"/>
        <v>0</v>
      </c>
      <c r="AK3491">
        <v>0</v>
      </c>
      <c r="AL3491" t="str">
        <f>IF(AA3491="","",IFERROR(IF(ISNUMBER('Procyclean 600'!E493),'Procyclean 600'!E493,IF(ISNUMBER(SEARCH("12",'Procyclean 600'!E493)),EDATE(AB3491,12),IF(ISNUMBER(SEARCH("6",'Procyclean 600'!E493)),EDATE(AB3491,6),IF(ISNUMBER(SEARCH("3",'Procyclean 600'!E493)),EDATE(AB3491,3),DATEVALUE('Procyclean 600'!E493))))),""))</f>
        <v/>
      </c>
      <c r="AM3491" t="str">
        <f t="shared" ca="1" si="346"/>
        <v/>
      </c>
    </row>
    <row r="3492" spans="27:39" x14ac:dyDescent="0.3">
      <c r="AA3492" t="str">
        <f>IF(COUNTA('Procyclean 600'!B494,'Procyclean 600'!C494,'Procyclean 600'!D494)&gt;0,"600","")</f>
        <v/>
      </c>
      <c r="AB3492" t="str">
        <f>IFERROR(IF(ISNUMBER('Procyclean 600'!B494),'Procyclean 600'!B494,DATEVALUE('Procyclean 600'!B494)),"")</f>
        <v/>
      </c>
      <c r="AC3492" t="str">
        <f>IF(AA3492="","",'Procyclean 600'!C494)</f>
        <v/>
      </c>
      <c r="AD3492" t="str">
        <f>IF(AA3492="","",IFERROR(1*'Procyclean 600'!D494,IFERROR(_xludf.NUMBERVALUE('Procyclean 600'!D494,".",","),IFERROR(_xludf.NUMBERVALUE('Procyclean 600'!D494,",","."),0))))</f>
        <v/>
      </c>
      <c r="AE3492" t="str">
        <f>IF(AA3492="","",'Procyclean 600'!K494)</f>
        <v/>
      </c>
      <c r="AF3492">
        <f t="shared" si="341"/>
        <v>0</v>
      </c>
      <c r="AG3492" t="str">
        <f t="shared" si="342"/>
        <v/>
      </c>
      <c r="AH3492" t="str">
        <f t="shared" si="343"/>
        <v/>
      </c>
      <c r="AI3492">
        <f t="shared" si="344"/>
        <v>0</v>
      </c>
      <c r="AJ3492">
        <f t="shared" si="345"/>
        <v>0</v>
      </c>
      <c r="AK3492">
        <v>0</v>
      </c>
      <c r="AL3492" t="str">
        <f>IF(AA3492="","",IFERROR(IF(ISNUMBER('Procyclean 600'!E494),'Procyclean 600'!E494,IF(ISNUMBER(SEARCH("12",'Procyclean 600'!E494)),EDATE(AB3492,12),IF(ISNUMBER(SEARCH("6",'Procyclean 600'!E494)),EDATE(AB3492,6),IF(ISNUMBER(SEARCH("3",'Procyclean 600'!E494)),EDATE(AB3492,3),DATEVALUE('Procyclean 600'!E494))))),""))</f>
        <v/>
      </c>
      <c r="AM3492" t="str">
        <f t="shared" ca="1" si="346"/>
        <v/>
      </c>
    </row>
    <row r="3493" spans="27:39" x14ac:dyDescent="0.3">
      <c r="AA3493" t="str">
        <f>IF(COUNTA('Procyclean 600'!B495,'Procyclean 600'!C495,'Procyclean 600'!D495)&gt;0,"600","")</f>
        <v/>
      </c>
      <c r="AB3493" t="str">
        <f>IFERROR(IF(ISNUMBER('Procyclean 600'!B495),'Procyclean 600'!B495,DATEVALUE('Procyclean 600'!B495)),"")</f>
        <v/>
      </c>
      <c r="AC3493" t="str">
        <f>IF(AA3493="","",'Procyclean 600'!C495)</f>
        <v/>
      </c>
      <c r="AD3493" t="str">
        <f>IF(AA3493="","",IFERROR(1*'Procyclean 600'!D495,IFERROR(_xludf.NUMBERVALUE('Procyclean 600'!D495,".",","),IFERROR(_xludf.NUMBERVALUE('Procyclean 600'!D495,",","."),0))))</f>
        <v/>
      </c>
      <c r="AE3493" t="str">
        <f>IF(AA3493="","",'Procyclean 600'!K495)</f>
        <v/>
      </c>
      <c r="AF3493">
        <f t="shared" si="341"/>
        <v>0</v>
      </c>
      <c r="AG3493" t="str">
        <f t="shared" si="342"/>
        <v/>
      </c>
      <c r="AH3493" t="str">
        <f t="shared" si="343"/>
        <v/>
      </c>
      <c r="AI3493">
        <f t="shared" si="344"/>
        <v>0</v>
      </c>
      <c r="AJ3493">
        <f t="shared" si="345"/>
        <v>0</v>
      </c>
      <c r="AK3493">
        <v>0</v>
      </c>
      <c r="AL3493" t="str">
        <f>IF(AA3493="","",IFERROR(IF(ISNUMBER('Procyclean 600'!E495),'Procyclean 600'!E495,IF(ISNUMBER(SEARCH("12",'Procyclean 600'!E495)),EDATE(AB3493,12),IF(ISNUMBER(SEARCH("6",'Procyclean 600'!E495)),EDATE(AB3493,6),IF(ISNUMBER(SEARCH("3",'Procyclean 600'!E495)),EDATE(AB3493,3),DATEVALUE('Procyclean 600'!E495))))),""))</f>
        <v/>
      </c>
      <c r="AM3493" t="str">
        <f t="shared" ca="1" si="346"/>
        <v/>
      </c>
    </row>
    <row r="3494" spans="27:39" x14ac:dyDescent="0.3">
      <c r="AA3494" t="str">
        <f>IF(COUNTA('Procyclean 600'!B496,'Procyclean 600'!C496,'Procyclean 600'!D496)&gt;0,"600","")</f>
        <v/>
      </c>
      <c r="AB3494" t="str">
        <f>IFERROR(IF(ISNUMBER('Procyclean 600'!B496),'Procyclean 600'!B496,DATEVALUE('Procyclean 600'!B496)),"")</f>
        <v/>
      </c>
      <c r="AC3494" t="str">
        <f>IF(AA3494="","",'Procyclean 600'!C496)</f>
        <v/>
      </c>
      <c r="AD3494" t="str">
        <f>IF(AA3494="","",IFERROR(1*'Procyclean 600'!D496,IFERROR(_xludf.NUMBERVALUE('Procyclean 600'!D496,".",","),IFERROR(_xludf.NUMBERVALUE('Procyclean 600'!D496,",","."),0))))</f>
        <v/>
      </c>
      <c r="AE3494" t="str">
        <f>IF(AA3494="","",'Procyclean 600'!K496)</f>
        <v/>
      </c>
      <c r="AF3494">
        <f t="shared" si="341"/>
        <v>0</v>
      </c>
      <c r="AG3494" t="str">
        <f t="shared" si="342"/>
        <v/>
      </c>
      <c r="AH3494" t="str">
        <f t="shared" si="343"/>
        <v/>
      </c>
      <c r="AI3494">
        <f t="shared" si="344"/>
        <v>0</v>
      </c>
      <c r="AJ3494">
        <f t="shared" si="345"/>
        <v>0</v>
      </c>
      <c r="AK3494">
        <v>0</v>
      </c>
      <c r="AL3494" t="str">
        <f>IF(AA3494="","",IFERROR(IF(ISNUMBER('Procyclean 600'!E496),'Procyclean 600'!E496,IF(ISNUMBER(SEARCH("12",'Procyclean 600'!E496)),EDATE(AB3494,12),IF(ISNUMBER(SEARCH("6",'Procyclean 600'!E496)),EDATE(AB3494,6),IF(ISNUMBER(SEARCH("3",'Procyclean 600'!E496)),EDATE(AB3494,3),DATEVALUE('Procyclean 600'!E496))))),""))</f>
        <v/>
      </c>
      <c r="AM3494" t="str">
        <f t="shared" ca="1" si="346"/>
        <v/>
      </c>
    </row>
    <row r="3495" spans="27:39" x14ac:dyDescent="0.3">
      <c r="AA3495" t="str">
        <f>IF(COUNTA('Procyclean 600'!B497,'Procyclean 600'!C497,'Procyclean 600'!D497)&gt;0,"600","")</f>
        <v/>
      </c>
      <c r="AB3495" t="str">
        <f>IFERROR(IF(ISNUMBER('Procyclean 600'!B497),'Procyclean 600'!B497,DATEVALUE('Procyclean 600'!B497)),"")</f>
        <v/>
      </c>
      <c r="AC3495" t="str">
        <f>IF(AA3495="","",'Procyclean 600'!C497)</f>
        <v/>
      </c>
      <c r="AD3495" t="str">
        <f>IF(AA3495="","",IFERROR(1*'Procyclean 600'!D497,IFERROR(_xludf.NUMBERVALUE('Procyclean 600'!D497,".",","),IFERROR(_xludf.NUMBERVALUE('Procyclean 600'!D497,",","."),0))))</f>
        <v/>
      </c>
      <c r="AE3495" t="str">
        <f>IF(AA3495="","",'Procyclean 600'!K497)</f>
        <v/>
      </c>
      <c r="AF3495">
        <f t="shared" si="341"/>
        <v>0</v>
      </c>
      <c r="AG3495" t="str">
        <f t="shared" si="342"/>
        <v/>
      </c>
      <c r="AH3495" t="str">
        <f t="shared" si="343"/>
        <v/>
      </c>
      <c r="AI3495">
        <f t="shared" si="344"/>
        <v>0</v>
      </c>
      <c r="AJ3495">
        <f t="shared" si="345"/>
        <v>0</v>
      </c>
      <c r="AK3495">
        <v>0</v>
      </c>
      <c r="AL3495" t="str">
        <f>IF(AA3495="","",IFERROR(IF(ISNUMBER('Procyclean 600'!E497),'Procyclean 600'!E497,IF(ISNUMBER(SEARCH("12",'Procyclean 600'!E497)),EDATE(AB3495,12),IF(ISNUMBER(SEARCH("6",'Procyclean 600'!E497)),EDATE(AB3495,6),IF(ISNUMBER(SEARCH("3",'Procyclean 600'!E497)),EDATE(AB3495,3),DATEVALUE('Procyclean 600'!E497))))),""))</f>
        <v/>
      </c>
      <c r="AM3495" t="str">
        <f t="shared" ca="1" si="346"/>
        <v/>
      </c>
    </row>
    <row r="3496" spans="27:39" x14ac:dyDescent="0.3">
      <c r="AA3496" t="str">
        <f>IF(COUNTA('Procyclean 600'!B498,'Procyclean 600'!C498,'Procyclean 600'!D498)&gt;0,"600","")</f>
        <v/>
      </c>
      <c r="AB3496" t="str">
        <f>IFERROR(IF(ISNUMBER('Procyclean 600'!B498),'Procyclean 600'!B498,DATEVALUE('Procyclean 600'!B498)),"")</f>
        <v/>
      </c>
      <c r="AC3496" t="str">
        <f>IF(AA3496="","",'Procyclean 600'!C498)</f>
        <v/>
      </c>
      <c r="AD3496" t="str">
        <f>IF(AA3496="","",IFERROR(1*'Procyclean 600'!D498,IFERROR(_xludf.NUMBERVALUE('Procyclean 600'!D498,".",","),IFERROR(_xludf.NUMBERVALUE('Procyclean 600'!D498,",","."),0))))</f>
        <v/>
      </c>
      <c r="AE3496" t="str">
        <f>IF(AA3496="","",'Procyclean 600'!K498)</f>
        <v/>
      </c>
      <c r="AF3496">
        <f t="shared" si="341"/>
        <v>0</v>
      </c>
      <c r="AG3496" t="str">
        <f t="shared" si="342"/>
        <v/>
      </c>
      <c r="AH3496" t="str">
        <f t="shared" si="343"/>
        <v/>
      </c>
      <c r="AI3496">
        <f t="shared" si="344"/>
        <v>0</v>
      </c>
      <c r="AJ3496">
        <f t="shared" si="345"/>
        <v>0</v>
      </c>
      <c r="AK3496">
        <v>0</v>
      </c>
      <c r="AL3496" t="str">
        <f>IF(AA3496="","",IFERROR(IF(ISNUMBER('Procyclean 600'!E498),'Procyclean 600'!E498,IF(ISNUMBER(SEARCH("12",'Procyclean 600'!E498)),EDATE(AB3496,12),IF(ISNUMBER(SEARCH("6",'Procyclean 600'!E498)),EDATE(AB3496,6),IF(ISNUMBER(SEARCH("3",'Procyclean 600'!E498)),EDATE(AB3496,3),DATEVALUE('Procyclean 600'!E498))))),""))</f>
        <v/>
      </c>
      <c r="AM3496" t="str">
        <f t="shared" ca="1" si="346"/>
        <v/>
      </c>
    </row>
    <row r="3497" spans="27:39" x14ac:dyDescent="0.3">
      <c r="AA3497" t="str">
        <f>IF(COUNTA('Procyclean 600'!B499,'Procyclean 600'!C499,'Procyclean 600'!D499)&gt;0,"600","")</f>
        <v/>
      </c>
      <c r="AB3497" t="str">
        <f>IFERROR(IF(ISNUMBER('Procyclean 600'!B499),'Procyclean 600'!B499,DATEVALUE('Procyclean 600'!B499)),"")</f>
        <v/>
      </c>
      <c r="AC3497" t="str">
        <f>IF(AA3497="","",'Procyclean 600'!C499)</f>
        <v/>
      </c>
      <c r="AD3497" t="str">
        <f>IF(AA3497="","",IFERROR(1*'Procyclean 600'!D499,IFERROR(_xludf.NUMBERVALUE('Procyclean 600'!D499,".",","),IFERROR(_xludf.NUMBERVALUE('Procyclean 600'!D499,",","."),0))))</f>
        <v/>
      </c>
      <c r="AE3497" t="str">
        <f>IF(AA3497="","",'Procyclean 600'!K499)</f>
        <v/>
      </c>
      <c r="AF3497">
        <f t="shared" si="341"/>
        <v>0</v>
      </c>
      <c r="AG3497" t="str">
        <f t="shared" si="342"/>
        <v/>
      </c>
      <c r="AH3497" t="str">
        <f t="shared" si="343"/>
        <v/>
      </c>
      <c r="AI3497">
        <f t="shared" si="344"/>
        <v>0</v>
      </c>
      <c r="AJ3497">
        <f t="shared" si="345"/>
        <v>0</v>
      </c>
      <c r="AK3497">
        <v>0</v>
      </c>
      <c r="AL3497" t="str">
        <f>IF(AA3497="","",IFERROR(IF(ISNUMBER('Procyclean 600'!E499),'Procyclean 600'!E499,IF(ISNUMBER(SEARCH("12",'Procyclean 600'!E499)),EDATE(AB3497,12),IF(ISNUMBER(SEARCH("6",'Procyclean 600'!E499)),EDATE(AB3497,6),IF(ISNUMBER(SEARCH("3",'Procyclean 600'!E499)),EDATE(AB3497,3),DATEVALUE('Procyclean 600'!E499))))),""))</f>
        <v/>
      </c>
      <c r="AM3497" t="str">
        <f t="shared" ca="1" si="346"/>
        <v/>
      </c>
    </row>
    <row r="3498" spans="27:39" x14ac:dyDescent="0.3">
      <c r="AA3498" t="str">
        <f>IF(COUNTA('Procyclean 600'!B500,'Procyclean 600'!C500,'Procyclean 600'!D500)&gt;0,"600","")</f>
        <v/>
      </c>
      <c r="AB3498" t="str">
        <f>IFERROR(IF(ISNUMBER('Procyclean 600'!B500),'Procyclean 600'!B500,DATEVALUE('Procyclean 600'!B500)),"")</f>
        <v/>
      </c>
      <c r="AC3498" t="str">
        <f>IF(AA3498="","",'Procyclean 600'!C500)</f>
        <v/>
      </c>
      <c r="AD3498" t="str">
        <f>IF(AA3498="","",IFERROR(1*'Procyclean 600'!D500,IFERROR(_xludf.NUMBERVALUE('Procyclean 600'!D500,".",","),IFERROR(_xludf.NUMBERVALUE('Procyclean 600'!D500,",","."),0))))</f>
        <v/>
      </c>
      <c r="AE3498" t="str">
        <f>IF(AA3498="","",'Procyclean 600'!K500)</f>
        <v/>
      </c>
      <c r="AF3498">
        <f t="shared" si="341"/>
        <v>0</v>
      </c>
      <c r="AG3498" t="str">
        <f t="shared" si="342"/>
        <v/>
      </c>
      <c r="AH3498" t="str">
        <f t="shared" si="343"/>
        <v/>
      </c>
      <c r="AI3498">
        <f t="shared" si="344"/>
        <v>0</v>
      </c>
      <c r="AJ3498">
        <f t="shared" si="345"/>
        <v>0</v>
      </c>
      <c r="AK3498">
        <v>0</v>
      </c>
      <c r="AL3498" t="str">
        <f>IF(AA3498="","",IFERROR(IF(ISNUMBER('Procyclean 600'!E500),'Procyclean 600'!E500,IF(ISNUMBER(SEARCH("12",'Procyclean 600'!E500)),EDATE(AB3498,12),IF(ISNUMBER(SEARCH("6",'Procyclean 600'!E500)),EDATE(AB3498,6),IF(ISNUMBER(SEARCH("3",'Procyclean 600'!E500)),EDATE(AB3498,3),DATEVALUE('Procyclean 600'!E500))))),""))</f>
        <v/>
      </c>
      <c r="AM3498" t="str">
        <f t="shared" ca="1" si="346"/>
        <v/>
      </c>
    </row>
    <row r="3499" spans="27:39" x14ac:dyDescent="0.3">
      <c r="AA3499" t="str">
        <f>IF(COUNTA('Procyclean 600'!B501,'Procyclean 600'!C501,'Procyclean 600'!D501)&gt;0,"600","")</f>
        <v/>
      </c>
      <c r="AB3499" t="str">
        <f>IFERROR(IF(ISNUMBER('Procyclean 600'!B501),'Procyclean 600'!B501,DATEVALUE('Procyclean 600'!B501)),"")</f>
        <v/>
      </c>
      <c r="AC3499" t="str">
        <f>IF(AA3499="","",'Procyclean 600'!C501)</f>
        <v/>
      </c>
      <c r="AD3499" t="str">
        <f>IF(AA3499="","",IFERROR(1*'Procyclean 600'!D501,IFERROR(_xludf.NUMBERVALUE('Procyclean 600'!D501,".",","),IFERROR(_xludf.NUMBERVALUE('Procyclean 600'!D501,",","."),0))))</f>
        <v/>
      </c>
      <c r="AE3499" t="str">
        <f>IF(AA3499="","",'Procyclean 600'!K501)</f>
        <v/>
      </c>
      <c r="AF3499">
        <f t="shared" si="341"/>
        <v>0</v>
      </c>
      <c r="AG3499" t="str">
        <f t="shared" si="342"/>
        <v/>
      </c>
      <c r="AH3499" t="str">
        <f t="shared" si="343"/>
        <v/>
      </c>
      <c r="AI3499">
        <f t="shared" si="344"/>
        <v>0</v>
      </c>
      <c r="AJ3499">
        <f t="shared" si="345"/>
        <v>0</v>
      </c>
      <c r="AK3499">
        <v>0</v>
      </c>
      <c r="AL3499" t="str">
        <f>IF(AA3499="","",IFERROR(IF(ISNUMBER('Procyclean 600'!E501),'Procyclean 600'!E501,IF(ISNUMBER(SEARCH("12",'Procyclean 600'!E501)),EDATE(AB3499,12),IF(ISNUMBER(SEARCH("6",'Procyclean 600'!E501)),EDATE(AB3499,6),IF(ISNUMBER(SEARCH("3",'Procyclean 600'!E501)),EDATE(AB3499,3),DATEVALUE('Procyclean 600'!E501))))),""))</f>
        <v/>
      </c>
      <c r="AM3499" t="str">
        <f t="shared" ca="1" si="346"/>
        <v/>
      </c>
    </row>
    <row r="3500" spans="27:39" x14ac:dyDescent="0.3">
      <c r="AA3500" t="str">
        <f>IF(COUNTA('Procyclean 600'!B502,'Procyclean 600'!C502,'Procyclean 600'!D502)&gt;0,"600","")</f>
        <v/>
      </c>
      <c r="AB3500" t="str">
        <f>IFERROR(IF(ISNUMBER('Procyclean 600'!B502),'Procyclean 600'!B502,DATEVALUE('Procyclean 600'!B502)),"")</f>
        <v/>
      </c>
      <c r="AC3500" t="str">
        <f>IF(AA3500="","",'Procyclean 600'!C502)</f>
        <v/>
      </c>
      <c r="AD3500" t="str">
        <f>IF(AA3500="","",IFERROR(1*'Procyclean 600'!D502,IFERROR(_xludf.NUMBERVALUE('Procyclean 600'!D502,".",","),IFERROR(_xludf.NUMBERVALUE('Procyclean 600'!D502,",","."),0))))</f>
        <v/>
      </c>
      <c r="AE3500" t="str">
        <f>IF(AA3500="","",'Procyclean 600'!K502)</f>
        <v/>
      </c>
      <c r="AF3500">
        <f t="shared" si="341"/>
        <v>0</v>
      </c>
      <c r="AG3500" t="str">
        <f t="shared" si="342"/>
        <v/>
      </c>
      <c r="AH3500" t="str">
        <f t="shared" si="343"/>
        <v/>
      </c>
      <c r="AI3500">
        <f t="shared" si="344"/>
        <v>0</v>
      </c>
      <c r="AJ3500">
        <f t="shared" si="345"/>
        <v>0</v>
      </c>
      <c r="AK3500">
        <v>0</v>
      </c>
      <c r="AL3500" t="str">
        <f>IF(AA3500="","",IFERROR(IF(ISNUMBER('Procyclean 600'!E502),'Procyclean 600'!E502,IF(ISNUMBER(SEARCH("12",'Procyclean 600'!E502)),EDATE(AB3500,12),IF(ISNUMBER(SEARCH("6",'Procyclean 600'!E502)),EDATE(AB3500,6),IF(ISNUMBER(SEARCH("3",'Procyclean 600'!E502)),EDATE(AB3500,3),DATEVALUE('Procyclean 600'!E502))))),""))</f>
        <v/>
      </c>
      <c r="AM3500" t="str">
        <f t="shared" ca="1" si="346"/>
        <v/>
      </c>
    </row>
    <row r="3501" spans="27:39" x14ac:dyDescent="0.3">
      <c r="AA3501" t="str">
        <f>IF(COUNTA('Procyclean 600'!B503,'Procyclean 600'!C503,'Procyclean 600'!D503)&gt;0,"600","")</f>
        <v/>
      </c>
      <c r="AB3501" t="str">
        <f>IFERROR(IF(ISNUMBER('Procyclean 600'!B503),'Procyclean 600'!B503,DATEVALUE('Procyclean 600'!B503)),"")</f>
        <v/>
      </c>
      <c r="AC3501" t="str">
        <f>IF(AA3501="","",'Procyclean 600'!C503)</f>
        <v/>
      </c>
      <c r="AD3501" t="str">
        <f>IF(AA3501="","",IFERROR(1*'Procyclean 600'!D503,IFERROR(_xludf.NUMBERVALUE('Procyclean 600'!D503,".",","),IFERROR(_xludf.NUMBERVALUE('Procyclean 600'!D503,",","."),0))))</f>
        <v/>
      </c>
      <c r="AE3501" t="str">
        <f>IF(AA3501="","",'Procyclean 600'!K503)</f>
        <v/>
      </c>
      <c r="AF3501">
        <f t="shared" si="341"/>
        <v>0</v>
      </c>
      <c r="AG3501" t="str">
        <f t="shared" si="342"/>
        <v/>
      </c>
      <c r="AH3501" t="str">
        <f t="shared" si="343"/>
        <v/>
      </c>
      <c r="AI3501">
        <f t="shared" si="344"/>
        <v>0</v>
      </c>
      <c r="AJ3501">
        <f t="shared" si="345"/>
        <v>0</v>
      </c>
      <c r="AK3501">
        <v>0</v>
      </c>
      <c r="AL3501" t="str">
        <f>IF(AA3501="","",IFERROR(IF(ISNUMBER('Procyclean 600'!E503),'Procyclean 600'!E503,IF(ISNUMBER(SEARCH("12",'Procyclean 600'!E503)),EDATE(AB3501,12),IF(ISNUMBER(SEARCH("6",'Procyclean 600'!E503)),EDATE(AB3501,6),IF(ISNUMBER(SEARCH("3",'Procyclean 600'!E503)),EDATE(AB3501,3),DATEVALUE('Procyclean 600'!E503))))),""))</f>
        <v/>
      </c>
      <c r="AM3501" t="str">
        <f t="shared" ca="1" si="346"/>
        <v/>
      </c>
    </row>
  </sheetData>
  <mergeCells count="31">
    <mergeCell ref="B2:C2"/>
    <mergeCell ref="U2:V2"/>
    <mergeCell ref="E7:H9"/>
    <mergeCell ref="E2:S2"/>
    <mergeCell ref="P12:W13"/>
    <mergeCell ref="I6:L6"/>
    <mergeCell ref="Q7:T9"/>
    <mergeCell ref="B8:C8"/>
    <mergeCell ref="U3:V3"/>
    <mergeCell ref="E3:S3"/>
    <mergeCell ref="U6:W6"/>
    <mergeCell ref="I7:L9"/>
    <mergeCell ref="E6:H6"/>
    <mergeCell ref="E12:N13"/>
    <mergeCell ref="M7:P9"/>
    <mergeCell ref="M6:P6"/>
    <mergeCell ref="B16:C16"/>
    <mergeCell ref="B3:C3"/>
    <mergeCell ref="B6:C7"/>
    <mergeCell ref="E29:N30"/>
    <mergeCell ref="E64:W65"/>
    <mergeCell ref="B18:C18"/>
    <mergeCell ref="U7:W9"/>
    <mergeCell ref="B12:C12"/>
    <mergeCell ref="B14:C14"/>
    <mergeCell ref="M47:Q48"/>
    <mergeCell ref="S47:W48"/>
    <mergeCell ref="P29:W30"/>
    <mergeCell ref="E47:K48"/>
    <mergeCell ref="B20:C20"/>
    <mergeCell ref="Q6:T6"/>
  </mergeCells>
  <conditionalFormatting sqref="G67:G86">
    <cfRule type="dataBar" priority="1">
      <dataBar>
        <cfvo type="min"/>
        <cfvo type="max"/>
        <color rgb="FF2563EB"/>
      </dataBar>
    </cfRule>
  </conditionalFormatting>
  <conditionalFormatting sqref="R16:R25">
    <cfRule type="dataBar" priority="2">
      <dataBar>
        <cfvo type="min"/>
        <cfvo type="max"/>
        <color rgb="FF16A34A"/>
      </dataBar>
    </cfRule>
  </conditionalFormatting>
  <conditionalFormatting sqref="R33:R44">
    <cfRule type="dataBar" priority="3">
      <dataBar>
        <cfvo type="min"/>
        <cfvo type="max"/>
        <color rgb="FF0F766E"/>
      </dataBar>
    </cfRule>
  </conditionalFormatting>
  <conditionalFormatting sqref="I67:I86">
    <cfRule type="cellIs" dxfId="120" priority="4" operator="lessThan">
      <formula>0.8</formula>
    </cfRule>
    <cfRule type="cellIs" dxfId="119" priority="5" operator="greaterThanOrEqual">
      <formula>0.95</formula>
    </cfRule>
  </conditionalFormatting>
  <conditionalFormatting sqref="U16:U25">
    <cfRule type="expression" dxfId="118" priority="6">
      <formula>U16="Excelente"</formula>
    </cfRule>
    <cfRule type="expression" dxfId="117" priority="7">
      <formula>U16="Atenção"</formula>
    </cfRule>
    <cfRule type="expression" dxfId="116" priority="8">
      <formula>U16="Crítico"</formula>
    </cfRule>
  </conditionalFormatting>
  <dataValidations count="1">
    <dataValidation type="list" sqref="W3" xr:uid="{00000000-0002-0000-0000-000000000000}">
      <formula1>$AN$2:$AN$10</formula1>
    </dataValidation>
  </dataValidations>
  <pageMargins left="0.75" right="0.75" top="1" bottom="1" header="0.5" footer="0.5"/>
  <pageSetup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K64"/>
  <sheetViews>
    <sheetView workbookViewId="0">
      <selection activeCell="U10" sqref="U10"/>
    </sheetView>
  </sheetViews>
  <sheetFormatPr defaultRowHeight="14.4" x14ac:dyDescent="0.3"/>
  <sheetData>
    <row r="1" spans="1:37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7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37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37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28"/>
  <sheetViews>
    <sheetView workbookViewId="0">
      <selection activeCell="H8" sqref="H8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20.109375" bestFit="1" customWidth="1"/>
    <col min="8" max="8" width="23.6640625" customWidth="1"/>
    <col min="9" max="9" width="16.33203125" bestFit="1" customWidth="1"/>
    <col min="10" max="10" width="16.33203125" customWidth="1"/>
    <col min="11" max="11" width="17" bestFit="1" customWidth="1"/>
  </cols>
  <sheetData>
    <row r="1" spans="1:11" ht="93.75" customHeight="1" x14ac:dyDescent="1.75">
      <c r="A1" s="91" t="s">
        <v>69</v>
      </c>
      <c r="B1" s="92"/>
      <c r="C1" s="92"/>
      <c r="D1" s="92"/>
      <c r="E1" s="92"/>
      <c r="F1" s="92"/>
      <c r="G1" s="92"/>
      <c r="H1" s="92"/>
      <c r="I1" s="92"/>
      <c r="J1" s="92"/>
      <c r="K1" s="93"/>
    </row>
    <row r="2" spans="1:11" ht="50.25" customHeight="1" x14ac:dyDescent="0.3">
      <c r="A2" s="2" t="s">
        <v>1</v>
      </c>
      <c r="B2" s="2" t="s">
        <v>2</v>
      </c>
      <c r="C2" s="2" t="s">
        <v>70</v>
      </c>
      <c r="D2" s="3" t="s">
        <v>71</v>
      </c>
      <c r="E2" s="3" t="s">
        <v>72</v>
      </c>
      <c r="F2" s="3" t="s">
        <v>73</v>
      </c>
      <c r="G2" s="3" t="s">
        <v>74</v>
      </c>
      <c r="H2" s="3" t="s">
        <v>75</v>
      </c>
      <c r="I2" s="2" t="s">
        <v>76</v>
      </c>
      <c r="J2" s="2" t="s">
        <v>4</v>
      </c>
      <c r="K2" s="2" t="s">
        <v>77</v>
      </c>
    </row>
    <row r="3" spans="1:11" ht="20.100000000000001" customHeight="1" x14ac:dyDescent="0.3">
      <c r="A3" s="4"/>
      <c r="B3" s="5"/>
      <c r="C3" s="5"/>
      <c r="D3" s="4"/>
      <c r="E3" s="5"/>
      <c r="F3" s="6"/>
      <c r="G3" s="5"/>
      <c r="H3" s="5"/>
      <c r="I3" s="5"/>
      <c r="J3" s="5"/>
      <c r="K3" s="5"/>
    </row>
    <row r="4" spans="1:11" ht="20.100000000000001" customHeight="1" x14ac:dyDescent="0.3">
      <c r="A4" s="4"/>
      <c r="B4" s="5"/>
      <c r="C4" s="5"/>
      <c r="D4" s="4"/>
      <c r="E4" s="5"/>
      <c r="F4" s="6"/>
      <c r="G4" s="5"/>
      <c r="H4" s="5"/>
      <c r="I4" s="5"/>
      <c r="J4" s="5"/>
      <c r="K4" s="5"/>
    </row>
    <row r="5" spans="1:11" ht="20.100000000000001" customHeight="1" x14ac:dyDescent="0.3">
      <c r="A5" s="7"/>
      <c r="B5" s="8"/>
      <c r="C5" s="8"/>
      <c r="D5" s="7"/>
      <c r="E5" s="8"/>
      <c r="F5" s="9"/>
      <c r="G5" s="8"/>
      <c r="H5" s="8"/>
      <c r="I5" s="8"/>
      <c r="J5" s="8"/>
      <c r="K5" s="8"/>
    </row>
    <row r="6" spans="1:11" ht="20.100000000000001" customHeight="1" x14ac:dyDescent="0.3">
      <c r="A6" s="7"/>
      <c r="B6" s="8"/>
      <c r="C6" s="8"/>
      <c r="D6" s="7"/>
      <c r="E6" s="8"/>
      <c r="F6" s="9"/>
      <c r="G6" s="8"/>
      <c r="H6" s="8"/>
      <c r="I6" s="8"/>
      <c r="J6" s="8"/>
      <c r="K6" s="8"/>
    </row>
    <row r="7" spans="1:11" ht="20.100000000000001" customHeight="1" x14ac:dyDescent="0.3">
      <c r="A7" s="7"/>
      <c r="B7" s="8"/>
      <c r="C7" s="8"/>
      <c r="D7" s="7"/>
      <c r="E7" s="8"/>
      <c r="F7" s="9"/>
      <c r="G7" s="8"/>
      <c r="H7" s="8"/>
      <c r="I7" s="8"/>
      <c r="J7" s="8"/>
      <c r="K7" s="8"/>
    </row>
    <row r="8" spans="1:11" ht="20.100000000000001" customHeight="1" x14ac:dyDescent="0.3">
      <c r="A8" s="2"/>
      <c r="B8" s="2"/>
      <c r="C8" s="2"/>
      <c r="D8" s="2"/>
      <c r="E8" s="2"/>
      <c r="F8" s="2"/>
      <c r="G8" s="10"/>
      <c r="H8" s="10"/>
      <c r="I8" s="2"/>
      <c r="J8" s="2"/>
      <c r="K8" s="2"/>
    </row>
    <row r="9" spans="1:11" ht="20.100000000000001" customHeight="1" x14ac:dyDescent="0.3">
      <c r="A9" s="2"/>
      <c r="B9" s="2"/>
      <c r="C9" s="2"/>
      <c r="D9" s="2"/>
      <c r="E9" s="2"/>
      <c r="F9" s="2"/>
      <c r="G9" s="10"/>
      <c r="H9" s="10"/>
      <c r="I9" s="2"/>
      <c r="J9" s="2"/>
      <c r="K9" s="2"/>
    </row>
    <row r="10" spans="1:11" ht="20.100000000000001" customHeight="1" x14ac:dyDescent="0.3">
      <c r="A10" s="2"/>
      <c r="B10" s="2"/>
      <c r="C10" s="2"/>
      <c r="D10" s="2"/>
      <c r="E10" s="2"/>
      <c r="F10" s="2"/>
      <c r="G10" s="10"/>
      <c r="H10" s="10"/>
      <c r="I10" s="2"/>
      <c r="J10" s="2"/>
      <c r="K10" s="2"/>
    </row>
    <row r="11" spans="1:11" ht="20.100000000000001" customHeight="1" x14ac:dyDescent="0.3">
      <c r="A11" s="2"/>
      <c r="B11" s="2"/>
      <c r="C11" s="2"/>
      <c r="D11" s="2"/>
      <c r="E11" s="2"/>
      <c r="F11" s="2"/>
      <c r="G11" s="10"/>
      <c r="H11" s="10"/>
      <c r="I11" s="2"/>
      <c r="J11" s="2"/>
      <c r="K11" s="2"/>
    </row>
    <row r="12" spans="1:11" ht="20.100000000000001" customHeight="1" x14ac:dyDescent="0.3">
      <c r="A12" s="2"/>
      <c r="B12" s="2"/>
      <c r="C12" s="2"/>
      <c r="D12" s="2"/>
      <c r="E12" s="2"/>
      <c r="F12" s="2"/>
      <c r="G12" s="10"/>
      <c r="H12" s="10"/>
      <c r="I12" s="2"/>
      <c r="J12" s="2"/>
      <c r="K12" s="2"/>
    </row>
    <row r="13" spans="1:11" ht="20.100000000000001" customHeight="1" x14ac:dyDescent="0.3">
      <c r="A13" s="2"/>
      <c r="B13" s="2"/>
      <c r="C13" s="2"/>
      <c r="D13" s="2"/>
      <c r="E13" s="2"/>
      <c r="F13" s="2"/>
      <c r="G13" s="10"/>
      <c r="H13" s="10"/>
      <c r="I13" s="2"/>
      <c r="J13" s="2"/>
      <c r="K13" s="2"/>
    </row>
    <row r="14" spans="1:11" ht="20.100000000000001" customHeight="1" x14ac:dyDescent="0.3">
      <c r="A14" s="2"/>
      <c r="B14" s="2"/>
      <c r="C14" s="2"/>
      <c r="D14" s="2"/>
      <c r="E14" s="2"/>
      <c r="F14" s="2"/>
      <c r="G14" s="10"/>
      <c r="H14" s="10"/>
      <c r="I14" s="2"/>
      <c r="J14" s="2"/>
      <c r="K14" s="2"/>
    </row>
    <row r="15" spans="1:11" ht="20.100000000000001" customHeight="1" x14ac:dyDescent="0.3">
      <c r="A15" s="2"/>
      <c r="B15" s="2"/>
      <c r="C15" s="2"/>
      <c r="D15" s="2"/>
      <c r="E15" s="2"/>
      <c r="F15" s="2"/>
      <c r="G15" s="10"/>
      <c r="H15" s="10"/>
      <c r="I15" s="2"/>
      <c r="J15" s="2"/>
      <c r="K15" s="2"/>
    </row>
    <row r="16" spans="1:11" ht="20.100000000000001" customHeight="1" x14ac:dyDescent="0.3">
      <c r="A16" s="2"/>
      <c r="B16" s="2"/>
      <c r="C16" s="2"/>
      <c r="D16" s="2"/>
      <c r="E16" s="2"/>
      <c r="F16" s="2"/>
      <c r="G16" s="10"/>
      <c r="H16" s="10"/>
      <c r="I16" s="2"/>
      <c r="J16" s="2"/>
      <c r="K16" s="2"/>
    </row>
    <row r="17" spans="1:11" ht="20.100000000000001" customHeight="1" x14ac:dyDescent="0.3">
      <c r="A17" s="2"/>
      <c r="B17" s="2"/>
      <c r="C17" s="2"/>
      <c r="D17" s="2"/>
      <c r="E17" s="2"/>
      <c r="F17" s="2"/>
      <c r="G17" s="10"/>
      <c r="H17" s="10"/>
      <c r="I17" s="2"/>
      <c r="J17" s="2"/>
      <c r="K17" s="2"/>
    </row>
    <row r="18" spans="1:11" ht="20.100000000000001" customHeight="1" x14ac:dyDescent="0.3">
      <c r="A18" s="2"/>
      <c r="B18" s="2"/>
      <c r="C18" s="2"/>
      <c r="D18" s="2"/>
      <c r="E18" s="2"/>
      <c r="F18" s="2"/>
      <c r="G18" s="10"/>
      <c r="H18" s="10"/>
      <c r="I18" s="2"/>
      <c r="J18" s="2"/>
      <c r="K18" s="2"/>
    </row>
    <row r="19" spans="1:11" ht="20.100000000000001" customHeight="1" x14ac:dyDescent="0.3">
      <c r="A19" s="2"/>
      <c r="B19" s="2"/>
      <c r="C19" s="2"/>
      <c r="D19" s="2"/>
      <c r="E19" s="2"/>
      <c r="F19" s="2"/>
      <c r="G19" s="10"/>
      <c r="H19" s="10"/>
      <c r="I19" s="2"/>
      <c r="J19" s="2"/>
      <c r="K19" s="2"/>
    </row>
    <row r="20" spans="1:11" ht="20.100000000000001" customHeight="1" x14ac:dyDescent="0.3">
      <c r="A20" s="2"/>
      <c r="B20" s="2"/>
      <c r="C20" s="2"/>
      <c r="D20" s="2"/>
      <c r="E20" s="2"/>
      <c r="F20" s="2"/>
      <c r="G20" s="10"/>
      <c r="H20" s="10"/>
      <c r="I20" s="2"/>
      <c r="J20" s="2"/>
      <c r="K20" s="2"/>
    </row>
    <row r="21" spans="1:11" ht="20.100000000000001" customHeight="1" x14ac:dyDescent="0.3">
      <c r="A21" s="2"/>
      <c r="B21" s="2"/>
      <c r="C21" s="2"/>
      <c r="D21" s="2"/>
      <c r="E21" s="2"/>
      <c r="F21" s="2"/>
      <c r="G21" s="10"/>
      <c r="H21" s="10"/>
      <c r="I21" s="2"/>
      <c r="J21" s="2"/>
      <c r="K21" s="2"/>
    </row>
    <row r="22" spans="1:11" ht="20.100000000000001" customHeight="1" x14ac:dyDescent="0.3">
      <c r="A22" s="2"/>
      <c r="B22" s="2"/>
      <c r="C22" s="2"/>
      <c r="D22" s="2"/>
      <c r="E22" s="2"/>
      <c r="F22" s="2"/>
      <c r="G22" s="10"/>
      <c r="H22" s="10"/>
      <c r="I22" s="2"/>
      <c r="J22" s="2"/>
      <c r="K22" s="2"/>
    </row>
    <row r="23" spans="1:11" ht="20.100000000000001" customHeight="1" x14ac:dyDescent="0.3">
      <c r="A23" s="2"/>
      <c r="B23" s="2"/>
      <c r="C23" s="2"/>
      <c r="D23" s="2"/>
      <c r="E23" s="2"/>
      <c r="F23" s="2"/>
      <c r="G23" s="10"/>
      <c r="H23" s="10"/>
      <c r="I23" s="2"/>
      <c r="J23" s="2"/>
      <c r="K23" s="2"/>
    </row>
    <row r="24" spans="1:11" ht="20.100000000000001" customHeight="1" x14ac:dyDescent="0.3">
      <c r="A24" s="2"/>
      <c r="B24" s="2"/>
      <c r="C24" s="2"/>
      <c r="D24" s="2"/>
      <c r="E24" s="2"/>
      <c r="F24" s="2"/>
      <c r="G24" s="10"/>
      <c r="H24" s="10"/>
      <c r="I24" s="2"/>
      <c r="J24" s="2"/>
      <c r="K24" s="2"/>
    </row>
    <row r="25" spans="1:11" ht="20.100000000000001" customHeight="1" x14ac:dyDescent="0.3">
      <c r="A25" s="2"/>
      <c r="B25" s="2"/>
      <c r="C25" s="2"/>
      <c r="D25" s="2"/>
      <c r="E25" s="2"/>
      <c r="F25" s="2"/>
      <c r="G25" s="10"/>
      <c r="H25" s="10"/>
      <c r="I25" s="2"/>
      <c r="J25" s="2"/>
      <c r="K25" s="2"/>
    </row>
    <row r="26" spans="1:11" ht="20.100000000000001" customHeight="1" x14ac:dyDescent="0.3">
      <c r="A26" s="2"/>
      <c r="B26" s="2"/>
      <c r="C26" s="2"/>
      <c r="D26" s="2"/>
      <c r="E26" s="2"/>
      <c r="F26" s="2"/>
      <c r="G26" s="10"/>
      <c r="H26" s="10"/>
      <c r="I26" s="2"/>
      <c r="J26" s="2"/>
      <c r="K26" s="2"/>
    </row>
    <row r="27" spans="1:11" ht="20.100000000000001" customHeight="1" x14ac:dyDescent="0.3">
      <c r="A27" s="2"/>
      <c r="B27" s="2"/>
      <c r="C27" s="2"/>
      <c r="D27" s="2"/>
      <c r="E27" s="2"/>
      <c r="F27" s="2"/>
      <c r="G27" s="10"/>
      <c r="H27" s="10"/>
      <c r="I27" s="2"/>
      <c r="J27" s="2"/>
      <c r="K27" s="2"/>
    </row>
    <row r="28" spans="1:11" ht="20.100000000000001" customHeight="1" x14ac:dyDescent="0.3">
      <c r="A28" s="2"/>
      <c r="B28" s="2"/>
      <c r="C28" s="2"/>
      <c r="D28" s="2"/>
      <c r="E28" s="2"/>
      <c r="F28" s="2"/>
      <c r="G28" s="10"/>
      <c r="H28" s="10"/>
      <c r="I28" s="2"/>
      <c r="J28" s="2"/>
      <c r="K28" s="2"/>
    </row>
  </sheetData>
  <mergeCells count="1">
    <mergeCell ref="A1:K1"/>
  </mergeCells>
  <conditionalFormatting sqref="J3:J29">
    <cfRule type="containsText" dxfId="115" priority="3" operator="containsText" text="Aprovado">
      <formula>NOT(ISERROR(SEARCH("Aprovado",J3)))</formula>
    </cfRule>
    <cfRule type="containsText" dxfId="114" priority="2" operator="containsText" text="Reprovado">
      <formula>NOT(ISERROR(SEARCH("Reprovado",J3)))</formula>
    </cfRule>
    <cfRule type="containsText" dxfId="113" priority="1" operator="containsText" text="Em andamento">
      <formula>NOT(ISERROR(SEARCH("Em andamento",J3)))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8"/>
  <sheetViews>
    <sheetView workbookViewId="0">
      <selection sqref="A1:J1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21" bestFit="1" customWidth="1"/>
    <col min="7" max="7" width="18.109375" bestFit="1" customWidth="1"/>
    <col min="8" max="8" width="16.33203125" bestFit="1" customWidth="1"/>
    <col min="9" max="9" width="16.33203125" customWidth="1"/>
    <col min="10" max="10" width="17" bestFit="1" customWidth="1"/>
  </cols>
  <sheetData>
    <row r="1" spans="1:10" ht="93.75" customHeight="1" x14ac:dyDescent="1.75">
      <c r="A1" s="91" t="s">
        <v>78</v>
      </c>
      <c r="B1" s="92"/>
      <c r="C1" s="92"/>
      <c r="D1" s="92"/>
      <c r="E1" s="92"/>
      <c r="F1" s="92"/>
      <c r="G1" s="92"/>
      <c r="H1" s="92"/>
      <c r="I1" s="92"/>
      <c r="J1" s="93"/>
    </row>
    <row r="2" spans="1:10" ht="32.25" customHeight="1" x14ac:dyDescent="0.3">
      <c r="A2" s="2" t="s">
        <v>1</v>
      </c>
      <c r="B2" s="2" t="s">
        <v>2</v>
      </c>
      <c r="C2" s="2" t="s">
        <v>70</v>
      </c>
      <c r="D2" s="3" t="s">
        <v>71</v>
      </c>
      <c r="E2" s="3" t="s">
        <v>72</v>
      </c>
      <c r="F2" s="3" t="s">
        <v>79</v>
      </c>
      <c r="G2" s="3" t="s">
        <v>80</v>
      </c>
      <c r="H2" s="2" t="s">
        <v>76</v>
      </c>
      <c r="I2" s="2" t="s">
        <v>4</v>
      </c>
      <c r="J2" s="2" t="s">
        <v>77</v>
      </c>
    </row>
    <row r="3" spans="1:10" ht="20.100000000000001" customHeight="1" x14ac:dyDescent="0.3">
      <c r="A3" s="4">
        <v>44579</v>
      </c>
      <c r="B3" s="5" t="s">
        <v>81</v>
      </c>
      <c r="C3" s="5">
        <v>1500</v>
      </c>
      <c r="D3" s="4">
        <v>44944</v>
      </c>
      <c r="E3" s="5" t="s">
        <v>82</v>
      </c>
      <c r="F3" s="6" t="s">
        <v>83</v>
      </c>
      <c r="G3" s="5">
        <v>11.5</v>
      </c>
      <c r="H3" s="5" t="s">
        <v>84</v>
      </c>
      <c r="I3" s="5" t="s">
        <v>85</v>
      </c>
      <c r="J3" s="5" t="s">
        <v>86</v>
      </c>
    </row>
    <row r="4" spans="1:10" ht="20.100000000000001" customHeight="1" x14ac:dyDescent="0.3">
      <c r="A4" s="5"/>
      <c r="B4" s="5"/>
      <c r="C4" s="5"/>
      <c r="D4" s="5"/>
      <c r="E4" s="5"/>
      <c r="F4" s="6"/>
      <c r="G4" s="5"/>
      <c r="H4" s="5"/>
      <c r="I4" s="5"/>
      <c r="J4" s="5"/>
    </row>
    <row r="5" spans="1:10" ht="20.100000000000001" customHeight="1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ht="20.100000000000001" customHeight="1" x14ac:dyDescent="0.3">
      <c r="A6" s="2"/>
      <c r="B6" s="2"/>
      <c r="C6" s="2"/>
      <c r="D6" s="2"/>
      <c r="E6" s="2"/>
      <c r="F6" s="2"/>
      <c r="G6" s="2"/>
      <c r="H6" s="2"/>
      <c r="I6" s="2"/>
      <c r="J6" s="2"/>
    </row>
    <row r="7" spans="1:10" ht="20.100000000000001" customHeight="1" x14ac:dyDescent="0.3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20.100000000000001" customHeight="1" x14ac:dyDescent="0.3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ht="20.100000000000001" customHeight="1" x14ac:dyDescent="0.3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ht="20.100000000000001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ht="20.100000000000001" customHeigh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20.100000000000001" customHeigh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ht="20.100000000000001" customHeigh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20.100000000000001" customHeigh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ht="20.100000000000001" customHeight="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ht="20.100000000000001" customHeight="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ht="20.100000000000001" customHeight="1" x14ac:dyDescent="0.3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ht="20.100000000000001" customHeight="1" x14ac:dyDescent="0.3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ht="20.100000000000001" customHeight="1" x14ac:dyDescent="0.3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ht="20.100000000000001" customHeight="1" x14ac:dyDescent="0.3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ht="20.100000000000001" customHeight="1" x14ac:dyDescent="0.3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ht="20.100000000000001" customHeight="1" x14ac:dyDescent="0.3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ht="20.100000000000001" customHeight="1" x14ac:dyDescent="0.3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ht="20.100000000000001" customHeight="1" x14ac:dyDescent="0.3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ht="20.100000000000001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ht="20.100000000000001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ht="20.100000000000001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ht="20.100000000000001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</row>
  </sheetData>
  <mergeCells count="1">
    <mergeCell ref="A1:J1"/>
  </mergeCells>
  <conditionalFormatting sqref="I3:I28">
    <cfRule type="containsText" dxfId="99" priority="1" operator="containsText" text="APROVADO">
      <formula>NOT(ISERROR(SEARCH("APROVADO",I3)))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28"/>
  <sheetViews>
    <sheetView workbookViewId="0">
      <selection sqref="A1:K1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18.109375" bestFit="1" customWidth="1"/>
    <col min="8" max="8" width="18" bestFit="1" customWidth="1"/>
    <col min="9" max="9" width="16.33203125" bestFit="1" customWidth="1"/>
    <col min="10" max="10" width="16.33203125" customWidth="1"/>
    <col min="11" max="11" width="17" bestFit="1" customWidth="1"/>
  </cols>
  <sheetData>
    <row r="1" spans="1:11" ht="93.75" customHeight="1" x14ac:dyDescent="1.75">
      <c r="A1" s="91" t="s">
        <v>87</v>
      </c>
      <c r="B1" s="92"/>
      <c r="C1" s="92"/>
      <c r="D1" s="92"/>
      <c r="E1" s="92"/>
      <c r="F1" s="92"/>
      <c r="G1" s="92"/>
      <c r="H1" s="92"/>
      <c r="I1" s="92"/>
      <c r="J1" s="92"/>
      <c r="K1" s="93"/>
    </row>
    <row r="2" spans="1:11" ht="25.5" customHeight="1" x14ac:dyDescent="0.3">
      <c r="A2" s="2" t="s">
        <v>1</v>
      </c>
      <c r="B2" s="2" t="s">
        <v>2</v>
      </c>
      <c r="C2" s="2" t="s">
        <v>70</v>
      </c>
      <c r="D2" s="3" t="s">
        <v>71</v>
      </c>
      <c r="E2" s="3" t="s">
        <v>72</v>
      </c>
      <c r="F2" s="3" t="s">
        <v>73</v>
      </c>
      <c r="G2" s="3" t="s">
        <v>88</v>
      </c>
      <c r="H2" s="3" t="s">
        <v>89</v>
      </c>
      <c r="I2" s="2" t="s">
        <v>76</v>
      </c>
      <c r="J2" s="2" t="s">
        <v>4</v>
      </c>
      <c r="K2" s="2" t="s">
        <v>77</v>
      </c>
    </row>
    <row r="3" spans="1:11" ht="20.100000000000001" customHeight="1" x14ac:dyDescent="0.3">
      <c r="A3" s="4">
        <v>44832</v>
      </c>
      <c r="B3" s="5" t="s">
        <v>90</v>
      </c>
      <c r="C3" s="5">
        <v>600</v>
      </c>
      <c r="D3" s="4">
        <v>45197</v>
      </c>
      <c r="E3" s="5" t="s">
        <v>82</v>
      </c>
      <c r="F3" s="6" t="s">
        <v>91</v>
      </c>
      <c r="G3" s="5">
        <v>6.7</v>
      </c>
      <c r="H3" s="5">
        <v>5</v>
      </c>
      <c r="I3" s="5" t="s">
        <v>84</v>
      </c>
      <c r="J3" s="5" t="s">
        <v>85</v>
      </c>
      <c r="K3" s="5" t="s">
        <v>86</v>
      </c>
    </row>
    <row r="4" spans="1:11" ht="20.100000000000001" customHeight="1" x14ac:dyDescent="0.3">
      <c r="A4" s="5"/>
      <c r="B4" s="5"/>
      <c r="C4" s="5"/>
      <c r="D4" s="5"/>
      <c r="E4" s="5"/>
      <c r="F4" s="6"/>
      <c r="G4" s="6"/>
      <c r="H4" s="3"/>
      <c r="I4" s="5"/>
      <c r="J4" s="5"/>
      <c r="K4" s="5"/>
    </row>
    <row r="5" spans="1:11" ht="20.100000000000001" customHeight="1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ht="20.100000000000001" customHeight="1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ht="20.100000000000001" customHeigh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ht="20.100000000000001" customHeight="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ht="20.100000000000001" customHeight="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ht="20.100000000000001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 ht="20.100000000000001" customHeigh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 ht="20.100000000000001" customHeigh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 ht="20.100000000000001" customHeigh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 ht="20.100000000000001" customHeigh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 ht="20.100000000000001" customHeight="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 ht="20.100000000000001" customHeight="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 ht="20.100000000000001" customHeight="1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 ht="20.100000000000001" customHeight="1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 ht="20.100000000000001" customHeight="1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 ht="20.100000000000001" customHeight="1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 ht="20.100000000000001" customHeight="1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ht="20.100000000000001" customHeight="1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 ht="20.100000000000001" customHeight="1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ht="20.100000000000001" customHeight="1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ht="20.100000000000001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 ht="20.100000000000001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 ht="20.100000000000001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 ht="20.100000000000001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</sheetData>
  <mergeCells count="1">
    <mergeCell ref="A1:K1"/>
  </mergeCells>
  <conditionalFormatting sqref="J3:J28">
    <cfRule type="containsText" dxfId="86" priority="1" operator="containsText" text="APROVADO">
      <formula>NOT(ISERROR(SEARCH("APROVADO",J3)))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L29"/>
  <sheetViews>
    <sheetView workbookViewId="0">
      <selection activeCell="E5" sqref="E5"/>
    </sheetView>
  </sheetViews>
  <sheetFormatPr defaultRowHeight="14.4" x14ac:dyDescent="0.3"/>
  <cols>
    <col min="1" max="1" width="3.88671875" customWidth="1"/>
    <col min="2" max="2" width="15.33203125" bestFit="1" customWidth="1"/>
    <col min="3" max="3" width="10.109375" bestFit="1" customWidth="1"/>
    <col min="5" max="5" width="20.44140625" bestFit="1" customWidth="1"/>
    <col min="6" max="6" width="13.6640625" bestFit="1" customWidth="1"/>
    <col min="7" max="7" width="11.6640625" customWidth="1"/>
    <col min="8" max="8" width="13.44140625" customWidth="1"/>
    <col min="9" max="9" width="13.5546875" bestFit="1" customWidth="1"/>
    <col min="10" max="10" width="18" bestFit="1" customWidth="1"/>
    <col min="11" max="11" width="16.33203125" bestFit="1" customWidth="1"/>
    <col min="12" max="12" width="17" bestFit="1" customWidth="1"/>
  </cols>
  <sheetData>
    <row r="2" spans="2:12" ht="81.75" customHeight="1" x14ac:dyDescent="1.3">
      <c r="B2" s="94" t="s">
        <v>92</v>
      </c>
      <c r="C2" s="92"/>
      <c r="D2" s="92"/>
      <c r="E2" s="92"/>
      <c r="F2" s="92"/>
      <c r="G2" s="92"/>
      <c r="H2" s="92"/>
      <c r="I2" s="92"/>
      <c r="J2" s="92"/>
      <c r="K2" s="92"/>
      <c r="L2" s="93"/>
    </row>
    <row r="3" spans="2:12" ht="38.25" customHeight="1" x14ac:dyDescent="0.3">
      <c r="B3" s="2" t="s">
        <v>93</v>
      </c>
      <c r="C3" s="2" t="s">
        <v>1</v>
      </c>
      <c r="D3" s="2" t="s">
        <v>2</v>
      </c>
      <c r="E3" s="2" t="s">
        <v>70</v>
      </c>
      <c r="F3" s="3" t="s">
        <v>71</v>
      </c>
      <c r="G3" s="3" t="s">
        <v>72</v>
      </c>
      <c r="H3" s="3" t="s">
        <v>73</v>
      </c>
      <c r="I3" s="3" t="s">
        <v>94</v>
      </c>
      <c r="J3" s="3" t="s">
        <v>75</v>
      </c>
      <c r="K3" s="2" t="s">
        <v>76</v>
      </c>
      <c r="L3" s="2" t="s">
        <v>77</v>
      </c>
    </row>
    <row r="4" spans="2:12" ht="20.100000000000001" customHeight="1" x14ac:dyDescent="0.3">
      <c r="B4" s="5"/>
      <c r="C4" s="4"/>
      <c r="D4" s="5"/>
      <c r="E4" s="5"/>
      <c r="F4" s="4"/>
      <c r="G4" s="5"/>
      <c r="H4" s="6"/>
      <c r="I4" s="5"/>
      <c r="J4" s="5"/>
      <c r="K4" s="5"/>
      <c r="L4" s="5"/>
    </row>
    <row r="5" spans="2:12" ht="20.100000000000001" customHeight="1" x14ac:dyDescent="0.3">
      <c r="B5" s="5"/>
      <c r="C5" s="4"/>
      <c r="D5" s="5"/>
      <c r="E5" s="5"/>
      <c r="F5" s="4"/>
      <c r="G5" s="5"/>
      <c r="H5" s="6"/>
      <c r="I5" s="5"/>
      <c r="J5" s="6"/>
      <c r="K5" s="5"/>
      <c r="L5" s="5"/>
    </row>
    <row r="6" spans="2:12" ht="20.100000000000001" customHeigh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2:12" ht="20.100000000000001" customHeight="1" x14ac:dyDescent="0.3"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2:12" ht="20.100000000000001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2:12" ht="20.100000000000001" customHeight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2:12" ht="20.100000000000001" customHeight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2:12" ht="20.100000000000001" customHeight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2:12" ht="20.100000000000001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2:12" ht="20.100000000000001" customHeight="1" x14ac:dyDescent="0.3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2:12" ht="20.100000000000001" customHeight="1" x14ac:dyDescent="0.3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2:12" ht="20.100000000000001" customHeight="1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2:12" ht="20.100000000000001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2:12" ht="20.100000000000001" customHeight="1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2:12" ht="20.100000000000001" customHeight="1" x14ac:dyDescent="0.3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2:12" ht="20.100000000000001" customHeight="1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2:12" ht="20.100000000000001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2:12" ht="20.100000000000001" customHeight="1" x14ac:dyDescent="0.3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2:12" ht="20.100000000000001" customHeight="1" x14ac:dyDescent="0.3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2:12" ht="20.100000000000001" customHeight="1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2:12" ht="20.100000000000001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2:12" ht="20.100000000000001" customHeight="1" x14ac:dyDescent="0.3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2:12" ht="20.100000000000001" customHeight="1" x14ac:dyDescent="0.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2:12" ht="20.100000000000001" customHeight="1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2:12" ht="20.100000000000001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2:12" ht="20.100000000000001" customHeight="1" x14ac:dyDescent="0.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B1:L29"/>
  <sheetViews>
    <sheetView topLeftCell="A4" workbookViewId="0"/>
  </sheetViews>
  <sheetFormatPr defaultRowHeight="14.4" x14ac:dyDescent="0.3"/>
  <cols>
    <col min="1" max="1" width="3.44140625" customWidth="1"/>
    <col min="2" max="2" width="15.33203125" bestFit="1" customWidth="1"/>
    <col min="3" max="3" width="10.109375" bestFit="1" customWidth="1"/>
    <col min="4" max="4" width="9.5546875" bestFit="1" customWidth="1"/>
    <col min="5" max="5" width="20.44140625" bestFit="1" customWidth="1"/>
    <col min="6" max="6" width="13.6640625" bestFit="1" customWidth="1"/>
    <col min="7" max="7" width="13.5546875" bestFit="1" customWidth="1"/>
    <col min="8" max="8" width="15.33203125" customWidth="1"/>
    <col min="9" max="9" width="16.88671875" bestFit="1" customWidth="1"/>
    <col min="10" max="10" width="18" bestFit="1" customWidth="1"/>
    <col min="11" max="11" width="16.33203125" bestFit="1" customWidth="1"/>
    <col min="12" max="12" width="17" bestFit="1" customWidth="1"/>
  </cols>
  <sheetData>
    <row r="1" spans="2:12" ht="9" customHeight="1" x14ac:dyDescent="0.3"/>
    <row r="2" spans="2:12" ht="81.75" customHeight="1" x14ac:dyDescent="1.3">
      <c r="B2" s="94" t="s">
        <v>95</v>
      </c>
      <c r="C2" s="92"/>
      <c r="D2" s="92"/>
      <c r="E2" s="92"/>
      <c r="F2" s="92"/>
      <c r="G2" s="92"/>
      <c r="H2" s="92"/>
      <c r="I2" s="92"/>
      <c r="J2" s="92"/>
      <c r="K2" s="92"/>
      <c r="L2" s="93"/>
    </row>
    <row r="3" spans="2:12" ht="38.25" customHeight="1" x14ac:dyDescent="0.3">
      <c r="B3" s="2" t="s">
        <v>93</v>
      </c>
      <c r="C3" s="2" t="s">
        <v>1</v>
      </c>
      <c r="D3" s="2" t="s">
        <v>2</v>
      </c>
      <c r="E3" s="2" t="s">
        <v>70</v>
      </c>
      <c r="F3" s="3" t="s">
        <v>71</v>
      </c>
      <c r="G3" s="3" t="s">
        <v>72</v>
      </c>
      <c r="H3" s="3" t="s">
        <v>73</v>
      </c>
      <c r="I3" s="3" t="s">
        <v>96</v>
      </c>
      <c r="J3" s="3" t="s">
        <v>75</v>
      </c>
      <c r="K3" s="2" t="s">
        <v>76</v>
      </c>
      <c r="L3" s="2" t="s">
        <v>77</v>
      </c>
    </row>
    <row r="4" spans="2:12" ht="20.100000000000001" customHeight="1" x14ac:dyDescent="0.3">
      <c r="B4" s="5" t="s">
        <v>97</v>
      </c>
      <c r="C4" s="4">
        <v>45462</v>
      </c>
      <c r="D4" s="5" t="s">
        <v>98</v>
      </c>
      <c r="E4" s="5">
        <v>200</v>
      </c>
      <c r="F4" s="4" t="s">
        <v>99</v>
      </c>
      <c r="G4" s="5" t="s">
        <v>100</v>
      </c>
      <c r="H4" s="6" t="s">
        <v>100</v>
      </c>
      <c r="I4" s="5">
        <v>8.85</v>
      </c>
      <c r="J4" s="5"/>
      <c r="K4" s="5" t="s">
        <v>101</v>
      </c>
      <c r="L4" s="5" t="s">
        <v>102</v>
      </c>
    </row>
    <row r="5" spans="2:12" ht="20.100000000000001" customHeight="1" x14ac:dyDescent="0.3">
      <c r="B5" s="5" t="s">
        <v>97</v>
      </c>
      <c r="C5" s="4">
        <v>45600</v>
      </c>
      <c r="D5" s="5" t="s">
        <v>103</v>
      </c>
      <c r="E5" s="5">
        <v>125</v>
      </c>
      <c r="F5" s="4" t="s">
        <v>99</v>
      </c>
      <c r="G5" s="5" t="s">
        <v>100</v>
      </c>
      <c r="H5" s="6" t="s">
        <v>100</v>
      </c>
      <c r="I5" s="5">
        <v>7.1</v>
      </c>
      <c r="J5" s="5"/>
      <c r="K5" s="5"/>
      <c r="L5" s="5" t="s">
        <v>102</v>
      </c>
    </row>
    <row r="6" spans="2:12" ht="20.100000000000001" customHeight="1" x14ac:dyDescent="0.3">
      <c r="B6" s="8" t="s">
        <v>97</v>
      </c>
      <c r="C6" s="7">
        <v>45624</v>
      </c>
      <c r="D6" s="8" t="s">
        <v>104</v>
      </c>
      <c r="E6" s="8">
        <v>300</v>
      </c>
      <c r="F6" s="7" t="s">
        <v>99</v>
      </c>
      <c r="G6" s="8" t="s">
        <v>100</v>
      </c>
      <c r="H6" s="9" t="s">
        <v>100</v>
      </c>
      <c r="I6" s="8">
        <v>6.89</v>
      </c>
      <c r="J6" s="8"/>
      <c r="K6" s="8"/>
      <c r="L6" s="8" t="s">
        <v>102</v>
      </c>
    </row>
    <row r="7" spans="2:12" ht="20.100000000000001" customHeight="1" x14ac:dyDescent="0.3">
      <c r="B7" s="8" t="s">
        <v>97</v>
      </c>
      <c r="C7" s="7">
        <v>45636</v>
      </c>
      <c r="D7" s="8" t="s">
        <v>105</v>
      </c>
      <c r="E7" s="8">
        <v>125</v>
      </c>
      <c r="F7" s="7" t="s">
        <v>99</v>
      </c>
      <c r="G7" s="8" t="s">
        <v>100</v>
      </c>
      <c r="H7" s="9" t="s">
        <v>100</v>
      </c>
      <c r="I7" s="8">
        <v>7.17</v>
      </c>
      <c r="J7" s="8"/>
      <c r="K7" s="8"/>
      <c r="L7" s="8" t="s">
        <v>102</v>
      </c>
    </row>
    <row r="8" spans="2:12" ht="20.100000000000001" customHeight="1" x14ac:dyDescent="0.3">
      <c r="B8" s="8" t="s">
        <v>97</v>
      </c>
      <c r="C8" s="13">
        <v>45791</v>
      </c>
      <c r="D8" s="8" t="s">
        <v>106</v>
      </c>
      <c r="E8" s="8">
        <v>100</v>
      </c>
      <c r="F8" s="8" t="s">
        <v>99</v>
      </c>
      <c r="G8" s="8" t="s">
        <v>100</v>
      </c>
      <c r="H8" s="9" t="s">
        <v>100</v>
      </c>
      <c r="I8" s="8">
        <v>8.58</v>
      </c>
      <c r="J8" s="8"/>
      <c r="K8" s="8"/>
      <c r="L8" s="8" t="s">
        <v>102</v>
      </c>
    </row>
    <row r="9" spans="2:12" ht="20.100000000000001" customHeight="1" x14ac:dyDescent="0.3">
      <c r="B9" s="8" t="s">
        <v>97</v>
      </c>
      <c r="C9" s="7">
        <v>45894</v>
      </c>
      <c r="D9" s="8" t="s">
        <v>107</v>
      </c>
      <c r="E9" s="8">
        <v>25</v>
      </c>
      <c r="F9" s="8" t="s">
        <v>99</v>
      </c>
      <c r="G9" s="8" t="s">
        <v>100</v>
      </c>
      <c r="H9" s="9" t="s">
        <v>100</v>
      </c>
      <c r="I9" s="8">
        <v>6.35</v>
      </c>
      <c r="J9" s="8"/>
      <c r="K9" s="8"/>
      <c r="L9" s="8" t="s">
        <v>108</v>
      </c>
    </row>
    <row r="10" spans="2:12" ht="20.100000000000001" customHeight="1" x14ac:dyDescent="0.3">
      <c r="B10" s="8" t="s">
        <v>97</v>
      </c>
      <c r="C10" s="7">
        <v>45908</v>
      </c>
      <c r="D10" s="8" t="s">
        <v>109</v>
      </c>
      <c r="E10" s="8">
        <v>100</v>
      </c>
      <c r="F10" s="8" t="s">
        <v>99</v>
      </c>
      <c r="G10" s="8" t="s">
        <v>100</v>
      </c>
      <c r="H10" s="9" t="s">
        <v>100</v>
      </c>
      <c r="I10" s="8">
        <v>6.14</v>
      </c>
      <c r="J10" s="8" t="s">
        <v>84</v>
      </c>
      <c r="K10" s="8" t="s">
        <v>84</v>
      </c>
      <c r="L10" s="8" t="s">
        <v>108</v>
      </c>
    </row>
    <row r="11" spans="2:12" ht="20.100000000000001" customHeight="1" x14ac:dyDescent="0.3">
      <c r="B11" s="8" t="s">
        <v>97</v>
      </c>
      <c r="C11" s="7">
        <v>45923</v>
      </c>
      <c r="D11" s="8" t="s">
        <v>110</v>
      </c>
      <c r="E11" s="8">
        <v>200</v>
      </c>
      <c r="F11" s="8" t="s">
        <v>99</v>
      </c>
      <c r="G11" s="8" t="s">
        <v>100</v>
      </c>
      <c r="H11" s="9" t="s">
        <v>100</v>
      </c>
      <c r="I11" s="8">
        <v>7.19</v>
      </c>
      <c r="J11" s="8" t="s">
        <v>84</v>
      </c>
      <c r="K11" s="8" t="s">
        <v>84</v>
      </c>
      <c r="L11" s="8" t="s">
        <v>108</v>
      </c>
    </row>
    <row r="12" spans="2:12" ht="20.100000000000001" customHeight="1" x14ac:dyDescent="0.3">
      <c r="B12" s="8" t="s">
        <v>97</v>
      </c>
      <c r="C12" s="7">
        <v>45943</v>
      </c>
      <c r="D12" s="8" t="s">
        <v>111</v>
      </c>
      <c r="E12" s="8">
        <v>200</v>
      </c>
      <c r="F12" s="8" t="s">
        <v>99</v>
      </c>
      <c r="G12" s="8" t="s">
        <v>112</v>
      </c>
      <c r="H12" s="9" t="s">
        <v>112</v>
      </c>
      <c r="I12" s="8">
        <v>6.22</v>
      </c>
      <c r="J12" s="8" t="s">
        <v>84</v>
      </c>
      <c r="K12" s="8" t="s">
        <v>84</v>
      </c>
      <c r="L12" s="8" t="s">
        <v>108</v>
      </c>
    </row>
    <row r="13" spans="2:12" ht="20.100000000000001" customHeight="1" x14ac:dyDescent="0.3">
      <c r="B13" s="8" t="s">
        <v>97</v>
      </c>
      <c r="C13" s="4">
        <v>46149</v>
      </c>
      <c r="D13" s="5" t="s">
        <v>113</v>
      </c>
      <c r="E13" s="5">
        <v>250</v>
      </c>
      <c r="F13" s="5" t="s">
        <v>99</v>
      </c>
      <c r="G13" s="5" t="s">
        <v>112</v>
      </c>
      <c r="H13" s="6" t="s">
        <v>112</v>
      </c>
      <c r="I13" s="5">
        <v>6.96</v>
      </c>
      <c r="J13" s="5" t="s">
        <v>84</v>
      </c>
      <c r="K13" s="5" t="s">
        <v>84</v>
      </c>
      <c r="L13" s="15" t="s">
        <v>108</v>
      </c>
    </row>
    <row r="14" spans="2:12" ht="20.100000000000001" customHeight="1" x14ac:dyDescent="0.3">
      <c r="B14" s="2"/>
      <c r="C14" s="2"/>
      <c r="D14" s="2"/>
      <c r="E14" s="2"/>
      <c r="F14" s="2"/>
      <c r="G14" s="2"/>
      <c r="H14" s="2"/>
      <c r="I14" s="10"/>
      <c r="J14" s="2"/>
      <c r="K14" s="2"/>
      <c r="L14" s="2"/>
    </row>
    <row r="15" spans="2:12" ht="20.100000000000001" customHeight="1" x14ac:dyDescent="0.3">
      <c r="B15" s="2"/>
      <c r="C15" s="2"/>
      <c r="D15" s="2"/>
      <c r="E15" s="2"/>
      <c r="F15" s="2"/>
      <c r="G15" s="2"/>
      <c r="H15" s="2"/>
      <c r="I15" s="10"/>
      <c r="J15" s="2"/>
      <c r="K15" s="2"/>
      <c r="L15" s="2"/>
    </row>
    <row r="16" spans="2:12" ht="20.100000000000001" customHeight="1" x14ac:dyDescent="0.3">
      <c r="B16" s="2"/>
      <c r="C16" s="2"/>
      <c r="D16" s="2"/>
      <c r="E16" s="2"/>
      <c r="F16" s="2"/>
      <c r="G16" s="2"/>
      <c r="H16" s="2"/>
      <c r="I16" s="10"/>
      <c r="J16" s="2"/>
      <c r="K16" s="2"/>
      <c r="L16" s="2"/>
    </row>
    <row r="17" spans="2:12" ht="20.100000000000001" customHeight="1" x14ac:dyDescent="0.3">
      <c r="B17" s="2"/>
      <c r="C17" s="2"/>
      <c r="D17" s="2"/>
      <c r="E17" s="2"/>
      <c r="F17" s="2"/>
      <c r="G17" s="2"/>
      <c r="H17" s="2"/>
      <c r="I17" s="10"/>
      <c r="J17" s="2"/>
      <c r="K17" s="2"/>
      <c r="L17" s="2"/>
    </row>
    <row r="18" spans="2:12" ht="20.100000000000001" customHeight="1" x14ac:dyDescent="0.3">
      <c r="B18" s="2"/>
      <c r="C18" s="2"/>
      <c r="D18" s="2"/>
      <c r="E18" s="2"/>
      <c r="F18" s="2"/>
      <c r="G18" s="2"/>
      <c r="H18" s="2"/>
      <c r="I18" s="10"/>
      <c r="J18" s="2"/>
      <c r="K18" s="2"/>
      <c r="L18" s="2"/>
    </row>
    <row r="19" spans="2:12" ht="20.100000000000001" customHeight="1" x14ac:dyDescent="0.3">
      <c r="B19" s="2"/>
      <c r="C19" s="2"/>
      <c r="D19" s="2"/>
      <c r="E19" s="2"/>
      <c r="F19" s="2"/>
      <c r="G19" s="2"/>
      <c r="H19" s="2"/>
      <c r="I19" s="10"/>
      <c r="J19" s="2"/>
      <c r="K19" s="2"/>
      <c r="L19" s="2"/>
    </row>
    <row r="20" spans="2:12" ht="20.100000000000001" customHeight="1" x14ac:dyDescent="0.3">
      <c r="B20" s="2"/>
      <c r="C20" s="2"/>
      <c r="D20" s="2"/>
      <c r="E20" s="2"/>
      <c r="F20" s="2"/>
      <c r="G20" s="2"/>
      <c r="H20" s="2"/>
      <c r="I20" s="10"/>
      <c r="J20" s="2"/>
      <c r="K20" s="2"/>
      <c r="L20" s="2"/>
    </row>
    <row r="21" spans="2:12" ht="20.100000000000001" customHeight="1" x14ac:dyDescent="0.3">
      <c r="B21" s="2"/>
      <c r="C21" s="2"/>
      <c r="D21" s="2"/>
      <c r="E21" s="2"/>
      <c r="F21" s="2"/>
      <c r="G21" s="2"/>
      <c r="H21" s="2"/>
      <c r="I21" s="10"/>
      <c r="J21" s="2"/>
      <c r="K21" s="2"/>
      <c r="L21" s="2"/>
    </row>
    <row r="22" spans="2:12" ht="20.100000000000001" customHeight="1" x14ac:dyDescent="0.3">
      <c r="B22" s="2"/>
      <c r="C22" s="2"/>
      <c r="D22" s="2"/>
      <c r="E22" s="2"/>
      <c r="F22" s="2"/>
      <c r="G22" s="2"/>
      <c r="H22" s="2"/>
      <c r="I22" s="10"/>
      <c r="J22" s="2"/>
      <c r="K22" s="2"/>
      <c r="L22" s="2"/>
    </row>
    <row r="23" spans="2:12" ht="20.100000000000001" customHeight="1" x14ac:dyDescent="0.3">
      <c r="B23" s="2"/>
      <c r="C23" s="2"/>
      <c r="D23" s="2"/>
      <c r="E23" s="2"/>
      <c r="F23" s="2"/>
      <c r="G23" s="2"/>
      <c r="H23" s="2"/>
      <c r="I23" s="10"/>
      <c r="J23" s="2"/>
      <c r="K23" s="2"/>
      <c r="L23" s="2"/>
    </row>
    <row r="24" spans="2:12" ht="20.100000000000001" customHeight="1" x14ac:dyDescent="0.3">
      <c r="B24" s="2"/>
      <c r="C24" s="2"/>
      <c r="D24" s="2"/>
      <c r="E24" s="2"/>
      <c r="F24" s="2"/>
      <c r="G24" s="2"/>
      <c r="H24" s="2"/>
      <c r="I24" s="10"/>
      <c r="J24" s="2"/>
      <c r="K24" s="2"/>
      <c r="L24" s="2"/>
    </row>
    <row r="25" spans="2:12" ht="20.100000000000001" customHeight="1" x14ac:dyDescent="0.3">
      <c r="B25" s="2"/>
      <c r="C25" s="2"/>
      <c r="D25" s="2"/>
      <c r="E25" s="2"/>
      <c r="F25" s="2"/>
      <c r="G25" s="2"/>
      <c r="H25" s="2"/>
      <c r="I25" s="10"/>
      <c r="J25" s="2"/>
      <c r="K25" s="2"/>
      <c r="L25" s="2"/>
    </row>
    <row r="26" spans="2:12" ht="20.100000000000001" customHeight="1" x14ac:dyDescent="0.3">
      <c r="B26" s="2"/>
      <c r="C26" s="2"/>
      <c r="D26" s="2"/>
      <c r="E26" s="2"/>
      <c r="F26" s="2"/>
      <c r="G26" s="2"/>
      <c r="H26" s="2"/>
      <c r="I26" s="10"/>
      <c r="J26" s="2"/>
      <c r="K26" s="2"/>
      <c r="L26" s="2"/>
    </row>
    <row r="27" spans="2:12" ht="20.100000000000001" customHeight="1" x14ac:dyDescent="0.3">
      <c r="B27" s="2"/>
      <c r="C27" s="2"/>
      <c r="D27" s="2"/>
      <c r="E27" s="2"/>
      <c r="F27" s="2"/>
      <c r="G27" s="2"/>
      <c r="H27" s="2"/>
      <c r="I27" s="10"/>
      <c r="J27" s="2"/>
      <c r="K27" s="2"/>
      <c r="L27" s="2"/>
    </row>
    <row r="28" spans="2:12" ht="20.100000000000001" customHeight="1" x14ac:dyDescent="0.3">
      <c r="B28" s="2"/>
      <c r="C28" s="2"/>
      <c r="D28" s="2"/>
      <c r="E28" s="2"/>
      <c r="F28" s="2"/>
      <c r="G28" s="2"/>
      <c r="H28" s="2"/>
      <c r="I28" s="10"/>
      <c r="J28" s="2"/>
      <c r="K28" s="2"/>
      <c r="L28" s="2"/>
    </row>
    <row r="29" spans="2:12" ht="20.100000000000001" customHeight="1" x14ac:dyDescent="0.3">
      <c r="B29" s="11"/>
      <c r="C29" s="11"/>
      <c r="D29" s="11"/>
      <c r="E29" s="11"/>
      <c r="F29" s="11"/>
      <c r="G29" s="11"/>
      <c r="H29" s="11"/>
      <c r="I29" s="12"/>
      <c r="J29" s="11"/>
      <c r="K29" s="11"/>
      <c r="L29" s="11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K29"/>
  <sheetViews>
    <sheetView workbookViewId="0">
      <selection activeCell="I11" sqref="I11"/>
    </sheetView>
  </sheetViews>
  <sheetFormatPr defaultRowHeight="14.4" x14ac:dyDescent="0.3"/>
  <cols>
    <col min="1" max="1" width="3.88671875" customWidth="1"/>
    <col min="2" max="2" width="15.33203125" bestFit="1" customWidth="1"/>
    <col min="3" max="3" width="10.109375" bestFit="1" customWidth="1"/>
    <col min="5" max="5" width="20.44140625" bestFit="1" customWidth="1"/>
    <col min="6" max="6" width="13.6640625" bestFit="1" customWidth="1"/>
    <col min="7" max="7" width="11.6640625" customWidth="1"/>
    <col min="8" max="8" width="13.44140625" customWidth="1"/>
    <col min="9" max="9" width="18.109375" bestFit="1" customWidth="1"/>
    <col min="10" max="10" width="19.88671875" customWidth="1"/>
    <col min="11" max="11" width="17" bestFit="1" customWidth="1"/>
  </cols>
  <sheetData>
    <row r="2" spans="2:11" ht="81.75" customHeight="1" x14ac:dyDescent="1.3">
      <c r="B2" s="94" t="s">
        <v>114</v>
      </c>
      <c r="C2" s="92"/>
      <c r="D2" s="92"/>
      <c r="E2" s="92"/>
      <c r="F2" s="92"/>
      <c r="G2" s="92"/>
      <c r="H2" s="92"/>
      <c r="I2" s="92"/>
      <c r="J2" s="92"/>
      <c r="K2" s="93"/>
    </row>
    <row r="3" spans="2:11" ht="25.5" customHeight="1" x14ac:dyDescent="0.3">
      <c r="B3" s="2" t="s">
        <v>93</v>
      </c>
      <c r="C3" s="2" t="s">
        <v>1</v>
      </c>
      <c r="D3" s="2" t="s">
        <v>2</v>
      </c>
      <c r="E3" s="2" t="s">
        <v>70</v>
      </c>
      <c r="F3" s="3" t="s">
        <v>71</v>
      </c>
      <c r="G3" s="3" t="s">
        <v>72</v>
      </c>
      <c r="H3" s="3" t="s">
        <v>115</v>
      </c>
      <c r="I3" s="3" t="s">
        <v>116</v>
      </c>
      <c r="J3" s="2" t="s">
        <v>76</v>
      </c>
      <c r="K3" s="2" t="s">
        <v>77</v>
      </c>
    </row>
    <row r="4" spans="2:11" ht="20.100000000000001" customHeight="1" x14ac:dyDescent="0.3">
      <c r="B4" s="5" t="s">
        <v>5</v>
      </c>
      <c r="C4" s="4">
        <v>45300</v>
      </c>
      <c r="D4" s="5" t="s">
        <v>117</v>
      </c>
      <c r="E4" s="5">
        <v>200</v>
      </c>
      <c r="F4" s="4" t="s">
        <v>99</v>
      </c>
      <c r="G4" s="5" t="s">
        <v>82</v>
      </c>
      <c r="H4" s="6" t="s">
        <v>118</v>
      </c>
      <c r="I4" s="5">
        <v>9.67</v>
      </c>
      <c r="J4" s="5" t="s">
        <v>84</v>
      </c>
      <c r="K4" s="5" t="s">
        <v>86</v>
      </c>
    </row>
    <row r="5" spans="2:11" ht="20.100000000000001" customHeight="1" x14ac:dyDescent="0.3">
      <c r="B5" s="5" t="s">
        <v>5</v>
      </c>
      <c r="C5" s="4">
        <v>45478</v>
      </c>
      <c r="D5" s="5" t="s">
        <v>119</v>
      </c>
      <c r="E5" s="5">
        <v>200</v>
      </c>
      <c r="F5" s="4" t="s">
        <v>99</v>
      </c>
      <c r="G5" s="5" t="s">
        <v>82</v>
      </c>
      <c r="H5" s="6" t="s">
        <v>118</v>
      </c>
      <c r="I5" s="5">
        <v>6.4</v>
      </c>
      <c r="J5" s="5" t="s">
        <v>120</v>
      </c>
      <c r="K5" s="5" t="s">
        <v>102</v>
      </c>
    </row>
    <row r="6" spans="2:11" ht="20.100000000000001" customHeight="1" x14ac:dyDescent="0.3">
      <c r="B6" s="8" t="s">
        <v>5</v>
      </c>
      <c r="C6" s="7">
        <v>45741</v>
      </c>
      <c r="D6" s="8" t="s">
        <v>121</v>
      </c>
      <c r="E6" s="8">
        <v>125</v>
      </c>
      <c r="F6" s="7" t="s">
        <v>99</v>
      </c>
      <c r="G6" s="8" t="s">
        <v>82</v>
      </c>
      <c r="H6" s="9" t="s">
        <v>118</v>
      </c>
      <c r="I6" s="8">
        <v>4.9000000000000004</v>
      </c>
      <c r="J6" s="8"/>
      <c r="K6" s="8" t="s">
        <v>102</v>
      </c>
    </row>
    <row r="7" spans="2:11" ht="20.100000000000001" customHeight="1" x14ac:dyDescent="0.3">
      <c r="B7" s="8" t="s">
        <v>5</v>
      </c>
      <c r="C7" s="7">
        <v>45839</v>
      </c>
      <c r="D7" s="8" t="s">
        <v>122</v>
      </c>
      <c r="E7" s="8">
        <v>150</v>
      </c>
      <c r="F7" s="7" t="s">
        <v>99</v>
      </c>
      <c r="G7" s="8" t="s">
        <v>82</v>
      </c>
      <c r="H7" s="9" t="s">
        <v>118</v>
      </c>
      <c r="I7" s="8">
        <v>9.4</v>
      </c>
      <c r="J7" s="8"/>
      <c r="K7" s="8" t="s">
        <v>108</v>
      </c>
    </row>
    <row r="8" spans="2:11" ht="20.100000000000001" customHeight="1" x14ac:dyDescent="0.3">
      <c r="B8" s="8" t="s">
        <v>5</v>
      </c>
      <c r="C8" s="7">
        <v>45966</v>
      </c>
      <c r="D8" s="8" t="s">
        <v>123</v>
      </c>
      <c r="E8" s="8">
        <v>125</v>
      </c>
      <c r="F8" s="7" t="s">
        <v>99</v>
      </c>
      <c r="G8" s="8" t="s">
        <v>82</v>
      </c>
      <c r="H8" s="9" t="s">
        <v>118</v>
      </c>
      <c r="I8" s="8">
        <v>9.15</v>
      </c>
      <c r="J8" s="8" t="s">
        <v>84</v>
      </c>
      <c r="K8" s="8" t="s">
        <v>108</v>
      </c>
    </row>
    <row r="9" spans="2:11" ht="20.100000000000001" customHeight="1" x14ac:dyDescent="0.3">
      <c r="B9" s="8" t="s">
        <v>5</v>
      </c>
      <c r="C9" s="7">
        <v>46062</v>
      </c>
      <c r="D9" s="8" t="s">
        <v>124</v>
      </c>
      <c r="E9" s="8">
        <v>125</v>
      </c>
      <c r="F9" s="7" t="s">
        <v>99</v>
      </c>
      <c r="G9" s="8" t="s">
        <v>125</v>
      </c>
      <c r="H9" s="9" t="s">
        <v>118</v>
      </c>
      <c r="I9" s="8">
        <v>9.3000000000000007</v>
      </c>
      <c r="J9" s="8" t="s">
        <v>84</v>
      </c>
      <c r="K9" s="8" t="s">
        <v>108</v>
      </c>
    </row>
    <row r="10" spans="2:11" ht="20.100000000000001" customHeight="1" x14ac:dyDescent="0.3">
      <c r="B10" s="8" t="s">
        <v>5</v>
      </c>
      <c r="C10" s="7">
        <v>46141</v>
      </c>
      <c r="D10" s="8" t="s">
        <v>126</v>
      </c>
      <c r="E10" s="8">
        <v>75</v>
      </c>
      <c r="F10" s="8" t="s">
        <v>99</v>
      </c>
      <c r="G10" s="8" t="s">
        <v>125</v>
      </c>
      <c r="H10" s="9" t="s">
        <v>118</v>
      </c>
      <c r="I10" s="8">
        <v>9.5</v>
      </c>
      <c r="J10" s="8" t="s">
        <v>84</v>
      </c>
      <c r="K10" s="14" t="s">
        <v>108</v>
      </c>
    </row>
    <row r="11" spans="2:11" ht="20.100000000000001" customHeight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ht="20.100000000000001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ht="20.100000000000001" customHeight="1" x14ac:dyDescent="0.3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ht="20.100000000000001" customHeight="1" x14ac:dyDescent="0.3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ht="20.100000000000001" customHeight="1" x14ac:dyDescent="0.3"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2:11" ht="20.100000000000001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2:11" ht="20.100000000000001" customHeight="1" x14ac:dyDescent="0.3"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2:11" ht="20.100000000000001" customHeight="1" x14ac:dyDescent="0.3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2:11" ht="20.100000000000001" customHeight="1" x14ac:dyDescent="0.3"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2:11" ht="20.100000000000001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2:11" ht="20.100000000000001" customHeight="1" x14ac:dyDescent="0.3"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2:11" ht="20.100000000000001" customHeight="1" x14ac:dyDescent="0.3"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2:11" ht="20.100000000000001" customHeight="1" x14ac:dyDescent="0.3"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2:11" ht="20.100000000000001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2:11" ht="20.100000000000001" customHeight="1" x14ac:dyDescent="0.3"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2:11" ht="20.100000000000001" customHeight="1" x14ac:dyDescent="0.3"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2:11" ht="20.100000000000001" customHeight="1" x14ac:dyDescent="0.3"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2:11" ht="20.100000000000001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2:11" ht="20.100000000000001" customHeight="1" x14ac:dyDescent="0.3">
      <c r="B29" s="2"/>
      <c r="C29" s="2"/>
      <c r="D29" s="2"/>
      <c r="E29" s="2"/>
      <c r="F29" s="2"/>
      <c r="G29" s="2"/>
      <c r="H29" s="2"/>
      <c r="I29" s="2"/>
      <c r="J29" s="2"/>
      <c r="K29" s="2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L29"/>
  <sheetViews>
    <sheetView workbookViewId="0">
      <selection activeCell="D5" sqref="D5"/>
    </sheetView>
  </sheetViews>
  <sheetFormatPr defaultRowHeight="14.4" x14ac:dyDescent="0.3"/>
  <cols>
    <col min="1" max="1" width="3.88671875" customWidth="1"/>
    <col min="2" max="2" width="10.109375" bestFit="1" customWidth="1"/>
    <col min="4" max="4" width="20.44140625" bestFit="1" customWidth="1"/>
    <col min="5" max="5" width="13.6640625" bestFit="1" customWidth="1"/>
    <col min="6" max="6" width="11.6640625" customWidth="1"/>
    <col min="7" max="7" width="13.44140625" customWidth="1"/>
    <col min="8" max="8" width="18.6640625" bestFit="1" customWidth="1"/>
    <col min="9" max="9" width="19.109375" bestFit="1" customWidth="1"/>
    <col min="10" max="10" width="16.33203125" bestFit="1" customWidth="1"/>
    <col min="11" max="11" width="16.33203125" customWidth="1"/>
    <col min="12" max="12" width="17" bestFit="1" customWidth="1"/>
  </cols>
  <sheetData>
    <row r="2" spans="2:12" ht="93.75" customHeight="1" x14ac:dyDescent="1.75">
      <c r="B2" s="91" t="s">
        <v>127</v>
      </c>
      <c r="C2" s="92"/>
      <c r="D2" s="92"/>
      <c r="E2" s="92"/>
      <c r="F2" s="92"/>
      <c r="G2" s="92"/>
      <c r="H2" s="92"/>
      <c r="I2" s="92"/>
      <c r="J2" s="92"/>
      <c r="K2" s="92"/>
      <c r="L2" s="93"/>
    </row>
    <row r="3" spans="2:12" ht="38.25" customHeight="1" x14ac:dyDescent="0.3">
      <c r="B3" s="2" t="s">
        <v>1</v>
      </c>
      <c r="C3" s="2" t="s">
        <v>2</v>
      </c>
      <c r="D3" s="2" t="s">
        <v>70</v>
      </c>
      <c r="E3" s="3" t="s">
        <v>71</v>
      </c>
      <c r="F3" s="3" t="s">
        <v>72</v>
      </c>
      <c r="G3" s="3" t="s">
        <v>73</v>
      </c>
      <c r="H3" s="3" t="s">
        <v>128</v>
      </c>
      <c r="I3" s="3" t="s">
        <v>129</v>
      </c>
      <c r="J3" s="2" t="s">
        <v>76</v>
      </c>
      <c r="K3" s="2" t="s">
        <v>4</v>
      </c>
      <c r="L3" s="2" t="s">
        <v>77</v>
      </c>
    </row>
    <row r="4" spans="2:12" ht="20.100000000000001" customHeight="1" x14ac:dyDescent="0.3">
      <c r="B4" s="4"/>
      <c r="C4" s="5"/>
      <c r="D4" s="5"/>
      <c r="E4" s="4"/>
      <c r="F4" s="5"/>
      <c r="G4" s="6"/>
      <c r="H4" s="5"/>
      <c r="I4" s="5"/>
      <c r="J4" s="5"/>
      <c r="K4" s="5"/>
      <c r="L4" s="5"/>
    </row>
    <row r="5" spans="2:12" ht="20.100000000000001" customHeight="1" x14ac:dyDescent="0.3">
      <c r="B5" s="4"/>
      <c r="C5" s="5"/>
      <c r="D5" s="5"/>
      <c r="E5" s="4"/>
      <c r="F5" s="5"/>
      <c r="G5" s="6"/>
      <c r="H5" s="5"/>
      <c r="I5" s="5"/>
      <c r="J5" s="5"/>
      <c r="K5" s="5"/>
      <c r="L5" s="5"/>
    </row>
    <row r="6" spans="2:12" ht="20.100000000000001" customHeigh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2:12" ht="20.100000000000001" customHeight="1" x14ac:dyDescent="0.3"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2:12" ht="20.100000000000001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2:12" ht="20.100000000000001" customHeight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2:12" ht="20.100000000000001" customHeight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2:12" ht="20.100000000000001" customHeight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2:12" ht="20.100000000000001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2:12" ht="20.100000000000001" customHeight="1" x14ac:dyDescent="0.3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2:12" ht="20.100000000000001" customHeight="1" x14ac:dyDescent="0.3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2:12" ht="20.100000000000001" customHeight="1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2:12" ht="20.100000000000001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2:12" ht="20.100000000000001" customHeight="1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2:12" ht="20.100000000000001" customHeight="1" x14ac:dyDescent="0.3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2:12" ht="20.100000000000001" customHeight="1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2:12" ht="20.100000000000001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2:12" ht="20.100000000000001" customHeight="1" x14ac:dyDescent="0.3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2:12" ht="20.100000000000001" customHeight="1" x14ac:dyDescent="0.3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2:12" ht="20.100000000000001" customHeight="1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2:12" ht="20.100000000000001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2:12" ht="20.100000000000001" customHeight="1" x14ac:dyDescent="0.3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2:12" ht="20.100000000000001" customHeight="1" x14ac:dyDescent="0.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2:12" ht="20.100000000000001" customHeight="1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2:12" ht="20.100000000000001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2:12" ht="20.100000000000001" customHeight="1" x14ac:dyDescent="0.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U29"/>
  <sheetViews>
    <sheetView workbookViewId="0">
      <selection activeCell="G6" sqref="G6"/>
    </sheetView>
  </sheetViews>
  <sheetFormatPr defaultRowHeight="14.4" x14ac:dyDescent="0.3"/>
  <cols>
    <col min="1" max="1" width="3.88671875" customWidth="1"/>
    <col min="2" max="2" width="15.33203125" bestFit="1" customWidth="1"/>
    <col min="5" max="5" width="20.44140625" bestFit="1" customWidth="1"/>
    <col min="6" max="6" width="13.6640625" bestFit="1" customWidth="1"/>
    <col min="7" max="7" width="11.6640625" customWidth="1"/>
    <col min="8" max="8" width="13.44140625" customWidth="1"/>
    <col min="9" max="9" width="16.88671875" bestFit="1" customWidth="1"/>
    <col min="10" max="10" width="16.88671875" customWidth="1"/>
    <col min="11" max="11" width="13.5546875" bestFit="1" customWidth="1"/>
    <col min="12" max="12" width="13.6640625" bestFit="1" customWidth="1"/>
    <col min="13" max="13" width="13.5546875" bestFit="1" customWidth="1"/>
    <col min="14" max="14" width="11.44140625" bestFit="1" customWidth="1"/>
    <col min="15" max="15" width="13.5546875" bestFit="1" customWidth="1"/>
    <col min="16" max="16" width="12.109375" bestFit="1" customWidth="1"/>
    <col min="17" max="18" width="13.6640625" bestFit="1" customWidth="1"/>
    <col min="19" max="19" width="12.6640625" bestFit="1" customWidth="1"/>
    <col min="20" max="20" width="16.33203125" bestFit="1" customWidth="1"/>
    <col min="21" max="21" width="17" bestFit="1" customWidth="1"/>
  </cols>
  <sheetData>
    <row r="2" spans="2:21" ht="81.75" customHeight="1" x14ac:dyDescent="1.3">
      <c r="B2" s="94" t="s">
        <v>130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3"/>
    </row>
    <row r="3" spans="2:21" ht="38.25" customHeight="1" x14ac:dyDescent="0.3">
      <c r="B3" s="2" t="s">
        <v>93</v>
      </c>
      <c r="C3" s="2" t="s">
        <v>1</v>
      </c>
      <c r="D3" s="2" t="s">
        <v>2</v>
      </c>
      <c r="E3" s="2" t="s">
        <v>70</v>
      </c>
      <c r="F3" s="3" t="s">
        <v>71</v>
      </c>
      <c r="G3" s="3" t="s">
        <v>131</v>
      </c>
      <c r="H3" s="3" t="s">
        <v>132</v>
      </c>
      <c r="I3" s="3" t="s">
        <v>133</v>
      </c>
      <c r="J3" s="3" t="s">
        <v>134</v>
      </c>
      <c r="K3" s="3" t="s">
        <v>135</v>
      </c>
      <c r="L3" s="3" t="s">
        <v>136</v>
      </c>
      <c r="M3" s="3" t="s">
        <v>137</v>
      </c>
      <c r="N3" s="3" t="s">
        <v>138</v>
      </c>
      <c r="O3" s="3" t="s">
        <v>139</v>
      </c>
      <c r="P3" s="3" t="s">
        <v>140</v>
      </c>
      <c r="Q3" s="3" t="s">
        <v>141</v>
      </c>
      <c r="R3" s="3" t="s">
        <v>142</v>
      </c>
      <c r="S3" s="3" t="s">
        <v>143</v>
      </c>
      <c r="T3" s="2" t="s">
        <v>76</v>
      </c>
      <c r="U3" s="2" t="s">
        <v>77</v>
      </c>
    </row>
    <row r="4" spans="2:21" ht="20.100000000000001" customHeight="1" x14ac:dyDescent="0.3">
      <c r="B4" s="5"/>
      <c r="C4" s="5"/>
      <c r="D4" s="5"/>
      <c r="E4" s="5"/>
      <c r="F4" s="5"/>
      <c r="G4" s="5"/>
      <c r="H4" s="6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2:21" ht="20.100000000000001" customHeight="1" x14ac:dyDescent="0.3">
      <c r="B5" s="5"/>
      <c r="C5" s="5"/>
      <c r="D5" s="5"/>
      <c r="E5" s="5"/>
      <c r="F5" s="5"/>
      <c r="G5" s="5"/>
      <c r="H5" s="6"/>
      <c r="I5" s="5"/>
      <c r="J5" s="5"/>
      <c r="K5" s="5"/>
      <c r="L5" s="6"/>
      <c r="M5" s="3"/>
      <c r="N5" s="5"/>
      <c r="O5" s="5"/>
      <c r="P5" s="5"/>
      <c r="Q5" s="5"/>
      <c r="R5" s="5"/>
      <c r="S5" s="5"/>
      <c r="T5" s="5"/>
      <c r="U5" s="5"/>
    </row>
    <row r="6" spans="2:21" ht="20.100000000000001" customHeight="1" x14ac:dyDescent="0.3">
      <c r="B6" s="2"/>
      <c r="C6" s="2"/>
      <c r="D6" s="2"/>
      <c r="E6" s="2"/>
      <c r="F6" s="2"/>
      <c r="G6" s="2"/>
      <c r="H6" s="2"/>
      <c r="I6" s="10"/>
      <c r="J6" s="10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0.100000000000001" customHeight="1" x14ac:dyDescent="0.3">
      <c r="B7" s="2"/>
      <c r="C7" s="2"/>
      <c r="D7" s="2"/>
      <c r="E7" s="2"/>
      <c r="F7" s="2"/>
      <c r="G7" s="2"/>
      <c r="H7" s="2"/>
      <c r="I7" s="10"/>
      <c r="J7" s="10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0.100000000000001" customHeight="1" x14ac:dyDescent="0.3">
      <c r="B8" s="2"/>
      <c r="C8" s="2"/>
      <c r="D8" s="2"/>
      <c r="E8" s="2"/>
      <c r="F8" s="2"/>
      <c r="G8" s="2"/>
      <c r="H8" s="2"/>
      <c r="I8" s="10"/>
      <c r="J8" s="10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0.100000000000001" customHeight="1" x14ac:dyDescent="0.3">
      <c r="B9" s="2"/>
      <c r="C9" s="2"/>
      <c r="D9" s="2"/>
      <c r="E9" s="2"/>
      <c r="F9" s="2"/>
      <c r="G9" s="2"/>
      <c r="H9" s="2"/>
      <c r="I9" s="10"/>
      <c r="J9" s="10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0.100000000000001" customHeight="1" x14ac:dyDescent="0.3">
      <c r="B10" s="2"/>
      <c r="C10" s="2"/>
      <c r="D10" s="2"/>
      <c r="E10" s="2"/>
      <c r="F10" s="2"/>
      <c r="G10" s="2"/>
      <c r="H10" s="2"/>
      <c r="I10" s="10"/>
      <c r="J10" s="10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ht="20.100000000000001" customHeight="1" x14ac:dyDescent="0.3">
      <c r="B11" s="2"/>
      <c r="C11" s="2"/>
      <c r="D11" s="2"/>
      <c r="E11" s="2"/>
      <c r="F11" s="2"/>
      <c r="G11" s="2"/>
      <c r="H11" s="2"/>
      <c r="I11" s="10"/>
      <c r="J11" s="10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ht="20.100000000000001" customHeight="1" x14ac:dyDescent="0.3">
      <c r="B12" s="2"/>
      <c r="C12" s="2"/>
      <c r="D12" s="2"/>
      <c r="E12" s="2"/>
      <c r="F12" s="2"/>
      <c r="G12" s="2"/>
      <c r="H12" s="2"/>
      <c r="I12" s="10"/>
      <c r="J12" s="10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ht="20.100000000000001" customHeight="1" x14ac:dyDescent="0.3">
      <c r="B13" s="2"/>
      <c r="C13" s="2"/>
      <c r="D13" s="2"/>
      <c r="E13" s="2"/>
      <c r="F13" s="2"/>
      <c r="G13" s="2"/>
      <c r="H13" s="2"/>
      <c r="I13" s="10"/>
      <c r="J13" s="10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ht="20.100000000000001" customHeight="1" x14ac:dyDescent="0.3">
      <c r="B14" s="2"/>
      <c r="C14" s="2"/>
      <c r="D14" s="2"/>
      <c r="E14" s="2"/>
      <c r="F14" s="2"/>
      <c r="G14" s="2"/>
      <c r="H14" s="2"/>
      <c r="I14" s="10"/>
      <c r="J14" s="10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ht="20.100000000000001" customHeight="1" x14ac:dyDescent="0.3">
      <c r="B15" s="2"/>
      <c r="C15" s="2"/>
      <c r="D15" s="2"/>
      <c r="E15" s="2"/>
      <c r="F15" s="2"/>
      <c r="G15" s="2"/>
      <c r="H15" s="2"/>
      <c r="I15" s="10"/>
      <c r="J15" s="10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ht="20.100000000000001" customHeight="1" x14ac:dyDescent="0.3">
      <c r="B16" s="2"/>
      <c r="C16" s="2"/>
      <c r="D16" s="2"/>
      <c r="E16" s="2"/>
      <c r="F16" s="2"/>
      <c r="G16" s="2"/>
      <c r="H16" s="2"/>
      <c r="I16" s="10"/>
      <c r="J16" s="10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0.100000000000001" customHeight="1" x14ac:dyDescent="0.3">
      <c r="B17" s="2"/>
      <c r="C17" s="2"/>
      <c r="D17" s="2"/>
      <c r="E17" s="2"/>
      <c r="F17" s="2"/>
      <c r="G17" s="2"/>
      <c r="H17" s="2"/>
      <c r="I17" s="10"/>
      <c r="J17" s="10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0.100000000000001" customHeight="1" x14ac:dyDescent="0.3">
      <c r="B18" s="2"/>
      <c r="C18" s="2"/>
      <c r="D18" s="2"/>
      <c r="E18" s="2"/>
      <c r="F18" s="2"/>
      <c r="G18" s="2"/>
      <c r="H18" s="2"/>
      <c r="I18" s="10"/>
      <c r="J18" s="10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0.100000000000001" customHeight="1" x14ac:dyDescent="0.3">
      <c r="B19" s="2"/>
      <c r="C19" s="2"/>
      <c r="D19" s="2"/>
      <c r="E19" s="2"/>
      <c r="F19" s="2"/>
      <c r="G19" s="2"/>
      <c r="H19" s="2"/>
      <c r="I19" s="10"/>
      <c r="J19" s="10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0.100000000000001" customHeight="1" x14ac:dyDescent="0.3">
      <c r="B20" s="2"/>
      <c r="C20" s="2"/>
      <c r="D20" s="2"/>
      <c r="E20" s="2"/>
      <c r="F20" s="2"/>
      <c r="G20" s="2"/>
      <c r="H20" s="2"/>
      <c r="I20" s="10"/>
      <c r="J20" s="1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0.100000000000001" customHeight="1" x14ac:dyDescent="0.3">
      <c r="B21" s="2"/>
      <c r="C21" s="2"/>
      <c r="D21" s="2"/>
      <c r="E21" s="2"/>
      <c r="F21" s="2"/>
      <c r="G21" s="2"/>
      <c r="H21" s="2"/>
      <c r="I21" s="10"/>
      <c r="J21" s="10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0.100000000000001" customHeight="1" x14ac:dyDescent="0.3">
      <c r="B22" s="2"/>
      <c r="C22" s="2"/>
      <c r="D22" s="2"/>
      <c r="E22" s="2"/>
      <c r="F22" s="2"/>
      <c r="G22" s="2"/>
      <c r="H22" s="2"/>
      <c r="I22" s="10"/>
      <c r="J22" s="10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0.100000000000001" customHeight="1" x14ac:dyDescent="0.3">
      <c r="B23" s="2"/>
      <c r="C23" s="2"/>
      <c r="D23" s="2"/>
      <c r="E23" s="2"/>
      <c r="F23" s="2"/>
      <c r="G23" s="2"/>
      <c r="H23" s="2"/>
      <c r="I23" s="10"/>
      <c r="J23" s="10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0.100000000000001" customHeight="1" x14ac:dyDescent="0.3">
      <c r="B24" s="2"/>
      <c r="C24" s="2"/>
      <c r="D24" s="2"/>
      <c r="E24" s="2"/>
      <c r="F24" s="2"/>
      <c r="G24" s="2"/>
      <c r="H24" s="2"/>
      <c r="I24" s="10"/>
      <c r="J24" s="10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0.100000000000001" customHeight="1" x14ac:dyDescent="0.3">
      <c r="B25" s="2"/>
      <c r="C25" s="2"/>
      <c r="D25" s="2"/>
      <c r="E25" s="2"/>
      <c r="F25" s="2"/>
      <c r="G25" s="2"/>
      <c r="H25" s="2"/>
      <c r="I25" s="10"/>
      <c r="J25" s="10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0.100000000000001" customHeight="1" x14ac:dyDescent="0.3">
      <c r="B26" s="2"/>
      <c r="C26" s="2"/>
      <c r="D26" s="2"/>
      <c r="E26" s="2"/>
      <c r="F26" s="2"/>
      <c r="G26" s="2"/>
      <c r="H26" s="2"/>
      <c r="I26" s="10"/>
      <c r="J26" s="10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0.100000000000001" customHeight="1" x14ac:dyDescent="0.3">
      <c r="B27" s="2"/>
      <c r="C27" s="2"/>
      <c r="D27" s="2"/>
      <c r="E27" s="2"/>
      <c r="F27" s="2"/>
      <c r="G27" s="2"/>
      <c r="H27" s="2"/>
      <c r="I27" s="10"/>
      <c r="J27" s="10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0.100000000000001" customHeight="1" x14ac:dyDescent="0.3">
      <c r="B28" s="2"/>
      <c r="C28" s="2"/>
      <c r="D28" s="2"/>
      <c r="E28" s="2"/>
      <c r="F28" s="2"/>
      <c r="G28" s="2"/>
      <c r="H28" s="2"/>
      <c r="I28" s="10"/>
      <c r="J28" s="10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0.100000000000001" customHeight="1" x14ac:dyDescent="0.3">
      <c r="B29" s="2"/>
      <c r="C29" s="2"/>
      <c r="D29" s="2"/>
      <c r="E29" s="2"/>
      <c r="F29" s="2"/>
      <c r="G29" s="2"/>
      <c r="H29" s="2"/>
      <c r="I29" s="10"/>
      <c r="J29" s="10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</sheetData>
  <mergeCells count="1">
    <mergeCell ref="B2:U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Dashboard2</vt:lpstr>
      <vt:lpstr>MENU</vt:lpstr>
      <vt:lpstr>Procyclean BIO</vt:lpstr>
      <vt:lpstr>Procyclean MG</vt:lpstr>
      <vt:lpstr>Procyclean 130</vt:lpstr>
      <vt:lpstr>Procyclean 210</vt:lpstr>
      <vt:lpstr>Procyclean 220</vt:lpstr>
      <vt:lpstr>Procyclean 520</vt:lpstr>
      <vt:lpstr>Procyclean 600</vt:lpstr>
      <vt:lpstr>PADRÃO </vt:lpstr>
      <vt:lpstr>Dashboard2!Area_de_impressao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</dc:creator>
  <cp:lastModifiedBy>Kaiqui Lucas</cp:lastModifiedBy>
  <dcterms:created xsi:type="dcterms:W3CDTF">2021-12-27T12:00:38Z</dcterms:created>
  <dcterms:modified xsi:type="dcterms:W3CDTF">2026-05-29T17:03:00Z</dcterms:modified>
</cp:coreProperties>
</file>